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摘要" sheetId="1" state="visible" r:id="rId3"/>
    <sheet name="Valuation Params 估值參數" sheetId="2" state="visible" r:id="rId4"/>
    <sheet name="Financials 財務數據" sheetId="3" state="visible" r:id="rId5"/>
    <sheet name="Ratios 財務比率" sheetId="4" state="visible" r:id="rId6"/>
    <sheet name="Chart 趨勢圖" sheetId="5" state="visible" r:id="rId7"/>
    <sheet name="Extracts 主題段落" sheetId="6" state="visible" r:id="rId8"/>
    <sheet name="Review Queue 待覆核"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<sst xmlns="http://schemas.openxmlformats.org/spreadsheetml/2006/main" count="340" uniqueCount="221">
  <si>
    <r>
      <rPr>
        <b val="true"/>
        <sz val="14"/>
        <color rgb="FF1F4E5F"/>
        <rFont val="Arial"/>
        <family val="0"/>
        <charset val="1"/>
      </rPr>
      <t xml:space="preserve">HKEX </t>
    </r>
    <r>
      <rPr>
        <b val="true"/>
        <sz val="14"/>
        <color rgb="FF1F4E5F"/>
        <rFont val="Noto Sans CJK SC"/>
        <family val="2"/>
      </rPr>
      <t xml:space="preserve">文件資料萃取報告</t>
    </r>
  </si>
  <si>
    <t xml:space="preserve">Automated Extraction Report — Business Valuation Support</t>
  </si>
  <si>
    <r>
      <rPr>
        <b val="true"/>
        <sz val="10"/>
        <rFont val="Noto Sans CJK SC"/>
        <family val="2"/>
      </rPr>
      <t xml:space="preserve">來源文件 </t>
    </r>
    <r>
      <rPr>
        <b val="true"/>
        <sz val="10"/>
        <rFont val="Arial"/>
        <family val="0"/>
        <charset val="1"/>
      </rPr>
      <t xml:space="preserve">Source file</t>
    </r>
  </si>
  <si>
    <t xml:space="preserve">sample_annual_report.pdf</t>
  </si>
  <si>
    <r>
      <rPr>
        <b val="true"/>
        <sz val="10"/>
        <rFont val="Noto Sans CJK SC"/>
        <family val="2"/>
      </rPr>
      <t xml:space="preserve">產生時間 </t>
    </r>
    <r>
      <rPr>
        <b val="true"/>
        <sz val="10"/>
        <rFont val="Arial"/>
        <family val="0"/>
        <charset val="1"/>
      </rPr>
      <t xml:space="preserve">Generated</t>
    </r>
  </si>
  <si>
    <t xml:space="preserve">2026-08-28 15:49</t>
  </si>
  <si>
    <r>
      <rPr>
        <b val="true"/>
        <sz val="10"/>
        <rFont val="Noto Sans CJK SC"/>
        <family val="2"/>
      </rPr>
      <t xml:space="preserve">總頁數 </t>
    </r>
    <r>
      <rPr>
        <b val="true"/>
        <sz val="10"/>
        <rFont val="Arial"/>
        <family val="0"/>
        <charset val="1"/>
      </rPr>
      <t xml:space="preserve">Total pages</t>
    </r>
  </si>
  <si>
    <r>
      <rPr>
        <b val="true"/>
        <sz val="10"/>
        <rFont val="Noto Sans CJK SC"/>
        <family val="2"/>
      </rPr>
      <t xml:space="preserve">已擷取字元 </t>
    </r>
    <r>
      <rPr>
        <b val="true"/>
        <sz val="10"/>
        <rFont val="Arial"/>
        <family val="0"/>
        <charset val="1"/>
      </rPr>
      <t xml:space="preserve">Characters extracted</t>
    </r>
  </si>
  <si>
    <r>
      <rPr>
        <b val="true"/>
        <sz val="10"/>
        <rFont val="Noto Sans CJK SC"/>
        <family val="2"/>
      </rPr>
      <t xml:space="preserve">含表格頁數 </t>
    </r>
    <r>
      <rPr>
        <b val="true"/>
        <sz val="10"/>
        <rFont val="Arial"/>
        <family val="0"/>
        <charset val="1"/>
      </rPr>
      <t xml:space="preserve">Pages with tables</t>
    </r>
  </si>
  <si>
    <r>
      <rPr>
        <b val="true"/>
        <sz val="10"/>
        <rFont val="Noto Sans CJK SC"/>
        <family val="2"/>
      </rPr>
      <t xml:space="preserve">需人手</t>
    </r>
    <r>
      <rPr>
        <b val="true"/>
        <sz val="10"/>
        <rFont val="Arial"/>
        <family val="0"/>
        <charset val="1"/>
      </rPr>
      <t xml:space="preserve">/OCR </t>
    </r>
    <r>
      <rPr>
        <b val="true"/>
        <sz val="10"/>
        <rFont val="Noto Sans CJK SC"/>
        <family val="2"/>
      </rPr>
      <t xml:space="preserve">頁數 </t>
    </r>
    <r>
      <rPr>
        <b val="true"/>
        <sz val="10"/>
        <rFont val="Arial"/>
        <family val="0"/>
        <charset val="1"/>
      </rPr>
      <t xml:space="preserve">Pages needing OCR</t>
    </r>
  </si>
  <si>
    <r>
      <rPr>
        <b val="true"/>
        <sz val="10"/>
        <rFont val="Noto Sans CJK SC"/>
        <family val="2"/>
      </rPr>
      <t xml:space="preserve">估值參數擷取筆數 </t>
    </r>
    <r>
      <rPr>
        <b val="true"/>
        <sz val="10"/>
        <rFont val="Arial"/>
        <family val="0"/>
        <charset val="1"/>
      </rPr>
      <t xml:space="preserve">Valuation parameters</t>
    </r>
  </si>
  <si>
    <r>
      <rPr>
        <b val="true"/>
        <sz val="10"/>
        <rFont val="Noto Sans CJK SC"/>
        <family val="2"/>
      </rPr>
      <t xml:space="preserve">財務科目擷取筆數 </t>
    </r>
    <r>
      <rPr>
        <b val="true"/>
        <sz val="10"/>
        <rFont val="Arial"/>
        <family val="0"/>
        <charset val="1"/>
      </rPr>
      <t xml:space="preserve">Financial line items</t>
    </r>
  </si>
  <si>
    <r>
      <rPr>
        <b val="true"/>
        <sz val="10"/>
        <rFont val="Noto Sans CJK SC"/>
        <family val="2"/>
      </rPr>
      <t xml:space="preserve">主題段落擷取筆數 </t>
    </r>
    <r>
      <rPr>
        <b val="true"/>
        <sz val="10"/>
        <rFont val="Arial"/>
        <family val="0"/>
        <charset val="1"/>
      </rPr>
      <t xml:space="preserve">Topic extracts</t>
    </r>
  </si>
  <si>
    <r>
      <rPr>
        <b val="true"/>
        <sz val="10"/>
        <rFont val="Arial"/>
        <family val="0"/>
        <charset val="1"/>
      </rPr>
      <t xml:space="preserve">AI </t>
    </r>
    <r>
      <rPr>
        <b val="true"/>
        <sz val="10"/>
        <rFont val="Noto Sans CJK SC"/>
        <family val="2"/>
      </rPr>
      <t xml:space="preserve">複核筆數 </t>
    </r>
    <r>
      <rPr>
        <b val="true"/>
        <sz val="10"/>
        <rFont val="Arial"/>
        <family val="0"/>
        <charset val="1"/>
      </rPr>
      <t xml:space="preserve">AI-verified findings</t>
    </r>
  </si>
  <si>
    <r>
      <rPr>
        <b val="true"/>
        <sz val="11"/>
        <rFont val="Noto Sans CJK SC"/>
        <family val="2"/>
      </rPr>
      <t xml:space="preserve">方法論 </t>
    </r>
    <r>
      <rPr>
        <b val="true"/>
        <sz val="11"/>
        <rFont val="Arial"/>
        <family val="0"/>
        <charset val="1"/>
      </rPr>
      <t xml:space="preserve">Methodology</t>
    </r>
  </si>
  <si>
    <r>
      <rPr>
        <sz val="10"/>
        <rFont val="Arial"/>
        <family val="0"/>
        <charset val="1"/>
      </rPr>
      <t xml:space="preserve">1. </t>
    </r>
    <r>
      <rPr>
        <sz val="10"/>
        <rFont val="Noto Sans CJK SC"/>
        <family val="2"/>
      </rPr>
      <t xml:space="preserve">逐頁擷取文字</t>
    </r>
    <r>
      <rPr>
        <sz val="10"/>
        <rFont val="Arial"/>
        <family val="0"/>
        <charset val="1"/>
      </rPr>
      <t xml:space="preserve">,</t>
    </r>
    <r>
      <rPr>
        <sz val="10"/>
        <rFont val="Noto Sans CJK SC"/>
        <family val="2"/>
      </rPr>
      <t xml:space="preserve">全程保留 </t>
    </r>
    <r>
      <rPr>
        <sz val="10"/>
        <rFont val="Arial"/>
        <family val="0"/>
        <charset val="1"/>
      </rPr>
      <t xml:space="preserve">PDF </t>
    </r>
    <r>
      <rPr>
        <sz val="10"/>
        <rFont val="Noto Sans CJK SC"/>
        <family val="2"/>
      </rPr>
      <t xml:space="preserve">頁碼與年報印刷頁碼</t>
    </r>
    <r>
      <rPr>
        <sz val="10"/>
        <rFont val="Arial"/>
        <family val="0"/>
        <charset val="1"/>
      </rPr>
      <t xml:space="preserve">(</t>
    </r>
    <r>
      <rPr>
        <sz val="10"/>
        <rFont val="Noto Sans CJK SC"/>
        <family val="2"/>
      </rPr>
      <t xml:space="preserve">可追溯性</t>
    </r>
    <r>
      <rPr>
        <sz val="10"/>
        <rFont val="Arial"/>
        <family val="0"/>
        <charset val="1"/>
      </rPr>
      <t xml:space="preserve">)</t>
    </r>
    <r>
      <rPr>
        <sz val="10"/>
        <rFont val="Noto Sans CJK SC"/>
        <family val="2"/>
      </rPr>
      <t xml:space="preserve">。</t>
    </r>
  </si>
  <si>
    <r>
      <rPr>
        <sz val="10"/>
        <rFont val="Arial"/>
        <family val="0"/>
        <charset val="1"/>
      </rPr>
      <t xml:space="preserve">2. </t>
    </r>
    <r>
      <rPr>
        <sz val="10"/>
        <rFont val="Noto Sans CJK SC"/>
        <family val="2"/>
      </rPr>
      <t xml:space="preserve">規則層</t>
    </r>
    <r>
      <rPr>
        <sz val="10"/>
        <rFont val="Arial"/>
        <family val="0"/>
        <charset val="1"/>
      </rPr>
      <t xml:space="preserve">(</t>
    </r>
    <r>
      <rPr>
        <sz val="10"/>
        <rFont val="Noto Sans CJK SC"/>
        <family val="2"/>
      </rPr>
      <t xml:space="preserve">正則</t>
    </r>
    <r>
      <rPr>
        <sz val="10"/>
        <rFont val="Arial"/>
        <family val="0"/>
        <charset val="1"/>
      </rPr>
      <t xml:space="preserve">/</t>
    </r>
    <r>
      <rPr>
        <sz val="10"/>
        <rFont val="Noto Sans CJK SC"/>
        <family val="2"/>
      </rPr>
      <t xml:space="preserve">關鍵字</t>
    </r>
    <r>
      <rPr>
        <sz val="10"/>
        <rFont val="Arial"/>
        <family val="0"/>
        <charset val="1"/>
      </rPr>
      <t xml:space="preserve">)</t>
    </r>
    <r>
      <rPr>
        <sz val="10"/>
        <rFont val="Noto Sans CJK SC"/>
        <family val="2"/>
      </rPr>
      <t xml:space="preserve">先把全份文件縮減為少數相關頁面 —— 解決「文件太大」。</t>
    </r>
  </si>
  <si>
    <r>
      <rPr>
        <sz val="10"/>
        <rFont val="Arial"/>
        <family val="0"/>
        <charset val="1"/>
      </rPr>
      <t xml:space="preserve">3. </t>
    </r>
    <r>
      <rPr>
        <sz val="10"/>
        <rFont val="Noto Sans CJK SC"/>
        <family val="2"/>
      </rPr>
      <t xml:space="preserve">數字由正則精確擷取並做合理性檢查</t>
    </r>
    <r>
      <rPr>
        <sz val="10"/>
        <rFont val="Arial"/>
        <family val="0"/>
        <charset val="1"/>
      </rPr>
      <t xml:space="preserve">,</t>
    </r>
    <r>
      <rPr>
        <sz val="10"/>
        <rFont val="Noto Sans CJK SC"/>
        <family val="2"/>
      </rPr>
      <t xml:space="preserve">不由語言模型生成 —— 解決「準確度」。</t>
    </r>
  </si>
  <si>
    <r>
      <rPr>
        <sz val="10"/>
        <rFont val="Arial"/>
        <family val="0"/>
        <charset val="1"/>
      </rPr>
      <t xml:space="preserve">4. AI </t>
    </r>
    <r>
      <rPr>
        <sz val="10"/>
        <rFont val="Noto Sans CJK SC"/>
        <family val="2"/>
      </rPr>
      <t xml:space="preserve">僅在縮減後的頁面上做語意判斷</t>
    </r>
    <r>
      <rPr>
        <sz val="10"/>
        <rFont val="Arial"/>
        <family val="0"/>
        <charset val="1"/>
      </rPr>
      <t xml:space="preserve">,</t>
    </r>
    <r>
      <rPr>
        <sz val="10"/>
        <rFont val="Noto Sans CJK SC"/>
        <family val="2"/>
      </rPr>
      <t xml:space="preserve">且輸出頁碼須通過驗證才保留。</t>
    </r>
  </si>
  <si>
    <r>
      <rPr>
        <sz val="10"/>
        <rFont val="Arial"/>
        <family val="0"/>
        <charset val="1"/>
      </rPr>
      <t xml:space="preserve">5. </t>
    </r>
    <r>
      <rPr>
        <sz val="10"/>
        <rFont val="Noto Sans CJK SC"/>
        <family val="2"/>
      </rPr>
      <t xml:space="preserve">所有結果附來源頁碼</t>
    </r>
    <r>
      <rPr>
        <sz val="10"/>
        <rFont val="Arial"/>
        <family val="0"/>
        <charset val="1"/>
      </rPr>
      <t xml:space="preserve">,</t>
    </r>
    <r>
      <rPr>
        <sz val="10"/>
        <rFont val="Noto Sans CJK SC"/>
        <family val="2"/>
      </rPr>
      <t xml:space="preserve">供估值師覆核。信心度為 </t>
    </r>
    <r>
      <rPr>
        <sz val="10"/>
        <rFont val="Arial"/>
        <family val="0"/>
        <charset val="1"/>
      </rPr>
      <t xml:space="preserve">Low </t>
    </r>
    <r>
      <rPr>
        <sz val="10"/>
        <rFont val="Noto Sans CJK SC"/>
        <family val="2"/>
      </rPr>
      <t xml:space="preserve">者建議人手確認。</t>
    </r>
  </si>
  <si>
    <r>
      <rPr>
        <b val="true"/>
        <sz val="14"/>
        <color rgb="FF1F4E5F"/>
        <rFont val="Noto Sans CJK SC"/>
        <family val="2"/>
      </rPr>
      <t xml:space="preserve">估值參數 </t>
    </r>
    <r>
      <rPr>
        <b val="true"/>
        <sz val="14"/>
        <color rgb="FF1F4E5F"/>
        <rFont val="Arial"/>
        <family val="0"/>
        <charset val="1"/>
      </rPr>
      <t xml:space="preserve">Benchmark — </t>
    </r>
    <r>
      <rPr>
        <b val="true"/>
        <sz val="14"/>
        <color rgb="FF1F4E5F"/>
        <rFont val="Noto Sans CJK SC"/>
        <family val="2"/>
      </rPr>
      <t xml:space="preserve">可直接併入行內參數資料庫</t>
    </r>
  </si>
  <si>
    <r>
      <rPr>
        <i val="true"/>
        <sz val="9"/>
        <color rgb="FF808080"/>
        <rFont val="Noto Sans CJK SC"/>
        <family val="2"/>
      </rPr>
      <t xml:space="preserve">數字由正則式從原文精確擷取</t>
    </r>
    <r>
      <rPr>
        <i val="true"/>
        <sz val="9"/>
        <color rgb="FF808080"/>
        <rFont val="Arial"/>
        <family val="0"/>
        <charset val="1"/>
      </rPr>
      <t xml:space="preserve">,</t>
    </r>
    <r>
      <rPr>
        <i val="true"/>
        <sz val="9"/>
        <color rgb="FF808080"/>
        <rFont val="Noto Sans CJK SC"/>
        <family val="2"/>
      </rPr>
      <t xml:space="preserve">並經合理範圍檢查</t>
    </r>
    <r>
      <rPr>
        <i val="true"/>
        <sz val="9"/>
        <color rgb="FF808080"/>
        <rFont val="Arial"/>
        <family val="0"/>
        <charset val="1"/>
      </rPr>
      <t xml:space="preserve">;</t>
    </r>
    <r>
      <rPr>
        <i val="true"/>
        <sz val="9"/>
        <color rgb="FF808080"/>
        <rFont val="Noto Sans CJK SC"/>
        <family val="2"/>
      </rPr>
      <t xml:space="preserve">非由 </t>
    </r>
    <r>
      <rPr>
        <i val="true"/>
        <sz val="9"/>
        <color rgb="FF808080"/>
        <rFont val="Arial"/>
        <family val="0"/>
        <charset val="1"/>
      </rPr>
      <t xml:space="preserve">AI </t>
    </r>
    <r>
      <rPr>
        <i val="true"/>
        <sz val="9"/>
        <color rgb="FF808080"/>
        <rFont val="Noto Sans CJK SC"/>
        <family val="2"/>
      </rPr>
      <t xml:space="preserve">生成。</t>
    </r>
  </si>
  <si>
    <r>
      <rPr>
        <b val="true"/>
        <sz val="10"/>
        <color rgb="FFFFFFFF"/>
        <rFont val="Noto Sans CJK SC"/>
        <family val="2"/>
      </rPr>
      <t xml:space="preserve">參數 </t>
    </r>
    <r>
      <rPr>
        <b val="true"/>
        <sz val="10"/>
        <color rgb="FFFFFFFF"/>
        <rFont val="Arial"/>
        <family val="0"/>
        <charset val="1"/>
      </rPr>
      <t xml:space="preserve">Parameter</t>
    </r>
  </si>
  <si>
    <t xml:space="preserve">中文</t>
  </si>
  <si>
    <r>
      <rPr>
        <b val="true"/>
        <sz val="10"/>
        <color rgb="FFFFFFFF"/>
        <rFont val="Noto Sans CJK SC"/>
        <family val="2"/>
      </rPr>
      <t xml:space="preserve">下限 </t>
    </r>
    <r>
      <rPr>
        <b val="true"/>
        <sz val="10"/>
        <color rgb="FFFFFFFF"/>
        <rFont val="Arial"/>
        <family val="0"/>
        <charset val="1"/>
      </rPr>
      <t xml:space="preserve">Low (%)</t>
    </r>
  </si>
  <si>
    <r>
      <rPr>
        <b val="true"/>
        <sz val="10"/>
        <color rgb="FFFFFFFF"/>
        <rFont val="Noto Sans CJK SC"/>
        <family val="2"/>
      </rPr>
      <t xml:space="preserve">上限 </t>
    </r>
    <r>
      <rPr>
        <b val="true"/>
        <sz val="10"/>
        <color rgb="FFFFFFFF"/>
        <rFont val="Arial"/>
        <family val="0"/>
        <charset val="1"/>
      </rPr>
      <t xml:space="preserve">High (%)</t>
    </r>
  </si>
  <si>
    <t xml:space="preserve">原文數值</t>
  </si>
  <si>
    <t xml:space="preserve">信心度</t>
  </si>
  <si>
    <r>
      <rPr>
        <b val="true"/>
        <sz val="10"/>
        <color rgb="FFFFFFFF"/>
        <rFont val="Noto Sans CJK SC"/>
        <family val="2"/>
      </rPr>
      <t xml:space="preserve">來源頁 </t>
    </r>
    <r>
      <rPr>
        <b val="true"/>
        <sz val="10"/>
        <color rgb="FFFFFFFF"/>
        <rFont val="Arial"/>
        <family val="0"/>
        <charset val="1"/>
      </rPr>
      <t xml:space="preserve">Source Page</t>
    </r>
  </si>
  <si>
    <r>
      <rPr>
        <b val="true"/>
        <sz val="10"/>
        <color rgb="FFFFFFFF"/>
        <rFont val="Noto Sans CJK SC"/>
        <family val="2"/>
      </rPr>
      <t xml:space="preserve">上下文 </t>
    </r>
    <r>
      <rPr>
        <b val="true"/>
        <sz val="10"/>
        <color rgb="FFFFFFFF"/>
        <rFont val="Arial"/>
        <family val="0"/>
        <charset val="1"/>
      </rPr>
      <t xml:space="preserve">Context</t>
    </r>
  </si>
  <si>
    <t xml:space="preserve">Capitalisation Rate</t>
  </si>
  <si>
    <t xml:space="preserve">資本化率</t>
  </si>
  <si>
    <t xml:space="preserve">3.8%</t>
  </si>
  <si>
    <t xml:space="preserve">High</t>
  </si>
  <si>
    <r>
      <rPr>
        <sz val="10"/>
        <rFont val="Arial"/>
        <family val="0"/>
        <charset val="1"/>
      </rPr>
      <t xml:space="preserve">PDF p.11 (</t>
    </r>
    <r>
      <rPr>
        <sz val="10"/>
        <rFont val="Noto Sans CJK SC"/>
        <family val="2"/>
      </rPr>
      <t xml:space="preserve">印刷頁 </t>
    </r>
    <r>
      <rPr>
        <sz val="10"/>
        <rFont val="Arial"/>
        <family val="0"/>
        <charset val="1"/>
      </rPr>
      <t xml:space="preserve">64)</t>
    </r>
  </si>
  <si>
    <t xml:space="preserve">e valuation was arrived at using the income capitalisation approach, adopting a capitalisation rate of 3.8% (2023: 4.0%) for the retail portion and a capitalisation rate of 4.5% for the office portion. The fair value measurement is categorised within Level 3 </t>
  </si>
  <si>
    <t xml:space="preserve">4.5%</t>
  </si>
  <si>
    <t xml:space="preserve">dopting a capitalisation rate of 3.8% (2023: 4.0%) for the retail portion and a capitalisation rate of 4.5% for the office portion. The fair value measurement is categorised within Level 3 of the fair value hierarchy. Significant unobservable inputs include t</t>
  </si>
  <si>
    <t xml:space="preserve">Discount Rate</t>
  </si>
  <si>
    <t xml:space="preserve">折現率</t>
  </si>
  <si>
    <t xml:space="preserve">15.5%</t>
  </si>
  <si>
    <r>
      <rPr>
        <sz val="10"/>
        <rFont val="Arial"/>
        <family val="0"/>
        <charset val="1"/>
      </rPr>
      <t xml:space="preserve">PDF p.9 (</t>
    </r>
    <r>
      <rPr>
        <sz val="10"/>
        <rFont val="Noto Sans CJK SC"/>
        <family val="2"/>
      </rPr>
      <t xml:space="preserve">印刷頁 </t>
    </r>
    <r>
      <rPr>
        <sz val="10"/>
        <rFont val="Arial"/>
        <family val="0"/>
        <charset val="1"/>
      </rPr>
      <t xml:space="preserve">58)</t>
    </r>
  </si>
  <si>
    <t xml:space="preserve">the Manufacturing CGU is 13.2% (2023: 12.8%). For the Technology CGU, a pre-tax discount rate of 15.5% was applied. Cash flows beyond the five-year period are extrapolated using a terminal growth rate of 2.5%, which does not exceed the long-term average</t>
  </si>
  <si>
    <t xml:space="preserve">13.2%</t>
  </si>
  <si>
    <t xml:space="preserve">Medium</t>
  </si>
  <si>
    <t xml:space="preserve">low projections covering a five-year period approved by management. The pre-tax discount rate applied to the cash flow projections of the Manufacturing CGU is 13.2% (2023: 12.8%). For the Technology CGU, a pre-tax discount rate of 15.5% was applied. Cas</t>
  </si>
  <si>
    <t xml:space="preserve">14.0%</t>
  </si>
  <si>
    <r>
      <rPr>
        <sz val="10"/>
        <rFont val="Arial"/>
        <family val="0"/>
        <charset val="1"/>
      </rPr>
      <t xml:space="preserve">PDF p.10 (</t>
    </r>
    <r>
      <rPr>
        <sz val="10"/>
        <rFont val="Noto Sans CJK SC"/>
        <family val="2"/>
      </rPr>
      <t xml:space="preserve">印刷頁 </t>
    </r>
    <r>
      <rPr>
        <sz val="10"/>
        <rFont val="Arial"/>
        <family val="0"/>
        <charset val="1"/>
      </rPr>
      <t xml:space="preserve">61)</t>
    </r>
  </si>
  <si>
    <t xml:space="preserve">he recoverable amount was determined using the relief-fromroyalty method with a discount rate of 14.0% and a notional royalty rate of 3.0% of revenue. 61</t>
  </si>
  <si>
    <t xml:space="preserve">Expected Volatility</t>
  </si>
  <si>
    <t xml:space="preserve">預期波幅</t>
  </si>
  <si>
    <t xml:space="preserve">42.0%</t>
  </si>
  <si>
    <r>
      <rPr>
        <sz val="10"/>
        <rFont val="Arial"/>
        <family val="0"/>
        <charset val="1"/>
      </rPr>
      <t xml:space="preserve">PDF p.12 (</t>
    </r>
    <r>
      <rPr>
        <sz val="10"/>
        <rFont val="Noto Sans CJK SC"/>
        <family val="2"/>
      </rPr>
      <t xml:space="preserve">印刷頁 </t>
    </r>
    <r>
      <rPr>
        <sz val="10"/>
        <rFont val="Arial"/>
        <family val="0"/>
        <charset val="1"/>
      </rPr>
      <t xml:space="preserve">70)</t>
    </r>
  </si>
  <si>
    <t xml:space="preserve">he year was determined using the binomial model, with the following key inputs: Expected volatility of 42.0% Risk-free rate of 3.6% Expected dividend yield of 1.8% Expected option life of 6 years 30. RELATED PARTY TRANSACTIONS During the year the Group entere</t>
  </si>
  <si>
    <t xml:space="preserve">Gross Margin</t>
  </si>
  <si>
    <t xml:space="preserve">毛利率</t>
  </si>
  <si>
    <t xml:space="preserve">38.5%</t>
  </si>
  <si>
    <r>
      <rPr>
        <sz val="10"/>
        <rFont val="Arial"/>
        <family val="0"/>
        <charset val="1"/>
      </rPr>
      <t xml:space="preserve">PDF p.3 (</t>
    </r>
    <r>
      <rPr>
        <sz val="10"/>
        <rFont val="Noto Sans CJK SC"/>
        <family val="2"/>
      </rPr>
      <t xml:space="preserve">印刷頁 </t>
    </r>
    <r>
      <rPr>
        <sz val="10"/>
        <rFont val="Arial"/>
        <family val="0"/>
        <charset val="1"/>
      </rPr>
      <t xml:space="preserve">1)</t>
    </r>
  </si>
  <si>
    <t xml:space="preserve">of HK$1,284,500,000, representing an increase of 12.4% over the prior year. The gross profit margin was 38.5% (2023: 36.2%), driven by an improved product mix. The Company holds a 51% equity interest in Sample Technology Limited, which remains its principal o</t>
  </si>
  <si>
    <t xml:space="preserve">Risk-free Rate</t>
  </si>
  <si>
    <t xml:space="preserve">無風險利率</t>
  </si>
  <si>
    <t xml:space="preserve">3.6%</t>
  </si>
  <si>
    <t xml:space="preserve">the binomial model, with the following key inputs: Expected volatility of 42.0% Risk-free rate of 3.6% Expected dividend yield of 1.8% Expected option life of 6 years 30. RELATED PARTY TRANSACTIONS During the year the Group entered into connected transac</t>
  </si>
  <si>
    <t xml:space="preserve">Terminal Growth Rate</t>
  </si>
  <si>
    <t xml:space="preserve">永續增長率</t>
  </si>
  <si>
    <t xml:space="preserve">2.5%</t>
  </si>
  <si>
    <t xml:space="preserve">5% was applied. Cash flows beyond the five-year period are extrapolated using a terminal growth rate of 2.5%, which does not exceed the long-term average growth rate of the industry in which each CGU operates. The weighted average cost of capital used in </t>
  </si>
  <si>
    <t xml:space="preserve">WACC</t>
  </si>
  <si>
    <t xml:space="preserve">加權平均資本成本</t>
  </si>
  <si>
    <t xml:space="preserve">11.8%</t>
  </si>
  <si>
    <t xml:space="preserve">e long-term average growth rate of the industry in which each CGU operates. The weighted average cost of capital used in the assessment was 11.8%. Management determined that a reasonably possible change in the discount rate of 100 basis points would not result in an impai</t>
  </si>
  <si>
    <t xml:space="preserve">三大報表擷取結果</t>
  </si>
  <si>
    <r>
      <rPr>
        <i val="true"/>
        <sz val="9"/>
        <color rgb="FF808080"/>
        <rFont val="Noto Sans CJK SC"/>
        <family val="2"/>
      </rPr>
      <t xml:space="preserve">偵測到的年度欄位 — </t>
    </r>
    <r>
      <rPr>
        <i val="true"/>
        <sz val="9"/>
        <color rgb="FF808080"/>
        <rFont val="Arial"/>
        <family val="0"/>
        <charset val="1"/>
      </rPr>
      <t xml:space="preserve">Income Statement: 2024 / 2023; Balance Sheet: 2024 / 2023; Cash Flow: 2024 / 2023</t>
    </r>
  </si>
  <si>
    <r>
      <rPr>
        <b val="true"/>
        <sz val="10"/>
        <color rgb="FFFFFFFF"/>
        <rFont val="Noto Sans CJK SC"/>
        <family val="2"/>
      </rPr>
      <t xml:space="preserve">報表 </t>
    </r>
    <r>
      <rPr>
        <b val="true"/>
        <sz val="10"/>
        <color rgb="FFFFFFFF"/>
        <rFont val="Arial"/>
        <family val="0"/>
        <charset val="1"/>
      </rPr>
      <t xml:space="preserve">Statement</t>
    </r>
  </si>
  <si>
    <r>
      <rPr>
        <b val="true"/>
        <sz val="10"/>
        <color rgb="FFFFFFFF"/>
        <rFont val="Noto Sans CJK SC"/>
        <family val="2"/>
      </rPr>
      <t xml:space="preserve">科目 </t>
    </r>
    <r>
      <rPr>
        <b val="true"/>
        <sz val="10"/>
        <color rgb="FFFFFFFF"/>
        <rFont val="Arial"/>
        <family val="0"/>
        <charset val="1"/>
      </rPr>
      <t xml:space="preserve">Item</t>
    </r>
  </si>
  <si>
    <r>
      <rPr>
        <b val="true"/>
        <sz val="10"/>
        <color rgb="FFFFFFFF"/>
        <rFont val="Noto Sans CJK SC"/>
        <family val="2"/>
      </rPr>
      <t xml:space="preserve">本年 </t>
    </r>
    <r>
      <rPr>
        <b val="true"/>
        <sz val="10"/>
        <color rgb="FFFFFFFF"/>
        <rFont val="Arial"/>
        <family val="0"/>
        <charset val="1"/>
      </rPr>
      <t xml:space="preserve">Current</t>
    </r>
  </si>
  <si>
    <r>
      <rPr>
        <b val="true"/>
        <sz val="10"/>
        <color rgb="FFFFFFFF"/>
        <rFont val="Noto Sans CJK SC"/>
        <family val="2"/>
      </rPr>
      <t xml:space="preserve">上年 </t>
    </r>
    <r>
      <rPr>
        <b val="true"/>
        <sz val="10"/>
        <color rgb="FFFFFFFF"/>
        <rFont val="Arial"/>
        <family val="0"/>
        <charset val="1"/>
      </rPr>
      <t xml:space="preserve">Prior</t>
    </r>
  </si>
  <si>
    <r>
      <rPr>
        <b val="true"/>
        <sz val="10"/>
        <color rgb="FFFFFFFF"/>
        <rFont val="Noto Sans CJK SC"/>
        <family val="2"/>
      </rPr>
      <t xml:space="preserve">變動 </t>
    </r>
    <r>
      <rPr>
        <b val="true"/>
        <sz val="10"/>
        <color rgb="FFFFFFFF"/>
        <rFont val="Arial"/>
        <family val="0"/>
        <charset val="1"/>
      </rPr>
      <t xml:space="preserve">YoY %</t>
    </r>
  </si>
  <si>
    <t xml:space="preserve">來源頁</t>
  </si>
  <si>
    <r>
      <rPr>
        <b val="true"/>
        <sz val="10"/>
        <color rgb="FFFFFFFF"/>
        <rFont val="Noto Sans CJK SC"/>
        <family val="2"/>
      </rPr>
      <t xml:space="preserve">原文行 </t>
    </r>
    <r>
      <rPr>
        <b val="true"/>
        <sz val="10"/>
        <color rgb="FFFFFFFF"/>
        <rFont val="Arial"/>
        <family val="0"/>
        <charset val="1"/>
      </rPr>
      <t xml:space="preserve">Source line</t>
    </r>
  </si>
  <si>
    <t xml:space="preserve">Income Statement</t>
  </si>
  <si>
    <t xml:space="preserve">Revenue</t>
  </si>
  <si>
    <r>
      <rPr>
        <sz val="10"/>
        <rFont val="Arial"/>
        <family val="0"/>
        <charset val="1"/>
      </rPr>
      <t xml:space="preserve">PDF p.6 (</t>
    </r>
    <r>
      <rPr>
        <sz val="10"/>
        <rFont val="Noto Sans CJK SC"/>
        <family val="2"/>
      </rPr>
      <t xml:space="preserve">印刷頁 </t>
    </r>
    <r>
      <rPr>
        <sz val="10"/>
        <rFont val="Arial"/>
        <family val="0"/>
        <charset val="1"/>
      </rPr>
      <t xml:space="preserve">20)</t>
    </r>
  </si>
  <si>
    <t xml:space="preserve">Revenue 5 1,284,500 1,142,800</t>
  </si>
  <si>
    <t xml:space="preserve">Cost of Sales</t>
  </si>
  <si>
    <t xml:space="preserve">Cost of sales (789,967) (729,105)</t>
  </si>
  <si>
    <t xml:space="preserve">Gross Profit</t>
  </si>
  <si>
    <t xml:space="preserve">Gross profit 494,533 413,695</t>
  </si>
  <si>
    <t xml:space="preserve">R&amp;D Expenses</t>
  </si>
  <si>
    <t xml:space="preserve">Research and development expenses 7 (96,340) (78,110)</t>
  </si>
  <si>
    <t xml:space="preserve">Operating Profit</t>
  </si>
  <si>
    <t xml:space="preserve">Operating profit 85,183 51,905</t>
  </si>
  <si>
    <t xml:space="preserve">Finance Costs</t>
  </si>
  <si>
    <t xml:space="preserve">Finance costs 8 (18,940) (21,330)</t>
  </si>
  <si>
    <t xml:space="preserve">Profit Before Tax</t>
  </si>
  <si>
    <t xml:space="preserve">Profit before tax 66,243 30,575</t>
  </si>
  <si>
    <t xml:space="preserve">Income Tax</t>
  </si>
  <si>
    <t xml:space="preserve">Income tax expense 9 (14,120) (6,880)</t>
  </si>
  <si>
    <t xml:space="preserve">Profit for the Year</t>
  </si>
  <si>
    <t xml:space="preserve">Profit for the year 52,123 23,695</t>
  </si>
  <si>
    <t xml:space="preserve">Depreciation</t>
  </si>
  <si>
    <t xml:space="preserve">Depreciation 64,210 58,940</t>
  </si>
  <si>
    <t xml:space="preserve">Amortisation</t>
  </si>
  <si>
    <t xml:space="preserve">Amortisation 19,880 16,220</t>
  </si>
  <si>
    <t xml:space="preserve">Balance Sheet</t>
  </si>
  <si>
    <t xml:space="preserve">Property Plant and Equipment</t>
  </si>
  <si>
    <r>
      <rPr>
        <sz val="10"/>
        <rFont val="Arial"/>
        <family val="0"/>
        <charset val="1"/>
      </rPr>
      <t xml:space="preserve">PDF p.7 (</t>
    </r>
    <r>
      <rPr>
        <sz val="10"/>
        <rFont val="Noto Sans CJK SC"/>
        <family val="2"/>
      </rPr>
      <t xml:space="preserve">印刷頁 </t>
    </r>
    <r>
      <rPr>
        <sz val="10"/>
        <rFont val="Arial"/>
        <family val="0"/>
        <charset val="1"/>
      </rPr>
      <t xml:space="preserve">22)</t>
    </r>
  </si>
  <si>
    <t xml:space="preserve">Property, plant and equipment 12 618,440 591,220</t>
  </si>
  <si>
    <t xml:space="preserve">Investment Properties</t>
  </si>
  <si>
    <t xml:space="preserve">Investment properties 13 284,000 262,000</t>
  </si>
  <si>
    <t xml:space="preserve">Goodwill</t>
  </si>
  <si>
    <t xml:space="preserve">Goodwill 14 196,750 196,750</t>
  </si>
  <si>
    <t xml:space="preserve">Intangible Assets</t>
  </si>
  <si>
    <t xml:space="preserve">Intangible assets 15 142,880 131,400</t>
  </si>
  <si>
    <t xml:space="preserve">Inventories</t>
  </si>
  <si>
    <t xml:space="preserve">Inventories 16 218,340 241,880</t>
  </si>
  <si>
    <t xml:space="preserve">Trade Receivables</t>
  </si>
  <si>
    <t xml:space="preserve">Trade and other receivables 17 312,660 288,420</t>
  </si>
  <si>
    <t xml:space="preserve">Cash and Equivalents</t>
  </si>
  <si>
    <t xml:space="preserve">Cash and cash equivalents 18 184,920 142,310</t>
  </si>
  <si>
    <t xml:space="preserve">Total Current Assets</t>
  </si>
  <si>
    <t xml:space="preserve">Total current assets 715,920 672,610</t>
  </si>
  <si>
    <t xml:space="preserve">Total Assets</t>
  </si>
  <si>
    <t xml:space="preserve">Total assets 1,957,990 1,853,980</t>
  </si>
  <si>
    <t xml:space="preserve">Borrowings</t>
  </si>
  <si>
    <t xml:space="preserve">Bank borrowings 20 196,000 224,000</t>
  </si>
  <si>
    <t xml:space="preserve">Total Current Liabilities</t>
  </si>
  <si>
    <t xml:space="preserve">Total current liabilities 444,110 486,440</t>
  </si>
  <si>
    <t xml:space="preserve">Total Liabilities</t>
  </si>
  <si>
    <t xml:space="preserve">Total liabilities 812,660 889,220</t>
  </si>
  <si>
    <t xml:space="preserve">Total Equity</t>
  </si>
  <si>
    <t xml:space="preserve">Total equity 1,145,330 964,760</t>
  </si>
  <si>
    <t xml:space="preserve">Cash Flow</t>
  </si>
  <si>
    <t xml:space="preserve">Operating Cash Flow</t>
  </si>
  <si>
    <r>
      <rPr>
        <sz val="10"/>
        <rFont val="Arial"/>
        <family val="0"/>
        <charset val="1"/>
      </rPr>
      <t xml:space="preserve">PDF p.8 (</t>
    </r>
    <r>
      <rPr>
        <sz val="10"/>
        <rFont val="Noto Sans CJK SC"/>
        <family val="2"/>
      </rPr>
      <t xml:space="preserve">印刷頁 </t>
    </r>
    <r>
      <rPr>
        <sz val="10"/>
        <rFont val="Arial"/>
        <family val="0"/>
        <charset val="1"/>
      </rPr>
      <t xml:space="preserve">24)</t>
    </r>
  </si>
  <si>
    <t xml:space="preserve">Net cash generated from operating activities 168,420 121,880</t>
  </si>
  <si>
    <t xml:space="preserve">Capital Expenditure</t>
  </si>
  <si>
    <t xml:space="preserve">Purchase of property, plant and equipment (91,340) (84,220)</t>
  </si>
  <si>
    <t xml:space="preserve">Investing Cash Flow</t>
  </si>
  <si>
    <t xml:space="preserve">Net cash used in investing activities (113,760) (102,540)</t>
  </si>
  <si>
    <t xml:space="preserve">Financing Cash Flow</t>
  </si>
  <si>
    <t xml:space="preserve">Net cash used in financing activities (12,050) (34,610)</t>
  </si>
  <si>
    <r>
      <rPr>
        <i val="true"/>
        <sz val="9"/>
        <color rgb="FF808080"/>
        <rFont val="Noto Sans CJK SC"/>
        <family val="2"/>
      </rPr>
      <t xml:space="preserve">藍色 </t>
    </r>
    <r>
      <rPr>
        <i val="true"/>
        <sz val="9"/>
        <color rgb="FF808080"/>
        <rFont val="Arial"/>
        <family val="0"/>
        <charset val="1"/>
      </rPr>
      <t xml:space="preserve">= </t>
    </r>
    <r>
      <rPr>
        <i val="true"/>
        <sz val="9"/>
        <color rgb="FF808080"/>
        <rFont val="Noto Sans CJK SC"/>
        <family val="2"/>
      </rPr>
      <t xml:space="preserve">從 </t>
    </r>
    <r>
      <rPr>
        <i val="true"/>
        <sz val="9"/>
        <color rgb="FF808080"/>
        <rFont val="Arial"/>
        <family val="0"/>
        <charset val="1"/>
      </rPr>
      <t xml:space="preserve">PDF </t>
    </r>
    <r>
      <rPr>
        <i val="true"/>
        <sz val="9"/>
        <color rgb="FF808080"/>
        <rFont val="Noto Sans CJK SC"/>
        <family val="2"/>
      </rPr>
      <t xml:space="preserve">原文擷取的數值</t>
    </r>
    <r>
      <rPr>
        <i val="true"/>
        <sz val="9"/>
        <color rgb="FF808080"/>
        <rFont val="Arial"/>
        <family val="0"/>
        <charset val="1"/>
      </rPr>
      <t xml:space="preserve">(</t>
    </r>
    <r>
      <rPr>
        <i val="true"/>
        <sz val="9"/>
        <color rgb="FF808080"/>
        <rFont val="Noto Sans CJK SC"/>
        <family val="2"/>
      </rPr>
      <t xml:space="preserve">硬輸入</t>
    </r>
    <r>
      <rPr>
        <i val="true"/>
        <sz val="9"/>
        <color rgb="FF808080"/>
        <rFont val="Arial"/>
        <family val="0"/>
        <charset val="1"/>
      </rPr>
      <t xml:space="preserve">);</t>
    </r>
    <r>
      <rPr>
        <i val="true"/>
        <sz val="9"/>
        <color rgb="FF808080"/>
        <rFont val="Noto Sans CJK SC"/>
        <family val="2"/>
      </rPr>
      <t xml:space="preserve">黑色 </t>
    </r>
    <r>
      <rPr>
        <i val="true"/>
        <sz val="9"/>
        <color rgb="FF808080"/>
        <rFont val="Arial"/>
        <family val="0"/>
        <charset val="1"/>
      </rPr>
      <t xml:space="preserve">= </t>
    </r>
    <r>
      <rPr>
        <i val="true"/>
        <sz val="9"/>
        <color rgb="FF808080"/>
        <rFont val="Noto Sans CJK SC"/>
        <family val="2"/>
      </rPr>
      <t xml:space="preserve">公式計算。單位依原報表所示</t>
    </r>
    <r>
      <rPr>
        <i val="true"/>
        <sz val="9"/>
        <color rgb="FF808080"/>
        <rFont val="Arial"/>
        <family val="0"/>
        <charset val="1"/>
      </rPr>
      <t xml:space="preserve">(</t>
    </r>
    <r>
      <rPr>
        <i val="true"/>
        <sz val="9"/>
        <color rgb="FF808080"/>
        <rFont val="Noto Sans CJK SC"/>
        <family val="2"/>
      </rPr>
      <t xml:space="preserve">通常為千元或百萬元</t>
    </r>
    <r>
      <rPr>
        <i val="true"/>
        <sz val="9"/>
        <color rgb="FF808080"/>
        <rFont val="Arial"/>
        <family val="0"/>
        <charset val="1"/>
      </rPr>
      <t xml:space="preserve">),</t>
    </r>
    <r>
      <rPr>
        <i val="true"/>
        <sz val="9"/>
        <color rgb="FF808080"/>
        <rFont val="Noto Sans CJK SC"/>
        <family val="2"/>
      </rPr>
      <t xml:space="preserve">請對照來源頁確認。</t>
    </r>
  </si>
  <si>
    <r>
      <rPr>
        <b val="true"/>
        <sz val="14"/>
        <color rgb="FF1F4E5F"/>
        <rFont val="Noto Sans CJK SC"/>
        <family val="2"/>
      </rPr>
      <t xml:space="preserve">衍生比率 — 全部以公式連結至 </t>
    </r>
    <r>
      <rPr>
        <b val="true"/>
        <sz val="14"/>
        <color rgb="FF1F4E5F"/>
        <rFont val="Arial"/>
        <family val="0"/>
        <charset val="1"/>
      </rPr>
      <t xml:space="preserve">Financials </t>
    </r>
    <r>
      <rPr>
        <b val="true"/>
        <sz val="14"/>
        <color rgb="FF1F4E5F"/>
        <rFont val="Noto Sans CJK SC"/>
        <family val="2"/>
      </rPr>
      <t xml:space="preserve">分頁</t>
    </r>
  </si>
  <si>
    <r>
      <rPr>
        <i val="true"/>
        <sz val="9"/>
        <color rgb="FF808080"/>
        <rFont val="Noto Sans CJK SC"/>
        <family val="2"/>
      </rPr>
      <t xml:space="preserve">改動 </t>
    </r>
    <r>
      <rPr>
        <i val="true"/>
        <sz val="9"/>
        <color rgb="FF808080"/>
        <rFont val="Arial"/>
        <family val="0"/>
        <charset val="1"/>
      </rPr>
      <t xml:space="preserve">Financials </t>
    </r>
    <r>
      <rPr>
        <i val="true"/>
        <sz val="9"/>
        <color rgb="FF808080"/>
        <rFont val="Noto Sans CJK SC"/>
        <family val="2"/>
      </rPr>
      <t xml:space="preserve">分頁的數字</t>
    </r>
    <r>
      <rPr>
        <i val="true"/>
        <sz val="9"/>
        <color rgb="FF808080"/>
        <rFont val="Arial"/>
        <family val="0"/>
        <charset val="1"/>
      </rPr>
      <t xml:space="preserve">,</t>
    </r>
    <r>
      <rPr>
        <i val="true"/>
        <sz val="9"/>
        <color rgb="FF808080"/>
        <rFont val="Noto Sans CJK SC"/>
        <family val="2"/>
      </rPr>
      <t xml:space="preserve">本頁會自動重算。</t>
    </r>
  </si>
  <si>
    <r>
      <rPr>
        <b val="true"/>
        <sz val="10"/>
        <color rgb="FFFFFFFF"/>
        <rFont val="Noto Sans CJK SC"/>
        <family val="2"/>
      </rPr>
      <t xml:space="preserve">比率 </t>
    </r>
    <r>
      <rPr>
        <b val="true"/>
        <sz val="10"/>
        <color rgb="FFFFFFFF"/>
        <rFont val="Arial"/>
        <family val="0"/>
        <charset val="1"/>
      </rPr>
      <t xml:space="preserve">Ratio</t>
    </r>
  </si>
  <si>
    <t xml:space="preserve">說明</t>
  </si>
  <si>
    <r>
      <rPr>
        <sz val="10"/>
        <rFont val="Arial"/>
        <family val="0"/>
        <charset val="1"/>
      </rPr>
      <t xml:space="preserve">Gross Margin </t>
    </r>
    <r>
      <rPr>
        <sz val="10"/>
        <rFont val="Noto Sans CJK SC"/>
        <family val="2"/>
      </rPr>
      <t xml:space="preserve">毛利率</t>
    </r>
  </si>
  <si>
    <r>
      <rPr>
        <i val="true"/>
        <sz val="9"/>
        <color rgb="FF808080"/>
        <rFont val="Noto Sans CJK SC"/>
        <family val="2"/>
      </rPr>
      <t xml:space="preserve">毛利 </t>
    </r>
    <r>
      <rPr>
        <i val="true"/>
        <sz val="9"/>
        <color rgb="FF808080"/>
        <rFont val="Arial"/>
        <family val="0"/>
        <charset val="1"/>
      </rPr>
      <t xml:space="preserve">÷ </t>
    </r>
    <r>
      <rPr>
        <i val="true"/>
        <sz val="9"/>
        <color rgb="FF808080"/>
        <rFont val="Noto Sans CJK SC"/>
        <family val="2"/>
      </rPr>
      <t xml:space="preserve">收入</t>
    </r>
  </si>
  <si>
    <r>
      <rPr>
        <sz val="10"/>
        <rFont val="Arial"/>
        <family val="0"/>
        <charset val="1"/>
      </rPr>
      <t xml:space="preserve">Net Margin </t>
    </r>
    <r>
      <rPr>
        <sz val="10"/>
        <rFont val="Noto Sans CJK SC"/>
        <family val="2"/>
      </rPr>
      <t xml:space="preserve">淨利率</t>
    </r>
  </si>
  <si>
    <r>
      <rPr>
        <i val="true"/>
        <sz val="9"/>
        <color rgb="FF808080"/>
        <rFont val="Noto Sans CJK SC"/>
        <family val="2"/>
      </rPr>
      <t xml:space="preserve">年內溢利 </t>
    </r>
    <r>
      <rPr>
        <i val="true"/>
        <sz val="9"/>
        <color rgb="FF808080"/>
        <rFont val="Arial"/>
        <family val="0"/>
        <charset val="1"/>
      </rPr>
      <t xml:space="preserve">÷ </t>
    </r>
    <r>
      <rPr>
        <i val="true"/>
        <sz val="9"/>
        <color rgb="FF808080"/>
        <rFont val="Noto Sans CJK SC"/>
        <family val="2"/>
      </rPr>
      <t xml:space="preserve">收入</t>
    </r>
  </si>
  <si>
    <r>
      <rPr>
        <sz val="10"/>
        <rFont val="Arial"/>
        <family val="0"/>
        <charset val="1"/>
      </rPr>
      <t xml:space="preserve">Current Ratio </t>
    </r>
    <r>
      <rPr>
        <sz val="10"/>
        <rFont val="Noto Sans CJK SC"/>
        <family val="2"/>
      </rPr>
      <t xml:space="preserve">流動比率</t>
    </r>
  </si>
  <si>
    <r>
      <rPr>
        <i val="true"/>
        <sz val="9"/>
        <color rgb="FF808080"/>
        <rFont val="Noto Sans CJK SC"/>
        <family val="2"/>
      </rPr>
      <t xml:space="preserve">流動資產 </t>
    </r>
    <r>
      <rPr>
        <i val="true"/>
        <sz val="9"/>
        <color rgb="FF808080"/>
        <rFont val="Arial"/>
        <family val="0"/>
        <charset val="1"/>
      </rPr>
      <t xml:space="preserve">÷ </t>
    </r>
    <r>
      <rPr>
        <i val="true"/>
        <sz val="9"/>
        <color rgb="FF808080"/>
        <rFont val="Noto Sans CJK SC"/>
        <family val="2"/>
      </rPr>
      <t xml:space="preserve">流動負債</t>
    </r>
  </si>
  <si>
    <r>
      <rPr>
        <sz val="10"/>
        <rFont val="Arial"/>
        <family val="0"/>
        <charset val="1"/>
      </rPr>
      <t xml:space="preserve">Debt / Equity </t>
    </r>
    <r>
      <rPr>
        <sz val="10"/>
        <rFont val="Noto Sans CJK SC"/>
        <family val="2"/>
      </rPr>
      <t xml:space="preserve">負債權益比</t>
    </r>
  </si>
  <si>
    <r>
      <rPr>
        <i val="true"/>
        <sz val="9"/>
        <color rgb="FF808080"/>
        <rFont val="Noto Sans CJK SC"/>
        <family val="2"/>
      </rPr>
      <t xml:space="preserve">總負債 </t>
    </r>
    <r>
      <rPr>
        <i val="true"/>
        <sz val="9"/>
        <color rgb="FF808080"/>
        <rFont val="Arial"/>
        <family val="0"/>
        <charset val="1"/>
      </rPr>
      <t xml:space="preserve">÷ </t>
    </r>
    <r>
      <rPr>
        <i val="true"/>
        <sz val="9"/>
        <color rgb="FF808080"/>
        <rFont val="Noto Sans CJK SC"/>
        <family val="2"/>
      </rPr>
      <t xml:space="preserve">總權益</t>
    </r>
  </si>
  <si>
    <t xml:space="preserve">Goodwill / Total Assets</t>
  </si>
  <si>
    <t xml:space="preserve">商譽佔總資產比重 — 減值風險指標</t>
  </si>
  <si>
    <t xml:space="preserve">Intangibles / Total Assets</t>
  </si>
  <si>
    <t xml:space="preserve">無形資產佔比</t>
  </si>
  <si>
    <r>
      <rPr>
        <sz val="10"/>
        <rFont val="Arial"/>
        <family val="0"/>
        <charset val="1"/>
      </rPr>
      <t xml:space="preserve">ROE </t>
    </r>
    <r>
      <rPr>
        <sz val="10"/>
        <rFont val="Noto Sans CJK SC"/>
        <family val="2"/>
      </rPr>
      <t xml:space="preserve">股本回報率</t>
    </r>
  </si>
  <si>
    <r>
      <rPr>
        <i val="true"/>
        <sz val="9"/>
        <color rgb="FF808080"/>
        <rFont val="Noto Sans CJK SC"/>
        <family val="2"/>
      </rPr>
      <t xml:space="preserve">年內溢利 </t>
    </r>
    <r>
      <rPr>
        <i val="true"/>
        <sz val="9"/>
        <color rgb="FF808080"/>
        <rFont val="Arial"/>
        <family val="0"/>
        <charset val="1"/>
      </rPr>
      <t xml:space="preserve">÷ </t>
    </r>
    <r>
      <rPr>
        <i val="true"/>
        <sz val="9"/>
        <color rgb="FF808080"/>
        <rFont val="Noto Sans CJK SC"/>
        <family val="2"/>
      </rPr>
      <t xml:space="preserve">總權益</t>
    </r>
  </si>
  <si>
    <r>
      <rPr>
        <i val="true"/>
        <sz val="9"/>
        <color rgb="FF808080"/>
        <rFont val="Noto Sans CJK SC"/>
        <family val="2"/>
      </rPr>
      <t xml:space="preserve">顯示 </t>
    </r>
    <r>
      <rPr>
        <i val="true"/>
        <sz val="9"/>
        <color rgb="FF808080"/>
        <rFont val="Arial"/>
        <family val="0"/>
        <charset val="1"/>
      </rPr>
      <t xml:space="preserve">"n/a" </t>
    </r>
    <r>
      <rPr>
        <i val="true"/>
        <sz val="9"/>
        <color rgb="FF808080"/>
        <rFont val="Noto Sans CJK SC"/>
        <family val="2"/>
      </rPr>
      <t xml:space="preserve">表示該科目未在文件中成功擷取</t>
    </r>
    <r>
      <rPr>
        <i val="true"/>
        <sz val="9"/>
        <color rgb="FF808080"/>
        <rFont val="Arial"/>
        <family val="0"/>
        <charset val="1"/>
      </rPr>
      <t xml:space="preserve">,</t>
    </r>
    <r>
      <rPr>
        <i val="true"/>
        <sz val="9"/>
        <color rgb="FF808080"/>
        <rFont val="Noto Sans CJK SC"/>
        <family val="2"/>
      </rPr>
      <t xml:space="preserve">需人手補入。</t>
    </r>
  </si>
  <si>
    <r>
      <rPr>
        <b val="true"/>
        <sz val="14"/>
        <color rgb="FF1F4E5F"/>
        <rFont val="Noto Sans CJK SC"/>
        <family val="2"/>
      </rPr>
      <t xml:space="preserve">本年 </t>
    </r>
    <r>
      <rPr>
        <b val="true"/>
        <sz val="14"/>
        <color rgb="FF1F4E5F"/>
        <rFont val="Arial"/>
        <family val="0"/>
        <charset val="1"/>
      </rPr>
      <t xml:space="preserve">vs </t>
    </r>
    <r>
      <rPr>
        <b val="true"/>
        <sz val="14"/>
        <color rgb="FF1F4E5F"/>
        <rFont val="Noto Sans CJK SC"/>
        <family val="2"/>
      </rPr>
      <t xml:space="preserve">上年 — 主要科目比較</t>
    </r>
  </si>
  <si>
    <r>
      <rPr>
        <i val="true"/>
        <sz val="9"/>
        <color rgb="FF808080"/>
        <rFont val="Noto Sans CJK SC"/>
        <family val="2"/>
      </rPr>
      <t xml:space="preserve">港交所主板及 </t>
    </r>
    <r>
      <rPr>
        <i val="true"/>
        <sz val="9"/>
        <color rgb="FF808080"/>
        <rFont val="Arial"/>
        <family val="0"/>
        <charset val="1"/>
      </rPr>
      <t xml:space="preserve">GEM </t>
    </r>
    <r>
      <rPr>
        <i val="true"/>
        <sz val="9"/>
        <color rgb="FF808080"/>
        <rFont val="Noto Sans CJK SC"/>
        <family val="2"/>
      </rPr>
      <t xml:space="preserve">自 </t>
    </r>
    <r>
      <rPr>
        <i val="true"/>
        <sz val="9"/>
        <color rgb="FF808080"/>
        <rFont val="Arial"/>
        <family val="0"/>
        <charset val="1"/>
      </rPr>
      <t xml:space="preserve">2024 </t>
    </r>
    <r>
      <rPr>
        <i val="true"/>
        <sz val="9"/>
        <color rgb="FF808080"/>
        <rFont val="Noto Sans CJK SC"/>
        <family val="2"/>
      </rPr>
      <t xml:space="preserve">年起均無強制季度報告</t>
    </r>
    <r>
      <rPr>
        <i val="true"/>
        <sz val="9"/>
        <color rgb="FF808080"/>
        <rFont val="Arial"/>
        <family val="0"/>
        <charset val="1"/>
      </rPr>
      <t xml:space="preserve">,</t>
    </r>
    <r>
      <rPr>
        <i val="true"/>
        <sz val="9"/>
        <color rgb="FF808080"/>
        <rFont val="Noto Sans CJK SC"/>
        <family val="2"/>
      </rPr>
      <t xml:space="preserve">故以年度 </t>
    </r>
    <r>
      <rPr>
        <i val="true"/>
        <sz val="9"/>
        <color rgb="FF808080"/>
        <rFont val="Arial"/>
        <family val="0"/>
        <charset val="1"/>
      </rPr>
      <t xml:space="preserve">/ </t>
    </r>
    <r>
      <rPr>
        <i val="true"/>
        <sz val="9"/>
        <color rgb="FF808080"/>
        <rFont val="Noto Sans CJK SC"/>
        <family val="2"/>
      </rPr>
      <t xml:space="preserve">中期數據作趨勢比較較符合披露實況。</t>
    </r>
  </si>
  <si>
    <t xml:space="preserve">Item</t>
  </si>
  <si>
    <t xml:space="preserve">Prior</t>
  </si>
  <si>
    <t xml:space="preserve">Current</t>
  </si>
  <si>
    <t xml:space="preserve">主題式段落擷取 — 供估值師快速定位原文</t>
  </si>
  <si>
    <r>
      <rPr>
        <b val="true"/>
        <sz val="10"/>
        <color rgb="FFFFFFFF"/>
        <rFont val="Noto Sans CJK SC"/>
        <family val="2"/>
      </rPr>
      <t xml:space="preserve">主題 </t>
    </r>
    <r>
      <rPr>
        <b val="true"/>
        <sz val="10"/>
        <color rgb="FFFFFFFF"/>
        <rFont val="Arial"/>
        <family val="0"/>
        <charset val="1"/>
      </rPr>
      <t xml:space="preserve">Topic</t>
    </r>
  </si>
  <si>
    <t xml:space="preserve">優先</t>
  </si>
  <si>
    <t xml:space="preserve">命中詞</t>
  </si>
  <si>
    <r>
      <rPr>
        <b val="true"/>
        <sz val="10"/>
        <color rgb="FFFFFFFF"/>
        <rFont val="Noto Sans CJK SC"/>
        <family val="2"/>
      </rPr>
      <t xml:space="preserve">段落 </t>
    </r>
    <r>
      <rPr>
        <b val="true"/>
        <sz val="10"/>
        <color rgb="FFFFFFFF"/>
        <rFont val="Arial"/>
        <family val="0"/>
        <charset val="1"/>
      </rPr>
      <t xml:space="preserve">Snippet</t>
    </r>
  </si>
  <si>
    <t xml:space="preserve">Fair Value Measurement</t>
  </si>
  <si>
    <t xml:space="preserve">公允價值計量</t>
  </si>
  <si>
    <t xml:space="preserve">high</t>
  </si>
  <si>
    <t xml:space="preserve">level 3</t>
  </si>
  <si>
    <t xml:space="preserve">%) for the retail portion and a capitalisation rate of 4.5% for the office portion. The fair value measurement is categorised within Level 3 of the fair value hierarchy. Significant unobservable inputs include the market rent of HK$52 per square foot per month and the capitalisation rate. The total gross floor area of the investment properties is 128,400 square feet. 64</t>
  </si>
  <si>
    <t xml:space="preserve">Impairment Testing</t>
  </si>
  <si>
    <t xml:space="preserve">減值測試</t>
  </si>
  <si>
    <t xml:space="preserve">impairment test</t>
  </si>
  <si>
    <t xml:space="preserve">L STATEMENTS 14. GOODWILL Goodwill acquired through business combinations has been allocated to two cash-generating units (CGUs) for impairment testing. The recoverable amount of each CGU has been determined based on a value in use calculation using cash flow projections covering a five-year period approved by management. The pre-tax discount rate applied to the cash flow projections of the Manufacturing CGU is 13.2% (2023: 12.8%). For the Technology CGU, a pre-tax discount rate of 15.5% was applied. Cash flows beyond the five-</t>
  </si>
  <si>
    <t xml:space="preserve">recoverable amount</t>
  </si>
  <si>
    <t xml:space="preserve">pment costs 5 years Trademarks Indefinite useful life Trademarks with indefinite useful life are tested for impairment annually. The recoverable amount was determined using the relief-fromroyalty method with a discount rate of 14.0% and a notional royalty rate of 3.0% of revenue. 61</t>
  </si>
  <si>
    <t xml:space="preserve">Intangible Assets &amp; Goodwill</t>
  </si>
  <si>
    <t xml:space="preserve">無形資產及商譽</t>
  </si>
  <si>
    <t xml:space="preserve">intangible asset</t>
  </si>
  <si>
    <t xml:space="preserve">HK$96,340,000 (2023: HK$78,110,000), representing 7.5% of revenue. Capitalised development costs of HK$22,400,000 were recognised as intangible assets during the year. 1</t>
  </si>
  <si>
    <t xml:space="preserve">amortisation</t>
  </si>
  <si>
    <t xml:space="preserve">) Profit before tax 66,243 30,575 Income tax expense 9 (14,120) (6,880) Profit for the year 52,123 23,695 Depreciation 64,210 58,940 Amortisation 19,880 16,220 20</t>
  </si>
  <si>
    <t xml:space="preserve">current assets Property, plant and equipment 12 618,440 591,220 Investment properties 13 284,000 262,000 Goodwill 14 196,750 196,750 Intangible assets 15 142,880 131,400 Total non-current assets 1,242,070 1,181,370 Current assets Inventories 16 218,340 241,880 Trade and other receivables 17 312,660 288,420 Cash and cash equivalents 18 184,920 142,310 Total current assets 715,920 672,610 Total assets 1,957,990 1,853,980 Current liabilities Trade and other payables 19 248,110 262,440 Bank borrowings 20 196,000 224,000 Total curre</t>
  </si>
  <si>
    <t xml:space="preserve">goodwill</t>
  </si>
  <si>
    <t xml:space="preserve">NOTES TO THE CONSOLIDATED FINANCIAL STATEMENTS 14. GOODWILL Goodwill acquired through business combinations has been allocated to two cash-generating units (CGUs) for impairment testing. The recoverable amount of each CGU has been determined based on a value in use calculation using cash flow projections covering a five-year period approved by management. The pre-tax discount rate applied to the cash flow projections of the Manufacturing CGU is 13</t>
  </si>
  <si>
    <t xml:space="preserve">15. INTANGIBLE ASSETS Customer Development Relationships Costs Trademarks HK$'000 HK$'000 HK$'000 Cost at 1 January 84,200 112,600 41,500 Additions - 22,400 - Cost at 31 December 84,200 135,000 41,500 The useful lives of intangible assets are as follows: Customer relationships 10 years, amortised on a straight-line basis Development costs 5 years Trademarks Indefinite useful life Trademarks with indef</t>
  </si>
  <si>
    <t xml:space="preserve">投資物業</t>
  </si>
  <si>
    <t xml:space="preserve">capitalisation rate</t>
  </si>
  <si>
    <t xml:space="preserve">t professional valuer, on the basis of fair value. The valuation was arrived at using the income capitalisation approach, adopting a capitalisation rate of 3.8% (2023: 4.0%) for the retail portion and a capitalisation rate of 4.5% for the office portion. The fair value measurement is categorised within Level 3 of the fair value hierarchy. Significant unobservable inputs include the market rent of HK$52 per square foot per month and the capitalisation rate. The total gross floor area of the investment properties is 128,400 squar</t>
  </si>
  <si>
    <t xml:space="preserve">ESG Data</t>
  </si>
  <si>
    <t xml:space="preserve">環境社會及管治數據</t>
  </si>
  <si>
    <t xml:space="preserve">medium</t>
  </si>
  <si>
    <t xml:space="preserve">greenhouse gas</t>
  </si>
  <si>
    <r>
      <rPr>
        <sz val="10"/>
        <rFont val="Arial"/>
        <family val="0"/>
        <charset val="1"/>
      </rPr>
      <t xml:space="preserve">PDF p.4 (</t>
    </r>
    <r>
      <rPr>
        <sz val="10"/>
        <rFont val="Noto Sans CJK SC"/>
        <family val="2"/>
      </rPr>
      <t xml:space="preserve">印刷頁 </t>
    </r>
    <r>
      <rPr>
        <sz val="10"/>
        <rFont val="Arial"/>
        <family val="0"/>
        <charset val="1"/>
      </rPr>
      <t xml:space="preserve">2)</t>
    </r>
  </si>
  <si>
    <t xml:space="preserve">ENVIRONMENTAL, SOCIAL AND GOVERNANCE REPORT Emissions Scope 1 greenhouse gas emissions 12,480 tCO2e Scope 2 greenhouse gas emissions 34,910 tCO2e Total GHG emissions 47,390 tCO2e Emission intensity 0.037 tCO2e per HK$'000 revenue Energy Total energy consumption 68,220 MWh Renewable energy accounted for 18.0% of total consumption. The Group targets a 25% reduction in carbon intensity by 2030. 2</t>
  </si>
  <si>
    <t xml:space="preserve">R&amp;D Expenditure</t>
  </si>
  <si>
    <t xml:space="preserve">研發開支</t>
  </si>
  <si>
    <t xml:space="preserve">research and development</t>
  </si>
  <si>
    <t xml:space="preserve">product mix. The Company holds a 51% equity interest in Sample Technology Limited, which remains its principal operating subsidiary. Research and Development Research and development expenditure for the year amounted to HK$96,340,000 (2023: HK$78,110,000), representing 7.5% of revenue. Capitalised development costs of HK$22,400,000 were recognised as intangible assets during the year. 1</t>
  </si>
  <si>
    <t xml:space="preserve">3,695 Other income 6 18,220 15,940 Selling and distribution expenses (142,880) (128,400) Administrative expenses (188,450) (171,220) Research and development expenses 7 (96,340) (78,110) Operating profit 85,183 51,905 Finance costs 8 (18,940) (21,330) Profit before tax 66,243 30,575 Income tax expense 9 (14,120) (6,880) Profit for the year 52,123 23,695 Depreciation 64,210 58,940 Amortisation 19,880 16,220 20</t>
  </si>
  <si>
    <t xml:space="preserve">Share-based Payment</t>
  </si>
  <si>
    <t xml:space="preserve">以股份為基礎的付款</t>
  </si>
  <si>
    <t xml:space="preserve">share-based payment</t>
  </si>
  <si>
    <t xml:space="preserve">28. SHARE-BASED PAYMENT The fair value of share options granted during the year was determined using the binomial model, with the following key inputs: Expected volatility of 42.0% Risk-free rate of 3.6% Expected dividend yield of 1.8% Expected option life of 6 years 30. RELATED PARTY TRANSACTIONS During the year the Group entered into connected transactions with a company controlled by a director amo</t>
  </si>
  <si>
    <t xml:space="preserve">Related Party Transactions</t>
  </si>
  <si>
    <t xml:space="preserve">關聯方交易</t>
  </si>
  <si>
    <t xml:space="preserve">low</t>
  </si>
  <si>
    <t xml:space="preserve">related party</t>
  </si>
  <si>
    <t xml:space="preserve">key inputs: Expected volatility of 42.0% Risk-free rate of 3.6% Expected dividend yield of 1.8% Expected option life of 6 years 30. RELATED PARTY TRANSACTIONS During the year the Group entered into connected transactions with a company controlled by a director amounting to HK$8,420,000. 70</t>
  </si>
  <si>
    <t xml:space="preserve">需要人手處理的頁面</t>
  </si>
  <si>
    <r>
      <rPr>
        <i val="true"/>
        <sz val="9"/>
        <color rgb="FF808080"/>
        <rFont val="Noto Sans CJK SC"/>
        <family val="2"/>
      </rPr>
      <t xml:space="preserve">這些頁面幾乎抓不到文字</t>
    </r>
    <r>
      <rPr>
        <i val="true"/>
        <sz val="9"/>
        <color rgb="FF808080"/>
        <rFont val="Arial"/>
        <family val="0"/>
        <charset val="1"/>
      </rPr>
      <t xml:space="preserve">,</t>
    </r>
    <r>
      <rPr>
        <i val="true"/>
        <sz val="9"/>
        <color rgb="FF808080"/>
        <rFont val="Noto Sans CJK SC"/>
        <family val="2"/>
      </rPr>
      <t xml:space="preserve">通常是掃描件或純圖表</t>
    </r>
    <r>
      <rPr>
        <i val="true"/>
        <sz val="9"/>
        <color rgb="FF808080"/>
        <rFont val="Arial"/>
        <family val="0"/>
        <charset val="1"/>
      </rPr>
      <t xml:space="preserve">,</t>
    </r>
    <r>
      <rPr>
        <i val="true"/>
        <sz val="9"/>
        <color rgb="FF808080"/>
        <rFont val="Noto Sans CJK SC"/>
        <family val="2"/>
      </rPr>
      <t xml:space="preserve">建議人手翻閱或另行 </t>
    </r>
    <r>
      <rPr>
        <i val="true"/>
        <sz val="9"/>
        <color rgb="FF808080"/>
        <rFont val="Arial"/>
        <family val="0"/>
        <charset val="1"/>
      </rPr>
      <t xml:space="preserve">OCR</t>
    </r>
    <r>
      <rPr>
        <i val="true"/>
        <sz val="9"/>
        <color rgb="FF808080"/>
        <rFont val="Noto Sans CJK SC"/>
        <family val="2"/>
      </rPr>
      <t xml:space="preserve">。</t>
    </r>
  </si>
  <si>
    <r>
      <rPr>
        <b val="true"/>
        <sz val="10"/>
        <color rgb="FFFFFFFF"/>
        <rFont val="Arial"/>
        <family val="0"/>
        <charset val="1"/>
      </rPr>
      <t xml:space="preserve">PDF </t>
    </r>
    <r>
      <rPr>
        <b val="true"/>
        <sz val="10"/>
        <color rgb="FFFFFFFF"/>
        <rFont val="Noto Sans CJK SC"/>
        <family val="2"/>
      </rPr>
      <t xml:space="preserve">頁碼</t>
    </r>
  </si>
  <si>
    <t xml:space="preserve">狀態</t>
  </si>
  <si>
    <r>
      <rPr>
        <sz val="10"/>
        <rFont val="Noto Sans CJK SC"/>
        <family val="2"/>
      </rPr>
      <t xml:space="preserve">文字量過低 — 可能為掃描頁</t>
    </r>
    <r>
      <rPr>
        <sz val="10"/>
        <rFont val="Arial"/>
        <family val="0"/>
        <charset val="1"/>
      </rPr>
      <t xml:space="preserve">/</t>
    </r>
    <r>
      <rPr>
        <sz val="10"/>
        <rFont val="Noto Sans CJK SC"/>
        <family val="2"/>
      </rPr>
      <t xml:space="preserve">圖表頁</t>
    </r>
  </si>
</sst>
</file>

<file path=xl/styles.xml><?xml version="1.0" encoding="utf-8"?>
<styleSheet xmlns="http://schemas.openxmlformats.org/spreadsheetml/2006/main">
  <numFmts count="4">
    <numFmt numFmtId="164" formatCode="General"/>
    <numFmt numFmtId="165" formatCode="0.00"/>
    <numFmt numFmtId="166" formatCode="#,##0;\(#,##0\);\-"/>
    <numFmt numFmtId="167" formatCode="0.0%"/>
  </numFmts>
  <fonts count="19">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b val="true"/>
      <sz val="14"/>
      <color rgb="FF1F4E5F"/>
      <name val="Noto Sans CJK SC"/>
      <family val="2"/>
    </font>
    <font>
      <i val="true"/>
      <sz val="9"/>
      <color rgb="FF808080"/>
      <name val="Arial"/>
      <family val="0"/>
      <charset val="1"/>
    </font>
    <font>
      <b val="true"/>
      <sz val="10"/>
      <name val="Noto Sans CJK SC"/>
      <family val="2"/>
    </font>
    <font>
      <b val="true"/>
      <sz val="10"/>
      <name val="Arial"/>
      <family val="0"/>
      <charset val="1"/>
    </font>
    <font>
      <sz val="10"/>
      <name val="Arial"/>
      <family val="0"/>
      <charset val="1"/>
    </font>
    <font>
      <b val="true"/>
      <sz val="11"/>
      <name val="Noto Sans CJK SC"/>
      <family val="2"/>
    </font>
    <font>
      <b val="true"/>
      <sz val="11"/>
      <name val="Arial"/>
      <family val="0"/>
      <charset val="1"/>
    </font>
    <font>
      <sz val="10"/>
      <name val="Noto Sans CJK SC"/>
      <family val="2"/>
    </font>
    <font>
      <i val="true"/>
      <sz val="9"/>
      <color rgb="FF808080"/>
      <name val="Noto Sans CJK SC"/>
      <family val="2"/>
    </font>
    <font>
      <b val="true"/>
      <sz val="10"/>
      <color rgb="FFFFFFFF"/>
      <name val="Noto Sans CJK SC"/>
      <family val="2"/>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4E5F"/>
        <bgColor rgb="FF333333"/>
      </patternFill>
    </fill>
    <fill>
      <patternFill patternType="solid">
        <fgColor rgb="FFE2EFDA"/>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15" fillId="2"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F81BD"/>
      <rgbColor rgb="FF878787"/>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Key Financials — Prior vs Current</a:t>
            </a:r>
          </a:p>
        </c:rich>
      </c:tx>
      <c:overlay val="0"/>
      <c:spPr>
        <a:noFill/>
        <a:ln w="0">
          <a:noFill/>
        </a:ln>
      </c:spPr>
    </c:title>
    <c:autoTitleDeleted val="0"/>
    <c:plotArea>
      <c:barChart>
        <c:barDir val="col"/>
        <c:grouping val="clustered"/>
        <c:varyColors val="0"/>
        <c:ser>
          <c:idx val="0"/>
          <c:order val="0"/>
          <c:tx>
            <c:strRef>
              <c:f>'Chart 趨勢圖'!B4</c:f>
              <c:strCache>
                <c:ptCount val="1"/>
                <c:pt idx="0">
                  <c:v>Prior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趨勢圖'!$A$5:$A$10</c:f>
              <c:strCache>
                <c:ptCount val="6"/>
                <c:pt idx="0">
                  <c:v>Revenue</c:v>
                </c:pt>
                <c:pt idx="1">
                  <c:v>Gross Profit</c:v>
                </c:pt>
                <c:pt idx="2">
                  <c:v>Profit Before Tax</c:v>
                </c:pt>
                <c:pt idx="3">
                  <c:v>Profit for the Year</c:v>
                </c:pt>
                <c:pt idx="4">
                  <c:v>Total Assets</c:v>
                </c:pt>
                <c:pt idx="5">
                  <c:v>Total Equity</c:v>
                </c:pt>
              </c:strCache>
            </c:strRef>
          </c:cat>
          <c:val>
            <c:numRef>
              <c:f>'Chart 趨勢圖'!$B$5:$B$10</c:f>
              <c:numCache>
                <c:formatCode>#,##0;\(#,##0\);\-</c:formatCode>
                <c:ptCount val="6"/>
                <c:pt idx="0">
                  <c:v>1142800</c:v>
                </c:pt>
                <c:pt idx="1">
                  <c:v>413695</c:v>
                </c:pt>
                <c:pt idx="2">
                  <c:v>30575</c:v>
                </c:pt>
                <c:pt idx="3">
                  <c:v>23695</c:v>
                </c:pt>
                <c:pt idx="4">
                  <c:v>1853980</c:v>
                </c:pt>
                <c:pt idx="5">
                  <c:v>964760</c:v>
                </c:pt>
              </c:numCache>
            </c:numRef>
          </c:val>
        </c:ser>
        <c:ser>
          <c:idx val="1"/>
          <c:order val="1"/>
          <c:tx>
            <c:strRef>
              <c:f>'Chart 趨勢圖'!C4</c:f>
              <c:strCache>
                <c:ptCount val="1"/>
                <c:pt idx="0">
                  <c:v>Current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趨勢圖'!$A$5:$A$10</c:f>
              <c:strCache>
                <c:ptCount val="6"/>
                <c:pt idx="0">
                  <c:v>Revenue</c:v>
                </c:pt>
                <c:pt idx="1">
                  <c:v>Gross Profit</c:v>
                </c:pt>
                <c:pt idx="2">
                  <c:v>Profit Before Tax</c:v>
                </c:pt>
                <c:pt idx="3">
                  <c:v>Profit for the Year</c:v>
                </c:pt>
                <c:pt idx="4">
                  <c:v>Total Assets</c:v>
                </c:pt>
                <c:pt idx="5">
                  <c:v>Total Equity</c:v>
                </c:pt>
              </c:strCache>
            </c:strRef>
          </c:cat>
          <c:val>
            <c:numRef>
              <c:f>'Chart 趨勢圖'!$C$5:$C$10</c:f>
              <c:numCache>
                <c:formatCode>#,##0;\(#,##0\);\-</c:formatCode>
                <c:ptCount val="6"/>
                <c:pt idx="0">
                  <c:v>1284500</c:v>
                </c:pt>
                <c:pt idx="1">
                  <c:v>494533</c:v>
                </c:pt>
                <c:pt idx="2">
                  <c:v>66243</c:v>
                </c:pt>
                <c:pt idx="3">
                  <c:v>52123</c:v>
                </c:pt>
                <c:pt idx="4">
                  <c:v>1957990</c:v>
                </c:pt>
                <c:pt idx="5">
                  <c:v>1145330</c:v>
                </c:pt>
              </c:numCache>
            </c:numRef>
          </c:val>
        </c:ser>
        <c:gapWidth val="150"/>
        <c:overlap val="0"/>
        <c:axId val="29253916"/>
        <c:axId val="91217439"/>
      </c:barChart>
      <c:catAx>
        <c:axId val="2925391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17439"/>
        <c:crosses val="autoZero"/>
        <c:auto val="1"/>
        <c:lblAlgn val="ctr"/>
        <c:lblOffset val="100"/>
        <c:noMultiLvlLbl val="0"/>
      </c:catAx>
      <c:valAx>
        <c:axId val="912174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 (as reported)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2539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106920</xdr:rowOff>
    </xdr:from>
    <xdr:to>
      <xdr:col>16</xdr:col>
      <xdr:colOff>581760</xdr:colOff>
      <xdr:row>23</xdr:row>
      <xdr:rowOff>65880</xdr:rowOff>
    </xdr:to>
    <xdr:graphicFrame>
      <xdr:nvGraphicFramePr>
        <xdr:cNvPr id="0" name="Chart 1"/>
        <xdr:cNvGraphicFramePr/>
      </xdr:nvGraphicFramePr>
      <xdr:xfrm>
        <a:off x="2446200" y="57168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60"/>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4"/>
      <c r="B6" s="4"/>
    </row>
    <row r="7" customFormat="false" ht="15" hidden="false" customHeight="false" outlineLevel="0" collapsed="false">
      <c r="A7" s="3" t="s">
        <v>6</v>
      </c>
      <c r="B7" s="4" t="n">
        <v>12</v>
      </c>
    </row>
    <row r="8" customFormat="false" ht="15" hidden="false" customHeight="false" outlineLevel="0" collapsed="false">
      <c r="A8" s="3" t="s">
        <v>7</v>
      </c>
      <c r="B8" s="4" t="n">
        <v>5873</v>
      </c>
    </row>
    <row r="9" customFormat="false" ht="15" hidden="false" customHeight="false" outlineLevel="0" collapsed="false">
      <c r="A9" s="3" t="s">
        <v>8</v>
      </c>
      <c r="B9" s="4" t="n">
        <v>0</v>
      </c>
    </row>
    <row r="10" customFormat="false" ht="15" hidden="false" customHeight="false" outlineLevel="0" collapsed="false">
      <c r="A10" s="3" t="s">
        <v>9</v>
      </c>
      <c r="B10" s="4" t="n">
        <v>1</v>
      </c>
    </row>
    <row r="11" customFormat="false" ht="15" hidden="false" customHeight="false" outlineLevel="0" collapsed="false">
      <c r="A11" s="4"/>
      <c r="B11" s="4"/>
    </row>
    <row r="12" customFormat="false" ht="15" hidden="false" customHeight="false" outlineLevel="0" collapsed="false">
      <c r="A12" s="3" t="s">
        <v>10</v>
      </c>
      <c r="B12" s="4" t="n">
        <v>10</v>
      </c>
    </row>
    <row r="13" customFormat="false" ht="15" hidden="false" customHeight="false" outlineLevel="0" collapsed="false">
      <c r="A13" s="3" t="s">
        <v>11</v>
      </c>
      <c r="B13" s="4" t="n">
        <v>28</v>
      </c>
    </row>
    <row r="14" customFormat="false" ht="15" hidden="false" customHeight="false" outlineLevel="0" collapsed="false">
      <c r="A14" s="3" t="s">
        <v>12</v>
      </c>
      <c r="B14" s="4" t="n">
        <v>14</v>
      </c>
    </row>
    <row r="15" customFormat="false" ht="15" hidden="false" customHeight="false" outlineLevel="0" collapsed="false">
      <c r="A15" s="5" t="s">
        <v>13</v>
      </c>
      <c r="B15" s="4" t="n">
        <v>0</v>
      </c>
    </row>
    <row r="17" customFormat="false" ht="17.15" hidden="false" customHeight="false" outlineLevel="0" collapsed="false">
      <c r="A17" s="6" t="s">
        <v>14</v>
      </c>
    </row>
    <row r="18" customFormat="false" ht="15" hidden="false" customHeight="false" outlineLevel="0" collapsed="false">
      <c r="A18" s="4" t="s">
        <v>15</v>
      </c>
    </row>
    <row r="19" customFormat="false" ht="15" hidden="false" customHeight="false" outlineLevel="0" collapsed="false">
      <c r="A19" s="4" t="s">
        <v>16</v>
      </c>
    </row>
    <row r="20" customFormat="false" ht="15" hidden="false" customHeight="false" outlineLevel="0" collapsed="false">
      <c r="A20" s="4" t="s">
        <v>17</v>
      </c>
    </row>
    <row r="21" customFormat="false" ht="15" hidden="false" customHeight="false" outlineLevel="0" collapsed="false">
      <c r="A21" s="4" t="s">
        <v>18</v>
      </c>
    </row>
    <row r="22" customFormat="false" ht="15" hidden="false" customHeight="false" outlineLevel="0" collapsed="false">
      <c r="A2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4" min="3" style="0" width="12"/>
    <col collapsed="false" customWidth="true" hidden="false" outlineLevel="0" max="5" min="5" style="0" width="14"/>
    <col collapsed="false" customWidth="true" hidden="false" outlineLevel="0" max="6" min="6" style="0" width="10"/>
    <col collapsed="false" customWidth="true" hidden="false" outlineLevel="0" max="7" min="7" style="0" width="22"/>
    <col collapsed="false" customWidth="true" hidden="false" outlineLevel="0" max="8" min="8" style="0" width="90"/>
  </cols>
  <sheetData>
    <row r="1" customFormat="false" ht="21.6" hidden="false" customHeight="false" outlineLevel="0" collapsed="false">
      <c r="A1" s="7" t="s">
        <v>20</v>
      </c>
    </row>
    <row r="2" customFormat="false" ht="15" hidden="false" customHeight="false" outlineLevel="0" collapsed="false">
      <c r="A2" s="8" t="s">
        <v>21</v>
      </c>
    </row>
    <row r="4" customFormat="false" ht="15" hidden="false" customHeight="false" outlineLevel="0" collapsed="false">
      <c r="A4" s="9" t="s">
        <v>22</v>
      </c>
      <c r="B4" s="9" t="s">
        <v>23</v>
      </c>
      <c r="C4" s="9" t="s">
        <v>24</v>
      </c>
      <c r="D4" s="9" t="s">
        <v>25</v>
      </c>
      <c r="E4" s="9" t="s">
        <v>26</v>
      </c>
      <c r="F4" s="9" t="s">
        <v>27</v>
      </c>
      <c r="G4" s="9" t="s">
        <v>28</v>
      </c>
      <c r="H4" s="9" t="s">
        <v>29</v>
      </c>
    </row>
    <row r="5" customFormat="false" ht="35.05" hidden="false" customHeight="false" outlineLevel="0" collapsed="false">
      <c r="A5" s="10" t="s">
        <v>30</v>
      </c>
      <c r="B5" s="11" t="s">
        <v>31</v>
      </c>
      <c r="C5" s="12" t="n">
        <v>3.8</v>
      </c>
      <c r="D5" s="13" t="n">
        <v>3.8</v>
      </c>
      <c r="E5" s="14" t="s">
        <v>32</v>
      </c>
      <c r="F5" s="14" t="s">
        <v>33</v>
      </c>
      <c r="G5" s="14" t="s">
        <v>34</v>
      </c>
      <c r="H5" s="14" t="s">
        <v>35</v>
      </c>
    </row>
    <row r="6" customFormat="false" ht="35.05" hidden="false" customHeight="false" outlineLevel="0" collapsed="false">
      <c r="A6" s="10" t="s">
        <v>30</v>
      </c>
      <c r="B6" s="11" t="s">
        <v>31</v>
      </c>
      <c r="C6" s="12" t="n">
        <v>4.5</v>
      </c>
      <c r="D6" s="13" t="n">
        <v>4.5</v>
      </c>
      <c r="E6" s="14" t="s">
        <v>36</v>
      </c>
      <c r="F6" s="14" t="s">
        <v>33</v>
      </c>
      <c r="G6" s="14" t="s">
        <v>34</v>
      </c>
      <c r="H6" s="14" t="s">
        <v>37</v>
      </c>
    </row>
    <row r="7" customFormat="false" ht="35.05" hidden="false" customHeight="false" outlineLevel="0" collapsed="false">
      <c r="A7" s="10" t="s">
        <v>38</v>
      </c>
      <c r="B7" s="11" t="s">
        <v>39</v>
      </c>
      <c r="C7" s="12" t="n">
        <v>15.5</v>
      </c>
      <c r="D7" s="13" t="n">
        <v>15.5</v>
      </c>
      <c r="E7" s="14" t="s">
        <v>40</v>
      </c>
      <c r="F7" s="14" t="s">
        <v>33</v>
      </c>
      <c r="G7" s="14" t="s">
        <v>41</v>
      </c>
      <c r="H7" s="14" t="s">
        <v>42</v>
      </c>
    </row>
    <row r="8" customFormat="false" ht="35.05" hidden="false" customHeight="false" outlineLevel="0" collapsed="false">
      <c r="A8" s="10" t="s">
        <v>38</v>
      </c>
      <c r="B8" s="11" t="s">
        <v>39</v>
      </c>
      <c r="C8" s="12" t="n">
        <v>13.2</v>
      </c>
      <c r="D8" s="13" t="n">
        <v>13.2</v>
      </c>
      <c r="E8" s="14" t="s">
        <v>43</v>
      </c>
      <c r="F8" s="14" t="s">
        <v>44</v>
      </c>
      <c r="G8" s="14" t="s">
        <v>41</v>
      </c>
      <c r="H8" s="14" t="s">
        <v>45</v>
      </c>
    </row>
    <row r="9" customFormat="false" ht="23.85" hidden="false" customHeight="false" outlineLevel="0" collapsed="false">
      <c r="A9" s="10" t="s">
        <v>38</v>
      </c>
      <c r="B9" s="11" t="s">
        <v>39</v>
      </c>
      <c r="C9" s="12" t="n">
        <v>14</v>
      </c>
      <c r="D9" s="13" t="n">
        <v>14</v>
      </c>
      <c r="E9" s="14" t="s">
        <v>46</v>
      </c>
      <c r="F9" s="14" t="s">
        <v>33</v>
      </c>
      <c r="G9" s="14" t="s">
        <v>47</v>
      </c>
      <c r="H9" s="14" t="s">
        <v>48</v>
      </c>
    </row>
    <row r="10" customFormat="false" ht="35.05" hidden="false" customHeight="false" outlineLevel="0" collapsed="false">
      <c r="A10" s="10" t="s">
        <v>49</v>
      </c>
      <c r="B10" s="11" t="s">
        <v>50</v>
      </c>
      <c r="C10" s="12" t="n">
        <v>42</v>
      </c>
      <c r="D10" s="13" t="n">
        <v>42</v>
      </c>
      <c r="E10" s="14" t="s">
        <v>51</v>
      </c>
      <c r="F10" s="14" t="s">
        <v>33</v>
      </c>
      <c r="G10" s="14" t="s">
        <v>52</v>
      </c>
      <c r="H10" s="14" t="s">
        <v>53</v>
      </c>
    </row>
    <row r="11" customFormat="false" ht="35.05" hidden="false" customHeight="false" outlineLevel="0" collapsed="false">
      <c r="A11" s="10" t="s">
        <v>54</v>
      </c>
      <c r="B11" s="11" t="s">
        <v>55</v>
      </c>
      <c r="C11" s="12" t="n">
        <v>38.5</v>
      </c>
      <c r="D11" s="13" t="n">
        <v>38.5</v>
      </c>
      <c r="E11" s="14" t="s">
        <v>56</v>
      </c>
      <c r="F11" s="14" t="s">
        <v>33</v>
      </c>
      <c r="G11" s="14" t="s">
        <v>57</v>
      </c>
      <c r="H11" s="14" t="s">
        <v>58</v>
      </c>
    </row>
    <row r="12" customFormat="false" ht="35.05" hidden="false" customHeight="false" outlineLevel="0" collapsed="false">
      <c r="A12" s="10" t="s">
        <v>59</v>
      </c>
      <c r="B12" s="11" t="s">
        <v>60</v>
      </c>
      <c r="C12" s="12" t="n">
        <v>3.6</v>
      </c>
      <c r="D12" s="13" t="n">
        <v>3.6</v>
      </c>
      <c r="E12" s="14" t="s">
        <v>61</v>
      </c>
      <c r="F12" s="14" t="s">
        <v>33</v>
      </c>
      <c r="G12" s="14" t="s">
        <v>52</v>
      </c>
      <c r="H12" s="14" t="s">
        <v>62</v>
      </c>
    </row>
    <row r="13" customFormat="false" ht="35.05" hidden="false" customHeight="false" outlineLevel="0" collapsed="false">
      <c r="A13" s="10" t="s">
        <v>63</v>
      </c>
      <c r="B13" s="11" t="s">
        <v>64</v>
      </c>
      <c r="C13" s="12" t="n">
        <v>2.5</v>
      </c>
      <c r="D13" s="13" t="n">
        <v>2.5</v>
      </c>
      <c r="E13" s="14" t="s">
        <v>65</v>
      </c>
      <c r="F13" s="14" t="s">
        <v>33</v>
      </c>
      <c r="G13" s="14" t="s">
        <v>41</v>
      </c>
      <c r="H13" s="14" t="s">
        <v>66</v>
      </c>
    </row>
    <row r="14" customFormat="false" ht="35.05" hidden="false" customHeight="false" outlineLevel="0" collapsed="false">
      <c r="A14" s="10" t="s">
        <v>67</v>
      </c>
      <c r="B14" s="11" t="s">
        <v>68</v>
      </c>
      <c r="C14" s="12" t="n">
        <v>11.8</v>
      </c>
      <c r="D14" s="13" t="n">
        <v>11.8</v>
      </c>
      <c r="E14" s="14" t="s">
        <v>69</v>
      </c>
      <c r="F14" s="14" t="s">
        <v>33</v>
      </c>
      <c r="G14" s="14" t="s">
        <v>41</v>
      </c>
      <c r="H14" s="14"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4" min="3" style="0" width="16"/>
    <col collapsed="false" customWidth="true" hidden="false" outlineLevel="0" max="5" min="5" style="0" width="12"/>
    <col collapsed="false" customWidth="true" hidden="false" outlineLevel="0" max="6" min="6" style="0" width="20"/>
    <col collapsed="false" customWidth="true" hidden="false" outlineLevel="0" max="7" min="7" style="0" width="70"/>
  </cols>
  <sheetData>
    <row r="1" customFormat="false" ht="17.35" hidden="false" customHeight="false" outlineLevel="0" collapsed="false">
      <c r="A1" s="7" t="s">
        <v>71</v>
      </c>
    </row>
    <row r="2" customFormat="false" ht="15" hidden="false" customHeight="false" outlineLevel="0" collapsed="false">
      <c r="A2" s="8" t="s">
        <v>72</v>
      </c>
    </row>
    <row r="4" customFormat="false" ht="15" hidden="false" customHeight="false" outlineLevel="0" collapsed="false">
      <c r="A4" s="9" t="s">
        <v>73</v>
      </c>
      <c r="B4" s="9" t="s">
        <v>74</v>
      </c>
      <c r="C4" s="9" t="s">
        <v>75</v>
      </c>
      <c r="D4" s="9" t="s">
        <v>76</v>
      </c>
      <c r="E4" s="9" t="s">
        <v>77</v>
      </c>
      <c r="F4" s="9" t="s">
        <v>78</v>
      </c>
      <c r="G4" s="9" t="s">
        <v>79</v>
      </c>
    </row>
    <row r="5" customFormat="false" ht="15" hidden="false" customHeight="false" outlineLevel="0" collapsed="false">
      <c r="A5" s="10" t="s">
        <v>80</v>
      </c>
      <c r="B5" s="10" t="s">
        <v>81</v>
      </c>
      <c r="C5" s="15" t="n">
        <v>1284500</v>
      </c>
      <c r="D5" s="16" t="n">
        <v>1142800</v>
      </c>
      <c r="E5" s="17" t="n">
        <f aca="false">IFERROR(IF(D5=0,"",(C5-D5)/ABS(D5)),"")</f>
        <v>0.123993699684984</v>
      </c>
      <c r="F5" s="14" t="s">
        <v>82</v>
      </c>
      <c r="G5" s="14" t="s">
        <v>83</v>
      </c>
    </row>
    <row r="6" customFormat="false" ht="15" hidden="false" customHeight="false" outlineLevel="0" collapsed="false">
      <c r="A6" s="10" t="s">
        <v>80</v>
      </c>
      <c r="B6" s="10" t="s">
        <v>84</v>
      </c>
      <c r="C6" s="15" t="n">
        <v>-789967</v>
      </c>
      <c r="D6" s="16" t="n">
        <v>-729105</v>
      </c>
      <c r="E6" s="17" t="n">
        <f aca="false">IFERROR(IF(D6=0,"",(C6-D6)/ABS(D6)),"")</f>
        <v>-0.0834749453096605</v>
      </c>
      <c r="F6" s="14" t="s">
        <v>82</v>
      </c>
      <c r="G6" s="14" t="s">
        <v>85</v>
      </c>
    </row>
    <row r="7" customFormat="false" ht="15" hidden="false" customHeight="false" outlineLevel="0" collapsed="false">
      <c r="A7" s="10" t="s">
        <v>80</v>
      </c>
      <c r="B7" s="10" t="s">
        <v>86</v>
      </c>
      <c r="C7" s="15" t="n">
        <v>494533</v>
      </c>
      <c r="D7" s="16" t="n">
        <v>413695</v>
      </c>
      <c r="E7" s="17" t="n">
        <f aca="false">IFERROR(IF(D7=0,"",(C7-D7)/ABS(D7)),"")</f>
        <v>0.195404827227789</v>
      </c>
      <c r="F7" s="14" t="s">
        <v>82</v>
      </c>
      <c r="G7" s="14" t="s">
        <v>87</v>
      </c>
    </row>
    <row r="8" customFormat="false" ht="15" hidden="false" customHeight="false" outlineLevel="0" collapsed="false">
      <c r="A8" s="10" t="s">
        <v>80</v>
      </c>
      <c r="B8" s="10" t="s">
        <v>88</v>
      </c>
      <c r="C8" s="15" t="n">
        <v>-96340</v>
      </c>
      <c r="D8" s="16" t="n">
        <v>-78110</v>
      </c>
      <c r="E8" s="17" t="n">
        <f aca="false">IFERROR(IF(D8=0,"",(C8-D8)/ABS(D8)),"")</f>
        <v>-0.233388810651645</v>
      </c>
      <c r="F8" s="14" t="s">
        <v>82</v>
      </c>
      <c r="G8" s="14" t="s">
        <v>89</v>
      </c>
    </row>
    <row r="9" customFormat="false" ht="15" hidden="false" customHeight="false" outlineLevel="0" collapsed="false">
      <c r="A9" s="10" t="s">
        <v>80</v>
      </c>
      <c r="B9" s="10" t="s">
        <v>90</v>
      </c>
      <c r="C9" s="15" t="n">
        <v>85183</v>
      </c>
      <c r="D9" s="16" t="n">
        <v>51905</v>
      </c>
      <c r="E9" s="17" t="n">
        <f aca="false">IFERROR(IF(D9=0,"",(C9-D9)/ABS(D9)),"")</f>
        <v>0.641132838840189</v>
      </c>
      <c r="F9" s="14" t="s">
        <v>82</v>
      </c>
      <c r="G9" s="14" t="s">
        <v>91</v>
      </c>
    </row>
    <row r="10" customFormat="false" ht="15" hidden="false" customHeight="false" outlineLevel="0" collapsed="false">
      <c r="A10" s="10" t="s">
        <v>80</v>
      </c>
      <c r="B10" s="10" t="s">
        <v>92</v>
      </c>
      <c r="C10" s="15" t="n">
        <v>-18940</v>
      </c>
      <c r="D10" s="16" t="n">
        <v>-21330</v>
      </c>
      <c r="E10" s="17" t="n">
        <f aca="false">IFERROR(IF(D10=0,"",(C10-D10)/ABS(D10)),"")</f>
        <v>0.112048757618378</v>
      </c>
      <c r="F10" s="14" t="s">
        <v>82</v>
      </c>
      <c r="G10" s="14" t="s">
        <v>93</v>
      </c>
    </row>
    <row r="11" customFormat="false" ht="15" hidden="false" customHeight="false" outlineLevel="0" collapsed="false">
      <c r="A11" s="10" t="s">
        <v>80</v>
      </c>
      <c r="B11" s="10" t="s">
        <v>94</v>
      </c>
      <c r="C11" s="15" t="n">
        <v>66243</v>
      </c>
      <c r="D11" s="16" t="n">
        <v>30575</v>
      </c>
      <c r="E11" s="17" t="n">
        <f aca="false">IFERROR(IF(D11=0,"",(C11-D11)/ABS(D11)),"")</f>
        <v>1.16657399836468</v>
      </c>
      <c r="F11" s="14" t="s">
        <v>82</v>
      </c>
      <c r="G11" s="14" t="s">
        <v>95</v>
      </c>
    </row>
    <row r="12" customFormat="false" ht="15" hidden="false" customHeight="false" outlineLevel="0" collapsed="false">
      <c r="A12" s="10" t="s">
        <v>80</v>
      </c>
      <c r="B12" s="10" t="s">
        <v>96</v>
      </c>
      <c r="C12" s="15" t="n">
        <v>-14120</v>
      </c>
      <c r="D12" s="16" t="n">
        <v>-6880</v>
      </c>
      <c r="E12" s="17" t="n">
        <f aca="false">IFERROR(IF(D12=0,"",(C12-D12)/ABS(D12)),"")</f>
        <v>-1.05232558139535</v>
      </c>
      <c r="F12" s="14" t="s">
        <v>82</v>
      </c>
      <c r="G12" s="14" t="s">
        <v>97</v>
      </c>
    </row>
    <row r="13" customFormat="false" ht="15" hidden="false" customHeight="false" outlineLevel="0" collapsed="false">
      <c r="A13" s="10" t="s">
        <v>80</v>
      </c>
      <c r="B13" s="10" t="s">
        <v>98</v>
      </c>
      <c r="C13" s="15" t="n">
        <v>52123</v>
      </c>
      <c r="D13" s="16" t="n">
        <v>23695</v>
      </c>
      <c r="E13" s="17" t="n">
        <f aca="false">IFERROR(IF(D13=0,"",(C13-D13)/ABS(D13)),"")</f>
        <v>1.19974678202152</v>
      </c>
      <c r="F13" s="14" t="s">
        <v>82</v>
      </c>
      <c r="G13" s="14" t="s">
        <v>99</v>
      </c>
    </row>
    <row r="14" customFormat="false" ht="15" hidden="false" customHeight="false" outlineLevel="0" collapsed="false">
      <c r="A14" s="10" t="s">
        <v>80</v>
      </c>
      <c r="B14" s="10" t="s">
        <v>100</v>
      </c>
      <c r="C14" s="15" t="n">
        <v>64210</v>
      </c>
      <c r="D14" s="16" t="n">
        <v>58940</v>
      </c>
      <c r="E14" s="17" t="n">
        <f aca="false">IFERROR(IF(D14=0,"",(C14-D14)/ABS(D14)),"")</f>
        <v>0.0894129623345775</v>
      </c>
      <c r="F14" s="14" t="s">
        <v>82</v>
      </c>
      <c r="G14" s="14" t="s">
        <v>101</v>
      </c>
    </row>
    <row r="15" customFormat="false" ht="15" hidden="false" customHeight="false" outlineLevel="0" collapsed="false">
      <c r="A15" s="10" t="s">
        <v>80</v>
      </c>
      <c r="B15" s="10" t="s">
        <v>102</v>
      </c>
      <c r="C15" s="15" t="n">
        <v>19880</v>
      </c>
      <c r="D15" s="16" t="n">
        <v>16220</v>
      </c>
      <c r="E15" s="17" t="n">
        <f aca="false">IFERROR(IF(D15=0,"",(C15-D15)/ABS(D15)),"")</f>
        <v>0.225647348951911</v>
      </c>
      <c r="F15" s="14" t="s">
        <v>82</v>
      </c>
      <c r="G15" s="14" t="s">
        <v>103</v>
      </c>
    </row>
    <row r="16" customFormat="false" ht="15" hidden="false" customHeight="false" outlineLevel="0" collapsed="false">
      <c r="A16" s="10" t="s">
        <v>104</v>
      </c>
      <c r="B16" s="10" t="s">
        <v>105</v>
      </c>
      <c r="C16" s="15" t="n">
        <v>618440</v>
      </c>
      <c r="D16" s="16" t="n">
        <v>591220</v>
      </c>
      <c r="E16" s="17" t="n">
        <f aca="false">IFERROR(IF(D16=0,"",(C16-D16)/ABS(D16)),"")</f>
        <v>0.046040391055783</v>
      </c>
      <c r="F16" s="14" t="s">
        <v>106</v>
      </c>
      <c r="G16" s="14" t="s">
        <v>107</v>
      </c>
    </row>
    <row r="17" customFormat="false" ht="15" hidden="false" customHeight="false" outlineLevel="0" collapsed="false">
      <c r="A17" s="10" t="s">
        <v>104</v>
      </c>
      <c r="B17" s="10" t="s">
        <v>108</v>
      </c>
      <c r="C17" s="15" t="n">
        <v>284000</v>
      </c>
      <c r="D17" s="16" t="n">
        <v>262000</v>
      </c>
      <c r="E17" s="17" t="n">
        <f aca="false">IFERROR(IF(D17=0,"",(C17-D17)/ABS(D17)),"")</f>
        <v>0.083969465648855</v>
      </c>
      <c r="F17" s="14" t="s">
        <v>106</v>
      </c>
      <c r="G17" s="14" t="s">
        <v>109</v>
      </c>
    </row>
    <row r="18" customFormat="false" ht="15" hidden="false" customHeight="false" outlineLevel="0" collapsed="false">
      <c r="A18" s="10" t="s">
        <v>104</v>
      </c>
      <c r="B18" s="10" t="s">
        <v>110</v>
      </c>
      <c r="C18" s="15" t="n">
        <v>196750</v>
      </c>
      <c r="D18" s="16" t="n">
        <v>196750</v>
      </c>
      <c r="E18" s="17" t="n">
        <f aca="false">IFERROR(IF(D18=0,"",(C18-D18)/ABS(D18)),"")</f>
        <v>0</v>
      </c>
      <c r="F18" s="14" t="s">
        <v>106</v>
      </c>
      <c r="G18" s="14" t="s">
        <v>111</v>
      </c>
    </row>
    <row r="19" customFormat="false" ht="15" hidden="false" customHeight="false" outlineLevel="0" collapsed="false">
      <c r="A19" s="10" t="s">
        <v>104</v>
      </c>
      <c r="B19" s="10" t="s">
        <v>112</v>
      </c>
      <c r="C19" s="15" t="n">
        <v>142880</v>
      </c>
      <c r="D19" s="16" t="n">
        <v>131400</v>
      </c>
      <c r="E19" s="17" t="n">
        <f aca="false">IFERROR(IF(D19=0,"",(C19-D19)/ABS(D19)),"")</f>
        <v>0.0873668188736682</v>
      </c>
      <c r="F19" s="14" t="s">
        <v>106</v>
      </c>
      <c r="G19" s="14" t="s">
        <v>113</v>
      </c>
    </row>
    <row r="20" customFormat="false" ht="15" hidden="false" customHeight="false" outlineLevel="0" collapsed="false">
      <c r="A20" s="10" t="s">
        <v>104</v>
      </c>
      <c r="B20" s="10" t="s">
        <v>114</v>
      </c>
      <c r="C20" s="15" t="n">
        <v>218340</v>
      </c>
      <c r="D20" s="16" t="n">
        <v>241880</v>
      </c>
      <c r="E20" s="17" t="n">
        <f aca="false">IFERROR(IF(D20=0,"",(C20-D20)/ABS(D20)),"")</f>
        <v>-0.0973209856127005</v>
      </c>
      <c r="F20" s="14" t="s">
        <v>106</v>
      </c>
      <c r="G20" s="14" t="s">
        <v>115</v>
      </c>
    </row>
    <row r="21" customFormat="false" ht="15" hidden="false" customHeight="false" outlineLevel="0" collapsed="false">
      <c r="A21" s="10" t="s">
        <v>104</v>
      </c>
      <c r="B21" s="10" t="s">
        <v>116</v>
      </c>
      <c r="C21" s="15" t="n">
        <v>312660</v>
      </c>
      <c r="D21" s="16" t="n">
        <v>288420</v>
      </c>
      <c r="E21" s="17" t="n">
        <f aca="false">IFERROR(IF(D21=0,"",(C21-D21)/ABS(D21)),"")</f>
        <v>0.0840441023507385</v>
      </c>
      <c r="F21" s="14" t="s">
        <v>106</v>
      </c>
      <c r="G21" s="14" t="s">
        <v>117</v>
      </c>
    </row>
    <row r="22" customFormat="false" ht="15" hidden="false" customHeight="false" outlineLevel="0" collapsed="false">
      <c r="A22" s="10" t="s">
        <v>104</v>
      </c>
      <c r="B22" s="10" t="s">
        <v>118</v>
      </c>
      <c r="C22" s="15" t="n">
        <v>184920</v>
      </c>
      <c r="D22" s="16" t="n">
        <v>142310</v>
      </c>
      <c r="E22" s="17" t="n">
        <f aca="false">IFERROR(IF(D22=0,"",(C22-D22)/ABS(D22)),"")</f>
        <v>0.299416766214602</v>
      </c>
      <c r="F22" s="14" t="s">
        <v>106</v>
      </c>
      <c r="G22" s="14" t="s">
        <v>119</v>
      </c>
    </row>
    <row r="23" customFormat="false" ht="15" hidden="false" customHeight="false" outlineLevel="0" collapsed="false">
      <c r="A23" s="10" t="s">
        <v>104</v>
      </c>
      <c r="B23" s="10" t="s">
        <v>120</v>
      </c>
      <c r="C23" s="15" t="n">
        <v>715920</v>
      </c>
      <c r="D23" s="16" t="n">
        <v>672610</v>
      </c>
      <c r="E23" s="17" t="n">
        <f aca="false">IFERROR(IF(D23=0,"",(C23-D23)/ABS(D23)),"")</f>
        <v>0.0643909546393898</v>
      </c>
      <c r="F23" s="14" t="s">
        <v>106</v>
      </c>
      <c r="G23" s="14" t="s">
        <v>121</v>
      </c>
    </row>
    <row r="24" customFormat="false" ht="15" hidden="false" customHeight="false" outlineLevel="0" collapsed="false">
      <c r="A24" s="10" t="s">
        <v>104</v>
      </c>
      <c r="B24" s="10" t="s">
        <v>122</v>
      </c>
      <c r="C24" s="15" t="n">
        <v>1957990</v>
      </c>
      <c r="D24" s="16" t="n">
        <v>1853980</v>
      </c>
      <c r="E24" s="17" t="n">
        <f aca="false">IFERROR(IF(D24=0,"",(C24-D24)/ABS(D24)),"")</f>
        <v>0.0561009288126086</v>
      </c>
      <c r="F24" s="14" t="s">
        <v>106</v>
      </c>
      <c r="G24" s="14" t="s">
        <v>123</v>
      </c>
    </row>
    <row r="25" customFormat="false" ht="15" hidden="false" customHeight="false" outlineLevel="0" collapsed="false">
      <c r="A25" s="10" t="s">
        <v>104</v>
      </c>
      <c r="B25" s="10" t="s">
        <v>124</v>
      </c>
      <c r="C25" s="15" t="n">
        <v>196000</v>
      </c>
      <c r="D25" s="16" t="n">
        <v>224000</v>
      </c>
      <c r="E25" s="17" t="n">
        <f aca="false">IFERROR(IF(D25=0,"",(C25-D25)/ABS(D25)),"")</f>
        <v>-0.125</v>
      </c>
      <c r="F25" s="14" t="s">
        <v>106</v>
      </c>
      <c r="G25" s="14" t="s">
        <v>125</v>
      </c>
    </row>
    <row r="26" customFormat="false" ht="15" hidden="false" customHeight="false" outlineLevel="0" collapsed="false">
      <c r="A26" s="10" t="s">
        <v>104</v>
      </c>
      <c r="B26" s="10" t="s">
        <v>126</v>
      </c>
      <c r="C26" s="15" t="n">
        <v>444110</v>
      </c>
      <c r="D26" s="16" t="n">
        <v>486440</v>
      </c>
      <c r="E26" s="17" t="n">
        <f aca="false">IFERROR(IF(D26=0,"",(C26-D26)/ABS(D26)),"")</f>
        <v>-0.0870199819093825</v>
      </c>
      <c r="F26" s="14" t="s">
        <v>106</v>
      </c>
      <c r="G26" s="14" t="s">
        <v>127</v>
      </c>
    </row>
    <row r="27" customFormat="false" ht="15" hidden="false" customHeight="false" outlineLevel="0" collapsed="false">
      <c r="A27" s="10" t="s">
        <v>104</v>
      </c>
      <c r="B27" s="10" t="s">
        <v>128</v>
      </c>
      <c r="C27" s="15" t="n">
        <v>812660</v>
      </c>
      <c r="D27" s="16" t="n">
        <v>889220</v>
      </c>
      <c r="E27" s="17" t="n">
        <f aca="false">IFERROR(IF(D27=0,"",(C27-D27)/ABS(D27)),"")</f>
        <v>-0.0860979285216257</v>
      </c>
      <c r="F27" s="14" t="s">
        <v>106</v>
      </c>
      <c r="G27" s="14" t="s">
        <v>129</v>
      </c>
    </row>
    <row r="28" customFormat="false" ht="15" hidden="false" customHeight="false" outlineLevel="0" collapsed="false">
      <c r="A28" s="10" t="s">
        <v>104</v>
      </c>
      <c r="B28" s="10" t="s">
        <v>130</v>
      </c>
      <c r="C28" s="15" t="n">
        <v>1145330</v>
      </c>
      <c r="D28" s="16" t="n">
        <v>964760</v>
      </c>
      <c r="E28" s="17" t="n">
        <f aca="false">IFERROR(IF(D28=0,"",(C28-D28)/ABS(D28)),"")</f>
        <v>0.187165719971806</v>
      </c>
      <c r="F28" s="14" t="s">
        <v>106</v>
      </c>
      <c r="G28" s="14" t="s">
        <v>131</v>
      </c>
    </row>
    <row r="29" customFormat="false" ht="15" hidden="false" customHeight="false" outlineLevel="0" collapsed="false">
      <c r="A29" s="10" t="s">
        <v>132</v>
      </c>
      <c r="B29" s="10" t="s">
        <v>133</v>
      </c>
      <c r="C29" s="15" t="n">
        <v>168420</v>
      </c>
      <c r="D29" s="16" t="n">
        <v>121880</v>
      </c>
      <c r="E29" s="17" t="n">
        <f aca="false">IFERROR(IF(D29=0,"",(C29-D29)/ABS(D29)),"")</f>
        <v>0.381851000984575</v>
      </c>
      <c r="F29" s="14" t="s">
        <v>134</v>
      </c>
      <c r="G29" s="14" t="s">
        <v>135</v>
      </c>
    </row>
    <row r="30" customFormat="false" ht="15" hidden="false" customHeight="false" outlineLevel="0" collapsed="false">
      <c r="A30" s="10" t="s">
        <v>132</v>
      </c>
      <c r="B30" s="10" t="s">
        <v>136</v>
      </c>
      <c r="C30" s="15" t="n">
        <v>-91340</v>
      </c>
      <c r="D30" s="16" t="n">
        <v>-84220</v>
      </c>
      <c r="E30" s="17" t="n">
        <f aca="false">IFERROR(IF(D30=0,"",(C30-D30)/ABS(D30)),"")</f>
        <v>-0.0845404891949656</v>
      </c>
      <c r="F30" s="14" t="s">
        <v>134</v>
      </c>
      <c r="G30" s="14" t="s">
        <v>137</v>
      </c>
    </row>
    <row r="31" customFormat="false" ht="15" hidden="false" customHeight="false" outlineLevel="0" collapsed="false">
      <c r="A31" s="10" t="s">
        <v>132</v>
      </c>
      <c r="B31" s="10" t="s">
        <v>138</v>
      </c>
      <c r="C31" s="15" t="n">
        <v>-113760</v>
      </c>
      <c r="D31" s="16" t="n">
        <v>-102540</v>
      </c>
      <c r="E31" s="17" t="n">
        <f aca="false">IFERROR(IF(D31=0,"",(C31-D31)/ABS(D31)),"")</f>
        <v>-0.109420713867759</v>
      </c>
      <c r="F31" s="14" t="s">
        <v>134</v>
      </c>
      <c r="G31" s="14" t="s">
        <v>139</v>
      </c>
    </row>
    <row r="32" customFormat="false" ht="15" hidden="false" customHeight="false" outlineLevel="0" collapsed="false">
      <c r="A32" s="10" t="s">
        <v>132</v>
      </c>
      <c r="B32" s="10" t="s">
        <v>140</v>
      </c>
      <c r="C32" s="15" t="n">
        <v>-12050</v>
      </c>
      <c r="D32" s="16" t="n">
        <v>-34610</v>
      </c>
      <c r="E32" s="17" t="n">
        <f aca="false">IFERROR(IF(D32=0,"",(C32-D32)/ABS(D32)),"")</f>
        <v>0.651834729846865</v>
      </c>
      <c r="F32" s="14" t="s">
        <v>134</v>
      </c>
      <c r="G32" s="14" t="s">
        <v>141</v>
      </c>
    </row>
    <row r="34" customFormat="false" ht="15" hidden="false" customHeight="false" outlineLevel="0" collapsed="false">
      <c r="A34" s="8"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48"/>
  </cols>
  <sheetData>
    <row r="1" customFormat="false" ht="21.6" hidden="false" customHeight="false" outlineLevel="0" collapsed="false">
      <c r="A1" s="7" t="s">
        <v>143</v>
      </c>
    </row>
    <row r="2" customFormat="false" ht="15" hidden="false" customHeight="false" outlineLevel="0" collapsed="false">
      <c r="A2" s="8" t="s">
        <v>144</v>
      </c>
    </row>
    <row r="4" customFormat="false" ht="15" hidden="false" customHeight="false" outlineLevel="0" collapsed="false">
      <c r="A4" s="9" t="s">
        <v>145</v>
      </c>
      <c r="B4" s="9" t="s">
        <v>75</v>
      </c>
      <c r="C4" s="9" t="s">
        <v>76</v>
      </c>
      <c r="D4" s="9" t="s">
        <v>146</v>
      </c>
    </row>
    <row r="5" customFormat="false" ht="15" hidden="false" customHeight="false" outlineLevel="0" collapsed="false">
      <c r="A5" s="4" t="s">
        <v>147</v>
      </c>
      <c r="B5" s="18" t="n">
        <f aca="false">IFERROR(IFERROR(INDEX('Financials 財務數據'!$C$5:$C$32,MATCH("Gross Profit",'Financials 財務數據'!$B$5:$B$32,0)),"")/IFERROR(INDEX('Financials 財務數據'!$C$5:$C$32,MATCH("Revenue",'Financials 財務數據'!$B$5:$B$32,0)),""),"n/a")</f>
        <v>0.38500038925652</v>
      </c>
      <c r="C5" s="18" t="n">
        <f aca="false">IFERROR(IFERROR(INDEX('Financials 財務數據'!$D$5:$D$32,MATCH("Gross Profit",'Financials 財務數據'!$B$5:$B$32,0)),"")/IFERROR(INDEX('Financials 財務數據'!$D$5:$D$32,MATCH("Revenue",'Financials 財務數據'!$B$5:$B$32,0)),""),"n/a")</f>
        <v>0.362001225061253</v>
      </c>
      <c r="D5" s="8" t="s">
        <v>148</v>
      </c>
    </row>
    <row r="6" customFormat="false" ht="15" hidden="false" customHeight="false" outlineLevel="0" collapsed="false">
      <c r="A6" s="4" t="s">
        <v>149</v>
      </c>
      <c r="B6" s="18" t="n">
        <f aca="false">IFERROR(IFERROR(INDEX('Financials 財務數據'!$C$5:$C$32,MATCH("Profit for the Year",'Financials 財務數據'!$B$5:$B$32,0)),"")/IFERROR(INDEX('Financials 財務數據'!$C$5:$C$32,MATCH("Revenue",'Financials 財務數據'!$B$5:$B$32,0)),""),"n/a")</f>
        <v>0.0405784351887894</v>
      </c>
      <c r="C6" s="18" t="n">
        <f aca="false">IFERROR(IFERROR(INDEX('Financials 財務數據'!$D$5:$D$32,MATCH("Profit for the Year",'Financials 財務數據'!$B$5:$B$32,0)),"")/IFERROR(INDEX('Financials 財務數據'!$D$5:$D$32,MATCH("Revenue",'Financials 財務數據'!$B$5:$B$32,0)),""),"n/a")</f>
        <v>0.0207341617080854</v>
      </c>
      <c r="D6" s="8" t="s">
        <v>150</v>
      </c>
    </row>
    <row r="7" customFormat="false" ht="15" hidden="false" customHeight="false" outlineLevel="0" collapsed="false">
      <c r="A7" s="4" t="s">
        <v>151</v>
      </c>
      <c r="B7" s="19" t="n">
        <f aca="false">IFERROR(IFERROR(INDEX('Financials 財務數據'!$C$5:$C$32,MATCH("Total Current Assets",'Financials 財務數據'!$B$5:$B$32,0)),"")/IFERROR(INDEX('Financials 財務數據'!$C$5:$C$32,MATCH("Total Current Liabilities",'Financials 財務數據'!$B$5:$B$32,0)),""),"n/a")</f>
        <v>1.61203305487379</v>
      </c>
      <c r="C7" s="19" t="n">
        <f aca="false">IFERROR(IFERROR(INDEX('Financials 財務數據'!$D$5:$D$32,MATCH("Total Current Assets",'Financials 財務數據'!$B$5:$B$32,0)),"")/IFERROR(INDEX('Financials 財務數據'!$D$5:$D$32,MATCH("Total Current Liabilities",'Financials 財務數據'!$B$5:$B$32,0)),""),"n/a")</f>
        <v>1.38271934873777</v>
      </c>
      <c r="D7" s="8" t="s">
        <v>152</v>
      </c>
    </row>
    <row r="8" customFormat="false" ht="15" hidden="false" customHeight="false" outlineLevel="0" collapsed="false">
      <c r="A8" s="4" t="s">
        <v>153</v>
      </c>
      <c r="B8" s="19" t="n">
        <f aca="false">IFERROR(IFERROR(INDEX('Financials 財務數據'!$C$5:$C$32,MATCH("Total Liabilities",'Financials 財務數據'!$B$5:$B$32,0)),"")/IFERROR(INDEX('Financials 財務數據'!$C$5:$C$32,MATCH("Total Equity",'Financials 財務數據'!$B$5:$B$32,0)),""),"n/a")</f>
        <v>0.709542228004156</v>
      </c>
      <c r="C8" s="19" t="n">
        <f aca="false">IFERROR(IFERROR(INDEX('Financials 財務數據'!$D$5:$D$32,MATCH("Total Liabilities",'Financials 財務數據'!$B$5:$B$32,0)),"")/IFERROR(INDEX('Financials 財務數據'!$D$5:$D$32,MATCH("Total Equity",'Financials 財務數據'!$B$5:$B$32,0)),""),"n/a")</f>
        <v>0.921700733861271</v>
      </c>
      <c r="D8" s="8" t="s">
        <v>154</v>
      </c>
    </row>
    <row r="9" customFormat="false" ht="15" hidden="false" customHeight="false" outlineLevel="0" collapsed="false">
      <c r="A9" s="4" t="s">
        <v>155</v>
      </c>
      <c r="B9" s="18" t="n">
        <f aca="false">IFERROR(IFERROR(INDEX('Financials 財務數據'!$C$5:$C$32,MATCH("Goodwill",'Financials 財務數據'!$B$5:$B$32,0)),"")/IFERROR(INDEX('Financials 財務數據'!$C$5:$C$32,MATCH("Total Assets",'Financials 財務數據'!$B$5:$B$32,0)),""),"n/a")</f>
        <v>0.100485702174168</v>
      </c>
      <c r="C9" s="18" t="n">
        <f aca="false">IFERROR(IFERROR(INDEX('Financials 財務數據'!$D$5:$D$32,MATCH("Goodwill",'Financials 財務數據'!$B$5:$B$32,0)),"")/IFERROR(INDEX('Financials 財務數據'!$D$5:$D$32,MATCH("Total Assets",'Financials 財務數據'!$B$5:$B$32,0)),""),"n/a")</f>
        <v>0.106123043398526</v>
      </c>
      <c r="D9" s="8" t="s">
        <v>156</v>
      </c>
    </row>
    <row r="10" customFormat="false" ht="15" hidden="false" customHeight="false" outlineLevel="0" collapsed="false">
      <c r="A10" s="4" t="s">
        <v>157</v>
      </c>
      <c r="B10" s="18" t="n">
        <f aca="false">IFERROR(IFERROR(INDEX('Financials 財務數據'!$C$5:$C$32,MATCH("Intangible Assets",'Financials 財務數據'!$B$5:$B$32,0)),"")/IFERROR(INDEX('Financials 財務數據'!$C$5:$C$32,MATCH("Total Assets",'Financials 財務數據'!$B$5:$B$32,0)),""),"n/a")</f>
        <v>0.0729727935280568</v>
      </c>
      <c r="C10" s="18" t="n">
        <f aca="false">IFERROR(IFERROR(INDEX('Financials 財務數據'!$D$5:$D$32,MATCH("Intangible Assets",'Financials 財務數據'!$B$5:$B$32,0)),"")/IFERROR(INDEX('Financials 財務數據'!$D$5:$D$32,MATCH("Total Assets",'Financials 財務數據'!$B$5:$B$32,0)),""),"n/a")</f>
        <v>0.0708745509660298</v>
      </c>
      <c r="D10" s="8" t="s">
        <v>158</v>
      </c>
    </row>
    <row r="11" customFormat="false" ht="15" hidden="false" customHeight="false" outlineLevel="0" collapsed="false">
      <c r="A11" s="4" t="s">
        <v>159</v>
      </c>
      <c r="B11" s="18" t="n">
        <f aca="false">IFERROR(IFERROR(INDEX('Financials 財務數據'!$C$5:$C$32,MATCH("Profit for the Year",'Financials 財務數據'!$B$5:$B$32,0)),"")/IFERROR(INDEX('Financials 財務數據'!$C$5:$C$32,MATCH("Total Equity",'Financials 財務數據'!$B$5:$B$32,0)),""),"n/a")</f>
        <v>0.0455091545668061</v>
      </c>
      <c r="C11" s="18" t="n">
        <f aca="false">IFERROR(IFERROR(INDEX('Financials 財務數據'!$D$5:$D$32,MATCH("Profit for the Year",'Financials 財務數據'!$B$5:$B$32,0)),"")/IFERROR(INDEX('Financials 財務數據'!$D$5:$D$32,MATCH("Total Equity",'Financials 財務數據'!$B$5:$B$32,0)),""),"n/a")</f>
        <v>0.0245605124590572</v>
      </c>
      <c r="D11" s="8" t="s">
        <v>160</v>
      </c>
    </row>
    <row r="13" customFormat="false" ht="15" hidden="false" customHeight="false" outlineLevel="0" collapsed="false">
      <c r="A13" s="8"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1.6" hidden="false" customHeight="false" outlineLevel="0" collapsed="false">
      <c r="A1" s="7" t="s">
        <v>162</v>
      </c>
    </row>
    <row r="2" customFormat="false" ht="15" hidden="false" customHeight="false" outlineLevel="0" collapsed="false">
      <c r="A2" s="8" t="s">
        <v>163</v>
      </c>
    </row>
    <row r="4" customFormat="false" ht="15" hidden="false" customHeight="false" outlineLevel="0" collapsed="false">
      <c r="A4" s="20" t="s">
        <v>164</v>
      </c>
      <c r="B4" s="20" t="s">
        <v>165</v>
      </c>
      <c r="C4" s="20" t="s">
        <v>166</v>
      </c>
    </row>
    <row r="5" customFormat="false" ht="15" hidden="false" customHeight="false" outlineLevel="0" collapsed="false">
      <c r="A5" s="4" t="s">
        <v>81</v>
      </c>
      <c r="B5" s="21" t="n">
        <v>1142800</v>
      </c>
      <c r="C5" s="21" t="n">
        <v>1284500</v>
      </c>
    </row>
    <row r="6" customFormat="false" ht="15" hidden="false" customHeight="false" outlineLevel="0" collapsed="false">
      <c r="A6" s="4" t="s">
        <v>86</v>
      </c>
      <c r="B6" s="21" t="n">
        <v>413695</v>
      </c>
      <c r="C6" s="21" t="n">
        <v>494533</v>
      </c>
    </row>
    <row r="7" customFormat="false" ht="15" hidden="false" customHeight="false" outlineLevel="0" collapsed="false">
      <c r="A7" s="4" t="s">
        <v>94</v>
      </c>
      <c r="B7" s="21" t="n">
        <v>30575</v>
      </c>
      <c r="C7" s="21" t="n">
        <v>66243</v>
      </c>
    </row>
    <row r="8" customFormat="false" ht="15" hidden="false" customHeight="false" outlineLevel="0" collapsed="false">
      <c r="A8" s="4" t="s">
        <v>98</v>
      </c>
      <c r="B8" s="21" t="n">
        <v>23695</v>
      </c>
      <c r="C8" s="21" t="n">
        <v>52123</v>
      </c>
    </row>
    <row r="9" customFormat="false" ht="15" hidden="false" customHeight="false" outlineLevel="0" collapsed="false">
      <c r="A9" s="4" t="s">
        <v>122</v>
      </c>
      <c r="B9" s="21" t="n">
        <v>1853980</v>
      </c>
      <c r="C9" s="21" t="n">
        <v>1957990</v>
      </c>
    </row>
    <row r="10" customFormat="false" ht="15" hidden="false" customHeight="false" outlineLevel="0" collapsed="false">
      <c r="A10" s="4" t="s">
        <v>130</v>
      </c>
      <c r="B10" s="21" t="n">
        <v>964760</v>
      </c>
      <c r="C10" s="21" t="n">
        <v>1145330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0"/>
    <col collapsed="false" customWidth="true" hidden="false" outlineLevel="0" max="5" min="4" style="0" width="20"/>
    <col collapsed="false" customWidth="true" hidden="false" outlineLevel="0" max="6" min="6" style="0" width="100"/>
  </cols>
  <sheetData>
    <row r="1" customFormat="false" ht="17.35" hidden="false" customHeight="false" outlineLevel="0" collapsed="false">
      <c r="A1" s="7" t="s">
        <v>167</v>
      </c>
    </row>
    <row r="3" customFormat="false" ht="15" hidden="false" customHeight="false" outlineLevel="0" collapsed="false">
      <c r="A3" s="9" t="s">
        <v>168</v>
      </c>
      <c r="B3" s="9" t="s">
        <v>23</v>
      </c>
      <c r="C3" s="9" t="s">
        <v>169</v>
      </c>
      <c r="D3" s="9" t="s">
        <v>170</v>
      </c>
      <c r="E3" s="9" t="s">
        <v>78</v>
      </c>
      <c r="F3" s="9" t="s">
        <v>171</v>
      </c>
    </row>
    <row r="4" customFormat="false" ht="35.05" hidden="false" customHeight="false" outlineLevel="0" collapsed="false">
      <c r="A4" s="10" t="s">
        <v>172</v>
      </c>
      <c r="B4" s="11" t="s">
        <v>173</v>
      </c>
      <c r="C4" s="22" t="s">
        <v>174</v>
      </c>
      <c r="D4" s="14" t="s">
        <v>175</v>
      </c>
      <c r="E4" s="14" t="s">
        <v>34</v>
      </c>
      <c r="F4" s="14" t="s">
        <v>176</v>
      </c>
    </row>
    <row r="5" customFormat="false" ht="57.45" hidden="false" customHeight="false" outlineLevel="0" collapsed="false">
      <c r="A5" s="10" t="s">
        <v>177</v>
      </c>
      <c r="B5" s="11" t="s">
        <v>178</v>
      </c>
      <c r="C5" s="22" t="s">
        <v>174</v>
      </c>
      <c r="D5" s="14" t="s">
        <v>179</v>
      </c>
      <c r="E5" s="14" t="s">
        <v>41</v>
      </c>
      <c r="F5" s="14" t="s">
        <v>180</v>
      </c>
    </row>
    <row r="6" customFormat="false" ht="35.05" hidden="false" customHeight="false" outlineLevel="0" collapsed="false">
      <c r="A6" s="10" t="s">
        <v>177</v>
      </c>
      <c r="B6" s="11" t="s">
        <v>178</v>
      </c>
      <c r="C6" s="22" t="s">
        <v>174</v>
      </c>
      <c r="D6" s="14" t="s">
        <v>181</v>
      </c>
      <c r="E6" s="14" t="s">
        <v>47</v>
      </c>
      <c r="F6" s="14" t="s">
        <v>182</v>
      </c>
    </row>
    <row r="7" customFormat="false" ht="23.85" hidden="false" customHeight="false" outlineLevel="0" collapsed="false">
      <c r="A7" s="10" t="s">
        <v>183</v>
      </c>
      <c r="B7" s="11" t="s">
        <v>184</v>
      </c>
      <c r="C7" s="22" t="s">
        <v>174</v>
      </c>
      <c r="D7" s="14" t="s">
        <v>185</v>
      </c>
      <c r="E7" s="14" t="s">
        <v>57</v>
      </c>
      <c r="F7" s="14" t="s">
        <v>186</v>
      </c>
    </row>
    <row r="8" customFormat="false" ht="23.85" hidden="false" customHeight="false" outlineLevel="0" collapsed="false">
      <c r="A8" s="10" t="s">
        <v>183</v>
      </c>
      <c r="B8" s="11" t="s">
        <v>184</v>
      </c>
      <c r="C8" s="22" t="s">
        <v>174</v>
      </c>
      <c r="D8" s="14" t="s">
        <v>187</v>
      </c>
      <c r="E8" s="14" t="s">
        <v>82</v>
      </c>
      <c r="F8" s="14" t="s">
        <v>188</v>
      </c>
    </row>
    <row r="9" customFormat="false" ht="57.45" hidden="false" customHeight="false" outlineLevel="0" collapsed="false">
      <c r="A9" s="10" t="s">
        <v>183</v>
      </c>
      <c r="B9" s="11" t="s">
        <v>184</v>
      </c>
      <c r="C9" s="22" t="s">
        <v>174</v>
      </c>
      <c r="D9" s="14" t="s">
        <v>185</v>
      </c>
      <c r="E9" s="14" t="s">
        <v>106</v>
      </c>
      <c r="F9" s="14" t="s">
        <v>189</v>
      </c>
    </row>
    <row r="10" customFormat="false" ht="46.25" hidden="false" customHeight="false" outlineLevel="0" collapsed="false">
      <c r="A10" s="10" t="s">
        <v>183</v>
      </c>
      <c r="B10" s="11" t="s">
        <v>184</v>
      </c>
      <c r="C10" s="22" t="s">
        <v>174</v>
      </c>
      <c r="D10" s="14" t="s">
        <v>190</v>
      </c>
      <c r="E10" s="14" t="s">
        <v>41</v>
      </c>
      <c r="F10" s="14" t="s">
        <v>191</v>
      </c>
    </row>
    <row r="11" customFormat="false" ht="46.25" hidden="false" customHeight="false" outlineLevel="0" collapsed="false">
      <c r="A11" s="10" t="s">
        <v>183</v>
      </c>
      <c r="B11" s="11" t="s">
        <v>184</v>
      </c>
      <c r="C11" s="22" t="s">
        <v>174</v>
      </c>
      <c r="D11" s="14" t="s">
        <v>185</v>
      </c>
      <c r="E11" s="14" t="s">
        <v>47</v>
      </c>
      <c r="F11" s="14" t="s">
        <v>192</v>
      </c>
    </row>
    <row r="12" customFormat="false" ht="57.45" hidden="false" customHeight="false" outlineLevel="0" collapsed="false">
      <c r="A12" s="10" t="s">
        <v>108</v>
      </c>
      <c r="B12" s="11" t="s">
        <v>193</v>
      </c>
      <c r="C12" s="22" t="s">
        <v>174</v>
      </c>
      <c r="D12" s="14" t="s">
        <v>194</v>
      </c>
      <c r="E12" s="14" t="s">
        <v>34</v>
      </c>
      <c r="F12" s="14" t="s">
        <v>195</v>
      </c>
    </row>
    <row r="13" customFormat="false" ht="46.25" hidden="false" customHeight="false" outlineLevel="0" collapsed="false">
      <c r="A13" s="10" t="s">
        <v>196</v>
      </c>
      <c r="B13" s="11" t="s">
        <v>197</v>
      </c>
      <c r="C13" s="10" t="s">
        <v>198</v>
      </c>
      <c r="D13" s="14" t="s">
        <v>199</v>
      </c>
      <c r="E13" s="14" t="s">
        <v>200</v>
      </c>
      <c r="F13" s="14" t="s">
        <v>201</v>
      </c>
    </row>
    <row r="14" customFormat="false" ht="46.25" hidden="false" customHeight="false" outlineLevel="0" collapsed="false">
      <c r="A14" s="10" t="s">
        <v>202</v>
      </c>
      <c r="B14" s="11" t="s">
        <v>203</v>
      </c>
      <c r="C14" s="10" t="s">
        <v>198</v>
      </c>
      <c r="D14" s="14" t="s">
        <v>204</v>
      </c>
      <c r="E14" s="14" t="s">
        <v>57</v>
      </c>
      <c r="F14" s="14" t="s">
        <v>205</v>
      </c>
    </row>
    <row r="15" customFormat="false" ht="46.25" hidden="false" customHeight="false" outlineLevel="0" collapsed="false">
      <c r="A15" s="10" t="s">
        <v>202</v>
      </c>
      <c r="B15" s="11" t="s">
        <v>203</v>
      </c>
      <c r="C15" s="10" t="s">
        <v>198</v>
      </c>
      <c r="D15" s="14" t="s">
        <v>204</v>
      </c>
      <c r="E15" s="14" t="s">
        <v>82</v>
      </c>
      <c r="F15" s="14" t="s">
        <v>206</v>
      </c>
    </row>
    <row r="16" customFormat="false" ht="46.25" hidden="false" customHeight="false" outlineLevel="0" collapsed="false">
      <c r="A16" s="10" t="s">
        <v>207</v>
      </c>
      <c r="B16" s="11" t="s">
        <v>208</v>
      </c>
      <c r="C16" s="10" t="s">
        <v>198</v>
      </c>
      <c r="D16" s="14" t="s">
        <v>209</v>
      </c>
      <c r="E16" s="14" t="s">
        <v>52</v>
      </c>
      <c r="F16" s="14" t="s">
        <v>210</v>
      </c>
    </row>
    <row r="17" customFormat="false" ht="35.05" hidden="false" customHeight="false" outlineLevel="0" collapsed="false">
      <c r="A17" s="10" t="s">
        <v>211</v>
      </c>
      <c r="B17" s="11" t="s">
        <v>212</v>
      </c>
      <c r="C17" s="10" t="s">
        <v>213</v>
      </c>
      <c r="D17" s="14" t="s">
        <v>214</v>
      </c>
      <c r="E17" s="14" t="s">
        <v>52</v>
      </c>
      <c r="F17" s="14"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s>
  <sheetData>
    <row r="1" customFormat="false" ht="17.35" hidden="false" customHeight="false" outlineLevel="0" collapsed="false">
      <c r="A1" s="7" t="s">
        <v>216</v>
      </c>
    </row>
    <row r="2" customFormat="false" ht="15" hidden="false" customHeight="false" outlineLevel="0" collapsed="false">
      <c r="A2" s="8" t="s">
        <v>217</v>
      </c>
    </row>
    <row r="4" customFormat="false" ht="15" hidden="false" customHeight="false" outlineLevel="0" collapsed="false">
      <c r="A4" s="23" t="s">
        <v>218</v>
      </c>
      <c r="B4" s="9" t="s">
        <v>219</v>
      </c>
    </row>
    <row r="5" customFormat="false" ht="15" hidden="false" customHeight="false" outlineLevel="0" collapsed="false">
      <c r="A5" s="4" t="n">
        <v>5</v>
      </c>
      <c r="B5" s="24"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2026-08-28T15:49:56Z</dcterms:created>
  <dc:creator>openpyxl</dc:creator>
  <dc:description/>
  <dc:language>en-US</dc:language>
  <cp:lastModifiedBy/>
  <dcterms:modified xsi:type="dcterms:W3CDTF">2026-08-28T15:49:59Z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
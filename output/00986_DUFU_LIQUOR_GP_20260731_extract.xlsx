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趨勢圖'!$A$5:$A$7</f>
            </numRef>
          </cat>
          <val>
            <numRef>
              <f>'Chart 趨勢圖'!$B$5:$B$7</f>
            </numRef>
          </val>
        </ser>
        <ser>
          <idx val="1"/>
          <order val="1"/>
          <tx>
            <strRef>
              <f>'Chart 趨勢圖'!C4</f>
            </strRef>
          </tx>
          <spPr>
            <a:ln>
              <a:prstDash val="solid"/>
            </a:ln>
          </spPr>
          <cat>
            <numRef>
              <f>'Chart 趨勢圖'!$A$5:$A$7</f>
            </numRef>
          </cat>
          <val>
            <numRef>
              <f>'Chart 趨勢圖'!$C$5:$C$7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00986_DUFU_LIQUOR_GP_20260731.pdf</t>
        </is>
      </c>
    </row>
    <row r="5">
      <c r="A5" s="3" t="inlineStr">
        <is>
          <t>產生時間 Generated</t>
        </is>
      </c>
      <c r="B5" s="4" t="inlineStr">
        <is>
          <t>2026-08-30 22:17</t>
        </is>
      </c>
    </row>
    <row r="6">
      <c r="A6" s="4" t="inlineStr"/>
      <c r="B6" s="4" t="inlineStr"/>
    </row>
    <row r="7">
      <c r="A7" s="3" t="inlineStr">
        <is>
          <t>總頁數 Total pages</t>
        </is>
      </c>
      <c r="B7" s="4" t="n">
        <v>141</v>
      </c>
    </row>
    <row r="8">
      <c r="A8" s="3" t="inlineStr">
        <is>
          <t>已擷取字元 Characters extracted</t>
        </is>
      </c>
      <c r="B8" s="4" t="n">
        <v>306166</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1</v>
      </c>
    </row>
    <row r="13">
      <c r="A13" s="3" t="inlineStr">
        <is>
          <t>財務科目擷取筆數 Financial line items</t>
        </is>
      </c>
      <c r="B13" s="4" t="n">
        <v>12</v>
      </c>
    </row>
    <row r="14">
      <c r="A14" s="3" t="inlineStr">
        <is>
          <t>主題段落擷取筆數 Topic extracts</t>
        </is>
      </c>
      <c r="B14" s="4" t="n">
        <v>53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159,625 − 69,135 = 90,490</t>
        </is>
      </c>
    </row>
    <row r="20">
      <c r="A20" s="6" t="inlineStr">
        <is>
          <t>✓ 收入 − 銷售成本 = 毛利</t>
        </is>
      </c>
      <c r="B20" s="4" t="inlineStr">
        <is>
          <t>54,943 − 17,936 = 37,007 vs 毛利 37,007</t>
        </is>
      </c>
    </row>
    <row r="21">
      <c r="A21" s="6" t="inlineStr">
        <is>
          <t>✓ 三大報表應相鄰</t>
        </is>
      </c>
      <c r="B21" s="4" t="inlineStr">
        <is>
          <t>Income Statement: p.75、Balance Sheet: p.76、Cash Flow: p.79(相距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51.32</v>
      </c>
      <c r="D5" s="10" t="n">
        <v>67.36</v>
      </c>
      <c r="E5" s="11" t="inlineStr">
        <is>
          <t>51.32% to 67.36%</t>
        </is>
      </c>
      <c r="F5" s="11" t="inlineStr">
        <is>
          <t>Medium</t>
        </is>
      </c>
      <c r="G5" s="11" t="inlineStr">
        <is>
          <t>PDF p.4 (印刷頁 3)</t>
        </is>
      </c>
      <c r="H5" s="11" t="inlineStr">
        <is>
          <t>imately HK$2.48 million or 7.18% as compared with the year ended 31 March 2025. Gross profit margin of the Group increased from approximately 51.32% to 67.36%. The increase in gross profit was due to the higher demand in the Money Lending. The loss for the ye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54943</v>
      </c>
      <c r="D5" s="13" t="n">
        <v>67283</v>
      </c>
      <c r="E5" s="14">
        <f>IF(ISERROR((C5-D5)/ABS(D5)),"",(C5-D5)/ABS(D5))</f>
        <v>-0.18340442608088225</v>
      </c>
      <c r="F5" s="11" t="inlineStr">
        <is>
          <t>PDF p.75 (印刷頁 74)</t>
        </is>
      </c>
      <c r="G5" s="11" t="inlineStr">
        <is>
          <t>Revenue 8 54,943 67,283</t>
        </is>
      </c>
    </row>
    <row r="6">
      <c r="A6" s="8" t="inlineStr">
        <is>
          <t>Income Statement</t>
        </is>
      </c>
      <c r="B6" s="8" t="inlineStr">
        <is>
          <t>Cost of Sales</t>
        </is>
      </c>
      <c r="C6" s="12" t="n">
        <v>-17936</v>
      </c>
      <c r="D6" s="13" t="n">
        <v>-32756</v>
      </c>
      <c r="E6" s="14">
        <f>IF(ISERROR((C6-D6)/ABS(D6)),"",(C6-D6)/ABS(D6))</f>
        <v>0.45243619489559167</v>
      </c>
      <c r="F6" s="11" t="inlineStr">
        <is>
          <t>PDF p.75 (印刷頁 74)</t>
        </is>
      </c>
      <c r="G6" s="11" t="inlineStr">
        <is>
          <t>Cost of sales (17,936) (32,756)</t>
        </is>
      </c>
    </row>
    <row r="7">
      <c r="A7" s="8" t="inlineStr">
        <is>
          <t>Income Statement</t>
        </is>
      </c>
      <c r="B7" s="8" t="inlineStr">
        <is>
          <t>Gross Profit</t>
        </is>
      </c>
      <c r="C7" s="12" t="n">
        <v>37007</v>
      </c>
      <c r="D7" s="13" t="n">
        <v>34527</v>
      </c>
      <c r="E7" s="14">
        <f>IF(ISERROR((C7-D7)/ABS(D7)),"",(C7-D7)/ABS(D7))</f>
        <v>0.07182784487502535</v>
      </c>
      <c r="F7" s="11" t="inlineStr">
        <is>
          <t>PDF p.75 (印刷頁 74)</t>
        </is>
      </c>
      <c r="G7" s="11" t="inlineStr">
        <is>
          <t>Gross profit 37,007 34,527</t>
        </is>
      </c>
    </row>
    <row r="8">
      <c r="A8" s="8" t="inlineStr">
        <is>
          <t>Income Statement</t>
        </is>
      </c>
      <c r="B8" s="8" t="inlineStr">
        <is>
          <t>Finance Costs</t>
        </is>
      </c>
      <c r="C8" s="12" t="n">
        <v>-2790</v>
      </c>
      <c r="D8" s="13" t="n">
        <v>-2517</v>
      </c>
      <c r="E8" s="14">
        <f>IF(ISERROR((C8-D8)/ABS(D8)),"",(C8-D8)/ABS(D8))</f>
        <v>-0.10846245530393325</v>
      </c>
      <c r="F8" s="11" t="inlineStr">
        <is>
          <t>PDF p.75 (印刷頁 74)</t>
        </is>
      </c>
      <c r="G8" s="11" t="inlineStr">
        <is>
          <t>Finance costs 13 (2,790) (2,517)</t>
        </is>
      </c>
    </row>
    <row r="9">
      <c r="A9" s="8" t="inlineStr">
        <is>
          <t>Income Statement</t>
        </is>
      </c>
      <c r="B9" s="8" t="inlineStr">
        <is>
          <t>Income Tax</t>
        </is>
      </c>
      <c r="C9" s="12" t="n">
        <v>6371</v>
      </c>
      <c r="D9" s="13" t="n">
        <v>-1624</v>
      </c>
      <c r="E9" s="14">
        <f>IF(ISERROR((C9-D9)/ABS(D9)),"",(C9-D9)/ABS(D9))</f>
        <v>4.923029556650246</v>
      </c>
      <c r="F9" s="11" t="inlineStr">
        <is>
          <t>PDF p.75 (印刷頁 74)</t>
        </is>
      </c>
      <c r="G9" s="11" t="inlineStr">
        <is>
          <t>Income tax credit/(expense) 17 6,371 (1,624)</t>
        </is>
      </c>
    </row>
    <row r="10">
      <c r="A10" s="8" t="inlineStr">
        <is>
          <t>Balance Sheet</t>
        </is>
      </c>
      <c r="B10" s="8" t="inlineStr">
        <is>
          <t>Property Plant and Equipment</t>
        </is>
      </c>
      <c r="C10" s="12" t="n">
        <v>0</v>
      </c>
      <c r="D10" s="13" t="n">
        <v>0</v>
      </c>
      <c r="E10" s="14" t="str">
        <f>IF(ISERROR((C10-D10)/ABS(D10)),"",(C10-D10)/ABS(D10))</f>
        <v/>
      </c>
      <c r="F10" s="11" t="inlineStr">
        <is>
          <t>PDF p.76 (印刷頁 75)</t>
        </is>
      </c>
      <c r="G10" s="11" t="inlineStr">
        <is>
          <t>Property, plant and equipment 20 – –</t>
        </is>
      </c>
    </row>
    <row r="11">
      <c r="A11" s="8" t="inlineStr">
        <is>
          <t>Balance Sheet</t>
        </is>
      </c>
      <c r="B11" s="8" t="inlineStr">
        <is>
          <t>Inventories</t>
        </is>
      </c>
      <c r="C11" s="12" t="n">
        <v>93386</v>
      </c>
      <c r="D11" s="13" t="n">
        <v>93929</v>
      </c>
      <c r="E11" s="14">
        <f>IF(ISERROR((C11-D11)/ABS(D11)),"",(C11-D11)/ABS(D11))</f>
        <v>-0.00578096221614198</v>
      </c>
      <c r="F11" s="11" t="inlineStr">
        <is>
          <t>PDF p.76 (印刷頁 75)</t>
        </is>
      </c>
      <c r="G11" s="11" t="inlineStr">
        <is>
          <t>Inventories 23 93,386 93,929</t>
        </is>
      </c>
    </row>
    <row r="12">
      <c r="A12" s="8" t="inlineStr">
        <is>
          <t>Balance Sheet</t>
        </is>
      </c>
      <c r="B12" s="8" t="inlineStr">
        <is>
          <t>Trade Receivables</t>
        </is>
      </c>
      <c r="C12" s="12" t="n">
        <v>12498</v>
      </c>
      <c r="D12" s="13" t="n">
        <v>9862</v>
      </c>
      <c r="E12" s="14">
        <f>IF(ISERROR((C12-D12)/ABS(D12)),"",(C12-D12)/ABS(D12))</f>
        <v>0.2672885824376394</v>
      </c>
      <c r="F12" s="11" t="inlineStr">
        <is>
          <t>PDF p.76 (印刷頁 75)</t>
        </is>
      </c>
      <c r="G12" s="11" t="inlineStr">
        <is>
          <t>Trade receivables 24 12,498 9,862</t>
        </is>
      </c>
    </row>
    <row r="13">
      <c r="A13" s="8" t="inlineStr">
        <is>
          <t>Balance Sheet</t>
        </is>
      </c>
      <c r="B13" s="8" t="inlineStr">
        <is>
          <t>Total Equity</t>
        </is>
      </c>
      <c r="C13" s="12" t="n">
        <v>341381</v>
      </c>
      <c r="D13" s="13" t="n">
        <v>367133</v>
      </c>
      <c r="E13" s="14">
        <f>IF(ISERROR((C13-D13)/ABS(D13)),"",(C13-D13)/ABS(D13))</f>
        <v>-0.07014351747186987</v>
      </c>
      <c r="F13" s="11" t="inlineStr">
        <is>
          <t>PDF p.77 (印刷頁 76)</t>
        </is>
      </c>
      <c r="G13" s="11" t="inlineStr">
        <is>
          <t>Total equity 341,381 367,133</t>
        </is>
      </c>
    </row>
    <row r="14">
      <c r="A14" s="8" t="inlineStr">
        <is>
          <t>Balance Sheet</t>
        </is>
      </c>
      <c r="B14" s="8" t="inlineStr">
        <is>
          <t>Total Current Assets</t>
        </is>
      </c>
      <c r="C14" s="12" t="n">
        <v>159625</v>
      </c>
      <c r="D14" s="13" t="n">
        <v>314098</v>
      </c>
      <c r="E14" s="14">
        <f>IF(ISERROR((C14-D14)/ABS(D14)),"",(C14-D14)/ABS(D14))</f>
        <v>-0.4917987379734987</v>
      </c>
      <c r="F14" s="11" t="inlineStr">
        <is>
          <t>PDF p.76 (印刷頁 75)</t>
        </is>
      </c>
      <c r="G14" s="11" t="inlineStr">
        <is>
          <t>[current assets 區段小計] 159,625 314,098</t>
        </is>
      </c>
    </row>
    <row r="15">
      <c r="A15" s="8" t="inlineStr">
        <is>
          <t>Balance Sheet</t>
        </is>
      </c>
      <c r="B15" s="8" t="inlineStr">
        <is>
          <t>Total Current Liabilities</t>
        </is>
      </c>
      <c r="C15" s="12" t="n">
        <v>69135</v>
      </c>
      <c r="D15" s="13" t="n">
        <v>54372</v>
      </c>
      <c r="E15" s="14">
        <f>IF(ISERROR((C15-D15)/ABS(D15)),"",(C15-D15)/ABS(D15))</f>
        <v>0.2715184286029574</v>
      </c>
      <c r="F15" s="11" t="inlineStr">
        <is>
          <t>PDF p.76 (印刷頁 75)</t>
        </is>
      </c>
      <c r="G15" s="11" t="inlineStr">
        <is>
          <t>[current liabilities 區段小計] 69,135 54,372</t>
        </is>
      </c>
    </row>
    <row r="16">
      <c r="A16" s="8" t="inlineStr">
        <is>
          <t>Cash Flow</t>
        </is>
      </c>
      <c r="B16" s="8" t="inlineStr">
        <is>
          <t>Investing Cash Flow</t>
        </is>
      </c>
      <c r="C16" s="12" t="n">
        <v>5053</v>
      </c>
      <c r="D16" s="13" t="n">
        <v>123</v>
      </c>
      <c r="E16" s="14">
        <f>IF(ISERROR((C16-D16)/ABS(D16)),"",(C16-D16)/ABS(D16))</f>
        <v>40.08130081300813</v>
      </c>
      <c r="F16" s="11" t="inlineStr">
        <is>
          <t>PDF p.80 (印刷頁 79)</t>
        </is>
      </c>
      <c r="G16" s="11" t="inlineStr">
        <is>
          <t>Net cash generated from investing activities 5,053 123</t>
        </is>
      </c>
    </row>
    <row r="18">
      <c r="A18"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財務數據'!$C$5:$C$16,MATCH("Gross Profit",'Financials 財務數據'!$B$5:$B$16,0))/INDEX('Financials 財務數據'!$C$5:$C$16,MATCH("Revenue",'Financials 財務數據'!$B$5:$B$16,0))),"n/a",INDEX('Financials 財務數據'!$C$5:$C$16,MATCH("Gross Profit",'Financials 財務數據'!$B$5:$B$16,0))/INDEX('Financials 財務數據'!$C$5:$C$16,MATCH("Revenue",'Financials 財務數據'!$B$5:$B$16,0)))</f>
        <v>0.6735525908668984</v>
      </c>
      <c r="C5" s="15">
        <f>IF(ISERROR(INDEX('Financials 財務數據'!$D$5:$D$16,MATCH("Gross Profit",'Financials 財務數據'!$B$5:$B$16,0))/INDEX('Financials 財務數據'!$D$5:$D$16,MATCH("Revenue",'Financials 財務數據'!$B$5:$B$16,0))),"n/a",INDEX('Financials 財務數據'!$D$5:$D$16,MATCH("Gross Profit",'Financials 財務數據'!$B$5:$B$16,0))/INDEX('Financials 財務數據'!$D$5:$D$16,MATCH("Revenue",'Financials 財務數據'!$B$5:$B$16,0)))</f>
        <v>0.5131608281438105</v>
      </c>
      <c r="D5" s="2" t="inlineStr">
        <is>
          <t>毛利 ÷ 收入</t>
        </is>
      </c>
    </row>
    <row r="6">
      <c r="A6" s="4" t="inlineStr">
        <is>
          <t>Net Margin 淨利率</t>
        </is>
      </c>
      <c r="B6" s="15" t="str">
        <f>IF(ISERROR(INDEX('Financials 財務數據'!$C$5:$C$16,MATCH("Profit for the Year",'Financials 財務數據'!$B$5:$B$16,0))/INDEX('Financials 財務數據'!$C$5:$C$16,MATCH("Revenue",'Financials 財務數據'!$B$5:$B$16,0))),"n/a",INDEX('Financials 財務數據'!$C$5:$C$16,MATCH("Profit for the Year",'Financials 財務數據'!$B$5:$B$16,0))/INDEX('Financials 財務數據'!$C$5:$C$16,MATCH("Revenue",'Financials 財務數據'!$B$5:$B$16,0)))</f>
        <v>n/a</v>
      </c>
      <c r="C6" s="15" t="str">
        <f>IF(ISERROR(INDEX('Financials 財務數據'!$D$5:$D$16,MATCH("Profit for the Year",'Financials 財務數據'!$B$5:$B$16,0))/INDEX('Financials 財務數據'!$D$5:$D$16,MATCH("Revenue",'Financials 財務數據'!$B$5:$B$16,0))),"n/a",INDEX('Financials 財務數據'!$D$5:$D$16,MATCH("Profit for the Year",'Financials 財務數據'!$B$5:$B$16,0))/INDEX('Financials 財務數據'!$D$5:$D$16,MATCH("Revenue",'Financials 財務數據'!$B$5:$B$16,0)))</f>
        <v>n/a</v>
      </c>
      <c r="D6" s="2" t="inlineStr">
        <is>
          <t>年內溢利 ÷ 收入</t>
        </is>
      </c>
    </row>
    <row r="7">
      <c r="A7" s="4" t="inlineStr">
        <is>
          <t>Current Ratio 流動比率</t>
        </is>
      </c>
      <c r="B7" s="16">
        <f>IF(ISERROR(INDEX('Financials 財務數據'!$C$5:$C$16,MATCH("Total Current Assets",'Financials 財務數據'!$B$5:$B$16,0))/INDEX('Financials 財務數據'!$C$5:$C$16,MATCH("Total Current Liabilities",'Financials 財務數據'!$B$5:$B$16,0))),"n/a",INDEX('Financials 財務數據'!$C$5:$C$16,MATCH("Total Current Assets",'Financials 財務數據'!$B$5:$B$16,0))/INDEX('Financials 財務數據'!$C$5:$C$16,MATCH("Total Current Liabilities",'Financials 財務數據'!$B$5:$B$16,0)))</f>
        <v>2.308888406740435</v>
      </c>
      <c r="C7" s="16">
        <f>IF(ISERROR(INDEX('Financials 財務數據'!$D$5:$D$16,MATCH("Total Current Assets",'Financials 財務數據'!$B$5:$B$16,0))/INDEX('Financials 財務數據'!$D$5:$D$16,MATCH("Total Current Liabilities",'Financials 財務數據'!$B$5:$B$16,0))),"n/a",INDEX('Financials 財務數據'!$D$5:$D$16,MATCH("Total Current Assets",'Financials 財務數據'!$B$5:$B$16,0))/INDEX('Financials 財務數據'!$D$5:$D$16,MATCH("Total Current Liabilities",'Financials 財務數據'!$B$5:$B$16,0)))</f>
        <v>5.776833664386081</v>
      </c>
      <c r="D7" s="2" t="inlineStr">
        <is>
          <t>流動資產 ÷ 流動負債</t>
        </is>
      </c>
    </row>
    <row r="8">
      <c r="A8" s="4" t="inlineStr">
        <is>
          <t>Debt / Equity 負債權益比</t>
        </is>
      </c>
      <c r="B8" s="16" t="str">
        <f>IF(ISERROR(INDEX('Financials 財務數據'!$C$5:$C$16,MATCH("Total Liabilities",'Financials 財務數據'!$B$5:$B$16,0))/INDEX('Financials 財務數據'!$C$5:$C$16,MATCH("Total Equity",'Financials 財務數據'!$B$5:$B$16,0))),"n/a",INDEX('Financials 財務數據'!$C$5:$C$16,MATCH("Total Liabilities",'Financials 財務數據'!$B$5:$B$16,0))/INDEX('Financials 財務數據'!$C$5:$C$16,MATCH("Total Equity",'Financials 財務數據'!$B$5:$B$16,0)))</f>
        <v>n/a</v>
      </c>
      <c r="C8" s="16" t="str">
        <f>IF(ISERROR(INDEX('Financials 財務數據'!$D$5:$D$16,MATCH("Total Liabilities",'Financials 財務數據'!$B$5:$B$16,0))/INDEX('Financials 財務數據'!$D$5:$D$16,MATCH("Total Equity",'Financials 財務數據'!$B$5:$B$16,0))),"n/a",INDEX('Financials 財務數據'!$D$5:$D$16,MATCH("Total Liabilities",'Financials 財務數據'!$B$5:$B$16,0))/INDEX('Financials 財務數據'!$D$5:$D$16,MATCH("Total Equity",'Financials 財務數據'!$B$5:$B$16,0)))</f>
        <v>n/a</v>
      </c>
      <c r="D8" s="2" t="inlineStr">
        <is>
          <t>總負債 ÷ 總權益</t>
        </is>
      </c>
    </row>
    <row r="9">
      <c r="A9" s="4" t="inlineStr">
        <is>
          <t>Goodwill / Total Assets</t>
        </is>
      </c>
      <c r="B9" s="15" t="str">
        <f>IF(ISERROR(INDEX('Financials 財務數據'!$C$5:$C$16,MATCH("Goodwill",'Financials 財務數據'!$B$5:$B$16,0))/INDEX('Financials 財務數據'!$C$5:$C$16,MATCH("Total Assets",'Financials 財務數據'!$B$5:$B$16,0))),"n/a",INDEX('Financials 財務數據'!$C$5:$C$16,MATCH("Goodwill",'Financials 財務數據'!$B$5:$B$16,0))/INDEX('Financials 財務數據'!$C$5:$C$16,MATCH("Total Assets",'Financials 財務數據'!$B$5:$B$16,0)))</f>
        <v>n/a</v>
      </c>
      <c r="C9" s="15" t="str">
        <f>IF(ISERROR(INDEX('Financials 財務數據'!$D$5:$D$16,MATCH("Goodwill",'Financials 財務數據'!$B$5:$B$16,0))/INDEX('Financials 財務數據'!$D$5:$D$16,MATCH("Total Assets",'Financials 財務數據'!$B$5:$B$16,0))),"n/a",INDEX('Financials 財務數據'!$D$5:$D$16,MATCH("Goodwill",'Financials 財務數據'!$B$5:$B$16,0))/INDEX('Financials 財務數據'!$D$5:$D$16,MATCH("Total Assets",'Financials 財務數據'!$B$5:$B$16,0)))</f>
        <v>n/a</v>
      </c>
      <c r="D9" s="2" t="inlineStr">
        <is>
          <t>商譽佔總資產比重 — 減值風險指標</t>
        </is>
      </c>
    </row>
    <row r="10">
      <c r="A10" s="4" t="inlineStr">
        <is>
          <t>Intangibles / Total Assets</t>
        </is>
      </c>
      <c r="B10" s="15" t="str">
        <f>IF(ISERROR(INDEX('Financials 財務數據'!$C$5:$C$16,MATCH("Intangible Assets",'Financials 財務數據'!$B$5:$B$16,0))/INDEX('Financials 財務數據'!$C$5:$C$16,MATCH("Total Assets",'Financials 財務數據'!$B$5:$B$16,0))),"n/a",INDEX('Financials 財務數據'!$C$5:$C$16,MATCH("Intangible Assets",'Financials 財務數據'!$B$5:$B$16,0))/INDEX('Financials 財務數據'!$C$5:$C$16,MATCH("Total Assets",'Financials 財務數據'!$B$5:$B$16,0)))</f>
        <v>n/a</v>
      </c>
      <c r="C10" s="15" t="str">
        <f>IF(ISERROR(INDEX('Financials 財務數據'!$D$5:$D$16,MATCH("Intangible Assets",'Financials 財務數據'!$B$5:$B$16,0))/INDEX('Financials 財務數據'!$D$5:$D$16,MATCH("Total Assets",'Financials 財務數據'!$B$5:$B$16,0))),"n/a",INDEX('Financials 財務數據'!$D$5:$D$16,MATCH("Intangible Assets",'Financials 財務數據'!$B$5:$B$16,0))/INDEX('Financials 財務數據'!$D$5:$D$16,MATCH("Total Assets",'Financials 財務數據'!$B$5:$B$16,0)))</f>
        <v>n/a</v>
      </c>
      <c r="D10" s="2" t="inlineStr">
        <is>
          <t>無形資產佔比</t>
        </is>
      </c>
    </row>
    <row r="11">
      <c r="A11" s="4" t="inlineStr">
        <is>
          <t>ROE 股本回報率</t>
        </is>
      </c>
      <c r="B11" s="15" t="str">
        <f>IF(ISERROR(INDEX('Financials 財務數據'!$C$5:$C$16,MATCH("Profit for the Year",'Financials 財務數據'!$B$5:$B$16,0))/INDEX('Financials 財務數據'!$C$5:$C$16,MATCH("Total Equity",'Financials 財務數據'!$B$5:$B$16,0))),"n/a",INDEX('Financials 財務數據'!$C$5:$C$16,MATCH("Profit for the Year",'Financials 財務數據'!$B$5:$B$16,0))/INDEX('Financials 財務數據'!$C$5:$C$16,MATCH("Total Equity",'Financials 財務數據'!$B$5:$B$16,0)))</f>
        <v>n/a</v>
      </c>
      <c r="C11" s="15" t="str">
        <f>IF(ISERROR(INDEX('Financials 財務數據'!$D$5:$D$16,MATCH("Profit for the Year",'Financials 財務數據'!$B$5:$B$16,0))/INDEX('Financials 財務數據'!$D$5:$D$16,MATCH("Total Equity",'Financials 財務數據'!$B$5:$B$16,0))),"n/a",INDEX('Financials 財務數據'!$D$5:$D$16,MATCH("Profit for the Year",'Financials 財務數據'!$B$5:$B$16,0))/INDEX('Financials 財務數據'!$D$5:$D$16,MATCH("Total Equity",'Financials 財務數據'!$B$5:$B$16,0)))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67283</v>
      </c>
      <c r="C5" s="18" t="n">
        <v>54943</v>
      </c>
    </row>
    <row r="6">
      <c r="A6" s="4" t="inlineStr">
        <is>
          <t>Gross Profit</t>
        </is>
      </c>
      <c r="B6" s="18" t="n">
        <v>34527</v>
      </c>
      <c r="C6" s="18" t="n">
        <v>37007</v>
      </c>
    </row>
    <row r="7">
      <c r="A7" s="4" t="inlineStr">
        <is>
          <t>Total Equity</t>
        </is>
      </c>
      <c r="B7" s="18" t="n">
        <v>367133</v>
      </c>
      <c r="C7" s="18" t="n">
        <v>341381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fair value hierarchy</t>
        </is>
      </c>
      <c r="E4" s="11" t="inlineStr">
        <is>
          <t>PDF p.109 (印刷頁 108)</t>
        </is>
      </c>
      <c r="F4" s="11" t="inlineStr">
        <is>
          <t>the Group’s financial instruments measured at the end of the reporting period on a recurring basis, categorised into the three-level fair value hierarchy as defined in HKFRS 13, Fair Value Measurement. The level into which a fair value measurement is classified is determined with reference to the observability and significance of the inputs used in the valuation technique as follows: – Level 1 valuations: Fair value measured using only Level 1 inputs, that is, unadjusted quoted prices in active markets for identical assets or l</t>
        </is>
      </c>
    </row>
    <row r="5">
      <c r="A5" s="8" t="inlineStr">
        <is>
          <t>Impairment Testing</t>
        </is>
      </c>
      <c r="B5" s="8" t="inlineStr">
        <is>
          <t>減值測試</t>
        </is>
      </c>
      <c r="C5" s="19" t="inlineStr">
        <is>
          <t>high</t>
        </is>
      </c>
      <c r="D5" s="11" t="inlineStr">
        <is>
          <t>impairment test</t>
        </is>
      </c>
      <c r="E5" s="11" t="inlineStr">
        <is>
          <t>PDF p.84 (印刷頁 83)</t>
        </is>
      </c>
      <c r="F5" s="11" t="inlineStr">
        <is>
          <t>costs of investments. The results of subsidiaries are accounted for by the Company on the basis of dividend received or receivable. Impairment testing of the investments in subsidiaries is required upon receiving a dividend from these investments if the dividend exceeds the total comprehensive income of the subsidiary in the period the dividend is declared or if the carrying amount of the investment in the separate financial statements exceeds the carrying amount in the consolidated financial statements of the investee’s net a</t>
        </is>
      </c>
    </row>
    <row r="6">
      <c r="A6" s="8" t="inlineStr">
        <is>
          <t>Impairment Testing</t>
        </is>
      </c>
      <c r="B6" s="8" t="inlineStr">
        <is>
          <t>減值測試</t>
        </is>
      </c>
      <c r="C6" s="19" t="inlineStr">
        <is>
          <t>high</t>
        </is>
      </c>
      <c r="D6" s="11" t="inlineStr">
        <is>
          <t>impairment loss</t>
        </is>
      </c>
      <c r="E6" s="11" t="inlineStr">
        <is>
          <t>PDF p.87 (印刷頁 86)</t>
        </is>
      </c>
      <c r="F6" s="11" t="inlineStr">
        <is>
          <t>t value, less any lease incentives received. The right-of-use asset is subsequently stated at cost less accumulated depreciation and impairment losses, if any. 86 Dufu Liquor Group Limited Annual Report 2026</t>
        </is>
      </c>
    </row>
    <row r="7">
      <c r="A7" s="8" t="inlineStr">
        <is>
          <t>Impairment Testing</t>
        </is>
      </c>
      <c r="B7" s="8" t="inlineStr">
        <is>
          <t>減值測試</t>
        </is>
      </c>
      <c r="C7" s="19" t="inlineStr">
        <is>
          <t>high</t>
        </is>
      </c>
      <c r="D7" s="11" t="inlineStr">
        <is>
          <t>impairment loss</t>
        </is>
      </c>
      <c r="E7" s="11" t="inlineStr">
        <is>
          <t>PDF p.95 (印刷頁 94)</t>
        </is>
      </c>
      <c r="F7" s="11" t="inlineStr">
        <is>
          <t>t of profit or loss to its estimated recoverable amount unless the relevant asset is carried at a revalued amount, in which case the impairment loss is treated as a revaluation decrease. The recoverable amount is determined for an individual asset, unless the asset does not generate cash inflows that are largely independent of those from other assets or groups of assets. If this is the case, recoverable amount is determined for the CGU to which the asset belongs. Recoverable amount is the higher of value in use and the fair val</t>
        </is>
      </c>
    </row>
    <row r="8">
      <c r="A8" s="8" t="inlineStr">
        <is>
          <t>Impairment Testing</t>
        </is>
      </c>
      <c r="B8" s="8" t="inlineStr">
        <is>
          <t>減值測試</t>
        </is>
      </c>
      <c r="C8" s="19" t="inlineStr">
        <is>
          <t>high</t>
        </is>
      </c>
      <c r="D8" s="11" t="inlineStr">
        <is>
          <t>impairment loss</t>
        </is>
      </c>
      <c r="E8" s="11" t="inlineStr">
        <is>
          <t>PDF p.101 (印刷頁 100)</t>
        </is>
      </c>
      <c r="F8" s="11" t="inlineStr">
        <is>
          <t>(d) Impairment assessment on trade receivables and loan and interest receivables The management of the Group estimates the amount of impairment loss of ECL on trade receivables and loan and interest receivables based on the credit risk of trade receivables and loan and interest receivables. The amount of the impairment loss based on ECL model is measured as the difference between all contractual cash flows that are due to the Group in accordance with the contract and all the cash flows that the Group expects to receive, discoun</t>
        </is>
      </c>
    </row>
    <row r="9">
      <c r="A9" s="8" t="inlineStr">
        <is>
          <t>Impairment Testing</t>
        </is>
      </c>
      <c r="B9" s="8" t="inlineStr">
        <is>
          <t>減值測試</t>
        </is>
      </c>
      <c r="C9" s="19" t="inlineStr">
        <is>
          <t>high</t>
        </is>
      </c>
      <c r="D9" s="11" t="inlineStr">
        <is>
          <t>impairment loss</t>
        </is>
      </c>
      <c r="E9" s="11" t="inlineStr">
        <is>
          <t>PDF p.102 (印刷頁 101)</t>
        </is>
      </c>
      <c r="F9" s="11" t="inlineStr">
        <is>
          <t>assigned by international credit-rating agencies, for which the Group considers to have low credit risk. For financial assets whose impairment losses are measured using ECL model except trade receivables, the Group assesses whether their credit risk has increased significantly since their initial recognition, and applies a three-stage impairment model to calculate their allowance for ECL and recognise their ECL, as follows: Stage 1: If the credit risk has not increased significantly since its initial recognition, the financial</t>
        </is>
      </c>
    </row>
    <row r="10">
      <c r="A10" s="8" t="inlineStr">
        <is>
          <t>Impairment Testing</t>
        </is>
      </c>
      <c r="B10" s="8" t="inlineStr">
        <is>
          <t>減值測試</t>
        </is>
      </c>
      <c r="C10" s="19" t="inlineStr">
        <is>
          <t>high</t>
        </is>
      </c>
      <c r="D10" s="11" t="inlineStr">
        <is>
          <t>recoverable amount</t>
        </is>
      </c>
      <c r="E10" s="11" t="inlineStr">
        <is>
          <t>PDF p.105 (印刷頁 104)</t>
        </is>
      </c>
      <c r="F10" s="11" t="inlineStr">
        <is>
          <t>for determination of credit limits, credit approval and other monitoring procedures to ensure that follow-up action is taken for the recoverable amount of the loan and interest receivables. The Group’s loan receivables arise from the money lending business in Hong Kong. Loan receivables include both secured and unsecured loans to individuals customers, which are bearing interest and are repayable with fixed terms agreed with the Group’s customers. Secured loan receivables are secured by collaterals provided by customers. The fo</t>
        </is>
      </c>
    </row>
    <row r="11">
      <c r="A11" s="8" t="inlineStr">
        <is>
          <t>Impairment Testing</t>
        </is>
      </c>
      <c r="B11" s="8" t="inlineStr">
        <is>
          <t>減值測試</t>
        </is>
      </c>
      <c r="C11" s="19" t="inlineStr">
        <is>
          <t>high</t>
        </is>
      </c>
      <c r="D11" s="11" t="inlineStr">
        <is>
          <t>impairment loss</t>
        </is>
      </c>
      <c r="E11" s="11" t="inlineStr">
        <is>
          <t>PDF p.124 (印刷頁 123)</t>
        </is>
      </c>
      <c r="F11" s="11" t="inlineStr">
        <is>
          <t>ys) to its trade customers. The Group does not hold any collateral over the balances. An aging analysis of trade receivables, net of impairment loss recognised, at the end of reporting period, based on the invoice date, is as follows: 2026 2025 HK$’000 HK$’000 Within 3 months 3,417 4,290 Within 4 to 6 months 5,541 4,972 Over 6 months 3,540 600 12,498 9,862 At 31 March 2026 and 2025, the trade receivables were denominated in HK$. Dufu Liquor Group Limited 123 Annual Report 2026</t>
        </is>
      </c>
    </row>
    <row r="12">
      <c r="A12" s="8" t="inlineStr">
        <is>
          <t>Intangible Assets &amp; Goodwill</t>
        </is>
      </c>
      <c r="B12" s="8" t="inlineStr">
        <is>
          <t>無形資產及商譽</t>
        </is>
      </c>
      <c r="C12" s="19" t="inlineStr">
        <is>
          <t>high</t>
        </is>
      </c>
      <c r="D12" s="11" t="inlineStr">
        <is>
          <t>licence</t>
        </is>
      </c>
      <c r="E12" s="11" t="inlineStr">
        <is>
          <t>PDF p.5 (印刷頁 4)</t>
        </is>
      </c>
      <c r="F12" s="11" t="inlineStr">
        <is>
          <t>tudes toward luxury purchases are shifting, especially among younger buyers. Money Lending business The Group holds a money lender’s licence in Hong Kong pursuant to the Money Lenders Ordinance (Chapter 163 of the Laws of Hong Kong) and provides loan facilities to prospective clients. The Group earns interest income from the provision of such loan facilities through the wholly owned subsidiary of the Company, Great Luck Finance Limited (“Great Luck”). As at 31 March 2026, there were a total of 150 (31 March 2025: 142) individua</t>
        </is>
      </c>
    </row>
    <row r="13">
      <c r="A13" s="8" t="inlineStr">
        <is>
          <t>Intangible Assets &amp; Goodwill</t>
        </is>
      </c>
      <c r="B13" s="8" t="inlineStr">
        <is>
          <t>無形資產及商譽</t>
        </is>
      </c>
      <c r="C13" s="19" t="inlineStr">
        <is>
          <t>high</t>
        </is>
      </c>
      <c r="D13" s="11" t="inlineStr">
        <is>
          <t>trademark</t>
        </is>
      </c>
      <c r="E13" s="11" t="inlineStr">
        <is>
          <t>PDF p.45 (印刷頁 44)</t>
        </is>
      </c>
      <c r="F13" s="11" t="inlineStr">
        <is>
          <t>but are not limited to the “Trade Descriptions Ordinance” of Hong Kong, and the “Patent Law of the People’s Republic of China”, the “Trademark Law of the People’s Republic of China” and the “Copyright Law of the People’s Republic of China” of Mainland China. Product Quality The Group actively safeguards the quality of its products and services with its internal control process. The Group also maintains ongoing communication with its customers and clients to ensure that their demands and expectations are understood and met, and</t>
        </is>
      </c>
    </row>
    <row r="14">
      <c r="A14" s="8" t="inlineStr">
        <is>
          <t>Intangible Assets &amp; Goodwill</t>
        </is>
      </c>
      <c r="B14" s="8" t="inlineStr">
        <is>
          <t>無形資產及商譽</t>
        </is>
      </c>
      <c r="C14" s="19" t="inlineStr">
        <is>
          <t>high</t>
        </is>
      </c>
      <c r="D14" s="11" t="inlineStr">
        <is>
          <t>licence</t>
        </is>
      </c>
      <c r="E14" s="11" t="inlineStr">
        <is>
          <t>PDF p.46 (印刷頁 45)</t>
        </is>
      </c>
      <c r="F14" s="11" t="inlineStr">
        <is>
          <t>” of Hong Kong. Any advertisements for the purpose of the money lending business must clearly state the number of the money lenders’ licence, telephone hotline for handling complaints and a risk warning statement, whether in textual, audio or visual form. Dufu Liquor Group Limited 45 Annual Report 2026</t>
        </is>
      </c>
    </row>
    <row r="15">
      <c r="A15" s="8" t="inlineStr">
        <is>
          <t>Intangible Assets &amp; Goodwill</t>
        </is>
      </c>
      <c r="B15" s="8" t="inlineStr">
        <is>
          <t>無形資產及商譽</t>
        </is>
      </c>
      <c r="C15" s="19" t="inlineStr">
        <is>
          <t>high</t>
        </is>
      </c>
      <c r="D15" s="11" t="inlineStr">
        <is>
          <t>goodwill</t>
        </is>
      </c>
      <c r="E15" s="11" t="inlineStr">
        <is>
          <t>PDF p.84 (印刷頁 83)</t>
        </is>
      </c>
      <c r="F15" s="11" t="inlineStr">
        <is>
          <t>of any investment retained in that subsidiary; and (ii) the Company’s share of the net assets of that subsidiary plus any remaining goodwill and any accumulated foreign currency translation reserves relating to that subsidiary. Intragroup transactions, balances and unrealised profits are eliminated. Unrealised losses are also eliminated unless the transaction provides evidence of an impairment of the asset transferred. Accounting policies of subsidiaries have been changed where necessary to ensure consistency with the policies</t>
        </is>
      </c>
    </row>
    <row r="16">
      <c r="A16" s="8" t="inlineStr">
        <is>
          <t>Intangible Assets &amp; Goodwill</t>
        </is>
      </c>
      <c r="B16" s="8" t="inlineStr">
        <is>
          <t>無形資產及商譽</t>
        </is>
      </c>
      <c r="C16" s="19" t="inlineStr">
        <is>
          <t>high</t>
        </is>
      </c>
      <c r="D16" s="11" t="inlineStr">
        <is>
          <t>goodwill</t>
        </is>
      </c>
      <c r="E16" s="11" t="inlineStr">
        <is>
          <t>PDF p.86 (印刷頁 85)</t>
        </is>
      </c>
      <c r="F16" s="11" t="inlineStr">
        <is>
          <t>peration is sold, such exchange differences are reclassified to consolidated profit or loss as part of the gain or loss on disposal. Goodwill and fair value adjustments arising on the acquisition of a foreign entity are treated as assets and liabilities of the foreign entity and translated at the closing rate. (d) Property, plant and equipment Property, plant and equipment are stated in the consolidated statement of financial position at cost, less subsequent accumulated depreciation and subsequent accumulated impairment losses</t>
        </is>
      </c>
    </row>
    <row r="17">
      <c r="A17" s="8" t="inlineStr">
        <is>
          <t>Intangible Assets &amp; Goodwill</t>
        </is>
      </c>
      <c r="B17" s="8" t="inlineStr">
        <is>
          <t>無形資產及商譽</t>
        </is>
      </c>
      <c r="C17" s="19" t="inlineStr">
        <is>
          <t>high</t>
        </is>
      </c>
      <c r="D17" s="11" t="inlineStr">
        <is>
          <t>useful life</t>
        </is>
      </c>
      <c r="E17" s="11" t="inlineStr">
        <is>
          <t>PDF p.88 (印刷頁 87)</t>
        </is>
      </c>
      <c r="F17"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Refundable rental deposits paid are accounted under HKFRS 9 and initially measured at fair value. Adjustments to fair value at initial recognition are considered as additional lease payments and included in the cost of right-of-use assets. The lease</t>
        </is>
      </c>
    </row>
    <row r="18">
      <c r="A18" s="8" t="inlineStr">
        <is>
          <t>Intangible Assets &amp; Goodwill</t>
        </is>
      </c>
      <c r="B18" s="8" t="inlineStr">
        <is>
          <t>無形資產及商譽</t>
        </is>
      </c>
      <c r="C18" s="19" t="inlineStr">
        <is>
          <t>high</t>
        </is>
      </c>
      <c r="D18" s="11" t="inlineStr">
        <is>
          <t>goodwill</t>
        </is>
      </c>
      <c r="E18" s="11" t="inlineStr">
        <is>
          <t>PDF p.93 (印刷頁 92)</t>
        </is>
      </c>
      <c r="F18" s="11" t="inlineStr">
        <is>
          <t>losses or unused tax credits can be utilised. Such assets and liabilities are not recognised if the temporary difference arises from goodwill or from the initial recognition (other than in a business combination) of other assets and liabilities in a transaction that affects neither the taxable profit nor the accounting profit and at the time of transaction that does not give rise to equal taxable and deductible temporary differences. 92 Dufu Liquor Group Limited Annual Report 2026</t>
        </is>
      </c>
    </row>
    <row r="19">
      <c r="A19" s="8" t="inlineStr">
        <is>
          <t>Intangible Assets &amp; Goodwill</t>
        </is>
      </c>
      <c r="B19" s="8" t="inlineStr">
        <is>
          <t>無形資產及商譽</t>
        </is>
      </c>
      <c r="C19" s="19" t="inlineStr">
        <is>
          <t>high</t>
        </is>
      </c>
      <c r="D19" s="11" t="inlineStr">
        <is>
          <t>goodwill</t>
        </is>
      </c>
      <c r="E19" s="11" t="inlineStr">
        <is>
          <t>PDF p.95 (印刷頁 94)</t>
        </is>
      </c>
      <c r="F19" s="11" t="inlineStr">
        <is>
          <t>nd the risks specific to the asset/CGU whose impairment is being measured. Impairment losses for CGU are allocated first against the goodwill of the unit and then pro rata amongst the other assets of the CGU. Subsequent increases in the recoverable amount caused by changes in estimates are credited to profit or loss to the extent that they reverse the impairment unless the relevant asset is carried at a revalued amount, in which case the reversal of the impairment loss is treated as a revaluation increase. (r) Impairment of fin</t>
        </is>
      </c>
    </row>
    <row r="20">
      <c r="A20" s="8" t="inlineStr">
        <is>
          <t>ESG Data</t>
        </is>
      </c>
      <c r="B20" s="8" t="inlineStr">
        <is>
          <t>環境社會及管治數據</t>
        </is>
      </c>
      <c r="C20" s="8" t="inlineStr">
        <is>
          <t>medium</t>
        </is>
      </c>
      <c r="D20" s="11" t="inlineStr">
        <is>
          <t>ESG</t>
        </is>
      </c>
      <c r="E20" s="11" t="inlineStr">
        <is>
          <t>PDF p.24 (印刷頁 23)</t>
        </is>
      </c>
      <c r="F20" s="11" t="inlineStr">
        <is>
          <t>incipally engaged in the design and marketing of jewellery and money lending businesses. This Environmental, Social and Governance (“ESG”) report (the “ESG Report”) summarises the ESG initiatives, plans and performances of the Group and demonstrates its commitment to sustainable development. The Group adheres to the management policies of sustainable ESG development. The Group is also committed to handling its ESG affairs effectively and responsibly, which is integrated as one of the core components of its business strategy, as</t>
        </is>
      </c>
    </row>
    <row r="21">
      <c r="A21" s="8" t="inlineStr">
        <is>
          <t>ESG Data</t>
        </is>
      </c>
      <c r="B21" s="8" t="inlineStr">
        <is>
          <t>環境社會及管治數據</t>
        </is>
      </c>
      <c r="C21" s="8" t="inlineStr">
        <is>
          <t>medium</t>
        </is>
      </c>
      <c r="D21" s="11" t="inlineStr">
        <is>
          <t>ESG</t>
        </is>
      </c>
      <c r="E21" s="11" t="inlineStr">
        <is>
          <t>PDF p.25 (印刷頁 24)</t>
        </is>
      </c>
      <c r="F21" s="11" t="inlineStr">
        <is>
          <t>Environmental, Social and Governance Report REPORTING PERIOD The ESG Report describes the ESG initiatives, plans and performances taken by the Group for the year ended 31 March 2026 (“2026”). REPORTING SCOPE The reporting scope of this ESG Report is determined by considering materiality principles, the Group’s core business and primary revenue sources. This ESG Report covers the Group’s two operating segments, namely the design and marketing of jewellery as wel</t>
        </is>
      </c>
    </row>
    <row r="22">
      <c r="A22" s="8" t="inlineStr">
        <is>
          <t>ESG Data</t>
        </is>
      </c>
      <c r="B22" s="8" t="inlineStr">
        <is>
          <t>環境社會及管治數據</t>
        </is>
      </c>
      <c r="C22" s="8" t="inlineStr">
        <is>
          <t>medium</t>
        </is>
      </c>
      <c r="D22" s="11" t="inlineStr">
        <is>
          <t>ESG</t>
        </is>
      </c>
      <c r="E22" s="11" t="inlineStr">
        <is>
          <t>PDF p.26 (印刷頁 25)</t>
        </is>
      </c>
      <c r="F22" s="11" t="inlineStr">
        <is>
          <t>l, Social and Governance Report STAKEHOLDER ENGAGEMENT The Group values its stakeholders and their views related to its business and ESG issues. In order to understand stakeholders’ expectations and concerns, the Group has maintained close communication with its stakeholders through a variety of engagement channels. In formulating operational strategies and ESG measures, the Group takes into account stakeholders’ expectations and concerns and strives to improve its performance through cooperation to create greater values for so</t>
        </is>
      </c>
    </row>
    <row r="23">
      <c r="A23" s="8" t="inlineStr">
        <is>
          <t>ESG Data</t>
        </is>
      </c>
      <c r="B23" s="8" t="inlineStr">
        <is>
          <t>環境社會及管治數據</t>
        </is>
      </c>
      <c r="C23" s="8" t="inlineStr">
        <is>
          <t>medium</t>
        </is>
      </c>
      <c r="D23" s="11" t="inlineStr">
        <is>
          <t>greenhouse gas</t>
        </is>
      </c>
      <c r="E23" s="11" t="inlineStr">
        <is>
          <t>PDF p.27 (印刷頁 26)</t>
        </is>
      </c>
      <c r="F23" s="11" t="inlineStr">
        <is>
          <t>keholder engagement. The table below summarises the Group’s material topics: Low Risk Medium Risk High Risk Waste Management Air and Greenhouse Gas Climate Change Management Energy Management (“GHG”) Emissions Product Quality Water Management Health and Safety Anti-corruption Employment Customer Privacy Protection Corporate Social Responsibility Development and Training Intellectual Property (“IP”) Rights Labour Standards Supply Chain Management Customer Services Advertising and Labelling CONTACT US The Group welcomes stakehold</t>
        </is>
      </c>
    </row>
    <row r="24">
      <c r="A24" s="8" t="inlineStr">
        <is>
          <t>ESG Data</t>
        </is>
      </c>
      <c r="B24" s="8" t="inlineStr">
        <is>
          <t>環境社會及管治數據</t>
        </is>
      </c>
      <c r="C24" s="8" t="inlineStr">
        <is>
          <t>medium</t>
        </is>
      </c>
      <c r="D24" s="11" t="inlineStr">
        <is>
          <t>GHG emission</t>
        </is>
      </c>
      <c r="E24" s="11" t="inlineStr">
        <is>
          <t>PDF p.28 (印刷頁 27)</t>
        </is>
      </c>
      <c r="F24" s="11" t="inlineStr">
        <is>
          <t>risons are listed in the table below and subsequent sections. Aspects Progress on targets set in 2025 and targets for upcoming years GHG Emissions The Group is making progress towards maintaining or reducing the intensity of total Scope 1, 2 and 3 GHG emissions by the year ending 31 March 2028 (“2028”), using 2025 as the base year (approximately 0.16 tonnes of carbon dioxide equivalent (“tCO2e”)/million HK$ revenue). The Group remains committed to achieving this target. The Group did not participate in relevant campaigns due to</t>
        </is>
      </c>
    </row>
    <row r="25">
      <c r="A25" s="8" t="inlineStr">
        <is>
          <t>ESG Data</t>
        </is>
      </c>
      <c r="B25" s="8" t="inlineStr">
        <is>
          <t>環境社會及管治數據</t>
        </is>
      </c>
      <c r="C25" s="8" t="inlineStr">
        <is>
          <t>medium</t>
        </is>
      </c>
      <c r="D25" s="11" t="inlineStr">
        <is>
          <t>ESG</t>
        </is>
      </c>
      <c r="E25" s="11" t="inlineStr">
        <is>
          <t>PDF p.29 (印刷頁 28)</t>
        </is>
      </c>
      <c r="F25" s="11" t="inlineStr">
        <is>
          <t>d an “Environmental Policy” to strengthen environmental protection measures and comply with relevant local laws and regulations. The ESG Working Group is responsible for the Group’s environmental affairs and supervises the implementation of relevant policies and measures. Under their guidance, various departments work to implement the Group’s environmental protection policies and ensure compliance with legal requirements. The ESG Working Group continuously reviews the Group’s policies and implementation procedures, periodically</t>
        </is>
      </c>
    </row>
    <row r="26">
      <c r="A26" s="8" t="inlineStr">
        <is>
          <t>ESG Data</t>
        </is>
      </c>
      <c r="B26" s="8" t="inlineStr">
        <is>
          <t>環境社會及管治數據</t>
        </is>
      </c>
      <c r="C26" s="8" t="inlineStr">
        <is>
          <t>medium</t>
        </is>
      </c>
      <c r="D26" s="11" t="inlineStr">
        <is>
          <t>sustainability</t>
        </is>
      </c>
      <c r="E26" s="11" t="inlineStr">
        <is>
          <t>PDF p.30 (印刷頁 29)</t>
        </is>
      </c>
      <c r="F26" s="11" t="inlineStr">
        <is>
          <t>educe paper and waste generation, the Group has made significant efforts to educate its employees on the importance of environmental sustainability. In addition, the Group has adopted various environmentallyfriendly initiatives, including but not limited to the following green measures: • Use electronic communication channels for information sharing; • Reuse paper that has been used on one side for drafting, photocopying and fax delivering; • Utilise paper by adjusting document’s margins, font size and printer settings; • Avo</t>
        </is>
      </c>
    </row>
    <row r="27">
      <c r="A27" s="8" t="inlineStr">
        <is>
          <t>ESG Data</t>
        </is>
      </c>
      <c r="B27" s="8" t="inlineStr">
        <is>
          <t>環境社會及管治數據</t>
        </is>
      </c>
      <c r="C27" s="8" t="inlineStr">
        <is>
          <t>medium</t>
        </is>
      </c>
      <c r="D27" s="11" t="inlineStr">
        <is>
          <t>energy consumption</t>
        </is>
      </c>
      <c r="E27" s="11" t="inlineStr">
        <is>
          <t>PDF p.32 (印刷頁 31)</t>
        </is>
      </c>
      <c r="F27" s="11" t="inlineStr">
        <is>
          <t>NTAL (continued) Use of Resources (continued) Energy Management (continued) Due to increased business travel, its intensity of total energy consumption in 2026 has increased compared to 2025. The following table is the summary of the Group’s performance regarding energy consumption: Indicators3 Unit 2026 2025 Direct Energy Consumption MWh 25.21 24.45 • Unleaded Petrol Indirect Energy Consumption MWh 6.11 6.50 • Purchased Electricity Total Energy Consumption MWh 31.32 30.95 Intensity of Total Energy Consumption MWh/million 0.57</t>
        </is>
      </c>
    </row>
    <row r="28">
      <c r="A28" s="8" t="inlineStr">
        <is>
          <t>ESG Data</t>
        </is>
      </c>
      <c r="B28" s="8" t="inlineStr">
        <is>
          <t>環境社會及管治數據</t>
        </is>
      </c>
      <c r="C28" s="8" t="inlineStr">
        <is>
          <t>medium</t>
        </is>
      </c>
      <c r="D28" s="11" t="inlineStr">
        <is>
          <t>ESG</t>
        </is>
      </c>
      <c r="E28" s="11" t="inlineStr">
        <is>
          <t>PDF p.33 (印刷頁 32)</t>
        </is>
      </c>
      <c r="F28" s="11" t="inlineStr">
        <is>
          <t>ted disclosures across the four core pillars of governance, strategy, risk management, and metrics and targets with reference to the ESG Reporting Code of the Stock Exchange. 32 Dufu Liquor Group Limited Annual Report 2026</t>
        </is>
      </c>
    </row>
    <row r="29">
      <c r="A29" s="8" t="inlineStr">
        <is>
          <t>ESG Data</t>
        </is>
      </c>
      <c r="B29" s="8" t="inlineStr">
        <is>
          <t>環境社會及管治數據</t>
        </is>
      </c>
      <c r="C29" s="8" t="inlineStr">
        <is>
          <t>medium</t>
        </is>
      </c>
      <c r="D29" s="11" t="inlineStr">
        <is>
          <t>ESG</t>
        </is>
      </c>
      <c r="E29" s="11" t="inlineStr">
        <is>
          <t>PDF p.34 (印刷頁 33)</t>
        </is>
      </c>
      <c r="F29" s="11" t="inlineStr">
        <is>
          <t>Environmental, Social and Governance Report A. ENVIRONMENTAL (continued) Climate Change (continued) Governance The Group’s overall ESG governance framework, including the roles and responsibilities of the Board and the ESG Working Group, is detailed in the section headed “The ESG Governance Structure”. Building on this structure, the Board exercises ultimate oversight of climate-related risks and opportunities as an integral part of its broader ESG responsibilities. The Board maintains climate-related oversight by leveraging</t>
        </is>
      </c>
    </row>
    <row r="30">
      <c r="A30" s="8" t="inlineStr">
        <is>
          <t>ESG Data</t>
        </is>
      </c>
      <c r="B30" s="8" t="inlineStr">
        <is>
          <t>環境社會及管治數據</t>
        </is>
      </c>
      <c r="C30" s="8" t="inlineStr">
        <is>
          <t>medium</t>
        </is>
      </c>
      <c r="D30" s="11" t="inlineStr">
        <is>
          <t>GHG emission</t>
        </is>
      </c>
      <c r="E30" s="11" t="inlineStr">
        <is>
          <t>PDF p.35 (印刷頁 34)</t>
        </is>
      </c>
      <c r="F30" s="11" t="inlineStr">
        <is>
          <t>arise due to climate change. The Group understands the importance of green initiatives to achieve greater energy efficiency, reduce GHG emissions, and lower its carbon footprint as well as energy costs in the short- to long-term. The Group has set targets to reduce energy consumption and GHG emissions to minimise its environmental impacts. The Group will continue to improve the energy management system and assess its effectiveness in addressing climate change and enhancing its resilience against climate-related issues. Based o</t>
        </is>
      </c>
    </row>
    <row r="31">
      <c r="A31" s="8" t="inlineStr">
        <is>
          <t>ESG Data</t>
        </is>
      </c>
      <c r="B31" s="8" t="inlineStr">
        <is>
          <t>環境社會及管治數據</t>
        </is>
      </c>
      <c r="C31" s="8" t="inlineStr">
        <is>
          <t>medium</t>
        </is>
      </c>
      <c r="D31" s="11" t="inlineStr">
        <is>
          <t>GHG emission</t>
        </is>
      </c>
      <c r="E31" s="11" t="inlineStr">
        <is>
          <t>PDF p.36 (印刷頁 35)</t>
        </is>
      </c>
      <c r="F31" s="11" t="inlineStr">
        <is>
          <t>with corresponding strategic measures set out in the “Strategy” section above. Metrics and Targets The major sources of the Group’s GHG emissions are direct GHG emissions (Scope 1) from the combustion of unleaded petrol for vehicles, indirect GHG emissions (Scope 2) from purchased electricity and other indirect GHG emissions (Scope 3) from the paper waste disposed of in landfills and employee business travel. To reduce GHG emissions, the Group has adopted air emissions mitigation, paper use reduction and energy conservation me</t>
        </is>
      </c>
    </row>
    <row r="32">
      <c r="A32" s="8" t="inlineStr">
        <is>
          <t>ESG Data</t>
        </is>
      </c>
      <c r="B32" s="8" t="inlineStr">
        <is>
          <t>環境社會及管治數據</t>
        </is>
      </c>
      <c r="C32" s="8" t="inlineStr">
        <is>
          <t>medium</t>
        </is>
      </c>
      <c r="D32" s="11" t="inlineStr">
        <is>
          <t>greenhouse gas</t>
        </is>
      </c>
      <c r="E32" s="11" t="inlineStr">
        <is>
          <t>PDF p.37 (印刷頁 36)</t>
        </is>
      </c>
      <c r="F32" s="11" t="inlineStr">
        <is>
          <t>ity, and compliance with the Main Board Listing Rules. The calculation method of GHG emissions is based on, but not limited to, “The Greenhouse Gas Protocol: A Corporate Accounting and Reporting Standard” issued by the World Resources Institute and the World Business Council for Sustainable Development, “How to prepare an ESG Report – Appendix 2: Reporting Guidance on Environmental KPIs” issued by the Stock Exchange, the global warming potential values from the “Sixth Assessment Report” published by the Intergovernmental Panel</t>
        </is>
      </c>
    </row>
    <row r="33">
      <c r="A33" s="8" t="inlineStr">
        <is>
          <t>ESG Data</t>
        </is>
      </c>
      <c r="B33" s="8" t="inlineStr">
        <is>
          <t>環境社會及管治數據</t>
        </is>
      </c>
      <c r="C33" s="8" t="inlineStr">
        <is>
          <t>medium</t>
        </is>
      </c>
      <c r="D33" s="11" t="inlineStr">
        <is>
          <t>ESG</t>
        </is>
      </c>
      <c r="E33" s="11" t="inlineStr">
        <is>
          <t>PDF p.48 (印刷頁 47)</t>
        </is>
      </c>
      <c r="F33" s="11" t="inlineStr">
        <is>
          <t>ek cooperation with charitable organisations and provide support to the needs of society and vulnerable groups. CONTENT INDEX OF THE ESG REPORTING CODE OF THE STOCK EXCHANGE Mandatory Disclosure Requirements Sections Governance Structure INTRODUCTION – The ESG Governance Structure Reporting Principles REPORTING FRAMEWORK – Reporting Principles Reporting Boundary REPORTING SCOPE Dufu Liquor Group Limited 47 Annual Report 2026</t>
        </is>
      </c>
    </row>
    <row r="34">
      <c r="A34" s="8" t="inlineStr">
        <is>
          <t>ESG Data</t>
        </is>
      </c>
      <c r="B34" s="8" t="inlineStr">
        <is>
          <t>環境社會及管治數據</t>
        </is>
      </c>
      <c r="C34" s="8" t="inlineStr">
        <is>
          <t>medium</t>
        </is>
      </c>
      <c r="D34" s="11" t="inlineStr">
        <is>
          <t>energy consumption</t>
        </is>
      </c>
      <c r="E34" s="11" t="inlineStr">
        <is>
          <t>PDF p.50 (印刷頁 49)</t>
        </is>
      </c>
      <c r="F34" s="11" t="inlineStr">
        <is>
          <t>on the efficient use of resources, including Use of Resources energy, water and other raw materials. KPI A2.1 Direct and/or indirect energy consumption by type Use of Resources – Energy (e.g. electricity, gas or oil) in total (kWh in ’000s) Management and intensity (e.g. per unit of production volume, per facility). KPI A2.2 Water consumption in total and intensity (e.g. per Use of Resources – Water unit of production volume, per facility). Management (N/A – Explained) KPI A2.3 Description of energy use efficiency target(s) set</t>
        </is>
      </c>
    </row>
    <row r="35">
      <c r="A35" s="8" t="inlineStr">
        <is>
          <t>ESG Data</t>
        </is>
      </c>
      <c r="B35" s="8" t="inlineStr">
        <is>
          <t>環境社會及管治數據</t>
        </is>
      </c>
      <c r="C35" s="8" t="inlineStr">
        <is>
          <t>medium</t>
        </is>
      </c>
      <c r="D35" s="11" t="inlineStr">
        <is>
          <t>ESG</t>
        </is>
      </c>
      <c r="E35" s="11" t="inlineStr">
        <is>
          <t>PDF p.55 (印刷頁 54)</t>
        </is>
      </c>
      <c r="F35" s="11" t="inlineStr">
        <is>
          <t>overnance Report Part D: Climate-related Disclosures Sections/Remarks Governance 19. An issuer shall disclose information about: The ESG Governance Structure; Climate Change – Governance (a) the governance body(s) (which can include a board, committee or equivalent body charged with governance) or individual(s) responsible for oversight of climate-related risks and opportunities; and (b) management’s role in the governance processes, controls and procedures used to monitor, manage and oversee climate-related risks and opportuni</t>
        </is>
      </c>
    </row>
    <row r="36">
      <c r="A36" s="8" t="inlineStr">
        <is>
          <t>ESG Data</t>
        </is>
      </c>
      <c r="B36" s="8" t="inlineStr">
        <is>
          <t>環境社會及管治數據</t>
        </is>
      </c>
      <c r="C36" s="8" t="inlineStr">
        <is>
          <t>medium</t>
        </is>
      </c>
      <c r="D36" s="11" t="inlineStr">
        <is>
          <t>greenhouse gas</t>
        </is>
      </c>
      <c r="E36" s="11" t="inlineStr">
        <is>
          <t>PDF p.58 (印刷頁 57)</t>
        </is>
      </c>
      <c r="F36" s="11" t="inlineStr">
        <is>
          <t>categories included within the issuer’s measure of Scope 3 GHG emissions, in accordance with the Scope 3 categories described in the Greenhouse Gas Protocol Corporate Value Chain (Scope 3) Accounting and Reporting Standard (2011). Climate-related transition risks 30. An issuer shall disclose the amount and percentage of assets or Climate Change – Strategy business activities vulnerable to climate-related transition risks. Climate-related physical risks 31. An issuer shall disclose the amount and percentage of assets or Climate</t>
        </is>
      </c>
    </row>
    <row r="37">
      <c r="A37" s="8" t="inlineStr">
        <is>
          <t>ESG Data</t>
        </is>
      </c>
      <c r="B37" s="8" t="inlineStr">
        <is>
          <t>環境社會及管治數據</t>
        </is>
      </c>
      <c r="C37" s="8" t="inlineStr">
        <is>
          <t>medium</t>
        </is>
      </c>
      <c r="D37" s="11" t="inlineStr">
        <is>
          <t>GHG emission</t>
        </is>
      </c>
      <c r="E37" s="11" t="inlineStr">
        <is>
          <t>PDF p.59 (印刷頁 58)</t>
        </is>
      </c>
      <c r="F37" s="11" t="inlineStr">
        <is>
          <t>ision-making (for example, investment decisions, transfer pricing, and scenario analysis); and (b) the price of each metric tonne of GHG emissions the issuer uses to assess the costs of its GHG emissions; or an appropriate negative statement that the issuer does not apply a carbon price in decision-making. Remuneration 35. An issuer shall disclose whether and how climate-related Climate Change – Governance considerations are factored into remuneration policy, or an appropriate negative statement. This may form part of the discl</t>
        </is>
      </c>
    </row>
    <row r="38">
      <c r="A38" s="8" t="inlineStr">
        <is>
          <t>ESG Data</t>
        </is>
      </c>
      <c r="B38" s="8" t="inlineStr">
        <is>
          <t>環境社會及管治數據</t>
        </is>
      </c>
      <c r="C38" s="8" t="inlineStr">
        <is>
          <t>medium</t>
        </is>
      </c>
      <c r="D38" s="11" t="inlineStr">
        <is>
          <t>GHG emission</t>
        </is>
      </c>
      <c r="E38" s="11" t="inlineStr">
        <is>
          <t>PDF p.60 (印刷頁 59)</t>
        </is>
      </c>
      <c r="F38" s="11" t="inlineStr">
        <is>
          <t>cs and Targets achieving its strategic goals; and (b) any targets the issuer is required to meet by law or regulation, including any GHG emissions targets. For each target, the issuer shall disclose: (a) the metric used to set the target; (b) the objective of the target (for example, mitigation, adaptation or conformance with science-based initiatives); (c) the part of the issuer to which the target applies (for example, whether the target applies to the issuer in its entirety or only a part of the issuer, such as a specific bu</t>
        </is>
      </c>
    </row>
    <row r="39">
      <c r="A39" s="8" t="inlineStr">
        <is>
          <t>ESG Data</t>
        </is>
      </c>
      <c r="B39" s="8" t="inlineStr">
        <is>
          <t>環境社會及管治數據</t>
        </is>
      </c>
      <c r="C39" s="8" t="inlineStr">
        <is>
          <t>medium</t>
        </is>
      </c>
      <c r="D39" s="11" t="inlineStr">
        <is>
          <t>GHG emission</t>
        </is>
      </c>
      <c r="E39" s="11" t="inlineStr">
        <is>
          <t>PDF p.61 (印刷頁 60)</t>
        </is>
      </c>
      <c r="F39" s="11" t="inlineStr">
        <is>
          <t>t its performance against each climate-related target and an analysis of trends or changes in the issuer’s performance. 40. For each GHG emissions target disclosed in accordance with paragraphs 37 to 39, an issuer shall disclose: (a) which GHG are covered by the target; (b) whether Scope 1, Scope 2 or Scope 3 GHG emissions are covered by the target; (c) whether the target is a gross GHG emissions target or a net GHG emissions target. If the issuer discloses a net GHG emissions target, the issuer is also required to separately d</t>
        </is>
      </c>
    </row>
    <row r="40">
      <c r="A40" s="8" t="inlineStr">
        <is>
          <t>Segment Information</t>
        </is>
      </c>
      <c r="B40" s="8" t="inlineStr">
        <is>
          <t>分部資料</t>
        </is>
      </c>
      <c r="C40" s="8" t="inlineStr">
        <is>
          <t>medium</t>
        </is>
      </c>
      <c r="D40" s="11" t="inlineStr">
        <is>
          <t>operating segment</t>
        </is>
      </c>
      <c r="E40" s="11" t="inlineStr">
        <is>
          <t>PDF p.25 (印刷頁 24)</t>
        </is>
      </c>
      <c r="F40" s="11" t="inlineStr">
        <is>
          <t>by considering materiality principles, the Group’s core business and primary revenue sources. This ESG Report covers the Group’s two operating segments, namely the design and marketing of jewellery as well as money lending businesses. This scope is consistent with the Annual Report and covers the Group’s operations in Hong Kong and Mainland China. The scope of this ESG Report is consistent with the ESG report for the year ended 31 March 2025 (“2025”). REPORTING FRAMEWORK The ESG Report has been prepared in accordance with the E</t>
        </is>
      </c>
    </row>
    <row r="41">
      <c r="A41" s="8" t="inlineStr">
        <is>
          <t>Segment Information</t>
        </is>
      </c>
      <c r="B41" s="8" t="inlineStr">
        <is>
          <t>分部資料</t>
        </is>
      </c>
      <c r="C41" s="8" t="inlineStr">
        <is>
          <t>medium</t>
        </is>
      </c>
      <c r="D41" s="11" t="inlineStr">
        <is>
          <t>geographical</t>
        </is>
      </c>
      <c r="E41" s="11" t="inlineStr">
        <is>
          <t>PDF p.39 (印刷頁 38)</t>
        </is>
      </c>
      <c r="F41" s="11" t="inlineStr">
        <is>
          <t>up employed a total of 7 full-time employees (As at 31 March 2025: 7 full-time employees). The total workforce by gender, age group, geographical region and employee category are as follows: As at 31 March 2026 As at 31 March 2025 Number of Breakdown Number of Breakdown Indicators Employees (%) Employees (%) Number of Employees By Gender Male 4 57 2 29 Female 3 43 5 71 Number of Employees By Age Group Under 30 Years Old – – – – 30-50 Years Old 5 71 5 71 Over 50 Years Old 2 29 2 29 Number of Employees By Geographical Region Hong</t>
        </is>
      </c>
    </row>
    <row r="42">
      <c r="A42" s="8" t="inlineStr">
        <is>
          <t>Segment Information</t>
        </is>
      </c>
      <c r="B42" s="8" t="inlineStr">
        <is>
          <t>分部資料</t>
        </is>
      </c>
      <c r="C42" s="8" t="inlineStr">
        <is>
          <t>medium</t>
        </is>
      </c>
      <c r="D42" s="11" t="inlineStr">
        <is>
          <t>geographical</t>
        </is>
      </c>
      <c r="E42" s="11" t="inlineStr">
        <is>
          <t>PDF p.40 (印刷頁 39)</t>
        </is>
      </c>
      <c r="F42" s="11" t="inlineStr">
        <is>
          <t>practices to provide more clarity and stability for the workforce in the future. The employee turnover rate by gender, age group and geographical region are as follows: Indicators5 Unit 2026 2025 Overall Employee Turnover Rate % 29 19 Employee Turnover Rate By Gender Male % – 35 Female % 50 – Employee Turnover Rate By Age Group Under 30 Years Old % N/A N/A 30-50 Years Old % 40 23 Over 50 Years Old % – – Employee Turnover Rate By Geographical Region Hong Kong % – 40 Mainland China % 80 – Note(s): 5. Employee turnover rate (by ca</t>
        </is>
      </c>
    </row>
    <row r="43">
      <c r="A43" s="8" t="inlineStr">
        <is>
          <t>Segment Information</t>
        </is>
      </c>
      <c r="B43" s="8" t="inlineStr">
        <is>
          <t>分部資料</t>
        </is>
      </c>
      <c r="C43" s="8" t="inlineStr">
        <is>
          <t>medium</t>
        </is>
      </c>
      <c r="D43" s="11" t="inlineStr">
        <is>
          <t>geographical</t>
        </is>
      </c>
      <c r="E43" s="11" t="inlineStr">
        <is>
          <t>PDF p.51 (印刷頁 50)</t>
        </is>
      </c>
      <c r="F43" s="11" t="inlineStr">
        <is>
          <t>rce by gender, employment type Employment – Recruitment, Promotion (for example, full- or part-time), age group and and Remuneration geographical region. KPI B1.2 Employee turnover rate by gender, age group and Employment – Retirement and geographical region. Dismissal Aspect B2: Health and Safety General Disclosure Information on: Health and Safety (a) the policies; and (b) c o m p l i a n c e w i t h r e l ev a n t l aw s a n d regulations that have a significant impact on the issuer relating to providing a safe working envir</t>
        </is>
      </c>
    </row>
    <row r="44">
      <c r="A44" s="8" t="inlineStr">
        <is>
          <t>Segment Information</t>
        </is>
      </c>
      <c r="B44" s="8" t="inlineStr">
        <is>
          <t>分部資料</t>
        </is>
      </c>
      <c r="C44" s="8" t="inlineStr">
        <is>
          <t>medium</t>
        </is>
      </c>
      <c r="D44" s="11" t="inlineStr">
        <is>
          <t>geographical</t>
        </is>
      </c>
      <c r="E44" s="11" t="inlineStr">
        <is>
          <t>PDF p.52 (印刷頁 51)</t>
        </is>
      </c>
      <c r="F44" s="11" t="inlineStr">
        <is>
          <t>ure Policies on managing environmental and social Supply Chain Management risks of the supply chain. KPI B5.1 Number of suppliers by geographical region. Supply Chain Management KPI B5.2 Description of practices relating to engaging Supply Chain Management suppliers, number of suppliers where the practices are being implemented, and how they are implemented and monitored. KPI B5.3 Description of practices used to identify Supply Chain Management – Managing environmental and social risks along the supply Social and Environmental</t>
        </is>
      </c>
    </row>
    <row r="45">
      <c r="A45" s="8" t="inlineStr">
        <is>
          <t>Segment Information</t>
        </is>
      </c>
      <c r="B45" s="8" t="inlineStr">
        <is>
          <t>分部資料</t>
        </is>
      </c>
      <c r="C45" s="8" t="inlineStr">
        <is>
          <t>medium</t>
        </is>
      </c>
      <c r="D45" s="11" t="inlineStr">
        <is>
          <t>geographical</t>
        </is>
      </c>
      <c r="E45" s="11" t="inlineStr">
        <is>
          <t>PDF p.56 (印刷頁 55)</t>
        </is>
      </c>
      <c r="F45" s="11" t="inlineStr">
        <is>
          <t>ption of where in the issuer’s business model and value chain climate-related risks and opportunities are concentrated (for example, geographical areas, facilities and types of assets). Strategy and decision-making 22. An issuer shall disclose information that enables an understanding Emissions – Waste Management; Use of the effects of climate-related risks and opportunities on its of Resources – Energy Management; strategy and decision-making. Specifically, the issuer shall disclose: Climate Change – Strategy (a) information a</t>
        </is>
      </c>
    </row>
    <row r="46">
      <c r="A46" s="8" t="inlineStr">
        <is>
          <t>Segment Information</t>
        </is>
      </c>
      <c r="B46" s="8" t="inlineStr">
        <is>
          <t>分部資料</t>
        </is>
      </c>
      <c r="C46" s="8" t="inlineStr">
        <is>
          <t>medium</t>
        </is>
      </c>
      <c r="D46" s="11" t="inlineStr">
        <is>
          <t>segment information</t>
        </is>
      </c>
      <c r="E46" s="11" t="inlineStr">
        <is>
          <t>PDF p.110 (印刷頁 109)</t>
        </is>
      </c>
      <c r="F46" s="11" t="inlineStr">
        <is>
          <t>egation by timing of revenue recognition within the scope of HKFRS 15: 2026 2025 HK$’000 HK$’000 At a point in time 19,038 34,425 9. SEGMENT INFORMATION (a) Business segments The Group’s operating and reportable segments which are based on the types of products sold and services rendered are as follows: Design and marketing of jewelry: design, marketing and sales of jewelry Money lending: provision of loans as money lending Dufu Liquor Group Limited 109 Annual Report 2026</t>
        </is>
      </c>
    </row>
    <row r="47">
      <c r="A47" s="8" t="inlineStr">
        <is>
          <t>Segment Information</t>
        </is>
      </c>
      <c r="B47" s="8" t="inlineStr">
        <is>
          <t>分部資料</t>
        </is>
      </c>
      <c r="C47" s="8" t="inlineStr">
        <is>
          <t>medium</t>
        </is>
      </c>
      <c r="D47" s="11" t="inlineStr">
        <is>
          <t>segment information</t>
        </is>
      </c>
      <c r="E47" s="11" t="inlineStr">
        <is>
          <t>PDF p.111 (印刷頁 110)</t>
        </is>
      </c>
      <c r="F47" s="11" t="inlineStr">
        <is>
          <t>Notes to the Consolidated Financial Statements For the year ended 31 March 2026 9. SEGMENT INFORMATION (continued) (a) Business segments (continued) Segment revenue and result The following is an analysis of the Group’s revenue and results by reporting segments: Design and marketing Money of jewelry lending Total HK$’000 HK$’000 HK$’000 For the year ended 31 March 2026 Segment revenue: Revenue from external customers 19,038 35,905 54,943 Net segment result: Segment result (5,377</t>
        </is>
      </c>
    </row>
    <row r="48">
      <c r="A48" s="8" t="inlineStr">
        <is>
          <t>Segment Information</t>
        </is>
      </c>
      <c r="B48" s="8" t="inlineStr">
        <is>
          <t>分部資料</t>
        </is>
      </c>
      <c r="C48" s="8" t="inlineStr">
        <is>
          <t>medium</t>
        </is>
      </c>
      <c r="D48" s="11" t="inlineStr">
        <is>
          <t>segment information</t>
        </is>
      </c>
      <c r="E48" s="11" t="inlineStr">
        <is>
          <t>PDF p.112 (印刷頁 111)</t>
        </is>
      </c>
      <c r="F48" s="11" t="inlineStr">
        <is>
          <t>Notes to the Consolidated Financial Statements For the year ended 31 March 2026 9. SEGMENT INFORMATION (continued) (a) Business segments (continued) Segment assets and liabilities The following is an analysis of the Group’s assets and liabilities by reportable segments: As at 31 March 2026 Design and marketing Money of jewelry lending Total HK$’000 HK$’000 HK$’000 Assets and liabilities: Segment assets – Hong Kong 30,683 290,169 320,852 – The People’s Republic of China (the “PRC</t>
        </is>
      </c>
    </row>
    <row r="49">
      <c r="A49" s="8" t="inlineStr">
        <is>
          <t>Segment Information</t>
        </is>
      </c>
      <c r="B49" s="8" t="inlineStr">
        <is>
          <t>分部資料</t>
        </is>
      </c>
      <c r="C49" s="8" t="inlineStr">
        <is>
          <t>medium</t>
        </is>
      </c>
      <c r="D49" s="11" t="inlineStr">
        <is>
          <t>segment information</t>
        </is>
      </c>
      <c r="E49" s="11" t="inlineStr">
        <is>
          <t>PDF p.113 (印刷頁 112)</t>
        </is>
      </c>
      <c r="F49" s="11" t="inlineStr">
        <is>
          <t>Notes to the Consolidated Financial Statements For the year ended 31 March 2026 9. SEGMENT INFORMATION (continued) (a) Business segments (continued) Segment assets and liabilities (continued) As at 31 March 2025 Design and marketing Money of jewelry lending Total HK$’000 HK$’000 HK$’000 Assets and liabilities: Segment assets – Hong Kong 30,597 296,340 326,937 – The PRC 93,966 – 93,966 124,563 296,340 420,903 Financial assets at FVTOCI 16,890 Deferred tax assets 89 Unallocated co</t>
        </is>
      </c>
    </row>
    <row r="50">
      <c r="A50" s="8" t="inlineStr">
        <is>
          <t>Segment Information</t>
        </is>
      </c>
      <c r="B50" s="8" t="inlineStr">
        <is>
          <t>分部資料</t>
        </is>
      </c>
      <c r="C50" s="8" t="inlineStr">
        <is>
          <t>medium</t>
        </is>
      </c>
      <c r="D50" s="11" t="inlineStr">
        <is>
          <t>segment information</t>
        </is>
      </c>
      <c r="E50" s="11" t="inlineStr">
        <is>
          <t>PDF p.114 (印刷頁 113)</t>
        </is>
      </c>
      <c r="F50" s="11" t="inlineStr">
        <is>
          <t>Notes to the Consolidated Financial Statements For the year ended 31 March 2026 9. SEGMENT INFORMATION (continued) (a) Business segments (continued) Segment assets and liabilities (continued) For the purposes of monitoring segment performance and allocating resources between segments: • all assets are allocated to reportable segments other than right-of-use assets, financial assets at FVTOCI, certain other receivables, prepayments and deposits paid and deferred tax assets; and •</t>
        </is>
      </c>
    </row>
    <row r="51">
      <c r="A51" s="8" t="inlineStr">
        <is>
          <t>Segment Information</t>
        </is>
      </c>
      <c r="B51" s="8" t="inlineStr">
        <is>
          <t>分部資料</t>
        </is>
      </c>
      <c r="C51" s="8" t="inlineStr">
        <is>
          <t>medium</t>
        </is>
      </c>
      <c r="D51" s="11" t="inlineStr">
        <is>
          <t>segment information</t>
        </is>
      </c>
      <c r="E51" s="11" t="inlineStr">
        <is>
          <t>PDF p.115 (印刷頁 114)</t>
        </is>
      </c>
      <c r="F51" s="11" t="inlineStr">
        <is>
          <t>Notes to the Consolidated Financial Statements For the year ended 31 March 2026 9. SEGMENT INFORMATION (continued) (b) Geographical information The Group’s operations are mainly located in Hong Kong. The geographic market of the Group’s revenue is determined based on the location at which the services were provided or the goods were delivered, irrespective of the origin of customers. Major services provided by the Group are in Hong Kong. The non-current assets of the Group (othe</t>
        </is>
      </c>
    </row>
    <row r="52">
      <c r="A52" s="8" t="inlineStr">
        <is>
          <t>Share-based Payment</t>
        </is>
      </c>
      <c r="B52" s="8" t="inlineStr">
        <is>
          <t>以股份為基礎的付款</t>
        </is>
      </c>
      <c r="C52" s="8" t="inlineStr">
        <is>
          <t>medium</t>
        </is>
      </c>
      <c r="D52" s="11" t="inlineStr">
        <is>
          <t>share option</t>
        </is>
      </c>
      <c r="E52" s="11" t="inlineStr">
        <is>
          <t>PDF p.132 (印刷頁 131)</t>
        </is>
      </c>
      <c r="F52" s="11" t="inlineStr">
        <is>
          <t>,758 Equity attributable to owners of the Company 341,381 367,133 Capital and net debt 378,109 400,891 Gearing ratio 9.71% 8.42% 36. SHARE OPTION SCHEME On 30 August 2011, the Company adopted a share option scheme (the “Old Share Option Scheme”). Under the Old Share Option Scheme, the Company may grant options to eligible persons for the purpose of providing incentives and rewards to eligible participants who contribute to the success of the Group’s operations. The Old Share Option Scheme will remain valid for a period of 10 ye</t>
        </is>
      </c>
    </row>
    <row r="53">
      <c r="A53" s="8" t="inlineStr">
        <is>
          <t>Share-based Payment</t>
        </is>
      </c>
      <c r="B53" s="8" t="inlineStr">
        <is>
          <t>以股份為基礎的付款</t>
        </is>
      </c>
      <c r="C53" s="8" t="inlineStr">
        <is>
          <t>medium</t>
        </is>
      </c>
      <c r="D53" s="11" t="inlineStr">
        <is>
          <t>share option</t>
        </is>
      </c>
      <c r="E53" s="11" t="inlineStr">
        <is>
          <t>PDF p.133 (印刷頁 132)</t>
        </is>
      </c>
      <c r="F53" s="11" t="inlineStr">
        <is>
          <t>Notes to the Consolidated Financial Statements For the year ended 31 March 2026 36. SHARE OPTION SCHEME (continued) A summary of the New Share Option Scheme of the Company is as follows: Purpose To provide incentives and rewards to eligible participants for their contributions to the Group and/or to enable the Group to recruit and retain high-calibre employees and attract human resources that are valuable to the Group and any entity in which the Group holds an equity interest (th</t>
        </is>
      </c>
    </row>
    <row r="54">
      <c r="A54" s="8" t="inlineStr">
        <is>
          <t>Share-based Payment</t>
        </is>
      </c>
      <c r="B54" s="8" t="inlineStr">
        <is>
          <t>以股份為基礎的付款</t>
        </is>
      </c>
      <c r="C54" s="8" t="inlineStr">
        <is>
          <t>medium</t>
        </is>
      </c>
      <c r="D54" s="11" t="inlineStr">
        <is>
          <t>share option</t>
        </is>
      </c>
      <c r="E54" s="11" t="inlineStr">
        <is>
          <t>PDF p.134 (印刷頁 133)</t>
        </is>
      </c>
      <c r="F54" s="11" t="inlineStr">
        <is>
          <t>Notes to the Consolidated Financial Statements For the year ended 31 March 2026 36. SHARE OPTION SCHEME (continued) Maximum entitlement of Where any grant or further grant of options to an eligible participant each eligible participant would result in the total number of shares issued and to be issued upon exercise of all the options granted and to be granted to such person (including exercised, cancelled and outstanding options) in the 12 month period up to and including the dat</t>
        </is>
      </c>
    </row>
    <row r="55">
      <c r="A55" s="8" t="inlineStr">
        <is>
          <t>Related Party Transactions</t>
        </is>
      </c>
      <c r="B55" s="8" t="inlineStr">
        <is>
          <t>關聯方交易</t>
        </is>
      </c>
      <c r="C55" s="8" t="inlineStr">
        <is>
          <t>low</t>
        </is>
      </c>
      <c r="D55" s="11" t="inlineStr">
        <is>
          <t>related party</t>
        </is>
      </c>
      <c r="E55" s="11" t="inlineStr">
        <is>
          <t>PDF p.68 (印刷頁 67)</t>
        </is>
      </c>
      <c r="F55" s="11" t="inlineStr">
        <is>
          <t>tors’ and officers’ liability insurance coverage for the directors and officers of the Group. CONNECTED TRANSACTIONS The significant related party transactions as disclosed in note 38 to the consolidated financial statements do not fall under the definitions of “connected transaction” or “continuing connected transaction” in Chapter 14A of the Listing Rules. SUFFICIENCY OF PUBLIC FLOAT Based on the information that is publicly available to the Company and within the knowledge of the directors of the Company, as at the date of t</t>
        </is>
      </c>
    </row>
    <row r="56">
      <c r="A56" s="8" t="inlineStr">
        <is>
          <t>Related Party Transactions</t>
        </is>
      </c>
      <c r="B56" s="8" t="inlineStr">
        <is>
          <t>關聯方交易</t>
        </is>
      </c>
      <c r="C56" s="8" t="inlineStr">
        <is>
          <t>low</t>
        </is>
      </c>
      <c r="D56" s="11" t="inlineStr">
        <is>
          <t>related party</t>
        </is>
      </c>
      <c r="E56" s="11" t="inlineStr">
        <is>
          <t>PDF p.137 (印刷頁 136)</t>
        </is>
      </c>
      <c r="F56" s="11" t="inlineStr">
        <is>
          <t>flows for lease comprise the following: 2026 2025 HK$’000 HK$’000 Within financing cash flows 704 927 Lease rental paid 704 927 38. RELATED PARTY TRANSACTIONS (a) In addition to the transactions and balances detailed elsewhere in these consolidated financial statements, the Group had the following material transactions with related parties: 2026 2025 Particulars Relationship HK$’000 HK$’000 Interest on loan payables Director 37 – (b) Compensation of key management personnel of the Group, who were the directors of the Company,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29" topLeftCell="A30"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Profit Before Tax</t>
        </is>
      </c>
    </row>
    <row r="10">
      <c r="A10" s="8" t="inlineStr">
        <is>
          <t>Income Statement</t>
        </is>
      </c>
      <c r="B10" s="8" t="inlineStr">
        <is>
          <t>Profit for the Year</t>
        </is>
      </c>
    </row>
    <row r="11">
      <c r="A11" s="8" t="inlineStr">
        <is>
          <t>Income Statement</t>
        </is>
      </c>
      <c r="B11" s="8" t="inlineStr">
        <is>
          <t>R&amp;D Expenses</t>
        </is>
      </c>
    </row>
    <row r="12">
      <c r="A12" s="8" t="inlineStr">
        <is>
          <t>Income Statement</t>
        </is>
      </c>
      <c r="B12" s="8" t="inlineStr">
        <is>
          <t>Depreciation</t>
        </is>
      </c>
    </row>
    <row r="13">
      <c r="A13" s="8" t="inlineStr">
        <is>
          <t>Income Statement</t>
        </is>
      </c>
      <c r="B13" s="8" t="inlineStr">
        <is>
          <t>Amortisation</t>
        </is>
      </c>
    </row>
    <row r="14">
      <c r="A14" s="8" t="inlineStr">
        <is>
          <t>Balance Sheet</t>
        </is>
      </c>
      <c r="B14" s="8" t="inlineStr">
        <is>
          <t>Total Assets</t>
        </is>
      </c>
    </row>
    <row r="15">
      <c r="A15" s="8" t="inlineStr">
        <is>
          <t>Balance Sheet</t>
        </is>
      </c>
      <c r="B15" s="8" t="inlineStr">
        <is>
          <t>Cash and Equivalents</t>
        </is>
      </c>
    </row>
    <row r="16">
      <c r="A16" s="8" t="inlineStr">
        <is>
          <t>Balance Sheet</t>
        </is>
      </c>
      <c r="B16" s="8" t="inlineStr">
        <is>
          <t>Goodwill</t>
        </is>
      </c>
    </row>
    <row r="17">
      <c r="A17" s="8" t="inlineStr">
        <is>
          <t>Balance Sheet</t>
        </is>
      </c>
      <c r="B17" s="8" t="inlineStr">
        <is>
          <t>Intangible Assets</t>
        </is>
      </c>
    </row>
    <row r="18">
      <c r="A18" s="8" t="inlineStr">
        <is>
          <t>Balance Sheet</t>
        </is>
      </c>
      <c r="B18" s="8" t="inlineStr">
        <is>
          <t>Investment Properties</t>
        </is>
      </c>
    </row>
    <row r="19">
      <c r="A19" s="8" t="inlineStr">
        <is>
          <t>Balance Sheet</t>
        </is>
      </c>
      <c r="B19" s="8" t="inlineStr">
        <is>
          <t>Total Liabilities</t>
        </is>
      </c>
    </row>
    <row r="20">
      <c r="A20" s="8" t="inlineStr">
        <is>
          <t>Balance Sheet</t>
        </is>
      </c>
      <c r="B20" s="8" t="inlineStr">
        <is>
          <t>Borrowings</t>
        </is>
      </c>
    </row>
    <row r="21">
      <c r="A21" s="8" t="inlineStr">
        <is>
          <t>Cash Flow</t>
        </is>
      </c>
      <c r="B21" s="8" t="inlineStr">
        <is>
          <t>Operating Cash Flow</t>
        </is>
      </c>
    </row>
    <row r="22">
      <c r="A22" s="8" t="inlineStr">
        <is>
          <t>Cash Flow</t>
        </is>
      </c>
      <c r="B22" s="8" t="inlineStr">
        <is>
          <t>Financing Cash Flow</t>
        </is>
      </c>
    </row>
    <row r="23">
      <c r="A23" s="8" t="inlineStr">
        <is>
          <t>Cash Flow</t>
        </is>
      </c>
      <c r="B23" s="8" t="inlineStr">
        <is>
          <t>Capital Expenditure</t>
        </is>
      </c>
    </row>
    <row r="26">
      <c r="A26" s="5" t="inlineStr">
        <is>
          <t>二、文字量過低的頁面(疑似掃描頁)</t>
        </is>
      </c>
    </row>
    <row r="27">
      <c r="A27" s="2" t="inlineStr">
        <is>
          <t>這些頁面幾乎抓不到文字,通常是掃描件或純圖表,建議人手翻閱或另行 OCR。</t>
        </is>
      </c>
    </row>
    <row r="29">
      <c r="A29" s="7" t="inlineStr">
        <is>
          <t>PDF 頁碼</t>
        </is>
      </c>
      <c r="B29" s="7" t="inlineStr">
        <is>
          <t>狀態</t>
        </is>
      </c>
    </row>
    <row r="30">
      <c r="A30"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2026-08-30T14:17:03Z</dcterms:created>
  <dcterms:modified xsi:type="dcterms:W3CDTF">2026-08-30T14:17:03Z</dcterms:modified>
</cp:coreProperties>
</file>
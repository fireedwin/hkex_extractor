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趨勢圖'!$A$5:$A$7</f>
            </numRef>
          </cat>
          <val>
            <numRef>
              <f>'Chart 趨勢圖'!$B$5:$B$7</f>
            </numRef>
          </val>
        </ser>
        <ser>
          <idx val="1"/>
          <order val="1"/>
          <tx>
            <strRef>
              <f>'Chart 趨勢圖'!C4</f>
            </strRef>
          </tx>
          <spPr>
            <a:ln>
              <a:prstDash val="solid"/>
            </a:ln>
          </spPr>
          <cat>
            <numRef>
              <f>'Chart 趨勢圖'!$A$5:$A$7</f>
            </numRef>
          </cat>
          <val>
            <numRef>
              <f>'Chart 趨勢圖'!$C$5:$C$7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01226_CH_INV_FIN_GP_20260729.pdf</t>
        </is>
      </c>
    </row>
    <row r="5">
      <c r="A5" s="3" t="inlineStr">
        <is>
          <t>產生時間 Generated</t>
        </is>
      </c>
      <c r="B5" s="4" t="inlineStr">
        <is>
          <t>2026-08-30 22:16</t>
        </is>
      </c>
    </row>
    <row r="6">
      <c r="A6" s="4" t="inlineStr"/>
      <c r="B6" s="4" t="inlineStr"/>
    </row>
    <row r="7">
      <c r="A7" s="3" t="inlineStr">
        <is>
          <t>總頁數 Total pages</t>
        </is>
      </c>
      <c r="B7" s="4" t="n">
        <v>170</v>
      </c>
    </row>
    <row r="8">
      <c r="A8" s="3" t="inlineStr">
        <is>
          <t>已擷取字元 Characters extracted</t>
        </is>
      </c>
      <c r="B8" s="4" t="n">
        <v>341732</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3</v>
      </c>
    </row>
    <row r="13">
      <c r="A13" s="3" t="inlineStr">
        <is>
          <t>財務科目擷取筆數 Financial line items</t>
        </is>
      </c>
      <c r="B13" s="4" t="n">
        <v>8</v>
      </c>
    </row>
    <row r="14">
      <c r="A14" s="3" t="inlineStr">
        <is>
          <t>主題段落擷取筆數 Topic extracts</t>
        </is>
      </c>
      <c r="B14" s="4" t="n">
        <v>104</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三大報表應相鄰</t>
        </is>
      </c>
      <c r="B19" s="4" t="inlineStr">
        <is>
          <t>Income Statement: p.95、Balance Sheet: p.96、Cash Flow: p.100(相距 5 頁)</t>
        </is>
      </c>
    </row>
    <row r="21">
      <c r="A21" s="5" t="inlineStr">
        <is>
          <t>方法論 Methodology</t>
        </is>
      </c>
    </row>
    <row r="22">
      <c r="A22" s="4" t="inlineStr">
        <is>
          <t>1. 逐頁擷取文字,全程保留 PDF 頁碼與年報印刷頁碼(可追溯性)。</t>
        </is>
      </c>
    </row>
    <row r="23">
      <c r="A23" s="4" t="inlineStr">
        <is>
          <t>2. 規則層(正則/關鍵字)先把全份文件縮減為少數相關頁面 —— 解決「文件太大」。</t>
        </is>
      </c>
    </row>
    <row r="24">
      <c r="A24" s="4" t="inlineStr">
        <is>
          <t>3. 數字由正則精確擷取並做合理性檢查,不由語言模型生成 —— 解決「準確度」。</t>
        </is>
      </c>
    </row>
    <row r="25">
      <c r="A25" s="4" t="inlineStr">
        <is>
          <t>4. AI 僅在縮減後的頁面上做語意判斷,且輸出頁碼須通過驗證才保留。</t>
        </is>
      </c>
    </row>
    <row r="26">
      <c r="A26" s="4" t="inlineStr">
        <is>
          <t>5. 所有結果附來源頁碼與原文行,供估值師覆核。信心度為 Low 者建議人手確認。</t>
        </is>
      </c>
    </row>
    <row r="27">
      <c r="A27"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20.4</v>
      </c>
      <c r="D5" s="10" t="n">
        <v>20.4</v>
      </c>
      <c r="E5" s="11" t="inlineStr">
        <is>
          <t>20.4%</t>
        </is>
      </c>
      <c r="F5" s="11" t="inlineStr">
        <is>
          <t>High</t>
        </is>
      </c>
      <c r="G5" s="11" t="inlineStr">
        <is>
          <t>PDF p.140 (印刷頁 139)</t>
        </is>
      </c>
      <c r="H5" s="11" t="inlineStr">
        <is>
          <t xml:space="preserve">f each reporting period to explain the cause of fluctuations in fair value. The discount rate for lack of marketability was 20.4% 缺乏市場流通性之折讓率為20.4%（二零 (2025: 20.4%), representing a significant unobservable 二五年：20.4% ），為重大不可觀察輸入數 input. A 5% increase or </t>
        </is>
      </c>
    </row>
    <row r="6">
      <c r="A6" s="8" t="inlineStr">
        <is>
          <t>Discount Rate</t>
        </is>
      </c>
      <c r="B6" s="8" t="inlineStr">
        <is>
          <t>折現率</t>
        </is>
      </c>
      <c r="C6" s="9" t="n">
        <v>5</v>
      </c>
      <c r="D6" s="10" t="n">
        <v>5</v>
      </c>
      <c r="E6" s="11" t="inlineStr">
        <is>
          <t>5%</t>
        </is>
      </c>
      <c r="F6" s="11" t="inlineStr">
        <is>
          <t>High</t>
        </is>
      </c>
      <c r="G6" s="11" t="inlineStr">
        <is>
          <t>PDF p.140 (印刷頁 139)</t>
        </is>
      </c>
      <c r="H6" s="11" t="inlineStr">
        <is>
          <t>ant unobservable 二五年：20.4% ），為重大不可觀察輸入數 input. A 5% increase or decrease in the discount rate 據。折讓率增加或減少5% 將導致虧損相應 would result in a corresponding increase or decrease 增加或減少約100,000港元（二零二五年： in the loss of approximately HK$100,000 (2025: 88,000港元）。 HK$8</t>
        </is>
      </c>
    </row>
    <row r="7">
      <c r="A7" s="8" t="inlineStr">
        <is>
          <t>Expected Volatility</t>
        </is>
      </c>
      <c r="B7" s="8" t="inlineStr">
        <is>
          <t>預期波幅</t>
        </is>
      </c>
      <c r="C7" s="9" t="n">
        <v>106</v>
      </c>
      <c r="D7" s="10" t="n">
        <v>106</v>
      </c>
      <c r="E7" s="11" t="inlineStr">
        <is>
          <t>106%</t>
        </is>
      </c>
      <c r="F7" s="11" t="inlineStr">
        <is>
          <t>High</t>
        </is>
      </c>
      <c r="G7" s="11" t="inlineStr">
        <is>
          <t>PDF p.163 (印刷頁 162)</t>
        </is>
      </c>
      <c r="H7" s="11" t="inlineStr">
        <is>
          <t>-0.1362港元 Share price HK$0.2700 股價 0.2700港元 Exercise price HK$0.317 行使價 0.317港元 Expected volatility 106% 預期波幅 106% Expected life 3 years 預期年期 三年 Risk-free rate 2.644% 無風險利率 2.644% Expected dividend yield Nil 預期股息率 無 Expected volatility was determined by using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2025 / 2026; Cash Flow: 2025 / 2026</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4171</v>
      </c>
      <c r="D5" s="13" t="n">
        <v>6538</v>
      </c>
      <c r="E5" s="14">
        <f>IF(ISERROR((C5-D5)/ABS(D5)),"",(C5-D5)/ABS(D5))</f>
        <v>-0.36203732028143165</v>
      </c>
      <c r="F5" s="11" t="inlineStr">
        <is>
          <t>PDF p.95 (印刷頁 94)</t>
        </is>
      </c>
      <c r="G5" s="11" t="inlineStr">
        <is>
          <t>Revenue 收益 8 4,171 6,538</t>
        </is>
      </c>
    </row>
    <row r="6">
      <c r="A6" s="8" t="inlineStr">
        <is>
          <t>Income Statement</t>
        </is>
      </c>
      <c r="B6" s="8" t="inlineStr">
        <is>
          <t>Finance Costs</t>
        </is>
      </c>
      <c r="C6" s="12" t="n">
        <v>-626</v>
      </c>
      <c r="D6" s="13" t="n">
        <v>-502</v>
      </c>
      <c r="E6" s="14">
        <f>IF(ISERROR((C6-D6)/ABS(D6)),"",(C6-D6)/ABS(D6))</f>
        <v>-0.24701195219123506</v>
      </c>
      <c r="F6" s="11" t="inlineStr">
        <is>
          <t>PDF p.95 (印刷頁 94)</t>
        </is>
      </c>
      <c r="G6" s="11" t="inlineStr">
        <is>
          <t>Finance costs 融資成本 11 (626) (502)</t>
        </is>
      </c>
    </row>
    <row r="7">
      <c r="A7" s="8" t="inlineStr">
        <is>
          <t>Income Statement</t>
        </is>
      </c>
      <c r="B7" s="8" t="inlineStr">
        <is>
          <t>Profit Before Tax</t>
        </is>
      </c>
      <c r="C7" s="12" t="n">
        <v>139532</v>
      </c>
      <c r="D7" s="13" t="n">
        <v>-5475</v>
      </c>
      <c r="E7" s="14">
        <f>IF(ISERROR((C7-D7)/ABS(D7)),"",(C7-D7)/ABS(D7))</f>
        <v>26.485296803652968</v>
      </c>
      <c r="F7" s="11" t="inlineStr">
        <is>
          <t>PDF p.95 (印刷頁 94)</t>
        </is>
      </c>
      <c r="G7" s="11" t="inlineStr">
        <is>
          <t>Profit/(loss) before tax 除稅前溢利╱（虧損） 12 139,532 (5,475)</t>
        </is>
      </c>
    </row>
    <row r="8">
      <c r="A8" s="8" t="inlineStr">
        <is>
          <t>Income Statement</t>
        </is>
      </c>
      <c r="B8" s="8" t="inlineStr">
        <is>
          <t>Income Tax</t>
        </is>
      </c>
      <c r="C8" s="12" t="n">
        <v>0</v>
      </c>
      <c r="D8" s="13" t="n">
        <v>0</v>
      </c>
      <c r="E8" s="14" t="str">
        <f>IF(ISERROR((C8-D8)/ABS(D8)),"",(C8-D8)/ABS(D8))</f>
        <v/>
      </c>
      <c r="F8" s="11" t="inlineStr">
        <is>
          <t>PDF p.95 (印刷頁 94)</t>
        </is>
      </c>
      <c r="G8" s="11" t="inlineStr">
        <is>
          <t>Income tax 所得稅 13 – –</t>
        </is>
      </c>
    </row>
    <row r="9">
      <c r="A9" s="8" t="inlineStr">
        <is>
          <t>Balance Sheet</t>
        </is>
      </c>
      <c r="B9" s="8" t="inlineStr">
        <is>
          <t>Cash and Equivalents</t>
        </is>
      </c>
      <c r="C9" s="12" t="n">
        <v>37596</v>
      </c>
      <c r="D9" s="13" t="n">
        <v>6435</v>
      </c>
      <c r="E9" s="14">
        <f>IF(ISERROR((C9-D9)/ABS(D9)),"",(C9-D9)/ABS(D9))</f>
        <v>4.842424242424243</v>
      </c>
      <c r="F9" s="11" t="inlineStr">
        <is>
          <t>PDF p.96 (印刷頁 95)</t>
        </is>
      </c>
      <c r="G9" s="11" t="inlineStr">
        <is>
          <t>Cash and cash equivalents 現金及現金等價物 21 37,596 6,435</t>
        </is>
      </c>
    </row>
    <row r="10">
      <c r="A10" s="8" t="inlineStr">
        <is>
          <t>Balance Sheet</t>
        </is>
      </c>
      <c r="B10" s="8" t="inlineStr">
        <is>
          <t>Total Equity</t>
        </is>
      </c>
      <c r="C10" s="12" t="n">
        <v>292919</v>
      </c>
      <c r="D10" s="13" t="n">
        <v>153387</v>
      </c>
      <c r="E10" s="14">
        <f>IF(ISERROR((C10-D10)/ABS(D10)),"",(C10-D10)/ABS(D10))</f>
        <v>0.9096729188262369</v>
      </c>
      <c r="F10" s="11" t="inlineStr">
        <is>
          <t>PDF p.97 (印刷頁 96)</t>
        </is>
      </c>
      <c r="G10" s="11" t="inlineStr">
        <is>
          <t>Total equity 權益總額 292,919 153,387</t>
        </is>
      </c>
    </row>
    <row r="11">
      <c r="A11" s="8" t="inlineStr">
        <is>
          <t>Balance Sheet</t>
        </is>
      </c>
      <c r="B11" s="8" t="inlineStr">
        <is>
          <t>Total Current Liabilities</t>
        </is>
      </c>
      <c r="C11" s="12" t="n">
        <v>9811</v>
      </c>
      <c r="D11" s="13" t="n">
        <v>7356</v>
      </c>
      <c r="E11" s="14">
        <f>IF(ISERROR((C11-D11)/ABS(D11)),"",(C11-D11)/ABS(D11))</f>
        <v>0.33374116367591083</v>
      </c>
      <c r="F11" s="11" t="inlineStr">
        <is>
          <t>PDF p.96 (印刷頁 95)</t>
        </is>
      </c>
      <c r="G11" s="11" t="inlineStr">
        <is>
          <t>[current liabilities 區段小計] 9,811 7,356</t>
        </is>
      </c>
    </row>
    <row r="12">
      <c r="A12" s="8" t="inlineStr">
        <is>
          <t>Cash Flow</t>
        </is>
      </c>
      <c r="B12" s="8" t="inlineStr">
        <is>
          <t>Operating Cash Flow</t>
        </is>
      </c>
      <c r="C12" s="12" t="n">
        <v>28695</v>
      </c>
      <c r="D12" s="13" t="n">
        <v>-1742</v>
      </c>
      <c r="E12" s="14">
        <f>IF(ISERROR((C12-D12)/ABS(D12)),"",(C12-D12)/ABS(D12))</f>
        <v>17.47244546498278</v>
      </c>
      <c r="F12" s="11" t="inlineStr">
        <is>
          <t>PDF p.101 (印刷頁 100)</t>
        </is>
      </c>
      <c r="G12" s="11" t="inlineStr">
        <is>
          <t>Cash generated from/(used in) operations 經營業務所得╱（所用）的現金 28,695 (1,742)</t>
        </is>
      </c>
    </row>
    <row r="14">
      <c r="A14"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t="str">
        <f>IF(ISERROR(INDEX('Financials 財務數據'!$C$5:$C$12,MATCH("Gross Profit",'Financials 財務數據'!$B$5:$B$12,0))/INDEX('Financials 財務數據'!$C$5:$C$12,MATCH("Revenue",'Financials 財務數據'!$B$5:$B$12,0))),"n/a",INDEX('Financials 財務數據'!$C$5:$C$12,MATCH("Gross Profit",'Financials 財務數據'!$B$5:$B$12,0))/INDEX('Financials 財務數據'!$C$5:$C$12,MATCH("Revenue",'Financials 財務數據'!$B$5:$B$12,0)))</f>
        <v>n/a</v>
      </c>
      <c r="C5" s="15" t="str">
        <f>IF(ISERROR(INDEX('Financials 財務數據'!$D$5:$D$12,MATCH("Gross Profit",'Financials 財務數據'!$B$5:$B$12,0))/INDEX('Financials 財務數據'!$D$5:$D$12,MATCH("Revenue",'Financials 財務數據'!$B$5:$B$12,0))),"n/a",INDEX('Financials 財務數據'!$D$5:$D$12,MATCH("Gross Profit",'Financials 財務數據'!$B$5:$B$12,0))/INDEX('Financials 財務數據'!$D$5:$D$12,MATCH("Revenue",'Financials 財務數據'!$B$5:$B$12,0)))</f>
        <v>n/a</v>
      </c>
      <c r="D5" s="2" t="inlineStr">
        <is>
          <t>毛利 ÷ 收入</t>
        </is>
      </c>
    </row>
    <row r="6">
      <c r="A6" s="4" t="inlineStr">
        <is>
          <t>Net Margin 淨利率</t>
        </is>
      </c>
      <c r="B6" s="15" t="str">
        <f>IF(ISERROR(INDEX('Financials 財務數據'!$C$5:$C$12,MATCH("Profit for the Year",'Financials 財務數據'!$B$5:$B$12,0))/INDEX('Financials 財務數據'!$C$5:$C$12,MATCH("Revenue",'Financials 財務數據'!$B$5:$B$12,0))),"n/a",INDEX('Financials 財務數據'!$C$5:$C$12,MATCH("Profit for the Year",'Financials 財務數據'!$B$5:$B$12,0))/INDEX('Financials 財務數據'!$C$5:$C$12,MATCH("Revenue",'Financials 財務數據'!$B$5:$B$12,0)))</f>
        <v>n/a</v>
      </c>
      <c r="C6" s="15" t="str">
        <f>IF(ISERROR(INDEX('Financials 財務數據'!$D$5:$D$12,MATCH("Profit for the Year",'Financials 財務數據'!$B$5:$B$12,0))/INDEX('Financials 財務數據'!$D$5:$D$12,MATCH("Revenue",'Financials 財務數據'!$B$5:$B$12,0))),"n/a",INDEX('Financials 財務數據'!$D$5:$D$12,MATCH("Profit for the Year",'Financials 財務數據'!$B$5:$B$12,0))/INDEX('Financials 財務數據'!$D$5:$D$12,MATCH("Revenue",'Financials 財務數據'!$B$5:$B$12,0)))</f>
        <v>n/a</v>
      </c>
      <c r="D6" s="2" t="inlineStr">
        <is>
          <t>年內溢利 ÷ 收入</t>
        </is>
      </c>
    </row>
    <row r="7">
      <c r="A7" s="4" t="inlineStr">
        <is>
          <t>Current Ratio 流動比率</t>
        </is>
      </c>
      <c r="B7" s="16" t="str">
        <f>IF(ISERROR(INDEX('Financials 財務數據'!$C$5:$C$12,MATCH("Total Current Assets",'Financials 財務數據'!$B$5:$B$12,0))/INDEX('Financials 財務數據'!$C$5:$C$12,MATCH("Total Current Liabilities",'Financials 財務數據'!$B$5:$B$12,0))),"n/a",INDEX('Financials 財務數據'!$C$5:$C$12,MATCH("Total Current Assets",'Financials 財務數據'!$B$5:$B$12,0))/INDEX('Financials 財務數據'!$C$5:$C$12,MATCH("Total Current Liabilities",'Financials 財務數據'!$B$5:$B$12,0)))</f>
        <v>n/a</v>
      </c>
      <c r="C7" s="16" t="str">
        <f>IF(ISERROR(INDEX('Financials 財務數據'!$D$5:$D$12,MATCH("Total Current Assets",'Financials 財務數據'!$B$5:$B$12,0))/INDEX('Financials 財務數據'!$D$5:$D$12,MATCH("Total Current Liabilities",'Financials 財務數據'!$B$5:$B$12,0))),"n/a",INDEX('Financials 財務數據'!$D$5:$D$12,MATCH("Total Current Assets",'Financials 財務數據'!$B$5:$B$12,0))/INDEX('Financials 財務數據'!$D$5:$D$12,MATCH("Total Current Liabilities",'Financials 財務數據'!$B$5:$B$12,0)))</f>
        <v>n/a</v>
      </c>
      <c r="D7" s="2" t="inlineStr">
        <is>
          <t>流動資產 ÷ 流動負債</t>
        </is>
      </c>
    </row>
    <row r="8">
      <c r="A8" s="4" t="inlineStr">
        <is>
          <t>Debt / Equity 負債權益比</t>
        </is>
      </c>
      <c r="B8" s="16" t="str">
        <f>IF(ISERROR(INDEX('Financials 財務數據'!$C$5:$C$12,MATCH("Total Liabilities",'Financials 財務數據'!$B$5:$B$12,0))/INDEX('Financials 財務數據'!$C$5:$C$12,MATCH("Total Equity",'Financials 財務數據'!$B$5:$B$12,0))),"n/a",INDEX('Financials 財務數據'!$C$5:$C$12,MATCH("Total Liabilities",'Financials 財務數據'!$B$5:$B$12,0))/INDEX('Financials 財務數據'!$C$5:$C$12,MATCH("Total Equity",'Financials 財務數據'!$B$5:$B$12,0)))</f>
        <v>n/a</v>
      </c>
      <c r="C8" s="16" t="str">
        <f>IF(ISERROR(INDEX('Financials 財務數據'!$D$5:$D$12,MATCH("Total Liabilities",'Financials 財務數據'!$B$5:$B$12,0))/INDEX('Financials 財務數據'!$D$5:$D$12,MATCH("Total Equity",'Financials 財務數據'!$B$5:$B$12,0))),"n/a",INDEX('Financials 財務數據'!$D$5:$D$12,MATCH("Total Liabilities",'Financials 財務數據'!$B$5:$B$12,0))/INDEX('Financials 財務數據'!$D$5:$D$12,MATCH("Total Equity",'Financials 財務數據'!$B$5:$B$12,0)))</f>
        <v>n/a</v>
      </c>
      <c r="D8" s="2" t="inlineStr">
        <is>
          <t>總負債 ÷ 總權益</t>
        </is>
      </c>
    </row>
    <row r="9">
      <c r="A9" s="4" t="inlineStr">
        <is>
          <t>Goodwill / Total Assets</t>
        </is>
      </c>
      <c r="B9" s="15" t="str">
        <f>IF(ISERROR(INDEX('Financials 財務數據'!$C$5:$C$12,MATCH("Goodwill",'Financials 財務數據'!$B$5:$B$12,0))/INDEX('Financials 財務數據'!$C$5:$C$12,MATCH("Total Assets",'Financials 財務數據'!$B$5:$B$12,0))),"n/a",INDEX('Financials 財務數據'!$C$5:$C$12,MATCH("Goodwill",'Financials 財務數據'!$B$5:$B$12,0))/INDEX('Financials 財務數據'!$C$5:$C$12,MATCH("Total Assets",'Financials 財務數據'!$B$5:$B$12,0)))</f>
        <v>n/a</v>
      </c>
      <c r="C9" s="15" t="str">
        <f>IF(ISERROR(INDEX('Financials 財務數據'!$D$5:$D$12,MATCH("Goodwill",'Financials 財務數據'!$B$5:$B$12,0))/INDEX('Financials 財務數據'!$D$5:$D$12,MATCH("Total Assets",'Financials 財務數據'!$B$5:$B$12,0))),"n/a",INDEX('Financials 財務數據'!$D$5:$D$12,MATCH("Goodwill",'Financials 財務數據'!$B$5:$B$12,0))/INDEX('Financials 財務數據'!$D$5:$D$12,MATCH("Total Assets",'Financials 財務數據'!$B$5:$B$12,0)))</f>
        <v>n/a</v>
      </c>
      <c r="D9" s="2" t="inlineStr">
        <is>
          <t>商譽佔總資產比重 — 減值風險指標</t>
        </is>
      </c>
    </row>
    <row r="10">
      <c r="A10" s="4" t="inlineStr">
        <is>
          <t>Intangibles / Total Assets</t>
        </is>
      </c>
      <c r="B10" s="15" t="str">
        <f>IF(ISERROR(INDEX('Financials 財務數據'!$C$5:$C$12,MATCH("Intangible Assets",'Financials 財務數據'!$B$5:$B$12,0))/INDEX('Financials 財務數據'!$C$5:$C$12,MATCH("Total Assets",'Financials 財務數據'!$B$5:$B$12,0))),"n/a",INDEX('Financials 財務數據'!$C$5:$C$12,MATCH("Intangible Assets",'Financials 財務數據'!$B$5:$B$12,0))/INDEX('Financials 財務數據'!$C$5:$C$12,MATCH("Total Assets",'Financials 財務數據'!$B$5:$B$12,0)))</f>
        <v>n/a</v>
      </c>
      <c r="C10" s="15" t="str">
        <f>IF(ISERROR(INDEX('Financials 財務數據'!$D$5:$D$12,MATCH("Intangible Assets",'Financials 財務數據'!$B$5:$B$12,0))/INDEX('Financials 財務數據'!$D$5:$D$12,MATCH("Total Assets",'Financials 財務數據'!$B$5:$B$12,0))),"n/a",INDEX('Financials 財務數據'!$D$5:$D$12,MATCH("Intangible Assets",'Financials 財務數據'!$B$5:$B$12,0))/INDEX('Financials 財務數據'!$D$5:$D$12,MATCH("Total Assets",'Financials 財務數據'!$B$5:$B$12,0)))</f>
        <v>n/a</v>
      </c>
      <c r="D10" s="2" t="inlineStr">
        <is>
          <t>無形資產佔比</t>
        </is>
      </c>
    </row>
    <row r="11">
      <c r="A11" s="4" t="inlineStr">
        <is>
          <t>ROE 股本回報率</t>
        </is>
      </c>
      <c r="B11" s="15" t="str">
        <f>IF(ISERROR(INDEX('Financials 財務數據'!$C$5:$C$12,MATCH("Profit for the Year",'Financials 財務數據'!$B$5:$B$12,0))/INDEX('Financials 財務數據'!$C$5:$C$12,MATCH("Total Equity",'Financials 財務數據'!$B$5:$B$12,0))),"n/a",INDEX('Financials 財務數據'!$C$5:$C$12,MATCH("Profit for the Year",'Financials 財務數據'!$B$5:$B$12,0))/INDEX('Financials 財務數據'!$C$5:$C$12,MATCH("Total Equity",'Financials 財務數據'!$B$5:$B$12,0)))</f>
        <v>n/a</v>
      </c>
      <c r="C11" s="15" t="str">
        <f>IF(ISERROR(INDEX('Financials 財務數據'!$D$5:$D$12,MATCH("Profit for the Year",'Financials 財務數據'!$B$5:$B$12,0))/INDEX('Financials 財務數據'!$D$5:$D$12,MATCH("Total Equity",'Financials 財務數據'!$B$5:$B$12,0))),"n/a",INDEX('Financials 財務數據'!$D$5:$D$12,MATCH("Profit for the Year",'Financials 財務數據'!$B$5:$B$12,0))/INDEX('Financials 財務數據'!$D$5:$D$12,MATCH("Total Equity",'Financials 財務數據'!$B$5:$B$12,0)))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6538</v>
      </c>
      <c r="C5" s="18" t="n">
        <v>4171</v>
      </c>
    </row>
    <row r="6">
      <c r="A6" s="4" t="inlineStr">
        <is>
          <t>Profit Before Tax</t>
        </is>
      </c>
      <c r="B6" s="18" t="n">
        <v>-5475</v>
      </c>
      <c r="C6" s="18" t="n">
        <v>139532</v>
      </c>
    </row>
    <row r="7">
      <c r="A7" s="4" t="inlineStr">
        <is>
          <t>Total Equity</t>
        </is>
      </c>
      <c r="B7" s="18" t="n">
        <v>153387</v>
      </c>
      <c r="C7" s="18" t="n">
        <v>292919</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07"/>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valuation technique</t>
        </is>
      </c>
      <c r="E4" s="11" t="inlineStr">
        <is>
          <t>PDF p.104 (印刷頁 103)</t>
        </is>
      </c>
      <c r="F4" s="11" t="inlineStr">
        <is>
          <t>date, 付之價格，而不論該價格是否可直接觀察或運用 regardless of whether that price is directly observable or 另一種估值技術估計。倘市場參與者於計量日期 estimated using another valuation technique. In estimating 對資產或負債定價時會考慮資產或負債之特點， the fair value of an asset or a liability, the Group takes into 則本集團於估計資產或負債之公平值時會考慮該 account the characteristics of the asset or liability if market 等特點。該等綜合財務報表中作計量及╱或披露 participants would take those characteristics into account 用途之公平值乃按此基準釐定，惟屬香港財務報 when pricing the asset or liability at the measurement date. 告準則第2號「股份付款」範圍之股份付款交易、 Fair v</t>
        </is>
      </c>
    </row>
    <row r="5">
      <c r="A5" s="8" t="inlineStr">
        <is>
          <t>Fair Value Measurement</t>
        </is>
      </c>
      <c r="B5" s="8" t="inlineStr">
        <is>
          <t>公允價值計量</t>
        </is>
      </c>
      <c r="C5" s="19" t="inlineStr">
        <is>
          <t>high</t>
        </is>
      </c>
      <c r="D5" s="11" t="inlineStr">
        <is>
          <t>level 1</t>
        </is>
      </c>
      <c r="E5" s="11" t="inlineStr">
        <is>
          <t>PDF p.105 (印刷頁 104)</t>
        </is>
      </c>
      <c r="F5" s="11" t="inlineStr">
        <is>
          <t>transaction price. In addition, for financial reporting purposes, fair value 此外，就財務報告而言，視乎公平值計量之輸入 measurements are categorised into Level 1, 2 or 3 based on 值之可觀察程度及公平值計量之輸入值對其整體 the degree to which the inputs to the fair value measurements 之重要性而定，公平值計量可分類為第一級、第 are observable and the significance of the inputs to the fair 二級或第三級，詳情如下： value measurement in its entirety, which are described as follows: • Level 1 inputs are quoted prices (unadjusted) in active • 第一級輸入值乃實體於計量日期可獲得有 markets for identical assets or liabilities that</t>
        </is>
      </c>
    </row>
    <row r="6">
      <c r="A6" s="8" t="inlineStr">
        <is>
          <t>Fair Value Measurement</t>
        </is>
      </c>
      <c r="B6" s="8" t="inlineStr">
        <is>
          <t>公允價值計量</t>
        </is>
      </c>
      <c r="C6" s="19" t="inlineStr">
        <is>
          <t>high</t>
        </is>
      </c>
      <c r="D6" s="11" t="inlineStr">
        <is>
          <t>valuation technique</t>
        </is>
      </c>
      <c r="E6" s="11" t="inlineStr">
        <is>
          <t>PDF p.128 (印刷頁 127)</t>
        </is>
      </c>
      <c r="F6" s="11" t="inlineStr">
        <is>
          <t>團若干資產乃按公平值計量以用於財務申報 for financial reporting purposes. The management of the 目的。本公司管理層就公平值計量釐定適用估值 Company determines the appropriate valuation techniques 技術及輸入數據。 and inputs for fair value measurements.</t>
        </is>
      </c>
    </row>
    <row r="7">
      <c r="A7" s="8" t="inlineStr">
        <is>
          <t>Fair Value Measurement</t>
        </is>
      </c>
      <c r="B7" s="8" t="inlineStr">
        <is>
          <t>公允價值計量</t>
        </is>
      </c>
      <c r="C7" s="19" t="inlineStr">
        <is>
          <t>high</t>
        </is>
      </c>
      <c r="D7" s="11" t="inlineStr">
        <is>
          <t>level 3</t>
        </is>
      </c>
      <c r="E7" s="11" t="inlineStr">
        <is>
          <t>PDF p.129 (印刷頁 128)</t>
        </is>
      </c>
      <c r="F7" s="11" t="inlineStr">
        <is>
          <t>the extent it is available. 場可觀察數據（倘其可用）。就第三級項下存在重 For instruments with significant unobservable inputs under 大不可觀察輸入數據的工具而言，本集團會委聘 Level 3, the Group engages independent professional valuer 獨立專業估值師進行估值。本公司管理層會與獨 to perform the valuation. The management of the Company 立專業估值師緊密合作，制訂合適之估值技術及 works closely with the independent professional valuer to 模式輸入數據。本公司管理層向本公司董事會呈 establish the appropriate valuation techniques and inputs 報估值的調查結果，以解釋資產及負債公平值波 to the model. The management of the Company reports the 動的原因。 valuation findings</t>
        </is>
      </c>
    </row>
    <row r="8">
      <c r="A8" s="8" t="inlineStr">
        <is>
          <t>Fair Value Measurement</t>
        </is>
      </c>
      <c r="B8" s="8" t="inlineStr">
        <is>
          <t>公允價值計量</t>
        </is>
      </c>
      <c r="C8" s="19" t="inlineStr">
        <is>
          <t>high</t>
        </is>
      </c>
      <c r="D8" s="11" t="inlineStr">
        <is>
          <t>level 1</t>
        </is>
      </c>
      <c r="E8" s="11" t="inlineStr">
        <is>
          <t>PDF p.139 (印刷頁 138)</t>
        </is>
      </c>
      <c r="F8" s="11" t="inlineStr">
        <is>
          <t>roup had following 於二零二六年及二零二五年三月三十一日， financial instruments carried at fair value all of which 本集團有以下金融工具，均按公平值層級制 are based on the Level 1, Level 2 and Level 3 of the fair 度之第一級、第二級及第三級以公平值入賬： value hierarchy: 2026 2025 二零二六年 二零二五年 HK$’000 HK$’000 千港元 千港元 Level 1: 第一級： Financial assets at FVTPL 以公平值計入損益賬之財務資產 – listed equity investments －上市股本投資 195,316 99,604 Level 3: 第三級： Financial assets at FVTPL 以公平值計入損益賬之財務資產 – unlisted equity investments －非上市股本投資 8,288 6,849 203,604 106,453 The Group’s policy is to recognise transfers in</t>
        </is>
      </c>
    </row>
    <row r="9">
      <c r="A9" s="8" t="inlineStr">
        <is>
          <t>Fair Value Measurement</t>
        </is>
      </c>
      <c r="B9" s="8" t="inlineStr">
        <is>
          <t>公允價值計量</t>
        </is>
      </c>
      <c r="C9" s="19" t="inlineStr">
        <is>
          <t>high</t>
        </is>
      </c>
      <c r="D9" s="11" t="inlineStr">
        <is>
          <t>level 1</t>
        </is>
      </c>
      <c r="E9" s="11" t="inlineStr">
        <is>
          <t>PDF p.140 (印刷頁 139)</t>
        </is>
      </c>
      <c r="F9" s="11" t="inlineStr">
        <is>
          <t>流量根據預期可收回金額 缺乏市場流通性之折 折讓率越大，公平值 股本投資之非上市股本投資 估計的貼現現金流量，乃按反映 讓率 越小，反之亦然 管理層對預期風險水平之最佳 估計之比率貼現 Listed equity investment 195,316 99,604 Level 1 Quoted bid prices in an active N/A N/A classified as equity market investments at FVTPL 分類為以公平值計入損益賬 195,316 99,604 第一級 活躍市場買入價 不適用 不適用 之股本投資之上市股本投資 In estimating the fair value of unlisted equity 估計非上市股本投資的公平值時，本公司管 investments, the management of the Company work 理層與國際評估有限公司密切協作，確立適 closely with International Valuation Limited to establish 當估值技術及該模式之輸入數據。本公司管 the appropriate valuation tec</t>
        </is>
      </c>
    </row>
    <row r="10">
      <c r="A10" s="8" t="inlineStr">
        <is>
          <t>Fair Value Measurement</t>
        </is>
      </c>
      <c r="B10" s="8" t="inlineStr">
        <is>
          <t>公允價值計量</t>
        </is>
      </c>
      <c r="C10" s="19" t="inlineStr">
        <is>
          <t>high</t>
        </is>
      </c>
      <c r="D10" s="11" t="inlineStr">
        <is>
          <t>level 3</t>
        </is>
      </c>
      <c r="E10" s="11" t="inlineStr">
        <is>
          <t>PDF p.141 (印刷頁 140)</t>
        </is>
      </c>
      <c r="F10" s="11" t="inlineStr">
        <is>
          <t>s financial assets that (i) 以重複基礎以公平值計量之本集團財務 are measured at fair value on a recurring basis 資產公平值（續） (continued) Reconciliation of Level 3 fair value measurements 第三級公平值計量對賬表 Unlisted equity securities classified as equity investments at FVTPL 分類為以公平值 計入損益賬之 股本投資之 非上市股本證券 HK$’000 千港元 As at 1 April 2024 於二零二四年四月一日 6,276 Net unrealised gain on unlisted equity 以公平值計入損益賬之非上市股本投資之 investments at FVTPL 未變現收益淨額 573 As at 31 March 2025 and 1 April 2025 於二零二五年三月三十一日及二零二五年四月一日 6,849 Net unrealised gain on unlisted equity 以公平值計入損益賬之非上市股</t>
        </is>
      </c>
    </row>
    <row r="11">
      <c r="A11" s="8" t="inlineStr">
        <is>
          <t>Impairment Testing</t>
        </is>
      </c>
      <c r="B11" s="8" t="inlineStr">
        <is>
          <t>減值測試</t>
        </is>
      </c>
      <c r="C11" s="19" t="inlineStr">
        <is>
          <t>high</t>
        </is>
      </c>
      <c r="D11" s="11" t="inlineStr">
        <is>
          <t>減值虧損</t>
        </is>
      </c>
      <c r="E11" s="11" t="inlineStr">
        <is>
          <t>PDF p.100 (印刷頁 99)</t>
        </is>
      </c>
      <c r="F11" s="11" t="inlineStr">
        <is>
          <t>investments at fair value through 非上市股本投資之未變現 profit or loss 收益淨額 (1,439) (573) Net provision for/(reversal of) impairment 預期信貸虧損模式下的減值虧損 losses under expected credit loss model 撥備╱（撥回）淨額 1,893 (407) Operating cash flows before working 營運資金變動前的經營現金流量 capital changes (9,112) (5,939) Purchase of equity investments at 購買以公平值計入損益賬之股本投資 fair value through profit or loss (115,508) (18,360) Proceeds from disposal of 出售以公平值計入損益賬之 equity investments at fair value 股本投資之所得款項 through profit or loss 165,349 16,402 Purchase of debt investmen</t>
        </is>
      </c>
    </row>
    <row r="12">
      <c r="A12" s="8" t="inlineStr">
        <is>
          <t>Impairment Testing</t>
        </is>
      </c>
      <c r="B12" s="8" t="inlineStr">
        <is>
          <t>減值測試</t>
        </is>
      </c>
      <c r="C12" s="19" t="inlineStr">
        <is>
          <t>high</t>
        </is>
      </c>
      <c r="D12" s="11" t="inlineStr">
        <is>
          <t>value in use</t>
        </is>
      </c>
      <c r="E12" s="11" t="inlineStr">
        <is>
          <t>PDF p.104 (印刷頁 103)</t>
        </is>
      </c>
      <c r="F12" s="11" t="inlineStr">
        <is>
          <t>measurements that have some similarities to fair value but are not fair value, such as net realisable value in HKAS 2 Inventories or value in use in HKAS 36 Impairment of Assets.</t>
        </is>
      </c>
    </row>
    <row r="13">
      <c r="A13" s="8" t="inlineStr">
        <is>
          <t>Impairment Testing</t>
        </is>
      </c>
      <c r="B13" s="8" t="inlineStr">
        <is>
          <t>減值測試</t>
        </is>
      </c>
      <c r="C13" s="19" t="inlineStr">
        <is>
          <t>high</t>
        </is>
      </c>
      <c r="D13" s="11" t="inlineStr">
        <is>
          <t>減值測試</t>
        </is>
      </c>
      <c r="E13" s="11" t="inlineStr">
        <is>
          <t>PDF p.128 (印刷頁 127)</t>
        </is>
      </c>
      <c r="F13" s="11" t="inlineStr">
        <is>
          <t>credit risk in measurement of 預期信貸虧損計量的信貸風險顯著增加 ECL As explained in note 3, the Group monitors all financial assets 誠如附註3所述，本集團監察所有需作減值測試 that are subject to impairment requirements to assess whether 的財務資產，以評估其於初步確認起信貸風險是 there has been a significant increase in credit risk since initial 否顯著增加。倘信貸風險顯著增加，本公司將根 recognition. If there has been a significant increase in credit 據全期而非12個月預期信貸虧損計量虧損撥備。 risk, the Company will measure the loss allowance based on 香港財務報告準則第9號並無界定信貸風險顯著 lifetime rather than 12m ECL. HKFRS 9 does not define</t>
        </is>
      </c>
    </row>
    <row r="14">
      <c r="A14" s="8" t="inlineStr">
        <is>
          <t>Impairment Testing</t>
        </is>
      </c>
      <c r="B14" s="8" t="inlineStr">
        <is>
          <t>減值測試</t>
        </is>
      </c>
      <c r="C14" s="19" t="inlineStr">
        <is>
          <t>high</t>
        </is>
      </c>
      <c r="D14" s="11" t="inlineStr">
        <is>
          <t>impairment loss</t>
        </is>
      </c>
      <c r="E14" s="11" t="inlineStr">
        <is>
          <t>PDF p.137 (印刷頁 136)</t>
        </is>
      </c>
      <c r="F14" s="11" t="inlineStr">
        <is>
          <t>港元 千港元 千港元 千港元 As at 1 April 2024 於二零二四年四月一日 9,651 13,897 300 23,848 Changes due to financial instruments recognised: 已確認因金融工具產生之變動： Impairment losses reversal 減值虧損撥回 (378) (29) – (407) As at 31 March 2025 and 1 April 2025 於二零二五年三月三十一日及 二零二五年四月一日 9,273 13,868 300 23,441 Changes due to financial instruments recognised: 已確認因金融工具產生之變動： Impairment losses provided/(reversal) 減值虧損撥備╱（撥回） 3,265 (1,372) – 1,893 As at 31 March 2026 於二零二六年三月三十一日 12,538 12,496 300 25,334</t>
        </is>
      </c>
    </row>
    <row r="15">
      <c r="A15" s="8" t="inlineStr">
        <is>
          <t>Impairment Testing</t>
        </is>
      </c>
      <c r="B15" s="8" t="inlineStr">
        <is>
          <t>減值測試</t>
        </is>
      </c>
      <c r="C15" s="19" t="inlineStr">
        <is>
          <t>high</t>
        </is>
      </c>
      <c r="D15" s="11" t="inlineStr">
        <is>
          <t>recoverable amount</t>
        </is>
      </c>
      <c r="E15" s="11" t="inlineStr">
        <is>
          <t>PDF p.140 (印刷頁 139)</t>
        </is>
      </c>
      <c r="F15" s="11" t="inlineStr">
        <is>
          <t>gher of the classified as equity flows that are estimated based on of marketability discount rate, the investments at FVTPL expected recoverable amounts, lower of the fair value, discounted at rates that reflect vice versa management’s best estimation of the expected risk level 分類為以公平值計入損益賬之 8,288 6,849 第三級 未來現金流量根據預期可收回金額 缺乏市場流通性之折 折讓率越大，公平值 股本投資之非上市股本投資 估計的貼現現金流量，乃按反映 讓率 越小，反之亦然 管理層對預期風險水平之最佳 估計之比率貼現 Listed equity investment 195,316 99,604 Level 1 Quoted bid prices in an active N/A N/A classified as equity market investments</t>
        </is>
      </c>
    </row>
    <row r="16">
      <c r="A16" s="8" t="inlineStr">
        <is>
          <t>Impairment Testing</t>
        </is>
      </c>
      <c r="B16" s="8" t="inlineStr">
        <is>
          <t>減值測試</t>
        </is>
      </c>
      <c r="C16" s="19" t="inlineStr">
        <is>
          <t>high</t>
        </is>
      </c>
      <c r="D16" s="11" t="inlineStr">
        <is>
          <t>impairment loss</t>
        </is>
      </c>
      <c r="E16" s="11" t="inlineStr">
        <is>
          <t>PDF p.143 (印刷頁 142)</t>
        </is>
      </c>
      <c r="F16" s="11" t="inlineStr">
        <is>
          <t>on regarding major customers 確定，本集團並無有關主要客戶的資料。 as determined by the Group. 10. NET (PROVISION FOR)/REVERSAL OF 10. 預期信貸虧損模式下的減值虧損（撥 IMPAIRMENT LOSSES UNDER EXPECTED 備）╱撥回淨額 CREDIT LOSS MODEL 2026 2025 二零二六年 二零二五年 HK$’000 HK$’000 千港元 千港元 Net (provision for)/reversal of impairment 以下項目預期信貸虧損模式下的減值 losses under expected credit loss model on: 虧損（撥備）╱撥回淨額： – Other receivables －其他應收款項 1,372 29 – Debt investments measured at － 按攤銷成本計量之債務投資 amortised costs (3,265) 378 (1,893) 407 Details of impairment assessment are set out in note 6.</t>
        </is>
      </c>
    </row>
    <row r="17">
      <c r="A17" s="8" t="inlineStr">
        <is>
          <t>Impairment Testing</t>
        </is>
      </c>
      <c r="B17" s="8" t="inlineStr">
        <is>
          <t>減值測試</t>
        </is>
      </c>
      <c r="C17" s="19" t="inlineStr">
        <is>
          <t>high</t>
        </is>
      </c>
      <c r="D17" s="11" t="inlineStr">
        <is>
          <t>減值虧損</t>
        </is>
      </c>
      <c r="E17" s="11" t="inlineStr">
        <is>
          <t>PDF p.154 (印刷頁 153)</t>
        </is>
      </c>
      <c r="F17" s="11" t="inlineStr">
        <is>
          <t>零二六年 二零二五年 HK$’000 HK$’000 千港元 千港元 At the beginning of the reporting period 於報告期初 9,273 9,651 Provision for/(reversal of) impairment 減值虧損撥備╱（撥回）淨額 losses, net 3,265 (378) At the end of the reporting period 於報告期末 12,538 9,273 Details of impairment assessment are set out in note 6. 減值評估詳情載於附註6。 The above investment in the bonds issued by Gold Medal 誠如附註19所披露，上文於金徽香港有限公司、 Hong Kong Limited, Hao Wen Holdings Limited and First 皓文控股有限公司及第一信用財務有限公司發 Credit Limited are included in the list of 10 largest investments 行之債券之投資計入本集團於二零二六年三月</t>
        </is>
      </c>
    </row>
    <row r="18">
      <c r="A18" s="8" t="inlineStr">
        <is>
          <t>Impairment Testing</t>
        </is>
      </c>
      <c r="B18" s="8" t="inlineStr">
        <is>
          <t>減值測試</t>
        </is>
      </c>
      <c r="C18" s="19" t="inlineStr">
        <is>
          <t>high</t>
        </is>
      </c>
      <c r="D18" s="11" t="inlineStr">
        <is>
          <t>impairment loss</t>
        </is>
      </c>
      <c r="E18" s="11" t="inlineStr">
        <is>
          <t>PDF p.157 (印刷頁 156)</t>
        </is>
      </c>
      <c r="F18" s="11" t="inlineStr">
        <is>
          <t>lows: 2026 2025 二零二六年 二零二五年 HK$’000 HK$’000 千港元 千港元 Other receivables 其他應收款項 18,024 20,026 Loss allowance 虧損撥備 (12,796) (14,168) Net impairment losses on other 其他應收款項之減值虧損淨額 receivables 5,228 5,858 The movements in the loss allowance for ECL of other 其他應收款項之預期信貸虧損之虧損撥備變動如 receivables are as follows: 下： 2026 2025 二零二六年 二零二五年 HK$’000 HK$’000 千港元 千港元 At the beginning of the reporting period 於報告期初 14,168 14,197 Reversal of impairment losses, net 減值虧損撥回淨額 (1,372) (29) At the end of the reporting period 於報告期末 12,796 14,168 Details of</t>
        </is>
      </c>
    </row>
    <row r="19">
      <c r="A19" s="8" t="inlineStr">
        <is>
          <t>Impairment Testing</t>
        </is>
      </c>
      <c r="B19" s="8" t="inlineStr">
        <is>
          <t>減值測試</t>
        </is>
      </c>
      <c r="C19" s="19" t="inlineStr">
        <is>
          <t>high</t>
        </is>
      </c>
      <c r="D19" s="11" t="inlineStr">
        <is>
          <t>impairment loss</t>
        </is>
      </c>
      <c r="E19" s="11" t="inlineStr">
        <is>
          <t>PDF p.158 (印刷頁 157)</t>
        </is>
      </c>
      <c r="F19" s="11" t="inlineStr">
        <is>
          <t>ear ended 31 March 2026 截至二零二六年三月三十一日止年度 20. OTHER RECEIVABLES, PREPAYMENTS AND 20. 其他應收款項、預付款項及按金（續） DEPOSITS (continued) The above impairment losses have been separately disclosed 上述減值虧損已於綜合損益表單獨披露為「預期 as “impairment losses under expected credit loss model, net 信貸虧損模式下的減值虧損（經扣除撥回）」。 of reversal” in the consolidated statement of profit or loss. At the end of the reporting period, other receivable of 於報告期末，其他應收款項約為5,228,000港元 approximately HK$5,228,000 (2025: HK$5,858,000) （二零二五年：5,858,000港元），指透過於過往年 represents the consideratio</t>
        </is>
      </c>
    </row>
    <row r="20">
      <c r="A20" s="8" t="inlineStr">
        <is>
          <t>Intangible Assets &amp; Goodwill</t>
        </is>
      </c>
      <c r="B20" s="8" t="inlineStr">
        <is>
          <t>無形資產及商譽</t>
        </is>
      </c>
      <c r="C20" s="19" t="inlineStr">
        <is>
          <t>high</t>
        </is>
      </c>
      <c r="D20" s="11" t="inlineStr">
        <is>
          <t>patent</t>
        </is>
      </c>
      <c r="E20" s="11" t="inlineStr">
        <is>
          <t>PDF p.76 (印刷頁 75)</t>
        </is>
      </c>
      <c r="F20" s="11" t="inlineStr">
        <is>
          <t>, the （香港法例第559章）、《專利條例》（香港法例第514章） laws of Hong Kong), Trade Marks Ordinance (Cap. 559, the laws of 及《版權條例》（香港法例第528章）。 Hong Kong), Patents Ordinance (Cap. 514, the laws of Hong Kong) and Copyright Ordinance (Cap. 528, the laws of Hong Kong). The Group places importance on consumer data protection and 本集團重視消費者數據保護及私隱（在其業務營運適 privacy where applicable to its operations. Internal controls are in 用的情況下）。本集團已設立內部監控措施，以管理資 place to manage access to information and confidential documents. 訊及機密文件之查閱權限。於報告年度，並無發現有 No material complaint</t>
        </is>
      </c>
    </row>
    <row r="21">
      <c r="A21" s="8" t="inlineStr">
        <is>
          <t>Intangible Assets &amp; Goodwill</t>
        </is>
      </c>
      <c r="B21" s="8" t="inlineStr">
        <is>
          <t>無形資產及商譽</t>
        </is>
      </c>
      <c r="C21" s="19" t="inlineStr">
        <is>
          <t>high</t>
        </is>
      </c>
      <c r="D21" s="11" t="inlineStr">
        <is>
          <t>攤銷</t>
        </is>
      </c>
      <c r="E21" s="11" t="inlineStr">
        <is>
          <t>PDF p.90 (印刷頁 89)</t>
        </is>
      </c>
      <c r="F21" s="11" t="inlineStr">
        <is>
          <t>e do not provide a separate opinion on these matters. Key audit matter 關鍵審核事項 Impairment assessment of debt investments measured at 按攤銷成本計量之債務投資減值評估 amortised cost We identified the impairment assessment under expected credit 我們將根據香港財務報告準則第9號預期信貸虧損（「預 losses (“ECL”) of HKFRS 9 for debt investments measured at 期信貸虧損」）就按攤銷成本計量之債務投資減值評估 amortised cost as a key audit matter due to its significance to the 作為關鍵審核事項，因為其對綜合財務報表而言具有 consolidated financial statements and the significant management 重大意義，且計量需要重大管理層估計及判斷。 estimates and judg</t>
        </is>
      </c>
    </row>
    <row r="22">
      <c r="A22" s="8" t="inlineStr">
        <is>
          <t>Intangible Assets &amp; Goodwill</t>
        </is>
      </c>
      <c r="B22" s="8" t="inlineStr">
        <is>
          <t>無形資產及商譽</t>
        </is>
      </c>
      <c r="C22" s="19" t="inlineStr">
        <is>
          <t>high</t>
        </is>
      </c>
      <c r="D22" s="11" t="inlineStr">
        <is>
          <t>攤銷</t>
        </is>
      </c>
      <c r="E22" s="11" t="inlineStr">
        <is>
          <t>PDF p.96 (印刷頁 95)</t>
        </is>
      </c>
      <c r="F22" s="11" t="inlineStr">
        <is>
          <t>非流動資產 Equity investments at fair value through 以公平值計入損益賬之 profit or loss 股本投資 17 8,288 6,849 Debt investments measured at amortised 按攤銷成本計量之債務投資 cost 18 38,916 15,808 47,204 22,657 Current assets 流動資產 Equity investments at fair value through 以公平值計入損益賬之 profit or loss 股本投資 17 195,316 99,604 Debt investments measured at amortised 按攤銷成本計量之債務投資 cost 18 17,286 26,114 Other receivables, prepayments and 其他應收款項、預付款項及按金 deposits 20 5,328 5,933 Cash and cash equivalents 現金及現金等價物 21 37,596 6,435 255,526 138,086 Current liabilities 流動負債 Am</t>
        </is>
      </c>
    </row>
    <row r="23">
      <c r="A23" s="8" t="inlineStr">
        <is>
          <t>Intangible Assets &amp; Goodwill</t>
        </is>
      </c>
      <c r="B23" s="8" t="inlineStr">
        <is>
          <t>無形資產及商譽</t>
        </is>
      </c>
      <c r="C23" s="19" t="inlineStr">
        <is>
          <t>high</t>
        </is>
      </c>
      <c r="D23" s="11" t="inlineStr">
        <is>
          <t>攤銷</t>
        </is>
      </c>
      <c r="E23" s="11" t="inlineStr">
        <is>
          <t>PDF p.100 (印刷頁 99)</t>
        </is>
      </c>
      <c r="F23" s="11" t="inlineStr">
        <is>
          <t>sal of 出售以公平值計入損益賬之 equity investments at fair value 股本投資之所得款項 through profit or loss 165,349 16,402 Purchase of debt investments 購買按攤銷成本計量之債務投資 measured at amortised cost (27,925) – Proceed of disposal of debt investment 出售按攤銷成本計量之債務投資之 measured at amortised cost 所得款項 10,785 7,500 Changes in other receivables, 其他應收款項丶預付款項及按金 prepayments and deposits 之變動 2,653 724 Changes in margin payables 應付保證金之變動 2,150 411 Changes in other payables and accruals 其他應付款項及應計費用之變動 303 (2,480)</t>
        </is>
      </c>
    </row>
    <row r="24">
      <c r="A24" s="8" t="inlineStr">
        <is>
          <t>Intangible Assets &amp; Goodwill</t>
        </is>
      </c>
      <c r="B24" s="8" t="inlineStr">
        <is>
          <t>無形資產及商譽</t>
        </is>
      </c>
      <c r="C24" s="19" t="inlineStr">
        <is>
          <t>high</t>
        </is>
      </c>
      <c r="D24" s="11" t="inlineStr">
        <is>
          <t>攤銷</t>
        </is>
      </c>
      <c r="E24" s="11" t="inlineStr">
        <is>
          <t>PDF p.113 (印刷頁 112)</t>
        </is>
      </c>
      <c r="F24" s="11" t="inlineStr">
        <is>
          <t>tive interest method is a method of calculating 實際利率法為相關期間計算財務資產或財務負債 the amortised cost of a financial asset or financial liability 攤銷成本及分配利息收入及利息開支的方法。實 and of allocating interest income and interest expense over 際利率為於初步確認時將估計未來現金收入及付 the relevant period. The effective interest rate is the rate 款（包括構成整體實際利率的所有已付或已收費 that exactly discounts estimated future cash receipts and 用、交易成本及其他溢價或折讓）按財務資產或 payments (including all fees and points paid or received that 財務負債的預期年期或（倘適用）較短期間準確 form an integral part of the effective interest r</t>
        </is>
      </c>
    </row>
    <row r="25">
      <c r="A25" s="8" t="inlineStr">
        <is>
          <t>Intangible Assets &amp; Goodwill</t>
        </is>
      </c>
      <c r="B25" s="8" t="inlineStr">
        <is>
          <t>無形資產及商譽</t>
        </is>
      </c>
      <c r="C25" s="19" t="inlineStr">
        <is>
          <t>high</t>
        </is>
      </c>
      <c r="D25" s="11" t="inlineStr">
        <is>
          <t>攤銷</t>
        </is>
      </c>
      <c r="E25" s="11" t="inlineStr">
        <is>
          <t>PDF p.114 (印刷頁 113)</t>
        </is>
      </c>
      <c r="F25" s="11" t="inlineStr">
        <is>
          <t>fective as a • 並非作為指定及有效對沖工具的衍生工具。 hedging instrument. In addition, the Group may irrevocably designate a financial 此外，本集團可不可撤回地將一項須按攤銷成本 asset that are required to be measured at the amortised cost 或按公平值計入其他全面收益計量的財務資產指 or FVOCI as measured at FVTPL if doing so eliminates or 定為以公平值計入損益賬計量，前提為有關指定 significantly reduces an accounting mismatch. 可消除或大幅減少會計錯配。</t>
        </is>
      </c>
    </row>
    <row r="26">
      <c r="A26" s="8" t="inlineStr">
        <is>
          <t>Intangible Assets &amp; Goodwill</t>
        </is>
      </c>
      <c r="B26" s="8" t="inlineStr">
        <is>
          <t>無形資產及商譽</t>
        </is>
      </c>
      <c r="C26" s="19" t="inlineStr">
        <is>
          <t>high</t>
        </is>
      </c>
      <c r="D26" s="11" t="inlineStr">
        <is>
          <t>攤銷</t>
        </is>
      </c>
      <c r="E26" s="11" t="inlineStr">
        <is>
          <t>PDF p.115 (印刷頁 114)</t>
        </is>
      </c>
      <c r="F26" s="11" t="inlineStr">
        <is>
          <t>Classification and subsequent measurement of financial 財務資產的分類及其後計量（續） assets (continued) (i) Amortised cost and interest income (i) 攤銷成本及利息收入 Interest income is recognised using the effective interest 利息收入按其後按攤銷成本計量的財務資 method for financial assets measured subsequently 產使用實際利率法確認。利息收入通過對財 at amortised cost. Interest income is calculated by 務資產賬面總值採用實際利率計算，除非財 applying the effective interest rate to the gross carrying 務資產其後出現信貸減值（見下文）。就其 amount of a financial asset, except for financial assets 後出現信貸減值的財務資產而言，通過自下 that have subs</t>
        </is>
      </c>
    </row>
    <row r="27">
      <c r="A27" s="8" t="inlineStr">
        <is>
          <t>Intangible Assets &amp; Goodwill</t>
        </is>
      </c>
      <c r="B27" s="8" t="inlineStr">
        <is>
          <t>無形資產及商譽</t>
        </is>
      </c>
      <c r="C27" s="19" t="inlineStr">
        <is>
          <t>high</t>
        </is>
      </c>
      <c r="D27" s="11" t="inlineStr">
        <is>
          <t>攤銷</t>
        </is>
      </c>
      <c r="E27" s="11" t="inlineStr">
        <is>
          <t>PDF p.116 (印刷頁 115)</t>
        </is>
      </c>
      <c r="F27" s="11" t="inlineStr">
        <is>
          <t>impairment assessment under expected 本集團根據預期信貸虧損（「預期信貸虧損」）模 credit loss (“ECL”) model on financial assets (including debt 式對財務資產（包括按攤銷成本計量之債務投資、 investments measured at amortised cost, other receivables 其他應收款項及按金、於其他金融機構的銀行結 and deposits, bank balances and deposits at other financial 餘及存款）進行減值評估。預期信貸虧損金額於 institutions). The amount of ECL is updated at each reporting 各報告日期更新，以反映信貸風險自初始確認以 date to reflect changes in credit risk since initial recognition. 來的變動。 Lifetime ECL represents the ECL that will result from all 全期預期信貸虧損指相關</t>
        </is>
      </c>
    </row>
    <row r="28">
      <c r="A28" s="8" t="inlineStr">
        <is>
          <t>Intangible Assets &amp; Goodwill</t>
        </is>
      </c>
      <c r="B28" s="8" t="inlineStr">
        <is>
          <t>無形資產及商譽</t>
        </is>
      </c>
      <c r="C28" s="19" t="inlineStr">
        <is>
          <t>high</t>
        </is>
      </c>
      <c r="D28" s="11" t="inlineStr">
        <is>
          <t>攤銷</t>
        </is>
      </c>
      <c r="E28" s="11" t="inlineStr">
        <is>
          <t>PDF p.121 (印刷頁 120)</t>
        </is>
      </c>
      <c r="F28" s="11" t="inlineStr">
        <is>
          <t>f the financial asset unless the financial asset 除非財務資產出現信貸減值，在此情況下， is credit-impaired, in which case interest income is 利息收入根據財務資產之攤銷成本計算。 calculated based on amortised cost of the financial asset. The Group recognises an impairment gain or loss in 本集團透過調整賬面值就所有金融工具於 profit or loss for all financial instruments by adjusting 損益中確認減值收益或虧損。 their carrying amount. Derecognition of financial assets 終止確認財務資產 The Group derecognises a financial asset only when the 本集團僅在收取資產現金流量的合約權利屆滿時 contractual rights to the cash flows from the as</t>
        </is>
      </c>
    </row>
    <row r="29">
      <c r="A29" s="8" t="inlineStr">
        <is>
          <t>Intangible Assets &amp; Goodwill</t>
        </is>
      </c>
      <c r="B29" s="8" t="inlineStr">
        <is>
          <t>無形資產及商譽</t>
        </is>
      </c>
      <c r="C29" s="19" t="inlineStr">
        <is>
          <t>high</t>
        </is>
      </c>
      <c r="D29" s="11" t="inlineStr">
        <is>
          <t>攤銷</t>
        </is>
      </c>
      <c r="E29" s="11" t="inlineStr">
        <is>
          <t>PDF p.122 (印刷頁 121)</t>
        </is>
      </c>
      <c r="F29" s="11" t="inlineStr">
        <is>
          <t>pany are 按已收所得款項扣除直接發行成本確認。 recognised at the proceeds received, net of direct issue costs. Financial liabilities at amortised cost 按攤銷成本計量的財務負債 Financial liabilities including margin payables, other payables 財務負債包括應付保證金、其他應付款項及應計 and accruals are subsequently measured at amortised cost, 費用，其後以實際利率法按攤銷成本計量。 using the effective interest method. Derecognition of financial liabilities 終止確認財務負債 The Group derecognises financial liabilities when, and only 當且僅當本集團的義務被解除、取消或到期時， when, the Group’s obligations are discharged, cancelled o</t>
        </is>
      </c>
    </row>
    <row r="30">
      <c r="A30" s="8" t="inlineStr">
        <is>
          <t>Intangible Assets &amp; Goodwill</t>
        </is>
      </c>
      <c r="B30" s="8" t="inlineStr">
        <is>
          <t>無形資產及商譽</t>
        </is>
      </c>
      <c r="C30" s="19" t="inlineStr">
        <is>
          <t>high</t>
        </is>
      </c>
      <c r="D30" s="11" t="inlineStr">
        <is>
          <t>攤銷</t>
        </is>
      </c>
      <c r="E30" s="11" t="inlineStr">
        <is>
          <t>PDF p.129 (印刷頁 128)</t>
        </is>
      </c>
      <c r="F30" s="11" t="inlineStr">
        <is>
          <t>ed in the determination of the fair value of 詳盡資料。 various assets and liabilities. Impairment of financial assets at amortised cost 按攤銷成本計量的財務資產減值 The directors of the Company estimate the amount of loss 本公司董事根據有關金融工具的信貸風險，估計 allowance for ECL on financial assets at amortised cost 按攤銷成本計量的財務資產預期信貸虧損的虧損 based on the credit risk of the respective financial instrument. 撥備金額。虧損撥備金額按資產賬面值與估計未 The loss allowance amount is measured as the difference 來現金流量現值的差額計量，並考慮有關金融工 between the asset’s carrying amount and the present value of 具的預</t>
        </is>
      </c>
    </row>
    <row r="31">
      <c r="A31" s="8" t="inlineStr">
        <is>
          <t>Intangible Assets &amp; Goodwill</t>
        </is>
      </c>
      <c r="B31" s="8" t="inlineStr">
        <is>
          <t>無形資產及商譽</t>
        </is>
      </c>
      <c r="C31" s="19" t="inlineStr">
        <is>
          <t>high</t>
        </is>
      </c>
      <c r="D31" s="11" t="inlineStr">
        <is>
          <t>攤銷</t>
        </is>
      </c>
      <c r="E31" s="11" t="inlineStr">
        <is>
          <t>PDF p.130 (印刷頁 129)</t>
        </is>
      </c>
      <c r="F31" s="11" t="inlineStr">
        <is>
          <t>源（續） (continued) Key sources of estimation uncertainty (continued) 估計不明朗因素之主要來源（續） Impairment of financial assets at amortised cost 按攤銷成本計量的財務資產減值（續） (continued) In response to the requirements of HKFRS 9, the directors of 因應香港財務報告準則第9號的規定，本公司董 the Company is responsible in developing and maintaining the 事負責制定及維持計量預期信貸虧損的流程，包 processes for measuring ECL including monitoring of credit 括監察信貸風險、納入前瞻性資料及計量預期信 risk, incorporation of forward looking information and the 貸虧損的方法；以及確保本集團設有政策及程序， method used to measure ECL; and ensuring t</t>
        </is>
      </c>
    </row>
    <row r="32">
      <c r="A32" s="8" t="inlineStr">
        <is>
          <t>Intangible Assets &amp; Goodwill</t>
        </is>
      </c>
      <c r="B32" s="8" t="inlineStr">
        <is>
          <t>無形資產及商譽</t>
        </is>
      </c>
      <c r="C32" s="19" t="inlineStr">
        <is>
          <t>high</t>
        </is>
      </c>
      <c r="D32" s="11" t="inlineStr">
        <is>
          <t>攤銷</t>
        </is>
      </c>
      <c r="E32" s="11" t="inlineStr">
        <is>
          <t>PDF p.131 (印刷頁 130)</t>
        </is>
      </c>
      <c r="F32" s="11" t="inlineStr">
        <is>
          <t>源（續） (continued) Key sources of estimation uncertainty (continued) 估計不明朗因素之主要來源（續） Impairment of financial assets at amortised cost 按攤銷成本計量的財務資產減值（續） (continued) Measurement of ECL (continued) 預期信貸虧損計量（續） Loss Given Default (“LGD”) is an estimate of the loss 違約虧損（「違約虧損」）是對違約產生的虧損的 arising on default. It is based on the difference between 估計，乃基於到期合約現金流量與貸款人預期收 the contractual cash flows due and those that the lender 到的現金流量之間的差額。於評估分類為階段3 would expect to receive. In assessing the lifetime ECL on 之信貸減值財務資產之全期預期信貸虧損時，本 credit-impai</t>
        </is>
      </c>
    </row>
    <row r="33">
      <c r="A33" s="8" t="inlineStr">
        <is>
          <t>Intangible Assets &amp; Goodwill</t>
        </is>
      </c>
      <c r="B33" s="8" t="inlineStr">
        <is>
          <t>無形資產及商譽</t>
        </is>
      </c>
      <c r="C33" s="19" t="inlineStr">
        <is>
          <t>high</t>
        </is>
      </c>
      <c r="D33" s="11" t="inlineStr">
        <is>
          <t>攤銷</t>
        </is>
      </c>
      <c r="E33" s="11" t="inlineStr">
        <is>
          <t>PDF p.132 (印刷頁 131)</t>
        </is>
      </c>
      <c r="F33" s="11" t="inlineStr">
        <is>
          <t>iod are as follows: Financial Financial Financial assets at liabilities at assets at amortised amortised FVTPL cost cost Total 以公平值 按攤銷成本 按攤銷成本 計入損益賬 計量之 計量之 之財務資產 財務資產 財務負債 總計 HK$’000 HK$’000 HK$’000 HK$’000 千港元 千港元 千港元 千港元 2026 二零二六年 Debt investments measured at amortised cost 按攤銷成本計量之債務投資 – 56,202 – 56,202 Equity investments at FVTPL 以公平值計入損益賬之股本投資 203,604 – – 203,604 Other receivables and deposits 其他應收款項及按金 – 5,255 – 5,255 Cash and cash equivalents 現金及現金等價物 – 37,596 – 37,596 203,604 99,053 – 302,657 Amount due to brokers 應付</t>
        </is>
      </c>
    </row>
    <row r="34">
      <c r="A34" s="8" t="inlineStr">
        <is>
          <t>Intangible Assets &amp; Goodwill</t>
        </is>
      </c>
      <c r="B34" s="8" t="inlineStr">
        <is>
          <t>無形資產及商譽</t>
        </is>
      </c>
      <c r="C34" s="19" t="inlineStr">
        <is>
          <t>high</t>
        </is>
      </c>
      <c r="D34" s="11" t="inlineStr">
        <is>
          <t>攤銷</t>
        </is>
      </c>
      <c r="E34" s="11" t="inlineStr">
        <is>
          <t>PDF p.133 (印刷頁 132)</t>
        </is>
      </c>
      <c r="F34" s="11" t="inlineStr">
        <is>
          <t>e Group’s major financial instruments include equity 本集團之主要金融工具包括以公平值計入損益賬 investments at FVTPL, debt investments measured at 之股本投資、按攤銷成本計量之債務投資、其他 amortised cost, other receivables and deposits, cash and 應收款項及按金、現金及現金等價物、其他應付 cash equivalents, other payables and accruals, and margin 款項及應計費用以及應付保證金。該等金融工具 payables. Details of these financial instruments are disclosed 之詳情於各自附註披露。與該等金融工具有關之 in the respective notes. The risks associated with these 風險及本集團就減輕該等風險所應用之政策載列 financial instruments and the policies applied by the Group to</t>
        </is>
      </c>
    </row>
    <row r="35">
      <c r="A35" s="8" t="inlineStr">
        <is>
          <t>Intangible Assets &amp; Goodwill</t>
        </is>
      </c>
      <c r="B35" s="8" t="inlineStr">
        <is>
          <t>無形資產及商譽</t>
        </is>
      </c>
      <c r="C35" s="19" t="inlineStr">
        <is>
          <t>high</t>
        </is>
      </c>
      <c r="D35" s="11" t="inlineStr">
        <is>
          <t>攤銷</t>
        </is>
      </c>
      <c r="E35" s="11" t="inlineStr">
        <is>
          <t>PDF p.134 (印刷頁 133)</t>
        </is>
      </c>
      <c r="F35" s="11" t="inlineStr">
        <is>
          <t>ir contractual obligations resulting in financial 致本集團蒙受財務損失的風險。本集團的信貸風 losses to the Group. The Group’s credit risk exposures 險主要來自按攤銷成本計量之債務投資、其他應 are primarily attributable to debt investments measured at 收款項及按金、於其他金融機構的銀行結餘及存 amortised cost, other receivables and deposits, bank balances 款。本集團並無持有任何抵押品或其他信貸增強 and deposits at other financial institutions. The Group does 措施，以彌補其與財務資產有關的信貸風險。 not hold any collateral or other credit enhancements to cover its credit risks associated with its financial assets. The Group performed</t>
        </is>
      </c>
    </row>
    <row r="36">
      <c r="A36" s="8" t="inlineStr">
        <is>
          <t>Intangible Assets &amp; Goodwill</t>
        </is>
      </c>
      <c r="B36" s="8" t="inlineStr">
        <is>
          <t>無形資產及商譽</t>
        </is>
      </c>
      <c r="C36" s="19" t="inlineStr">
        <is>
          <t>high</t>
        </is>
      </c>
      <c r="D36" s="11" t="inlineStr">
        <is>
          <t>攤銷</t>
        </is>
      </c>
      <c r="E36" s="11" t="inlineStr">
        <is>
          <t>PDF p.135 (印刷頁 134)</t>
        </is>
      </c>
      <c r="F36" s="11" t="inlineStr">
        <is>
          <t>ses 本集團的內部信貸風險評級評估包括以下類別： the following categories: Internal Financial assets credit rating Description at amortised cost 內部信貸評級 描述 按攤銷成本計量的 財務資產 Low risk The counterparty has a low risk of default and does not have 12m ECL any past-due amounts 低風險 對手方的違約風險較低，並無任何逾期金額 12個月預期信貸虧損 Watch list Debtor frequently repays after due dates but usually settle in full 12m ECL 觀察名單 債務人經常於到期日後還款，但通常全額付清 12個月預期信貸虧損 Doubtful There have been significant increases in credit risk since Lifetime ECL – initial recognition through information develo</t>
        </is>
      </c>
    </row>
    <row r="37">
      <c r="A37" s="8" t="inlineStr">
        <is>
          <t>Intangible Assets &amp; Goodwill</t>
        </is>
      </c>
      <c r="B37" s="8" t="inlineStr">
        <is>
          <t>無形資產及商譽</t>
        </is>
      </c>
      <c r="C37" s="19" t="inlineStr">
        <is>
          <t>high</t>
        </is>
      </c>
      <c r="D37" s="11" t="inlineStr">
        <is>
          <t>攤銷</t>
        </is>
      </c>
      <c r="E37" s="11" t="inlineStr">
        <is>
          <t>PDF p.136 (印刷頁 135)</t>
        </is>
      </c>
      <c r="F37" s="11" t="inlineStr">
        <is>
          <t>12個月或全期 外部信貸評級 內部信貸評級 預期信貸虧損 賬面總值 虧損撥備 賬面總值 虧損撥備 HK$’000 HK$’000 HK$’000 HK$’000 千港元 千港元 千港元 千港元 Financial assets at amortised cost 按攤銷成本計量的財務資產 Debt investments measured N/A Low risk 12m ECL at amortised cost 68,740 12,538 51,195 9,273 按攤銷成本計量之債務投資 不適用 低風險 12個月預期信貸虧損 Other receivables and deposits N/A Low risk 12m ECL 27 – 27 – 其他應收款項及按金 不適用 低風險 12個月預期信貸虧損 N/A Doubtful Lifetime ECL – not credit-impaired 17,724 12,496 19,726 13,868 不適用 存疑 全期預期信貸虧損 －無信貸減值 N/A Loss Lifetime ECL – credit-impaired 300 300 300 300 不適用 損失 全期預期信貸虧損 －信</t>
        </is>
      </c>
    </row>
    <row r="38">
      <c r="A38" s="8" t="inlineStr">
        <is>
          <t>Intangible Assets &amp; Goodwill</t>
        </is>
      </c>
      <c r="B38" s="8" t="inlineStr">
        <is>
          <t>無形資產及商譽</t>
        </is>
      </c>
      <c r="C38" s="19" t="inlineStr">
        <is>
          <t>high</t>
        </is>
      </c>
      <c r="D38" s="11" t="inlineStr">
        <is>
          <t>攤銷</t>
        </is>
      </c>
      <c r="E38" s="11" t="inlineStr">
        <is>
          <t>PDF p.137 (印刷頁 136)</t>
        </is>
      </c>
      <c r="F38" s="11" t="inlineStr">
        <is>
          <t>續） Credit risk and impairment assessment (continued) 信貸風險及減值評估（續） The following tables show reconciliation of loss allowances 下表列示已就按攤銷成本計量之財務資產確認之 that has been recognised for financial assets measured at 虧損撥備之對賬： amortised cost: Stage 1 Stage 2 Stage 3 12m ECL Lifetime ECL Lifetime ECL Total (not credit- (creditimpaired) impaired) 階段1 階段2 階段3 12個月預期 全期預期 全期預期 信貸虧損 信貸虧損 信貸虧損 總計 （無信貸減值） （信貸減值） HK$’000 HK$’000 HK$’000 HK$’000 千港元 千港元 千港元 千港元 As at 1 April 2024 於二零二四年四月一日 9,651 13,897 300 23,848 Changes due to financial instrum</t>
        </is>
      </c>
    </row>
    <row r="39">
      <c r="A39" s="8" t="inlineStr">
        <is>
          <t>Intangible Assets &amp; Goodwill</t>
        </is>
      </c>
      <c r="B39" s="8" t="inlineStr">
        <is>
          <t>無形資產及商譽</t>
        </is>
      </c>
      <c r="C39" s="19" t="inlineStr">
        <is>
          <t>high</t>
        </is>
      </c>
      <c r="D39" s="11" t="inlineStr">
        <is>
          <t>攤銷</t>
        </is>
      </c>
      <c r="E39" s="11" t="inlineStr">
        <is>
          <t>PDF p.142 (印刷頁 141)</t>
        </is>
      </c>
      <c r="F39" s="11" t="inlineStr">
        <is>
          <t>The carrying amounts of the Group’s financial assets 於二零二六年及二零二五年三月三十一日 and financial liabilities carried at amortised cost are not 以攤銷成本列賬的本集團財務資產及財務 materially different from their fair values as at 31 March 負債之賬面值與其公平值概無重大差異，皆 2026 and 2025 due to their short-term maturities. 因均在短期內到期。 8. REVENUE 8. 收益 An analysis of the Group’s revenue is as follows: 本集團之收益分析如下： 2026 2025 二零二六年 二零二五年 HK$’000 HK$’000 千港元 千港元 Revenue: 收益： Dividend income from equity investments 以公平值計入損益賬之股本投資之 at FVTPL 股息收入 498 422 Interest income from debt i</t>
        </is>
      </c>
    </row>
    <row r="40">
      <c r="A40" s="8" t="inlineStr">
        <is>
          <t>Intangible Assets &amp; Goodwill</t>
        </is>
      </c>
      <c r="B40" s="8" t="inlineStr">
        <is>
          <t>無形資產及商譽</t>
        </is>
      </c>
      <c r="C40" s="19" t="inlineStr">
        <is>
          <t>high</t>
        </is>
      </c>
      <c r="D40" s="11" t="inlineStr">
        <is>
          <t>攤銷</t>
        </is>
      </c>
      <c r="E40" s="11" t="inlineStr">
        <is>
          <t>PDF p.143 (印刷頁 142)</t>
        </is>
      </c>
      <c r="F40" s="11" t="inlineStr">
        <is>
          <t>下的減值 losses under expected credit loss model on: 虧損（撥備）╱撥回淨額： – Other receivables －其他應收款項 1,372 29 – Debt investments measured at － 按攤銷成本計量之債務投資 amortised costs (3,265) 378 (1,893) 407 Details of impairment assessment are set out in note 6. 減值評估詳情載於附註6。</t>
        </is>
      </c>
    </row>
    <row r="41">
      <c r="A41" s="8" t="inlineStr">
        <is>
          <t>Intangible Assets &amp; Goodwill</t>
        </is>
      </c>
      <c r="B41" s="8" t="inlineStr">
        <is>
          <t>無形資產及商譽</t>
        </is>
      </c>
      <c r="C41" s="19" t="inlineStr">
        <is>
          <t>high</t>
        </is>
      </c>
      <c r="D41" s="11" t="inlineStr">
        <is>
          <t>攤銷</t>
        </is>
      </c>
      <c r="E41" s="11" t="inlineStr">
        <is>
          <t>PDF p.153 (印刷頁 152)</t>
        </is>
      </c>
      <c r="F41" s="11" t="inlineStr">
        <is>
          <t>元。 its audited consolidated net assets attributable to owners was approximately RMB39,761,000. 18. DEBT INVESTMENTS MEASURED AT 18. 按攤銷成本計量之債務投資 AMORTISED COST 2026 2025 二零二六年 二零二五年 HK$’000 HK$’000 千港元 千港元 Unlisted debts securities (note) 非上市債務證券（附註） 67,925 46,000 Interest receivables 應收利息 815 5,195 Less: Allowance for credit losses 減：信貸虧損撥備 (12,538) (9,273) 56,202 41,922 Analysed as: 分析為： Non-current 非流動 38,916 15,808 Current 流動 17,286 26,114 56,202 41,922</t>
        </is>
      </c>
    </row>
    <row r="42">
      <c r="A42" s="8" t="inlineStr">
        <is>
          <t>Intangible Assets &amp; Goodwill</t>
        </is>
      </c>
      <c r="B42" s="8" t="inlineStr">
        <is>
          <t>無形資產及商譽</t>
        </is>
      </c>
      <c r="C42" s="19" t="inlineStr">
        <is>
          <t>high</t>
        </is>
      </c>
      <c r="D42" s="11" t="inlineStr">
        <is>
          <t>攤銷</t>
        </is>
      </c>
      <c r="E42" s="11" t="inlineStr">
        <is>
          <t>PDF p.154 (印刷頁 153)</t>
        </is>
      </c>
      <c r="F42" s="11" t="inlineStr">
        <is>
          <t>E CONSOLIDATED FINANCIAL STATEMENTS 綜合財務報表附註 For the year ended 31 March 2026 截至二零二六年三月三十一日止年度 18. DEBT INVESTMENTS MEASURED AT 18. 按攤銷成本計量之債務投資（續） AMORTISED COST (continued) Note: 附註： As at 31 March 2026, the unlisted debts securities principally 於二零二六年三月三十一日，非上市債務證券主要指 represented unlisted bonds with principal amount of HK$21,500,000 分別由香港上市公司的一間附屬公司金徽香港有限公 (2025: HK$18,000,000), HK$18,500,000 (2025: HK$18,500,000) and 司、香港上市公司皓文控股有限公司及私人公司第一信 HK$20,000,000 (2025: nil), issued by Gold Medal Hong Kong Limited, a 用財務有限公司發行的本金額為</t>
        </is>
      </c>
    </row>
    <row r="43">
      <c r="A43" s="8" t="inlineStr">
        <is>
          <t>ESG Data</t>
        </is>
      </c>
      <c r="B43" s="8" t="inlineStr">
        <is>
          <t>環境社會及管治數據</t>
        </is>
      </c>
      <c r="C43" s="8" t="inlineStr">
        <is>
          <t>medium</t>
        </is>
      </c>
      <c r="D43" s="11" t="inlineStr">
        <is>
          <t>環境、社會及管治</t>
        </is>
      </c>
      <c r="E43" s="11" t="inlineStr">
        <is>
          <t>PDF p.2 (印刷頁 01)</t>
        </is>
      </c>
      <c r="F43" s="11" t="inlineStr">
        <is>
          <t>OF DIRECTORS 19 董事簡介 DIRECTORS’ REPORT 21 董事會報告 CORPORATE GOVERNANCE REPORT 32 企業管治報告 ENVIRONMENTAL, SOCIAL AND GOVERNANCE REPORT 50 環境、社會及管治報告 INDEPENDENT AUDITOR’S REPORT 88 獨立核數師報告 CONSOLIDATED STATEMENT OF PROFIT OR LOSS AND OTHER COMPREHENSIVE INCOME 94 綜合損益及其他全面收益表 CONSOLIDATED STATEMENT OF FINANCIAL POSITION 95 綜合財務狀況表 CONSOLIDATED STATEMENT OF CHANGES IN EQUITY 97 綜合權益變動表 CONSOLIDATED STATEMENT OF CASH FLOWS 99 綜合現金流量表 NOTES TO THE CONSOLIDATED FINANCIAL STATEMENTS 101 綜合財務報表附註 FIVE YEARS FINANCIAL SUMMARY 168 五年財務摘要</t>
        </is>
      </c>
    </row>
    <row r="44">
      <c r="A44" s="8" t="inlineStr">
        <is>
          <t>ESG Data</t>
        </is>
      </c>
      <c r="B44" s="8" t="inlineStr">
        <is>
          <t>環境社會及管治數據</t>
        </is>
      </c>
      <c r="C44" s="8" t="inlineStr">
        <is>
          <t>medium</t>
        </is>
      </c>
      <c r="D44" s="11" t="inlineStr">
        <is>
          <t>可持續</t>
        </is>
      </c>
      <c r="E44" s="11" t="inlineStr">
        <is>
          <t>PDF p.26 (印刷頁 25)</t>
        </is>
      </c>
      <c r="F44" s="11" t="inlineStr">
        <is>
          <t>urs to maintain adequate 策」）。本公司致力維持充足的營運資金以發展及經營 working capital to develop and operate the business of the Group 本集團業務，並為本公司股東提供穩定及可持續的回 and to provide stable and sustainable return to the shareholders of 報。 the Company. In considering the payment of dividends, the Board shall take into 於考慮支付股息時，董事會應考慮（其中包括）本集團 account, among other things, the actual and expected financial 的實際及預期財務表現、本集團的資本及債務水平、 performance of the Group, the capital and debt level of the Group, 整體市況、任何營運資金需求、資本開支要求及本集 the general market conditions, any worki</t>
        </is>
      </c>
    </row>
    <row r="45">
      <c r="A45" s="8" t="inlineStr">
        <is>
          <t>ESG Data</t>
        </is>
      </c>
      <c r="B45" s="8" t="inlineStr">
        <is>
          <t>環境社會及管治數據</t>
        </is>
      </c>
      <c r="C45" s="8" t="inlineStr">
        <is>
          <t>medium</t>
        </is>
      </c>
      <c r="D45" s="11" t="inlineStr">
        <is>
          <t>可持續</t>
        </is>
      </c>
      <c r="E45" s="11" t="inlineStr">
        <is>
          <t>PDF p.31 (印刷頁 30)</t>
        </is>
      </c>
      <c r="F45" s="11" t="inlineStr">
        <is>
          <t>development of the community 本公司透過支持能夠持續為當地社區帶來實在益處的 by supporting initiatives that create effective and lasting benefits 倡議，努力實現社區的可持續發展。我們透過鼓勵僱 to the local communities. We supports long-term community 員參與義工工作，支持長期社區投資。 investment by encouraging our employees to participate in volunteer work.</t>
        </is>
      </c>
    </row>
    <row r="46">
      <c r="A46" s="8" t="inlineStr">
        <is>
          <t>ESG Data</t>
        </is>
      </c>
      <c r="B46" s="8" t="inlineStr">
        <is>
          <t>環境社會及管治數據</t>
        </is>
      </c>
      <c r="C46" s="8" t="inlineStr">
        <is>
          <t>medium</t>
        </is>
      </c>
      <c r="D46" s="11" t="inlineStr">
        <is>
          <t>greenhouse gas</t>
        </is>
      </c>
      <c r="E46" s="11" t="inlineStr">
        <is>
          <t>PDF p.51 (印刷頁 50)</t>
        </is>
      </c>
      <c r="F46" s="11" t="inlineStr">
        <is>
          <t>2溫室氣體排放。 years commencing on or after 1 January 2025 on a “comply or explain” basis for Main Board issuers, with Scope 1 and Scope 2 greenhouse gas emissions required on a mandatory basis.</t>
        </is>
      </c>
    </row>
    <row r="47">
      <c r="A47" s="8" t="inlineStr">
        <is>
          <t>ESG Data</t>
        </is>
      </c>
      <c r="B47" s="8" t="inlineStr">
        <is>
          <t>環境社會及管治數據</t>
        </is>
      </c>
      <c r="C47" s="8" t="inlineStr">
        <is>
          <t>medium</t>
        </is>
      </c>
      <c r="D47" s="11" t="inlineStr">
        <is>
          <t>energy consumption</t>
        </is>
      </c>
      <c r="E47" s="11" t="inlineStr">
        <is>
          <t>PDF p.52 (印刷頁 51)</t>
        </is>
      </c>
      <c r="F47" s="11" t="inlineStr">
        <is>
          <t>sumptions and/or calculation tools, and source of conversion 工具以及轉換係數來源的資料主要參考聯交所發佈的 factors used for the reporting of emissions and energy consumption 《環境、社會及管治報告守則》及相關指引。 are mainly referred to the ESG Code and relevant guidance published by HKEX. Balance 平衡 The information provided is unbiased. The Report provides 所提供的資料不偏不倚。本報告就本集團在環境、社 a holistic description of the performance of the Group on 會及管治的成就、改進空間及挑戰方面的表現提供全 achievements, rooms for improvement and challenges in ESG. The 面描述。本報告應避免可能會不恰當地影響報告讀者 Report should avoid s</t>
        </is>
      </c>
    </row>
    <row r="48">
      <c r="A48" s="8" t="inlineStr">
        <is>
          <t>ESG Data</t>
        </is>
      </c>
      <c r="B48" s="8" t="inlineStr">
        <is>
          <t>環境社會及管治數據</t>
        </is>
      </c>
      <c r="C48" s="8" t="inlineStr">
        <is>
          <t>medium</t>
        </is>
      </c>
      <c r="D48" s="11" t="inlineStr">
        <is>
          <t>ESG</t>
        </is>
      </c>
      <c r="E48" s="11" t="inlineStr">
        <is>
          <t>PDF p.53 (印刷頁 52)</t>
        </is>
      </c>
      <c r="F48" s="11" t="inlineStr">
        <is>
          <t>司網站www.chnif.com.hk。 and the Company’s website at www.chnif.com.hk. The Group will 本集團將持續每年定期發佈其環境、社會及管治績效， continuously publish its ESG performance on a regular basis each 以供各界隨時查閱，於日後報告中提升信息披露的透 year, which can be accessed by all parties at any time, to enhance 明度。 the transparency of information disclosure in future reports. BOARD STATEMENT OF ESG GOVERNANCE 環境、社會及管治治理之董事會聲明 The Board is responsible for the Group’s ESG strategy and 董事會負責本集團之環境、社會及管治之策略及報告， reporting, including evaluating and determining ESG-related risks 包括評</t>
        </is>
      </c>
    </row>
    <row r="49">
      <c r="A49" s="8" t="inlineStr">
        <is>
          <t>ESG Data</t>
        </is>
      </c>
      <c r="B49" s="8" t="inlineStr">
        <is>
          <t>環境社會及管治數據</t>
        </is>
      </c>
      <c r="C49" s="8" t="inlineStr">
        <is>
          <t>medium</t>
        </is>
      </c>
      <c r="D49" s="11" t="inlineStr">
        <is>
          <t>greenhouse gas</t>
        </is>
      </c>
      <c r="E49" s="11" t="inlineStr">
        <is>
          <t>PDF p.54 (印刷頁 53)</t>
        </is>
      </c>
      <c r="F49" s="11" t="inlineStr">
        <is>
          <t>ate governance. The Board reviews ESG and climate-related goals and 董事會至少每年檢討一次環境、社會及管治以及氣候 performance at least annually, including greenhouse gas emissions 相關的目標及績效，包括溫室氣體排放密度、能源消 intensity, energy consumption and training participation, and 耗及培訓參與度，並考慮是否應採納額外的目標（例 considers whether additional targets (for example, resource 如資源效益或加強管治方面的目標）。 efficiency or governance enhancements) should be adopted. The Group has not established a standalone climate committee. 本集團並無設立獨立的氣候委員會。取而代之的是， Instead, climate-related oversight is embed</t>
        </is>
      </c>
    </row>
    <row r="50">
      <c r="A50" s="8" t="inlineStr">
        <is>
          <t>ESG Data</t>
        </is>
      </c>
      <c r="B50" s="8" t="inlineStr">
        <is>
          <t>環境社會及管治數據</t>
        </is>
      </c>
      <c r="C50" s="8" t="inlineStr">
        <is>
          <t>medium</t>
        </is>
      </c>
      <c r="D50" s="11" t="inlineStr">
        <is>
          <t>sustainability</t>
        </is>
      </c>
      <c r="E50" s="11" t="inlineStr">
        <is>
          <t>PDF p.55 (印刷頁 54)</t>
        </is>
      </c>
      <c r="F50" s="11" t="inlineStr">
        <is>
          <t>評估，以確保 the most material aspects. The Group conducted its internal 根據其重要性水平對可持續性主題進行管理和報告。 materiality assessment annually to ensure sustainability topics are being managed and reported in accordance with their materiality level.</t>
        </is>
      </c>
    </row>
    <row r="51">
      <c r="A51" s="8" t="inlineStr">
        <is>
          <t>ESG Data</t>
        </is>
      </c>
      <c r="B51" s="8" t="inlineStr">
        <is>
          <t>環境社會及管治數據</t>
        </is>
      </c>
      <c r="C51" s="8" t="inlineStr">
        <is>
          <t>medium</t>
        </is>
      </c>
      <c r="D51" s="11" t="inlineStr">
        <is>
          <t>energy consumption</t>
        </is>
      </c>
      <c r="E51" s="11" t="inlineStr">
        <is>
          <t>PDF p.56 (印刷頁 55)</t>
        </is>
      </c>
      <c r="F51" s="11" t="inlineStr">
        <is>
          <t>t to our business and operations. Aspects Material ESG Issues 層面 重大環境、社會及管治事宜 A. Environmental Aspect A. 環境層面 A2. Use of Resources • Energy consumption and efficiency A2. 資源使用 • 能源消耗及效率 B. Social Aspect B. 社會層面 B1. Employment • Employee welfare B1. 僱傭 • 僱員福利 • Inclusion and equal opportunities • 包容及平等機會 • Talent attraction and retention • 吸引及挽留人才 B2. Health and Safety • Occupational health and safety B2. 健康與安全 • 職業健康及安全 • Workplace safety • 工作場所安全 B3. Development and Training • Development and training B3. 發展及培訓 • 發展及培訓 B4. Lab</t>
        </is>
      </c>
    </row>
    <row r="52">
      <c r="A52" s="8" t="inlineStr">
        <is>
          <t>ESG Data</t>
        </is>
      </c>
      <c r="B52" s="8" t="inlineStr">
        <is>
          <t>環境社會及管治數據</t>
        </is>
      </c>
      <c r="C52" s="8" t="inlineStr">
        <is>
          <t>medium</t>
        </is>
      </c>
      <c r="D52" s="11" t="inlineStr">
        <is>
          <t>greenhouse gas</t>
        </is>
      </c>
      <c r="E52" s="11" t="inlineStr">
        <is>
          <t>PDF p.57 (印刷頁 56)</t>
        </is>
      </c>
      <c r="F52" s="11" t="inlineStr">
        <is>
          <t>curb emissions and waste, as well as conserve energy and water resources. EMISSIONS 排放物 The Group’s emissions include air emissions, greenhouse gas 本集團的排放包括氣體排放、溫室氣體（「溫室氣體」） (“GHG”) emissions, discharge of domestic wastewater and solid 排放、生活污水排放及固體廢棄物。本集團嚴格遵守 wastes. The Group strictly adheres to environmental laws and 香港及中華人民共和國（「中國」）的環境法律及規例， regulations in Hong Kong and the People’s Republic of China (the 包括但不限於《中華人民共和國環境保護法》、《中華 “PRC”), including but not limited to the Environmental Protection 人民共和國大氣污染防治法》、《空氣污染管制條例》 Law o</t>
        </is>
      </c>
    </row>
    <row r="53">
      <c r="A53" s="8" t="inlineStr">
        <is>
          <t>ESG Data</t>
        </is>
      </c>
      <c r="B53" s="8" t="inlineStr">
        <is>
          <t>環境社會及管治數據</t>
        </is>
      </c>
      <c r="C53" s="8" t="inlineStr">
        <is>
          <t>medium</t>
        </is>
      </c>
      <c r="D53" s="11" t="inlineStr">
        <is>
          <t>greenhouse gas</t>
        </is>
      </c>
      <c r="E53" s="11" t="inlineStr">
        <is>
          <t>PDF p.58 (印刷頁 57)</t>
        </is>
      </c>
      <c r="F53" s="11" t="inlineStr">
        <is>
          <t>er 1 January 2025, HKEX 對於在二零二五年一月一日或之後開始的財政年度， requires Main Board issuers to disclose Scope 1 and Scope 香港聯交所要求主板發行人強制披露範圍1及範圍2的 2 greenhouse gas emissions on a mandatory basis, while the 溫室氣體排放，而D 部所載更廣泛的氣候相關規定，對 broader climate requirements under Part D are subject to a “comply 主板發行人（大型股發行人除外）則以「不遵守就解釋」 or explain” approach for Main Board issuers other than LargeCap 原則處理。 issuers. The carbon emissions of the Group during the Reporting Year are 本集團在報告年度產生的碳排放載列如下： set out below: Greenhouse gas emissions in total and intensit</t>
        </is>
      </c>
    </row>
    <row r="54">
      <c r="A54" s="8" t="inlineStr">
        <is>
          <t>ESG Data</t>
        </is>
      </c>
      <c r="B54" s="8" t="inlineStr">
        <is>
          <t>環境社會及管治數據</t>
        </is>
      </c>
      <c r="C54" s="8" t="inlineStr">
        <is>
          <t>medium</t>
        </is>
      </c>
      <c r="D54" s="11" t="inlineStr">
        <is>
          <t>scope 3</t>
        </is>
      </c>
      <c r="E54" s="11" t="inlineStr">
        <is>
          <t>PDF p.59 (印刷頁 58)</t>
        </is>
      </c>
      <c r="F54" s="11" t="inlineStr">
        <is>
          <t>環境、社會及管治報告 ﻿ The Group will continue to monitor emissions data collection and 本集團將繼續監察排放數據的收集情況，並審視是否 review whether any additional Scope 3 categories are relevant 有其他範圍3類別與本集團營運相關及重大，同時考慮 and material to the Group’s operation, having regard to the 到就本集團業務性質及規模而言，披露的相稱性及可 proportionality and scalability of disclosure for a business of its 擴展性。 nature and size. Waste Management 廢棄物管理 The Group has set up a Waste Management System as the guiding 本集團已制定了一套廢物管理制度作為源頭減廢的指 principle for waste reduction at source. As a socially respo</t>
        </is>
      </c>
    </row>
    <row r="55">
      <c r="A55" s="8" t="inlineStr">
        <is>
          <t>ESG Data</t>
        </is>
      </c>
      <c r="B55" s="8" t="inlineStr">
        <is>
          <t>環境社會及管治數據</t>
        </is>
      </c>
      <c r="C55" s="8" t="inlineStr">
        <is>
          <t>medium</t>
        </is>
      </c>
      <c r="D55" s="11" t="inlineStr">
        <is>
          <t>環境、社會及管治</t>
        </is>
      </c>
      <c r="E55" s="11" t="inlineStr">
        <is>
          <t>PDF p.60 (印刷頁 59)</t>
        </is>
      </c>
      <c r="F55" s="11" t="inlineStr">
        <is>
          <t>2025/26 Annual Report 59 年 報 ENVIRONMENTAL, SOCIAL AND GOVERNANCE REPORT 環境、社會及管治報告 ﻿ • Receive incoming faxes electronically through an e-fax • 透過電子傳真系統以電子方式接收傳真，僅在必 system, and make hard copies only when necessary with 要時以使用過的紙張列印紙質版。 used paper. At the current stage, non-hazardous waste is not a material 在現階段，由於業務產生的廢棄物可忽略不計，故無 issue for the Group, as there is negligible waste generated from 害廢棄物對本集團而言並非重大問題。本集團的目標 our operations. The Group aims to maintain the inte</t>
        </is>
      </c>
    </row>
    <row r="56">
      <c r="A56" s="8" t="inlineStr">
        <is>
          <t>ESG Data</t>
        </is>
      </c>
      <c r="B56" s="8" t="inlineStr">
        <is>
          <t>環境社會及管治數據</t>
        </is>
      </c>
      <c r="C56" s="8" t="inlineStr">
        <is>
          <t>medium</t>
        </is>
      </c>
      <c r="D56" s="11" t="inlineStr">
        <is>
          <t>carbon</t>
        </is>
      </c>
      <c r="E56" s="11" t="inlineStr">
        <is>
          <t>PDF p.61 (印刷頁 60)</t>
        </is>
      </c>
      <c r="F56" s="11" t="inlineStr">
        <is>
          <t>tributed to electricity and water consumed at Hong Kong office. The Group aims to improve its energy efficiency so as to achieve low-carbon practice and emission reduction year by year. The water consumption of the Group is minimal and was included 本集團的用水量很少，並納入管理費中。因此，我們的 in the management fee. Therefore, the figures were not available 計算不涉及該等數據。日常用水量主要由市政水網供 for our calculation. The daily water consumption is mainly supplied 應，因此取水沒有困難。 by the municipal water network, and there is no difficulty in sourcing water. Due to our b</t>
        </is>
      </c>
    </row>
    <row r="57">
      <c r="A57" s="8" t="inlineStr">
        <is>
          <t>ESG Data</t>
        </is>
      </c>
      <c r="B57" s="8" t="inlineStr">
        <is>
          <t>環境社會及管治數據</t>
        </is>
      </c>
      <c r="C57" s="8" t="inlineStr">
        <is>
          <t>medium</t>
        </is>
      </c>
      <c r="D57" s="11" t="inlineStr">
        <is>
          <t>energy consumption</t>
        </is>
      </c>
      <c r="E57" s="11" t="inlineStr">
        <is>
          <t>PDF p.62 (印刷頁 61)</t>
        </is>
      </c>
      <c r="F57" s="11" t="inlineStr">
        <is>
          <t>for collection. Direct and/or indirect energy consumption by type 2025/26 2024/25 Unit 按類型劃分的直接及╱或間接能源消耗 二零二五╱二六年 二零二四╱二五年 單位 Direct energy consumption – – GJ 直接能源消耗 吉焦耳 Indirect energy consumption 0.30 0.66 GJ 間接能源消耗 吉焦耳 Total energy consumption 0.30 0.66 GJ 能源消耗總量 吉焦耳 Intensity (by revenue) 0.071 0.101 GJ/million HKD revenue 強度（按收益計算） 吉焦耳╱百萬港元收益</t>
        </is>
      </c>
    </row>
    <row r="58">
      <c r="A58" s="8" t="inlineStr">
        <is>
          <t>ESG Data</t>
        </is>
      </c>
      <c r="B58" s="8" t="inlineStr">
        <is>
          <t>環境社會及管治數據</t>
        </is>
      </c>
      <c r="C58" s="8" t="inlineStr">
        <is>
          <t>medium</t>
        </is>
      </c>
      <c r="D58" s="11" t="inlineStr">
        <is>
          <t>carbon</t>
        </is>
      </c>
      <c r="E58" s="11" t="inlineStr">
        <is>
          <t>PDF p.63 (印刷頁 62)</t>
        </is>
      </c>
      <c r="F58" s="11" t="inlineStr">
        <is>
          <t>tensils. For catering, locally grown/produced items are preferred 可取。通過購買環保清潔液，某些地方採用了綠色採 as opposed to packaged items with a higher carbon footprint. 購。 Green procurement is adopted at some locations through the purchase of eco-friendly cleaning solutions. During the Reporting Year, there was no significant amount of 於報告年度，本集團並無大量使用天然物料。鑒於其 natural materials used by the Group. Given the office-based nature 營運屬辦公室性質，本集團的重大環境影響主要與用 of its operations, the Group’s significant environmental impacts 電、用紙及辦公室廢物產生有關。本集團致力透過節 are prima</t>
        </is>
      </c>
    </row>
    <row r="59">
      <c r="A59" s="8" t="inlineStr">
        <is>
          <t>ESG Data</t>
        </is>
      </c>
      <c r="B59" s="8" t="inlineStr">
        <is>
          <t>環境社會及管治數據</t>
        </is>
      </c>
      <c r="C59" s="8" t="inlineStr">
        <is>
          <t>medium</t>
        </is>
      </c>
      <c r="D59" s="11" t="inlineStr">
        <is>
          <t>sustainability</t>
        </is>
      </c>
      <c r="E59" s="11" t="inlineStr">
        <is>
          <t>PDF p.64 (印刷頁 63)</t>
        </is>
      </c>
      <c r="F59" s="11" t="inlineStr">
        <is>
          <t>團的主要氣候相關轉型風險與有關氣候管治及可 changes in laws, regulations and market expectations concerning 持續發展匯報的法律、法規及市場預期的變動有關。 climate governance and sustainability reporting. The enhancement 聯交所加強氣候相關披露規定或會增加合規、數據收 of HKEX climate-related disclosure requirements may increase 集及治理成本。此外，不斷變化的市場預期可能鼓勵 compliance, data collection and governance costs. In addition, 本集團採納更具能源效益的辦公室常規、加強氣候管 evolving market expectations may encourage the Group to 治文件記錄，以及改善內部氣候相關資料收集流程。 adopt more energy-efficient office practices, strengthen climate governance docume</t>
        </is>
      </c>
    </row>
    <row r="60">
      <c r="A60" s="8" t="inlineStr">
        <is>
          <t>ESG Data</t>
        </is>
      </c>
      <c r="B60" s="8" t="inlineStr">
        <is>
          <t>環境社會及管治數據</t>
        </is>
      </c>
      <c r="C60" s="8" t="inlineStr">
        <is>
          <t>medium</t>
        </is>
      </c>
      <c r="D60" s="11" t="inlineStr">
        <is>
          <t>greenhouse gas</t>
        </is>
      </c>
      <c r="E60" s="11" t="inlineStr">
        <is>
          <t>PDF p.65 (印刷頁 64)</t>
        </is>
      </c>
      <c r="F60" s="11" t="inlineStr">
        <is>
          <t>risk is considered together with compliance monitoring and corporate governance practices. Metrics and Targets 指標與目標 The Group uses greenhouse gas emissions, energy consumption 本集團將溫室氣體排放、能源消耗及其他辦公室資源 and other office resource indicators as key climate-related metrics 指標作為與其營運相關的關鍵氣候相關指標。範圍1及 that are relevant to its operation. Scope 1 and Scope 2 greenhouse 範圍2溫室氣體排放已根據適用規定予以披露，而其他 gas emissions are disclosed in accordance with the applicable 指標與目標則參考本集團的業務性質、事宜的重要性 requirements, while other metrics and targets are considered</t>
        </is>
      </c>
    </row>
    <row r="61">
      <c r="A61" s="8" t="inlineStr">
        <is>
          <t>ESG Data</t>
        </is>
      </c>
      <c r="B61" s="8" t="inlineStr">
        <is>
          <t>環境社會及管治數據</t>
        </is>
      </c>
      <c r="C61" s="8" t="inlineStr">
        <is>
          <t>medium</t>
        </is>
      </c>
      <c r="D61" s="11" t="inlineStr">
        <is>
          <t>環境、社會及管治</t>
        </is>
      </c>
      <c r="E61" s="11" t="inlineStr">
        <is>
          <t>PDF p.66 (印刷頁 65)</t>
        </is>
      </c>
      <c r="F61" s="11" t="inlineStr">
        <is>
          <t>2025/26 Annual Report 65 年 報 ENVIRONMENTAL, SOCIAL AND GOVERNANCE REPORT 環境、社會及管治報告 ﻿ SOCIAL ASPECTS 社會層面 Employment and Labour Practices 僱傭及勞工常規 The Group ingrains social responsibility into all aspects of its 本集團將社會責任植根於其營運的各個方面。本集團 operations. Maintaining honest and authentic dialogue with our 與員工保持誠實和真誠的對話，力求滿足他們的需求 staff, we seek to address our needs and views that ensure our 和意見，以確保我們在任何時候都為我們的行為負責。 conduct is responsible at all times. We commit to offering a fai</t>
        </is>
      </c>
    </row>
    <row r="62">
      <c r="A62" s="8" t="inlineStr">
        <is>
          <t>ESG Data</t>
        </is>
      </c>
      <c r="B62" s="8" t="inlineStr">
        <is>
          <t>環境社會及管治數據</t>
        </is>
      </c>
      <c r="C62" s="8" t="inlineStr">
        <is>
          <t>medium</t>
        </is>
      </c>
      <c r="D62" s="11" t="inlineStr">
        <is>
          <t>環境、社會及管治</t>
        </is>
      </c>
      <c r="E62" s="11" t="inlineStr">
        <is>
          <t>PDF p.67 (印刷頁 66)</t>
        </is>
      </c>
      <c r="F62" s="11" t="inlineStr">
        <is>
          <t>China Investment and Finance Group Limited 66 中 國 投 融 資 集 團 有 限 公 司 ENVIRONMENTAL, SOCIAL AND GOVERNANCE REPORT 環境、社會及管治報告 ﻿ As of 31 March 2026, the Group has a total of 15 employees, 截至二零二六年三月三十一日，本集團共僱用15名員 including employees from Hong Kong, and the total employee 工（包括香港員工），總僱員流失比率為13%。按不同 turnover rate is 13%. The distribution of the workforce classified by 類別劃分的員工分佈如下： different categories is listed as follows: Total workforce 2025/26 2024/25 Unit 僱員總數 二零二五╱二六年 二零二四╱二五年 單位 Total number of employees 15</t>
        </is>
      </c>
    </row>
    <row r="63">
      <c r="A63" s="8" t="inlineStr">
        <is>
          <t>ESG Data</t>
        </is>
      </c>
      <c r="B63" s="8" t="inlineStr">
        <is>
          <t>環境社會及管治數據</t>
        </is>
      </c>
      <c r="C63" s="8" t="inlineStr">
        <is>
          <t>medium</t>
        </is>
      </c>
      <c r="D63" s="11" t="inlineStr">
        <is>
          <t>環境、社會及管治</t>
        </is>
      </c>
      <c r="E63" s="11" t="inlineStr">
        <is>
          <t>PDF p.68 (印刷頁 67)</t>
        </is>
      </c>
      <c r="F63" s="11" t="inlineStr">
        <is>
          <t>2025/26 Annual Report 67 年 報 ENVIRONMENTAL, SOCIAL AND GOVERNANCE REPORT 環境、社會及管治報告 ﻿ Employee turnover rate 2025/26 2024/25 Unit 僱員流失比率 二零二五╱二六年 二零二四╱二五年 單位 Total employee turnover rate 13 13 % 總僱員流失比率 By Gender Male 11 10 % 按性別劃分 男性 Female 17 18 % 女性 By employment type Full-time 15 0 % 按僱傭類別劃分 全職 Part-time 0 0 % 兼職 By age group 30 years old or below 0 0 % 按年齡組別劃分 30歲或以下 31-40 years old 20 0 % 31-40歲 41-50 years old 20 0 % 41-50歲 51-60 years old 0 0 % 51-60歲 Over 60 y</t>
        </is>
      </c>
    </row>
    <row r="64">
      <c r="A64" s="8" t="inlineStr">
        <is>
          <t>ESG Data</t>
        </is>
      </c>
      <c r="B64" s="8" t="inlineStr">
        <is>
          <t>環境社會及管治數據</t>
        </is>
      </c>
      <c r="C64" s="8" t="inlineStr">
        <is>
          <t>medium</t>
        </is>
      </c>
      <c r="D64" s="11" t="inlineStr">
        <is>
          <t>環境、社會及管治</t>
        </is>
      </c>
      <c r="E64" s="11" t="inlineStr">
        <is>
          <t>PDF p.69 (印刷頁 68)</t>
        </is>
      </c>
      <c r="F64" s="11" t="inlineStr">
        <is>
          <t>China Investment and Finance Group Limited 68 中 國 投 融 資 集 團 有 限 公 司 ENVIRONMENTAL, SOCIAL AND GOVERNANCE REPORT 環境、社會及管治報告 ﻿ Recruitment and Promotion 招聘與晉升 The human resources department conducts a comprehensive 人力資源部進行全面的招聘審查流程，以確保候選人 recruitment review process to ensure that the data provided 提供的資料準確無誤。本集團的招聘和晉升流程以公 by the candidates are accurate. The Group’s recruitment and 平公開的方式針對所有僱員進行。僱員的貢獻、工作 promotion process are carried out in a fair and open manner for 表現和技能得到認可和獎勵，並且不受年齡、性別、身 all employees. Emp</t>
        </is>
      </c>
    </row>
    <row r="65">
      <c r="A65" s="8" t="inlineStr">
        <is>
          <t>ESG Data</t>
        </is>
      </c>
      <c r="B65" s="8" t="inlineStr">
        <is>
          <t>環境社會及管治數據</t>
        </is>
      </c>
      <c r="C65" s="8" t="inlineStr">
        <is>
          <t>medium</t>
        </is>
      </c>
      <c r="D65" s="11" t="inlineStr">
        <is>
          <t>環境、社會及管治</t>
        </is>
      </c>
      <c r="E65" s="11" t="inlineStr">
        <is>
          <t>PDF p.70 (印刷頁 69)</t>
        </is>
      </c>
      <c r="F65" s="11" t="inlineStr">
        <is>
          <t>2025/26 Annual Report 69 年 報 ENVIRONMENTAL, SOCIAL AND GOVERNANCE REPORT 環境、社會及管治報告 ﻿ Equal Opportunity and Diversity 平等機會及多元化 The Group is an equal opportunity employer and does not 本集團是平等機會的僱主，僱員不會因年齡、性別、身 discriminate on the basis of age, sex, physical or mental health 體或精神健康狀況、婚姻狀況、家庭狀況、種族、膚色、 status, marital status, family status, race, skin colour, nationality, 國籍、宗教、政治背景和性取向而受到歧視。在甄選僱 religion, political affiliation and sexual orientation. In selecting our 員時，本集</t>
        </is>
      </c>
    </row>
    <row r="66">
      <c r="A66" s="8" t="inlineStr">
        <is>
          <t>ESG Data</t>
        </is>
      </c>
      <c r="B66" s="8" t="inlineStr">
        <is>
          <t>環境社會及管治數據</t>
        </is>
      </c>
      <c r="C66" s="8" t="inlineStr">
        <is>
          <t>medium</t>
        </is>
      </c>
      <c r="D66" s="11" t="inlineStr">
        <is>
          <t>環境、社會及管治</t>
        </is>
      </c>
      <c r="E66" s="11" t="inlineStr">
        <is>
          <t>PDF p.71 (印刷頁 70)</t>
        </is>
      </c>
      <c r="F66" s="11" t="inlineStr">
        <is>
          <t>China Investment and Finance Group Limited 70 中 國 投 融 資 集 團 有 限 公 司 ENVIRONMENTAL, SOCIAL AND GOVERNANCE REPORT 環境、社會及管治報告 ﻿ HEALTH AND SAFETY 健康與安全 Regardless of local laws or international standards, regulatory 無論地方法例還是國際標準的層面，所有監管機構均 bodies all have in place the basic requirements in relation to health 對工作場所的健康與安全制定了基本的要求。因其業 and safety in workplaces. Due to its business nature, the current 務性質使然，本集團目前業務營運主要涉及辦公室工 business operations of the Group primarily involve office work 作，並無發現高安全風險的工作崗位。本集團不僅嚴 and</t>
        </is>
      </c>
    </row>
    <row r="67">
      <c r="A67" s="8" t="inlineStr">
        <is>
          <t>ESG Data</t>
        </is>
      </c>
      <c r="B67" s="8" t="inlineStr">
        <is>
          <t>環境社會及管治數據</t>
        </is>
      </c>
      <c r="C67" s="8" t="inlineStr">
        <is>
          <t>medium</t>
        </is>
      </c>
      <c r="D67" s="11" t="inlineStr">
        <is>
          <t>環境、社會及管治</t>
        </is>
      </c>
      <c r="E67" s="11" t="inlineStr">
        <is>
          <t>PDF p.72 (印刷頁 71)</t>
        </is>
      </c>
      <c r="F67" s="11" t="inlineStr">
        <is>
          <t>2025/26 Annual Report 71 年 報 ENVIRONMENTAL, SOCIAL AND GOVERNANCE REPORT 環境、社會及管治報告 ﻿ During the past three years, including the Reporting Period, the 於過往三個年度（包括報告期間），本集團並無錄得任 Group did not record any accidents that resulted in death or 何導致死亡或嚴重人身傷害的事故。 serious physical injury. Health and Safety 2025/26 2024/25 2023/24 Unit 健康與安全 二零二五╱二六年 二零二四╱二五年 二零二三╱二四年 單位 Number of work-related fatalities 0 0 0 No. 因工作關係而死亡的人數 人 Rate of work-related fatalities 0 0 0 % 因工作關係而死亡的比率 L</t>
        </is>
      </c>
    </row>
    <row r="68">
      <c r="A68" s="8" t="inlineStr">
        <is>
          <t>ESG Data</t>
        </is>
      </c>
      <c r="B68" s="8" t="inlineStr">
        <is>
          <t>環境社會及管治數據</t>
        </is>
      </c>
      <c r="C68" s="8" t="inlineStr">
        <is>
          <t>medium</t>
        </is>
      </c>
      <c r="D68" s="11" t="inlineStr">
        <is>
          <t>環境、社會及管治</t>
        </is>
      </c>
      <c r="E68" s="11" t="inlineStr">
        <is>
          <t>PDF p.73 (印刷頁 72)</t>
        </is>
      </c>
      <c r="F68" s="11" t="inlineStr">
        <is>
          <t>China Investment and Finance Group Limited 72 中 國 投 融 資 集 團 有 限 公 司 ENVIRONMENTAL, SOCIAL AND GOVERNANCE REPORT 環境、社會及管治報告 ﻿ Percentage of trained employees 2025/26 2024/25 Unit 受訓僱員百分比 二零二五╱二六年 二零二四╱二五年 單位 Percentage of trained employees 47 47 % 受訓僱員百分比 By Gender Male 44 50 % 按性別劃分 男性 Female 50 40 % 女性 By employee category Director 100 100 % 按僱員類別劃分 董事 Employee 27 20 % 僱員 By function Executive 43 43 % 按職能劃分 執行人員 Administrative 100 100 % 行政人員 Average training hours completed 2025/26 2024/25 Unit 完成受訓的平均時數 二</t>
        </is>
      </c>
    </row>
    <row r="69">
      <c r="A69" s="8" t="inlineStr">
        <is>
          <t>ESG Data</t>
        </is>
      </c>
      <c r="B69" s="8" t="inlineStr">
        <is>
          <t>環境社會及管治數據</t>
        </is>
      </c>
      <c r="C69" s="8" t="inlineStr">
        <is>
          <t>medium</t>
        </is>
      </c>
      <c r="D69" s="11" t="inlineStr">
        <is>
          <t>環境、社會及管治</t>
        </is>
      </c>
      <c r="E69" s="11" t="inlineStr">
        <is>
          <t>PDF p.74 (印刷頁 73)</t>
        </is>
      </c>
      <c r="F69" s="11" t="inlineStr">
        <is>
          <t>2025/26 Annual Report 73 年 報 ENVIRONMENTAL, SOCIAL AND GOVERNANCE REPORT 環境、社會及管治報告 ﻿ The Group offers induction orientation and appropriate assistance 本集團為每一位新員工提供入職培訓及適切協助。入 for every newly-joined staff member. The induction orientation 職培訓內容主要包括本集團簡介、企業文化、規章制 mainly introduces the Group, its corporate culture, rules and 度及行為規範等內容，讓員工能夠融入本集團企業文 regulations and code of conduct, etc., which enables staff to fit 化，以及對工作環境與職責有深入的了解。本集團致 into the corporate culture of the</t>
        </is>
      </c>
    </row>
    <row r="70">
      <c r="A70" s="8" t="inlineStr">
        <is>
          <t>ESG Data</t>
        </is>
      </c>
      <c r="B70" s="8" t="inlineStr">
        <is>
          <t>環境社會及管治數據</t>
        </is>
      </c>
      <c r="C70" s="8" t="inlineStr">
        <is>
          <t>medium</t>
        </is>
      </c>
      <c r="D70" s="11" t="inlineStr">
        <is>
          <t>環境、社會及管治</t>
        </is>
      </c>
      <c r="E70" s="11" t="inlineStr">
        <is>
          <t>PDF p.75 (印刷頁 74)</t>
        </is>
      </c>
      <c r="F70" s="11" t="inlineStr">
        <is>
          <t>China Investment and Finance Group Limited 74 中 國 投 融 資 集 團 有 限 公 司 ENVIRONMENTAL, SOCIAL AND GOVERNANCE REPORT 環境、社會及管治報告 ﻿ LABOUR STANDARDS 勞工準則 Child and forced labor, though seemingly irrelevant to most 儘管童工和強制勞工似乎與大多數發達社會無關，但 developed societies, are in fact easily present in the value chain 實際上很容易出現在任何企業營運的價值鏈中。為打 of any business operation. To combat against such practices, the 擊這種做法，本集團不僅在我們的營運中，乃至整個 Group prohibits all forms of child labor and forced labor or modern 供應鏈中都禁止國際勞工組織所定義的一切形式的童 slavery,</t>
        </is>
      </c>
    </row>
    <row r="71">
      <c r="A71" s="8" t="inlineStr">
        <is>
          <t>ESG Data</t>
        </is>
      </c>
      <c r="B71" s="8" t="inlineStr">
        <is>
          <t>環境社會及管治數據</t>
        </is>
      </c>
      <c r="C71" s="8" t="inlineStr">
        <is>
          <t>medium</t>
        </is>
      </c>
      <c r="D71" s="11" t="inlineStr">
        <is>
          <t>環境、社會及管治</t>
        </is>
      </c>
      <c r="E71" s="11" t="inlineStr">
        <is>
          <t>PDF p.76 (印刷頁 75)</t>
        </is>
      </c>
      <c r="F71" s="11" t="inlineStr">
        <is>
          <t>2025/26 Annual Report 75 年 報 ENVIRONMENTAL, SOCIAL AND GOVERNANCE REPORT 環境、社會及管治報告 ﻿ The Group also focused on the environmental and social risks of 本集團亦關注供應商的環境及社會風險。本集團主要 its suppliers. The Group focused on purchasing from suppliers 從遵守地方政府及機關的所有勞動及環境規例的供應 who complied with all labour and environmental regulation of local 商進行採購。展望未來，本集團擬定期評估環境及社 government and authorities. Looking forward, the Group intends to 會層面的供應鏈表現，並進行適當的合規考核，以減 periodically evaluate supply cha</t>
        </is>
      </c>
    </row>
    <row r="72">
      <c r="A72" s="8" t="inlineStr">
        <is>
          <t>ESG Data</t>
        </is>
      </c>
      <c r="B72" s="8" t="inlineStr">
        <is>
          <t>環境社會及管治數據</t>
        </is>
      </c>
      <c r="C72" s="8" t="inlineStr">
        <is>
          <t>medium</t>
        </is>
      </c>
      <c r="D72" s="11" t="inlineStr">
        <is>
          <t>環境、社會及管治</t>
        </is>
      </c>
      <c r="E72" s="11" t="inlineStr">
        <is>
          <t>PDF p.77 (印刷頁 76)</t>
        </is>
      </c>
      <c r="F72" s="11" t="inlineStr">
        <is>
          <t>China Investment and Finance Group Limited 76 中 國 投 融 資 集 團 有 限 公 司 ENVIRONMENTAL, SOCIAL AND GOVERNANCE REPORT 環境、社會及管治報告 ﻿ ANTI-CORRUPTION 反貪污 The Group believes that integrity is the fundamental value of 本集團深信誠信是企業負責任經營的基礎價值，也是 responsible corporate operations, as well as the root of maintaining 企業維持競爭優勢和持續經營的根本。本集團重視員 competitive advantages and sustainable development. The Group 工品行及操守，對貪污、賄賂、勒索、欺詐或洗黑錢等 values the good character and conduct of staff members and 不當行為採取零容忍的態度。 has zero tolerance for any b</t>
        </is>
      </c>
    </row>
    <row r="73">
      <c r="A73" s="8" t="inlineStr">
        <is>
          <t>ESG Data</t>
        </is>
      </c>
      <c r="B73" s="8" t="inlineStr">
        <is>
          <t>環境社會及管治數據</t>
        </is>
      </c>
      <c r="C73" s="8" t="inlineStr">
        <is>
          <t>medium</t>
        </is>
      </c>
      <c r="D73" s="11" t="inlineStr">
        <is>
          <t>環境、社會及管治</t>
        </is>
      </c>
      <c r="E73" s="11" t="inlineStr">
        <is>
          <t>PDF p.78 (印刷頁 77)</t>
        </is>
      </c>
      <c r="F73" s="11" t="inlineStr">
        <is>
          <t>2025/26 Annual Report 77 年 報 ENVIRONMENTAL, SOCIAL AND GOVERNANCE REPORT 環境、社會及管治報告 ﻿ The Group shall maintain the confidentiality of the reported 本集團對所有舉報資料以及投訴舉報人的相關信息進 information and relevant information of the complaining persons, 行保密，亦規定接受舉報投訴或參與相關調查的工作 and restrict any staff member receiving such complains or involved 人員在未經批准或證實的情況下，不得透露任何相關 in the investigation from disclosing any such information without 信息。上述制度適用於所有員工。 authorization or verification. The above</t>
        </is>
      </c>
    </row>
    <row r="74">
      <c r="A74" s="8" t="inlineStr">
        <is>
          <t>ESG Data</t>
        </is>
      </c>
      <c r="B74" s="8" t="inlineStr">
        <is>
          <t>環境社會及管治數據</t>
        </is>
      </c>
      <c r="C74" s="8" t="inlineStr">
        <is>
          <t>medium</t>
        </is>
      </c>
      <c r="D74" s="11" t="inlineStr">
        <is>
          <t>環境、社會及管治</t>
        </is>
      </c>
      <c r="E74" s="11" t="inlineStr">
        <is>
          <t>PDF p.79 (印刷頁 78)</t>
        </is>
      </c>
      <c r="F74" s="11" t="inlineStr">
        <is>
          <t>China Investment and Finance Group Limited 78 中 國 投 融 資 集 團 有 限 公 司 ENVIRONMENTAL, SOCIAL AND GOVERNANCE REPORT 環境、社會及管治報告 ﻿ COMMUNITY INVESTMENT 社區投資 As the market places focus more on corporate behaviours and 隨著市場對企業行為和社會責任日益關注，單純追求 social responsibilities, the pursuit of maximizing financial returns 最大財務回報以回饋股東已經不是企業管理的唯一目 to reward shareholders is no longer the only goal of corporate 標。本集團密切關注與營運所在社區的聯繫，亦明白 management. The Group pays close attention to its bonds with the 不同持份者期望的重要性。本集團深信平衡股東與其 communit</t>
        </is>
      </c>
    </row>
    <row r="75">
      <c r="A75" s="8" t="inlineStr">
        <is>
          <t>ESG Data</t>
        </is>
      </c>
      <c r="B75" s="8" t="inlineStr">
        <is>
          <t>環境社會及管治數據</t>
        </is>
      </c>
      <c r="C75" s="8" t="inlineStr">
        <is>
          <t>medium</t>
        </is>
      </c>
      <c r="D75" s="11" t="inlineStr">
        <is>
          <t>ESG</t>
        </is>
      </c>
      <c r="E75" s="11" t="inlineStr">
        <is>
          <t>PDF p.80 (印刷頁 79)</t>
        </is>
      </c>
      <c r="F75" s="11" t="inlineStr">
        <is>
          <t>2025/26 Annual Report 79 年 報 ENVIRONMENTAL, SOCIAL AND GOVERNANCE REPORT 環境、社會及管治報告 ﻿ HKEX ESG CODE INDEX 香港聯交所環境、社會及管治守則索引 KPIs Disclosure Requirements Sections 關鍵績效指標 披露規定 章節 1 Governance Structure Disclosure of the board’s oversight of ESG issues; ESG Governance 管治架構 披露董事會對環境、社會及管治事宜的監管； 環境、社會及管治治理 Board’s ESG management approach and strategy, including the ESG Governance process used to evaluate, prioritise and manage material ESGrelated issues (including risks to the issuer’s bus</t>
        </is>
      </c>
    </row>
    <row r="76">
      <c r="A76" s="8" t="inlineStr">
        <is>
          <t>ESG Data</t>
        </is>
      </c>
      <c r="B76" s="8" t="inlineStr">
        <is>
          <t>環境社會及管治數據</t>
        </is>
      </c>
      <c r="C76" s="8" t="inlineStr">
        <is>
          <t>medium</t>
        </is>
      </c>
      <c r="D76" s="11" t="inlineStr">
        <is>
          <t>greenhouse gas</t>
        </is>
      </c>
      <c r="E76" s="11" t="inlineStr">
        <is>
          <t>PDF p.81 (印刷頁 80)</t>
        </is>
      </c>
      <c r="F76" s="11" t="inlineStr">
        <is>
          <t>排放物 生等的政策 compliance with relevant laws and regulations that have a significant Emissions impact on the issuer; relating to air and greenhouse gas emissions, discharges into water and land, and generation of hazardous and non-hazardous waste. 遵守對發行人有重大影響的相關法律及規例。 排放物 A1.1 The types of emissions and respective emissions data. Emissions 排放物種類及相關排放數據。 排放物 A1.2 Direct (Scope 1) and energy indirect (Scope 2) greenhouse gas Emissions emissions (in tonnes) and, where appropriate, intensity (e.g. per unit of production volume, per fac</t>
        </is>
      </c>
    </row>
    <row r="77">
      <c r="A77" s="8" t="inlineStr">
        <is>
          <t>ESG Data</t>
        </is>
      </c>
      <c r="B77" s="8" t="inlineStr">
        <is>
          <t>環境社會及管治數據</t>
        </is>
      </c>
      <c r="C77" s="8" t="inlineStr">
        <is>
          <t>medium</t>
        </is>
      </c>
      <c r="D77" s="11" t="inlineStr">
        <is>
          <t>energy consumption</t>
        </is>
      </c>
      <c r="E77" s="11" t="inlineStr">
        <is>
          <t>PDF p.82 (印刷頁 81)</t>
        </is>
      </c>
      <c r="F77" s="11" t="inlineStr">
        <is>
          <t>節 A2 Aspect A2: Use of Resources 層面A2：資源使用 A2 General Disclosure Policies on the efficient use of resources, including energy, water Energy Consumption and other raw materials. 一般披露 有效使用資源（包括能源、水及其他原材料）的政策。 能源消耗 A2.1 Direct and/or indirect energy consumption by type (e.g. electricity, Energy Consumption gas or oil) in total (kWh in ’000s) and intensity (e.g. per unit of production volume, per facility). 按類型劃分的直接及╱或間接能源（如電、氣或油）總耗量（以千個千 能源消耗 瓦時計算）及密度（如以每產量單位、每項設施計算）。 A2.2 Water consumption in total and intensity (e.g. per unit of</t>
        </is>
      </c>
    </row>
    <row r="78">
      <c r="A78" s="8" t="inlineStr">
        <is>
          <t>ESG Data</t>
        </is>
      </c>
      <c r="B78" s="8" t="inlineStr">
        <is>
          <t>環境社會及管治數據</t>
        </is>
      </c>
      <c r="C78" s="8" t="inlineStr">
        <is>
          <t>medium</t>
        </is>
      </c>
      <c r="D78" s="11" t="inlineStr">
        <is>
          <t>環境、社會及管治</t>
        </is>
      </c>
      <c r="E78" s="11" t="inlineStr">
        <is>
          <t>PDF p.83 (印刷頁 82)</t>
        </is>
      </c>
      <c r="F78" s="11" t="inlineStr">
        <is>
          <t>China Investment and Finance Group Limited 82 中 國 投 融 資 集 團 有 限 公 司 ENVIRONMENTAL, SOCIAL AND GOVERNANCE REPORT 環境、社會及管治報告 ﻿ KPIs Disclosure Requirements Sections 關鍵績效指標 披露規定 章節 A3 Aspect A3: The Environment and Natural Resources 層面A3：環境及天然資源 A3 General Disclosure Policies on minimising the issuer’s significant impacts on the Environment and Natural environment and natural resources. Resources 一般披露 減低發行人對環境及天然資源造成重大影響的政策。 環境及天然資源 A3.1 Description of the significant impacts of activities on the environment E</t>
        </is>
      </c>
    </row>
    <row r="79">
      <c r="A79" s="8" t="inlineStr">
        <is>
          <t>ESG Data</t>
        </is>
      </c>
      <c r="B79" s="8" t="inlineStr">
        <is>
          <t>環境社會及管治數據</t>
        </is>
      </c>
      <c r="C79" s="8" t="inlineStr">
        <is>
          <t>medium</t>
        </is>
      </c>
      <c r="D79" s="11" t="inlineStr">
        <is>
          <t>GHG emission</t>
        </is>
      </c>
      <c r="E79" s="11" t="inlineStr">
        <is>
          <t>PDF p.84 (印刷頁 83)</t>
        </is>
      </c>
      <c r="F79" s="11" t="inlineStr">
        <is>
          <t>sclosures – Risk Management 風險管理 披露識別、評估及管理氣候相關風險的流程 氣候相關披露－風險管理 Metrics and Targets Disclosure of climate-related metrics including GHG emissions Climate-Related (Scope 1, 2 and 3) and climate-related targets Disclosures – Metrics and Targets 指標及目標 披露氣候相關指標，包括溫室氣體排放（範圍1、2及3）及氣候相關目標氣候相關披露－指標及目 標 Social 社會 B1 Aspect B1: Employment 層面B1：僱傭 B1 General Disclosure Policies Employment 一般披露 有關薪酬及解僱、招聘及晉升、工作時數、假期、平等機會、多元化、反 僱傭 歧視以及其他待遇及福利的政策 compliance with relevant laws and regulations that have a significant Employment impact on the</t>
        </is>
      </c>
    </row>
    <row r="80">
      <c r="A80" s="8" t="inlineStr">
        <is>
          <t>ESG Data</t>
        </is>
      </c>
      <c r="B80" s="8" t="inlineStr">
        <is>
          <t>環境社會及管治數據</t>
        </is>
      </c>
      <c r="C80" s="8" t="inlineStr">
        <is>
          <t>medium</t>
        </is>
      </c>
      <c r="D80" s="11" t="inlineStr">
        <is>
          <t>環境、社會及管治</t>
        </is>
      </c>
      <c r="E80" s="11" t="inlineStr">
        <is>
          <t>PDF p.85 (印刷頁 84)</t>
        </is>
      </c>
      <c r="F80" s="11" t="inlineStr">
        <is>
          <t>China Investment and Finance Group Limited 84 中 國 投 融 資 集 團 有 限 公 司 ENVIRONMENTAL, SOCIAL AND GOVERNANCE REPORT 環境、社會及管治報告 ﻿ KPIs Disclosure Requirements Sections 關鍵績效指標 披露規定 章節 B1.2 Employee turnover rate by gender, age group and geographical Employment region. 按性別、年齡組別及地區劃分的僱員流失比率。 僱傭 B2 Aspect B2: Health and Safety 層面B2：健康與安全 B2 General Disclosure Policies Health and Safety 一般披露 政策 健康與安全 Compliance with relevant laws and regulations that have a significant Health and Safety impact on the issuer 遵守對發行人有重大</t>
        </is>
      </c>
    </row>
    <row r="81">
      <c r="A81" s="8" t="inlineStr">
        <is>
          <t>ESG Data</t>
        </is>
      </c>
      <c r="B81" s="8" t="inlineStr">
        <is>
          <t>環境社會及管治數據</t>
        </is>
      </c>
      <c r="C81" s="8" t="inlineStr">
        <is>
          <t>medium</t>
        </is>
      </c>
      <c r="D81" s="11" t="inlineStr">
        <is>
          <t>環境、社會及管治</t>
        </is>
      </c>
      <c r="E81" s="11" t="inlineStr">
        <is>
          <t>PDF p.86 (印刷頁 85)</t>
        </is>
      </c>
      <c r="F81" s="11" t="inlineStr">
        <is>
          <t>2025/26 Annual Report 85 年 報 ENVIRONMENTAL, SOCIAL AND GOVERNANCE REPORT 環境、社會及管治報告 ﻿ KPIs Disclosure Requirements Sections 關鍵績效指標 披露規定 章節 B4 Aspect B4: Labour standards 層面B4：勞工準則 B4 General Disclosure Policies Labour standards 一般披露 政策 勞工準則 compliance with relevant laws and regulations that have a significant Labour standards impact on the issuer 遵守對發行人有重大影響的相關法律及規例 勞工準則 B4.1 Description of measures to review employment practices to avoid Labour standards child and for</t>
        </is>
      </c>
    </row>
    <row r="82">
      <c r="A82" s="8" t="inlineStr">
        <is>
          <t>ESG Data</t>
        </is>
      </c>
      <c r="B82" s="8" t="inlineStr">
        <is>
          <t>環境社會及管治數據</t>
        </is>
      </c>
      <c r="C82" s="8" t="inlineStr">
        <is>
          <t>medium</t>
        </is>
      </c>
      <c r="D82" s="11" t="inlineStr">
        <is>
          <t>環境、社會及管治</t>
        </is>
      </c>
      <c r="E82" s="11" t="inlineStr">
        <is>
          <t>PDF p.87 (印刷頁 86)</t>
        </is>
      </c>
      <c r="F82" s="11" t="inlineStr">
        <is>
          <t>China Investment and Finance Group Limited 86 中 國 投 融 資 集 團 有 限 公 司 ENVIRONMENTAL, SOCIAL AND GOVERNANCE REPORT 環境、社會及管治報告 ﻿ KPIs Disclosure Requirements Sections 關鍵績效指標 披露規定 章節 B5.4 Description of practices used to promote environmentally preferable Supply chain products and services when selecting suppliers, and how they are management implemented and monitored. 描述在揀選供應商時促使多用環保產品及服務的慣例，以及相關執行 供應鏈管理 及監察方法。 B6 Aspect B6: Product Responsibility 層面B6：產品責任 B6 General Disclosure Policies Product Responsibility</t>
        </is>
      </c>
    </row>
    <row r="83">
      <c r="A83" s="8" t="inlineStr">
        <is>
          <t>R&amp;D Expenditure</t>
        </is>
      </c>
      <c r="B83" s="8" t="inlineStr">
        <is>
          <t>研發開支</t>
        </is>
      </c>
      <c r="C83" s="8" t="inlineStr">
        <is>
          <t>medium</t>
        </is>
      </c>
      <c r="D83" s="11" t="inlineStr">
        <is>
          <t>research and development</t>
        </is>
      </c>
      <c r="E83" s="11" t="inlineStr">
        <is>
          <t>PDF p.10 (印刷頁 09)</t>
        </is>
      </c>
      <c r="F83" s="11" t="inlineStr">
        <is>
          <t>域的專業形象與市場認知度。同時，BFB 充分發 supplements for men and women. By clarifying brand 揮境內外電商渠道的協同優勢，穩步推進健康管 positioning, strengthening product research and development, 理產品的線上佈局。境內方面，BFB 已在淘寶、抖 and enhancing user experience, this business has further 音、京東等主流電商平台建立成熟的運營體系。 elevated the brand’s professional image and market 境外方面，其積極拓展Tik Tok 等新興跨境平台業 recognition in the health management sector. At the same 務，借助短視頻與直播電商形式，觸達更廣泛的 time, BFB has fully leveraged the synergistic advantages of 海外消費群體。未來，BFB 將繼續整合資源，持續 domestic and cross-border e-</t>
        </is>
      </c>
    </row>
    <row r="84">
      <c r="A84" s="8" t="inlineStr">
        <is>
          <t>R&amp;D Expenditure</t>
        </is>
      </c>
      <c r="B84" s="8" t="inlineStr">
        <is>
          <t>研發開支</t>
        </is>
      </c>
      <c r="C84" s="8" t="inlineStr">
        <is>
          <t>medium</t>
        </is>
      </c>
      <c r="D84" s="11" t="inlineStr">
        <is>
          <t>research and development</t>
        </is>
      </c>
      <c r="E84" s="11" t="inlineStr">
        <is>
          <t>PDF p.153 (印刷頁 152)</t>
        </is>
      </c>
      <c r="F84" s="11" t="inlineStr">
        <is>
          <t>ing electric (g) 綠源集團控股（開曼）有限公司為中國內地領先的 two-wheeled vehicle provider in mainland China focusing on 兩輪電動車供應商，專注於兩輪電動車的設計、 the design, research and development, manufacturing and 研發、製造及銷售。其於開曼群島註冊成立為有限 selling of electric two-wheeled vehicles. It incorporated in the 公司（股份代號：2451）。二零二五年，該公司擁 Cayman Islands with limited liability (Stock Code 2451). The 有人應佔溢利約為人民幣175,100,000元。於二零 profit attributable to owners of the Company was for year 2025 二五年十二月三十一日，其擁有人應佔經審核綜 approximately RMB175.1 million. As at 31 December 2025, 合資產淨值約為人民幣39,</t>
        </is>
      </c>
    </row>
    <row r="85">
      <c r="A85" s="8" t="inlineStr">
        <is>
          <t>Segment Information</t>
        </is>
      </c>
      <c r="B85" s="8" t="inlineStr">
        <is>
          <t>分部資料</t>
        </is>
      </c>
      <c r="C85" s="8" t="inlineStr">
        <is>
          <t>medium</t>
        </is>
      </c>
      <c r="D85" s="11" t="inlineStr">
        <is>
          <t>segment information</t>
        </is>
      </c>
      <c r="E85" s="11" t="inlineStr">
        <is>
          <t>PDF p.22 (印刷頁 21)</t>
        </is>
      </c>
      <c r="F85" s="11" t="inlineStr">
        <is>
          <t>holding. 本公司之主要業務為投資控股。附屬公司之主要業務 The principal activities of subsidiaries are securities trading and 為證券買賣及投資控股。 investment holding. SEGMENT INFORMATION 分部資料 For the years ended 31 March 2026 and 2025, the Group’s 於截至二零二六年及二零二五年三月三十一日止年度， turnover and results were mainly derived from the interest income 本集團營業額及業績主要來自投資控股之利息收入及 and dividend income from investment holding. The directors 股息收入。董事認為，由於該等交易承受相同風險與 consider that these activities constitute one and the only business 回報，因此該等活動構成單一及唯一業務分部。管理 segment since these transacti</t>
        </is>
      </c>
    </row>
    <row r="86">
      <c r="A86" s="8" t="inlineStr">
        <is>
          <t>Segment Information</t>
        </is>
      </c>
      <c r="B86" s="8" t="inlineStr">
        <is>
          <t>分部資料</t>
        </is>
      </c>
      <c r="C86" s="8" t="inlineStr">
        <is>
          <t>medium</t>
        </is>
      </c>
      <c r="D86" s="11" t="inlineStr">
        <is>
          <t>geographical</t>
        </is>
      </c>
      <c r="E86" s="11" t="inlineStr">
        <is>
          <t>PDF p.67 (印刷頁 66)</t>
        </is>
      </c>
      <c r="F86" s="11" t="inlineStr">
        <is>
          <t>僱員類別劃分 董事 名僱員 Employee 11 10 Employee 僱員 名僱員 By function Executive 14 14 Employee 按職能劃分 執行 名僱員 Administrative 1 1 Employee 行政 名僱員 By geographical region Hong Kong 8 8 Employee 按地區劃分 香港 名僱員 China 6 7 Employee 中國 名僱員 Overseas 1 0 Employee 海外 名僱員</t>
        </is>
      </c>
    </row>
    <row r="87">
      <c r="A87" s="8" t="inlineStr">
        <is>
          <t>Segment Information</t>
        </is>
      </c>
      <c r="B87" s="8" t="inlineStr">
        <is>
          <t>分部資料</t>
        </is>
      </c>
      <c r="C87" s="8" t="inlineStr">
        <is>
          <t>medium</t>
        </is>
      </c>
      <c r="D87" s="11" t="inlineStr">
        <is>
          <t>geographical</t>
        </is>
      </c>
      <c r="E87" s="11" t="inlineStr">
        <is>
          <t>PDF p.68 (印刷頁 67)</t>
        </is>
      </c>
      <c r="F87" s="11" t="inlineStr">
        <is>
          <t>y employee category Director 50 18 % 按僱員類別劃分 董事 Employee 0 10 % 僱員 By function Executive 14 13 % 按職能劃分 執行 Administrative 0 0 % 行政 By geographical region Hong Kong 17 12 % 按地區劃分 香港 China 100 13 % 中國</t>
        </is>
      </c>
    </row>
    <row r="88">
      <c r="A88" s="8" t="inlineStr">
        <is>
          <t>Segment Information</t>
        </is>
      </c>
      <c r="B88" s="8" t="inlineStr">
        <is>
          <t>分部資料</t>
        </is>
      </c>
      <c r="C88" s="8" t="inlineStr">
        <is>
          <t>medium</t>
        </is>
      </c>
      <c r="D88" s="11" t="inlineStr">
        <is>
          <t>geographical</t>
        </is>
      </c>
      <c r="E88" s="11" t="inlineStr">
        <is>
          <t>PDF p.84 (印刷頁 83)</t>
        </is>
      </c>
      <c r="F88" s="11" t="inlineStr">
        <is>
          <t>遵守對發行人有重大影響的相關法律及規例。 僱傭 B1.1 Total workforce by gender, employment type (for example, full- or Employment part-time), age group and geographical region. 按性別、僱傭類型（如全職或兼職）、年齡組別及地區劃分的僱員總數。僱傭</t>
        </is>
      </c>
    </row>
    <row r="89">
      <c r="A89" s="8" t="inlineStr">
        <is>
          <t>Segment Information</t>
        </is>
      </c>
      <c r="B89" s="8" t="inlineStr">
        <is>
          <t>分部資料</t>
        </is>
      </c>
      <c r="C89" s="8" t="inlineStr">
        <is>
          <t>medium</t>
        </is>
      </c>
      <c r="D89" s="11" t="inlineStr">
        <is>
          <t>geographical</t>
        </is>
      </c>
      <c r="E89" s="11" t="inlineStr">
        <is>
          <t>PDF p.85 (印刷頁 84)</t>
        </is>
      </c>
      <c r="F89" s="11" t="inlineStr">
        <is>
          <t>RNANCE REPORT 環境、社會及管治報告 ﻿ KPIs Disclosure Requirements Sections 關鍵績效指標 披露規定 章節 B1.2 Employee turnover rate by gender, age group and geographical Employment region. 按性別、年齡組別及地區劃分的僱員流失比率。 僱傭 B2 Aspect B2: Health and Safety 層面B2：健康與安全 B2 General Disclosure Policies Health and Safety 一般披露 政策 健康與安全 Compliance with relevant laws and regulations that have a significant Health and Safety impact on the issuer 遵守對發行人有重大影響的相關法律及規例 健康與安全 B2.1 Number and rate of work-related fatalities occurred in each of the Health and Safety past three y</t>
        </is>
      </c>
    </row>
    <row r="90">
      <c r="A90" s="8" t="inlineStr">
        <is>
          <t>Segment Information</t>
        </is>
      </c>
      <c r="B90" s="8" t="inlineStr">
        <is>
          <t>分部資料</t>
        </is>
      </c>
      <c r="C90" s="8" t="inlineStr">
        <is>
          <t>medium</t>
        </is>
      </c>
      <c r="D90" s="11" t="inlineStr">
        <is>
          <t>geographical</t>
        </is>
      </c>
      <c r="E90" s="11" t="inlineStr">
        <is>
          <t>PDF p.86 (印刷頁 85)</t>
        </is>
      </c>
      <c r="F90" s="11" t="inlineStr">
        <is>
          <t>environmental and social risks of the supply Supply chain chain. management 一般披露 管理供應鏈的環境及社會風險政策。 供應鏈管理 B5.1 Number of suppliers by geographical region. Supply chain management 按地區劃分的供應商數目。 供應鏈管理 B5.2 Description of practices relating to engaging suppliers, number of Supply chain suppliers where the practices are being implemented, and how they management are implemented and monitored. 描述有關聘用供應商的慣例，向其執行有關慣例的供應商數目，以及相 供應鏈管理 關執行及監察方法。 B5.3 Description of practices used to identify environmental and social Supply chain risks alon</t>
        </is>
      </c>
    </row>
    <row r="91">
      <c r="A91" s="8" t="inlineStr">
        <is>
          <t>Segment Information</t>
        </is>
      </c>
      <c r="B91" s="8" t="inlineStr">
        <is>
          <t>分部資料</t>
        </is>
      </c>
      <c r="C91" s="8" t="inlineStr">
        <is>
          <t>medium</t>
        </is>
      </c>
      <c r="D91" s="11" t="inlineStr">
        <is>
          <t>segment information</t>
        </is>
      </c>
      <c r="E91" s="11" t="inlineStr">
        <is>
          <t>PDF p.143 (印刷頁 142)</t>
        </is>
      </c>
      <c r="F91" s="11" t="inlineStr">
        <is>
          <t>2 中 國 投 融 資 集 團 有 限 公 司 NOTES TO THE CONSOLIDATED FINANCIAL STATEMENTS 綜合財務報表附註 For the year ended 31 March 2026 截至二零二六年三月三十一日止年度 9. SEGMENT INFORMATION 9. 分部資料 For the years ended 31 March 2026 and 2025, the Group’s 截至二零二六年及二零二五年三月三十一日止年 revenue and results were mainly derived from the interest 度，本集團收益及業績主要來自投資控股之利息 income and dividend income from investment holding. The 收入及股息收入。執行董事（即主要營運決策者） executive director, being the chief operation decision maker, 認為，由於該等交易承受相同風險與回報，因此 considers that these activities constitute one and</t>
        </is>
      </c>
    </row>
    <row r="92">
      <c r="A92" s="8" t="inlineStr">
        <is>
          <t>Share-based Payment</t>
        </is>
      </c>
      <c r="B92" s="8" t="inlineStr">
        <is>
          <t>以股份為基礎的付款</t>
        </is>
      </c>
      <c r="C92" s="8" t="inlineStr">
        <is>
          <t>medium</t>
        </is>
      </c>
      <c r="D92" s="11" t="inlineStr">
        <is>
          <t>share option</t>
        </is>
      </c>
      <c r="E92" s="11" t="inlineStr">
        <is>
          <t>PDF p.23 (印刷頁 22)</t>
        </is>
      </c>
      <c r="F92" s="11" t="inlineStr">
        <is>
          <t>re capital of the Group during the 本集團股本於年內之變動詳情載於綜合財務報表附註 year are set out in note 23 to the consolidated financial statements. 23。 SHARE OPTIONS 購股權 A share option scheme of the Company was approved and adopted 本公司之購股權計劃乃於二零一三年八月二十九日舉 by shareholders’ resolution at the annual general meeting held on 行之股東週年大會上經股東決議案批准及採納（「購 29 August 2013 (the “Option Scheme”), unless otherwise cancelled 股權計劃」），除非另行於本公司股東大會上通過決議 or amended subject to resolution passed at general meeting of the 案註銷或修訂，否則購股權計劃將自二零一三年八月 Company the Option Scheme</t>
        </is>
      </c>
    </row>
    <row r="93">
      <c r="A93" s="8" t="inlineStr">
        <is>
          <t>Share-based Payment</t>
        </is>
      </c>
      <c r="B93" s="8" t="inlineStr">
        <is>
          <t>以股份為基礎的付款</t>
        </is>
      </c>
      <c r="C93" s="8" t="inlineStr">
        <is>
          <t>medium</t>
        </is>
      </c>
      <c r="D93" s="11" t="inlineStr">
        <is>
          <t>share option</t>
        </is>
      </c>
      <c r="E93" s="11" t="inlineStr">
        <is>
          <t>PDF p.24 (印刷頁 23)</t>
        </is>
      </c>
      <c r="F93" s="11" t="inlineStr">
        <is>
          <t>計劃向本公司之任何董事、主要行政人員或 the Company, or any of their respective associates under the 主要股東（該等詞彙之定義見上市規則）或彼等各自之 Option Scheme or any other share option scheme of the Company 任何聯繫人授出任何購股權須獲本公司之獨立非執行 or any of its subsidiaries shall be subject to the prior approval of 董事或股東（視情況而定）事先批准。在未另行獲本公 the independent non-executive directors or shareholders of the 司股東事先批准之情況下，截至及包括該授出日期止 Company as the case may be. Without prior separate approval 十二個月期間因本公司主要股東或獨立非執行董事獲 from the Company’s shareholders, the maximum number of shares 授及可能獲授之購股權獲行使而</t>
        </is>
      </c>
    </row>
    <row r="94">
      <c r="A94" s="8" t="inlineStr">
        <is>
          <t>Share-based Payment</t>
        </is>
      </c>
      <c r="B94" s="8" t="inlineStr">
        <is>
          <t>以股份為基礎的付款</t>
        </is>
      </c>
      <c r="C94" s="8" t="inlineStr">
        <is>
          <t>medium</t>
        </is>
      </c>
      <c r="D94" s="11" t="inlineStr">
        <is>
          <t>share option</t>
        </is>
      </c>
      <c r="E94" s="11" t="inlineStr">
        <is>
          <t>PDF p.25 (印刷頁 24)</t>
        </is>
      </c>
      <c r="F94" s="11" t="inlineStr">
        <is>
          <t>d 24 中 國 投 融 資 集 團 有 限 公 司 DIRECTORS’ REPORT 董事會報告 ﻿ The following table sets out the movements in the Company’s 下表呈列本公司於本年度內之購股權變動： share options during the year: Number Number Number of options Number of of options of options cancelled/ Number of options granted exercised lapsed options Exercise held as at during the during the during the held as at Category Date of Grant Price Option Period 1 April 2025 Year Year Year 31 March 2026 於二零二五年 年內註銷╱ 於二零二六年 四月一日 年內授出之 年內行使之 失效之 三月三十一日 類別 授出日期 行使價 購股權期間 所持購股權數目 購股權數目 購股權數目 購股權數目 所持</t>
        </is>
      </c>
    </row>
    <row r="95">
      <c r="A95" s="8" t="inlineStr">
        <is>
          <t>Share-based Payment</t>
        </is>
      </c>
      <c r="B95" s="8" t="inlineStr">
        <is>
          <t>以股份為基礎的付款</t>
        </is>
      </c>
      <c r="C95" s="8" t="inlineStr">
        <is>
          <t>medium</t>
        </is>
      </c>
      <c r="D95" s="11" t="inlineStr">
        <is>
          <t>share option</t>
        </is>
      </c>
      <c r="E95" s="11" t="inlineStr">
        <is>
          <t>PDF p.32 (印刷頁 31)</t>
        </is>
      </c>
      <c r="F95" s="11" t="inlineStr">
        <is>
          <t>2025/26 Annual Report 31 年 報 DIRECTORS’ REPORT 董事會報告 ﻿ EQUITY-LINKED AGREEMENTS 股本掛鈎協議 Other than the share option scheme of the Company as disclosed 除本報告第22至24頁及綜合財務報表附註24所披露之 on pages 22 to 24 and note 24 to the consolidated financial 本公司購股權計劃外，本公司於本年度概無訂立將會 statements in this report, no equity-linked agreements that will 或可能會導致本公司發行股份或要求本公司訂立任何 or may result in the Company issuing shares or that require the 將會或可能會導致本公司發行股份的協議的股本掛鈎 Company to enter into any agreements that will or may result in</t>
        </is>
      </c>
    </row>
    <row r="96">
      <c r="A96" s="8" t="inlineStr">
        <is>
          <t>Share-based Payment</t>
        </is>
      </c>
      <c r="B96" s="8" t="inlineStr">
        <is>
          <t>以股份為基礎的付款</t>
        </is>
      </c>
      <c r="C96" s="8" t="inlineStr">
        <is>
          <t>medium</t>
        </is>
      </c>
      <c r="D96" s="11" t="inlineStr">
        <is>
          <t>share option</t>
        </is>
      </c>
      <c r="E96" s="11" t="inlineStr">
        <is>
          <t>PDF p.98 (印刷頁 97)</t>
        </is>
      </c>
      <c r="F96" s="11" t="inlineStr">
        <is>
          <t>164 112,657 4,012 (926,859) 153,387 Profit and total comprehensive 本年度溢利及全面收入總額 income for the year – – – – 139,532 139,532 Lapse of share options 購股權失效 – – – (4,012) 4,012 – As at 31 March 2026 於二零二六年三月三十一日 413 963,164 112,657 – (783,315) 292,919 Capital Share Share Share reduction option Accumulated capital premium reserve reserve losses Total 股本 股份溢價 股本削減儲備 購股權儲備 累計虧損 總額 HK$’000 HK$’000 HK$’000 HK$’000 HK$’000 HK$’000 千港元 千港元 千港元 千港元 千港元 千港元 (Note (a)) (Note (b)) (Note (c)) （附註(a)） （附註(b)） （附註(c)） As at 1 April 2024 於二零二四年四月</t>
        </is>
      </c>
    </row>
    <row r="97">
      <c r="A97" s="8" t="inlineStr">
        <is>
          <t>Share-based Payment</t>
        </is>
      </c>
      <c r="B97" s="8" t="inlineStr">
        <is>
          <t>以股份為基礎的付款</t>
        </is>
      </c>
      <c r="C97" s="8" t="inlineStr">
        <is>
          <t>medium</t>
        </is>
      </c>
      <c r="D97" s="11" t="inlineStr">
        <is>
          <t>share-based payment</t>
        </is>
      </c>
      <c r="E97" s="11" t="inlineStr">
        <is>
          <t>PDF p.99 (印刷頁 98)</t>
        </is>
      </c>
      <c r="F97" s="11" t="inlineStr">
        <is>
          <t>報表 and employee of the Group recognised in accordance with the 附註3有關以股權結算以股份為基礎之付款採納之會計 accounting policy adopted for equity-settled share-based payments in 政策確認。 note 3 to the consolidated financial statements.</t>
        </is>
      </c>
    </row>
    <row r="98">
      <c r="A98" s="8" t="inlineStr">
        <is>
          <t>Share-based Payment</t>
        </is>
      </c>
      <c r="B98" s="8" t="inlineStr">
        <is>
          <t>以股份為基礎的付款</t>
        </is>
      </c>
      <c r="C98" s="8" t="inlineStr">
        <is>
          <t>medium</t>
        </is>
      </c>
      <c r="D98" s="11" t="inlineStr">
        <is>
          <t>share-based payment</t>
        </is>
      </c>
      <c r="E98" s="11" t="inlineStr">
        <is>
          <t>PDF p.104 (印刷頁 103)</t>
        </is>
      </c>
      <c r="F98" s="11" t="inlineStr">
        <is>
          <t>es in 根據香港財務報告準則第16號入賬之租賃交易， these consolidated financial statements is determined on 以及與公平值有部分類似地方但並非公平值之計 such a basis, except for share-based payment transactions 量（如香港會計準則第2號「存貨」之可變現淨值 that are within the scope of HKFRS 2 Share-based Payment, 或香港會計準則第36號「資產減值」之使用價值） leasing transactions that are accounted for in accordance with 則除外。 HKFRS 16, and measurements that have some similarities to fair value but are not fair value, such as net realisable value in HKAS 2 Inventories or value in use in HKAS 36 Impairment of Assets.</t>
        </is>
      </c>
    </row>
    <row r="99">
      <c r="A99" s="8" t="inlineStr">
        <is>
          <t>Share-based Payment</t>
        </is>
      </c>
      <c r="B99" s="8" t="inlineStr">
        <is>
          <t>以股份為基礎的付款</t>
        </is>
      </c>
      <c r="C99" s="8" t="inlineStr">
        <is>
          <t>medium</t>
        </is>
      </c>
      <c r="D99" s="11" t="inlineStr">
        <is>
          <t>share-based payment</t>
        </is>
      </c>
      <c r="E99" s="11" t="inlineStr">
        <is>
          <t>PDF p.109 (印刷頁 108)</t>
        </is>
      </c>
      <c r="F99" s="11" t="inlineStr">
        <is>
          <t>NTS 綜合財務報表附註 For the year ended 31 March 2026 截至二零二六年三月三十一日止年度 3. SUMMARY OF MATERIAL ACCOUNTING 3. 重大會計政策概要（續） POLICIES (continued) Share-based payment arrangements 股份付款安排 Equity-settled share-based payment transactions 股權結算股份付款交易 Share options granted to employees 授予僱員之購股權 Equity-settled share-based payments to employees and others 向僱員及其他提供類似服務人士作出的以股權結 providing similar services are measured at the fair value of 算以股份為基礎之付款按授出日期股本工具之公 the equity instruments at the grant date. 平值計量。 The fair value of the equity-settled share-b</t>
        </is>
      </c>
    </row>
    <row r="100">
      <c r="A100" s="8" t="inlineStr">
        <is>
          <t>Share-based Payment</t>
        </is>
      </c>
      <c r="B100" s="8" t="inlineStr">
        <is>
          <t>以股份為基礎的付款</t>
        </is>
      </c>
      <c r="C100" s="8" t="inlineStr">
        <is>
          <t>medium</t>
        </is>
      </c>
      <c r="D100" s="11" t="inlineStr">
        <is>
          <t>以股份為基礎</t>
        </is>
      </c>
      <c r="E100" s="11" t="inlineStr">
        <is>
          <t>PDF p.146 (印刷頁 145)</t>
        </is>
      </c>
      <c r="F100" s="11" t="inlineStr">
        <is>
          <t>ectors 獨立非執行董事 360 360 843 975 Other emoluments 其他酬金 Basic salaries and other benefits 基本薪金及其他福利 – – Equity-settled share-based 以股權結算以股份為基礎之付款 payments – – Retirement benefits scheme 退休福利計劃 – – – – 843 975</t>
        </is>
      </c>
    </row>
    <row r="101">
      <c r="A101" s="8" t="inlineStr">
        <is>
          <t>Share-based Payment</t>
        </is>
      </c>
      <c r="B101" s="8" t="inlineStr">
        <is>
          <t>以股份為基礎的付款</t>
        </is>
      </c>
      <c r="C101" s="8" t="inlineStr">
        <is>
          <t>medium</t>
        </is>
      </c>
      <c r="D101" s="11" t="inlineStr">
        <is>
          <t>share option</t>
        </is>
      </c>
      <c r="E101" s="11" t="inlineStr">
        <is>
          <t>PDF p.160 (印刷頁 159)</t>
        </is>
      </c>
      <c r="F101" s="11" t="inlineStr">
        <is>
          <t>Annual Report 159 年 報 NOTES TO THE CONSOLIDATED FINANCIAL STATEMENTS 綜合財務報表附註 For the year ended 31 March 2026 截至二零二六年三月三十一日止年度 24. SHARE OPTION SCHEME 24. 購股權計劃 The Company’s share option scheme (the “Scheme”), was 本公司購股權計劃（「該計劃」）乃根據於二零 adopted pursuant to a resolution passed on 29 August 一三年八月二十九日通過之決議案予以採納，主 2013 for the primary purpose of providing incentives to 要目的乃向董事及合資格僱員提供激勵。根據該 directors and eligible employees. Under the Scheme, the 計劃，本公司董事會可向合資格僱員（包括本公 Board of Directors of the Company may grant options to 司及其附屬公司董</t>
        </is>
      </c>
    </row>
    <row r="102">
      <c r="A102" s="8" t="inlineStr">
        <is>
          <t>Share-based Payment</t>
        </is>
      </c>
      <c r="B102" s="8" t="inlineStr">
        <is>
          <t>以股份為基礎的付款</t>
        </is>
      </c>
      <c r="C102" s="8" t="inlineStr">
        <is>
          <t>medium</t>
        </is>
      </c>
      <c r="D102" s="11" t="inlineStr">
        <is>
          <t>share option</t>
        </is>
      </c>
      <c r="E102" s="11" t="inlineStr">
        <is>
          <t>PDF p.161 (印刷頁 160)</t>
        </is>
      </c>
      <c r="F102" s="11" t="inlineStr">
        <is>
          <t>中 國 投 融 資 集 團 有 限 公 司 NOTES TO THE CONSOLIDATED FINANCIAL STATEMENTS 綜合財務報表附註 For the year ended 31 March 2026 截至二零二六年三月三十一日止年度 24. SHARE OPTION SCHEME (continued) 24. 購股權計劃（續） Details of options granted to directors and employees on 於二零二二年八月十二日授予董事及僱員之購股 12 August 2022 are as follows: 權詳情如下： Date of grant 12 August 2022 授出日期 二零二二年八月十二日 Vesting period Immediate 歸屬期 即時 Exercise period 3 years from the date of grant 行使期 自授出日期起三年 Exercise price HK$0.317 行使價 0.317港元 The following table discloses movement of the Company’s 下表披露本公司已授</t>
        </is>
      </c>
    </row>
    <row r="103">
      <c r="A103" s="8" t="inlineStr">
        <is>
          <t>Share-based Payment</t>
        </is>
      </c>
      <c r="B103" s="8" t="inlineStr">
        <is>
          <t>以股份為基礎的付款</t>
        </is>
      </c>
      <c r="C103" s="8" t="inlineStr">
        <is>
          <t>medium</t>
        </is>
      </c>
      <c r="D103" s="11" t="inlineStr">
        <is>
          <t>share option</t>
        </is>
      </c>
      <c r="E103" s="11" t="inlineStr">
        <is>
          <t>PDF p.162 (印刷頁 161)</t>
        </is>
      </c>
      <c r="F103" s="11" t="inlineStr">
        <is>
          <t>Annual Report 161 年 報 NOTES TO THE CONSOLIDATED FINANCIAL STATEMENTS 綜合財務報表附註 For the year ended 31 March 2026 截至二零二六年三月三十一日止年度 24. SHARE OPTION SCHEME (continued) 24. 購股權計劃（續） Number Number Number of options Number of Number of of options of options cancelled/ options options granted exercised lapsed held as at Exercise held as at during the during the during the 31 March Category Date of Grant Price Option Period 1 April 2024 year year year 2025 於二零二五年 於二零二四年 年內註銷╱ 三月三十一日 四月一日所持 年內授出之 年內行使之 失效之 所持 類別 授出日期 行使價 購股權期間 購股權數目 購股權</t>
        </is>
      </c>
    </row>
    <row r="104">
      <c r="A104" s="8" t="inlineStr">
        <is>
          <t>Share-based Payment</t>
        </is>
      </c>
      <c r="B104" s="8" t="inlineStr">
        <is>
          <t>以股份為基礎的付款</t>
        </is>
      </c>
      <c r="C104" s="8" t="inlineStr">
        <is>
          <t>medium</t>
        </is>
      </c>
      <c r="D104" s="11" t="inlineStr">
        <is>
          <t>share option</t>
        </is>
      </c>
      <c r="E104" s="11" t="inlineStr">
        <is>
          <t>PDF p.163 (印刷頁 162)</t>
        </is>
      </c>
      <c r="F104" s="11" t="inlineStr">
        <is>
          <t>中 國 投 融 資 集 團 有 限 公 司 NOTES TO THE CONSOLIDATED FINANCIAL STATEMENTS 綜合財務報表附註 For the year ended 31 March 2026 截至二零二六年三月三十一日止年度 24. SHARE OPTION SCHEME (continued) 24. 購股權計劃（續） No share options were exercised during the years ended 於截至二零二六年及二零二五年三月三十一日止 31 March 2026 and 2025. 年度並無購股權獲行使。 The fair value of share options granted on 12 August 2022 於二零二二年八月十二日授出之購股權公平值乃 was calculated using Binominal Option Pricing Model. The 使用二項式期權定價模式計算。該模型使用之輸 inputs into the model were as follows: 入數據如下： 12 August 2022 二零二二年八月十二日 Fair value</t>
        </is>
      </c>
    </row>
    <row r="105">
      <c r="A105" s="8" t="inlineStr">
        <is>
          <t>Share-based Payment</t>
        </is>
      </c>
      <c r="B105" s="8" t="inlineStr">
        <is>
          <t>以股份為基礎的付款</t>
        </is>
      </c>
      <c r="C105" s="8" t="inlineStr">
        <is>
          <t>medium</t>
        </is>
      </c>
      <c r="D105" s="11" t="inlineStr">
        <is>
          <t>share option</t>
        </is>
      </c>
      <c r="E105" s="11" t="inlineStr">
        <is>
          <t>PDF p.168 (印刷頁 167)</t>
        </is>
      </c>
      <c r="F105" s="11" t="inlineStr">
        <is>
          <t>63,164 112,657 9,715 (928,134) 157,402 Loss and total comprehensive 本年度虧損及全面開支總額 expense for the year – – – (8,554) (8,554) Lapse of share options 購股權失效 – – (5,703) 5,703 – As at 31 March 2025 and 於二零二五年三月三十一日 1 April 2025 及二零二五年四月一日 963,164 112,657 4,012 (930,985) 148,848 Profit and total comprehensive 本年度溢利及全面收入總額 income for the year – – – 37,617 37,617 Lapse of share options 購股權失效 – – (4,012) 4,012 – As at 31 March 2026 於二零二六年三月三十一日 963,164 112,657 – (889,356) 186,465</t>
        </is>
      </c>
    </row>
    <row r="106">
      <c r="A106" s="8" t="inlineStr">
        <is>
          <t>Related Party Transactions</t>
        </is>
      </c>
      <c r="B106" s="8" t="inlineStr">
        <is>
          <t>關聯方交易</t>
        </is>
      </c>
      <c r="C106" s="8" t="inlineStr">
        <is>
          <t>low</t>
        </is>
      </c>
      <c r="D106" s="11" t="inlineStr">
        <is>
          <t>related party</t>
        </is>
      </c>
      <c r="E106" s="11" t="inlineStr">
        <is>
          <t>PDF p.30 (印刷頁 29)</t>
        </is>
      </c>
      <c r="F106" s="11" t="inlineStr">
        <is>
          <t>2025/26 Annual Report 29 年 報 DIRECTORS’ REPORT 董事會報告 ﻿ RELATED PARTY TRANSACTIONS 關連人士交易 Save as disclosed in note 26 to the consolidated financial 除綜合財務報表附註26所披露者外，本集團於年內概 statements, the Group had no material transactions with its related 無與其關連人士進行任何重大交易。 parties during the year. The Directors conducted review of the related party transactions 董事已對本集團年內的關連人士交易進行審閱，且並 of the Group during the year and were not aware any transaction 不知悉任何根據上市規則規定須作關連交易</t>
        </is>
      </c>
    </row>
    <row r="107">
      <c r="A107" s="8" t="inlineStr">
        <is>
          <t>Related Party Transactions</t>
        </is>
      </c>
      <c r="B107" s="8" t="inlineStr">
        <is>
          <t>關聯方交易</t>
        </is>
      </c>
      <c r="C107" s="8" t="inlineStr">
        <is>
          <t>low</t>
        </is>
      </c>
      <c r="D107" s="11" t="inlineStr">
        <is>
          <t>related party</t>
        </is>
      </c>
      <c r="E107" s="11" t="inlineStr">
        <is>
          <t>PDF p.164 (印刷頁 163)</t>
        </is>
      </c>
      <c r="F107" s="11" t="inlineStr">
        <is>
          <t>Annual Report 163 年 報 NOTES TO THE CONSOLIDATED FINANCIAL STATEMENTS 綜合財務報表附註 For the year ended 31 March 2026 截至二零二六年三月三十一日止年度 26. RELATED PARTY TRANSACTIONS 26. 關連人士交易 During the years ended 31 March 2026 and 2025, the 截至二零二六年及二零二五年三月三十一日止年 Group had entered into the following transactions with the 度，本集團與本集團投資經理訂立以下交易，董 investment manager of the Group which, in the opinion of the 事認為，此等交易乃於本集團日常業務過程中按 directors, were carried out on normal commercial terms and in 正常商業條款進行： the ordinary course of the Group’s business: 2026 202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4"/>
  <sheetViews>
    <sheetView workbookViewId="0">
      <pane ySplit="33" topLeftCell="A34"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Gross Profit</t>
        </is>
      </c>
    </row>
    <row r="10">
      <c r="A10" s="8" t="inlineStr">
        <is>
          <t>Income Statement</t>
        </is>
      </c>
      <c r="B10" s="8" t="inlineStr">
        <is>
          <t>Operating Profit</t>
        </is>
      </c>
    </row>
    <row r="11">
      <c r="A11" s="8" t="inlineStr">
        <is>
          <t>Income Statement</t>
        </is>
      </c>
      <c r="B11" s="8" t="inlineStr">
        <is>
          <t>Profit for the Year</t>
        </is>
      </c>
    </row>
    <row r="12">
      <c r="A12" s="8" t="inlineStr">
        <is>
          <t>Income Statement</t>
        </is>
      </c>
      <c r="B12" s="8" t="inlineStr">
        <is>
          <t>R&amp;D Expenses</t>
        </is>
      </c>
    </row>
    <row r="13">
      <c r="A13" s="8" t="inlineStr">
        <is>
          <t>Income Statement</t>
        </is>
      </c>
      <c r="B13" s="8" t="inlineStr">
        <is>
          <t>Depreciation</t>
        </is>
      </c>
    </row>
    <row r="14">
      <c r="A14" s="8" t="inlineStr">
        <is>
          <t>Income Statement</t>
        </is>
      </c>
      <c r="B14" s="8" t="inlineStr">
        <is>
          <t>Amortisation</t>
        </is>
      </c>
    </row>
    <row r="15">
      <c r="A15" s="8" t="inlineStr">
        <is>
          <t>Balance Sheet</t>
        </is>
      </c>
      <c r="B15" s="8" t="inlineStr">
        <is>
          <t>Total Assets</t>
        </is>
      </c>
    </row>
    <row r="16">
      <c r="A16" s="8" t="inlineStr">
        <is>
          <t>Balance Sheet</t>
        </is>
      </c>
      <c r="B16" s="8" t="inlineStr">
        <is>
          <t>Total Current Assets</t>
        </is>
      </c>
    </row>
    <row r="17">
      <c r="A17" s="8" t="inlineStr">
        <is>
          <t>Balance Sheet</t>
        </is>
      </c>
      <c r="B17" s="8" t="inlineStr">
        <is>
          <t>Inventories</t>
        </is>
      </c>
    </row>
    <row r="18">
      <c r="A18" s="8" t="inlineStr">
        <is>
          <t>Balance Sheet</t>
        </is>
      </c>
      <c r="B18" s="8" t="inlineStr">
        <is>
          <t>Trade Receivables</t>
        </is>
      </c>
    </row>
    <row r="19">
      <c r="A19" s="8" t="inlineStr">
        <is>
          <t>Balance Sheet</t>
        </is>
      </c>
      <c r="B19" s="8" t="inlineStr">
        <is>
          <t>Goodwill</t>
        </is>
      </c>
    </row>
    <row r="20">
      <c r="A20" s="8" t="inlineStr">
        <is>
          <t>Balance Sheet</t>
        </is>
      </c>
      <c r="B20" s="8" t="inlineStr">
        <is>
          <t>Intangible Assets</t>
        </is>
      </c>
    </row>
    <row r="21">
      <c r="A21" s="8" t="inlineStr">
        <is>
          <t>Balance Sheet</t>
        </is>
      </c>
      <c r="B21" s="8" t="inlineStr">
        <is>
          <t>Investment Properties</t>
        </is>
      </c>
    </row>
    <row r="22">
      <c r="A22" s="8" t="inlineStr">
        <is>
          <t>Balance Sheet</t>
        </is>
      </c>
      <c r="B22" s="8" t="inlineStr">
        <is>
          <t>Property Plant and Equipment</t>
        </is>
      </c>
    </row>
    <row r="23">
      <c r="A23" s="8" t="inlineStr">
        <is>
          <t>Balance Sheet</t>
        </is>
      </c>
      <c r="B23" s="8" t="inlineStr">
        <is>
          <t>Total Liabilities</t>
        </is>
      </c>
    </row>
    <row r="24">
      <c r="A24" s="8" t="inlineStr">
        <is>
          <t>Balance Sheet</t>
        </is>
      </c>
      <c r="B24" s="8" t="inlineStr">
        <is>
          <t>Borrowings</t>
        </is>
      </c>
    </row>
    <row r="25">
      <c r="A25" s="8" t="inlineStr">
        <is>
          <t>Cash Flow</t>
        </is>
      </c>
      <c r="B25" s="8" t="inlineStr">
        <is>
          <t>Investing Cash Flow</t>
        </is>
      </c>
    </row>
    <row r="26">
      <c r="A26" s="8" t="inlineStr">
        <is>
          <t>Cash Flow</t>
        </is>
      </c>
      <c r="B26" s="8" t="inlineStr">
        <is>
          <t>Financing Cash Flow</t>
        </is>
      </c>
    </row>
    <row r="27">
      <c r="A27" s="8" t="inlineStr">
        <is>
          <t>Cash Flow</t>
        </is>
      </c>
      <c r="B27" s="8" t="inlineStr">
        <is>
          <t>Capital Expenditure</t>
        </is>
      </c>
    </row>
    <row r="30">
      <c r="A30" s="5" t="inlineStr">
        <is>
          <t>二、文字量過低的頁面(疑似掃描頁)</t>
        </is>
      </c>
    </row>
    <row r="31">
      <c r="A31" s="2" t="inlineStr">
        <is>
          <t>這些頁面幾乎抓不到文字,通常是掃描件或純圖表,建議人手翻閱或另行 OCR。</t>
        </is>
      </c>
    </row>
    <row r="33">
      <c r="A33" s="7" t="inlineStr">
        <is>
          <t>PDF 頁碼</t>
        </is>
      </c>
      <c r="B33" s="7" t="inlineStr">
        <is>
          <t>狀態</t>
        </is>
      </c>
    </row>
    <row r="34">
      <c r="A34" s="8" t="n">
        <v>170</v>
      </c>
      <c r="B34"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2026-08-30T14:16:41Z</dcterms:created>
  <dcterms:modified xsi:type="dcterms:W3CDTF">2026-08-30T14:16:41Z</dcterms:modified>
</cp:coreProperties>
</file>
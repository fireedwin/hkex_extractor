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f>
            </numRef>
          </cat>
          <val>
            <numRef>
              <f>'Chart 趨勢圖'!$B$5</f>
            </numRef>
          </val>
        </ser>
        <ser>
          <idx val="1"/>
          <order val="1"/>
          <tx>
            <strRef>
              <f>'Chart 趨勢圖'!C4</f>
            </strRef>
          </tx>
          <spPr>
            <a:ln>
              <a:prstDash val="solid"/>
            </a:ln>
          </spPr>
          <cat>
            <numRef>
              <f>'Chart 趨勢圖'!$A$5</f>
            </numRef>
          </cat>
          <val>
            <numRef>
              <f>'Chart 趨勢圖'!$C$5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00852_STRONG_PETRO_20260731.pdf</t>
        </is>
      </c>
    </row>
    <row r="5">
      <c r="A5" s="3" t="inlineStr">
        <is>
          <t>產生時間 Generated</t>
        </is>
      </c>
      <c r="B5" s="4" t="inlineStr">
        <is>
          <t>2026-08-30 22:16</t>
        </is>
      </c>
    </row>
    <row r="6">
      <c r="A6" s="4" t="inlineStr"/>
      <c r="B6" s="4" t="inlineStr"/>
    </row>
    <row r="7">
      <c r="A7" s="3" t="inlineStr">
        <is>
          <t>總頁數 Total pages</t>
        </is>
      </c>
      <c r="B7" s="4" t="n">
        <v>211</v>
      </c>
    </row>
    <row r="8">
      <c r="A8" s="3" t="inlineStr">
        <is>
          <t>已擷取字元 Characters extracted</t>
        </is>
      </c>
      <c r="B8" s="4" t="n">
        <v>491322</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9</v>
      </c>
    </row>
    <row r="13">
      <c r="A13" s="3" t="inlineStr">
        <is>
          <t>財務科目擷取筆數 Financial line items</t>
        </is>
      </c>
      <c r="B13" s="4" t="n">
        <v>13</v>
      </c>
    </row>
    <row r="14">
      <c r="A14" s="3" t="inlineStr">
        <is>
          <t>主題段落擷取筆數 Topic extracts</t>
        </is>
      </c>
      <c r="B14" s="4" t="n">
        <v>123</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551,724 − 164,227 = 387,497</t>
        </is>
      </c>
    </row>
    <row r="20">
      <c r="A20" s="6" t="inlineStr">
        <is>
          <t>✓ 三大報表應相鄰</t>
        </is>
      </c>
      <c r="B20" s="4" t="inlineStr">
        <is>
          <t>Income Statement: p.158、Balance Sheet: p.128、Cash Flow: p.131(相距 30 頁)</t>
        </is>
      </c>
    </row>
    <row r="22">
      <c r="A22" s="5" t="inlineStr">
        <is>
          <t>方法論 Methodology</t>
        </is>
      </c>
    </row>
    <row r="23">
      <c r="A23" s="4" t="inlineStr">
        <is>
          <t>1. 逐頁擷取文字,全程保留 PDF 頁碼與年報印刷頁碼(可追溯性)。</t>
        </is>
      </c>
    </row>
    <row r="24">
      <c r="A24" s="4" t="inlineStr">
        <is>
          <t>2. 規則層(正則/關鍵字)先把全份文件縮減為少數相關頁面 —— 解決「文件太大」。</t>
        </is>
      </c>
    </row>
    <row r="25">
      <c r="A25" s="4" t="inlineStr">
        <is>
          <t>3. 數字由正則精確擷取並做合理性檢查,不由語言模型生成 —— 解決「準確度」。</t>
        </is>
      </c>
    </row>
    <row r="26">
      <c r="A26" s="4" t="inlineStr">
        <is>
          <t>4. AI 僅在縮減後的頁面上做語意判斷,且輸出頁碼須通過驗證才保留。</t>
        </is>
      </c>
    </row>
    <row r="27">
      <c r="A27" s="4" t="inlineStr">
        <is>
          <t>5. 所有結果附來源頁碼與原文行,供估值師覆核。信心度為 Low 者建議人手確認。</t>
        </is>
      </c>
    </row>
    <row r="28">
      <c r="A28"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14</v>
      </c>
      <c r="D5" s="10" t="n">
        <v>14</v>
      </c>
      <c r="E5" s="11" t="inlineStr">
        <is>
          <t>14.0%</t>
        </is>
      </c>
      <c r="F5" s="11" t="inlineStr">
        <is>
          <t>High</t>
        </is>
      </c>
      <c r="G5" s="11" t="inlineStr">
        <is>
          <t>PDF p.169 (印刷頁 168)</t>
        </is>
      </c>
      <c r="H5" s="11" t="inlineStr">
        <is>
          <t>the management of the Group. Key inputs used in the calculation include pre-tax discount rate of 14.0% (2024: 14.8%), terminal growth rate of 2.0% (2024: 2.0%), which does not exceed the long-term average growth rate for the petrochemicals manufacturing</t>
        </is>
      </c>
    </row>
    <row r="6">
      <c r="A6" s="8" t="inlineStr">
        <is>
          <t>Discount Rate</t>
        </is>
      </c>
      <c r="B6" s="8" t="inlineStr">
        <is>
          <t>折現率</t>
        </is>
      </c>
      <c r="C6" s="9" t="n">
        <v>18.3</v>
      </c>
      <c r="D6" s="10" t="n">
        <v>18.3</v>
      </c>
      <c r="E6" s="11" t="inlineStr">
        <is>
          <t>18.3%</t>
        </is>
      </c>
      <c r="F6" s="11" t="inlineStr">
        <is>
          <t>High</t>
        </is>
      </c>
      <c r="G6" s="11" t="inlineStr">
        <is>
          <t>PDF p.170 (印刷頁 169)</t>
        </is>
      </c>
      <c r="H6" s="11" t="inlineStr">
        <is>
          <t>ontract period (Mbbl) 688,831 1,135,804 Inflation rate (p.a.) 2.0% 2.0% Pre-tax discount rate (p.a.) 18.3% 20.4% For the year ended 31 December 2025, the recoverable amount of the oil properties is approximately HK$84,915,000 (2024: approximately HK$107</t>
        </is>
      </c>
    </row>
    <row r="7">
      <c r="A7" s="8" t="inlineStr">
        <is>
          <t>Discount Rate</t>
        </is>
      </c>
      <c r="B7" s="8" t="inlineStr">
        <is>
          <t>折現率</t>
        </is>
      </c>
      <c r="C7" s="9" t="n">
        <v>12.4</v>
      </c>
      <c r="D7" s="10" t="n">
        <v>12.4</v>
      </c>
      <c r="E7" s="11" t="inlineStr">
        <is>
          <t>12.4%</t>
        </is>
      </c>
      <c r="F7" s="11" t="inlineStr">
        <is>
          <t>High</t>
        </is>
      </c>
      <c r="G7" s="11" t="inlineStr">
        <is>
          <t>PDF p.171 (印刷頁 170)</t>
        </is>
      </c>
      <c r="H7" s="11" t="inlineStr">
        <is>
          <t>the management of the Group. Key inputs used in the calculation include pre-tax discount rate of 12.4% (2024: 10.4%) and terminal growth rate of 2.0% (2024: 2.0%), which does not exceed the long-term average growth rate for the storage industry. For the</t>
        </is>
      </c>
    </row>
    <row r="8">
      <c r="A8" s="8" t="inlineStr">
        <is>
          <t>Discount Rate</t>
        </is>
      </c>
      <c r="B8" s="8" t="inlineStr">
        <is>
          <t>折現率</t>
        </is>
      </c>
      <c r="C8" s="9" t="n">
        <v>9.6</v>
      </c>
      <c r="D8" s="10" t="n">
        <v>9.6</v>
      </c>
      <c r="E8" s="11" t="inlineStr">
        <is>
          <t>9.6%</t>
        </is>
      </c>
      <c r="F8" s="11" t="inlineStr">
        <is>
          <t>High</t>
        </is>
      </c>
      <c r="G8" s="11" t="inlineStr">
        <is>
          <t>PDF p.171 (印刷頁 170)</t>
        </is>
      </c>
      <c r="H8" s="11" t="inlineStr">
        <is>
          <t>the management of the Group. Key inputs used in the calculation include pre-tax discount rate of 9.6% (2024: 10.2%) and terminal growth rate of 2.5% (2024: 2.5%), which does not exceed the long-term average growth rate for the solar energy industry. Bas</t>
        </is>
      </c>
    </row>
    <row r="9">
      <c r="A9" s="8" t="inlineStr">
        <is>
          <t>Discount Rate</t>
        </is>
      </c>
      <c r="B9" s="8" t="inlineStr">
        <is>
          <t>折現率</t>
        </is>
      </c>
      <c r="C9" s="9" t="n">
        <v>11.8</v>
      </c>
      <c r="D9" s="10" t="n">
        <v>11.8</v>
      </c>
      <c r="E9" s="11" t="inlineStr">
        <is>
          <t>11.8%</t>
        </is>
      </c>
      <c r="F9" s="11" t="inlineStr">
        <is>
          <t>High</t>
        </is>
      </c>
      <c r="G9" s="11" t="inlineStr">
        <is>
          <t>PDF p.174 (印刷頁 173)</t>
        </is>
      </c>
      <c r="H9" s="11" t="inlineStr">
        <is>
          <t>BITDA”) margin ranging from 60.1% to 64.0% (2024: from 45.7% to 54.3%), pre-tax discount rate of 11.8% (2024: 11.7%) and terminal growth rate of 2.0% (2024: 2.0%), which does not exceed the long-term average growth rate for the storage industry. For the</t>
        </is>
      </c>
    </row>
    <row r="10">
      <c r="A10" s="8" t="inlineStr">
        <is>
          <t>Terminal Growth Rate</t>
        </is>
      </c>
      <c r="B10" s="8" t="inlineStr">
        <is>
          <t>永續增長率</t>
        </is>
      </c>
      <c r="C10" s="9" t="n">
        <v>2</v>
      </c>
      <c r="D10" s="10" t="n">
        <v>2</v>
      </c>
      <c r="E10" s="11" t="inlineStr">
        <is>
          <t>2.0%</t>
        </is>
      </c>
      <c r="F10" s="11" t="inlineStr">
        <is>
          <t>High</t>
        </is>
      </c>
      <c r="G10" s="11" t="inlineStr">
        <is>
          <t>PDF p.169 (印刷頁 168)</t>
        </is>
      </c>
      <c r="H10" s="11" t="inlineStr">
        <is>
          <t>s used in the calculation include pre-tax discount rate of 14.0% (2024: 14.8%), terminal growth rate of 2.0% (2024: 2.0%), which does not exceed the long-term average growth rate for the petrochemicals manufacturing industry, and utilisation rate of the F</t>
        </is>
      </c>
    </row>
    <row r="11">
      <c r="A11" s="8" t="inlineStr">
        <is>
          <t>Terminal Growth Rate</t>
        </is>
      </c>
      <c r="B11" s="8" t="inlineStr">
        <is>
          <t>永續增長率</t>
        </is>
      </c>
      <c r="C11" s="9" t="n">
        <v>2</v>
      </c>
      <c r="D11" s="10" t="n">
        <v>2</v>
      </c>
      <c r="E11" s="11" t="inlineStr">
        <is>
          <t>2.0%</t>
        </is>
      </c>
      <c r="F11" s="11" t="inlineStr">
        <is>
          <t>High</t>
        </is>
      </c>
      <c r="G11" s="11" t="inlineStr">
        <is>
          <t>PDF p.171 (印刷頁 170)</t>
        </is>
      </c>
      <c r="H11" s="11" t="inlineStr">
        <is>
          <t>sed in the calculation include pre-tax discount rate of 12.4% (2024: 10.4%) and terminal growth rate of 2.0% (2024: 2.0%), which does not exceed the long-term average growth rate for the storage industry. For the year ended 31 December 2025, the recoverab</t>
        </is>
      </c>
    </row>
    <row r="12">
      <c r="A12" s="8" t="inlineStr">
        <is>
          <t>Terminal Growth Rate</t>
        </is>
      </c>
      <c r="B12" s="8" t="inlineStr">
        <is>
          <t>永續增長率</t>
        </is>
      </c>
      <c r="C12" s="9" t="n">
        <v>2.5</v>
      </c>
      <c r="D12" s="10" t="n">
        <v>2.5</v>
      </c>
      <c r="E12" s="11" t="inlineStr">
        <is>
          <t>2.5%</t>
        </is>
      </c>
      <c r="F12" s="11" t="inlineStr">
        <is>
          <t>High</t>
        </is>
      </c>
      <c r="G12" s="11" t="inlineStr">
        <is>
          <t>PDF p.171 (印刷頁 170)</t>
        </is>
      </c>
      <c r="H12" s="11" t="inlineStr">
        <is>
          <t>used in the calculation include pre-tax discount rate of 9.6% (2024: 10.2%) and terminal growth rate of 2.5% (2024: 2.5%), which does not exceed the long-term average growth rate for the solar energy industry. Based on the result of the impairment assessm</t>
        </is>
      </c>
    </row>
    <row r="13">
      <c r="A13" s="8" t="inlineStr">
        <is>
          <t>Terminal Growth Rate</t>
        </is>
      </c>
      <c r="B13" s="8" t="inlineStr">
        <is>
          <t>永續增長率</t>
        </is>
      </c>
      <c r="C13" s="9" t="n">
        <v>2</v>
      </c>
      <c r="D13" s="10" t="n">
        <v>2</v>
      </c>
      <c r="E13" s="11" t="inlineStr">
        <is>
          <t>2.0%</t>
        </is>
      </c>
      <c r="F13" s="11" t="inlineStr">
        <is>
          <t>High</t>
        </is>
      </c>
      <c r="G13" s="11" t="inlineStr">
        <is>
          <t>PDF p.174 (印刷頁 173)</t>
        </is>
      </c>
      <c r="H13" s="11" t="inlineStr">
        <is>
          <t>% (2024: from 45.7% to 54.3%), pre-tax discount rate of 11.8% (2024: 11.7%) and terminal growth rate of 2.0% (2024: 2.0%), which does not exceed the long-term average growth rate for the storage industry. For the year ended 31 December 2025, the recoverab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2025; Balance Sheet: 2025 / 2024; Cash Flow: 2025 / 2024</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Depreciation</t>
        </is>
      </c>
      <c r="C5" s="12" t="n">
        <v>-1668</v>
      </c>
      <c r="D5" s="13" t="n">
        <v>-39787</v>
      </c>
      <c r="E5" s="14">
        <f>IF(ISERROR((C5-D5)/ABS(D5)),"",(C5-D5)/ABS(D5))</f>
        <v>0.9580767587402921</v>
      </c>
      <c r="F5" s="11" t="inlineStr">
        <is>
          <t>PDF p.158 (印刷頁 157)</t>
        </is>
      </c>
      <c r="G5" s="11" t="inlineStr">
        <is>
          <t>Depreciation of property, plant and equipment (20) (1,668) (39,787) (29,735) (8,938) (80,148)</t>
        </is>
      </c>
    </row>
    <row r="6">
      <c r="A6" s="8" t="inlineStr">
        <is>
          <t>Income Statement</t>
        </is>
      </c>
      <c r="B6" s="8" t="inlineStr">
        <is>
          <t>Amortisation</t>
        </is>
      </c>
      <c r="C6" s="12" t="n">
        <v>0</v>
      </c>
      <c r="D6" s="13" t="n">
        <v>0</v>
      </c>
      <c r="E6" s="14" t="str">
        <f>IF(ISERROR((C6-D6)/ABS(D6)),"",(C6-D6)/ABS(D6))</f>
        <v/>
      </c>
      <c r="F6" s="11" t="inlineStr">
        <is>
          <t>PDF p.158 (印刷頁 157)</t>
        </is>
      </c>
      <c r="G6" s="11" t="inlineStr">
        <is>
          <t>Amortisation of intangible assets – – – (137) – (137)</t>
        </is>
      </c>
    </row>
    <row r="7">
      <c r="A7" s="8" t="inlineStr">
        <is>
          <t>Income Statement</t>
        </is>
      </c>
      <c r="B7" s="8" t="inlineStr">
        <is>
          <t>Finance Costs</t>
        </is>
      </c>
      <c r="C7" s="12" t="n">
        <v>-144</v>
      </c>
      <c r="D7" s="13" t="n">
        <v>-21</v>
      </c>
      <c r="E7" s="14">
        <f>IF(ISERROR((C7-D7)/ABS(D7)),"",(C7-D7)/ABS(D7))</f>
        <v>-5.857142857142857</v>
      </c>
      <c r="F7" s="11" t="inlineStr">
        <is>
          <t>PDF p.158 (印刷頁 157)</t>
        </is>
      </c>
      <c r="G7" s="11" t="inlineStr">
        <is>
          <t>Finance costs (144) (21) (1,006) (8,704) (1,534) (11,409)</t>
        </is>
      </c>
    </row>
    <row r="8">
      <c r="A8" s="8" t="inlineStr">
        <is>
          <t>Income Statement</t>
        </is>
      </c>
      <c r="B8" s="8" t="inlineStr">
        <is>
          <t>Income Tax</t>
        </is>
      </c>
      <c r="C8" s="12" t="n">
        <v>2025</v>
      </c>
      <c r="D8" s="13" t="n">
        <v>2024</v>
      </c>
      <c r="E8" s="14">
        <f>IF(ISERROR((C8-D8)/ABS(D8)),"",(C8-D8)/ABS(D8))</f>
        <v>0.0004940711462450593</v>
      </c>
      <c r="F8" s="11" t="inlineStr">
        <is>
          <t>PDF p.162 (印刷頁 161)</t>
        </is>
      </c>
      <c r="G8" s="11" t="inlineStr">
        <is>
          <t>Income tax expenses in the consolidated statement of profit or loss and other comprehensive income represent: … 2025 2024</t>
        </is>
      </c>
    </row>
    <row r="9">
      <c r="A9" s="8" t="inlineStr">
        <is>
          <t>Balance Sheet</t>
        </is>
      </c>
      <c r="B9" s="8" t="inlineStr">
        <is>
          <t>Property Plant and Equipment</t>
        </is>
      </c>
      <c r="C9" s="12" t="n">
        <v>545717</v>
      </c>
      <c r="D9" s="13" t="n">
        <v>651332</v>
      </c>
      <c r="E9" s="14">
        <f>IF(ISERROR((C9-D9)/ABS(D9)),"",(C9-D9)/ABS(D9))</f>
        <v>-0.16215232784509281</v>
      </c>
      <c r="F9" s="11" t="inlineStr">
        <is>
          <t>PDF p.128 (印刷頁 127)</t>
        </is>
      </c>
      <c r="G9" s="11" t="inlineStr">
        <is>
          <t>Property, plant and equipment 14 545,717 651,332</t>
        </is>
      </c>
    </row>
    <row r="10">
      <c r="A10" s="8" t="inlineStr">
        <is>
          <t>Balance Sheet</t>
        </is>
      </c>
      <c r="B10" s="8" t="inlineStr">
        <is>
          <t>Intangible Assets</t>
        </is>
      </c>
      <c r="C10" s="12" t="n">
        <v>436</v>
      </c>
      <c r="D10" s="13" t="n">
        <v>630</v>
      </c>
      <c r="E10" s="14">
        <f>IF(ISERROR((C10-D10)/ABS(D10)),"",(C10-D10)/ABS(D10))</f>
        <v>-0.30793650793650795</v>
      </c>
      <c r="F10" s="11" t="inlineStr">
        <is>
          <t>PDF p.128 (印刷頁 127)</t>
        </is>
      </c>
      <c r="G10" s="11" t="inlineStr">
        <is>
          <t>Intangible assets 18 436 630</t>
        </is>
      </c>
    </row>
    <row r="11">
      <c r="A11" s="8" t="inlineStr">
        <is>
          <t>Balance Sheet</t>
        </is>
      </c>
      <c r="B11" s="8" t="inlineStr">
        <is>
          <t>Inventories</t>
        </is>
      </c>
      <c r="C11" s="12" t="n">
        <v>58064</v>
      </c>
      <c r="D11" s="13" t="n">
        <v>108520</v>
      </c>
      <c r="E11" s="14">
        <f>IF(ISERROR((C11-D11)/ABS(D11)),"",(C11-D11)/ABS(D11))</f>
        <v>-0.46494655363066717</v>
      </c>
      <c r="F11" s="11" t="inlineStr">
        <is>
          <t>PDF p.128 (印刷頁 127)</t>
        </is>
      </c>
      <c r="G11" s="11" t="inlineStr">
        <is>
          <t>Inventories 19 58,064 108,520</t>
        </is>
      </c>
    </row>
    <row r="12">
      <c r="A12" s="8" t="inlineStr">
        <is>
          <t>Balance Sheet</t>
        </is>
      </c>
      <c r="B12" s="8" t="inlineStr">
        <is>
          <t>Trade Receivables</t>
        </is>
      </c>
      <c r="C12" s="12" t="n">
        <v>11585</v>
      </c>
      <c r="D12" s="13" t="n">
        <v>14094</v>
      </c>
      <c r="E12" s="14">
        <f>IF(ISERROR((C12-D12)/ABS(D12)),"",(C12-D12)/ABS(D12))</f>
        <v>-0.17801901518376614</v>
      </c>
      <c r="F12" s="11" t="inlineStr">
        <is>
          <t>PDF p.128 (印刷頁 127)</t>
        </is>
      </c>
      <c r="G12" s="11" t="inlineStr">
        <is>
          <t>Trade receivables 20 11,585 14,094</t>
        </is>
      </c>
    </row>
    <row r="13">
      <c r="A13" s="8" t="inlineStr">
        <is>
          <t>Balance Sheet</t>
        </is>
      </c>
      <c r="B13" s="8" t="inlineStr">
        <is>
          <t>Total Equity</t>
        </is>
      </c>
      <c r="C13" s="12" t="n">
        <v>729566</v>
      </c>
      <c r="D13" s="13" t="n">
        <v>956439</v>
      </c>
      <c r="E13" s="14">
        <f>IF(ISERROR((C13-D13)/ABS(D13)),"",(C13-D13)/ABS(D13))</f>
        <v>-0.2372059274036295</v>
      </c>
      <c r="F13" s="11" t="inlineStr">
        <is>
          <t>PDF p.129 (印刷頁 128)</t>
        </is>
      </c>
      <c r="G13" s="11" t="inlineStr">
        <is>
          <t>Total equity 729,566 956,439</t>
        </is>
      </c>
    </row>
    <row r="14">
      <c r="A14" s="8" t="inlineStr">
        <is>
          <t>Balance Sheet</t>
        </is>
      </c>
      <c r="B14" s="8" t="inlineStr">
        <is>
          <t>Total Current Assets</t>
        </is>
      </c>
      <c r="C14" s="12" t="n">
        <v>551724</v>
      </c>
      <c r="D14" s="13" t="n">
        <v>1303591</v>
      </c>
      <c r="E14" s="14">
        <f>IF(ISERROR((C14-D14)/ABS(D14)),"",(C14-D14)/ABS(D14))</f>
        <v>-0.5767660255402193</v>
      </c>
      <c r="F14" s="11" t="inlineStr">
        <is>
          <t>PDF p.128 (印刷頁 127)</t>
        </is>
      </c>
      <c r="G14" s="11" t="inlineStr">
        <is>
          <t>[current assets 區段小計] 551,724 1,303,591</t>
        </is>
      </c>
    </row>
    <row r="15">
      <c r="A15" s="8" t="inlineStr">
        <is>
          <t>Balance Sheet</t>
        </is>
      </c>
      <c r="B15" s="8" t="inlineStr">
        <is>
          <t>Total Current Liabilities</t>
        </is>
      </c>
      <c r="C15" s="12" t="n">
        <v>164227</v>
      </c>
      <c r="D15" s="13" t="n">
        <v>786656</v>
      </c>
      <c r="E15" s="14">
        <f>IF(ISERROR((C15-D15)/ABS(D15)),"",(C15-D15)/ABS(D15))</f>
        <v>-0.7912340336818127</v>
      </c>
      <c r="F15" s="11" t="inlineStr">
        <is>
          <t>PDF p.128 (印刷頁 127)</t>
        </is>
      </c>
      <c r="G15" s="11" t="inlineStr">
        <is>
          <t>[current liabilities 區段小計] 164,227 786,656</t>
        </is>
      </c>
    </row>
    <row r="16">
      <c r="A16" s="8" t="inlineStr">
        <is>
          <t>Cash Flow</t>
        </is>
      </c>
      <c r="B16" s="8" t="inlineStr">
        <is>
          <t>Operating Cash Flow</t>
        </is>
      </c>
      <c r="C16" s="12" t="n">
        <v>-700051</v>
      </c>
      <c r="D16" s="13" t="n">
        <v>565142</v>
      </c>
      <c r="E16" s="14">
        <f>IF(ISERROR((C16-D16)/ABS(D16)),"",(C16-D16)/ABS(D16))</f>
        <v>-2.2387169950207206</v>
      </c>
      <c r="F16" s="11" t="inlineStr">
        <is>
          <t>PDF p.131 (印刷頁 130)</t>
        </is>
      </c>
      <c r="G16" s="11" t="inlineStr">
        <is>
          <t>Cash generated from operations (700,051) 565,142</t>
        </is>
      </c>
    </row>
    <row r="17">
      <c r="A17" s="8" t="inlineStr">
        <is>
          <t>Cash Flow</t>
        </is>
      </c>
      <c r="B17" s="8" t="inlineStr">
        <is>
          <t>Investing Cash Flow</t>
        </is>
      </c>
      <c r="C17" s="12" t="n">
        <v>27569</v>
      </c>
      <c r="D17" s="13" t="n">
        <v>-231589</v>
      </c>
      <c r="E17" s="14">
        <f>IF(ISERROR((C17-D17)/ABS(D17)),"",(C17-D17)/ABS(D17))</f>
        <v>1.1190427870062913</v>
      </c>
      <c r="F17" s="11" t="inlineStr">
        <is>
          <t>PDF p.132 (印刷頁 131)</t>
        </is>
      </c>
      <c r="G17" s="11" t="inlineStr">
        <is>
          <t>NET CASH GENERATED FROM/(USED IN) INVESTING ACTIVITIES 27,569 (231,589)</t>
        </is>
      </c>
    </row>
    <row r="19">
      <c r="A19"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t="str">
        <f>IF(ISERROR(INDEX('Financials 財務數據'!$C$5:$C$17,MATCH("Gross Profit",'Financials 財務數據'!$B$5:$B$17,0))/INDEX('Financials 財務數據'!$C$5:$C$17,MATCH("Revenue",'Financials 財務數據'!$B$5:$B$17,0))),"n/a",INDEX('Financials 財務數據'!$C$5:$C$17,MATCH("Gross Profit",'Financials 財務數據'!$B$5:$B$17,0))/INDEX('Financials 財務數據'!$C$5:$C$17,MATCH("Revenue",'Financials 財務數據'!$B$5:$B$17,0)))</f>
        <v>n/a</v>
      </c>
      <c r="C5" s="15" t="str">
        <f>IF(ISERROR(INDEX('Financials 財務數據'!$D$5:$D$17,MATCH("Gross Profit",'Financials 財務數據'!$B$5:$B$17,0))/INDEX('Financials 財務數據'!$D$5:$D$17,MATCH("Revenue",'Financials 財務數據'!$B$5:$B$17,0))),"n/a",INDEX('Financials 財務數據'!$D$5:$D$17,MATCH("Gross Profit",'Financials 財務數據'!$B$5:$B$17,0))/INDEX('Financials 財務數據'!$D$5:$D$17,MATCH("Revenue",'Financials 財務數據'!$B$5:$B$17,0)))</f>
        <v>n/a</v>
      </c>
      <c r="D5" s="2" t="inlineStr">
        <is>
          <t>毛利 ÷ 收入</t>
        </is>
      </c>
    </row>
    <row r="6">
      <c r="A6" s="4" t="inlineStr">
        <is>
          <t>Net Margin 淨利率</t>
        </is>
      </c>
      <c r="B6" s="15" t="str">
        <f>IF(ISERROR(INDEX('Financials 財務數據'!$C$5:$C$17,MATCH("Profit for the Year",'Financials 財務數據'!$B$5:$B$17,0))/INDEX('Financials 財務數據'!$C$5:$C$17,MATCH("Revenue",'Financials 財務數據'!$B$5:$B$17,0))),"n/a",INDEX('Financials 財務數據'!$C$5:$C$17,MATCH("Profit for the Year",'Financials 財務數據'!$B$5:$B$17,0))/INDEX('Financials 財務數據'!$C$5:$C$17,MATCH("Revenue",'Financials 財務數據'!$B$5:$B$17,0)))</f>
        <v>n/a</v>
      </c>
      <c r="C6" s="15" t="str">
        <f>IF(ISERROR(INDEX('Financials 財務數據'!$D$5:$D$17,MATCH("Profit for the Year",'Financials 財務數據'!$B$5:$B$17,0))/INDEX('Financials 財務數據'!$D$5:$D$17,MATCH("Revenue",'Financials 財務數據'!$B$5:$B$17,0))),"n/a",INDEX('Financials 財務數據'!$D$5:$D$17,MATCH("Profit for the Year",'Financials 財務數據'!$B$5:$B$17,0))/INDEX('Financials 財務數據'!$D$5:$D$17,MATCH("Revenue",'Financials 財務數據'!$B$5:$B$17,0)))</f>
        <v>n/a</v>
      </c>
      <c r="D6" s="2" t="inlineStr">
        <is>
          <t>年內溢利 ÷ 收入</t>
        </is>
      </c>
    </row>
    <row r="7">
      <c r="A7" s="4" t="inlineStr">
        <is>
          <t>Current Ratio 流動比率</t>
        </is>
      </c>
      <c r="B7" s="16">
        <f>IF(ISERROR(INDEX('Financials 財務數據'!$C$5:$C$17,MATCH("Total Current Assets",'Financials 財務數據'!$B$5:$B$17,0))/INDEX('Financials 財務數據'!$C$5:$C$17,MATCH("Total Current Liabilities",'Financials 財務數據'!$B$5:$B$17,0))),"n/a",INDEX('Financials 財務數據'!$C$5:$C$17,MATCH("Total Current Assets",'Financials 財務數據'!$B$5:$B$17,0))/INDEX('Financials 財務數據'!$C$5:$C$17,MATCH("Total Current Liabilities",'Financials 財務數據'!$B$5:$B$17,0)))</f>
        <v>3.3595206634719017</v>
      </c>
      <c r="C7" s="16">
        <f>IF(ISERROR(INDEX('Financials 財務數據'!$D$5:$D$17,MATCH("Total Current Assets",'Financials 財務數據'!$B$5:$B$17,0))/INDEX('Financials 財務數據'!$D$5:$D$17,MATCH("Total Current Liabilities",'Financials 財務數據'!$B$5:$B$17,0))),"n/a",INDEX('Financials 財務數據'!$D$5:$D$17,MATCH("Total Current Assets",'Financials 財務數據'!$B$5:$B$17,0))/INDEX('Financials 財務數據'!$D$5:$D$17,MATCH("Total Current Liabilities",'Financials 財務數據'!$B$5:$B$17,0)))</f>
        <v>1.6571296729447178</v>
      </c>
      <c r="D7" s="2" t="inlineStr">
        <is>
          <t>流動資產 ÷ 流動負債</t>
        </is>
      </c>
    </row>
    <row r="8">
      <c r="A8" s="4" t="inlineStr">
        <is>
          <t>Debt / Equity 負債權益比</t>
        </is>
      </c>
      <c r="B8" s="16" t="str">
        <f>IF(ISERROR(INDEX('Financials 財務數據'!$C$5:$C$17,MATCH("Total Liabilities",'Financials 財務數據'!$B$5:$B$17,0))/INDEX('Financials 財務數據'!$C$5:$C$17,MATCH("Total Equity",'Financials 財務數據'!$B$5:$B$17,0))),"n/a",INDEX('Financials 財務數據'!$C$5:$C$17,MATCH("Total Liabilities",'Financials 財務數據'!$B$5:$B$17,0))/INDEX('Financials 財務數據'!$C$5:$C$17,MATCH("Total Equity",'Financials 財務數據'!$B$5:$B$17,0)))</f>
        <v>n/a</v>
      </c>
      <c r="C8" s="16" t="str">
        <f>IF(ISERROR(INDEX('Financials 財務數據'!$D$5:$D$17,MATCH("Total Liabilities",'Financials 財務數據'!$B$5:$B$17,0))/INDEX('Financials 財務數據'!$D$5:$D$17,MATCH("Total Equity",'Financials 財務數據'!$B$5:$B$17,0))),"n/a",INDEX('Financials 財務數據'!$D$5:$D$17,MATCH("Total Liabilities",'Financials 財務數據'!$B$5:$B$17,0))/INDEX('Financials 財務數據'!$D$5:$D$17,MATCH("Total Equity",'Financials 財務數據'!$B$5:$B$17,0)))</f>
        <v>n/a</v>
      </c>
      <c r="D8" s="2" t="inlineStr">
        <is>
          <t>總負債 ÷ 總權益</t>
        </is>
      </c>
    </row>
    <row r="9">
      <c r="A9" s="4" t="inlineStr">
        <is>
          <t>Goodwill / Total Assets</t>
        </is>
      </c>
      <c r="B9" s="15" t="str">
        <f>IF(ISERROR(INDEX('Financials 財務數據'!$C$5:$C$17,MATCH("Goodwill",'Financials 財務數據'!$B$5:$B$17,0))/INDEX('Financials 財務數據'!$C$5:$C$17,MATCH("Total Assets",'Financials 財務數據'!$B$5:$B$17,0))),"n/a",INDEX('Financials 財務數據'!$C$5:$C$17,MATCH("Goodwill",'Financials 財務數據'!$B$5:$B$17,0))/INDEX('Financials 財務數據'!$C$5:$C$17,MATCH("Total Assets",'Financials 財務數據'!$B$5:$B$17,0)))</f>
        <v>n/a</v>
      </c>
      <c r="C9" s="15" t="str">
        <f>IF(ISERROR(INDEX('Financials 財務數據'!$D$5:$D$17,MATCH("Goodwill",'Financials 財務數據'!$B$5:$B$17,0))/INDEX('Financials 財務數據'!$D$5:$D$17,MATCH("Total Assets",'Financials 財務數據'!$B$5:$B$17,0))),"n/a",INDEX('Financials 財務數據'!$D$5:$D$17,MATCH("Goodwill",'Financials 財務數據'!$B$5:$B$17,0))/INDEX('Financials 財務數據'!$D$5:$D$17,MATCH("Total Assets",'Financials 財務數據'!$B$5:$B$17,0)))</f>
        <v>n/a</v>
      </c>
      <c r="D9" s="2" t="inlineStr">
        <is>
          <t>商譽佔總資產比重 — 減值風險指標</t>
        </is>
      </c>
    </row>
    <row r="10">
      <c r="A10" s="4" t="inlineStr">
        <is>
          <t>Intangibles / Total Assets</t>
        </is>
      </c>
      <c r="B10" s="15" t="str">
        <f>IF(ISERROR(INDEX('Financials 財務數據'!$C$5:$C$17,MATCH("Intangible Assets",'Financials 財務數據'!$B$5:$B$17,0))/INDEX('Financials 財務數據'!$C$5:$C$17,MATCH("Total Assets",'Financials 財務數據'!$B$5:$B$17,0))),"n/a",INDEX('Financials 財務數據'!$C$5:$C$17,MATCH("Intangible Assets",'Financials 財務數據'!$B$5:$B$17,0))/INDEX('Financials 財務數據'!$C$5:$C$17,MATCH("Total Assets",'Financials 財務數據'!$B$5:$B$17,0)))</f>
        <v>n/a</v>
      </c>
      <c r="C10" s="15" t="str">
        <f>IF(ISERROR(INDEX('Financials 財務數據'!$D$5:$D$17,MATCH("Intangible Assets",'Financials 財務數據'!$B$5:$B$17,0))/INDEX('Financials 財務數據'!$D$5:$D$17,MATCH("Total Assets",'Financials 財務數據'!$B$5:$B$17,0))),"n/a",INDEX('Financials 財務數據'!$D$5:$D$17,MATCH("Intangible Assets",'Financials 財務數據'!$B$5:$B$17,0))/INDEX('Financials 財務數據'!$D$5:$D$17,MATCH("Total Assets",'Financials 財務數據'!$B$5:$B$17,0)))</f>
        <v>n/a</v>
      </c>
      <c r="D10" s="2" t="inlineStr">
        <is>
          <t>無形資產佔比</t>
        </is>
      </c>
    </row>
    <row r="11">
      <c r="A11" s="4" t="inlineStr">
        <is>
          <t>ROE 股本回報率</t>
        </is>
      </c>
      <c r="B11" s="15" t="str">
        <f>IF(ISERROR(INDEX('Financials 財務數據'!$C$5:$C$17,MATCH("Profit for the Year",'Financials 財務數據'!$B$5:$B$17,0))/INDEX('Financials 財務數據'!$C$5:$C$17,MATCH("Total Equity",'Financials 財務數據'!$B$5:$B$17,0))),"n/a",INDEX('Financials 財務數據'!$C$5:$C$17,MATCH("Profit for the Year",'Financials 財務數據'!$B$5:$B$17,0))/INDEX('Financials 財務數據'!$C$5:$C$17,MATCH("Total Equity",'Financials 財務數據'!$B$5:$B$17,0)))</f>
        <v>n/a</v>
      </c>
      <c r="C11" s="15" t="str">
        <f>IF(ISERROR(INDEX('Financials 財務數據'!$D$5:$D$17,MATCH("Profit for the Year",'Financials 財務數據'!$B$5:$B$17,0))/INDEX('Financials 財務數據'!$D$5:$D$17,MATCH("Total Equity",'Financials 財務數據'!$B$5:$B$17,0))),"n/a",INDEX('Financials 財務數據'!$D$5:$D$17,MATCH("Profit for the Year",'Financials 財務數據'!$B$5:$B$17,0))/INDEX('Financials 財務數據'!$D$5:$D$17,MATCH("Total Equity",'Financials 財務數據'!$B$5:$B$17,0)))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Total Equity</t>
        </is>
      </c>
      <c r="B5" s="18" t="n">
        <v>956439</v>
      </c>
      <c r="C5" s="18" t="n">
        <v>729566</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26"/>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fair value hierarchy</t>
        </is>
      </c>
      <c r="E4" s="11" t="inlineStr">
        <is>
          <t>PDF p.149 (印刷頁 148)</t>
        </is>
      </c>
      <c r="F4" s="11" t="inlineStr">
        <is>
          <t>urements are categorised into different levels based on how observable the inputs used in the valuation technique utilised are (the “fair value hierarchy”): • Level 1: Quoted prices in active markets for identical items (unadjusted); • Level 2: Observable direct or indirect inputs other than Level 1 inputs; and • Level 3: Unobservable inputs (i.e. not derived from market data). The classification of an item into the above levels is based on the lowest level of the inputs used that has a significant effect on the fair value meas</t>
        </is>
      </c>
    </row>
    <row r="5">
      <c r="A5" s="8" t="inlineStr">
        <is>
          <t>Fair Value Measurement</t>
        </is>
      </c>
      <c r="B5" s="8" t="inlineStr">
        <is>
          <t>公允價值計量</t>
        </is>
      </c>
      <c r="C5" s="19" t="inlineStr">
        <is>
          <t>high</t>
        </is>
      </c>
      <c r="D5" s="11" t="inlineStr">
        <is>
          <t>fair value hierarchy</t>
        </is>
      </c>
      <c r="E5" s="11" t="inlineStr">
        <is>
          <t>PDF p.172 (印刷頁 171)</t>
        </is>
      </c>
      <c r="F5" s="11" t="inlineStr">
        <is>
          <t>000 (2024: HK$97,850,000). The fair value measurement of the commercial property and car park spaces is classified as Level 3 of the fair value hierarchy. Relationships of unobservable inputs to fair value are as follows: • The higher the premium applied to the commercial property and car park spaces, the higher the fair value; • The higher the discount applied to the commercial property and car park spaces, the lower the fair value. 15. INVESTMENT PROPERTIES HK$’000 COST At 1 January 2024 214,526 Transfer to property, plant an</t>
        </is>
      </c>
    </row>
    <row r="6">
      <c r="A6" s="8" t="inlineStr">
        <is>
          <t>Fair Value Measurement</t>
        </is>
      </c>
      <c r="B6" s="8" t="inlineStr">
        <is>
          <t>公允價值計量</t>
        </is>
      </c>
      <c r="C6" s="19" t="inlineStr">
        <is>
          <t>high</t>
        </is>
      </c>
      <c r="D6" s="11" t="inlineStr">
        <is>
          <t>fair value hierarchy</t>
        </is>
      </c>
      <c r="E6" s="11" t="inlineStr">
        <is>
          <t>PDF p.178 (印刷頁 177)</t>
        </is>
      </c>
      <c r="F6" s="11" t="inlineStr">
        <is>
          <t>utside Hong Kong 39 54 211 130 Fair value measurement of the Group’s investment in listed securities is classified as Level 1 of the fair value hierarchy, as the fair value is based on quoted bid prices in active markets. For the year ended 31 December 2025, a fair value gain of approximately HK$82,000 (2024: loss of approximately HK$142,000) was recognised. 22. DEPOSITS PLACED WITH BROKERS The amounts represent margin deposits placed with brokers for trading derivative financial instruments. The amounts carry interest at varia</t>
        </is>
      </c>
    </row>
    <row r="7">
      <c r="A7" s="8" t="inlineStr">
        <is>
          <t>Fair Value Measurement</t>
        </is>
      </c>
      <c r="B7" s="8" t="inlineStr">
        <is>
          <t>公允價值計量</t>
        </is>
      </c>
      <c r="C7" s="19" t="inlineStr">
        <is>
          <t>high</t>
        </is>
      </c>
      <c r="D7" s="11" t="inlineStr">
        <is>
          <t>valuation technique</t>
        </is>
      </c>
      <c r="E7" s="11" t="inlineStr">
        <is>
          <t>PDF p.195 (印刷頁 194)</t>
        </is>
      </c>
      <c r="F7" s="11" t="inlineStr">
        <is>
          <t>e gives information about how the fair values of these financial assets and financial liabilities are determined (in particular, the valuation technique(s) and key input(s) used). 194 ST R O N G P E T R O C H E M I C A L H O L D I N G S L I M I T E D 2 0 2 5 A N N UA L R E P O R T</t>
        </is>
      </c>
    </row>
    <row r="8">
      <c r="A8" s="8" t="inlineStr">
        <is>
          <t>Fair Value Measurement</t>
        </is>
      </c>
      <c r="B8" s="8" t="inlineStr">
        <is>
          <t>公允價值計量</t>
        </is>
      </c>
      <c r="C8" s="19" t="inlineStr">
        <is>
          <t>high</t>
        </is>
      </c>
      <c r="D8" s="11" t="inlineStr">
        <is>
          <t>fair value hierarchy</t>
        </is>
      </c>
      <c r="E8" s="11" t="inlineStr">
        <is>
          <t>PDF p.196 (印刷頁 195)</t>
        </is>
      </c>
      <c r="F8" s="11" t="inlineStr">
        <is>
          <t>air value of the Group’s financial assets and financial liabilities that are measured at fair value on a recurring basis (continued) Fair value hierarchy at 31 December 2025 and 2024 At 31 December 2025 Level 1 Level 2 Level 3 Total HK$’000 HK$’000 HK$’000 HK$’000 (note (i)) Financial assets Financial assets at FVTPL Derivative financial instruments (note (ii)) – 31,128 – 31,128 Listed securities held for trading 211 – – 211 Financial liabilities Financial liabilities at FVTPL Derivative financial instruments (note (ii)) – 32,6</t>
        </is>
      </c>
    </row>
    <row r="9">
      <c r="A9" s="8" t="inlineStr">
        <is>
          <t>Fair Value Measurement</t>
        </is>
      </c>
      <c r="B9" s="8" t="inlineStr">
        <is>
          <t>公允價值計量</t>
        </is>
      </c>
      <c r="C9" s="19" t="inlineStr">
        <is>
          <t>high</t>
        </is>
      </c>
      <c r="D9" s="11" t="inlineStr">
        <is>
          <t>fair value hierarchy</t>
        </is>
      </c>
      <c r="E9" s="11" t="inlineStr">
        <is>
          <t>PDF p.197 (印刷頁 196)</t>
        </is>
      </c>
      <c r="F9" s="11" t="inlineStr">
        <is>
          <t>air value of the Group’s financial assets and financial liabilities that are measured at fair value on a recurring basis (continued) Fair value hierarchy at 31 December 2025 and 2024 (continued) notes: (i) Quoted bid prices in active markets. (ii) Difference between the contracted strike prices and prevailing futures and swap prices or published indexes at the end of each reporting period. Such prevailing futures and swap prices or published indexes are derived from the relevant futures exchanges or prices publication as specif</t>
        </is>
      </c>
    </row>
    <row r="10">
      <c r="A10" s="8" t="inlineStr">
        <is>
          <t>Impairment Testing</t>
        </is>
      </c>
      <c r="B10" s="8" t="inlineStr">
        <is>
          <t>減值測試</t>
        </is>
      </c>
      <c r="C10" s="19" t="inlineStr">
        <is>
          <t>high</t>
        </is>
      </c>
      <c r="D10" s="11" t="inlineStr">
        <is>
          <t>impairment loss</t>
        </is>
      </c>
      <c r="E10" s="11" t="inlineStr">
        <is>
          <t>PDF p.107 (印刷頁 106)</t>
        </is>
      </c>
      <c r="F10" s="11" t="inlineStr">
        <is>
          <t>fset against deposits received from the Customer included in other payables amounting to approximately HK$628,116,000. An additional impairment loss of approximately HK$22,508,000 was recognised for the nettedoff amount and charged to profit or loss for the Year. As at 31 December 2025, other receivables of approximately HK$36,262,000 in total was written off and charged to profit or loss and the corresponding accumulated impairment losses was reversed. The Management considers the above treatment to be the most prudent under</t>
        </is>
      </c>
    </row>
    <row r="11">
      <c r="A11" s="8" t="inlineStr">
        <is>
          <t>Impairment Testing</t>
        </is>
      </c>
      <c r="B11" s="8" t="inlineStr">
        <is>
          <t>減值測試</t>
        </is>
      </c>
      <c r="C11" s="19" t="inlineStr">
        <is>
          <t>high</t>
        </is>
      </c>
      <c r="D11" s="11" t="inlineStr">
        <is>
          <t>impairment loss</t>
        </is>
      </c>
      <c r="E11" s="11" t="inlineStr">
        <is>
          <t>PDF p.118 (印刷頁 117)</t>
        </is>
      </c>
      <c r="F11" s="11" t="inlineStr">
        <is>
          <t>024. As a result of the Crude Oil Trading Transactions, as at 31 December 2024, the Group had other receivables of HK$Nil (net of an impairment loss of HK$13,754,000) and other payables of HK$628,116,000 as disclosed in Notes 20B and 25B respectively in the consolidated financial statements. The impairment loss of HK$13,754,000 was recognised in profit or loss for the year ended 31 December 2024. As mentioned in Note 1.1(B)(IV) and (VI), a refund of HK$650,624,000 to the Customer made in 2025 were offset against deposits receiv</t>
        </is>
      </c>
    </row>
    <row r="12">
      <c r="A12" s="8" t="inlineStr">
        <is>
          <t>Impairment Testing</t>
        </is>
      </c>
      <c r="B12" s="8" t="inlineStr">
        <is>
          <t>減值測試</t>
        </is>
      </c>
      <c r="C12" s="19" t="inlineStr">
        <is>
          <t>high</t>
        </is>
      </c>
      <c r="D12" s="11" t="inlineStr">
        <is>
          <t>recoverable amount</t>
        </is>
      </c>
      <c r="E12" s="11" t="inlineStr">
        <is>
          <t>PDF p.121 (印刷頁 120)</t>
        </is>
      </c>
      <c r="F12" s="11" t="inlineStr">
        <is>
          <t>f impairment, determination of cash generating units Management assessed the oil properties for impairment and the assessment of the recoverable amount; (or impairment reversal) whenever events or changes in circumstances indicated that the carrying amount of the • Evaluating the competence, capability and objectivity assets was larger (or smaller) than the recoverable amount. of the management’s experts, including the external When indicators of impairment (or impairment reversal) were reserve expert; identified, management as</t>
        </is>
      </c>
    </row>
    <row r="13">
      <c r="A13" s="8" t="inlineStr">
        <is>
          <t>Impairment Testing</t>
        </is>
      </c>
      <c r="B13" s="8" t="inlineStr">
        <is>
          <t>減值測試</t>
        </is>
      </c>
      <c r="C13" s="19" t="inlineStr">
        <is>
          <t>high</t>
        </is>
      </c>
      <c r="D13" s="11" t="inlineStr">
        <is>
          <t>impairment loss</t>
        </is>
      </c>
      <c r="E13" s="11" t="inlineStr">
        <is>
          <t>PDF p.122 (印刷頁 121)</t>
        </is>
      </c>
      <c r="F13" s="11" t="inlineStr">
        <is>
          <t>ication of the indicators of As at 31 December 2025, the carrying amounts (before impairment, determination of cash generating units impairment loss provided during the year) of the Group’s and the assessment of the recoverable amount; construction in progress, property, plant and equipment, leasehold land (included in right-of-use assets) and • Evaluating the competence, capability and objectivity pollution discharge rights (included in intangible assets) of the management’s experts; of HK$5,650,000, HK$431,230,000, HK$38,313,</t>
        </is>
      </c>
    </row>
    <row r="14">
      <c r="A14" s="8" t="inlineStr">
        <is>
          <t>Impairment Testing</t>
        </is>
      </c>
      <c r="B14" s="8" t="inlineStr">
        <is>
          <t>減值測試</t>
        </is>
      </c>
      <c r="C14" s="19" t="inlineStr">
        <is>
          <t>high</t>
        </is>
      </c>
      <c r="D14" s="11" t="inlineStr">
        <is>
          <t>impairment loss</t>
        </is>
      </c>
      <c r="E14" s="11" t="inlineStr">
        <is>
          <t>PDF p.126 (印刷頁 125)</t>
        </is>
      </c>
      <c r="F14" s="11" t="inlineStr">
        <is>
          <t>ales (1,635,189) (1,573,928) Gross (loss)/profit (5,423) 24,140 Other income 7 3,779 15,288 Other gains and losses 7 14,579 (11,287) Impairment loss on property, plant and equipment (73,270) (158,376) Impairment loss on right-of-use assets (5,390) (18,724) Impairment loss on intangible assets (72) (89) Impairment loss on interest in an associate – (44,976) Impairment loss under expected credit loss model (27,762) (13,754) Gain/(loss) on financial assets at fair value through profit or loss, net 21 82 (1,457) Gain/(loss) on chan</t>
        </is>
      </c>
    </row>
    <row r="15">
      <c r="A15" s="8" t="inlineStr">
        <is>
          <t>Impairment Testing</t>
        </is>
      </c>
      <c r="B15" s="8" t="inlineStr">
        <is>
          <t>減值測試</t>
        </is>
      </c>
      <c r="C15" s="19" t="inlineStr">
        <is>
          <t>high</t>
        </is>
      </c>
      <c r="D15" s="11" t="inlineStr">
        <is>
          <t>impairment loss</t>
        </is>
      </c>
      <c r="E15" s="11" t="inlineStr">
        <is>
          <t>PDF p.131 (印刷頁 130)</t>
        </is>
      </c>
      <c r="F15" s="11" t="inlineStr">
        <is>
          <t>rovision for write down of inventories 10 5,622 6,018 Written-off of rent receivable 7 – 140 Gain on termination of a lease 7 – (40) Impairment loss on property, plant and equipment 73,270 158,376 Impairment loss on right-of-use assets 5,390 18,724 Impairment loss on intangible assets 72 89 Impairment loss on interest in an associate – 44,976 Impairment loss on other receivables 27,762 13,754 Share of results of associates 17 5,508 (4,517) Operating cash flows before movements in working capital (33,380) (45,606) Changes in wor</t>
        </is>
      </c>
    </row>
    <row r="16">
      <c r="A16" s="8" t="inlineStr">
        <is>
          <t>Impairment Testing</t>
        </is>
      </c>
      <c r="B16" s="8" t="inlineStr">
        <is>
          <t>減值測試</t>
        </is>
      </c>
      <c r="C16" s="19" t="inlineStr">
        <is>
          <t>high</t>
        </is>
      </c>
      <c r="D16" s="11" t="inlineStr">
        <is>
          <t>impairment loss</t>
        </is>
      </c>
      <c r="E16" s="11" t="inlineStr">
        <is>
          <t>PDF p.138 (印刷頁 137)</t>
        </is>
      </c>
      <c r="F16" s="11" t="inlineStr">
        <is>
          <t>ended 31 December 2024. After taking into account that it is unable to substantiate the Transaction is carried out, a corresponding “impairment loss on other receivables” has been made for the year ended 31 December 2024. As at 31 December 2024, receipts of HK$628,116,000 (including HK$624,216,000 from the Customer and HK$3,900,000 from the Supplier, as mentioned in Note 1.1B(II) above) were recognised as “other payables” in Note 25B in the Group’s consolidated financial statements as at year ended 31 December 2024 as the Curre</t>
        </is>
      </c>
    </row>
    <row r="17">
      <c r="A17" s="8" t="inlineStr">
        <is>
          <t>Impairment Testing</t>
        </is>
      </c>
      <c r="B17" s="8" t="inlineStr">
        <is>
          <t>減值測試</t>
        </is>
      </c>
      <c r="C17" s="19" t="inlineStr">
        <is>
          <t>high</t>
        </is>
      </c>
      <c r="D17" s="11" t="inlineStr">
        <is>
          <t>impairment loss</t>
        </is>
      </c>
      <c r="E17" s="11" t="inlineStr">
        <is>
          <t>PDF p.139 (印刷頁 138)</t>
        </is>
      </c>
      <c r="F17" s="11" t="inlineStr">
        <is>
          <t>t deposits received from the Customer included in other payables amounting to HK$628,116,000 as disclosed in Note 25B. An additional impairment loss of HK$22,508,000 was recognised for the netted-off amount and charged to the profit or loss for the year ended 31 December 2025. As at 31 December 2025, other receivables of HK$36,262,000 in total was written off and charged to profit or loss and the corresponding accumulated impairment losses was reversed. 2. ADOPTION OF HKFRS ACCOUNTING STANDARDS (a) Adoption of new or amended HK</t>
        </is>
      </c>
    </row>
    <row r="18">
      <c r="A18" s="8" t="inlineStr">
        <is>
          <t>Impairment Testing</t>
        </is>
      </c>
      <c r="B18" s="8" t="inlineStr">
        <is>
          <t>減值測試</t>
        </is>
      </c>
      <c r="C18" s="19" t="inlineStr">
        <is>
          <t>high</t>
        </is>
      </c>
      <c r="D18" s="11" t="inlineStr">
        <is>
          <t>impairment loss</t>
        </is>
      </c>
      <c r="E18" s="11" t="inlineStr">
        <is>
          <t>PDF p.140 (印刷頁 139)</t>
        </is>
      </c>
      <c r="F18" s="11" t="inlineStr">
        <is>
          <t>y, plant and equipment Property, plant and equipment, including oil properties, are stated at cost less accumulated depreciation and impairment losses, if any. The cost of property, plant and equipment includes its purchase price and the costs directly attributable to the acquisition of the items. The cost of oil properties is amortised at the field level based on the unit of production method. Unit of production rates are based on oil proved and probable developed producing reserves estimated to be recoverable from existing fa</t>
        </is>
      </c>
    </row>
    <row r="19">
      <c r="A19" s="8" t="inlineStr">
        <is>
          <t>Impairment Testing</t>
        </is>
      </c>
      <c r="B19" s="8" t="inlineStr">
        <is>
          <t>減值測試</t>
        </is>
      </c>
      <c r="C19" s="19" t="inlineStr">
        <is>
          <t>high</t>
        </is>
      </c>
      <c r="D19" s="11" t="inlineStr">
        <is>
          <t>impairment loss</t>
        </is>
      </c>
      <c r="E19" s="11" t="inlineStr">
        <is>
          <t>PDF p.141 (印刷頁 140)</t>
        </is>
      </c>
      <c r="F19" s="11" t="inlineStr">
        <is>
          <t>ACCOUNTING POLICIES (CONTINUED) (b) Investment properties Investment properties are stated at cost less accumulated depreciation and impairment losses, if any. Depreciation is calculated to write-off the cost of investment properties, less their residual values, if any, using straight-line method over their estimated useful lives of 20 years. The useful lives, residual value and depreciation method are reviewed, and adjusted if appropriate, at the end of each reporting period. (c) Leases The Group as a lessee All leases are req</t>
        </is>
      </c>
    </row>
    <row r="20">
      <c r="A20" s="8" t="inlineStr">
        <is>
          <t>Impairment Testing</t>
        </is>
      </c>
      <c r="B20" s="8" t="inlineStr">
        <is>
          <t>減值測試</t>
        </is>
      </c>
      <c r="C20" s="19" t="inlineStr">
        <is>
          <t>high</t>
        </is>
      </c>
      <c r="D20" s="11" t="inlineStr">
        <is>
          <t>impairment loss</t>
        </is>
      </c>
      <c r="E20" s="11" t="inlineStr">
        <is>
          <t>PDF p.142 (印刷頁 141)</t>
        </is>
      </c>
      <c r="F20" s="11" t="inlineStr">
        <is>
          <t>ATERIAL ACCOUNTING POLICIES (CONTINUED) (d) Intangible assets Intangible assets are stated at cost less accumulated amortisation and impairment losses, if any. Amortisation is calculated to write-off the cost of intangible assets, less their residual values, if any, using straight-line method over their estimated useful lives. The pollution discharge rights have an useful life of five years. The useful lives, residual value and amortisation method are reviewed, and adjusted if appropriate, at the end of each reporting period. (</t>
        </is>
      </c>
    </row>
    <row r="21">
      <c r="A21" s="8" t="inlineStr">
        <is>
          <t>Impairment Testing</t>
        </is>
      </c>
      <c r="B21" s="8" t="inlineStr">
        <is>
          <t>減值測試</t>
        </is>
      </c>
      <c r="C21" s="19" t="inlineStr">
        <is>
          <t>high</t>
        </is>
      </c>
      <c r="D21" s="11" t="inlineStr">
        <is>
          <t>impairment loss</t>
        </is>
      </c>
      <c r="E21" s="11" t="inlineStr">
        <is>
          <t>PDF p.143 (印刷頁 142)</t>
        </is>
      </c>
      <c r="F21" s="11" t="inlineStr">
        <is>
          <t>tatements For the year ended 31 December 2025 3. MATERIAL ACCOUNTING POLICIES (CONTINUED) (e) Financial instruments (continued) (ii) Impairment loss on financial assets The Group recognises loss allowances for expected credit losses (“ECLs”) on trade receivables and financial assets measured at amortised cost. ECLs are measured on either of the following bases: • 12-month ECLs: these are ECLs that result from possible default events within the twelve months after the reporting date; and • Lifetime ECLs: these are ECLs that resu</t>
        </is>
      </c>
    </row>
    <row r="22">
      <c r="A22" s="8" t="inlineStr">
        <is>
          <t>Impairment Testing</t>
        </is>
      </c>
      <c r="B22" s="8" t="inlineStr">
        <is>
          <t>減值測試</t>
        </is>
      </c>
      <c r="C22" s="19" t="inlineStr">
        <is>
          <t>high</t>
        </is>
      </c>
      <c r="D22" s="11" t="inlineStr">
        <is>
          <t>impairment loss</t>
        </is>
      </c>
      <c r="E22" s="11" t="inlineStr">
        <is>
          <t>PDF p.144 (印刷頁 143)</t>
        </is>
      </c>
      <c r="F22" s="11" t="inlineStr">
        <is>
          <t>tatements For the year ended 31 December 2025 3. MATERIAL ACCOUNTING POLICIES (CONTINUED) (e) Financial instruments (continued) (ii) Impairment loss on financial assets (continued) Depending on the nature of the financial instruments, the assessment of a significant increase in credit risk is performed on either an individual or a collective basis. When the assessment is performed on a collective basis, the financial instruments are grouped based on shared credit risk characteristics, such as past due status and credit risk rat</t>
        </is>
      </c>
    </row>
    <row r="23">
      <c r="A23" s="8" t="inlineStr">
        <is>
          <t>Impairment Testing</t>
        </is>
      </c>
      <c r="B23" s="8" t="inlineStr">
        <is>
          <t>減值測試</t>
        </is>
      </c>
      <c r="C23" s="19" t="inlineStr">
        <is>
          <t>high</t>
        </is>
      </c>
      <c r="D23" s="11" t="inlineStr">
        <is>
          <t>impairment loss</t>
        </is>
      </c>
      <c r="E23" s="11" t="inlineStr">
        <is>
          <t>PDF p.147 (印刷頁 146)</t>
        </is>
      </c>
      <c r="F23" s="11" t="inlineStr">
        <is>
          <t>reviews the carrying amounts of the following assets to determine whether there is any indication that those assets have suffered an impairment loss or an impairment loss previously recognised no longer exists or may have decreased: • property, plant and equipment; • investment properties under cost model; • interests in associates; • intangible assets; • right-of-use assets; and • other assets. If the recoverable amount (i.e. the greater of the fair value less costs of disposal and value in use) of an asset is estimated to be</t>
        </is>
      </c>
    </row>
    <row r="24">
      <c r="A24" s="8" t="inlineStr">
        <is>
          <t>Impairment Testing</t>
        </is>
      </c>
      <c r="B24" s="8" t="inlineStr">
        <is>
          <t>減值測試</t>
        </is>
      </c>
      <c r="C24" s="19" t="inlineStr">
        <is>
          <t>high</t>
        </is>
      </c>
      <c r="D24" s="11" t="inlineStr">
        <is>
          <t>impairment loss</t>
        </is>
      </c>
      <c r="E24" s="11" t="inlineStr">
        <is>
          <t>PDF p.149 (印刷頁 148)</t>
        </is>
      </c>
      <c r="F24" s="11" t="inlineStr">
        <is>
          <t>S AND KEY SOURCES OF ESTIMATION UNCERTAINTY (CONTINUED) (b) Key sources of estimation uncertainty ECLs impairment The measurement of impairment losses under HKFRS 9 across all categories of financial assets requires judgement. In particular, the estimation of the amount and timing of future cash flows and collateral values when determining impairment losses and the assessment of a significant increase in credit risk in overdue trade receivables and long outstanding other receivables. These estimates are driven by a number of fa</t>
        </is>
      </c>
    </row>
    <row r="25">
      <c r="A25" s="8" t="inlineStr">
        <is>
          <t>Impairment Testing</t>
        </is>
      </c>
      <c r="B25" s="8" t="inlineStr">
        <is>
          <t>減值測試</t>
        </is>
      </c>
      <c r="C25" s="19" t="inlineStr">
        <is>
          <t>high</t>
        </is>
      </c>
      <c r="D25" s="11" t="inlineStr">
        <is>
          <t>recoverable amount</t>
        </is>
      </c>
      <c r="E25" s="11" t="inlineStr">
        <is>
          <t>PDF p.150 (印刷頁 149)</t>
        </is>
      </c>
      <c r="F25" s="11" t="inlineStr">
        <is>
          <t>developed producing reserves are used to estimate future production volumes in the cash flow model for the purpose of assessing the recoverable amounts. A significant reduction in the estimated reserves would be considered as a possible impairment indicator, which may further require an impairment assessment. Depreciation of property, plant and equipment In addition to the depreciation of oil properties using the unit of production method based on the estimated reserves as disclosed in Note 3(a), the management of the Group de</t>
        </is>
      </c>
    </row>
    <row r="26">
      <c r="A26" s="8" t="inlineStr">
        <is>
          <t>Impairment Testing</t>
        </is>
      </c>
      <c r="B26" s="8" t="inlineStr">
        <is>
          <t>減值測試</t>
        </is>
      </c>
      <c r="C26" s="19" t="inlineStr">
        <is>
          <t>high</t>
        </is>
      </c>
      <c r="D26" s="11" t="inlineStr">
        <is>
          <t>impairment loss</t>
        </is>
      </c>
      <c r="E26" s="11" t="inlineStr">
        <is>
          <t>PDF p.156 (印刷頁 155)</t>
        </is>
      </c>
      <c r="F26" s="11" t="inlineStr">
        <is>
          <t>121,028 193,126 (1,606) 1,629,766 Segment results (4,172) (1,656) 18,563 (142,150) (129,415) Share of results of associates (5,508) Impairment loss on property, plant and equipment (11,827) Impairment loss under expected credit loss model (27,762) Gain on financial assets at FVTPL, net 82 Unallocated finance costs (1,534) Unallocated income and gains 16,639 Unallocated expenses and losses (note (iii)) (84,291) Loss before taxation (243,616) ST R O N G P E T R O C H E M I C A L H O L D I N G S L I M I T E D 2 0 2 5 A N N UA</t>
        </is>
      </c>
    </row>
    <row r="27">
      <c r="A27" s="8" t="inlineStr">
        <is>
          <t>Impairment Testing</t>
        </is>
      </c>
      <c r="B27" s="8" t="inlineStr">
        <is>
          <t>減值測試</t>
        </is>
      </c>
      <c r="C27" s="19" t="inlineStr">
        <is>
          <t>high</t>
        </is>
      </c>
      <c r="D27" s="11" t="inlineStr">
        <is>
          <t>impairment loss</t>
        </is>
      </c>
      <c r="E27" s="11" t="inlineStr">
        <is>
          <t>PDF p.157 (印刷頁 156)</t>
        </is>
      </c>
      <c r="F27" s="11" t="inlineStr">
        <is>
          <t>ue 1,581,597 13,907 69,338 (66,774) 1,598,068 Segment results (48,866) (63,507) 9,741 (102,632) Share of results of associates 4,517 Impairment loss on property, plant and equipment (113,806) Impairment loss on right-of-use assets (5,392) Impairment loss on intangible assets (89) Impairment loss on interest in an associate (44,976) Impairment loss under expected credit loss model (13,754) Loss on financial assets at FVTPL, net (1,457) Unallocated finance costs (1,272) Unallocated income and gains 9,729 Unallocated expenses and</t>
        </is>
      </c>
    </row>
    <row r="28">
      <c r="A28" s="8" t="inlineStr">
        <is>
          <t>Impairment Testing</t>
        </is>
      </c>
      <c r="B28" s="8" t="inlineStr">
        <is>
          <t>減值測試</t>
        </is>
      </c>
      <c r="C28" s="19" t="inlineStr">
        <is>
          <t>high</t>
        </is>
      </c>
      <c r="D28" s="11" t="inlineStr">
        <is>
          <t>impairment loss</t>
        </is>
      </c>
      <c r="E28" s="11" t="inlineStr">
        <is>
          <t>PDF p.158 (印刷頁 157)</t>
        </is>
      </c>
      <c r="F28" s="11" t="inlineStr">
        <is>
          <t>fair value of derivative financial instruments, net 12,786 – – – – 12,786 Finance costs (144) (21) (1,006) (8,704) (1,534) (11,409) Impairment loss on property, plant and equipment – – – (61,443) (11,827) (73,270) Impairment loss on right-of-use assets – – – (5,390) – (5,390) Impairment loss on intangible assets – – – (72) – (72) For the year ended 31 December 2024 Exploration, exploitation and operation of Trading Storage crude oil business business business Unallocated Total HK$’000 HK$’000 HK$’000 HK$’000 HK$’000 Interest i</t>
        </is>
      </c>
    </row>
    <row r="29">
      <c r="A29" s="8" t="inlineStr">
        <is>
          <t>Impairment Testing</t>
        </is>
      </c>
      <c r="B29" s="8" t="inlineStr">
        <is>
          <t>減值測試</t>
        </is>
      </c>
      <c r="C29" s="19" t="inlineStr">
        <is>
          <t>high</t>
        </is>
      </c>
      <c r="D29" s="11" t="inlineStr">
        <is>
          <t>impairment loss</t>
        </is>
      </c>
      <c r="E29" s="11" t="inlineStr">
        <is>
          <t>PDF p.168 (印刷頁 167)</t>
        </is>
      </c>
      <c r="F29" s="11" t="inlineStr">
        <is>
          <t>December 2025 65,306 56,589 49,053 672 47,710 744 2,310 3,717 – 226,101 ACCUMULATED IMPAIRMENT At 1 January 2024 – – – – – – – – – – Impairment loss recognised – 49,344 35,855 – 11,617 – – – 61,560 158,376 Transfer from investment properties (Note 15) – 24,910 – – – – – – – 24,910 At 31 December 2024 and 1 January 2025 – 74,254 35,855 – 11,617 – – – 61,560 183,286 Impairment loss recognised – 32,867 – – 39,608 – – – 795 73,270 Eliminated on disposal – – – – (1) – – – – (1) Transfer – 21,204 2,347 – 39,544 – – – (63,095) – Excha</t>
        </is>
      </c>
    </row>
    <row r="30">
      <c r="A30" s="8" t="inlineStr">
        <is>
          <t>Impairment Testing</t>
        </is>
      </c>
      <c r="B30" s="8" t="inlineStr">
        <is>
          <t>減值測試</t>
        </is>
      </c>
      <c r="C30" s="19" t="inlineStr">
        <is>
          <t>high</t>
        </is>
      </c>
      <c r="D30" s="11" t="inlineStr">
        <is>
          <t>impairment loss</t>
        </is>
      </c>
      <c r="E30" s="11" t="inlineStr">
        <is>
          <t>PDF p.169 (印刷頁 168)</t>
        </is>
      </c>
      <c r="F30" s="11" t="inlineStr">
        <is>
          <t>rying amount of its property, plant and equipment to determine whether there is any indication of that these assets have suffered an impairment loss. Where an indicator of impairment exists, a formal estimate of the recoverable amount is made at the reporting period. During the year ended 31 December 2024, there were transfers of investment properties to property, plant and equipment because the Group had changed the actual use of the commercial property and car park spaces. As at 31 December 2024, the properties had become own</t>
        </is>
      </c>
    </row>
    <row r="31">
      <c r="A31" s="8" t="inlineStr">
        <is>
          <t>Impairment Testing</t>
        </is>
      </c>
      <c r="B31" s="8" t="inlineStr">
        <is>
          <t>減值測試</t>
        </is>
      </c>
      <c r="C31" s="19" t="inlineStr">
        <is>
          <t>high</t>
        </is>
      </c>
      <c r="D31" s="11" t="inlineStr">
        <is>
          <t>impairment loss</t>
        </is>
      </c>
      <c r="E31" s="11" t="inlineStr">
        <is>
          <t>PDF p.170 (印刷頁 169)</t>
        </is>
      </c>
      <c r="F31" s="11" t="inlineStr">
        <is>
          <t>roperties is approximately HK$84,915,000 (2024: approximately HK$107,789,000). Based on the assessment, the Group does not recognise impairment loss on oil properties for the year ended 31 December 2025 (2024: Nil). ST R O N G P E T R O C H E M I C A L H O L D I N G S L I M I T E D 2 0 2 5 A N N UA L R E P O R T 169</t>
        </is>
      </c>
    </row>
    <row r="32">
      <c r="A32" s="8" t="inlineStr">
        <is>
          <t>Impairment Testing</t>
        </is>
      </c>
      <c r="B32" s="8" t="inlineStr">
        <is>
          <t>減值測試</t>
        </is>
      </c>
      <c r="C32" s="19" t="inlineStr">
        <is>
          <t>high</t>
        </is>
      </c>
      <c r="D32" s="11" t="inlineStr">
        <is>
          <t>impairment loss</t>
        </is>
      </c>
      <c r="E32" s="11" t="inlineStr">
        <is>
          <t>PDF p.171 (印刷頁 170)</t>
        </is>
      </c>
      <c r="F32" s="11" t="inlineStr">
        <is>
          <t>lated Assets is approximately HK$2,940,000 (2024: approximately HK$2,385,000). Based on the assessment, the Group does not recognise impairment loss on the Storage Business Related Assets for the year ended 31 December 2025 (2024: impairment loss of approximately HK$57,902,000). Impairment assessment of solar energy system For the year ended 31 December 2025, in view of the unsatisfactory results of its solar energy business, the management of the Group carried out an impairment assessment on the carrying amount of its solar en</t>
        </is>
      </c>
    </row>
    <row r="33">
      <c r="A33" s="8" t="inlineStr">
        <is>
          <t>Impairment Testing</t>
        </is>
      </c>
      <c r="B33" s="8" t="inlineStr">
        <is>
          <t>減值測試</t>
        </is>
      </c>
      <c r="C33" s="19" t="inlineStr">
        <is>
          <t>high</t>
        </is>
      </c>
      <c r="D33" s="11" t="inlineStr">
        <is>
          <t>impairment loss</t>
        </is>
      </c>
      <c r="E33" s="11" t="inlineStr">
        <is>
          <t>PDF p.172 (印刷頁 171)</t>
        </is>
      </c>
      <c r="F33" s="11" t="inlineStr">
        <is>
          <t>25 14. PROPERTY, PLANT AND EQUIPMENT (CONTINUED) Impairment assessment of commercial property and car park spaces The Group assessed impairment loss for the commercial property and car park spaces by considering its recoverable amount, having regard to the change in market conditions in Hong Kong. The recoverable amount of the property and car park spaces is estimated based on the fair value less costs of disposal of the commercial property and car park spaces, which is estimated reference to comparable sales transactions as av</t>
        </is>
      </c>
    </row>
    <row r="34">
      <c r="A34" s="8" t="inlineStr">
        <is>
          <t>Impairment Testing</t>
        </is>
      </c>
      <c r="B34" s="8" t="inlineStr">
        <is>
          <t>減值測試</t>
        </is>
      </c>
      <c r="C34" s="19" t="inlineStr">
        <is>
          <t>high</t>
        </is>
      </c>
      <c r="D34" s="11" t="inlineStr">
        <is>
          <t>impairment loss</t>
        </is>
      </c>
      <c r="E34" s="11" t="inlineStr">
        <is>
          <t>PDF p.173 (印刷頁 172)</t>
        </is>
      </c>
      <c r="F34" s="11" t="inlineStr">
        <is>
          <t>Cost of interests in associates, unlisted 129,751 129,751 Share of post-acquisition results, net of dividend (53,961) (48,453) Less: Impairment loss recognised (49,385) (49,385) Exchange realignment 2,195 1,386 28,600 33,299 As at 31 December 2025 and 2024, the Group has interests in the following associates: Place of establishment and principal Equity interest Form of place of attributable to Name of the entity business structure business Paid up registered capital the Group Principal activity 2025 2024 2025 2024 % % 中化天津港石化倉儲</t>
        </is>
      </c>
    </row>
    <row r="35">
      <c r="A35" s="8" t="inlineStr">
        <is>
          <t>Impairment Testing</t>
        </is>
      </c>
      <c r="B35" s="8" t="inlineStr">
        <is>
          <t>減值測試</t>
        </is>
      </c>
      <c r="C35" s="19" t="inlineStr">
        <is>
          <t>high</t>
        </is>
      </c>
      <c r="D35" s="11" t="inlineStr">
        <is>
          <t>impairment loss</t>
        </is>
      </c>
      <c r="E35" s="11" t="inlineStr">
        <is>
          <t>PDF p.174 (印刷頁 173)</t>
        </is>
      </c>
      <c r="F35" s="11" t="inlineStr">
        <is>
          <t>ochem Port is approximately HK$30,280,000 (2024: approximately HK$33,299,000). Based on the assessment, the Group does not recognise impairment loss on the interest in an associate for the year ended 31 December 2025 (2024: impairment loss of approximately HK$44,976,000). Summarised financial information of the material associate Summarised financial information in respect of the Group’s material associate is set out below. The summarised financial information below represents amounts shown in the associate’s financial statemen</t>
        </is>
      </c>
    </row>
    <row r="36">
      <c r="A36" s="8" t="inlineStr">
        <is>
          <t>Impairment Testing</t>
        </is>
      </c>
      <c r="B36" s="8" t="inlineStr">
        <is>
          <t>減值測試</t>
        </is>
      </c>
      <c r="C36" s="19" t="inlineStr">
        <is>
          <t>high</t>
        </is>
      </c>
      <c r="D36" s="11" t="inlineStr">
        <is>
          <t>impairment loss</t>
        </is>
      </c>
      <c r="E36" s="11" t="inlineStr">
        <is>
          <t>PDF p.175 (印刷頁 174)</t>
        </is>
      </c>
      <c r="F36" s="11" t="inlineStr">
        <is>
          <t>tion of the Group’s ownership interest in Sinochem Port 15% 15% The Group’s share of net assets in Sinochem Port 74,813 78,275 Less: Impairment loss recognised (44,976) (44,976) Exchange realignment (1,237) – Carrying amount of the Group’s interest in Sinochem Port 28,600 33,299 The Group’s share of results of Sinochem Port for the year (5,508) 4,517 Aggregate information of associate that is not individually material 2025 2024 HK$’000 HK$’000 The Group’s share of results of this associate for the year – – 2025 2024 HK$’000 HK$</t>
        </is>
      </c>
    </row>
    <row r="37">
      <c r="A37" s="8" t="inlineStr">
        <is>
          <t>Impairment Testing</t>
        </is>
      </c>
      <c r="B37" s="8" t="inlineStr">
        <is>
          <t>減值測試</t>
        </is>
      </c>
      <c r="C37" s="19" t="inlineStr">
        <is>
          <t>high</t>
        </is>
      </c>
      <c r="D37" s="11" t="inlineStr">
        <is>
          <t>impairment loss</t>
        </is>
      </c>
      <c r="E37" s="11" t="inlineStr">
        <is>
          <t>PDF p.177 (印刷頁 176)</t>
        </is>
      </c>
      <c r="F37" s="11" t="inlineStr">
        <is>
          <t>ables 2,492 27,121 Other receivables (note) 1,531 15,396 Other deposits 1,129 785 Other prepayments 4,381 2,058 151,057 53,678 Less: Impairment loss under expected credit loss model (note) – (13,754) 151,057 39,924 Classified as: Non-current assets 1,272 1,236 Current assets 149,785 38,688 151,057 39,924 note: Other receivables mainly comprised of the deposit used as collateral for other borrowing (Note 29) (2024: a) certain payments in relation to transactions entered into by Strong HK with certain third parties. For details o</t>
        </is>
      </c>
    </row>
    <row r="38">
      <c r="A38" s="8" t="inlineStr">
        <is>
          <t>Impairment Testing</t>
        </is>
      </c>
      <c r="B38" s="8" t="inlineStr">
        <is>
          <t>減值測試</t>
        </is>
      </c>
      <c r="C38" s="19" t="inlineStr">
        <is>
          <t>high</t>
        </is>
      </c>
      <c r="D38" s="11" t="inlineStr">
        <is>
          <t>impairment loss</t>
        </is>
      </c>
      <c r="E38" s="11" t="inlineStr">
        <is>
          <t>PDF p.181 (印刷頁 180)</t>
        </is>
      </c>
      <c r="F38" s="11" t="inlineStr">
        <is>
          <t>Additions and lease modifications – 5,525 5,525 Termination of lease – (2,957) (2,957) Depreciation provided (1,388) (2,159) (3,547) Impairment loss recognised (18,724) – (18,724) Exchange realignment (1,266) – (1,266) At 31 December 2024 and 1 January 2025 38,750 2,009 40,759 Depreciation provided (859) (898) (1,757) Impairment loss recognised (5,390) – (5,390) Exchange realignment 968 – 968 At 31 December 2025 33,469 1,111 34,580 2025 2024 HK$’000 HK$’000 Expenses relating to short term leases 2,147 2,033 Total cash outflow f</t>
        </is>
      </c>
    </row>
    <row r="39">
      <c r="A39" s="8" t="inlineStr">
        <is>
          <t>Impairment Testing</t>
        </is>
      </c>
      <c r="B39" s="8" t="inlineStr">
        <is>
          <t>減值測試</t>
        </is>
      </c>
      <c r="C39" s="19" t="inlineStr">
        <is>
          <t>high</t>
        </is>
      </c>
      <c r="D39" s="11" t="inlineStr">
        <is>
          <t>impairment loss</t>
        </is>
      </c>
      <c r="E39" s="11" t="inlineStr">
        <is>
          <t>PDF p.203 (印刷頁 202)</t>
        </is>
      </c>
      <c r="F39" s="11" t="inlineStr">
        <is>
          <t>ment of the Group reviews the recoverable amount of each individual debt at the end of each reporting period to ensure that adequate impairment losses are made for irrecoverable amounts. To measure ECLs of trade receivables at amortised cost, the Group applies internal credit rating for its customers and they are assessed individually by reference to past default experience, current past due exposure of the debtors and an analysis of the debtors’ current financial position. The Group has concentration of credit risk on the trad</t>
        </is>
      </c>
    </row>
    <row r="40">
      <c r="A40" s="8" t="inlineStr">
        <is>
          <t>Intangible Assets &amp; Goodwill</t>
        </is>
      </c>
      <c r="B40" s="8" t="inlineStr">
        <is>
          <t>無形資產及商譽</t>
        </is>
      </c>
      <c r="C40" s="19" t="inlineStr">
        <is>
          <t>high</t>
        </is>
      </c>
      <c r="D40" s="11" t="inlineStr">
        <is>
          <t>development cost</t>
        </is>
      </c>
      <c r="E40" s="11" t="inlineStr">
        <is>
          <t>PDF p.7 (印刷頁 6)</t>
        </is>
      </c>
      <c r="F40" s="11" t="inlineStr">
        <is>
          <t>oduction is shared between Pan-China and CNPC, with revenue and operating costs allocated to Pan-China at 49% after full recovery of development costs. Throughout the Year, Pan-China focused on maintaining stable operations and improving production efficiency to support long-term value creation. With a disciplined approach to field development and production planning, operations remained efficient despite fluctuations in global energy markets. The petroleum contract, originally signed in 1997 for a maximum term of 30 years, rem</t>
        </is>
      </c>
    </row>
    <row r="41">
      <c r="A41" s="8" t="inlineStr">
        <is>
          <t>Intangible Assets &amp; Goodwill</t>
        </is>
      </c>
      <c r="B41" s="8" t="inlineStr">
        <is>
          <t>無形資產及商譽</t>
        </is>
      </c>
      <c r="C41" s="19" t="inlineStr">
        <is>
          <t>high</t>
        </is>
      </c>
      <c r="D41" s="11" t="inlineStr">
        <is>
          <t>customer relationship</t>
        </is>
      </c>
      <c r="E41" s="11" t="inlineStr">
        <is>
          <t>PDF p.10 (印刷頁 9)</t>
        </is>
      </c>
      <c r="F41" s="11" t="inlineStr">
        <is>
          <t>cusing on back-to-back arrangements and low inventory levels to minimise exposure to price swings. At the same time, we strengthened customer relationships and pursued selective new opportunities. Crude oil trading activities during the Year were limited to a single transaction in the first half. Trading volumes of petroleum products and petrochemicals decreased compared to the prior year, reflecting softer market conditions of petroleum products and petrochemicals in the PRC. Storage and Other Ancillary Services for Petroleum</t>
        </is>
      </c>
    </row>
    <row r="42">
      <c r="A42" s="8" t="inlineStr">
        <is>
          <t>Intangible Assets &amp; Goodwill</t>
        </is>
      </c>
      <c r="B42" s="8" t="inlineStr">
        <is>
          <t>無形資產及商譽</t>
        </is>
      </c>
      <c r="C42" s="19" t="inlineStr">
        <is>
          <t>high</t>
        </is>
      </c>
      <c r="D42" s="11" t="inlineStr">
        <is>
          <t>trademark</t>
        </is>
      </c>
      <c r="E42" s="11" t="inlineStr">
        <is>
          <t>PDF p.53 (印刷頁 52)</t>
        </is>
      </c>
      <c r="F42" s="11" t="inlineStr">
        <is>
          <t>out in the Staff Handbook: • In safeguarding our intellectual property rights, the Group will take proactive measures by registering trademarks and domain names across multiple jurisdictions. • The Group will conduct regular monitoring of potential infringement of intellectual property rights. • In the event of intellectual property rights infringement by our employees, the Group will escalate the matter to the appropriate authorities for further action. As of 31 December 2025, the Group holds registered proprietorship of: Hong</t>
        </is>
      </c>
    </row>
    <row r="43">
      <c r="A43" s="8" t="inlineStr">
        <is>
          <t>Intangible Assets &amp; Goodwill</t>
        </is>
      </c>
      <c r="B43" s="8" t="inlineStr">
        <is>
          <t>無形資產及商譽</t>
        </is>
      </c>
      <c r="C43" s="19" t="inlineStr">
        <is>
          <t>high</t>
        </is>
      </c>
      <c r="D43" s="11" t="inlineStr">
        <is>
          <t>intangible asset</t>
        </is>
      </c>
      <c r="E43" s="11" t="inlineStr">
        <is>
          <t>PDF p.122 (印刷頁 121)</t>
        </is>
      </c>
      <c r="F43" s="11" t="inlineStr">
        <is>
          <t>included in right-of-use assets) and • Evaluating the competence, capability and objectivity pollution discharge rights (included in intangible assets) of the management’s experts; of HK$5,650,000, HK$431,230,000, HK$38,313,000 and HK$508,000 respectively (collectively, the "Manufacturing • Reviewing the valuation reports prepared by the Plant Related Assets"). management’s experts and understanding the valuation basis, methodology used and underlying As the petrochemicals manufacture business delivered assumptions applied; uns</t>
        </is>
      </c>
    </row>
    <row r="44">
      <c r="A44" s="8" t="inlineStr">
        <is>
          <t>Intangible Assets &amp; Goodwill</t>
        </is>
      </c>
      <c r="B44" s="8" t="inlineStr">
        <is>
          <t>無形資產及商譽</t>
        </is>
      </c>
      <c r="C44" s="19" t="inlineStr">
        <is>
          <t>high</t>
        </is>
      </c>
      <c r="D44" s="11" t="inlineStr">
        <is>
          <t>intangible asset</t>
        </is>
      </c>
      <c r="E44" s="11" t="inlineStr">
        <is>
          <t>PDF p.126 (印刷頁 125)</t>
        </is>
      </c>
      <c r="F44" s="11" t="inlineStr">
        <is>
          <t>loss on property, plant and equipment (73,270) (158,376) Impairment loss on right-of-use assets (5,390) (18,724) Impairment loss on intangible assets (72) (89) Impairment loss on interest in an associate – (44,976) Impairment loss under expected credit loss model (27,762) (13,754) Gain/(loss) on financial assets at fair value through profit or loss, net 21 82 (1,457) Gain/(loss) on changes in fair value of derivative financial instruments, net 12,786 (1,005) Distribution, selling and operating expenses (6,180) – Administrative</t>
        </is>
      </c>
    </row>
    <row r="45">
      <c r="A45" s="8" t="inlineStr">
        <is>
          <t>Intangible Assets &amp; Goodwill</t>
        </is>
      </c>
      <c r="B45" s="8" t="inlineStr">
        <is>
          <t>無形資產及商譽</t>
        </is>
      </c>
      <c r="C45" s="19" t="inlineStr">
        <is>
          <t>high</t>
        </is>
      </c>
      <c r="D45" s="11" t="inlineStr">
        <is>
          <t>intangible asset</t>
        </is>
      </c>
      <c r="E45" s="11" t="inlineStr">
        <is>
          <t>PDF p.128 (印刷頁 127)</t>
        </is>
      </c>
      <c r="F45" s="11" t="inlineStr">
        <is>
          <t>equipment 14 545,717 651,332 Right-of-use assets 27 34,580 40,759 Other asset 16 – 667 Other receivables and deposits 20 1,272 1,236 Intangible assets 18 436 630 Interests in associates 17 28,600 33,299 Deferred tax assets 30 37,428 38,242 648,033 766,165 Current assets Inventories 19 58,064 108,520 Trade receivables 20 11,585 14,094 Other receivables, deposits and prepayments 20 149,785 38,688 Income tax recoverables 318 1,102 Derivative financial instruments 28 31,128 3,892 Financial assets at fair value through profit or los</t>
        </is>
      </c>
    </row>
    <row r="46">
      <c r="A46" s="8" t="inlineStr">
        <is>
          <t>Intangible Assets &amp; Goodwill</t>
        </is>
      </c>
      <c r="B46" s="8" t="inlineStr">
        <is>
          <t>無形資產及商譽</t>
        </is>
      </c>
      <c r="C46" s="19" t="inlineStr">
        <is>
          <t>high</t>
        </is>
      </c>
      <c r="D46" s="11" t="inlineStr">
        <is>
          <t>intangible asset</t>
        </is>
      </c>
      <c r="E46" s="11" t="inlineStr">
        <is>
          <t>PDF p.131 (印刷頁 130)</t>
        </is>
      </c>
      <c r="F46" s="11" t="inlineStr">
        <is>
          <t>10 80,148 37,275 Depreciation of investment properties 10 – 4,949 Depreciation of right-of-use assets 10 1,757 3,547 Amortisation of intangible assets 10 137 52 Loss on disposal of other assets 667 – Losses on disposal of property, plant and equipment 7 44 954 (Gain)/loss on financial assets at fair value through profit or loss, net (82) 1,457 Provision for write down of inventories 10 5,622 6,018 Written-off of rent receivable 7 – 140 Gain on termination of a lease 7 – (40) Impairment loss on property, plant and equipment 73,2</t>
        </is>
      </c>
    </row>
    <row r="47">
      <c r="A47" s="8" t="inlineStr">
        <is>
          <t>Intangible Assets &amp; Goodwill</t>
        </is>
      </c>
      <c r="B47" s="8" t="inlineStr">
        <is>
          <t>無形資產及商譽</t>
        </is>
      </c>
      <c r="C47" s="19" t="inlineStr">
        <is>
          <t>high</t>
        </is>
      </c>
      <c r="D47" s="11" t="inlineStr">
        <is>
          <t>intangible asset</t>
        </is>
      </c>
      <c r="E47" s="11" t="inlineStr">
        <is>
          <t>PDF p.132 (印刷頁 131)</t>
        </is>
      </c>
      <c r="F47" s="11" t="inlineStr">
        <is>
          <t>ugh profit or loss – 49,009 Payments for acquisition of property, plant and equipment (46,959) (187,450) Payments for acquisition of intangible assets – (791) Withdrawal of pledged bank deposits – 25 Addition of restricted bank deposits (9,749) (4,499) Refund from non-controlling shareholder of a subsidiary 4 – Dividend received from financial assets at fair value through profit or loss 117 – Interest received 1,468 7,695 Net cash outflow from acquisition of subsidiaries 32 – (46,418) NET CASH GENERATED FROM/(USED IN) INVESTING</t>
        </is>
      </c>
    </row>
    <row r="48">
      <c r="A48" s="8" t="inlineStr">
        <is>
          <t>Intangible Assets &amp; Goodwill</t>
        </is>
      </c>
      <c r="B48" s="8" t="inlineStr">
        <is>
          <t>無形資產及商譽</t>
        </is>
      </c>
      <c r="C48" s="19" t="inlineStr">
        <is>
          <t>high</t>
        </is>
      </c>
      <c r="D48" s="11" t="inlineStr">
        <is>
          <t>useful life</t>
        </is>
      </c>
      <c r="E48" s="11" t="inlineStr">
        <is>
          <t>PDF p.141 (印刷頁 140)</t>
        </is>
      </c>
      <c r="F48" s="11" t="inlineStr">
        <is>
          <t>measurement of lease liability. The right-of-use assets are depreciated on a straight-line basis over the shorter of their estimated useful life and the lease terms. The Group presents the right-of-use assets as a separate line item on the consolidated statement of financial position. 140 ST R O N G P E T R O C H E M I C A L H O L D I N G S L I M I T E D 2 0 2 5 A N N UA L R E P O R T</t>
        </is>
      </c>
    </row>
    <row r="49">
      <c r="A49" s="8" t="inlineStr">
        <is>
          <t>Intangible Assets &amp; Goodwill</t>
        </is>
      </c>
      <c r="B49" s="8" t="inlineStr">
        <is>
          <t>無形資產及商譽</t>
        </is>
      </c>
      <c r="C49" s="19" t="inlineStr">
        <is>
          <t>high</t>
        </is>
      </c>
      <c r="D49" s="11" t="inlineStr">
        <is>
          <t>intangible asset</t>
        </is>
      </c>
      <c r="E49" s="11" t="inlineStr">
        <is>
          <t>PDF p.142 (印刷頁 141)</t>
        </is>
      </c>
      <c r="F49" s="11" t="inlineStr">
        <is>
          <t>Notes to the Consolidated Financial Statements For the year ended 31 December 2025 3. MATERIAL ACCOUNTING POLICIES (CONTINUED) (d) Intangible assets Intangible assets are stated at cost less accumulated amortisation and impairment losses, if any. Amortisation is calculated to write-off the cost of intangible assets, less their residual values, if any, using straight-line method over their estimated useful lives. The pollution discharge rights have an useful life of five years. The useful lives, residual value and amortisation</t>
        </is>
      </c>
    </row>
    <row r="50">
      <c r="A50" s="8" t="inlineStr">
        <is>
          <t>Intangible Assets &amp; Goodwill</t>
        </is>
      </c>
      <c r="B50" s="8" t="inlineStr">
        <is>
          <t>無形資產及商譽</t>
        </is>
      </c>
      <c r="C50" s="19" t="inlineStr">
        <is>
          <t>high</t>
        </is>
      </c>
      <c r="D50" s="11" t="inlineStr">
        <is>
          <t>amortisation</t>
        </is>
      </c>
      <c r="E50" s="11" t="inlineStr">
        <is>
          <t>PDF p.145 (印刷頁 144)</t>
        </is>
      </c>
      <c r="F50" s="11" t="inlineStr">
        <is>
          <t>intended use or sale. Gains or losses are recognised in profit or loss when the liabilities are derecognised as well as through the amortisation process. (iv) Derivative financial instruments Derivatives are initially recognised at fair value at the date when derivative contracts are entered into and are subsequently remeasured to their fair value at the end of the reporting period. The resulting gain or loss is recognised immediately in profit or loss. (f) Revenue recognition Revenue from contracts with customers is recognise</t>
        </is>
      </c>
    </row>
    <row r="51">
      <c r="A51" s="8" t="inlineStr">
        <is>
          <t>Intangible Assets &amp; Goodwill</t>
        </is>
      </c>
      <c r="B51" s="8" t="inlineStr">
        <is>
          <t>無形資產及商譽</t>
        </is>
      </c>
      <c r="C51" s="19" t="inlineStr">
        <is>
          <t>high</t>
        </is>
      </c>
      <c r="D51" s="11" t="inlineStr">
        <is>
          <t>goodwill</t>
        </is>
      </c>
      <c r="E51" s="11" t="inlineStr">
        <is>
          <t>PDF p.146 (印刷頁 145)</t>
        </is>
      </c>
      <c r="F51" s="11" t="inlineStr">
        <is>
          <t>g amounts of assets and liabilities for financial reporting purposes and the corresponding amounts used for tax purposes. Except for goodwill not deductible for tax purposes and initial recognition of assets and liabilities that are not part of the business combination which affect neither accounting nor taxable profits, taxable temporary differences arising on investments in subsidiaries and associates where the Group is able to control the reversal of the temporary difference and it is probable that the temporary difference w</t>
        </is>
      </c>
    </row>
    <row r="52">
      <c r="A52" s="8" t="inlineStr">
        <is>
          <t>Intangible Assets &amp; Goodwill</t>
        </is>
      </c>
      <c r="B52" s="8" t="inlineStr">
        <is>
          <t>無形資產及商譽</t>
        </is>
      </c>
      <c r="C52" s="19" t="inlineStr">
        <is>
          <t>high</t>
        </is>
      </c>
      <c r="D52" s="11" t="inlineStr">
        <is>
          <t>intangible asset</t>
        </is>
      </c>
      <c r="E52" s="11" t="inlineStr">
        <is>
          <t>PDF p.147 (印刷頁 146)</t>
        </is>
      </c>
      <c r="F52" s="11" t="inlineStr">
        <is>
          <t>xists or may have decreased: • property, plant and equipment; • investment properties under cost model; • interests in associates; • intangible assets; • right-of-use assets; and • other assets. If the recoverable amount (i.e. the greater of the fair value less costs of disposal and value in use) of an asset is estimated to be less than its carrying amount, the carrying amount of the asset is reduced to its recoverable amount. An impairment loss is recognised as an expense immediately. Where an impairment loss subsequently reve</t>
        </is>
      </c>
    </row>
    <row r="53">
      <c r="A53" s="8" t="inlineStr">
        <is>
          <t>Intangible Assets &amp; Goodwill</t>
        </is>
      </c>
      <c r="B53" s="8" t="inlineStr">
        <is>
          <t>無形資產及商譽</t>
        </is>
      </c>
      <c r="C53" s="19" t="inlineStr">
        <is>
          <t>high</t>
        </is>
      </c>
      <c r="D53" s="11" t="inlineStr">
        <is>
          <t>intangible asset</t>
        </is>
      </c>
      <c r="E53" s="11" t="inlineStr">
        <is>
          <t>PDF p.157 (印刷頁 156)</t>
        </is>
      </c>
      <c r="F53" s="11" t="inlineStr">
        <is>
          <t>s 4,517 Impairment loss on property, plant and equipment (113,806) Impairment loss on right-of-use assets (5,392) Impairment loss on intangible assets (89) Impairment loss on interest in an associate (44,976) Impairment loss under expected credit loss model (13,754) Loss on financial assets at FVTPL, net (1,457) Unallocated finance costs (1,272) Unallocated income and gains 9,729 Unallocated expenses and losses (note (iii)) (57,066) Loss before taxation (326,198) notes: (i) Intra-segment sales are agreed terms set out in the sa</t>
        </is>
      </c>
    </row>
    <row r="54">
      <c r="A54" s="8" t="inlineStr">
        <is>
          <t>Intangible Assets &amp; Goodwill</t>
        </is>
      </c>
      <c r="B54" s="8" t="inlineStr">
        <is>
          <t>無形資產及商譽</t>
        </is>
      </c>
      <c r="C54" s="19" t="inlineStr">
        <is>
          <t>high</t>
        </is>
      </c>
      <c r="D54" s="11" t="inlineStr">
        <is>
          <t>intangible asset</t>
        </is>
      </c>
      <c r="E54" s="11" t="inlineStr">
        <is>
          <t>PDF p.158 (印刷頁 157)</t>
        </is>
      </c>
      <c r="F54" s="11" t="inlineStr">
        <is>
          <t>ent (20) (1,668) (39,787) (29,735) (8,938) (80,148) Depreciation of right-of-use assets (898) (17) – (842) – (1,757) Amortisation of intangible assets – – – (137) – (137) Gain on changes in fair value of derivative financial instruments, net 12,786 – – – – 12,786 Finance costs (144) (21) (1,006) (8,704) (1,534) (11,409) Impairment loss on property, plant and equipment – – – (61,443) (11,827) (73,270) Impairment loss on right-of-use assets – – – (5,390) – (5,390) Impairment loss on intangible assets – – – (72) – (72) For the yea</t>
        </is>
      </c>
    </row>
    <row r="55">
      <c r="A55" s="8" t="inlineStr">
        <is>
          <t>Intangible Assets &amp; Goodwill</t>
        </is>
      </c>
      <c r="B55" s="8" t="inlineStr">
        <is>
          <t>無形資產及商譽</t>
        </is>
      </c>
      <c r="C55" s="19" t="inlineStr">
        <is>
          <t>high</t>
        </is>
      </c>
      <c r="D55" s="11" t="inlineStr">
        <is>
          <t>intangible asset</t>
        </is>
      </c>
      <c r="E55" s="11" t="inlineStr">
        <is>
          <t>PDF p.160 (印刷頁 159)</t>
        </is>
      </c>
      <c r="F55" s="11" t="inlineStr">
        <is>
          <t>x assets, rental deposit and certain property, plant and equipment (2024: excluded deferred tax assets, other asset, rental deposit, intangible assets, certain right-of-use assets and property, plant and equipment which mainly consisted of the construction in progress of the petrochemicals manufacturing plant located in Quanzhou City, Fujian Province, the PRC (the “Fujian Plant”)). Information about major customers Revenue from customers of the corresponding year which contributed over 10% of the total revenue of the Group are</t>
        </is>
      </c>
    </row>
    <row r="56">
      <c r="A56" s="8" t="inlineStr">
        <is>
          <t>Intangible Assets &amp; Goodwill</t>
        </is>
      </c>
      <c r="B56" s="8" t="inlineStr">
        <is>
          <t>無形資產及商譽</t>
        </is>
      </c>
      <c r="C56" s="19" t="inlineStr">
        <is>
          <t>high</t>
        </is>
      </c>
      <c r="D56" s="11" t="inlineStr">
        <is>
          <t>intangible asset</t>
        </is>
      </c>
      <c r="E56" s="11" t="inlineStr">
        <is>
          <t>PDF p.164 (印刷頁 163)</t>
        </is>
      </c>
      <c r="F56" s="11" t="inlineStr">
        <is>
          <t>76 6,280 80,148 37,275 Depreciation of investment properties – 4,949 Depreciation of right-of-use assets 1,757 3,547 Amortisation of intangible assets 137 52 Net foreign exchange (gains)/losses (13,642) 11,497 Directors’ emoluments (Note 11) 3,310 2,420 Other staff costs Salaries, bonus and other allowances Included in cost of sales 15,947 5,055 Others 32,934 27,932 Retirement benefit schemes contributions Included in cost of sales 2,596 1,068 Others 2,215 1,442 57,002 37,917 Cost of inventories recognised as an expense</t>
        </is>
      </c>
    </row>
    <row r="57">
      <c r="A57" s="8" t="inlineStr">
        <is>
          <t>Intangible Assets &amp; Goodwill</t>
        </is>
      </c>
      <c r="B57" s="8" t="inlineStr">
        <is>
          <t>無形資產及商譽</t>
        </is>
      </c>
      <c r="C57" s="19" t="inlineStr">
        <is>
          <t>high</t>
        </is>
      </c>
      <c r="D57" s="11" t="inlineStr">
        <is>
          <t>intangible asset</t>
        </is>
      </c>
      <c r="E57" s="11" t="inlineStr">
        <is>
          <t>PDF p.169 (印刷頁 168)</t>
        </is>
      </c>
      <c r="F57" s="11" t="inlineStr">
        <is>
          <t>ely HK$508,000 (2024: approximately HK$719,000) were respectively recorded in property, plant and equipment, right-of-use assets and intangible assets (the “Manufacturing Plant Related Assets”). The recoverable amount of the Manufacturing Plant Related Assets has been determined by value-in-use approach adopted by an independent qualified professional valuer engaged by the Group, using cash flow projections based on financial budgets covering a five-year period approved by the management of the Group. Key inputs used in the cal</t>
        </is>
      </c>
    </row>
    <row r="58">
      <c r="A58" s="8" t="inlineStr">
        <is>
          <t>Intangible Assets &amp; Goodwill</t>
        </is>
      </c>
      <c r="B58" s="8" t="inlineStr">
        <is>
          <t>無形資產及商譽</t>
        </is>
      </c>
      <c r="C58" s="19" t="inlineStr">
        <is>
          <t>high</t>
        </is>
      </c>
      <c r="D58" s="11" t="inlineStr">
        <is>
          <t>amortisation</t>
        </is>
      </c>
      <c r="E58" s="11" t="inlineStr">
        <is>
          <t>PDF p.174 (印刷頁 173)</t>
        </is>
      </c>
      <c r="F58" s="11" t="inlineStr">
        <is>
          <t>e from the operation of Sinochem Port. Key inputs used in the calculation include earnings before interest, taxes, depreciation, and amortisation (“EBITDA”) margin ranging from 60.1% to 64.0% (2024: from 45.7% to 54.3%), pre-tax discount rate of 11.8% (2024: 11.7%) and terminal growth rate of 2.0% (2024: 2.0%), which does not exceed the long-term average growth rate for the storage industry. For the year ended 31 December 2025, the recoverable amount of Sinochem Port is approximately HK$30,280,000 (2024: approximately HK$33,299</t>
        </is>
      </c>
    </row>
    <row r="59">
      <c r="A59" s="8" t="inlineStr">
        <is>
          <t>Intangible Assets &amp; Goodwill</t>
        </is>
      </c>
      <c r="B59" s="8" t="inlineStr">
        <is>
          <t>無形資產及商譽</t>
        </is>
      </c>
      <c r="C59" s="19" t="inlineStr">
        <is>
          <t>high</t>
        </is>
      </c>
      <c r="D59" s="11" t="inlineStr">
        <is>
          <t>intangible asset</t>
        </is>
      </c>
      <c r="E59" s="11" t="inlineStr">
        <is>
          <t>PDF p.175 (印刷頁 174)</t>
        </is>
      </c>
      <c r="F59" s="11" t="inlineStr">
        <is>
          <t>is associate – – All of the above associates are accounted for using the equity method in the consolidated financial statements. 18. INTANGIBLE ASSETS The amounts represent the pollution discharge rights related to the Fujian Plant, measured at amortised cost. For the year ended 31 December 2025, gross amount, accumulated amortisation amount, accumulated impairment and carrying amount of intangible assets are approximately HK$790,000 (2024: approximately HK$771,000), approximately HK$191,000 (2024: approximately HK$52,000), app</t>
        </is>
      </c>
    </row>
    <row r="60">
      <c r="A60" s="8" t="inlineStr">
        <is>
          <t>Intangible Assets &amp; Goodwill</t>
        </is>
      </c>
      <c r="B60" s="8" t="inlineStr">
        <is>
          <t>無形資產及商譽</t>
        </is>
      </c>
      <c r="C60" s="19" t="inlineStr">
        <is>
          <t>high</t>
        </is>
      </c>
      <c r="D60" s="11" t="inlineStr">
        <is>
          <t>development cost</t>
        </is>
      </c>
      <c r="E60" s="11" t="inlineStr">
        <is>
          <t>PDF p.189 (印刷頁 188)</t>
        </is>
      </c>
      <c r="F60" s="11" t="inlineStr">
        <is>
          <t>as investment recovery oil. Such investment recovery oil shall be used for the simultaneous recovery of the pilot test costs and the development costs incurred by the foreign contractor and pre-development costs spent by CNPC in proportion of 18% by CNPC and 82% by the foreign contractor. The unrecovered costs of the parties shall be carried forward to and recovered from the investment recovery oil in succeeding calendar years until being fully recovered. (iii) After all pilot test costs and development costs incurred up to tha</t>
        </is>
      </c>
    </row>
    <row r="61">
      <c r="A61" s="8" t="inlineStr">
        <is>
          <t>Investment Properties</t>
        </is>
      </c>
      <c r="B61" s="8" t="inlineStr">
        <is>
          <t>投資物業</t>
        </is>
      </c>
      <c r="C61" s="19" t="inlineStr">
        <is>
          <t>high</t>
        </is>
      </c>
      <c r="D61" s="11" t="inlineStr">
        <is>
          <t>gross floor area</t>
        </is>
      </c>
      <c r="E61" s="11" t="inlineStr">
        <is>
          <t>PDF p.70 (印刷頁 69)</t>
        </is>
      </c>
      <c r="F61" s="11" t="inlineStr">
        <is>
          <t>2022 Energy • To reduce total water consumption intensity* Achieved by 3% on or before 2027 2022 Water * In terms of intensity per gross floor area (“GFA”) Achieved In Progress ST R O N G P E T R O C H E M I C A L H O L D I N G S L I M I T E D 2 0 2 5 A N N UA L R E P O R T 69</t>
        </is>
      </c>
    </row>
    <row r="62">
      <c r="A62" s="8" t="inlineStr">
        <is>
          <t>ESG Data</t>
        </is>
      </c>
      <c r="B62" s="8" t="inlineStr">
        <is>
          <t>環境社會及管治數據</t>
        </is>
      </c>
      <c r="C62" s="8" t="inlineStr">
        <is>
          <t>medium</t>
        </is>
      </c>
      <c r="D62" s="11" t="inlineStr">
        <is>
          <t>ESG</t>
        </is>
      </c>
      <c r="E62" s="11" t="inlineStr">
        <is>
          <t>PDF p.38 (印刷頁 37)</t>
        </is>
      </c>
      <c r="F62" s="11" t="inlineStr">
        <is>
          <t>Governance Report ABOUT THIS REPORT Purpose and Objective The Group is pleased to present the Environmental, Social and Governance (“ESG”) Report 2025 (the “Report”) to our stakeholders. This Report aims to provide our key stakeholders with a clear and transparent overview of its sustainability management approach, strategies, policies, initiatives, and performance of our material sustainability issues, enabling them to deepen their understanding of the Group and our ESG efforts. Reporting Scope and Period Unless otherwise stat</t>
        </is>
      </c>
    </row>
    <row r="63">
      <c r="A63" s="8" t="inlineStr">
        <is>
          <t>ESG Data</t>
        </is>
      </c>
      <c r="B63" s="8" t="inlineStr">
        <is>
          <t>環境社會及管治數據</t>
        </is>
      </c>
      <c r="C63" s="8" t="inlineStr">
        <is>
          <t>medium</t>
        </is>
      </c>
      <c r="D63" s="11" t="inlineStr">
        <is>
          <t>ESG</t>
        </is>
      </c>
      <c r="E63" s="11" t="inlineStr">
        <is>
          <t>PDF p.39 (印刷頁 38)</t>
        </is>
      </c>
      <c r="F63" s="11" t="inlineStr">
        <is>
          <t>ironmental, Social and Governance Report Reporting Principles This Report adheres to the four reporting principles stipulated in the ESG Reporting Code in the course of this Report’s preparation: materiality, quantitative, balance and consistency: Reporting Principle Our Application Materiality By engaging with stakeholders and conducting materiality assessments, the Group has identified issues material to our sustainable development and prioritised them in this Report. For further details, please refer to the sections “Stakeho</t>
        </is>
      </c>
    </row>
    <row r="64">
      <c r="A64" s="8" t="inlineStr">
        <is>
          <t>ESG Data</t>
        </is>
      </c>
      <c r="B64" s="8" t="inlineStr">
        <is>
          <t>環境社會及管治數據</t>
        </is>
      </c>
      <c r="C64" s="8" t="inlineStr">
        <is>
          <t>medium</t>
        </is>
      </c>
      <c r="D64" s="11" t="inlineStr">
        <is>
          <t>ESG</t>
        </is>
      </c>
      <c r="E64" s="11" t="inlineStr">
        <is>
          <t>PDF p.41 (印刷頁 40)</t>
        </is>
      </c>
      <c r="F64" s="11" t="inlineStr">
        <is>
          <t>Environmental, Social and Governance Report OUR APPROACH TO SUSTAINABILITY ESG Management Approach and Strategy Our corporate vision “committed to be a responsible and respectable energy company through sustainable development strategies and flexible business explorations” is a core foundation guiding our sustainability journey. The Group has formulated our ESG framework built upon three key strategic pillars: (1) Creating Value for Our Customers; (2) Creating Value for</t>
        </is>
      </c>
    </row>
    <row r="65">
      <c r="A65" s="8" t="inlineStr">
        <is>
          <t>ESG Data</t>
        </is>
      </c>
      <c r="B65" s="8" t="inlineStr">
        <is>
          <t>環境社會及管治數據</t>
        </is>
      </c>
      <c r="C65" s="8" t="inlineStr">
        <is>
          <t>medium</t>
        </is>
      </c>
      <c r="D65" s="11" t="inlineStr">
        <is>
          <t>ESG</t>
        </is>
      </c>
      <c r="E65" s="11" t="inlineStr">
        <is>
          <t>PDF p.42 (印刷頁 41)</t>
        </is>
      </c>
      <c r="F65" s="11" t="inlineStr">
        <is>
          <t>Environmental, Social and Governance Report ESG Governance and Board’s Oversight The Board has the overall responsibility for our ESG-related matters (including but not limited to climate-related issues, risks and opportunities) strategy and reporting. The Board provides oversight of ESG-related issues, encompassing our sustainability management approach, strategy, and initiatives, and places a particular emphasis on guiding the Group’s lon</t>
        </is>
      </c>
    </row>
    <row r="66">
      <c r="A66" s="8" t="inlineStr">
        <is>
          <t>ESG Data</t>
        </is>
      </c>
      <c r="B66" s="8" t="inlineStr">
        <is>
          <t>環境社會及管治數據</t>
        </is>
      </c>
      <c r="C66" s="8" t="inlineStr">
        <is>
          <t>medium</t>
        </is>
      </c>
      <c r="D66" s="11" t="inlineStr">
        <is>
          <t>ESG</t>
        </is>
      </c>
      <c r="E66" s="11" t="inlineStr">
        <is>
          <t>PDF p.43 (印刷頁 42)</t>
        </is>
      </c>
      <c r="F66" s="11" t="inlineStr">
        <is>
          <t>Environmental, Social and Governance Report ESG Risk and Opportunity Management ESG risk and opportunity management is considered essential for robust corporate governance and long-term business resilience. By referencing the latest market and international ESG disclosure standards and the materiality maps proposed by authoritative ESG rating agencies, the material ESG-related risks and opportunities are regularly identified, evaluated, pri</t>
        </is>
      </c>
    </row>
    <row r="67">
      <c r="A67" s="8" t="inlineStr">
        <is>
          <t>ESG Data</t>
        </is>
      </c>
      <c r="B67" s="8" t="inlineStr">
        <is>
          <t>環境社會及管治數據</t>
        </is>
      </c>
      <c r="C67" s="8" t="inlineStr">
        <is>
          <t>medium</t>
        </is>
      </c>
      <c r="D67" s="11" t="inlineStr">
        <is>
          <t>ESG</t>
        </is>
      </c>
      <c r="E67" s="11" t="inlineStr">
        <is>
          <t>PDF p.44 (印刷頁 43)</t>
        </is>
      </c>
      <c r="F67" s="11" t="inlineStr">
        <is>
          <t>n-site visits • Customer service hotline or email • Supplier audit and assessment • Company website • Supplier management meetings • ESG reports • Emails • Media channels ST R O N G P E T R O C H E M I C A L H O L D I N G S L I M I T E D 2 0 2 5 A N N UA L R E P O R T 43</t>
        </is>
      </c>
    </row>
    <row r="68">
      <c r="A68" s="8" t="inlineStr">
        <is>
          <t>ESG Data</t>
        </is>
      </c>
      <c r="B68" s="8" t="inlineStr">
        <is>
          <t>環境社會及管治數據</t>
        </is>
      </c>
      <c r="C68" s="8" t="inlineStr">
        <is>
          <t>medium</t>
        </is>
      </c>
      <c r="D68" s="11" t="inlineStr">
        <is>
          <t>ESG</t>
        </is>
      </c>
      <c r="E68" s="11" t="inlineStr">
        <is>
          <t>PDF p.45 (印刷頁 44)</t>
        </is>
      </c>
      <c r="F68" s="11" t="inlineStr">
        <is>
          <t>Environmental, Social and Governance Report Materiality Assessment To pinpoint ESG issues that are the most relevant to our business continuity and development as well as to our stakeholders, in addition to the above regular communication channels, the Group has performed a materiality assessment with the support of an independent sustainability consultant. The results of the materiality assessment and relevant ESG issues are regularly discussed and reviewed by our ESG Task</t>
        </is>
      </c>
    </row>
    <row r="69">
      <c r="A69" s="8" t="inlineStr">
        <is>
          <t>ESG Data</t>
        </is>
      </c>
      <c r="B69" s="8" t="inlineStr">
        <is>
          <t>環境社會及管治數據</t>
        </is>
      </c>
      <c r="C69" s="8" t="inlineStr">
        <is>
          <t>medium</t>
        </is>
      </c>
      <c r="D69" s="11" t="inlineStr">
        <is>
          <t>ESG</t>
        </is>
      </c>
      <c r="E69" s="11" t="inlineStr">
        <is>
          <t>PDF p.46 (印刷頁 45)</t>
        </is>
      </c>
      <c r="F69" s="11" t="inlineStr">
        <is>
          <t>Social and Governance Report Materiality Matrix The materiality matrix presented below summarises the relative importance of the 23 ESG-related material issues to both stakeholders and our business continuity and development. The most material issues are located in Tier 1 of the matrix, while the less material issues are located in Tier 3. During the Reporting Period, a total of 10 issues from Tier 1 were prioritised as the most material issues for us to address and report on. Materiality Matrix Higher 11 23 12 3 Stakeholders</t>
        </is>
      </c>
    </row>
    <row r="70">
      <c r="A70" s="8" t="inlineStr">
        <is>
          <t>ESG Data</t>
        </is>
      </c>
      <c r="B70" s="8" t="inlineStr">
        <is>
          <t>環境社會及管治數據</t>
        </is>
      </c>
      <c r="C70" s="8" t="inlineStr">
        <is>
          <t>medium</t>
        </is>
      </c>
      <c r="D70" s="11" t="inlineStr">
        <is>
          <t>greenhouse gas</t>
        </is>
      </c>
      <c r="E70" s="11" t="inlineStr">
        <is>
          <t>PDF p.47 (印刷頁 46)</t>
        </is>
      </c>
      <c r="F70" s="11" t="inlineStr">
        <is>
          <t>ist of ESG-related Material Issues ESG-related Material Issues Report Sections Tier 1: Most Material Issues 3. Energy efficiency and greenhouse gas (“GHG”) emission Energy, Air and GHG Emissions 9. Staff welfare Remuneration and Benefits 11. Occupational health and safety Occupational Health and Safety 12. Staff development and training Talent Development 13. Employment compliance Creating Value for Our People 15. Social risk in supply chain Sustainable Supply Chain Management 19. Intellectual property rights management Respect</t>
        </is>
      </c>
    </row>
    <row r="71">
      <c r="A71" s="8" t="inlineStr">
        <is>
          <t>ESG Data</t>
        </is>
      </c>
      <c r="B71" s="8" t="inlineStr">
        <is>
          <t>環境社會及管治數據</t>
        </is>
      </c>
      <c r="C71" s="8" t="inlineStr">
        <is>
          <t>medium</t>
        </is>
      </c>
      <c r="D71" s="11" t="inlineStr">
        <is>
          <t>sustainability</t>
        </is>
      </c>
      <c r="E71" s="11" t="inlineStr">
        <is>
          <t>PDF p.48 (印刷頁 47)</t>
        </is>
      </c>
      <c r="F71" s="11" t="inlineStr">
        <is>
          <t>Environmental, Social and Governance Report CREATING VALUE FOR OUR CUSTOMERS Enhancing Service Sustainability and Product Quality Goal: To continually improve the sustainability of our services and deliver high-quality commodities to enhance customer experience The most significant issues addressed in this chapter: • Social risk in supply chain • Intellectual property rights management • Data protection and cybersecurity • Anti-competitive behaviour • Anti-corruption Elevating the customer</t>
        </is>
      </c>
    </row>
    <row r="72">
      <c r="A72" s="8" t="inlineStr">
        <is>
          <t>ESG Data</t>
        </is>
      </c>
      <c r="B72" s="8" t="inlineStr">
        <is>
          <t>環境社會及管治數據</t>
        </is>
      </c>
      <c r="C72" s="8" t="inlineStr">
        <is>
          <t>medium</t>
        </is>
      </c>
      <c r="D72" s="11" t="inlineStr">
        <is>
          <t>ESG</t>
        </is>
      </c>
      <c r="E72" s="11" t="inlineStr">
        <is>
          <t>PDF p.49 (印刷頁 48)</t>
        </is>
      </c>
      <c r="F72" s="11" t="inlineStr">
        <is>
          <t>ance Improvement • The Group selects all • The Group performs • The Group conducts • The Group considers our suppliers through an an ESG-related risk inspections and suppliers’ ongoing open and transparent assessment to identify evaluations on the sustainability process outlined in potential environmental existing suppliers performance — the Supplier Selection and social risks of our through on-site visits including climate and Fair Treatment major suppliers along regularly change, environmental Policy, aligning with the the su</t>
        </is>
      </c>
    </row>
    <row r="73">
      <c r="A73" s="8" t="inlineStr">
        <is>
          <t>ESG Data</t>
        </is>
      </c>
      <c r="B73" s="8" t="inlineStr">
        <is>
          <t>環境社會及管治數據</t>
        </is>
      </c>
      <c r="C73" s="8" t="inlineStr">
        <is>
          <t>medium</t>
        </is>
      </c>
      <c r="D73" s="11" t="inlineStr">
        <is>
          <t>sustainability</t>
        </is>
      </c>
      <c r="E73" s="11" t="inlineStr">
        <is>
          <t>PDF p.50 (印刷頁 49)</t>
        </is>
      </c>
      <c r="F73" s="11" t="inlineStr">
        <is>
          <t>lign with our expectations on social, environmental and ethical standards. To this end, our Supplier Code of Conduct Policy outlines sustainability expectations related to compliance, labour and human rights, health and safety, data privacy, the environment and biodiversity, as well as fair and ethical operating practices. As of 31 December 2025, the breakdown of major suppliers by geographical region was as follows: 94 (2024: 63) in the PRC and nil (2024: 3) in Singapore. During the Reporting Period, the aforementioned supplie</t>
        </is>
      </c>
    </row>
    <row r="74">
      <c r="A74" s="8" t="inlineStr">
        <is>
          <t>ESG Data</t>
        </is>
      </c>
      <c r="B74" s="8" t="inlineStr">
        <is>
          <t>環境社會及管治數據</t>
        </is>
      </c>
      <c r="C74" s="8" t="inlineStr">
        <is>
          <t>medium</t>
        </is>
      </c>
      <c r="D74" s="11" t="inlineStr">
        <is>
          <t>ESG</t>
        </is>
      </c>
      <c r="E74" s="11" t="inlineStr">
        <is>
          <t>PDF p.57 (印刷頁 56)</t>
        </is>
      </c>
      <c r="F74" s="11" t="inlineStr">
        <is>
          <t>ocational Training Sustainability Training • New Employees Training • Health and Safety • Anti-corruption • Accounting and Finance • ESG • Professional Training Occupational Health and Safety The Group is deeply committed to prioritising the health and safety of our employees, and strives to comply with applicable laws and regulations6 to mitigate risks within our workplace. As such, the Group has established a standardised Safety Management System in accordance with applicable health and safety-related laws and regulations. Ou</t>
        </is>
      </c>
    </row>
    <row r="75">
      <c r="A75" s="8" t="inlineStr">
        <is>
          <t>ESG Data</t>
        </is>
      </c>
      <c r="B75" s="8" t="inlineStr">
        <is>
          <t>環境社會及管治數據</t>
        </is>
      </c>
      <c r="C75" s="8" t="inlineStr">
        <is>
          <t>medium</t>
        </is>
      </c>
      <c r="D75" s="11" t="inlineStr">
        <is>
          <t>GHG emission</t>
        </is>
      </c>
      <c r="E75" s="11" t="inlineStr">
        <is>
          <t>PDF p.60 (印刷頁 59)</t>
        </is>
      </c>
      <c r="F75" s="11" t="inlineStr">
        <is>
          <t>e climate resilience to contribute to a better planet The most significant issues addressed in this chapter: • Energy efficiency and GHG emission The Group endeavours to operate in an environmentally conscious manner to promote environmental responsibility and address climate resilience. Policies and procedures are formulated to guide our employees in reducing environmental footprint and promoting responsible use of resources. During the Reporting Period, the Group was not aware of any material non-compliance with relevant laws</t>
        </is>
      </c>
    </row>
    <row r="76">
      <c r="A76" s="8" t="inlineStr">
        <is>
          <t>ESG Data</t>
        </is>
      </c>
      <c r="B76" s="8" t="inlineStr">
        <is>
          <t>環境社會及管治數據</t>
        </is>
      </c>
      <c r="C76" s="8" t="inlineStr">
        <is>
          <t>medium</t>
        </is>
      </c>
      <c r="D76" s="11" t="inlineStr">
        <is>
          <t>ESG</t>
        </is>
      </c>
      <c r="E76" s="11" t="inlineStr">
        <is>
          <t>PDF p.61 (印刷頁 60)</t>
        </is>
      </c>
      <c r="F76" s="11" t="inlineStr">
        <is>
          <t>versight The Board has ultimate responsibility for the oversight of climate-related risks and opportunities. With the support of the ESG Task Force, the Board oversees the Group’s climate-related matters, including climate change policies, the management of climate-related risks and opportunities, and the progress of the 2030 Climate Target. The ESG Task Force reports to the Board at least annually on sustainability matters in the form of meetings, covering climate-related issues, climate-related risks and opportunities, the in</t>
        </is>
      </c>
    </row>
    <row r="77">
      <c r="A77" s="8" t="inlineStr">
        <is>
          <t>ESG Data</t>
        </is>
      </c>
      <c r="B77" s="8" t="inlineStr">
        <is>
          <t>環境社會及管治數據</t>
        </is>
      </c>
      <c r="C77" s="8" t="inlineStr">
        <is>
          <t>medium</t>
        </is>
      </c>
      <c r="D77" s="11" t="inlineStr">
        <is>
          <t>sustainability</t>
        </is>
      </c>
      <c r="E77" s="11" t="inlineStr">
        <is>
          <t>PDF p.62 (印刷頁 61)</t>
        </is>
      </c>
      <c r="F77" s="11" t="inlineStr">
        <is>
          <t>hen its capabilities in identifying and managing climate-related risks and opportunities and integrates such considerations into its sustainability risk management mechanism. During the Reporting Period, we further enhanced the breadth and depth of our climate strategy planning by assessing the financial and non-financial impacts of climate change on the Group across multiple dimensions, including business operations, the supply chain and the market environment, thereby strengthening our climate resilience. The table below summ</t>
        </is>
      </c>
    </row>
    <row r="78">
      <c r="A78" s="8" t="inlineStr">
        <is>
          <t>ESG Data</t>
        </is>
      </c>
      <c r="B78" s="8" t="inlineStr">
        <is>
          <t>環境社會及管治數據</t>
        </is>
      </c>
      <c r="C78" s="8" t="inlineStr">
        <is>
          <t>medium</t>
        </is>
      </c>
      <c r="D78" s="11" t="inlineStr">
        <is>
          <t>carbon</t>
        </is>
      </c>
      <c r="E78" s="11" t="inlineStr">
        <is>
          <t>PDF p.64 (印刷頁 63)</t>
        </is>
      </c>
      <c r="F78" s="11" t="inlineStr">
        <is>
          <t>Impact Transition Measures Transition Risks Market Risk Current Financial Impact ➢ Laggard in low- ➢ Incorporate sustainability into carbon transition investment strategies and M L ➢ No significant financial may damage brand conduct regular reviews of impact at this stage reputation reporting requirements Growing environmental awareness and the Anticipated Financial Impact ➢ Explore the solar energy market shift toward low- in Hong Kong cautiously and carbon economy are ➢ Potential increase in costs seek new energy investment</t>
        </is>
      </c>
    </row>
    <row r="79">
      <c r="A79" s="8" t="inlineStr">
        <is>
          <t>ESG Data</t>
        </is>
      </c>
      <c r="B79" s="8" t="inlineStr">
        <is>
          <t>環境社會及管治數據</t>
        </is>
      </c>
      <c r="C79" s="8" t="inlineStr">
        <is>
          <t>medium</t>
        </is>
      </c>
      <c r="D79" s="11" t="inlineStr">
        <is>
          <t>carbon</t>
        </is>
      </c>
      <c r="E79" s="11" t="inlineStr">
        <is>
          <t>PDF p.65 (印刷頁 64)</t>
        </is>
      </c>
      <c r="F79" s="11" t="inlineStr">
        <is>
          <t>Impact Non-financial Impact &amp; Transition Measures Climate-related Opportunity Resource Efficiency Current Financial Impact ➢ Reduced carbon ➢ Implement environmental emissions from management policies to M L ➢ Direct reduction in energy operations helps the guide employees in reducing consumption expenditures Group comply with environmental footprint and By investing in through adoption of stringent carbon promoting responsible resource high-efficiency higher-efficiency equipment emission regulations use equipment and and enh</t>
        </is>
      </c>
    </row>
    <row r="80">
      <c r="A80" s="8" t="inlineStr">
        <is>
          <t>ESG Data</t>
        </is>
      </c>
      <c r="B80" s="8" t="inlineStr">
        <is>
          <t>環境社會及管治數據</t>
        </is>
      </c>
      <c r="C80" s="8" t="inlineStr">
        <is>
          <t>medium</t>
        </is>
      </c>
      <c r="D80" s="11" t="inlineStr">
        <is>
          <t>carbon</t>
        </is>
      </c>
      <c r="E80" s="11" t="inlineStr">
        <is>
          <t>PDF p.66 (印刷頁 65)</t>
        </is>
      </c>
      <c r="F80" s="11" t="inlineStr">
        <is>
          <t>and Modelling Approach We used the Network for Greening the Financial System (“NGFS”)8 as the primary dataset. We selected both low-carbon and highcarbon scenarios, namely the Net Zero 2050 scenario and the Current Policies scenario, as they are internationally recognised, publicly available and directly relevant to the Group. The scenarios were not intended to be predictions of the future; rather, they were designed to stress-test our business against several plausible future states. The uncertainty is subject to the curren</t>
        </is>
      </c>
    </row>
    <row r="81">
      <c r="A81" s="8" t="inlineStr">
        <is>
          <t>ESG Data</t>
        </is>
      </c>
      <c r="B81" s="8" t="inlineStr">
        <is>
          <t>環境社會及管治數據</t>
        </is>
      </c>
      <c r="C81" s="8" t="inlineStr">
        <is>
          <t>medium</t>
        </is>
      </c>
      <c r="D81" s="11" t="inlineStr">
        <is>
          <t>carbon</t>
        </is>
      </c>
      <c r="E81" s="11" t="inlineStr">
        <is>
          <t>PDF p.67 (印刷頁 66)</t>
        </is>
      </c>
      <c r="F81" s="11" t="inlineStr">
        <is>
          <t>ds 2040 (medium term) • Assumes rapid climate policy and technological transition, achieving Chronic Risk: 2050 (long-term) net zero carbon dioxide (“CO2”) • Heatwaves emissions by around 2050, limiting global warming to 1.5ºC9 with minimal overshoot. Physical risk is limited, while transition risk is high. Transition Risk Policy and Legal Risk: Current Policies (Hot House World) • Carbon Pricing • Assumes only existing policies are maintained, leading to continued emission growth until 2080 and warming of approximately 3ºC, tr</t>
        </is>
      </c>
    </row>
    <row r="82">
      <c r="A82" s="8" t="inlineStr">
        <is>
          <t>ESG Data</t>
        </is>
      </c>
      <c r="B82" s="8" t="inlineStr">
        <is>
          <t>環境社會及管治數據</t>
        </is>
      </c>
      <c r="C82" s="8" t="inlineStr">
        <is>
          <t>medium</t>
        </is>
      </c>
      <c r="D82" s="11" t="inlineStr">
        <is>
          <t>carbon</t>
        </is>
      </c>
      <c r="E82" s="11" t="inlineStr">
        <is>
          <t>PDF p.68 (印刷頁 67)</t>
        </is>
      </c>
      <c r="F82" s="11" t="inlineStr">
        <is>
          <t>Scenario Current Policies Scenario 2030 2040 2050 2030 2040 2050 Physical Risk Cyclones ✔ ✔ Floods ✔ ✔ Heatwaves ✔ ✔ Transition Risk Carbon Pricing ✔ ✔ Risk Level: Low Moderate High Climate Resilience and Adaptive Capacity The results of the climate-related scenario analysis inform the Group’s assessment of the resilience of its strategy and business model under different scenarios and time horizons. The analysis supports an understanding of how climate-related changes could affect the Group’s operations and strategic p</t>
        </is>
      </c>
    </row>
    <row r="83">
      <c r="A83" s="8" t="inlineStr">
        <is>
          <t>ESG Data</t>
        </is>
      </c>
      <c r="B83" s="8" t="inlineStr">
        <is>
          <t>環境社會及管治數據</t>
        </is>
      </c>
      <c r="C83" s="8" t="inlineStr">
        <is>
          <t>medium</t>
        </is>
      </c>
      <c r="D83" s="11" t="inlineStr">
        <is>
          <t>GHG emission</t>
        </is>
      </c>
      <c r="E83" s="11" t="inlineStr">
        <is>
          <t>PDF p.69 (印刷頁 68)</t>
        </is>
      </c>
      <c r="F83" s="11" t="inlineStr">
        <is>
          <t>Environmental, Social and Governance Report Metrics and Targets We are committed to addressing climate change and actively reducing GHG emissions within our operations. In support of the PRC’s 3060 goal, namely peaking carbon emissions by 2030 and achieving carbon neutrality by 2060, and taking into account the Paris Agreement, an international climate agreement aimed at limiting global warming to 1.5°C above preindustrial levels, the Group has formulated a clear carbon reduction pathway based on its business characteristics</t>
        </is>
      </c>
    </row>
    <row r="84">
      <c r="A84" s="8" t="inlineStr">
        <is>
          <t>ESG Data</t>
        </is>
      </c>
      <c r="B84" s="8" t="inlineStr">
        <is>
          <t>環境社會及管治數據</t>
        </is>
      </c>
      <c r="C84" s="8" t="inlineStr">
        <is>
          <t>medium</t>
        </is>
      </c>
      <c r="D84" s="11" t="inlineStr">
        <is>
          <t>GHG emission</t>
        </is>
      </c>
      <c r="E84" s="11" t="inlineStr">
        <is>
          <t>PDF p.70 (印刷頁 69)</t>
        </is>
      </c>
      <c r="F84" s="11" t="inlineStr">
        <is>
          <t>Green Targets Baseline Year Progress • To reduce the absolute GHG (Scopes 1 &amp; 2) In Progress 2025 emissions by 15% on or before 2030 GHG Emissions • To reduce the total non-hazardous waste intensity* by 3% on or before 2027 Achieved 2022 • To reduce solid and liquid hazardous waste Waste intensity* by 3% on or before 2027 • To reduce total energy consumption Achieved intensity* by 3% on or before 2027 2022 Energy • To reduce total water consumption intensity* Achieved by 3% on or before 2027 2022 Water * In terms of intensity</t>
        </is>
      </c>
    </row>
    <row r="85">
      <c r="A85" s="8" t="inlineStr">
        <is>
          <t>ESG Data</t>
        </is>
      </c>
      <c r="B85" s="8" t="inlineStr">
        <is>
          <t>環境社會及管治數據</t>
        </is>
      </c>
      <c r="C85" s="8" t="inlineStr">
        <is>
          <t>medium</t>
        </is>
      </c>
      <c r="D85" s="11" t="inlineStr">
        <is>
          <t>carbon</t>
        </is>
      </c>
      <c r="E85" s="11" t="inlineStr">
        <is>
          <t>PDF p.71 (印刷頁 70)</t>
        </is>
      </c>
      <c r="F85" s="11" t="inlineStr">
        <is>
          <t>ncing Climate Action: Accelerating Growth in Hong Kong’s Solar Energy Market In a proactive effort to contribute to the reduction of carbon emissions, the Group has strategically entered the solar energy market in Hong Kong in recent years. During the Reporting Period, total electricity generated from solar energy system projects rose significantly, reaching approximately 2.6 times the volume produced in 2024. The Group will continue to explore opportunities to collaborate with property and landowners on solar energy system pro</t>
        </is>
      </c>
    </row>
    <row r="86">
      <c r="A86" s="8" t="inlineStr">
        <is>
          <t>ESG Data</t>
        </is>
      </c>
      <c r="B86" s="8" t="inlineStr">
        <is>
          <t>環境社會及管治數據</t>
        </is>
      </c>
      <c r="C86" s="8" t="inlineStr">
        <is>
          <t>medium</t>
        </is>
      </c>
      <c r="D86" s="11" t="inlineStr">
        <is>
          <t>GHG emission</t>
        </is>
      </c>
      <c r="E86" s="11" t="inlineStr">
        <is>
          <t>PDF p.72 (印刷頁 71)</t>
        </is>
      </c>
      <c r="F86" s="11" t="inlineStr">
        <is>
          <t>Environmental, Social and Governance Report Energy, Air and GHG Emissions Our main sources of air, GHG emissions and energy consumption are purchased electricity and fuel consumption of the Group’s vehicles. As a responsible corporation, the Group is dedicated to minimising energy consumption, and air and GHG emissions that will bring negative environmental impacts to the globe. For instance, within our oil and gas operations business, we have established</t>
        </is>
      </c>
    </row>
    <row r="87">
      <c r="A87" s="8" t="inlineStr">
        <is>
          <t>ESG Data</t>
        </is>
      </c>
      <c r="B87" s="8" t="inlineStr">
        <is>
          <t>環境社會及管治數據</t>
        </is>
      </c>
      <c r="C87" s="8" t="inlineStr">
        <is>
          <t>medium</t>
        </is>
      </c>
      <c r="D87" s="11" t="inlineStr">
        <is>
          <t>carbon</t>
        </is>
      </c>
      <c r="E87" s="11" t="inlineStr">
        <is>
          <t>PDF p.75 (印刷頁 74)</t>
        </is>
      </c>
      <c r="F87" s="11" t="inlineStr">
        <is>
          <t>es during the selection process, such as prioritising the use of sustainable materials and products, such as those with low embodied carbon, low volatile organic compounds (VOCs), recyclability, or rapid renewability. • The Group collaborates with local suppliers to reduce the carbon footprint from transportation. 74 ST R O N G P E T R O C H E M I C A L H O L D I N G S L I M I T E D 2 0 2 5 A N N UA L R E P O R T</t>
        </is>
      </c>
    </row>
    <row r="88">
      <c r="A88" s="8" t="inlineStr">
        <is>
          <t>ESG Data</t>
        </is>
      </c>
      <c r="B88" s="8" t="inlineStr">
        <is>
          <t>環境社會及管治數據</t>
        </is>
      </c>
      <c r="C88" s="8" t="inlineStr">
        <is>
          <t>medium</t>
        </is>
      </c>
      <c r="D88" s="11" t="inlineStr">
        <is>
          <t>ESG</t>
        </is>
      </c>
      <c r="E88" s="11" t="inlineStr">
        <is>
          <t>PDF p.76 (印刷頁 75)</t>
        </is>
      </c>
      <c r="F88" s="11" t="inlineStr">
        <is>
          <t>anned mitigation actions. LOOKING FORWARD In our ongoing commitment to sustainability, the Group is dedicated to further integrating ESG into our business operations. Our focus extends beyond creating value solely for our customers and our workforce; the Group is equally devoted to benefitting the environment and community at large. As the Group embarks on this sustainability journey, the Group remains dedicated to continually exploring and enhancing both our business and ESG performance over the year ahead towards a more susta</t>
        </is>
      </c>
    </row>
    <row r="89">
      <c r="A89" s="8" t="inlineStr">
        <is>
          <t>ESG Data</t>
        </is>
      </c>
      <c r="B89" s="8" t="inlineStr">
        <is>
          <t>環境社會及管治數據</t>
        </is>
      </c>
      <c r="C89" s="8" t="inlineStr">
        <is>
          <t>medium</t>
        </is>
      </c>
      <c r="D89" s="11" t="inlineStr">
        <is>
          <t>GHG emission</t>
        </is>
      </c>
      <c r="E89" s="11" t="inlineStr">
        <is>
          <t>PDF p.77 (印刷頁 76)</t>
        </is>
      </c>
      <c r="F89" s="11" t="inlineStr">
        <is>
          <t>8,268.47 • Natural Gas MWh 2,212.01 – Total Energy Consumption Intensity MWh/GFA (m2) 0.24 0.14 MWh/revenue (HK$ million) 21.63 6.79 GHG Emission15 Total GHG (Scopes 1 &amp; 2) Emission16 tonnes CO2e 19,283.93 4,844.38 Total GHG (Scopes 1, 2 &amp; 3) Emission tonnes CO2e 19,673.23 – • Total Direct (Scope 1) GHG Emission tonnes CO2e 692.83 129.93 • Energy Indirect (Scope 2) Emission — Location-based tonnes CO2e 18,591.11 4,714.45 • Other Indirect (Scope 3) Emission17 tonnes CO2e 389.30 – Total GHG (Scopes 1 &amp; 2) Intensity tonnes CO2e/GF</t>
        </is>
      </c>
    </row>
    <row r="90">
      <c r="A90" s="8" t="inlineStr">
        <is>
          <t>ESG Data</t>
        </is>
      </c>
      <c r="B90" s="8" t="inlineStr">
        <is>
          <t>環境社會及管治數據</t>
        </is>
      </c>
      <c r="C90" s="8" t="inlineStr">
        <is>
          <t>medium</t>
        </is>
      </c>
      <c r="D90" s="11" t="inlineStr">
        <is>
          <t>ESG</t>
        </is>
      </c>
      <c r="E90" s="11" t="inlineStr">
        <is>
          <t>PDF p.81 (印刷頁 80)</t>
        </is>
      </c>
      <c r="F90" s="11" t="inlineStr">
        <is>
          <t>Environmental, Social and Governance Report SIGNIFICANT LAWS AND REGULATIONS ESG Aspect The PRC Hong Kong Singapore Aspect A: • Law of the PRC on the Prevention and • Cap. 311 Air • Environmental Public Environment Control of Atmospheric Pollution (《中華 Pollution Control Health Act 人民共和國大氣污染防治法》) Ordinance • Control and Drainage • Law of the PRC on Prevention and • Cap. 358 Water Act 1975 Control of Water Pollution (《中華人民 Pollution Control • Environmental 共和國水法》) Ordinance</t>
        </is>
      </c>
    </row>
    <row r="91">
      <c r="A91" s="8" t="inlineStr">
        <is>
          <t>ESG Data</t>
        </is>
      </c>
      <c r="B91" s="8" t="inlineStr">
        <is>
          <t>環境社會及管治數據</t>
        </is>
      </c>
      <c r="C91" s="8" t="inlineStr">
        <is>
          <t>medium</t>
        </is>
      </c>
      <c r="D91" s="11" t="inlineStr">
        <is>
          <t>ESG</t>
        </is>
      </c>
      <c r="E91" s="11" t="inlineStr">
        <is>
          <t>PDF p.82 (印刷頁 81)</t>
        </is>
      </c>
      <c r="F91" s="11" t="inlineStr">
        <is>
          <t>Environmental, Social and Governance Report ESG Aspect The PRC Hong Kong Singapore Aspect B1: • Employment Promotion Law of the PRC • Cap. 57 • Employment of Employment (《就業促進法》) Employment Foreign Manpower Act • Labour Law of the PRC (《中華人民共和 Ordinance • Employment Act 國勞動法》) • Cap. 282 • Central Provident Fund • Labour Contract Law of the PRC (《中華 Employees’ Act 人民共和國勞動合同法》) Compensation • Immigration Act • Social Insurance Law of the PRC</t>
        </is>
      </c>
    </row>
    <row r="92">
      <c r="A92" s="8" t="inlineStr">
        <is>
          <t>ESG Data</t>
        </is>
      </c>
      <c r="B92" s="8" t="inlineStr">
        <is>
          <t>環境社會及管治數據</t>
        </is>
      </c>
      <c r="C92" s="8" t="inlineStr">
        <is>
          <t>medium</t>
        </is>
      </c>
      <c r="D92" s="11" t="inlineStr">
        <is>
          <t>ESG</t>
        </is>
      </c>
      <c r="E92" s="11" t="inlineStr">
        <is>
          <t>PDF p.83 (印刷頁 82)</t>
        </is>
      </c>
      <c r="F92" s="11" t="inlineStr">
        <is>
          <t>Environmental, Social and Governance Report ESG Aspect The PRC Hong Kong Singapore Aspect B2: • Law of the PRC on the Prevention and • Cap. 509 • Workplace Safety and Health and Safety Control of Occupational Diseases (《中華 Occupational Health Act 人民共和國職業病防治法》) Safety and Health • Environmental Public • Regulations on Work Injury Insurance Ordinance Health Act (《工傷保險條例》) • Work Safety Law of the PRC (《中華人民 共和國安全生產法》) • Special Provisions on</t>
        </is>
      </c>
    </row>
    <row r="93">
      <c r="A93" s="8" t="inlineStr">
        <is>
          <t>ESG Data</t>
        </is>
      </c>
      <c r="B93" s="8" t="inlineStr">
        <is>
          <t>環境社會及管治數據</t>
        </is>
      </c>
      <c r="C93" s="8" t="inlineStr">
        <is>
          <t>medium</t>
        </is>
      </c>
      <c r="D93" s="11" t="inlineStr">
        <is>
          <t>ESG</t>
        </is>
      </c>
      <c r="E93" s="11" t="inlineStr">
        <is>
          <t>PDF p.84 (印刷頁 83)</t>
        </is>
      </c>
      <c r="F93" s="11" t="inlineStr">
        <is>
          <t>Environmental, Social and Governance Report ESG Aspect The PRC Hong Kong Singapore Aspect B4: • Law of the PRC on the Protection of • Cap. 57B • Employment Act Labour Standards Minors (《中華人民共和國未成年人保護 Employment 法》) of Children • Protection of Children and Youths Regulations Welfare and Rights Act (《未成年工特殊 • Cap. 57 保護規定》) Employment • Provisions on the Prohibition of Using Ordinance Child Labour (《禁止使用童工規定》) • Labour Law of the PRC (《中華人民共和</t>
        </is>
      </c>
    </row>
    <row r="94">
      <c r="A94" s="8" t="inlineStr">
        <is>
          <t>ESG Data</t>
        </is>
      </c>
      <c r="B94" s="8" t="inlineStr">
        <is>
          <t>環境社會及管治數據</t>
        </is>
      </c>
      <c r="C94" s="8" t="inlineStr">
        <is>
          <t>medium</t>
        </is>
      </c>
      <c r="D94" s="11" t="inlineStr">
        <is>
          <t>energy consumption</t>
        </is>
      </c>
      <c r="E94" s="11" t="inlineStr">
        <is>
          <t>PDF p.85 (印刷頁 84)</t>
        </is>
      </c>
      <c r="F94" s="11" t="inlineStr">
        <is>
          <t>rds, methodologies, assumptions and/or calculation tools used, and source of conversion factors used, for the reporting of emissions/energy consumption (where applicable) should be disclosed. Consistency: The issuer should disclose in the ESG report any changes to the methods or KPIs used, or any other relevant factors affecting a meaningful comparison. Reporting Boundary A narrative explaining the reporting boundaries of the ESG report and describing the process used Reporting Scope and to identify which entities or operations</t>
        </is>
      </c>
    </row>
    <row r="95">
      <c r="A95" s="8" t="inlineStr">
        <is>
          <t>ESG Data</t>
        </is>
      </c>
      <c r="B95" s="8" t="inlineStr">
        <is>
          <t>環境社會及管治數據</t>
        </is>
      </c>
      <c r="C95" s="8" t="inlineStr">
        <is>
          <t>medium</t>
        </is>
      </c>
      <c r="D95" s="11" t="inlineStr">
        <is>
          <t>greenhouse gas</t>
        </is>
      </c>
      <c r="E95" s="11" t="inlineStr">
        <is>
          <t>PDF p.86 (印刷頁 85)</t>
        </is>
      </c>
      <c r="F95" s="11" t="inlineStr">
        <is>
          <t>s and (b) compliance with relevant laws and regulations that have a significant impact on the issuer Regulations relating to air and greenhouse gas emissions, discharges into water and land, and generation of hazardous and non-hazardous waste. Note: Air emissions include NOx, SOx, and other pollutants regulated under national laws and regulations. Hazardous wastes are those defined by national regulations. KPI A1.1 The types of emissions and respective emissions data. Performance Data Summary — Environmental Performance KPI A1.</t>
        </is>
      </c>
    </row>
    <row r="96">
      <c r="A96" s="8" t="inlineStr">
        <is>
          <t>ESG Data</t>
        </is>
      </c>
      <c r="B96" s="8" t="inlineStr">
        <is>
          <t>環境社會及管治數據</t>
        </is>
      </c>
      <c r="C96" s="8" t="inlineStr">
        <is>
          <t>medium</t>
        </is>
      </c>
      <c r="D96" s="11" t="inlineStr">
        <is>
          <t>energy consumption</t>
        </is>
      </c>
      <c r="E96" s="11" t="inlineStr">
        <is>
          <t>PDF p.87 (印刷頁 86)</t>
        </is>
      </c>
      <c r="F96" s="11" t="inlineStr">
        <is>
          <t>rces may be used in production, in storage, transportation, in buildings, electronic equipment, etc. KPI A2.1 Direct and/or indirect energy consumption by type (e.g. electricity, gas or oil) Performance in total (kWh in '000s) and intensity (e.g. per unit of production volume, per Data Summary facility). — Environmental Performance KPI A2.2 Water consumption in total and intensity (e.g. per unit of production volume, Performance per facility). Data Summary — Environmental Performance KPI A2.3 Description of energy use efficienc</t>
        </is>
      </c>
    </row>
    <row r="97">
      <c r="A97" s="8" t="inlineStr">
        <is>
          <t>ESG Data</t>
        </is>
      </c>
      <c r="B97" s="8" t="inlineStr">
        <is>
          <t>環境社會及管治數據</t>
        </is>
      </c>
      <c r="C97" s="8" t="inlineStr">
        <is>
          <t>medium</t>
        </is>
      </c>
      <c r="D97" s="11" t="inlineStr">
        <is>
          <t>ESG</t>
        </is>
      </c>
      <c r="E97" s="11" t="inlineStr">
        <is>
          <t>PDF p.92 (印刷頁 91)</t>
        </is>
      </c>
      <c r="F97" s="11" t="inlineStr">
        <is>
          <t>tion (I) Governance 19. An issuer shall disclose information about: (a) the governance body(s) (which can include a board, committee ESG Governance and or equivalent body charged with governance) or individual(s) Board’s Oversight responsible for oversight of climate-related risks and opportunities. Specifically, the issuer shall identify that body(s) or Climate Resilience individual(s) and disclose information about: and Management — (i) how the body(s) or individual(s) determines whether Governance appropriate skills and comp</t>
        </is>
      </c>
    </row>
    <row r="98">
      <c r="A98" s="8" t="inlineStr">
        <is>
          <t>ESG Data</t>
        </is>
      </c>
      <c r="B98" s="8" t="inlineStr">
        <is>
          <t>環境社會及管治數據</t>
        </is>
      </c>
      <c r="C98" s="8" t="inlineStr">
        <is>
          <t>medium</t>
        </is>
      </c>
      <c r="D98" s="11" t="inlineStr">
        <is>
          <t>greenhouse gas</t>
        </is>
      </c>
      <c r="E98" s="11" t="inlineStr">
        <is>
          <t>PDF p.94 (印刷頁 93)</t>
        </is>
      </c>
      <c r="F98" s="11" t="inlineStr">
        <is>
          <t>does not have a climate-related transition plan; and (iv) how the issuer plans to achieve any climate-related targets (including any greenhouse gas emissions targets (if any)), described in accordance with paragraphs 37 to 40; and (b) information about how the issuer is resourcing, and plans to resource, the activities disclosed in accordance with paragraph 22(a). 23. An issuer shall disclose information about the progress of plans Not applicable disclosed in previous reporting periods in accordance with paragraph 22(a). ST R O</t>
        </is>
      </c>
    </row>
    <row r="99">
      <c r="A99" s="8" t="inlineStr">
        <is>
          <t>ESG Data</t>
        </is>
      </c>
      <c r="B99" s="8" t="inlineStr">
        <is>
          <t>環境社會及管治數據</t>
        </is>
      </c>
      <c r="C99" s="8" t="inlineStr">
        <is>
          <t>medium</t>
        </is>
      </c>
      <c r="D99" s="11" t="inlineStr">
        <is>
          <t>greenhouse gas</t>
        </is>
      </c>
      <c r="E99" s="11" t="inlineStr">
        <is>
          <t>PDF p.98 (印刷頁 97)</t>
        </is>
      </c>
      <c r="F99" s="11" t="inlineStr">
        <is>
          <t>elated risks and opportunities are integrated into and inform the issuer’s overall risk management process. (IV) Metrics and Targets Greenhouse gas emissions 28. An issuer shall disclose its absolute gross greenhouse gas emissions generated during the reporting period, expressed as metric tons of CO2 equivalent, classified as: (a) Scope 1 greenhouse gas emissions; Climate Resilience and (b) Scope 2 greenhouse gas emissions; and Management — Metrics (c) Scope 3 greenhouse gas emissions. and Targets Performance Data Summary ST R</t>
        </is>
      </c>
    </row>
    <row r="100">
      <c r="A100" s="8" t="inlineStr">
        <is>
          <t>ESG Data</t>
        </is>
      </c>
      <c r="B100" s="8" t="inlineStr">
        <is>
          <t>環境社會及管治數據</t>
        </is>
      </c>
      <c r="C100" s="8" t="inlineStr">
        <is>
          <t>medium</t>
        </is>
      </c>
      <c r="D100" s="11" t="inlineStr">
        <is>
          <t>greenhouse gas</t>
        </is>
      </c>
      <c r="E100" s="11" t="inlineStr">
        <is>
          <t>PDF p.99 (印刷頁 98)</t>
        </is>
      </c>
      <c r="F100" s="11" t="inlineStr">
        <is>
          <t>Environmental, Social and Governance Report Climate-Related Disclosures Section 29. An issuer shall: (a) measure its greenhouse gas emissions in accordance with Reporting Principles the Greenhouse Gas Protocol: A Corporate Accounting and Reporting Standard (2004) unless required by a jurisdictional Climate Resilience and authority or another exchange on which the issuer is listed to use Management — Metrics a different method for measuring greenhouse gas emissions; and Targets (b) disclose the approach it uses t</t>
        </is>
      </c>
    </row>
    <row r="101">
      <c r="A101" s="8" t="inlineStr">
        <is>
          <t>ESG Data</t>
        </is>
      </c>
      <c r="B101" s="8" t="inlineStr">
        <is>
          <t>環境社會及管治數據</t>
        </is>
      </c>
      <c r="C101" s="8" t="inlineStr">
        <is>
          <t>medium</t>
        </is>
      </c>
      <c r="D101" s="11" t="inlineStr">
        <is>
          <t>greenhouse gas</t>
        </is>
      </c>
      <c r="E101" s="11" t="inlineStr">
        <is>
          <t>PDF p.101 (印刷頁 100)</t>
        </is>
      </c>
      <c r="F101" s="11" t="inlineStr">
        <is>
          <t>part of our decisions, transfer pricing, and scenario analysis); and decision-making. We will (b) the price of each metric tonne of greenhouse gas emissions the explore the use of internal issuer uses to assess the costs of its greenhouse gas emissions; carbon pricing in the future. or an appropriate negative statement that the issuer does not apply a carbon price in decision-making. Remuneration 35. An issuer shall disclose whether and how climate-related considerations The Group has not yet are factored into remuneration pol</t>
        </is>
      </c>
    </row>
    <row r="102">
      <c r="A102" s="8" t="inlineStr">
        <is>
          <t>R&amp;D Expenditure</t>
        </is>
      </c>
      <c r="B102" s="8" t="inlineStr">
        <is>
          <t>研發開支</t>
        </is>
      </c>
      <c r="C102" s="8" t="inlineStr">
        <is>
          <t>medium</t>
        </is>
      </c>
      <c r="D102" s="11" t="inlineStr">
        <is>
          <t>research and development</t>
        </is>
      </c>
      <c r="E102" s="11" t="inlineStr">
        <is>
          <t>PDF p.65 (印刷頁 64)</t>
        </is>
      </c>
      <c r="F102" s="11" t="inlineStr">
        <is>
          <t>atory cost in the medium to long term Markets Current Financial Impact ➢ Enhanced the ➢ Increase investment in the sustainability of research and development M L ➢ Growing revenue products and services of low-carbon technologies, contribution from helps shape a and advance new energy The climate change developing and producing responsible corporate technologies as well as energycrisis has catalysed a new energy businesses, and image, improves saving and emission-reduction surge in socio-economic chemical materials brand rep</t>
        </is>
      </c>
    </row>
    <row r="103">
      <c r="A103" s="8" t="inlineStr">
        <is>
          <t>Segment Information</t>
        </is>
      </c>
      <c r="B103" s="8" t="inlineStr">
        <is>
          <t>分部資料</t>
        </is>
      </c>
      <c r="C103" s="8" t="inlineStr">
        <is>
          <t>medium</t>
        </is>
      </c>
      <c r="D103" s="11" t="inlineStr">
        <is>
          <t>geographical</t>
        </is>
      </c>
      <c r="E103" s="11" t="inlineStr">
        <is>
          <t>PDF p.14 (印刷頁 13)</t>
        </is>
      </c>
      <c r="F103" s="11" t="inlineStr">
        <is>
          <t>cquired businesses are important to the Group’s success. The Group focuses on its core business and cautiously expands the scale and geographical spread of its business through organic growth and investment in selective acquisitions with great potential. Failure to operate the acquired businesses successfully and thereby not achieving the expected financial benefits, may adversely affect the Group’s financial position and results. Save as disclosed in Notes 17 and 44 to the consolidated financial statements, there were no other</t>
        </is>
      </c>
    </row>
    <row r="104">
      <c r="A104" s="8" t="inlineStr">
        <is>
          <t>Segment Information</t>
        </is>
      </c>
      <c r="B104" s="8" t="inlineStr">
        <is>
          <t>分部資料</t>
        </is>
      </c>
      <c r="C104" s="8" t="inlineStr">
        <is>
          <t>medium</t>
        </is>
      </c>
      <c r="D104" s="11" t="inlineStr">
        <is>
          <t>geographical</t>
        </is>
      </c>
      <c r="E104" s="11" t="inlineStr">
        <is>
          <t>PDF p.50 (印刷頁 49)</t>
        </is>
      </c>
      <c r="F104" s="11" t="inlineStr">
        <is>
          <t>nment and biodiversity, as well as fair and ethical operating practices. As of 31 December 2025, the breakdown of major suppliers by geographical region was as follows: 94 (2024: 63) in the PRC and nil (2024: 3) in Singapore. During the Reporting Period, the aforementioned supplier engagement practices were implemented for all 94 (2024: 66) major suppliers in the Group’s core businesses. Quality of Products and Services The Group is dedicated to meeting customer and client needs through our commitment to quality assurance, with</t>
        </is>
      </c>
    </row>
    <row r="105">
      <c r="A105" s="8" t="inlineStr">
        <is>
          <t>Segment Information</t>
        </is>
      </c>
      <c r="B105" s="8" t="inlineStr">
        <is>
          <t>分部資料</t>
        </is>
      </c>
      <c r="C105" s="8" t="inlineStr">
        <is>
          <t>medium</t>
        </is>
      </c>
      <c r="D105" s="11" t="inlineStr">
        <is>
          <t>geographical</t>
        </is>
      </c>
      <c r="E105" s="11" t="inlineStr">
        <is>
          <t>PDF p.79 (印刷頁 78)</t>
        </is>
      </c>
      <c r="F105" s="11" t="inlineStr">
        <is>
          <t>ople 291 261 Part-time No. of people 2 7 By Age Group &lt;31 No. of people 46 43 31–50 No. of people 175 157 &gt;51 No. of people 72 68 By Geographical Region The PRC No. of people 278 245 Hong Kong No. of people 10 14 Singapore No. of people 4 6 Macao No. of people 1 3 Employee Turnover Rate21 By Gender Male % 27 17 Female % 32 29 By Age Group &lt;31 % 64 67 31–50 % 24 11 &gt;51 % 13 8 By Geographical Region The PRC % 24 19 Hong Kong % 122 42 Singapore % 50 0 Macao % – 33 19 The 2024 data covered the available data from our core business</t>
        </is>
      </c>
    </row>
    <row r="106">
      <c r="A106" s="8" t="inlineStr">
        <is>
          <t>Segment Information</t>
        </is>
      </c>
      <c r="B106" s="8" t="inlineStr">
        <is>
          <t>分部資料</t>
        </is>
      </c>
      <c r="C106" s="8" t="inlineStr">
        <is>
          <t>medium</t>
        </is>
      </c>
      <c r="D106" s="11" t="inlineStr">
        <is>
          <t>geographical</t>
        </is>
      </c>
      <c r="E106" s="11" t="inlineStr">
        <is>
          <t>PDF p.88 (印刷頁 87)</t>
        </is>
      </c>
      <c r="F106" s="11" t="inlineStr">
        <is>
          <t>s and welfare. KPI B1.1 Total workforce by gender, employment type (for example, full- or part-time), Performance Data age group and geographical region. Summary — Social Performance KPI B1.2 Employee turnover rate by gender, age group and geographical region. Performance Data Summary — Social Performance Aspect B2: Health and Safety General Disclosure Occupational Health and Safety Information on: (a) the policies; and Significant Laws and (b) compliance with relevant laws and regulations that have a significant impact on the</t>
        </is>
      </c>
    </row>
    <row r="107">
      <c r="A107" s="8" t="inlineStr">
        <is>
          <t>Segment Information</t>
        </is>
      </c>
      <c r="B107" s="8" t="inlineStr">
        <is>
          <t>分部資料</t>
        </is>
      </c>
      <c r="C107" s="8" t="inlineStr">
        <is>
          <t>medium</t>
        </is>
      </c>
      <c r="D107" s="11" t="inlineStr">
        <is>
          <t>geographical</t>
        </is>
      </c>
      <c r="E107" s="11" t="inlineStr">
        <is>
          <t>PDF p.89 (印刷頁 88)</t>
        </is>
      </c>
      <c r="F107" s="11" t="inlineStr">
        <is>
          <t>ble Supply Chain Management Policies on managing environmental and social risks of the supply chain. KPI B5.1 Number of suppliers by geographical region. Sustainable Supply Chain Management KPI B5.2 Description of practices relating to engaging suppliers, number of suppliers Sustainable Supply where the practices are being implemented, how they are implemented and Chain Management monitored. 88 ST R O N G P E T R O C H E M I C A L H O L D I N G S L I M I T E D 2 0 2 5 A N N UA L R E P O R T</t>
        </is>
      </c>
    </row>
    <row r="108">
      <c r="A108" s="8" t="inlineStr">
        <is>
          <t>Segment Information</t>
        </is>
      </c>
      <c r="B108" s="8" t="inlineStr">
        <is>
          <t>分部資料</t>
        </is>
      </c>
      <c r="C108" s="8" t="inlineStr">
        <is>
          <t>medium</t>
        </is>
      </c>
      <c r="D108" s="11" t="inlineStr">
        <is>
          <t>geographical</t>
        </is>
      </c>
      <c r="E108" s="11" t="inlineStr">
        <is>
          <t>PDF p.93 (印刷頁 92)</t>
        </is>
      </c>
      <c r="F108" s="11" t="inlineStr">
        <is>
          <t>alue Since data availability and chain climate-related risks and opportunities are concentrated (for quantification methods example, geographical areas, facilities and types of assets). continue to develop or evolve, we will continue to monitor and, where feasible, describe the concentration of climate-related risks and opportunities across our business model and value chain. 92 ST R O N G P E T R O C H E M I C A L H O L D I N G S L I M I T E D 2 0 2 5 A N N UA L R E P O R T</t>
        </is>
      </c>
    </row>
    <row r="109">
      <c r="A109" s="8" t="inlineStr">
        <is>
          <t>Segment Information</t>
        </is>
      </c>
      <c r="B109" s="8" t="inlineStr">
        <is>
          <t>分部資料</t>
        </is>
      </c>
      <c r="C109" s="8" t="inlineStr">
        <is>
          <t>medium</t>
        </is>
      </c>
      <c r="D109" s="11" t="inlineStr">
        <is>
          <t>geographical</t>
        </is>
      </c>
      <c r="E109" s="11" t="inlineStr">
        <is>
          <t>PDF p.152 (印刷頁 151)</t>
        </is>
      </c>
      <c r="F109" s="11" t="inlineStr">
        <is>
          <t>8 – 121,028 Petrochemicals manufacture business Petrochemicals – – – 193,126 193,126 Total 1,308,322 3,573 121,028 193,126 1,626,049 Geographical markets The PRC 1,308,322 3,573 121,028 193,126 1,626,049 Other regions – – – – – Total 1,308,322 3,573 121,028 193,126 1,626,049 Timing of revenue recognition A point in time 1,308,322 – 121,028 193,126 1,622,476 Over time – 3,573 – – 3,573 Total 1,308,322 3,573 121,028 193,126 1,626,049 ST R O N G P E T R O C H E M I C A L H O L D I N G S L I M I T E D 2 0 2 5 A N N UA L R E P O</t>
        </is>
      </c>
    </row>
    <row r="110">
      <c r="A110" s="8" t="inlineStr">
        <is>
          <t>Segment Information</t>
        </is>
      </c>
      <c r="B110" s="8" t="inlineStr">
        <is>
          <t>分部資料</t>
        </is>
      </c>
      <c r="C110" s="8" t="inlineStr">
        <is>
          <t>medium</t>
        </is>
      </c>
      <c r="D110" s="11" t="inlineStr">
        <is>
          <t>geographical</t>
        </is>
      </c>
      <c r="E110" s="11" t="inlineStr">
        <is>
          <t>PDF p.153 (印刷頁 152)</t>
        </is>
      </c>
      <c r="F110" s="11" t="inlineStr">
        <is>
          <t>248 Exploration, exploitation and operation of crude oil Sales of crude oil – – 69,338 69,338 Total 1,514,949 5,248 69,338 1,589,535 Geographical markets The PRC 1,382,255 5,248 69,338 1,456,841 Other regions 132,694 – – 132,694 Total 1,514,949 5,248 69,338 1,589,535 Timing of revenue recognition A point in time 1,514,949 – 69,338 1,584,287 Over time – 5,248 – 5,248 Total 1,514,949 5,248 69,338 1,589,535 152 ST R O N G P E T R O C H E M I C A L H O L D I N G S L I M I T E D 2 0 2 5 A N N UA L R E P O R T</t>
        </is>
      </c>
    </row>
    <row r="111">
      <c r="A111" s="8" t="inlineStr">
        <is>
          <t>Segment Information</t>
        </is>
      </c>
      <c r="B111" s="8" t="inlineStr">
        <is>
          <t>分部資料</t>
        </is>
      </c>
      <c r="C111" s="8" t="inlineStr">
        <is>
          <t>medium</t>
        </is>
      </c>
      <c r="D111" s="11" t="inlineStr">
        <is>
          <t>segment information</t>
        </is>
      </c>
      <c r="E111" s="11" t="inlineStr">
        <is>
          <t>PDF p.155 (印刷頁 154)</t>
        </is>
      </c>
      <c r="F111" s="11" t="inlineStr">
        <is>
          <t>e 3,717 8,533 (v) Set out below is the reconciliation of the revenue from contracts with customers with the amounts disclosed in the segment information 2025 2024 HK$’000 HK$’000 Trading business 1,308,322 1,514,949 Storage business 3,573 5,248 Exploration, exploitation and operation of crude oil business 121,028 69,338 Petrochemicals manufacture business 193,126 – Revenue from contracts with customers 1,626,049 1,589,535 Leases 3,717 8,533 Total revenue 1,629,766 1,598,068 6. SEGMENT INFORMATION Operating segments and the amou</t>
        </is>
      </c>
    </row>
    <row r="112">
      <c r="A112" s="8" t="inlineStr">
        <is>
          <t>Segment Information</t>
        </is>
      </c>
      <c r="B112" s="8" t="inlineStr">
        <is>
          <t>分部資料</t>
        </is>
      </c>
      <c r="C112" s="8" t="inlineStr">
        <is>
          <t>medium</t>
        </is>
      </c>
      <c r="D112" s="11" t="inlineStr">
        <is>
          <t>segment information</t>
        </is>
      </c>
      <c r="E112" s="11" t="inlineStr">
        <is>
          <t>PDF p.156 (印刷頁 155)</t>
        </is>
      </c>
      <c r="F112" s="11" t="inlineStr">
        <is>
          <t>Notes to the Consolidated Financial Statements For the year ended 31 December 2025 6. SEGMENT INFORMATION (CONTINUED) (iii) Exploration, exploitation and operation of crude oil business (participation in and operation of crude oil production activities under the PSC); and (iv) Petrochemicals manufacture business (comprising the production and sale of petrochemicals manufactured by the Group). Segment revenue and results The following is an analysis of the Group’s revenue and result</t>
        </is>
      </c>
    </row>
    <row r="113">
      <c r="A113" s="8" t="inlineStr">
        <is>
          <t>Segment Information</t>
        </is>
      </c>
      <c r="B113" s="8" t="inlineStr">
        <is>
          <t>分部資料</t>
        </is>
      </c>
      <c r="C113" s="8" t="inlineStr">
        <is>
          <t>medium</t>
        </is>
      </c>
      <c r="D113" s="11" t="inlineStr">
        <is>
          <t>segment information</t>
        </is>
      </c>
      <c r="E113" s="11" t="inlineStr">
        <is>
          <t>PDF p.157 (印刷頁 156)</t>
        </is>
      </c>
      <c r="F113" s="11" t="inlineStr">
        <is>
          <t>Notes to the Consolidated Financial Statements For the year ended 31 December 2025 6. SEGMENT INFORMATION (CONTINUED) Segment revenue and results (continued) For the year ended 31 December 2024 Exploration, exploitation and operation of Trading Storage crude oil business business business Eliminations Total HK$’000 HK$’000 HK$’000 HK$’000 HK$’000 Revenue from contracts with customers 1,514,949 5,248 69,338 – 1,589,535 Leases – 8,533 – – 8,533 Intra-segment sales (note (i)) 66,648 –</t>
        </is>
      </c>
    </row>
    <row r="114">
      <c r="A114" s="8" t="inlineStr">
        <is>
          <t>Segment Information</t>
        </is>
      </c>
      <c r="B114" s="8" t="inlineStr">
        <is>
          <t>分部資料</t>
        </is>
      </c>
      <c r="C114" s="8" t="inlineStr">
        <is>
          <t>medium</t>
        </is>
      </c>
      <c r="D114" s="11" t="inlineStr">
        <is>
          <t>segment information</t>
        </is>
      </c>
      <c r="E114" s="11" t="inlineStr">
        <is>
          <t>PDF p.158 (印刷頁 157)</t>
        </is>
      </c>
      <c r="F114" s="11" t="inlineStr">
        <is>
          <t>Notes to the Consolidated Financial Statements For the year ended 31 December 2025 6. SEGMENT INFORMATION (CONTINUED) Other segment information Other segment information included in the consolidated statement of profit or loss are as follows: Amounts included in the measure of segment profit or loss: For the year ended 31 December 2025 Exploration, exploitation and operation of Petrochemicals Trading Storage crude oil manufacture business business business business Unallocated Tota</t>
        </is>
      </c>
    </row>
    <row r="115">
      <c r="A115" s="8" t="inlineStr">
        <is>
          <t>Segment Information</t>
        </is>
      </c>
      <c r="B115" s="8" t="inlineStr">
        <is>
          <t>分部資料</t>
        </is>
      </c>
      <c r="C115" s="8" t="inlineStr">
        <is>
          <t>medium</t>
        </is>
      </c>
      <c r="D115" s="11" t="inlineStr">
        <is>
          <t>segment information</t>
        </is>
      </c>
      <c r="E115" s="11" t="inlineStr">
        <is>
          <t>PDF p.159 (印刷頁 158)</t>
        </is>
      </c>
      <c r="F115" s="11" t="inlineStr">
        <is>
          <t>Notes to the Consolidated Financial Statements For the year ended 31 December 2025 6. SEGMENT INFORMATION (CONTINUED) Other segment information (continued) Other segment information included in the consolidated statement of financial position are as follows: Amounts included in the measure of segment assets: For the year ended 31 December 2025 Exploration, exploitation and operation of Petrochemicals Trading Storage crude oil manufacture business business business business Unalloca</t>
        </is>
      </c>
    </row>
    <row r="116">
      <c r="A116" s="8" t="inlineStr">
        <is>
          <t>Segment Information</t>
        </is>
      </c>
      <c r="B116" s="8" t="inlineStr">
        <is>
          <t>分部資料</t>
        </is>
      </c>
      <c r="C116" s="8" t="inlineStr">
        <is>
          <t>medium</t>
        </is>
      </c>
      <c r="D116" s="11" t="inlineStr">
        <is>
          <t>segment information</t>
        </is>
      </c>
      <c r="E116" s="11" t="inlineStr">
        <is>
          <t>PDF p.160 (印刷頁 159)</t>
        </is>
      </c>
      <c r="F116" s="11" t="inlineStr">
        <is>
          <t>Notes to the Consolidated Financial Statements For the year ended 31 December 2025 6. SEGMENT INFORMATION (CONTINUED) Other segment information (continued) Geographical information The Group’s operations are currently carried out by the subsidiaries operating in Hong Kong, Macao, the PRC and Singapore. Information about the Group’s revenue from external customers is categorised by (a) the locations of shipment/delivery as designated by the customers, (b) the locations that the cust</t>
        </is>
      </c>
    </row>
    <row r="117">
      <c r="A117" s="8" t="inlineStr">
        <is>
          <t>Share-based Payment</t>
        </is>
      </c>
      <c r="B117" s="8" t="inlineStr">
        <is>
          <t>以股份為基礎的付款</t>
        </is>
      </c>
      <c r="C117" s="8" t="inlineStr">
        <is>
          <t>medium</t>
        </is>
      </c>
      <c r="D117" s="11" t="inlineStr">
        <is>
          <t>share option</t>
        </is>
      </c>
      <c r="E117" s="11" t="inlineStr">
        <is>
          <t>PDF p.112 (印刷頁 111)</t>
        </is>
      </c>
      <c r="F117" s="11" t="inlineStr">
        <is>
          <t>securities of Company and its associated corporations (within the meaning of Part XV of the SFO), or had exercised any such rights. SHARE OPTIONS During the Year, the Company had no share option scheme. ST R O N G P E T R O C H E M I C A L H O L D I N G S L I M I T E D 2 0 2 5 A N N UA L R E P O R T 111</t>
        </is>
      </c>
    </row>
    <row r="118">
      <c r="A118" s="8" t="inlineStr">
        <is>
          <t>Share-based Payment</t>
        </is>
      </c>
      <c r="B118" s="8" t="inlineStr">
        <is>
          <t>以股份為基礎的付款</t>
        </is>
      </c>
      <c r="C118" s="8" t="inlineStr">
        <is>
          <t>medium</t>
        </is>
      </c>
      <c r="D118" s="11" t="inlineStr">
        <is>
          <t>share-based payment</t>
        </is>
      </c>
      <c r="E118" s="11" t="inlineStr">
        <is>
          <t>PDF p.165 (印刷頁 164)</t>
        </is>
      </c>
      <c r="F118" s="11" t="inlineStr">
        <is>
          <t>2,437 Other emoluments: 17 – – – 253 603 – – – – – – – – – – 873 Salaries and other benefits – – – – 126 101 – – – – – – – – – – 227 Share-based payments – – – – – – – – – – – – – – – – – Sign-on bonus – – – – – – – – – – – – – – – – – Discretionary bonus – – – – 125 500 – – – – – – – – – – 625 Contributions to retirement benefits schemes 17 – – – 2 2 – – – – – – – – – – 21 Total emoluments for the year ended 31 December 2025 1,140 561 – – 253 603 168 81 – – – – – 168 168 168 3,310 Fees – – – – – – – – 123 150 148 33 33 – – – 4</t>
        </is>
      </c>
    </row>
    <row r="119">
      <c r="A119" s="8" t="inlineStr">
        <is>
          <t>Share-based Payment</t>
        </is>
      </c>
      <c r="B119" s="8" t="inlineStr">
        <is>
          <t>以股份為基礎的付款</t>
        </is>
      </c>
      <c r="C119" s="8" t="inlineStr">
        <is>
          <t>medium</t>
        </is>
      </c>
      <c r="D119" s="11" t="inlineStr">
        <is>
          <t>share option</t>
        </is>
      </c>
      <c r="E119" s="11" t="inlineStr">
        <is>
          <t>PDF p.167 (印刷頁 166)</t>
        </is>
      </c>
      <c r="F119" s="11" t="inlineStr">
        <is>
          <t>31 December 2025 and 2024, diluted loss per share was the same as the basic loss per share as potential ordinary shares arising from share options were not treated as dilutive as the conversion to ordinary shares would not increase the loss per share. 166 ST R O N G P E T R O C H E M I C A L H O L D I N G S L I M I T E D 2 0 2 5 A N N UA L R E P O R T</t>
        </is>
      </c>
    </row>
    <row r="120">
      <c r="A120" s="8" t="inlineStr">
        <is>
          <t>Share-based Payment</t>
        </is>
      </c>
      <c r="B120" s="8" t="inlineStr">
        <is>
          <t>以股份為基礎的付款</t>
        </is>
      </c>
      <c r="C120" s="8" t="inlineStr">
        <is>
          <t>medium</t>
        </is>
      </c>
      <c r="D120" s="11" t="inlineStr">
        <is>
          <t>share-based payment</t>
        </is>
      </c>
      <c r="E120" s="11" t="inlineStr">
        <is>
          <t>PDF p.191 (印刷頁 190)</t>
        </is>
      </c>
      <c r="F120" s="11" t="inlineStr">
        <is>
          <t>Notes to the Consolidated Financial Statements For the year ended 31 December 2025 35. SHARE-BASED PAYMENT TRANSACTIONS Equity-settled share option schemes The share option scheme was adopted by an ordinary resolution of the shareholders at annual general meeting of the Company on 15 May 2014 (the “Share Option Scheme”). The Share Option Scheme constitutes a share option scheme governed by Chapter 17 of the Listing Rules and will remain in force for 10 years from 15 May 2014. All ou</t>
        </is>
      </c>
    </row>
    <row r="121">
      <c r="A121" s="8" t="inlineStr">
        <is>
          <t>Share-based Payment</t>
        </is>
      </c>
      <c r="B121" s="8" t="inlineStr">
        <is>
          <t>以股份為基礎的付款</t>
        </is>
      </c>
      <c r="C121" s="8" t="inlineStr">
        <is>
          <t>medium</t>
        </is>
      </c>
      <c r="D121" s="11" t="inlineStr">
        <is>
          <t>share-based payment</t>
        </is>
      </c>
      <c r="E121" s="11" t="inlineStr">
        <is>
          <t>PDF p.192 (印刷頁 191)</t>
        </is>
      </c>
      <c r="F121" s="11" t="inlineStr">
        <is>
          <t>Notes to the Consolidated Financial Statements For the year ended 31 December 2025 35. SHARE-BASED PAYMENT TRANSACTIONS (CONTINUED) Equity-settled share option schemes (continued) Share Option Scheme (continued) As the fair value of advisory services provided by the advisers could not measured reliably, the fair value of the share options was determined using the Black-Scholes pricing model. Where relevant, the expected life used in the model had been adjusted based on management’s</t>
        </is>
      </c>
    </row>
    <row r="122">
      <c r="A122" s="8" t="inlineStr">
        <is>
          <t>Related Party Transactions</t>
        </is>
      </c>
      <c r="B122" s="8" t="inlineStr">
        <is>
          <t>關聯方交易</t>
        </is>
      </c>
      <c r="C122" s="8" t="inlineStr">
        <is>
          <t>low</t>
        </is>
      </c>
      <c r="D122" s="11" t="inlineStr">
        <is>
          <t>connected transaction</t>
        </is>
      </c>
      <c r="E122" s="11" t="inlineStr">
        <is>
          <t>PDF p.26 (印刷頁 25)</t>
        </is>
      </c>
      <c r="F122" s="11" t="inlineStr">
        <is>
          <t>ar, the Audit Committee did not complete its usual review of financial results, internal audit, risk management, asset impairment or connected transactions, as the Company’s governance focus was directed to matters overseen by the independent board committee, including the forensic investigation. While the external auditor, Messrs. BDO Limited, commenced audit work during the Year, the Audit Committee deferred its substantive review and discussion of audit-related matters to the year ending 31 December 2026, when circumstances</t>
        </is>
      </c>
    </row>
    <row r="123">
      <c r="A123" s="8" t="inlineStr">
        <is>
          <t>Related Party Transactions</t>
        </is>
      </c>
      <c r="B123" s="8" t="inlineStr">
        <is>
          <t>關聯方交易</t>
        </is>
      </c>
      <c r="C123" s="8" t="inlineStr">
        <is>
          <t>low</t>
        </is>
      </c>
      <c r="D123" s="11" t="inlineStr">
        <is>
          <t>connected transaction</t>
        </is>
      </c>
      <c r="E123" s="11" t="inlineStr">
        <is>
          <t>PDF p.111 (印刷頁 110)</t>
        </is>
      </c>
      <c r="F123" s="11" t="inlineStr">
        <is>
          <t>the Company were entered into or existed during the Year. DIRECTORS’ INTERESTS IN CONTRACTS Save as disclosed in the section headed “Connected Transactions” of this report and Note 39 to the consolidated financial statements, to the best of the Company’s knowledge, no transactions, arrangements or contracts of significance in relation to the Group’s business to which the Company or its subsidiaries was a party and in which a Director had a material interest, whether directly or indirectly, subsisted at any time during the Year</t>
        </is>
      </c>
    </row>
    <row r="124">
      <c r="A124" s="8" t="inlineStr">
        <is>
          <t>Related Party Transactions</t>
        </is>
      </c>
      <c r="B124" s="8" t="inlineStr">
        <is>
          <t>關聯方交易</t>
        </is>
      </c>
      <c r="C124" s="8" t="inlineStr">
        <is>
          <t>low</t>
        </is>
      </c>
      <c r="D124" s="11" t="inlineStr">
        <is>
          <t>related party</t>
        </is>
      </c>
      <c r="E124" s="11" t="inlineStr">
        <is>
          <t>PDF p.113 (印刷頁 112)</t>
        </is>
      </c>
      <c r="F124" s="11" t="inlineStr">
        <is>
          <t>e Group to support its operating activities. During the Year, the Shareholder Loan Agreements constituted connected transactions and related party transactions and the details are set out in Note 39 to the consolidated financial statements. The connected transactions under the above shareholder loans are not secured by any assets of the Group and are conducted on normal commercial terms or better and therefore are exempted from the reporting, annual review, announcement and independent shareholders’ approval requirements contem</t>
        </is>
      </c>
    </row>
    <row r="125">
      <c r="A125" s="8" t="inlineStr">
        <is>
          <t>Related Party Transactions</t>
        </is>
      </c>
      <c r="B125" s="8" t="inlineStr">
        <is>
          <t>關聯方交易</t>
        </is>
      </c>
      <c r="C125" s="8" t="inlineStr">
        <is>
          <t>low</t>
        </is>
      </c>
      <c r="D125" s="11" t="inlineStr">
        <is>
          <t>related party</t>
        </is>
      </c>
      <c r="E125" s="11" t="inlineStr">
        <is>
          <t>PDF p.114 (印刷頁 113)</t>
        </is>
      </c>
      <c r="F125" s="11" t="inlineStr">
        <is>
          <t>general company secretarial support service agreement with Precious Consulting Limited, which constituted connected transaction and related party transaction and the details are set out in Note 39 to the consolidated financial statements. The spouse of Dr. Wang Pang Paul, an executive Director, holds the entire issued share capital of Precious Consulting Limited. The connected transaction under the above general company secretarial support service agreement falls within the de minimis threshold under Rule 14A.76(1) of the List</t>
        </is>
      </c>
    </row>
    <row r="126">
      <c r="A126" s="8" t="inlineStr">
        <is>
          <t>Related Party Transactions</t>
        </is>
      </c>
      <c r="B126" s="8" t="inlineStr">
        <is>
          <t>關聯方交易</t>
        </is>
      </c>
      <c r="C126" s="8" t="inlineStr">
        <is>
          <t>low</t>
        </is>
      </c>
      <c r="D126" s="11" t="inlineStr">
        <is>
          <t>related party</t>
        </is>
      </c>
      <c r="E126" s="11" t="inlineStr">
        <is>
          <t>PDF p.206 (印刷頁 205)</t>
        </is>
      </c>
      <c r="F126" s="11" t="inlineStr">
        <is>
          <t>Notes to the Consolidated Financial Statements For the year ended 31 December 2025 39. RELATED PARTY TRANSACTIONS (a) Shareholder loans During the year ended 31 December 2025, the Group entered into two loan agreements (the “Shareholder Loan Agreements”) with Speed Success Group Limited, a company holding 50,576,000 Shares. Mr. Wang Jian Sheng, a non-executive director of the Company, holds the entire issued share capital of Speed Success Group Limited. Pursuant to the Shareholder 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9"/>
  <sheetViews>
    <sheetView workbookViewId="0">
      <pane ySplit="28" topLeftCell="A29"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Revenue</t>
        </is>
      </c>
    </row>
    <row r="9">
      <c r="A9" s="8" t="inlineStr">
        <is>
          <t>Income Statement</t>
        </is>
      </c>
      <c r="B9" s="8" t="inlineStr">
        <is>
          <t>Cost of Sales</t>
        </is>
      </c>
    </row>
    <row r="10">
      <c r="A10" s="8" t="inlineStr">
        <is>
          <t>Income Statement</t>
        </is>
      </c>
      <c r="B10" s="8" t="inlineStr">
        <is>
          <t>Gross Profit</t>
        </is>
      </c>
    </row>
    <row r="11">
      <c r="A11" s="8" t="inlineStr">
        <is>
          <t>Income Statement</t>
        </is>
      </c>
      <c r="B11" s="8" t="inlineStr">
        <is>
          <t>Operating Profit</t>
        </is>
      </c>
    </row>
    <row r="12">
      <c r="A12" s="8" t="inlineStr">
        <is>
          <t>Income Statement</t>
        </is>
      </c>
      <c r="B12" s="8" t="inlineStr">
        <is>
          <t>Profit Before Tax</t>
        </is>
      </c>
    </row>
    <row r="13">
      <c r="A13" s="8" t="inlineStr">
        <is>
          <t>Income Statement</t>
        </is>
      </c>
      <c r="B13" s="8" t="inlineStr">
        <is>
          <t>Profit for the Year</t>
        </is>
      </c>
    </row>
    <row r="14">
      <c r="A14" s="8" t="inlineStr">
        <is>
          <t>Income Statement</t>
        </is>
      </c>
      <c r="B14" s="8" t="inlineStr">
        <is>
          <t>R&amp;D Expenses</t>
        </is>
      </c>
    </row>
    <row r="15">
      <c r="A15" s="8" t="inlineStr">
        <is>
          <t>Balance Sheet</t>
        </is>
      </c>
      <c r="B15" s="8" t="inlineStr">
        <is>
          <t>Total Assets</t>
        </is>
      </c>
    </row>
    <row r="16">
      <c r="A16" s="8" t="inlineStr">
        <is>
          <t>Balance Sheet</t>
        </is>
      </c>
      <c r="B16" s="8" t="inlineStr">
        <is>
          <t>Cash and Equivalents</t>
        </is>
      </c>
    </row>
    <row r="17">
      <c r="A17" s="8" t="inlineStr">
        <is>
          <t>Balance Sheet</t>
        </is>
      </c>
      <c r="B17" s="8" t="inlineStr">
        <is>
          <t>Goodwill</t>
        </is>
      </c>
    </row>
    <row r="18">
      <c r="A18" s="8" t="inlineStr">
        <is>
          <t>Balance Sheet</t>
        </is>
      </c>
      <c r="B18" s="8" t="inlineStr">
        <is>
          <t>Investment Properties</t>
        </is>
      </c>
    </row>
    <row r="19">
      <c r="A19" s="8" t="inlineStr">
        <is>
          <t>Balance Sheet</t>
        </is>
      </c>
      <c r="B19" s="8" t="inlineStr">
        <is>
          <t>Total Liabilities</t>
        </is>
      </c>
    </row>
    <row r="20">
      <c r="A20" s="8" t="inlineStr">
        <is>
          <t>Balance Sheet</t>
        </is>
      </c>
      <c r="B20" s="8" t="inlineStr">
        <is>
          <t>Borrowings</t>
        </is>
      </c>
    </row>
    <row r="21">
      <c r="A21" s="8" t="inlineStr">
        <is>
          <t>Cash Flow</t>
        </is>
      </c>
      <c r="B21" s="8" t="inlineStr">
        <is>
          <t>Financing Cash Flow</t>
        </is>
      </c>
    </row>
    <row r="22">
      <c r="A22" s="8" t="inlineStr">
        <is>
          <t>Cash Flow</t>
        </is>
      </c>
      <c r="B22" s="8" t="inlineStr">
        <is>
          <t>Capital Expenditure</t>
        </is>
      </c>
    </row>
    <row r="25">
      <c r="A25" s="5" t="inlineStr">
        <is>
          <t>二、文字量過低的頁面(疑似掃描頁)</t>
        </is>
      </c>
    </row>
    <row r="26">
      <c r="A26" s="2" t="inlineStr">
        <is>
          <t>這些頁面幾乎抓不到文字,通常是掃描件或純圖表,建議人手翻閱或另行 OCR。</t>
        </is>
      </c>
    </row>
    <row r="28">
      <c r="A28" s="7" t="inlineStr">
        <is>
          <t>PDF 頁碼</t>
        </is>
      </c>
      <c r="B28" s="7" t="inlineStr">
        <is>
          <t>狀態</t>
        </is>
      </c>
    </row>
    <row r="29">
      <c r="A29"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2026-08-30T14:16:44Z</dcterms:created>
  <dcterms:modified xsi:type="dcterms:W3CDTF">2026-08-30T14:16:44Z</dcterms:modified>
</cp:coreProperties>
</file>
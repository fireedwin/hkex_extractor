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趨勢圖'!$A$5:$A$7</f>
            </numRef>
          </cat>
          <val>
            <numRef>
              <f>'Chart 趨勢圖'!$B$5:$B$7</f>
            </numRef>
          </val>
        </ser>
        <ser>
          <idx val="1"/>
          <order val="1"/>
          <tx>
            <strRef>
              <f>'Chart 趨勢圖'!C4</f>
            </strRef>
          </tx>
          <spPr>
            <a:ln>
              <a:prstDash val="solid"/>
            </a:ln>
          </spPr>
          <cat>
            <numRef>
              <f>'Chart 趨勢圖'!$A$5:$A$7</f>
            </numRef>
          </cat>
          <val>
            <numRef>
              <f>'Chart 趨勢圖'!$C$5:$C$7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08031_ETS_GROUP_20260428.pdf</t>
        </is>
      </c>
    </row>
    <row r="5">
      <c r="A5" s="3" t="inlineStr">
        <is>
          <t>產生時間 Generated</t>
        </is>
      </c>
      <c r="B5" s="4" t="inlineStr">
        <is>
          <t>2026-08-30 21:49</t>
        </is>
      </c>
    </row>
    <row r="6">
      <c r="A6" s="4" t="inlineStr"/>
      <c r="B6" s="4" t="inlineStr"/>
    </row>
    <row r="7">
      <c r="A7" s="3" t="inlineStr">
        <is>
          <t>總頁數 Total pages</t>
        </is>
      </c>
      <c r="B7" s="4" t="n">
        <v>134</v>
      </c>
    </row>
    <row r="8">
      <c r="A8" s="3" t="inlineStr">
        <is>
          <t>已擷取字元 Characters extracted</t>
        </is>
      </c>
      <c r="B8" s="4" t="n">
        <v>263921</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8</v>
      </c>
    </row>
    <row r="13">
      <c r="A13" s="3" t="inlineStr">
        <is>
          <t>財務科目擷取筆數 Financial line items</t>
        </is>
      </c>
      <c r="B13" s="4" t="n">
        <v>14</v>
      </c>
    </row>
    <row r="14">
      <c r="A14" s="3" t="inlineStr">
        <is>
          <t>主題段落擷取筆數 Topic extracts</t>
        </is>
      </c>
      <c r="B14" s="4" t="n">
        <v>60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64,015 − 14,136 = 49,879</t>
        </is>
      </c>
    </row>
    <row r="20">
      <c r="A20" s="6" t="inlineStr">
        <is>
          <t>✓ 三大報表應相鄰</t>
        </is>
      </c>
      <c r="B20" s="4" t="inlineStr">
        <is>
          <t>Income Statement: p.67、Balance Sheet: p.68、Cash Flow: p.71(相距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8.300000000000001</v>
      </c>
      <c r="D5" s="10" t="n">
        <v>8.300000000000001</v>
      </c>
      <c r="E5" s="11" t="inlineStr">
        <is>
          <t>8.3%</t>
        </is>
      </c>
      <c r="F5" s="11" t="inlineStr">
        <is>
          <t>Medium</t>
        </is>
      </c>
      <c r="G5" s="11" t="inlineStr">
        <is>
          <t>PDF p.11 (印刷頁 10)</t>
        </is>
      </c>
      <c r="H5" s="11" t="inlineStr">
        <is>
          <t>s for the year ended 31 December 2025. Outsourcing Inbound Contact Services The gross profit margin in outsourcing inbound contact services decreased from approximately 8.3% for the year ended 31 December 2024 to approximately 6.3% for the year ended 31 Decem</t>
        </is>
      </c>
    </row>
    <row r="6">
      <c r="A6" s="8" t="inlineStr">
        <is>
          <t>Gross Margin</t>
        </is>
      </c>
      <c r="B6" s="8" t="inlineStr">
        <is>
          <t>毛利率</t>
        </is>
      </c>
      <c r="C6" s="9" t="n">
        <v>6.3</v>
      </c>
      <c r="D6" s="10" t="n">
        <v>6.3</v>
      </c>
      <c r="E6" s="11" t="inlineStr">
        <is>
          <t>6.3%</t>
        </is>
      </c>
      <c r="F6" s="11" t="inlineStr">
        <is>
          <t>Medium</t>
        </is>
      </c>
      <c r="G6" s="11" t="inlineStr">
        <is>
          <t>PDF p.11 (印刷頁 10)</t>
        </is>
      </c>
      <c r="H6" s="11" t="inlineStr">
        <is>
          <t xml:space="preserve"> to approximately 6.3% for the year ended 31 December 2025. The decrease in the gross profit margin was mainly due to decrease in demand of outsourcing inbound contact services. Staff Insourcing Services The gross profit margin in staff insourcing services de</t>
        </is>
      </c>
    </row>
    <row r="7">
      <c r="A7" s="8" t="inlineStr">
        <is>
          <t>Gross Margin</t>
        </is>
      </c>
      <c r="B7" s="8" t="inlineStr">
        <is>
          <t>毛利率</t>
        </is>
      </c>
      <c r="C7" s="9" t="n">
        <v>9.5</v>
      </c>
      <c r="D7" s="10" t="n">
        <v>9.5</v>
      </c>
      <c r="E7" s="11" t="inlineStr">
        <is>
          <t>9.5%</t>
        </is>
      </c>
      <c r="F7" s="11" t="inlineStr">
        <is>
          <t>Medium</t>
        </is>
      </c>
      <c r="G7" s="11" t="inlineStr">
        <is>
          <t>PDF p.11 (印刷頁 10)</t>
        </is>
      </c>
      <c r="H7" s="11" t="inlineStr">
        <is>
          <t>n demand of outsourcing inbound contact services. Staff Insourcing Services The gross profit margin in staff insourcing services decreased from approximately 9.5% for the year ended 31 December 2024 to approximately 8.1% for the year ended 31 December 2025. T</t>
        </is>
      </c>
    </row>
    <row r="8">
      <c r="A8" s="8" t="inlineStr">
        <is>
          <t>Gross Margin</t>
        </is>
      </c>
      <c r="B8" s="8" t="inlineStr">
        <is>
          <t>毛利率</t>
        </is>
      </c>
      <c r="C8" s="9" t="n">
        <v>8.1</v>
      </c>
      <c r="D8" s="10" t="n">
        <v>8.1</v>
      </c>
      <c r="E8" s="11" t="inlineStr">
        <is>
          <t>8.1%</t>
        </is>
      </c>
      <c r="F8" s="11" t="inlineStr">
        <is>
          <t>Medium</t>
        </is>
      </c>
      <c r="G8" s="11" t="inlineStr">
        <is>
          <t>PDF p.11 (印刷頁 10)</t>
        </is>
      </c>
      <c r="H8" s="11" t="inlineStr">
        <is>
          <t xml:space="preserve"> to approximately 8.1% for the year ended 31 December 2025. The decrease in the gross profit margin was mainly due to decrease in high gross profit project of staff insourcing services. 10 ETS GROUP LIMITED | ANNUAL REPORT 2025</t>
        </is>
      </c>
    </row>
    <row r="9">
      <c r="A9" s="8" t="inlineStr">
        <is>
          <t>Gross Margin</t>
        </is>
      </c>
      <c r="B9" s="8" t="inlineStr">
        <is>
          <t>毛利率</t>
        </is>
      </c>
      <c r="C9" s="9" t="n">
        <v>21.8</v>
      </c>
      <c r="D9" s="10" t="n">
        <v>21.8</v>
      </c>
      <c r="E9" s="11" t="inlineStr">
        <is>
          <t>21.8%</t>
        </is>
      </c>
      <c r="F9" s="11" t="inlineStr">
        <is>
          <t>Medium</t>
        </is>
      </c>
      <c r="G9" s="11" t="inlineStr">
        <is>
          <t>PDF p.12 (印刷頁 11)</t>
        </is>
      </c>
      <c r="H9" s="11" t="inlineStr">
        <is>
          <t xml:space="preserve">SCUSSION AND ANALYSIS Contact Service Centre Facilities Management Services The gross profit margin in contact service centre facilities management services decreased from approximately 21.8% for the year ended 31 December 2024 to approximately 15.2% for the </t>
        </is>
      </c>
    </row>
    <row r="10">
      <c r="A10" s="8" t="inlineStr">
        <is>
          <t>Gross Margin</t>
        </is>
      </c>
      <c r="B10" s="8" t="inlineStr">
        <is>
          <t>毛利率</t>
        </is>
      </c>
      <c r="C10" s="9" t="n">
        <v>15.2</v>
      </c>
      <c r="D10" s="10" t="n">
        <v>15.2</v>
      </c>
      <c r="E10" s="11" t="inlineStr">
        <is>
          <t>15.2%</t>
        </is>
      </c>
      <c r="F10" s="11" t="inlineStr">
        <is>
          <t>Medium</t>
        </is>
      </c>
      <c r="G10" s="11" t="inlineStr">
        <is>
          <t>PDF p.12 (印刷頁 11)</t>
        </is>
      </c>
      <c r="H10" s="11" t="inlineStr">
        <is>
          <t>to approximately 15.2% for the year ended 31 December 2025. The decrease in the gross profit margin was mainly due to decrease in demand of contact service centre facilities management services. System and Software Business The gross profit margin of system a</t>
        </is>
      </c>
    </row>
    <row r="11">
      <c r="A11" s="8" t="inlineStr">
        <is>
          <t>Gross Margin</t>
        </is>
      </c>
      <c r="B11" s="8" t="inlineStr">
        <is>
          <t>毛利率</t>
        </is>
      </c>
      <c r="C11" s="9" t="n">
        <v>41.6</v>
      </c>
      <c r="D11" s="10" t="n">
        <v>41.6</v>
      </c>
      <c r="E11" s="11" t="inlineStr">
        <is>
          <t>41.6%</t>
        </is>
      </c>
      <c r="F11" s="11" t="inlineStr">
        <is>
          <t>Medium</t>
        </is>
      </c>
      <c r="G11" s="11" t="inlineStr">
        <is>
          <t>PDF p.12 (印刷頁 11)</t>
        </is>
      </c>
      <c r="H11" s="11" t="inlineStr">
        <is>
          <t>service centre facilities management services. System and Software Business The gross profit margin of system and software business increased from the gross profit approximately 41.6% for the year ended 31 December 2024 to the gross profit approximately 48.6%</t>
        </is>
      </c>
    </row>
    <row r="12">
      <c r="A12" s="8" t="inlineStr">
        <is>
          <t>Gross Margin</t>
        </is>
      </c>
      <c r="B12" s="8" t="inlineStr">
        <is>
          <t>毛利率</t>
        </is>
      </c>
      <c r="C12" s="9" t="n">
        <v>48.6</v>
      </c>
      <c r="D12" s="10" t="n">
        <v>48.6</v>
      </c>
      <c r="E12" s="11" t="inlineStr">
        <is>
          <t>48.6%</t>
        </is>
      </c>
      <c r="F12" s="11" t="inlineStr">
        <is>
          <t>Medium</t>
        </is>
      </c>
      <c r="G12" s="11" t="inlineStr">
        <is>
          <t>PDF p.12 (印刷頁 11)</t>
        </is>
      </c>
      <c r="H12" s="11" t="inlineStr">
        <is>
          <t xml:space="preserve">it approximately 48.6% for the year ended 31 December 2025. The increase in the gross profit margin mainly due to increase in demand of sales of system and software. Other Gains – Net The Group recorded nil net other gains for the year ended 31 December 2025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2024; Balance Sheet: 2025 / 2024; Cash Flow: 2025 / 2024</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77853</v>
      </c>
      <c r="D5" s="13" t="n">
        <v>80726</v>
      </c>
      <c r="E5" s="14">
        <f>IF(ISERROR((C5-D5)/ABS(D5)),"",(C5-D5)/ABS(D5))</f>
        <v>-0.03558952506007978</v>
      </c>
      <c r="F5" s="11" t="inlineStr">
        <is>
          <t>PDF p.67 (印刷頁 66)</t>
        </is>
      </c>
      <c r="G5" s="11" t="inlineStr">
        <is>
          <t>Revenue 5 77,853 80,726</t>
        </is>
      </c>
    </row>
    <row r="6">
      <c r="A6" s="8" t="inlineStr">
        <is>
          <t>Income Statement</t>
        </is>
      </c>
      <c r="B6" s="8" t="inlineStr">
        <is>
          <t>Depreciation</t>
        </is>
      </c>
      <c r="C6" s="12" t="n">
        <v>-3381</v>
      </c>
      <c r="D6" s="13" t="n">
        <v>-3341</v>
      </c>
      <c r="E6" s="14">
        <f>IF(ISERROR((C6-D6)/ABS(D6)),"",(C6-D6)/ABS(D6))</f>
        <v>-0.01197246333433104</v>
      </c>
      <c r="F6" s="11" t="inlineStr">
        <is>
          <t>PDF p.67 (印刷頁 66)</t>
        </is>
      </c>
      <c r="G6" s="11" t="inlineStr">
        <is>
          <t>Depreciation and amortization (3,381) (3,341)</t>
        </is>
      </c>
    </row>
    <row r="7">
      <c r="A7" s="8" t="inlineStr">
        <is>
          <t>Income Statement</t>
        </is>
      </c>
      <c r="B7" s="8" t="inlineStr">
        <is>
          <t>Finance Costs</t>
        </is>
      </c>
      <c r="C7" s="12" t="n">
        <v>-89</v>
      </c>
      <c r="D7" s="13" t="n">
        <v>-185</v>
      </c>
      <c r="E7" s="14">
        <f>IF(ISERROR((C7-D7)/ABS(D7)),"",(C7-D7)/ABS(D7))</f>
        <v>0.518918918918919</v>
      </c>
      <c r="F7" s="11" t="inlineStr">
        <is>
          <t>PDF p.67 (印刷頁 66)</t>
        </is>
      </c>
      <c r="G7" s="11" t="inlineStr">
        <is>
          <t>Finance costs 9 (89) (185)</t>
        </is>
      </c>
    </row>
    <row r="8">
      <c r="A8" s="8" t="inlineStr">
        <is>
          <t>Income Statement</t>
        </is>
      </c>
      <c r="B8" s="8" t="inlineStr">
        <is>
          <t>Income Tax</t>
        </is>
      </c>
      <c r="C8" s="12" t="n">
        <v>26</v>
      </c>
      <c r="D8" s="13" t="n">
        <v>-855</v>
      </c>
      <c r="E8" s="14">
        <f>IF(ISERROR((C8-D8)/ABS(D8)),"",(C8-D8)/ABS(D8))</f>
        <v>1.0304093567251462</v>
      </c>
      <c r="F8" s="11" t="inlineStr">
        <is>
          <t>PDF p.67 (印刷頁 66)</t>
        </is>
      </c>
      <c r="G8" s="11" t="inlineStr">
        <is>
          <t>Income tax credit/(expense) 11 26 (855)</t>
        </is>
      </c>
    </row>
    <row r="9">
      <c r="A9" s="8" t="inlineStr">
        <is>
          <t>Income Statement</t>
        </is>
      </c>
      <c r="B9" s="8" t="inlineStr">
        <is>
          <t>Profit for the Year</t>
        </is>
      </c>
      <c r="C9" s="12" t="n">
        <v>0</v>
      </c>
      <c r="D9" s="13" t="n">
        <v>9100</v>
      </c>
      <c r="E9" s="14">
        <f>IF(ISERROR((C9-D9)/ABS(D9)),"",(C9-D9)/ABS(D9))</f>
        <v>-1.0</v>
      </c>
      <c r="F9" s="11" t="inlineStr">
        <is>
          <t>PDF p.67 (印刷頁 66)</t>
        </is>
      </c>
      <c r="G9" s="11" t="inlineStr">
        <is>
          <t>Profit for the year from discontinued operation – 9,100</t>
        </is>
      </c>
    </row>
    <row r="10">
      <c r="A10" s="8" t="inlineStr">
        <is>
          <t>Balance Sheet</t>
        </is>
      </c>
      <c r="B10" s="8" t="inlineStr">
        <is>
          <t>Property Plant and Equipment</t>
        </is>
      </c>
      <c r="C10" s="12" t="n">
        <v>442</v>
      </c>
      <c r="D10" s="13" t="n">
        <v>766</v>
      </c>
      <c r="E10" s="14">
        <f>IF(ISERROR((C10-D10)/ABS(D10)),"",(C10-D10)/ABS(D10))</f>
        <v>-0.42297650130548303</v>
      </c>
      <c r="F10" s="11" t="inlineStr">
        <is>
          <t>PDF p.68 (印刷頁 67)</t>
        </is>
      </c>
      <c r="G10" s="11" t="inlineStr">
        <is>
          <t>Property, plant and equipment 16 442 766</t>
        </is>
      </c>
    </row>
    <row r="11">
      <c r="A11" s="8" t="inlineStr">
        <is>
          <t>Balance Sheet</t>
        </is>
      </c>
      <c r="B11" s="8" t="inlineStr">
        <is>
          <t>Intangible Assets</t>
        </is>
      </c>
      <c r="C11" s="12" t="n">
        <v>794</v>
      </c>
      <c r="D11" s="13" t="n">
        <v>1470</v>
      </c>
      <c r="E11" s="14">
        <f>IF(ISERROR((C11-D11)/ABS(D11)),"",(C11-D11)/ABS(D11))</f>
        <v>-0.4598639455782313</v>
      </c>
      <c r="F11" s="11" t="inlineStr">
        <is>
          <t>PDF p.68 (印刷頁 67)</t>
        </is>
      </c>
      <c r="G11" s="11" t="inlineStr">
        <is>
          <t>Intangible assets 18 794 1,470</t>
        </is>
      </c>
    </row>
    <row r="12">
      <c r="A12" s="8" t="inlineStr">
        <is>
          <t>Balance Sheet</t>
        </is>
      </c>
      <c r="B12" s="8" t="inlineStr">
        <is>
          <t>Trade Receivables</t>
        </is>
      </c>
      <c r="C12" s="12" t="n">
        <v>10987</v>
      </c>
      <c r="D12" s="13" t="n">
        <v>18290</v>
      </c>
      <c r="E12" s="14">
        <f>IF(ISERROR((C12-D12)/ABS(D12)),"",(C12-D12)/ABS(D12))</f>
        <v>-0.39928922908693276</v>
      </c>
      <c r="F12" s="11" t="inlineStr">
        <is>
          <t>PDF p.68 (印刷頁 67)</t>
        </is>
      </c>
      <c r="G12" s="11" t="inlineStr">
        <is>
          <t>Trade and other receivables 22 10,987 18,290</t>
        </is>
      </c>
    </row>
    <row r="13">
      <c r="A13" s="8" t="inlineStr">
        <is>
          <t>Balance Sheet</t>
        </is>
      </c>
      <c r="B13" s="8" t="inlineStr">
        <is>
          <t>Cash and Equivalents</t>
        </is>
      </c>
      <c r="C13" s="12" t="n">
        <v>48381</v>
      </c>
      <c r="D13" s="13" t="n">
        <v>49523</v>
      </c>
      <c r="E13" s="14">
        <f>IF(ISERROR((C13-D13)/ABS(D13)),"",(C13-D13)/ABS(D13))</f>
        <v>-0.02305999232679765</v>
      </c>
      <c r="F13" s="11" t="inlineStr">
        <is>
          <t>PDF p.68 (印刷頁 67)</t>
        </is>
      </c>
      <c r="G13" s="11" t="inlineStr">
        <is>
          <t>Cash and cash equivalents 23 48,381 49,523</t>
        </is>
      </c>
    </row>
    <row r="14">
      <c r="A14" s="8" t="inlineStr">
        <is>
          <t>Balance Sheet</t>
        </is>
      </c>
      <c r="B14" s="8" t="inlineStr">
        <is>
          <t>Total Equity</t>
        </is>
      </c>
      <c r="C14" s="12" t="n">
        <v>51828</v>
      </c>
      <c r="D14" s="13" t="n">
        <v>60394</v>
      </c>
      <c r="E14" s="14">
        <f>IF(ISERROR((C14-D14)/ABS(D14)),"",(C14-D14)/ABS(D14))</f>
        <v>-0.14183528165049508</v>
      </c>
      <c r="F14" s="11" t="inlineStr">
        <is>
          <t>PDF p.69 (印刷頁 68)</t>
        </is>
      </c>
      <c r="G14" s="11" t="inlineStr">
        <is>
          <t>Total equity 51,828 60,394</t>
        </is>
      </c>
    </row>
    <row r="15">
      <c r="A15" s="8" t="inlineStr">
        <is>
          <t>Balance Sheet</t>
        </is>
      </c>
      <c r="B15" s="8" t="inlineStr">
        <is>
          <t>Total Current Assets</t>
        </is>
      </c>
      <c r="C15" s="12" t="n">
        <v>64015</v>
      </c>
      <c r="D15" s="13" t="n">
        <v>71614</v>
      </c>
      <c r="E15" s="14">
        <f>IF(ISERROR((C15-D15)/ABS(D15)),"",(C15-D15)/ABS(D15))</f>
        <v>-0.10611053704582903</v>
      </c>
      <c r="F15" s="11" t="inlineStr">
        <is>
          <t>PDF p.68 (印刷頁 67)</t>
        </is>
      </c>
      <c r="G15" s="11" t="inlineStr">
        <is>
          <t>[current assets 區段小計] 64,015 71,614</t>
        </is>
      </c>
    </row>
    <row r="16">
      <c r="A16" s="8" t="inlineStr">
        <is>
          <t>Balance Sheet</t>
        </is>
      </c>
      <c r="B16" s="8" t="inlineStr">
        <is>
          <t>Total Current Liabilities</t>
        </is>
      </c>
      <c r="C16" s="12" t="n">
        <v>14136</v>
      </c>
      <c r="D16" s="13" t="n">
        <v>18785</v>
      </c>
      <c r="E16" s="14">
        <f>IF(ISERROR((C16-D16)/ABS(D16)),"",(C16-D16)/ABS(D16))</f>
        <v>-0.2474846952355603</v>
      </c>
      <c r="F16" s="11" t="inlineStr">
        <is>
          <t>PDF p.68 (印刷頁 67)</t>
        </is>
      </c>
      <c r="G16" s="11" t="inlineStr">
        <is>
          <t>[current liabilities 區段小計] 14,136 18,785</t>
        </is>
      </c>
    </row>
    <row r="17">
      <c r="A17" s="8" t="inlineStr">
        <is>
          <t>Cash Flow</t>
        </is>
      </c>
      <c r="B17" s="8" t="inlineStr">
        <is>
          <t>Investing Cash Flow</t>
        </is>
      </c>
      <c r="C17" s="12" t="n">
        <v>8155</v>
      </c>
      <c r="D17" s="13" t="n">
        <v>10558</v>
      </c>
      <c r="E17" s="14">
        <f>IF(ISERROR((C17-D17)/ABS(D17)),"",(C17-D17)/ABS(D17))</f>
        <v>-0.22759992422807349</v>
      </c>
      <c r="F17" s="11" t="inlineStr">
        <is>
          <t>PDF p.72 (印刷頁 71)</t>
        </is>
      </c>
      <c r="G17" s="11" t="inlineStr">
        <is>
          <t>Net cash generated from investing activities 8,155 10,558</t>
        </is>
      </c>
    </row>
    <row r="18">
      <c r="A18" s="8" t="inlineStr">
        <is>
          <t>Cash Flow</t>
        </is>
      </c>
      <c r="B18" s="8" t="inlineStr">
        <is>
          <t>Financing Cash Flow</t>
        </is>
      </c>
      <c r="C18" s="12" t="n">
        <v>-2450</v>
      </c>
      <c r="D18" s="13" t="n">
        <v>-2036</v>
      </c>
      <c r="E18" s="14">
        <f>IF(ISERROR((C18-D18)/ABS(D18)),"",(C18-D18)/ABS(D18))</f>
        <v>-0.20333988212180745</v>
      </c>
      <c r="F18" s="11" t="inlineStr">
        <is>
          <t>PDF p.72 (印刷頁 71)</t>
        </is>
      </c>
      <c r="G18" s="11" t="inlineStr">
        <is>
          <t>Net cash used in financing activities (2,450) (2,036)</t>
        </is>
      </c>
    </row>
    <row r="20">
      <c r="A20"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財務數據'!$C$5:$C$18,MATCH("Gross Profit",'Financials 財務數據'!$B$5:$B$18,0))/INDEX('Financials 財務數據'!$C$5:$C$18,MATCH("Revenue",'Financials 財務數據'!$B$5:$B$18,0))),"n/a",INDEX('Financials 財務數據'!$C$5:$C$18,MATCH("Gross Profit",'Financials 財務數據'!$B$5:$B$18,0))/INDEX('Financials 財務數據'!$C$5:$C$18,MATCH("Revenue",'Financials 財務數據'!$B$5:$B$18,0)))</f>
        <v>n/a</v>
      </c>
      <c r="C5" s="15" t="str">
        <f>IF(ISERROR(INDEX('Financials 財務數據'!$D$5:$D$18,MATCH("Gross Profit",'Financials 財務數據'!$B$5:$B$18,0))/INDEX('Financials 財務數據'!$D$5:$D$18,MATCH("Revenue",'Financials 財務數據'!$B$5:$B$18,0))),"n/a",INDEX('Financials 財務數據'!$D$5:$D$18,MATCH("Gross Profit",'Financials 財務數據'!$B$5:$B$18,0))/INDEX('Financials 財務數據'!$D$5:$D$18,MATCH("Revenue",'Financials 財務數據'!$B$5:$B$18,0)))</f>
        <v>n/a</v>
      </c>
      <c r="D5" s="2" t="inlineStr">
        <is>
          <t>毛利 ÷ 收入</t>
        </is>
      </c>
    </row>
    <row r="6">
      <c r="A6" s="4" t="inlineStr">
        <is>
          <t>Net Margin 淨利率</t>
        </is>
      </c>
      <c r="B6" s="15">
        <f>IF(ISERROR(INDEX('Financials 財務數據'!$C$5:$C$18,MATCH("Profit for the Year",'Financials 財務數據'!$B$5:$B$18,0))/INDEX('Financials 財務數據'!$C$5:$C$18,MATCH("Revenue",'Financials 財務數據'!$B$5:$B$18,0))),"n/a",INDEX('Financials 財務數據'!$C$5:$C$18,MATCH("Profit for the Year",'Financials 財務數據'!$B$5:$B$18,0))/INDEX('Financials 財務數據'!$C$5:$C$18,MATCH("Revenue",'Financials 財務數據'!$B$5:$B$18,0)))</f>
        <v>0.0</v>
      </c>
      <c r="C6" s="15">
        <f>IF(ISERROR(INDEX('Financials 財務數據'!$D$5:$D$18,MATCH("Profit for the Year",'Financials 財務數據'!$B$5:$B$18,0))/INDEX('Financials 財務數據'!$D$5:$D$18,MATCH("Revenue",'Financials 財務數據'!$B$5:$B$18,0))),"n/a",INDEX('Financials 財務數據'!$D$5:$D$18,MATCH("Profit for the Year",'Financials 財務數據'!$B$5:$B$18,0))/INDEX('Financials 財務數據'!$D$5:$D$18,MATCH("Revenue",'Financials 財務數據'!$B$5:$B$18,0)))</f>
        <v>0.11272700245274138</v>
      </c>
      <c r="D6" s="2" t="inlineStr">
        <is>
          <t>年內溢利 ÷ 收入</t>
        </is>
      </c>
    </row>
    <row r="7">
      <c r="A7" s="4" t="inlineStr">
        <is>
          <t>Current Ratio 流動比率</t>
        </is>
      </c>
      <c r="B7" s="16">
        <f>IF(ISERROR(INDEX('Financials 財務數據'!$C$5:$C$18,MATCH("Total Current Assets",'Financials 財務數據'!$B$5:$B$18,0))/INDEX('Financials 財務數據'!$C$5:$C$18,MATCH("Total Current Liabilities",'Financials 財務數據'!$B$5:$B$18,0))),"n/a",INDEX('Financials 財務數據'!$C$5:$C$18,MATCH("Total Current Assets",'Financials 財務數據'!$B$5:$B$18,0))/INDEX('Financials 財務數據'!$C$5:$C$18,MATCH("Total Current Liabilities",'Financials 財務數據'!$B$5:$B$18,0)))</f>
        <v>4.5285087719298245</v>
      </c>
      <c r="C7" s="16">
        <f>IF(ISERROR(INDEX('Financials 財務數據'!$D$5:$D$18,MATCH("Total Current Assets",'Financials 財務數據'!$B$5:$B$18,0))/INDEX('Financials 財務數據'!$D$5:$D$18,MATCH("Total Current Liabilities",'Financials 財務數據'!$B$5:$B$18,0))),"n/a",INDEX('Financials 財務數據'!$D$5:$D$18,MATCH("Total Current Assets",'Financials 財務數據'!$B$5:$B$18,0))/INDEX('Financials 財務數據'!$D$5:$D$18,MATCH("Total Current Liabilities",'Financials 財務數據'!$B$5:$B$18,0)))</f>
        <v>3.8122970455150385</v>
      </c>
      <c r="D7" s="2" t="inlineStr">
        <is>
          <t>流動資產 ÷ 流動負債</t>
        </is>
      </c>
    </row>
    <row r="8">
      <c r="A8" s="4" t="inlineStr">
        <is>
          <t>Debt / Equity 負債權益比</t>
        </is>
      </c>
      <c r="B8" s="16" t="str">
        <f>IF(ISERROR(INDEX('Financials 財務數據'!$C$5:$C$18,MATCH("Total Liabilities",'Financials 財務數據'!$B$5:$B$18,0))/INDEX('Financials 財務數據'!$C$5:$C$18,MATCH("Total Equity",'Financials 財務數據'!$B$5:$B$18,0))),"n/a",INDEX('Financials 財務數據'!$C$5:$C$18,MATCH("Total Liabilities",'Financials 財務數據'!$B$5:$B$18,0))/INDEX('Financials 財務數據'!$C$5:$C$18,MATCH("Total Equity",'Financials 財務數據'!$B$5:$B$18,0)))</f>
        <v>n/a</v>
      </c>
      <c r="C8" s="16" t="str">
        <f>IF(ISERROR(INDEX('Financials 財務數據'!$D$5:$D$18,MATCH("Total Liabilities",'Financials 財務數據'!$B$5:$B$18,0))/INDEX('Financials 財務數據'!$D$5:$D$18,MATCH("Total Equity",'Financials 財務數據'!$B$5:$B$18,0))),"n/a",INDEX('Financials 財務數據'!$D$5:$D$18,MATCH("Total Liabilities",'Financials 財務數據'!$B$5:$B$18,0))/INDEX('Financials 財務數據'!$D$5:$D$18,MATCH("Total Equity",'Financials 財務數據'!$B$5:$B$18,0)))</f>
        <v>n/a</v>
      </c>
      <c r="D8" s="2" t="inlineStr">
        <is>
          <t>總負債 ÷ 總權益</t>
        </is>
      </c>
    </row>
    <row r="9">
      <c r="A9" s="4" t="inlineStr">
        <is>
          <t>Goodwill / Total Assets</t>
        </is>
      </c>
      <c r="B9" s="15" t="str">
        <f>IF(ISERROR(INDEX('Financials 財務數據'!$C$5:$C$18,MATCH("Goodwill",'Financials 財務數據'!$B$5:$B$18,0))/INDEX('Financials 財務數據'!$C$5:$C$18,MATCH("Total Assets",'Financials 財務數據'!$B$5:$B$18,0))),"n/a",INDEX('Financials 財務數據'!$C$5:$C$18,MATCH("Goodwill",'Financials 財務數據'!$B$5:$B$18,0))/INDEX('Financials 財務數據'!$C$5:$C$18,MATCH("Total Assets",'Financials 財務數據'!$B$5:$B$18,0)))</f>
        <v>n/a</v>
      </c>
      <c r="C9" s="15" t="str">
        <f>IF(ISERROR(INDEX('Financials 財務數據'!$D$5:$D$18,MATCH("Goodwill",'Financials 財務數據'!$B$5:$B$18,0))/INDEX('Financials 財務數據'!$D$5:$D$18,MATCH("Total Assets",'Financials 財務數據'!$B$5:$B$18,0))),"n/a",INDEX('Financials 財務數據'!$D$5:$D$18,MATCH("Goodwill",'Financials 財務數據'!$B$5:$B$18,0))/INDEX('Financials 財務數據'!$D$5:$D$18,MATCH("Total Assets",'Financials 財務數據'!$B$5:$B$18,0)))</f>
        <v>n/a</v>
      </c>
      <c r="D9" s="2" t="inlineStr">
        <is>
          <t>商譽佔總資產比重 — 減值風險指標</t>
        </is>
      </c>
    </row>
    <row r="10">
      <c r="A10" s="4" t="inlineStr">
        <is>
          <t>Intangibles / Total Assets</t>
        </is>
      </c>
      <c r="B10" s="15" t="str">
        <f>IF(ISERROR(INDEX('Financials 財務數據'!$C$5:$C$18,MATCH("Intangible Assets",'Financials 財務數據'!$B$5:$B$18,0))/INDEX('Financials 財務數據'!$C$5:$C$18,MATCH("Total Assets",'Financials 財務數據'!$B$5:$B$18,0))),"n/a",INDEX('Financials 財務數據'!$C$5:$C$18,MATCH("Intangible Assets",'Financials 財務數據'!$B$5:$B$18,0))/INDEX('Financials 財務數據'!$C$5:$C$18,MATCH("Total Assets",'Financials 財務數據'!$B$5:$B$18,0)))</f>
        <v>n/a</v>
      </c>
      <c r="C10" s="15" t="str">
        <f>IF(ISERROR(INDEX('Financials 財務數據'!$D$5:$D$18,MATCH("Intangible Assets",'Financials 財務數據'!$B$5:$B$18,0))/INDEX('Financials 財務數據'!$D$5:$D$18,MATCH("Total Assets",'Financials 財務數據'!$B$5:$B$18,0))),"n/a",INDEX('Financials 財務數據'!$D$5:$D$18,MATCH("Intangible Assets",'Financials 財務數據'!$B$5:$B$18,0))/INDEX('Financials 財務數據'!$D$5:$D$18,MATCH("Total Assets",'Financials 財務數據'!$B$5:$B$18,0)))</f>
        <v>n/a</v>
      </c>
      <c r="D10" s="2" t="inlineStr">
        <is>
          <t>無形資產佔比</t>
        </is>
      </c>
    </row>
    <row r="11">
      <c r="A11" s="4" t="inlineStr">
        <is>
          <t>ROE 股本回報率</t>
        </is>
      </c>
      <c r="B11" s="15">
        <f>IF(ISERROR(INDEX('Financials 財務數據'!$C$5:$C$18,MATCH("Profit for the Year",'Financials 財務數據'!$B$5:$B$18,0))/INDEX('Financials 財務數據'!$C$5:$C$18,MATCH("Total Equity",'Financials 財務數據'!$B$5:$B$18,0))),"n/a",INDEX('Financials 財務數據'!$C$5:$C$18,MATCH("Profit for the Year",'Financials 財務數據'!$B$5:$B$18,0))/INDEX('Financials 財務數據'!$C$5:$C$18,MATCH("Total Equity",'Financials 財務數據'!$B$5:$B$18,0)))</f>
        <v>0.0</v>
      </c>
      <c r="C11" s="15">
        <f>IF(ISERROR(INDEX('Financials 財務數據'!$D$5:$D$18,MATCH("Profit for the Year",'Financials 財務數據'!$B$5:$B$18,0))/INDEX('Financials 財務數據'!$D$5:$D$18,MATCH("Total Equity",'Financials 財務數據'!$B$5:$B$18,0))),"n/a",INDEX('Financials 財務數據'!$D$5:$D$18,MATCH("Profit for the Year",'Financials 財務數據'!$B$5:$B$18,0))/INDEX('Financials 財務數據'!$D$5:$D$18,MATCH("Total Equity",'Financials 財務數據'!$B$5:$B$18,0)))</f>
        <v>0.15067721959135014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80726</v>
      </c>
      <c r="C5" s="18" t="n">
        <v>77853</v>
      </c>
    </row>
    <row r="6">
      <c r="A6" s="4" t="inlineStr">
        <is>
          <t>Profit for the Year</t>
        </is>
      </c>
      <c r="B6" s="18" t="n">
        <v>9100</v>
      </c>
      <c r="C6" s="18" t="n">
        <v>0</v>
      </c>
    </row>
    <row r="7">
      <c r="A7" s="4" t="inlineStr">
        <is>
          <t>Total Equity</t>
        </is>
      </c>
      <c r="B7" s="18" t="n">
        <v>60394</v>
      </c>
      <c r="C7" s="18" t="n">
        <v>51828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3</t>
        </is>
      </c>
      <c r="E4" s="11" t="inlineStr">
        <is>
          <t>PDF p.100 (印刷頁 99)</t>
        </is>
      </c>
      <c r="F4" s="11" t="inlineStr">
        <is>
          <t>ost are not materially different from their fair values as at 31 December 2025 and 2024. The movements in fair value measurements in Level 3 during the year are as follows: Unlisted equity at FVTPL HK$’000 Balance as at 1 January 2024 1,543 Profit recognized in profit or loss 13,457 Disposal (15,000) Balance as at 31 December 2024 and 2025 – 3.4 Capital management The Group’s objectives when managing capital are to safeguard the Group’s ability to continue as a going concern in order to provide returns for shareholders and bene</t>
        </is>
      </c>
    </row>
    <row r="5">
      <c r="A5" s="8" t="inlineStr">
        <is>
          <t>Impairment Testing</t>
        </is>
      </c>
      <c r="B5" s="8" t="inlineStr">
        <is>
          <t>減值測試</t>
        </is>
      </c>
      <c r="C5" s="19" t="inlineStr">
        <is>
          <t>high</t>
        </is>
      </c>
      <c r="D5" s="11" t="inlineStr">
        <is>
          <t>recoverable amount</t>
        </is>
      </c>
      <c r="E5" s="11" t="inlineStr">
        <is>
          <t>PDF p.76 (印刷頁 75)</t>
        </is>
      </c>
      <c r="F5" s="11" t="inlineStr">
        <is>
          <t>wed, and adjusted if appropriate, at the end of each reporting period. An asset’s carrying amount is written down immediately to its recoverable amount if the asset’s carrying amount is greater than its estimated recoverable amount. Gains and losses on disposals are determined by comparing the proceeds with the carrying amount and are recognized within “Other gains/(losses) – net” in the consolidated statement of profit or loss and other comprehensive income. ETS GROUP LIMITED | ANNUAL REPORT 2025 75</t>
        </is>
      </c>
    </row>
    <row r="6">
      <c r="A6" s="8" t="inlineStr">
        <is>
          <t>Impairment Testing</t>
        </is>
      </c>
      <c r="B6" s="8" t="inlineStr">
        <is>
          <t>減值測試</t>
        </is>
      </c>
      <c r="C6" s="19" t="inlineStr">
        <is>
          <t>high</t>
        </is>
      </c>
      <c r="D6" s="11" t="inlineStr">
        <is>
          <t>impairment loss</t>
        </is>
      </c>
      <c r="E6" s="11" t="inlineStr">
        <is>
          <t>PDF p.78 (印刷頁 77)</t>
        </is>
      </c>
      <c r="F6"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HKAS 36 to the extent that the recoverable amount of the investment subsequently increases. 2.8 Impairment of non-financial assets Goodwill and intangible assets that have an indefinite useful l</t>
        </is>
      </c>
    </row>
    <row r="7">
      <c r="A7" s="8" t="inlineStr">
        <is>
          <t>Impairment Testing</t>
        </is>
      </c>
      <c r="B7" s="8" t="inlineStr">
        <is>
          <t>減值測試</t>
        </is>
      </c>
      <c r="C7" s="19" t="inlineStr">
        <is>
          <t>high</t>
        </is>
      </c>
      <c r="D7" s="11" t="inlineStr">
        <is>
          <t>impairment loss</t>
        </is>
      </c>
      <c r="E7" s="11" t="inlineStr">
        <is>
          <t>PDF p.93 (印刷頁 92)</t>
        </is>
      </c>
      <c r="F7" s="11" t="inlineStr">
        <is>
          <t>erable amount of each individual trade receivables and contract assets balance at the end of the reporting period to ensure adequate impairment losses are made for irrecoverable amounts. As at 31 December 2025, the Group has certain concentrations of credit risk as 25% and 66% (2024: 13% and 47%) of the Group’s trade receivables were due from the Group’s largest customer and the Group’s five largest customers, respectively. Further quantitative data in respect of the Group’s exposure to credit risk arising from trade and other</t>
        </is>
      </c>
    </row>
    <row r="8">
      <c r="A8" s="8" t="inlineStr">
        <is>
          <t>Impairment Testing</t>
        </is>
      </c>
      <c r="B8" s="8" t="inlineStr">
        <is>
          <t>減值測試</t>
        </is>
      </c>
      <c r="C8" s="19" t="inlineStr">
        <is>
          <t>high</t>
        </is>
      </c>
      <c r="D8" s="11" t="inlineStr">
        <is>
          <t>impairment loss</t>
        </is>
      </c>
      <c r="E8" s="11" t="inlineStr">
        <is>
          <t>PDF p.96 (印刷頁 95)</t>
        </is>
      </c>
      <c r="F8" s="11" t="inlineStr">
        <is>
          <t>editimpaired) impaired) Total HK$’000 HK$’000 HK$’000 As at 1 January 2024 996 18,416 19,412 Transfer to credit-impaired (30) 30 – Impairment losses recognized 261 2,955 3,216 Impairment losses reversed (966) (10,941) (11,907) As at 31 December 2024 and 1 January 2025 261 10,460 10,721 Transfer to credit-impaired (10) 10 – Impairment losses recognized 240 944 1,184 Impairment losses reversed (251) (2,106) (2,357) As at 31 December 2025 240 9,308 9,548 Changes in the loss allowance for trade receivables are mainly due to: 2025</t>
        </is>
      </c>
    </row>
    <row r="9">
      <c r="A9" s="8" t="inlineStr">
        <is>
          <t>Impairment Testing</t>
        </is>
      </c>
      <c r="B9" s="8" t="inlineStr">
        <is>
          <t>減值測試</t>
        </is>
      </c>
      <c r="C9" s="19" t="inlineStr">
        <is>
          <t>high</t>
        </is>
      </c>
      <c r="D9" s="11" t="inlineStr">
        <is>
          <t>impairment loss</t>
        </is>
      </c>
      <c r="E9" s="11" t="inlineStr">
        <is>
          <t>PDF p.97 (印刷頁 96)</t>
        </is>
      </c>
      <c r="F9" s="11" t="inlineStr">
        <is>
          <t>shows reconciliation of loss allowances that has been recognized for contract assets. Lifetime ECL HK$’000 As at 1 January 2024 104 Impairment losses reversed (71) As at 31 December 2024 and 1 January 2025 33 Impairment losses reversed (9) As at 31 December 2025 24 96 ETS GROUP LIMITED | ANNUAL REPORT 2025</t>
        </is>
      </c>
    </row>
    <row r="10">
      <c r="A10" s="8" t="inlineStr">
        <is>
          <t>Impairment Testing</t>
        </is>
      </c>
      <c r="B10" s="8" t="inlineStr">
        <is>
          <t>減值測試</t>
        </is>
      </c>
      <c r="C10" s="19" t="inlineStr">
        <is>
          <t>high</t>
        </is>
      </c>
      <c r="D10" s="11" t="inlineStr">
        <is>
          <t>impairment loss</t>
        </is>
      </c>
      <c r="E10" s="11" t="inlineStr">
        <is>
          <t>PDF p.98 (印刷頁 97)</t>
        </is>
      </c>
      <c r="F10" s="11" t="inlineStr">
        <is>
          <t>for other receivables and deposits. Lifetime ECL (credit- 12m ECL impaired) Total HK$’000 HK$’000 HK$’000 As at 1 January 2024 1 – 1 Impairment losses recognized 2 – 2 As at 31 December 2024 and 1 January 2025 3 – 3 Impairment losses recognized 95 6,972 7,067 As at 31 December 2025 98 6,972 7,070 ETS GROUP LIMITED | ANNUAL REPORT 2025 97</t>
        </is>
      </c>
    </row>
    <row r="11">
      <c r="A11" s="8" t="inlineStr">
        <is>
          <t>Impairment Testing</t>
        </is>
      </c>
      <c r="B11" s="8" t="inlineStr">
        <is>
          <t>減值測試</t>
        </is>
      </c>
      <c r="C11" s="19" t="inlineStr">
        <is>
          <t>high</t>
        </is>
      </c>
      <c r="D11" s="11" t="inlineStr">
        <is>
          <t>impairment loss</t>
        </is>
      </c>
      <c r="E11" s="11" t="inlineStr">
        <is>
          <t>PDF p.101 (印刷頁 100)</t>
        </is>
      </c>
      <c r="F11" s="11" t="inlineStr">
        <is>
          <t>igh degree of estimation and uncertainty. When the actual future cash flows are less than expected or more than expected, a material impairment loss or a material reversal of impairment loss may arise accordingly. 100 ETS GROUP LIMITED | ANNUAL REPORT 2025</t>
        </is>
      </c>
    </row>
    <row r="12">
      <c r="A12" s="8" t="inlineStr">
        <is>
          <t>Intangible Assets &amp; Goodwill</t>
        </is>
      </c>
      <c r="B12" s="8" t="inlineStr">
        <is>
          <t>無形資產及商譽</t>
        </is>
      </c>
      <c r="C12" s="19" t="inlineStr">
        <is>
          <t>high</t>
        </is>
      </c>
      <c r="D12" s="11" t="inlineStr">
        <is>
          <t>amortization</t>
        </is>
      </c>
      <c r="E12" s="11" t="inlineStr">
        <is>
          <t>PDF p.12 (印刷頁 11)</t>
        </is>
      </c>
      <c r="F12" s="11" t="inlineStr">
        <is>
          <t>million for the year ended 31 December 2025 (2024: reversal of expected credit losses HK$8.8 million). The Group’s depreciation and amortization expenses slightly increased from approximately HK$3.3 million for the year ended 31 December 2024 to approximately HK$3.4 million for the year ended 31 December 2025. The increase of depreciation and amortization expenses is mainly due to the increase of depreciation for right-of-use asset. Profit/(Loss) Attributable to Owners of the Company The Group’s profit attributable to owners o</t>
        </is>
      </c>
    </row>
    <row r="13">
      <c r="A13" s="8" t="inlineStr">
        <is>
          <t>Intangible Assets &amp; Goodwill</t>
        </is>
      </c>
      <c r="B13" s="8" t="inlineStr">
        <is>
          <t>無形資產及商譽</t>
        </is>
      </c>
      <c r="C13" s="19" t="inlineStr">
        <is>
          <t>high</t>
        </is>
      </c>
      <c r="D13" s="11" t="inlineStr">
        <is>
          <t>trademark</t>
        </is>
      </c>
      <c r="E13" s="11" t="inlineStr">
        <is>
          <t>PDF p.49 (印刷頁 48)</t>
        </is>
      </c>
      <c r="F13" s="11" t="inlineStr">
        <is>
          <t>REPORT Protection of IP Rights The Group maintains a robust intellectual property protection framework, holding multiple registered trademarks in Hong Kong and vigilantly enforcing our IP rights against any infringement. We have established a comprehensive Information Security Policy that mandates strict compliance with all third-party IP rights. This includes rigorous software license management where all applications must be used in full accordance with their licensing terms. Employees are expressly prohibited from unauthori</t>
        </is>
      </c>
    </row>
    <row r="14">
      <c r="A14" s="8" t="inlineStr">
        <is>
          <t>Intangible Assets &amp; Goodwill</t>
        </is>
      </c>
      <c r="B14" s="8" t="inlineStr">
        <is>
          <t>無形資產及商譽</t>
        </is>
      </c>
      <c r="C14" s="19" t="inlineStr">
        <is>
          <t>high</t>
        </is>
      </c>
      <c r="D14" s="11" t="inlineStr">
        <is>
          <t>amortization</t>
        </is>
      </c>
      <c r="E14" s="11" t="inlineStr">
        <is>
          <t>PDF p.67 (印刷頁 66)</t>
        </is>
      </c>
      <c r="F14" s="11" t="inlineStr">
        <is>
          <t>77,853 80,726 Other income 6 3,730 480 Other gains – net 7 – 13,457 Employee benefits expenses 8 (74,038) (77,972) Depreciation and amortization (3,381) (3,341) Other operating expenses (12,454) (3,652) Share of loss of an associate (213) (249) Operating (loss)/profit (8,503) 9,449 Finance costs 9 (89) (185) (Loss)/profit before tax 10 (8,592) 9,264 Income tax credit/(expense) 11 26 (855) (Loss)/profit for the year from continuing operations (8,566) 8,409 Discontinued operation 12 Profit for the year from discontinued operatio</t>
        </is>
      </c>
    </row>
    <row r="15">
      <c r="A15" s="8" t="inlineStr">
        <is>
          <t>Intangible Assets &amp; Goodwill</t>
        </is>
      </c>
      <c r="B15" s="8" t="inlineStr">
        <is>
          <t>無形資產及商譽</t>
        </is>
      </c>
      <c r="C15" s="19" t="inlineStr">
        <is>
          <t>high</t>
        </is>
      </c>
      <c r="D15" s="11" t="inlineStr">
        <is>
          <t>intangible asset</t>
        </is>
      </c>
      <c r="E15" s="11" t="inlineStr">
        <is>
          <t>PDF p.68 (印刷頁 67)</t>
        </is>
      </c>
      <c r="F15" s="11" t="inlineStr">
        <is>
          <t>er 2025 Notes 2025 2024 HK$’000 HK$’000 Non-current assets Property, plant and equipment 16 442 766 Right-of-use assets 17 762 2,599 Intangible assets 18 794 1,470 Interest in an associate 19 119 332 Other receivable 22 – 2,770 Deferred income tax assets 26 44 1 2,161 7,938 Current assets Contract assets 21 4,478 3,438 Trade and other receivables 22 10,987 18,290 Tax recoverable 169 363 Cash and cash equivalents 23 48,381 49,523 64,015 71,614 Current liabilities Contract liabilities 21 2,254 1,944 Other payables and accruals 24</t>
        </is>
      </c>
    </row>
    <row r="16">
      <c r="A16" s="8" t="inlineStr">
        <is>
          <t>Intangible Assets &amp; Goodwill</t>
        </is>
      </c>
      <c r="B16" s="8" t="inlineStr">
        <is>
          <t>無形資產及商譽</t>
        </is>
      </c>
      <c r="C16" s="19" t="inlineStr">
        <is>
          <t>high</t>
        </is>
      </c>
      <c r="D16" s="11" t="inlineStr">
        <is>
          <t>amortization</t>
        </is>
      </c>
      <c r="E16" s="11" t="inlineStr">
        <is>
          <t>PDF p.71 (印刷頁 70)</t>
        </is>
      </c>
      <c r="F16" s="11" t="inlineStr">
        <is>
          <t>profit before tax – From continuing operations (8,592) 9,264 – From discontinued operation – 9,112 Adjustments for: Depreciation and amortization 3,381 3,341 Fair value gain on financial assets at fair value through profit or loss – (13,457) Gain on disposal of subsidiaries – (3,644) Share of loss of an associate 19 213 249 Provision for/(reversal of) impairment of financial assets and contract assets – net 5,885 (13,669) Interest income (3,730) (478) Interest expense 89 185 Operating cash flows before changes in working capita</t>
        </is>
      </c>
    </row>
    <row r="17">
      <c r="A17" s="8" t="inlineStr">
        <is>
          <t>Intangible Assets &amp; Goodwill</t>
        </is>
      </c>
      <c r="B17" s="8" t="inlineStr">
        <is>
          <t>無形資產及商譽</t>
        </is>
      </c>
      <c r="C17" s="19" t="inlineStr">
        <is>
          <t>high</t>
        </is>
      </c>
      <c r="D17" s="11" t="inlineStr">
        <is>
          <t>intangible asset</t>
        </is>
      </c>
      <c r="E17" s="11" t="inlineStr">
        <is>
          <t>PDF p.72 (印刷頁 71)</t>
        </is>
      </c>
      <c r="F17" s="11" t="inlineStr">
        <is>
          <t>OF CASH FLOWS For the year ended 31 December 2025 Notes 2025 2024 HK$’000 HK$’000 Cash flows from investing activities Additions of intangible assets – (732) Interest received 1,153 478 Net cash inflow on disposal of subsidiaries 33 – 450 Proceeds from disposal of financial asset at fair value through profit or loss – 10,900 Receipts from promissory notes 7,100 – Purchases of property, plant and equipment (98) (538) Net cash generated from investing activities 8,155 10,558 Cash flows from financing activities Interest paid (89</t>
        </is>
      </c>
    </row>
    <row r="18">
      <c r="A18" s="8" t="inlineStr">
        <is>
          <t>Intangible Assets &amp; Goodwill</t>
        </is>
      </c>
      <c r="B18" s="8" t="inlineStr">
        <is>
          <t>無形資產及商譽</t>
        </is>
      </c>
      <c r="C18" s="19" t="inlineStr">
        <is>
          <t>high</t>
        </is>
      </c>
      <c r="D18" s="11" t="inlineStr">
        <is>
          <t>intangible asset</t>
        </is>
      </c>
      <c r="E18" s="11" t="inlineStr">
        <is>
          <t>PDF p.77 (印刷頁 76)</t>
        </is>
      </c>
      <c r="F18" s="11" t="inlineStr">
        <is>
          <t>STATEMENTS For the year ended 31 December 2025 2. BASIS OF PREPARATION AND MATERIAL ACCOUNTING POLICIES INFORMATION (CONTINUED) 2.6 Intangible assets (a) Internally generated software development costs Costs associated with maintaining computer software programs are recognized as an expense as incurred. Development costs that are directly attributable to the design and testing of identifiable and unique software products controlled by the Group are recognized as intangible assets when the following criteria are met: • It is te</t>
        </is>
      </c>
    </row>
    <row r="19">
      <c r="A19" s="8" t="inlineStr">
        <is>
          <t>Intangible Assets &amp; Goodwill</t>
        </is>
      </c>
      <c r="B19" s="8" t="inlineStr">
        <is>
          <t>無形資產及商譽</t>
        </is>
      </c>
      <c r="C19" s="19" t="inlineStr">
        <is>
          <t>high</t>
        </is>
      </c>
      <c r="D19" s="11" t="inlineStr">
        <is>
          <t>intangible asset</t>
        </is>
      </c>
      <c r="E19" s="11" t="inlineStr">
        <is>
          <t>PDF p.78 (印刷頁 77)</t>
        </is>
      </c>
      <c r="F19" s="11" t="inlineStr">
        <is>
          <t>the extent that the recoverable amount of the investment subsequently increases. 2.8 Impairment of non-financial assets Goodwill and intangible assets that have an indefinite useful life are not subject to amortization and are tested annually for impairment, or more frequently if events or changes in circumstances indicate that they might be impaired. Other assets are tested for impairment whenever events or changes in circumstances indicate that the carrying amount may not be recoverable. An impairment loss is recognized for t</t>
        </is>
      </c>
    </row>
    <row r="20">
      <c r="A20" s="8" t="inlineStr">
        <is>
          <t>Intangible Assets &amp; Goodwill</t>
        </is>
      </c>
      <c r="B20" s="8" t="inlineStr">
        <is>
          <t>無形資產及商譽</t>
        </is>
      </c>
      <c r="C20" s="19" t="inlineStr">
        <is>
          <t>high</t>
        </is>
      </c>
      <c r="D20" s="11" t="inlineStr">
        <is>
          <t>goodwill</t>
        </is>
      </c>
      <c r="E20" s="11" t="inlineStr">
        <is>
          <t>PDF p.87 (印刷頁 86)</t>
        </is>
      </c>
      <c r="F20" s="11" t="inlineStr">
        <is>
          <t>onsolidated financial statements. However, deferred tax liabilities are not recognized if they arise from the initial recognition of goodwill, the deferred income tax is not accounted for if it arises from initial recognition of an asset or liability in a transaction other than a business combination that at the time of the transaction affects neither accounting nor taxable profit or loss. Deferred income tax is determined using tax rates (and laws) that have been enacted or substantively enacted by the reporting date and are e</t>
        </is>
      </c>
    </row>
    <row r="21">
      <c r="A21" s="8" t="inlineStr">
        <is>
          <t>Intangible Assets &amp; Goodwill</t>
        </is>
      </c>
      <c r="B21" s="8" t="inlineStr">
        <is>
          <t>無形資產及商譽</t>
        </is>
      </c>
      <c r="C21" s="19" t="inlineStr">
        <is>
          <t>high</t>
        </is>
      </c>
      <c r="D21" s="11" t="inlineStr">
        <is>
          <t>useful life</t>
        </is>
      </c>
      <c r="E21" s="11" t="inlineStr">
        <is>
          <t>PDF p.90 (印刷頁 89)</t>
        </is>
      </c>
      <c r="F21" s="11" t="inlineStr">
        <is>
          <t>, • any initial direct costs, and • restoration costs. Right-of-use assets are generally depreciated over the shorter of the asset’s useful life and the lease term on a straight-line basis. If the Group is reasonably certain to exercise a purchase option, the right-of-use asset is depreciated over the underlying asset’s useful life. Payments associated with short-term leases of premises are recognized on a straight-line basis as an expense in profit or loss. Short-term leases are leases with a lease term of 12 months or less. E</t>
        </is>
      </c>
    </row>
    <row r="22">
      <c r="A22" s="8" t="inlineStr">
        <is>
          <t>Intangible Assets &amp; Goodwill</t>
        </is>
      </c>
      <c r="B22" s="8" t="inlineStr">
        <is>
          <t>無形資產及商譽</t>
        </is>
      </c>
      <c r="C22" s="19" t="inlineStr">
        <is>
          <t>high</t>
        </is>
      </c>
      <c r="D22" s="11" t="inlineStr">
        <is>
          <t>licence</t>
        </is>
      </c>
      <c r="E22" s="11" t="inlineStr">
        <is>
          <t>PDF p.102 (印刷頁 101)</t>
        </is>
      </c>
      <c r="F22" s="11" t="inlineStr">
        <is>
          <t>es management services; and (e) The “System and software business” segment which principally comprises sales of system and software, licence service fee income and system maintenance fee income. ETS GROUP LIMITED | ANNUAL REPORT 2025 101</t>
        </is>
      </c>
    </row>
    <row r="23">
      <c r="A23" s="8" t="inlineStr">
        <is>
          <t>Intangible Assets &amp; Goodwill</t>
        </is>
      </c>
      <c r="B23" s="8" t="inlineStr">
        <is>
          <t>無形資產及商譽</t>
        </is>
      </c>
      <c r="C23" s="19" t="inlineStr">
        <is>
          <t>high</t>
        </is>
      </c>
      <c r="D23" s="11" t="inlineStr">
        <is>
          <t>amortization</t>
        </is>
      </c>
      <c r="E23" s="11" t="inlineStr">
        <is>
          <t>PDF p.103 (印刷頁 102)</t>
        </is>
      </c>
      <c r="F23" s="11" t="inlineStr">
        <is>
          <t>HK$’000 HK$’000 HK$’000 Segment revenue 12,781 54,102 2,797 8,173 77,853 Segment results 809 4,392 424 3,973 9,598 Depreciation and amortization 491 943 565 551 2,550 Total segment assets 2,102 10,045 723 1,094 13,964 Total segment assets includes: Additions to non-current assets (other than financial instruments) 9 18 11 10 48 Total segment liabilities 1,530 3,998 504 1,371 7,403 102 ETS GROUP LIMITED | ANNUAL REPORT 2025</t>
        </is>
      </c>
    </row>
    <row r="24">
      <c r="A24" s="8" t="inlineStr">
        <is>
          <t>Intangible Assets &amp; Goodwill</t>
        </is>
      </c>
      <c r="B24" s="8" t="inlineStr">
        <is>
          <t>無形資產及商譽</t>
        </is>
      </c>
      <c r="C24" s="19" t="inlineStr">
        <is>
          <t>high</t>
        </is>
      </c>
      <c r="D24" s="11" t="inlineStr">
        <is>
          <t>amortization</t>
        </is>
      </c>
      <c r="E24" s="11" t="inlineStr">
        <is>
          <t>PDF p.104 (印刷頁 103)</t>
        </is>
      </c>
      <c r="F24" s="11" t="inlineStr">
        <is>
          <t>000 HK$’000 HK$’000 Segment revenue 16,174 52,638 5,204 6,710 80,726 Segment results 1,345 5,019 1,134 2,789 10,287 Depreciation and amortization 350 889 808 485 2,532 Total segment assets 2,718 9,711 1,731 1,307 15,467 Total segment assets includes: Additions to non-current assets (other than financial instruments) 84 213 193 116 606 Total segment liabilities 1,762 4,681 969 1,617 9,029 There were no inter-segment sales during the years ended 31 December 2025 and 2024. The revenue from external parties reported to the director</t>
        </is>
      </c>
    </row>
    <row r="25">
      <c r="A25" s="8" t="inlineStr">
        <is>
          <t>Intangible Assets &amp; Goodwill</t>
        </is>
      </c>
      <c r="B25" s="8" t="inlineStr">
        <is>
          <t>無形資產及商譽</t>
        </is>
      </c>
      <c r="C25" s="19" t="inlineStr">
        <is>
          <t>high</t>
        </is>
      </c>
      <c r="D25" s="11" t="inlineStr">
        <is>
          <t>amortization</t>
        </is>
      </c>
      <c r="E25" s="11" t="inlineStr">
        <is>
          <t>PDF p.105 (印刷頁 104)</t>
        </is>
      </c>
      <c r="F25" s="11" t="inlineStr">
        <is>
          <t>Segment results for reportable segments 9,598 10,287 Unallocated: Other income 3,730 480 Other gains – net – 13,457 Depreciation and amortization (831) (809) Finance costs (21) (185) Corporate and other unallocated expenses (21,068) (13,966) (Loss)/profit before tax (8,592) 9,264 Segment result represents the profit earned by each segment without other income, other gains/(losses) – net, unallocated depreciation and amortization, unallocated finance costs, unallocated provision for impairment of financial assets and contract as</t>
        </is>
      </c>
    </row>
    <row r="26">
      <c r="A26" s="8" t="inlineStr">
        <is>
          <t>Intangible Assets &amp; Goodwill</t>
        </is>
      </c>
      <c r="B26" s="8" t="inlineStr">
        <is>
          <t>無形資產及商譽</t>
        </is>
      </c>
      <c r="C26" s="19" t="inlineStr">
        <is>
          <t>high</t>
        </is>
      </c>
      <c r="D26" s="11" t="inlineStr">
        <is>
          <t>intangible asset</t>
        </is>
      </c>
      <c r="E26" s="11" t="inlineStr">
        <is>
          <t>PDF p.106 (印刷頁 105)</t>
        </is>
      </c>
      <c r="F26" s="11" t="inlineStr">
        <is>
          <t>assets, tax recoverable, deferred income tax assets, financial assets at FVTPL and corporate and other unallocated assets (including intangible assets, interest in an associate, other receivables, deposits and prepayment and cash and cash equivalents); and • all liabilities are allocated to operating segments other than deferred income tax liabilities, current income tax liabilities, unallocated lease liabilities and corporate and other unallocated liabilities (including other payables and accruals). The Company is domiciled in</t>
        </is>
      </c>
    </row>
    <row r="27">
      <c r="A27" s="8" t="inlineStr">
        <is>
          <t>Intangible Assets &amp; Goodwill</t>
        </is>
      </c>
      <c r="B27" s="8" t="inlineStr">
        <is>
          <t>無形資產及商譽</t>
        </is>
      </c>
      <c r="C27" s="19" t="inlineStr">
        <is>
          <t>high</t>
        </is>
      </c>
      <c r="D27" s="11" t="inlineStr">
        <is>
          <t>development cost</t>
        </is>
      </c>
      <c r="E27" s="11" t="inlineStr">
        <is>
          <t>PDF p.110 (印刷頁 109)</t>
        </is>
      </c>
      <c r="F27" s="11" t="inlineStr">
        <is>
          <t>3,080 3,045 Total employee benefits expenses, including directors’ remuneration 74,038 78,704 Less: Amounts capitalized in deferred development costs – (732) 74,038 77,972 There is no forfeited contributions that may be used by the Group to reduce the existing level of contributions. Five highest paid individuals None (2024: None) of the five highest-paid individuals in the Group for the year was a director. Directors’ emoluments are shown in Note 32. The emoluments paid or payable to the above five individuals (2024: five ind</t>
        </is>
      </c>
    </row>
    <row r="28">
      <c r="A28" s="8" t="inlineStr">
        <is>
          <t>Intangible Assets &amp; Goodwill</t>
        </is>
      </c>
      <c r="B28" s="8" t="inlineStr">
        <is>
          <t>無形資產及商譽</t>
        </is>
      </c>
      <c r="C28" s="19" t="inlineStr">
        <is>
          <t>high</t>
        </is>
      </c>
      <c r="D28" s="11" t="inlineStr">
        <is>
          <t>intangible asset</t>
        </is>
      </c>
      <c r="E28" s="11" t="inlineStr">
        <is>
          <t>PDF p.112 (印刷頁 111)</t>
        </is>
      </c>
      <c r="F28" s="11" t="inlineStr">
        <is>
          <t>tization Depreciation of owned property, plant and equipment 422 484 Depreciation of right-of-use assets 2,283 1,953 Amortization of intangible assets 676 904 Total depreciation and amortization 3,381 3,341 Auditors’ remuneration 730 850 Provision for/(reversal of) impairment of financial assets and contract assets – net (included in other operating expenses) 5,885 (8,760) Expenses relating to short-term leases 154 596 11. INCOME TAX (CREDIT)/EXPENSE An analysis of the Group’s income tax (credit)/expenses from continuing operat</t>
        </is>
      </c>
    </row>
    <row r="29">
      <c r="A29" s="8" t="inlineStr">
        <is>
          <t>Intangible Assets &amp; Goodwill</t>
        </is>
      </c>
      <c r="B29" s="8" t="inlineStr">
        <is>
          <t>無形資產及商譽</t>
        </is>
      </c>
      <c r="C29" s="19" t="inlineStr">
        <is>
          <t>high</t>
        </is>
      </c>
      <c r="D29" s="11" t="inlineStr">
        <is>
          <t>intangible asset</t>
        </is>
      </c>
      <c r="E29" s="11" t="inlineStr">
        <is>
          <t>PDF p.119 (印刷頁 118)</t>
        </is>
      </c>
      <c r="F29" s="11" t="inlineStr">
        <is>
          <t>NOTES TO THE CONSOLIDATED FINANCIAL STATEMENTS For the year ended 31 December 2025 18. INTANGIBLE ASSETS Internally generated software development costs HK$’000 As at 1 January 2024 Cost 59,940 Accumulated amortization and impairment (58,298) Net book amount 1,642 Year ended 31 December 2024 Opening net book amount 1,642 Additions 732 Amortization charge (904) Closing net book amount 1,470 As at 31 December 2024 Cost 60,672 Accumulated amortization and impairment (59,202) Net book a</t>
        </is>
      </c>
    </row>
    <row r="30">
      <c r="A30" s="8" t="inlineStr">
        <is>
          <t>Intangible Assets &amp; Goodwill</t>
        </is>
      </c>
      <c r="B30" s="8" t="inlineStr">
        <is>
          <t>無形資產及商譽</t>
        </is>
      </c>
      <c r="C30" s="19" t="inlineStr">
        <is>
          <t>high</t>
        </is>
      </c>
      <c r="D30" s="11" t="inlineStr">
        <is>
          <t>intangible asset</t>
        </is>
      </c>
      <c r="E30" s="11" t="inlineStr">
        <is>
          <t>PDF p.120 (印刷頁 119)</t>
        </is>
      </c>
      <c r="F30" s="11" t="inlineStr">
        <is>
          <t>NOTES TO THE CONSOLIDATED FINANCIAL STATEMENTS For the year ended 31 December 2025 18. INTANGIBLE ASSETS (CONTINUED) Internally generated software development costs Internally generated capitalized software development costs have definite useful lives and are amortized on a straight-line basis over 4 years. 19. INTEREST IN AN ASSOCIATE 2025 2024 HK$’000 HK$’000 Cost of unlisted interest in an associate 1,000 1,000 Share of post-acquisition loss and other comprehensive income, net of</t>
        </is>
      </c>
    </row>
    <row r="31">
      <c r="A31" s="8" t="inlineStr">
        <is>
          <t>Intangible Assets &amp; Goodwill</t>
        </is>
      </c>
      <c r="B31" s="8" t="inlineStr">
        <is>
          <t>無形資產及商譽</t>
        </is>
      </c>
      <c r="C31" s="19" t="inlineStr">
        <is>
          <t>high</t>
        </is>
      </c>
      <c r="D31" s="11" t="inlineStr">
        <is>
          <t>intangible asset</t>
        </is>
      </c>
      <c r="E31" s="11" t="inlineStr">
        <is>
          <t>PDF p.133 (印刷頁 132)</t>
        </is>
      </c>
      <c r="F31" s="11" t="inlineStr">
        <is>
          <t>’000 HK$’000 Asset and liabilities Property, plant and equipment 442 766 712 1,001 1,541 Right-of-use assets 762 2,599 535 370 1,004 Intangible assets 794 1,470 1,642 2,288 3,771 Interest in an associate 119 332 581 830 – Financial assets at fair value through profit or loss – – 1,543 1,260 2,200 Deferred income tax assets 44 1 755 669 818 Other assets – – – 205 205 Net current assets 49,879 55,599 37,387 83,244 97,982 Total assets less current liabilities 52,040 60,767 43,155 89,867 107,521 Deferred income tax liabilities (2)</t>
        </is>
      </c>
    </row>
    <row r="32">
      <c r="A32" s="8" t="inlineStr">
        <is>
          <t>ESG Data</t>
        </is>
      </c>
      <c r="B32" s="8" t="inlineStr">
        <is>
          <t>環境社會及管治數據</t>
        </is>
      </c>
      <c r="C32" s="8" t="inlineStr">
        <is>
          <t>medium</t>
        </is>
      </c>
      <c r="D32" s="11" t="inlineStr">
        <is>
          <t>ESG</t>
        </is>
      </c>
      <c r="E32" s="11" t="inlineStr">
        <is>
          <t>PDF p.17 (印刷頁 16)</t>
        </is>
      </c>
      <c r="F32" s="11" t="inlineStr">
        <is>
          <t>roles, functions and responsibilities of the board; (ii) issuers’ obligations and directors’ duties; (iii) corporate governance and ESG matters; (iv) risk management and internal controls; and (v) updates on industry-specific developments, business trends and strategies to the issuer. 16 ETS GROUP LIMITED | ANNUAL REPORT 2025</t>
        </is>
      </c>
    </row>
    <row r="33">
      <c r="A33" s="8" t="inlineStr">
        <is>
          <t>ESG Data</t>
        </is>
      </c>
      <c r="B33" s="8" t="inlineStr">
        <is>
          <t>環境社會及管治數據</t>
        </is>
      </c>
      <c r="C33" s="8" t="inlineStr">
        <is>
          <t>medium</t>
        </is>
      </c>
      <c r="D33" s="11" t="inlineStr">
        <is>
          <t>ESG</t>
        </is>
      </c>
      <c r="E33" s="11" t="inlineStr">
        <is>
          <t>PDF p.18 (印刷頁 17)</t>
        </is>
      </c>
      <c r="F33" s="11" t="inlineStr">
        <is>
          <t>r of Hours Board Roles Legal &amp; Corporate Risk and Regulatory Governance Management &amp; Industry &amp; Total no. Effectiveness Compliance &amp; ESG Internal Controls Business Updates of Hours Executive Director Tang Yiu Sing (resigned 2 3 4 3 4 16 on 20 March 2026) Independent Nonexecutive Directors Mr. Wong Kam Tai 3 3 17 6 4 33 (resigned on 31 March 2026) Ms. Kwong Yuk Ying 3 10 4 3 4 24 Ms. Tsang Lee Mei 4 6 4 5 4 23 (resigned on 17 April 2026) Notes: – Training activities including self-study, e-learning, in-house or external traini</t>
        </is>
      </c>
    </row>
    <row r="34">
      <c r="A34" s="8" t="inlineStr">
        <is>
          <t>ESG Data</t>
        </is>
      </c>
      <c r="B34" s="8" t="inlineStr">
        <is>
          <t>環境社會及管治數據</t>
        </is>
      </c>
      <c r="C34" s="8" t="inlineStr">
        <is>
          <t>medium</t>
        </is>
      </c>
      <c r="D34" s="11" t="inlineStr">
        <is>
          <t>ESG</t>
        </is>
      </c>
      <c r="E34" s="11" t="inlineStr">
        <is>
          <t>PDF p.22 (印刷頁 21)</t>
        </is>
      </c>
      <c r="F34" s="11" t="inlineStr">
        <is>
          <t>Director The gender ratio in the workforce (including senior management) is detailed under “Diversity and Equal Opportunity” in the ESG Report on page 28 of the 2025 Annual Report. ETS GROUP LIMITED | ANNUAL REPORT 2025 21</t>
        </is>
      </c>
    </row>
    <row r="35">
      <c r="A35" s="8" t="inlineStr">
        <is>
          <t>ESG Data</t>
        </is>
      </c>
      <c r="B35" s="8" t="inlineStr">
        <is>
          <t>環境社會及管治數據</t>
        </is>
      </c>
      <c r="C35" s="8" t="inlineStr">
        <is>
          <t>medium</t>
        </is>
      </c>
      <c r="D35" s="11" t="inlineStr">
        <is>
          <t>greenhouse gas</t>
        </is>
      </c>
      <c r="E35" s="11" t="inlineStr">
        <is>
          <t>PDF p.29 (印刷頁 28)</t>
        </is>
      </c>
      <c r="F35" s="11" t="inlineStr">
        <is>
          <t>our comprehensive corporate social responsibility commitment, we have established measurable targets across key ESG areas, including greenhouse gas emissions, energy and water consumption, and waste management, with rigorous performance monitoring systems in place to track progress and trends effectively. Moving forward, the Group remains unwaveringly committed to advancing our sustainability performance and expanding our corporate responsibility efforts in meaningful and innovative ways. We will continue to create meaningful a</t>
        </is>
      </c>
    </row>
    <row r="36">
      <c r="A36" s="8" t="inlineStr">
        <is>
          <t>ESG Data</t>
        </is>
      </c>
      <c r="B36" s="8" t="inlineStr">
        <is>
          <t>環境社會及管治數據</t>
        </is>
      </c>
      <c r="C36" s="8" t="inlineStr">
        <is>
          <t>medium</t>
        </is>
      </c>
      <c r="D36" s="11" t="inlineStr">
        <is>
          <t>ESG</t>
        </is>
      </c>
      <c r="E36" s="11" t="inlineStr">
        <is>
          <t>PDF p.30 (印刷頁 29)</t>
        </is>
      </c>
      <c r="F36" s="11" t="inlineStr">
        <is>
          <t>ENVIRONMENTAL, SOCIAL AND GOVERNANCE REPORT Reporting Framework This ESG Report has been prepared in accordance with the Environmental, Social and Governance Reporting Guide (the “ESG Reporting Guide”) as set out in Appendix C2 of the Rules Governing the Listing of Securities on GEM (the “GEM Listing Rules”) of The Stock Exchange of Hong Kong Limited (the “Stock Exchange”). Information relating to the corporate governance practices of the Group has been set out in</t>
        </is>
      </c>
    </row>
    <row r="37">
      <c r="A37" s="8" t="inlineStr">
        <is>
          <t>ESG Data</t>
        </is>
      </c>
      <c r="B37" s="8" t="inlineStr">
        <is>
          <t>環境社會及管治數據</t>
        </is>
      </c>
      <c r="C37" s="8" t="inlineStr">
        <is>
          <t>medium</t>
        </is>
      </c>
      <c r="D37" s="11" t="inlineStr">
        <is>
          <t>ESG</t>
        </is>
      </c>
      <c r="E37" s="11" t="inlineStr">
        <is>
          <t>PDF p.31 (印刷頁 30)</t>
        </is>
      </c>
      <c r="F37" s="11" t="inlineStr">
        <is>
          <t>ENVIRONMENTAL, SOCIAL AND GOVERNANCE REPORT Sustainability Goal The Group strategically established our ESG goals with reference to the guideline set out by the announcement of the United Nations (UN) Sustainable Development Goals (SDGs) which came into force in January 2016, to address ESG issues which is material to the Group’s business and stakeholders, while contributing towards a sustainable future. We have identified three specific SDGs that most related to our business nature as a service pro</t>
        </is>
      </c>
    </row>
    <row r="38">
      <c r="A38" s="8" t="inlineStr">
        <is>
          <t>ESG Data</t>
        </is>
      </c>
      <c r="B38" s="8" t="inlineStr">
        <is>
          <t>環境社會及管治數據</t>
        </is>
      </c>
      <c r="C38" s="8" t="inlineStr">
        <is>
          <t>medium</t>
        </is>
      </c>
      <c r="D38" s="11" t="inlineStr">
        <is>
          <t>ESG</t>
        </is>
      </c>
      <c r="E38" s="11" t="inlineStr">
        <is>
          <t>PDF p.32 (印刷頁 31)</t>
        </is>
      </c>
      <c r="F38" s="11" t="inlineStr">
        <is>
          <t>RT Stakeholder Engagement The Group maintains an active stakeholder engagement framework that informs both our business strategy and ESG priorities. Recognizing that sustainable growth requires inclusive decision-making, we employ diversified communication channels to understand and harmonize the interests of all stakeholders – including shareholders, employees, customers, business partners, regulatory bodies, government entities, NGOs, and broader community. Key Stakeholders Communication Channels Shareholders • Annual general</t>
        </is>
      </c>
    </row>
    <row r="39">
      <c r="A39" s="8" t="inlineStr">
        <is>
          <t>ESG Data</t>
        </is>
      </c>
      <c r="B39" s="8" t="inlineStr">
        <is>
          <t>環境社會及管治數據</t>
        </is>
      </c>
      <c r="C39" s="8" t="inlineStr">
        <is>
          <t>medium</t>
        </is>
      </c>
      <c r="D39" s="11" t="inlineStr">
        <is>
          <t>greenhouse gas</t>
        </is>
      </c>
      <c r="E39" s="11" t="inlineStr">
        <is>
          <t>PDF p.33 (印刷頁 32)</t>
        </is>
      </c>
      <c r="F39" s="11" t="inlineStr">
        <is>
          <t>execution. MATERIALITY MATRIX Higher j l k g stakeholders c h i f on d Impact a e b Lower Lower Higher Impact on business Notes: a: Greenhouse Gas Emissions, b: Energy and Waste Management, c: Health and safety, d: Diversity &amp; Equal Opportunity, e: Supply Chain Management, f: Training Program, g: Employment Practices, h: Talent Retention &amp; Management, i: Contribution to Society, j: Anti-corruption and Business Ethics, k: Customer Satisfaction and Service Quality, l: Customer Privacy and Data Protection Our latest materiality a</t>
        </is>
      </c>
    </row>
    <row r="40">
      <c r="A40" s="8" t="inlineStr">
        <is>
          <t>ESG Data</t>
        </is>
      </c>
      <c r="B40" s="8" t="inlineStr">
        <is>
          <t>環境社會及管治數據</t>
        </is>
      </c>
      <c r="C40" s="8" t="inlineStr">
        <is>
          <t>medium</t>
        </is>
      </c>
      <c r="D40" s="11" t="inlineStr">
        <is>
          <t>greenhouse gas</t>
        </is>
      </c>
      <c r="E40" s="11" t="inlineStr">
        <is>
          <t>PDF p.34 (印刷頁 33)</t>
        </is>
      </c>
      <c r="F40" s="11" t="inlineStr">
        <is>
          <t>operations of the Group do not have significant impacts on the environment, and the principal emissions from the Group were air and greenhouse gas (“GHG”) emissions from the company vehicle and the consumption of electricity and paper. Despite our relatively insignificant impact made to the environment, the Group is dedicated to maintain sustainable consumption to help to combat climate changes as best as we can. During the Reporting Period, the Group has not identified any material non-compliance of environmental laws and reg</t>
        </is>
      </c>
    </row>
    <row r="41">
      <c r="A41" s="8" t="inlineStr">
        <is>
          <t>ESG Data</t>
        </is>
      </c>
      <c r="B41" s="8" t="inlineStr">
        <is>
          <t>環境社會及管治數據</t>
        </is>
      </c>
      <c r="C41" s="8" t="inlineStr">
        <is>
          <t>medium</t>
        </is>
      </c>
      <c r="D41" s="11" t="inlineStr">
        <is>
          <t>GHG emission</t>
        </is>
      </c>
      <c r="E41" s="11" t="inlineStr">
        <is>
          <t>PDF p.35 (印刷頁 34)</t>
        </is>
      </c>
      <c r="F41" s="11" t="inlineStr">
        <is>
          <t>g 2,657 3,122 -14.9% Sulphur Oxides (SOx) g 41 48 -14.6% Particulate matter (PM) g 196 230 -14.8% Total emission: 2,894 3,400 14.9% GHG Emission The Group is committed to low-carbon generation and promotes corporate green transformation. The Group’s main GHG emissions came from direct fuel consumption by the company’s petrol vehicle (Scope 1) and electricity consumption for the business operations (Scope 2). During the Reporting Period, the Group’s total GHG emission performance was as follows: Unit 2025 2024 % Direct GHG emis</t>
        </is>
      </c>
    </row>
    <row r="42">
      <c r="A42" s="8" t="inlineStr">
        <is>
          <t>ESG Data</t>
        </is>
      </c>
      <c r="B42" s="8" t="inlineStr">
        <is>
          <t>環境社會及管治數據</t>
        </is>
      </c>
      <c r="C42" s="8" t="inlineStr">
        <is>
          <t>medium</t>
        </is>
      </c>
      <c r="D42" s="11" t="inlineStr">
        <is>
          <t>greenhouse gas</t>
        </is>
      </c>
      <c r="E42" s="11" t="inlineStr">
        <is>
          <t>PDF p.37 (印刷頁 36)</t>
        </is>
      </c>
      <c r="F42" s="11" t="inlineStr">
        <is>
          <t>containers to the Green@Community recycling network. The paper recycled in 2025 resulted in a reduction of approximately 4,810 kg of greenhouse gas (GHG) emissions, compared to 2,256 kg in 2024. The significant increase in recycling was due to an extensive housekeeping exercise performed during the Reporting Period. The amount of paper recycled in 2025 is equivalent to planting around 123 tree seedlings contributing positively to environmental conservation. A2. Use of Resources Energy Management The Group continues to strive to</t>
        </is>
      </c>
    </row>
    <row r="43">
      <c r="A43" s="8" t="inlineStr">
        <is>
          <t>ESG Data</t>
        </is>
      </c>
      <c r="B43" s="8" t="inlineStr">
        <is>
          <t>環境社會及管治數據</t>
        </is>
      </c>
      <c r="C43" s="8" t="inlineStr">
        <is>
          <t>medium</t>
        </is>
      </c>
      <c r="D43" s="11" t="inlineStr">
        <is>
          <t>ESG</t>
        </is>
      </c>
      <c r="E43" s="11" t="inlineStr">
        <is>
          <t>PDF p.38 (印刷頁 37)</t>
        </is>
      </c>
      <c r="F43" s="11" t="inlineStr">
        <is>
          <t>potentially harming productivity, operations, and revenue. To proactively identify, assess, and mitigate climate-related risks, the ESG Committee conducted a detailed analysis of potential threats and formulated actionable recommendations. These measures aim to strengthen resilience, safeguard operations and infrastructure, protect our workforce, and minimize adverse business impacts – ensuring long-term sustainability in the face of climate challenges. ETS GROUP LIMITED | ANNUAL REPORT 2025 37</t>
        </is>
      </c>
    </row>
    <row r="44">
      <c r="A44" s="8" t="inlineStr">
        <is>
          <t>ESG Data</t>
        </is>
      </c>
      <c r="B44" s="8" t="inlineStr">
        <is>
          <t>環境社會及管治數據</t>
        </is>
      </c>
      <c r="C44" s="8" t="inlineStr">
        <is>
          <t>medium</t>
        </is>
      </c>
      <c r="D44" s="11" t="inlineStr">
        <is>
          <t>ESG</t>
        </is>
      </c>
      <c r="E44" s="11" t="inlineStr">
        <is>
          <t>PDF p.39 (印刷頁 38)</t>
        </is>
      </c>
      <c r="F44" s="11" t="inlineStr">
        <is>
          <t>d enhances our climate-related measures to drive ongoing improvement. Complementing these efforts, we prioritize transparency in our ESG reporting and initiatives, reinforcing trust and confidence among customers, shareholders, and other stakeholders. Through this proactive and adaptive approach, the Group aims to not only meet current regulatory demands but also position itself for long-term resilience as climate-related requirements continue to evolve. 38 ETS GROUP LIMITED | ANNUAL REPORT 2025</t>
        </is>
      </c>
    </row>
    <row r="45">
      <c r="A45" s="8" t="inlineStr">
        <is>
          <t>ESG Data</t>
        </is>
      </c>
      <c r="B45" s="8" t="inlineStr">
        <is>
          <t>環境社會及管治數據</t>
        </is>
      </c>
      <c r="C45" s="8" t="inlineStr">
        <is>
          <t>medium</t>
        </is>
      </c>
      <c r="D45" s="11" t="inlineStr">
        <is>
          <t>ESG</t>
        </is>
      </c>
      <c r="E45" s="11" t="inlineStr">
        <is>
          <t>PDF p.47 (印刷頁 46)</t>
        </is>
      </c>
      <c r="F45" s="11" t="inlineStr">
        <is>
          <t>and forced labor. B5. Supply Chain Management In addition to implementing good practices in our operations, we have adopted a set of ESG procurement specifications to promote responsible procurement throughout our supply chain. We regularly communicate our ESG policies and standards to suppliers and have established clear guidelines to govern our procurement practices. These include maintaining an updated Approved Vendor List and conducting annual evaluations of suppliers based on product and service quality, pricing, and their</t>
        </is>
      </c>
    </row>
    <row r="46">
      <c r="A46" s="8" t="inlineStr">
        <is>
          <t>ESG Data</t>
        </is>
      </c>
      <c r="B46" s="8" t="inlineStr">
        <is>
          <t>環境社會及管治數據</t>
        </is>
      </c>
      <c r="C46" s="8" t="inlineStr">
        <is>
          <t>medium</t>
        </is>
      </c>
      <c r="D46" s="11" t="inlineStr">
        <is>
          <t>sustainability</t>
        </is>
      </c>
      <c r="E46" s="11" t="inlineStr">
        <is>
          <t>PDF p.48 (印刷頁 47)</t>
        </is>
      </c>
      <c r="F46" s="11" t="inlineStr">
        <is>
          <t>ty services to our customers, recognizing that product and service responsibility are critical to our business success and long-term sustainability. Since 1997, the Group has been awarded the ISO 9001 Quality System Certificate for the design and provision of telemarketing services and 24-hour customer service hotlines, reflecting our dedication to maintaining the highest standards of quality. Quality excellence forms the foundation of our sustainable growth strategy. The Group maintains rigorous quality assurance protocols, wi</t>
        </is>
      </c>
    </row>
    <row r="47">
      <c r="A47" s="8" t="inlineStr">
        <is>
          <t>ESG Data</t>
        </is>
      </c>
      <c r="B47" s="8" t="inlineStr">
        <is>
          <t>環境社會及管治數據</t>
        </is>
      </c>
      <c r="C47" s="8" t="inlineStr">
        <is>
          <t>medium</t>
        </is>
      </c>
      <c r="D47" s="11" t="inlineStr">
        <is>
          <t>sustainability</t>
        </is>
      </c>
      <c r="E47" s="11" t="inlineStr">
        <is>
          <t>PDF p.51 (印刷頁 50)</t>
        </is>
      </c>
      <c r="F47" s="11" t="inlineStr">
        <is>
          <t>ENVIRONMENTAL, SOCIAL AND GOVERNANCE REPORT B8. Community Investments The Group is deeply committed to embedding sustainability and social responsibility into our corporate DNA. We actively cultivate a culture of meaningful community engagement through strategic charitable initiatives and employee volunteer programs. Our leadership champions corporate citizenship by organizing and supporting a wide range of philanthropic activities – from charitable donations and educational sponsorships to hands-on voluntee</t>
        </is>
      </c>
    </row>
    <row r="48">
      <c r="A48" s="8" t="inlineStr">
        <is>
          <t>R&amp;D Expenditure</t>
        </is>
      </c>
      <c r="B48" s="8" t="inlineStr">
        <is>
          <t>研發開支</t>
        </is>
      </c>
      <c r="C48" s="8" t="inlineStr">
        <is>
          <t>medium</t>
        </is>
      </c>
      <c r="D48" s="11" t="inlineStr">
        <is>
          <t>research and development</t>
        </is>
      </c>
      <c r="E48" s="11" t="inlineStr">
        <is>
          <t>PDF p.77 (印刷頁 76)</t>
        </is>
      </c>
      <c r="F48" s="11" t="inlineStr">
        <is>
          <t>apitalized development costs are recorded as intangible assets and amortized from the point at which the asset is ready for use. (b) Research and development Research expenditure and development expenditure that do not meet the criteria in (a) above are recognized as an expense as incurred. Development costs previously recognized as an expense are not recognized as an asset in a subsequent period. (c) Amortization methods and periods The group amortizes intangible assets with a limited useful life using the straight-line method</t>
        </is>
      </c>
    </row>
    <row r="49">
      <c r="A49" s="8" t="inlineStr">
        <is>
          <t>Segment Information</t>
        </is>
      </c>
      <c r="B49" s="8" t="inlineStr">
        <is>
          <t>分部資料</t>
        </is>
      </c>
      <c r="C49" s="8" t="inlineStr">
        <is>
          <t>medium</t>
        </is>
      </c>
      <c r="D49" s="11" t="inlineStr">
        <is>
          <t>operating segment</t>
        </is>
      </c>
      <c r="E49" s="11" t="inlineStr">
        <is>
          <t>PDF p.75 (印刷頁 74)</t>
        </is>
      </c>
      <c r="F49" s="11" t="inlineStr">
        <is>
          <t>nsive income is re-presented as if the operation had been discontinued from the start of the comparative year. 2.3 Segment reporting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the steering committee that makes strategic decisions. 74 ETS GROUP LIMITED | ANNUAL REPORT 2025</t>
        </is>
      </c>
    </row>
    <row r="50">
      <c r="A50" s="8" t="inlineStr">
        <is>
          <t>Segment Information</t>
        </is>
      </c>
      <c r="B50" s="8" t="inlineStr">
        <is>
          <t>分部資料</t>
        </is>
      </c>
      <c r="C50" s="8" t="inlineStr">
        <is>
          <t>medium</t>
        </is>
      </c>
      <c r="D50" s="11" t="inlineStr">
        <is>
          <t>segment information</t>
        </is>
      </c>
      <c r="E50" s="11" t="inlineStr">
        <is>
          <t>PDF p.102 (印刷頁 101)</t>
        </is>
      </c>
      <c r="F50" s="11" t="inlineStr">
        <is>
          <t>NOTES TO THE CONSOLIDATED FINANCIAL STATEMENTS For the year ended 31 December 2025 5. SEGMENT INFORMATION AND REVENUE The directors of the Company review the Group’s internal financial reporting and other information and also obtain other relevant external information in order to assess performance and allocate resources, and operating segment is identified with reference to these. On 27 December 2024, the Group disposed of Gear Credit Limited (“GCL”). Upon completion of the dispos</t>
        </is>
      </c>
    </row>
    <row r="51">
      <c r="A51" s="8" t="inlineStr">
        <is>
          <t>Segment Information</t>
        </is>
      </c>
      <c r="B51" s="8" t="inlineStr">
        <is>
          <t>分部資料</t>
        </is>
      </c>
      <c r="C51" s="8" t="inlineStr">
        <is>
          <t>medium</t>
        </is>
      </c>
      <c r="D51" s="11" t="inlineStr">
        <is>
          <t>segment information</t>
        </is>
      </c>
      <c r="E51" s="11" t="inlineStr">
        <is>
          <t>PDF p.103 (印刷頁 102)</t>
        </is>
      </c>
      <c r="F51" s="11" t="inlineStr">
        <is>
          <t>NOTES TO THE CONSOLIDATED FINANCIAL STATEMENTS For the year ended 31 December 2025 5. SEGMENT INFORMATION AND REVENUE (CONTINUED) The segment information provided to the board of directors for the reportable segments for the years ended 31 December 2025 and 2024 are as follows: For the year ended 31 December 2025 Contact service centre and Outsourcing service centre inbound Staff facilities System and contact insourcing management software services services services business Total</t>
        </is>
      </c>
    </row>
    <row r="52">
      <c r="A52" s="8" t="inlineStr">
        <is>
          <t>Segment Information</t>
        </is>
      </c>
      <c r="B52" s="8" t="inlineStr">
        <is>
          <t>分部資料</t>
        </is>
      </c>
      <c r="C52" s="8" t="inlineStr">
        <is>
          <t>medium</t>
        </is>
      </c>
      <c r="D52" s="11" t="inlineStr">
        <is>
          <t>segment information</t>
        </is>
      </c>
      <c r="E52" s="11" t="inlineStr">
        <is>
          <t>PDF p.104 (印刷頁 103)</t>
        </is>
      </c>
      <c r="F52" s="11" t="inlineStr">
        <is>
          <t>NOTES TO THE CONSOLIDATED FINANCIAL STATEMENTS For the year ended 31 December 2025 5. SEGMENT INFORMATION AND REVENUE (CONTINUED) For the year ended 31 December 2024 Contact service centre and Outsourcing service centre inbound Staff facilities System and contact insourcing management software services services services business Total HK$’000 HK$’000 HK$’000 HK$’000 HK$’000 Segment revenue 16,174 52,638 5,204 6,710 80,726 Segment results 1,345 5,019 1,134 2,789 10,287 Depreciation</t>
        </is>
      </c>
    </row>
    <row r="53">
      <c r="A53" s="8" t="inlineStr">
        <is>
          <t>Segment Information</t>
        </is>
      </c>
      <c r="B53" s="8" t="inlineStr">
        <is>
          <t>分部資料</t>
        </is>
      </c>
      <c r="C53" s="8" t="inlineStr">
        <is>
          <t>medium</t>
        </is>
      </c>
      <c r="D53" s="11" t="inlineStr">
        <is>
          <t>segment information</t>
        </is>
      </c>
      <c r="E53" s="11" t="inlineStr">
        <is>
          <t>PDF p.105 (印刷頁 104)</t>
        </is>
      </c>
      <c r="F53" s="11" t="inlineStr">
        <is>
          <t>NOTES TO THE CONSOLIDATED FINANCIAL STATEMENTS For the year ended 31 December 2025 5. SEGMENT INFORMATION AND REVENUE (CONTINUED) A reconciliation of segment results to (loss)/profit before tax is as follows: 2025 2024 HK$’000 HK$’000 Segment results for reportable segments 9,598 10,287 Unallocated: Other income 3,730 480 Other gains – net – 13,457 Depreciation and amortization (831) (809) Finance costs (21) (185) Corporate and other unallocated expenses (21,068) (13,966) (Loss)/pr</t>
        </is>
      </c>
    </row>
    <row r="54">
      <c r="A54" s="8" t="inlineStr">
        <is>
          <t>Segment Information</t>
        </is>
      </c>
      <c r="B54" s="8" t="inlineStr">
        <is>
          <t>分部資料</t>
        </is>
      </c>
      <c r="C54" s="8" t="inlineStr">
        <is>
          <t>medium</t>
        </is>
      </c>
      <c r="D54" s="11" t="inlineStr">
        <is>
          <t>segment information</t>
        </is>
      </c>
      <c r="E54" s="11" t="inlineStr">
        <is>
          <t>PDF p.106 (印刷頁 105)</t>
        </is>
      </c>
      <c r="F54" s="11" t="inlineStr">
        <is>
          <t>NOTES TO THE CONSOLIDATED FINANCIAL STATEMENTS For the year ended 31 December 2025 5. SEGMENT INFORMATION AND REVENUE (CONTINUED) The amounts provided to the directors of the Company with respect to total liabilities are measured in a manner consistent with that of the consolidated financial statements. These liabilities are allocated based on the operations of the segment. Reportable segments’ liabilities are reconciled to total liabilities as follows: 2025 2024 HK$’000 HK$’000 Se</t>
        </is>
      </c>
    </row>
    <row r="55">
      <c r="A55" s="8" t="inlineStr">
        <is>
          <t>Segment Information</t>
        </is>
      </c>
      <c r="B55" s="8" t="inlineStr">
        <is>
          <t>分部資料</t>
        </is>
      </c>
      <c r="C55" s="8" t="inlineStr">
        <is>
          <t>medium</t>
        </is>
      </c>
      <c r="D55" s="11" t="inlineStr">
        <is>
          <t>segment information</t>
        </is>
      </c>
      <c r="E55" s="11" t="inlineStr">
        <is>
          <t>PDF p.107 (印刷頁 106)</t>
        </is>
      </c>
      <c r="F55" s="11" t="inlineStr">
        <is>
          <t>NOTES TO THE CONSOLIDATED FINANCIAL STATEMENTS For the year ended 31 December 2025 5. SEGMENT INFORMATION AND REVENUE (CONTINUED) Information about major customers Revenue from major customers, each of whom contributed to 10% or more of the Group’s total revenue, is set out below: 2025 2024 HK$’000 HK$’000 Customer A1 11,524 10,956 Customer B1, 2 11,674 8,376 Customer C1 15,285 N/A 3 Customer D1 9,742 N/A 3 1 Revenue from staff insourcing services. 2 Revenue from provision of telec</t>
        </is>
      </c>
    </row>
    <row r="56">
      <c r="A56" s="8" t="inlineStr">
        <is>
          <t>Segment Information</t>
        </is>
      </c>
      <c r="B56" s="8" t="inlineStr">
        <is>
          <t>分部資料</t>
        </is>
      </c>
      <c r="C56" s="8" t="inlineStr">
        <is>
          <t>medium</t>
        </is>
      </c>
      <c r="D56" s="11" t="inlineStr">
        <is>
          <t>segment information</t>
        </is>
      </c>
      <c r="E56" s="11" t="inlineStr">
        <is>
          <t>PDF p.108 (印刷頁 107)</t>
        </is>
      </c>
      <c r="F56" s="11" t="inlineStr">
        <is>
          <t>NOTES TO THE CONSOLIDATED FINANCIAL STATEMENTS For the year ended 31 December 2025 5. SEGMENT INFORMATION AND REVENUE (CONTINUED) Disaggregation of revenue from contracts with customers 2025 2024 HK$’000 HK$’000 By timing of revenue recognition: Continuing operation Control transferred over time 72,868 76,228 Control transferred at a point of time 4,985 4,498 77,853 80,726 Performance obligations for contracts with customers and revenue recognition policies (a) Provision of telecom</t>
        </is>
      </c>
    </row>
    <row r="57">
      <c r="A57" s="8" t="inlineStr">
        <is>
          <t>Segment Information</t>
        </is>
      </c>
      <c r="B57" s="8" t="inlineStr">
        <is>
          <t>分部資料</t>
        </is>
      </c>
      <c r="C57" s="8" t="inlineStr">
        <is>
          <t>medium</t>
        </is>
      </c>
      <c r="D57" s="11" t="inlineStr">
        <is>
          <t>segment information</t>
        </is>
      </c>
      <c r="E57" s="11" t="inlineStr">
        <is>
          <t>PDF p.109 (印刷頁 108)</t>
        </is>
      </c>
      <c r="F57" s="11" t="inlineStr">
        <is>
          <t>NOTES TO THE CONSOLIDATED FINANCIAL STATEMENTS For the year ended 31 December 2025 5. SEGMENT INFORMATION AND REVENUE (CONTINUED) Performance obligations for contracts with customers and revenue recognition policies (continued) (d) Provision of licensing services For provision of licensing services, the services provided relate to granting licensees the right to use the software, revenue is recognized at a point of time. (e) Staff insourcing services For staff insourcing services,</t>
        </is>
      </c>
    </row>
    <row r="58">
      <c r="A58" s="8" t="inlineStr">
        <is>
          <t>Share-based Payment</t>
        </is>
      </c>
      <c r="B58" s="8" t="inlineStr">
        <is>
          <t>以股份為基礎的付款</t>
        </is>
      </c>
      <c r="C58" s="8" t="inlineStr">
        <is>
          <t>medium</t>
        </is>
      </c>
      <c r="D58" s="11" t="inlineStr">
        <is>
          <t>share option</t>
        </is>
      </c>
      <c r="E58" s="11" t="inlineStr">
        <is>
          <t>PDF p.54 (印刷頁 53)</t>
        </is>
      </c>
      <c r="F58" s="11" t="inlineStr">
        <is>
          <t>REPORT OF THE DIRECTORS SHARE OPTION SCHEME The following relates to the share option scheme conditionally adopted by the shareholders of the Company on 4 May 2021 and became unconditional on 6 May 2021 (the “Share Option Scheme”). The purpose of the Share Option Scheme is to provide incentive or reward to eligible persons for their contribution or potential contribution to, and continuing efforts to promote the interest</t>
        </is>
      </c>
    </row>
    <row r="59">
      <c r="A59" s="8" t="inlineStr">
        <is>
          <t>Share-based Payment</t>
        </is>
      </c>
      <c r="B59" s="8" t="inlineStr">
        <is>
          <t>以股份為基礎的付款</t>
        </is>
      </c>
      <c r="C59" s="8" t="inlineStr">
        <is>
          <t>medium</t>
        </is>
      </c>
      <c r="D59" s="11" t="inlineStr">
        <is>
          <t>share option</t>
        </is>
      </c>
      <c r="E59" s="11" t="inlineStr">
        <is>
          <t>PDF p.55 (印刷頁 54)</t>
        </is>
      </c>
      <c r="F59" s="11" t="inlineStr">
        <is>
          <t>REPORT OF THE DIRECTORS The total number of shares in respect of which options may be granted under the Share Option Scheme and any other share options schemes of the Company shall not exceed 28,000,000 shares, being 10% of the total number of shares in issue as at the date of the approval of the Share Option Scheme (the “Scheme Mandate Limit”) unless the Company obtains the approval of the shareholders of the Company in general meeting provided that options lapsed in accordance with the terms of th</t>
        </is>
      </c>
    </row>
    <row r="60">
      <c r="A60" s="8" t="inlineStr">
        <is>
          <t>Share-based Payment</t>
        </is>
      </c>
      <c r="B60" s="8" t="inlineStr">
        <is>
          <t>以股份為基礎的付款</t>
        </is>
      </c>
      <c r="C60" s="8" t="inlineStr">
        <is>
          <t>medium</t>
        </is>
      </c>
      <c r="D60" s="11" t="inlineStr">
        <is>
          <t>share option</t>
        </is>
      </c>
      <c r="E60" s="11" t="inlineStr">
        <is>
          <t>PDF p.57 (印刷頁 56)</t>
        </is>
      </c>
      <c r="F60" s="11" t="inlineStr">
        <is>
          <t>REPORT OF THE DIRECTORS DIRECTORS’ RIGHTS TO ACQUIRE SHARES Apart from the Share Option Scheme, at no time during the year ended 31 December 2025 was any of the Company or any associated corporation a party to any arrangement to enable the Directors to acquire benefits by means of the acquisition of shares in, or debentures of, the Company or any other body corporate, and none of the Directors, or their spouses or children under the age of 18, had any right to subscribe</t>
        </is>
      </c>
    </row>
    <row r="61">
      <c r="A61" s="8" t="inlineStr">
        <is>
          <t>Share-based Payment</t>
        </is>
      </c>
      <c r="B61" s="8" t="inlineStr">
        <is>
          <t>以股份為基礎的付款</t>
        </is>
      </c>
      <c r="C61" s="8" t="inlineStr">
        <is>
          <t>medium</t>
        </is>
      </c>
      <c r="D61" s="11" t="inlineStr">
        <is>
          <t>share option</t>
        </is>
      </c>
      <c r="E61" s="11" t="inlineStr">
        <is>
          <t>PDF p.60 (印刷頁 59)</t>
        </is>
      </c>
      <c r="F61" s="11" t="inlineStr">
        <is>
          <t>Share Option Scheme as an incentive to Directors and eligible participants, details of such scheme is set out and paragraph headed “Share Option Scheme” on pages 53 to 54 of this Report. RELATED PARTY TRANSACTIONS Details of related party transactions of the Group during the year ended 31 December 2025 are set out in note 29 to the Financial Statements. Those related party transactions constitute continuing connected transactions both exempted and non-exempted from the reporting, announcement and independent shareholders’ appr</t>
        </is>
      </c>
    </row>
    <row r="62">
      <c r="A62" s="8" t="inlineStr">
        <is>
          <t>Related Party Transactions</t>
        </is>
      </c>
      <c r="B62" s="8" t="inlineStr">
        <is>
          <t>關聯方交易</t>
        </is>
      </c>
      <c r="C62" s="8" t="inlineStr">
        <is>
          <t>low</t>
        </is>
      </c>
      <c r="D62" s="11" t="inlineStr">
        <is>
          <t>related party</t>
        </is>
      </c>
      <c r="E62" s="11" t="inlineStr">
        <is>
          <t>PDF p.60 (印刷頁 59)</t>
        </is>
      </c>
      <c r="F62" s="11" t="inlineStr">
        <is>
          <t>ligible participants, details of such scheme is set out and paragraph headed “Share Option Scheme” on pages 53 to 54 of this Report. RELATED PARTY TRANSACTIONS Details of related party transactions of the Group during the year ended 31 December 2025 are set out in note 29 to the Financial Statements. Those related party transactions constitute continuing connected transactions both exempted and non-exempted from the reporting, announcement and independent shareholders’ approval requirements under Chapter 20 of the GEM Listing R</t>
        </is>
      </c>
    </row>
    <row r="63">
      <c r="A63" s="8" t="inlineStr">
        <is>
          <t>Related Party Transactions</t>
        </is>
      </c>
      <c r="B63" s="8" t="inlineStr">
        <is>
          <t>關聯方交易</t>
        </is>
      </c>
      <c r="C63" s="8" t="inlineStr">
        <is>
          <t>low</t>
        </is>
      </c>
      <c r="D63" s="11" t="inlineStr">
        <is>
          <t>related party</t>
        </is>
      </c>
      <c r="E63" s="11" t="inlineStr">
        <is>
          <t>PDF p.126 (印刷頁 125)</t>
        </is>
      </c>
      <c r="F63" s="11" t="inlineStr">
        <is>
          <t>ents the difference between the par value of issued shares of the Company and the considerations received from the shareholders. 29. RELATED PARTY TRANSACTIONS Save as disclosed in Notes 22 and 32 to the consolidated financial statements, the Group entered into the following significant related party transactions during the year: Key management personnel compensation 2025 2024 HK$’000 HK$’000 Salaries and short-term employee benefits 1,085 404 Post-employment benefits 12 3 1,097 407 ETS GROUP LIMITED | ANNUAL REPORT 2025 125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7" topLeftCell="A28"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Operating Profit</t>
        </is>
      </c>
    </row>
    <row r="11">
      <c r="A11" s="8" t="inlineStr">
        <is>
          <t>Income Statement</t>
        </is>
      </c>
      <c r="B11" s="8" t="inlineStr">
        <is>
          <t>Profit Before Tax</t>
        </is>
      </c>
    </row>
    <row r="12">
      <c r="A12" s="8" t="inlineStr">
        <is>
          <t>Income Statement</t>
        </is>
      </c>
      <c r="B12" s="8" t="inlineStr">
        <is>
          <t>R&amp;D Expenses</t>
        </is>
      </c>
    </row>
    <row r="13">
      <c r="A13" s="8" t="inlineStr">
        <is>
          <t>Income Statement</t>
        </is>
      </c>
      <c r="B13" s="8" t="inlineStr">
        <is>
          <t>Amortisation</t>
        </is>
      </c>
    </row>
    <row r="14">
      <c r="A14" s="8" t="inlineStr">
        <is>
          <t>Balance Sheet</t>
        </is>
      </c>
      <c r="B14" s="8" t="inlineStr">
        <is>
          <t>Total Assets</t>
        </is>
      </c>
    </row>
    <row r="15">
      <c r="A15" s="8" t="inlineStr">
        <is>
          <t>Balance Sheet</t>
        </is>
      </c>
      <c r="B15" s="8" t="inlineStr">
        <is>
          <t>Inventories</t>
        </is>
      </c>
    </row>
    <row r="16">
      <c r="A16" s="8" t="inlineStr">
        <is>
          <t>Balance Sheet</t>
        </is>
      </c>
      <c r="B16" s="8" t="inlineStr">
        <is>
          <t>Goodwill</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Operating Cash Flow</t>
        </is>
      </c>
    </row>
    <row r="21">
      <c r="A21" s="8" t="inlineStr">
        <is>
          <t>Cash Flow</t>
        </is>
      </c>
      <c r="B21" s="8" t="inlineStr">
        <is>
          <t>Capital Expenditure</t>
        </is>
      </c>
    </row>
    <row r="24">
      <c r="A24" s="5" t="inlineStr">
        <is>
          <t>二、文字量過低的頁面(疑似掃描頁)</t>
        </is>
      </c>
    </row>
    <row r="25">
      <c r="A25" s="2" t="inlineStr">
        <is>
          <t>這些頁面幾乎抓不到文字,通常是掃描件或純圖表,建議人手翻閱或另行 OCR。</t>
        </is>
      </c>
    </row>
    <row r="27">
      <c r="A27" s="7" t="inlineStr">
        <is>
          <t>PDF 頁碼</t>
        </is>
      </c>
      <c r="B27" s="7" t="inlineStr">
        <is>
          <t>狀態</t>
        </is>
      </c>
    </row>
    <row r="28">
      <c r="A28" s="8" t="n">
        <v>1</v>
      </c>
      <c r="B28" s="8" t="inlineStr">
        <is>
          <t>文字量過低 — 可能為掃描頁/圖表頁</t>
        </is>
      </c>
    </row>
    <row r="29">
      <c r="A29" s="8" t="n">
        <v>134</v>
      </c>
      <c r="B29"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2026-08-30T13:49:21Z</dcterms:created>
  <dcterms:modified xsi:type="dcterms:W3CDTF">2026-08-30T13:49:21Z</dcterms:modified>
</cp:coreProperties>
</file>
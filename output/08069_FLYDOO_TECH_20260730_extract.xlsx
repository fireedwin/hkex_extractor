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摘要" sheetId="1" state="visible" r:id="rId1"/>
    <sheet name="Valuation Params 估值參數" sheetId="2" state="visible" r:id="rId2"/>
    <sheet name="Financials 財務數據" sheetId="3" state="visible" r:id="rId3"/>
    <sheet name="Ratios 財務比率" sheetId="4" state="visible" r:id="rId4"/>
    <sheet name="Chart 趨勢圖" sheetId="5" state="visible" r:id="rId5"/>
    <sheet name="Extracts 主題段落" sheetId="6" state="visible" r:id="rId6"/>
    <sheet name="Review Queue 待覆核" sheetId="7" state="visible" r:id="rId7"/>
  </sheets>
  <definedNames/>
  <calcPr calcId="124519" fullCalcOnLoad="1"/>
</workbook>
</file>

<file path=xl/styles.xml><?xml version="1.0" encoding="utf-8"?>
<styleSheet xmlns="http://schemas.openxmlformats.org/spreadsheetml/2006/main">
  <numFmts count="2">
    <numFmt numFmtId="164" formatCode="#,##0;(#,##0);-"/>
    <numFmt numFmtId="165" formatCode="0.0%"/>
  </numFmts>
  <fonts count="9">
    <font>
      <name val="Calibri"/>
      <family val="2"/>
      <color theme="1"/>
      <sz val="11"/>
      <scheme val="minor"/>
    </font>
    <font>
      <name val="Arial"/>
      <b val="1"/>
      <color rgb="001F4E5F"/>
      <sz val="14"/>
    </font>
    <font>
      <name val="Arial"/>
      <i val="1"/>
      <color rgb="00808080"/>
      <sz val="9"/>
    </font>
    <font>
      <name val="Arial"/>
      <b val="1"/>
      <sz val="10"/>
    </font>
    <font>
      <name val="Arial"/>
      <sz val="10"/>
    </font>
    <font>
      <name val="Arial"/>
      <b val="1"/>
      <sz val="11"/>
    </font>
    <font>
      <name val="Arial"/>
      <b val="1"/>
      <color rgb="009C0006"/>
      <sz val="10"/>
    </font>
    <font>
      <name val="Arial"/>
      <b val="1"/>
      <color rgb="00FFFFFF"/>
      <sz val="10"/>
    </font>
    <font>
      <name val="Arial"/>
      <color rgb="000000FF"/>
      <sz val="10"/>
    </font>
  </fonts>
  <fills count="4">
    <fill>
      <patternFill/>
    </fill>
    <fill>
      <patternFill patternType="gray125"/>
    </fill>
    <fill>
      <patternFill patternType="solid">
        <fgColor rgb="001F4E5F"/>
      </patternFill>
    </fill>
    <fill>
      <patternFill patternType="solid">
        <fgColor rgb="00E2EFDA"/>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20">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2" borderId="0" applyAlignment="1" pivotButton="0" quotePrefix="0" xfId="0">
      <alignment vertical="center" wrapText="1"/>
    </xf>
    <xf numFmtId="0" fontId="4" fillId="0" borderId="1" applyAlignment="1" pivotButton="0" quotePrefix="0" xfId="0">
      <alignment vertical="top"/>
    </xf>
    <xf numFmtId="2" fontId="4" fillId="0" borderId="1" applyAlignment="1" pivotButton="0" quotePrefix="0" xfId="0">
      <alignment vertical="top"/>
    </xf>
    <xf numFmtId="2" fontId="4" fillId="0" borderId="1" applyAlignment="1" pivotButton="0" quotePrefix="0" xfId="0">
      <alignment vertical="top" wrapText="1"/>
    </xf>
    <xf numFmtId="0" fontId="4" fillId="0" borderId="1" applyAlignment="1" pivotButton="0" quotePrefix="0" xfId="0">
      <alignment vertical="top" wrapText="1"/>
    </xf>
    <xf numFmtId="164" fontId="4" fillId="0" borderId="1" applyAlignment="1" pivotButton="0" quotePrefix="0" xfId="0">
      <alignment vertical="top"/>
    </xf>
    <xf numFmtId="164" fontId="4" fillId="0" borderId="1" applyAlignment="1" pivotButton="0" quotePrefix="0" xfId="0">
      <alignment vertical="top" wrapText="1"/>
    </xf>
    <xf numFmtId="165" fontId="4" fillId="0" borderId="1" applyAlignment="1" pivotButton="0" quotePrefix="0" xfId="0">
      <alignment vertical="top" wrapText="1"/>
    </xf>
    <xf numFmtId="165" fontId="4" fillId="0" borderId="0" pivotButton="0" quotePrefix="0" xfId="0"/>
    <xf numFmtId="2" fontId="4" fillId="0" borderId="0" pivotButton="0" quotePrefix="0" xfId="0"/>
    <xf numFmtId="0" fontId="7" fillId="2" borderId="0" pivotButton="0" quotePrefix="0" xfId="0"/>
    <xf numFmtId="164" fontId="0" fillId="0" borderId="0" pivotButton="0" quotePrefix="0" xfId="0"/>
    <xf numFmtId="0" fontId="4" fillId="3"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charts/chart1.xml><?xml version="1.0" encoding="utf-8"?>
<chartSpace xmlns:a="http://schemas.openxmlformats.org/drawingml/2006/main" xmlns="http://schemas.openxmlformats.org/drawingml/2006/chart">
  <style val="10"/>
  <chart>
    <title>
      <tx>
        <rich>
          <a:bodyPr/>
          <a:p>
            <a:pPr>
              <a:defRPr/>
            </a:pPr>
            <a:r>
              <a:t>Key Financials — Prior vs Current</a:t>
            </a:r>
          </a:p>
        </rich>
      </tx>
    </title>
    <plotArea>
      <barChart>
        <barDir val="col"/>
        <grouping val="clustered"/>
        <ser>
          <idx val="0"/>
          <order val="0"/>
          <tx>
            <strRef>
              <f>'Chart 趨勢圖'!B4</f>
            </strRef>
          </tx>
          <spPr>
            <a:ln>
              <a:prstDash val="solid"/>
            </a:ln>
          </spPr>
          <cat>
            <numRef>
              <f>'Chart 趨勢圖'!$A$5</f>
            </numRef>
          </cat>
          <val>
            <numRef>
              <f>'Chart 趨勢圖'!$B$5</f>
            </numRef>
          </val>
        </ser>
        <ser>
          <idx val="1"/>
          <order val="1"/>
          <tx>
            <strRef>
              <f>'Chart 趨勢圖'!C4</f>
            </strRef>
          </tx>
          <spPr>
            <a:ln>
              <a:prstDash val="solid"/>
            </a:ln>
          </spPr>
          <cat>
            <numRef>
              <f>'Chart 趨勢圖'!$A$5</f>
            </numRef>
          </cat>
          <val>
            <numRef>
              <f>'Chart 趨勢圖'!$C$5</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Amount (as reported)</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3</row>
      <rowOff>0</rowOff>
    </from>
    <ext cx="7920000" cy="396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8" defaultRowHeight="15"/>
  <cols>
    <col width="42" customWidth="1" min="1" max="1"/>
    <col width="60" customWidth="1" min="2" max="2"/>
  </cols>
  <sheetData>
    <row r="1">
      <c r="A1" s="1" t="inlineStr">
        <is>
          <t>HKEX 文件資料萃取報告</t>
        </is>
      </c>
    </row>
    <row r="2">
      <c r="A2" s="2" t="inlineStr">
        <is>
          <t>Automated Extraction Report — Business Valuation Support</t>
        </is>
      </c>
    </row>
    <row r="4">
      <c r="A4" s="3" t="inlineStr">
        <is>
          <t>來源文件 Source file</t>
        </is>
      </c>
      <c r="B4" s="4" t="inlineStr">
        <is>
          <t>08069_FLYDOO_TECH_20260730.pdf</t>
        </is>
      </c>
    </row>
    <row r="5">
      <c r="A5" s="3" t="inlineStr">
        <is>
          <t>產生時間 Generated</t>
        </is>
      </c>
      <c r="B5" s="4" t="inlineStr">
        <is>
          <t>2026-08-30 22:15</t>
        </is>
      </c>
    </row>
    <row r="6">
      <c r="A6" s="4" t="inlineStr"/>
      <c r="B6" s="4" t="inlineStr"/>
    </row>
    <row r="7">
      <c r="A7" s="3" t="inlineStr">
        <is>
          <t>總頁數 Total pages</t>
        </is>
      </c>
      <c r="B7" s="4" t="n">
        <v>135</v>
      </c>
    </row>
    <row r="8">
      <c r="A8" s="3" t="inlineStr">
        <is>
          <t>已擷取字元 Characters extracted</t>
        </is>
      </c>
      <c r="B8" s="4" t="n">
        <v>283180</v>
      </c>
    </row>
    <row r="9">
      <c r="A9" s="3" t="inlineStr">
        <is>
          <t>含表格頁數 Pages with tables</t>
        </is>
      </c>
      <c r="B9" s="4" t="n">
        <v>0</v>
      </c>
    </row>
    <row r="10">
      <c r="A10" s="3" t="inlineStr">
        <is>
          <t>需人手/OCR 頁數 Pages needing OCR</t>
        </is>
      </c>
      <c r="B10" s="4" t="n">
        <v>1</v>
      </c>
    </row>
    <row r="11">
      <c r="A11" s="4" t="inlineStr"/>
      <c r="B11" s="4" t="inlineStr"/>
    </row>
    <row r="12">
      <c r="A12" s="3" t="inlineStr">
        <is>
          <t>估值參數擷取筆數 Valuation parameters</t>
        </is>
      </c>
      <c r="B12" s="4" t="n">
        <v>3</v>
      </c>
    </row>
    <row r="13">
      <c r="A13" s="3" t="inlineStr">
        <is>
          <t>財務科目擷取筆數 Financial line items</t>
        </is>
      </c>
      <c r="B13" s="4" t="n">
        <v>2</v>
      </c>
    </row>
    <row r="14">
      <c r="A14" s="3" t="inlineStr">
        <is>
          <t>主題段落擷取筆數 Topic extracts</t>
        </is>
      </c>
      <c r="B14" s="4" t="n">
        <v>85</v>
      </c>
    </row>
    <row r="15">
      <c r="A15" s="3" t="inlineStr">
        <is>
          <t>AI 複核筆數 AI-verified findings</t>
        </is>
      </c>
      <c r="B15" s="4" t="n">
        <v>0</v>
      </c>
    </row>
    <row r="17">
      <c r="A17" s="5" t="inlineStr">
        <is>
          <t>資料完整性檢查 Integrity checks</t>
        </is>
      </c>
    </row>
    <row r="18">
      <c r="A18" s="2" t="inlineStr">
        <is>
          <t>用會計恆等式交叉驗證擷取結果 —— 數字之間本來就該對得上,對不上代表某欄可能抓錯,請翻回來源頁核對。</t>
        </is>
      </c>
    </row>
    <row r="19">
      <c r="A19" s="6" t="inlineStr">
        <is>
          <t>✗ 三大報表應相鄰</t>
        </is>
      </c>
      <c r="B19" s="4" t="inlineStr">
        <is>
          <t>Income Statement: p.49、Balance Sheet: p.87、Cash Flow: p.127(相距 78 頁,可能有一張抓錯頁)</t>
        </is>
      </c>
    </row>
    <row r="21">
      <c r="A21" s="5" t="inlineStr">
        <is>
          <t>方法論 Methodology</t>
        </is>
      </c>
    </row>
    <row r="22">
      <c r="A22" s="4" t="inlineStr">
        <is>
          <t>1. 逐頁擷取文字,全程保留 PDF 頁碼與年報印刷頁碼(可追溯性)。</t>
        </is>
      </c>
    </row>
    <row r="23">
      <c r="A23" s="4" t="inlineStr">
        <is>
          <t>2. 規則層(正則/關鍵字)先把全份文件縮減為少數相關頁面 —— 解決「文件太大」。</t>
        </is>
      </c>
    </row>
    <row r="24">
      <c r="A24" s="4" t="inlineStr">
        <is>
          <t>3. 數字由正則精確擷取並做合理性檢查,不由語言模型生成 —— 解決「準確度」。</t>
        </is>
      </c>
    </row>
    <row r="25">
      <c r="A25" s="4" t="inlineStr">
        <is>
          <t>4. AI 僅在縮減後的頁面上做語意判斷,且輸出頁碼須通過驗證才保留。</t>
        </is>
      </c>
    </row>
    <row r="26">
      <c r="A26" s="4" t="inlineStr">
        <is>
          <t>5. 所有結果附來源頁碼與原文行,供估值師覆核。信心度為 Low 者建議人手確認。</t>
        </is>
      </c>
    </row>
    <row r="27">
      <c r="A27" s="4" t="inlineStr">
        <is>
          <t>6. 支援中英對照年報、破折號(nil)、Profit/(loss) 等港股常見排版。</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7"/>
  <sheetViews>
    <sheetView workbookViewId="0">
      <pane ySplit="4" topLeftCell="A5" activePane="bottomLeft" state="frozen"/>
      <selection pane="bottomLeft" activeCell="A1" sqref="A1"/>
    </sheetView>
  </sheetViews>
  <sheetFormatPr baseColWidth="8" defaultRowHeight="15"/>
  <cols>
    <col width="24" customWidth="1" min="1" max="1"/>
    <col width="18" customWidth="1" min="2" max="2"/>
    <col width="12" customWidth="1" min="3" max="3"/>
    <col width="12" customWidth="1" min="4" max="4"/>
    <col width="14" customWidth="1" min="5" max="5"/>
    <col width="10" customWidth="1" min="6" max="6"/>
    <col width="22" customWidth="1" min="7" max="7"/>
    <col width="90" customWidth="1" min="8" max="8"/>
  </cols>
  <sheetData>
    <row r="1">
      <c r="A1" s="1" t="inlineStr">
        <is>
          <t>估值參數 Benchmark — 可直接併入行內參數資料庫</t>
        </is>
      </c>
    </row>
    <row r="2">
      <c r="A2" s="2" t="inlineStr">
        <is>
          <t>數字由正則式從原文精確擷取,並經合理範圍檢查;非由 AI 生成。</t>
        </is>
      </c>
    </row>
    <row r="4">
      <c r="A4" s="7" t="inlineStr">
        <is>
          <t>參數 Parameter</t>
        </is>
      </c>
      <c r="B4" s="7" t="inlineStr">
        <is>
          <t>中文</t>
        </is>
      </c>
      <c r="C4" s="7" t="inlineStr">
        <is>
          <t>下限 Low (%)</t>
        </is>
      </c>
      <c r="D4" s="7" t="inlineStr">
        <is>
          <t>上限 High (%)</t>
        </is>
      </c>
      <c r="E4" s="7" t="inlineStr">
        <is>
          <t>原文數值</t>
        </is>
      </c>
      <c r="F4" s="7" t="inlineStr">
        <is>
          <t>信心度</t>
        </is>
      </c>
      <c r="G4" s="7" t="inlineStr">
        <is>
          <t>來源頁 Source Page</t>
        </is>
      </c>
      <c r="H4" s="7" t="inlineStr">
        <is>
          <t>上下文 Context</t>
        </is>
      </c>
    </row>
    <row r="5">
      <c r="A5" s="8" t="inlineStr">
        <is>
          <t>Discount Rate</t>
        </is>
      </c>
      <c r="B5" s="8" t="inlineStr">
        <is>
          <t>折現率</t>
        </is>
      </c>
      <c r="C5" s="9" t="n">
        <v>12.8</v>
      </c>
      <c r="D5" s="10" t="n">
        <v>12.8</v>
      </c>
      <c r="E5" s="11" t="inlineStr">
        <is>
          <t>12.8%</t>
        </is>
      </c>
      <c r="F5" s="11" t="inlineStr">
        <is>
          <t>High</t>
        </is>
      </c>
      <c r="G5" s="11" t="inlineStr">
        <is>
          <t>PDF p.111 (印刷頁 110)</t>
        </is>
      </c>
      <c r="H5" s="11" t="inlineStr">
        <is>
          <t xml:space="preserve"> period or the unexpired lease terms of the relevant leased assets with pre-tax discount rate of 12.8%. Cash flow projection during the budget period was based on the projected revenue and expected gross margins and the budgeted revenue growth and margi</t>
        </is>
      </c>
    </row>
    <row r="6">
      <c r="A6" s="8" t="inlineStr">
        <is>
          <t>Discount Rate</t>
        </is>
      </c>
      <c r="B6" s="8" t="inlineStr">
        <is>
          <t>折現率</t>
        </is>
      </c>
      <c r="C6" s="9" t="n">
        <v>13.2</v>
      </c>
      <c r="D6" s="10" t="n">
        <v>13.2</v>
      </c>
      <c r="E6" s="11" t="inlineStr">
        <is>
          <t>13.20%</t>
        </is>
      </c>
      <c r="F6" s="11" t="inlineStr">
        <is>
          <t>Medium</t>
        </is>
      </c>
      <c r="G6" s="11" t="inlineStr">
        <is>
          <t>PDF p.113 (印刷頁 112)</t>
        </is>
      </c>
      <c r="H6" s="11" t="inlineStr">
        <is>
          <t xml:space="preserve">ed in the value-in-use calculation are as follows: Terminal growth rate Pre-tax discount rate 2026 2025 2026 2025 Retail Operations N/A N/A N/A 13.20% Travel Related Products and N/A 2.00% N/A 15.70% Services (FIT) The pre-tax discount rate is adjusted </t>
        </is>
      </c>
    </row>
    <row r="7">
      <c r="A7" s="8" t="inlineStr">
        <is>
          <t>Discount Rate</t>
        </is>
      </c>
      <c r="B7" s="8" t="inlineStr">
        <is>
          <t>折現率</t>
        </is>
      </c>
      <c r="C7" s="9" t="n">
        <v>15.7</v>
      </c>
      <c r="D7" s="10" t="n">
        <v>15.7</v>
      </c>
      <c r="E7" s="11" t="inlineStr">
        <is>
          <t>15.70%</t>
        </is>
      </c>
      <c r="F7" s="11" t="inlineStr">
        <is>
          <t>Medium</t>
        </is>
      </c>
      <c r="G7" s="11" t="inlineStr">
        <is>
          <t>PDF p.113 (印刷頁 112)</t>
        </is>
      </c>
      <c r="H7" s="11" t="inlineStr">
        <is>
          <t xml:space="preserve">20% Travel Related Products and N/A 2.00% N/A 15.70% Services (FIT) The pre-tax discount rate is adjusted to reflect the risk profile equivalent to those that the Group expects to derive from the assets. In accordance with the Group’s accounting policy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8"/>
  <sheetViews>
    <sheetView workbookViewId="0">
      <pane ySplit="4" topLeftCell="A5" activePane="bottomLeft" state="frozen"/>
      <selection pane="bottomLeft" activeCell="A1" sqref="A1"/>
    </sheetView>
  </sheetViews>
  <sheetFormatPr baseColWidth="8" defaultRowHeight="15"/>
  <cols>
    <col width="20" customWidth="1" min="1" max="1"/>
    <col width="28" customWidth="1" min="2" max="2"/>
    <col width="16" customWidth="1" min="3" max="3"/>
    <col width="16" customWidth="1" min="4" max="4"/>
    <col width="12" customWidth="1" min="5" max="5"/>
    <col width="20" customWidth="1" min="6" max="6"/>
    <col width="70" customWidth="1" min="7" max="7"/>
  </cols>
  <sheetData>
    <row r="1">
      <c r="A1" s="1" t="inlineStr">
        <is>
          <t>三大報表擷取結果</t>
        </is>
      </c>
    </row>
    <row r="2">
      <c r="A2" s="2" t="inlineStr">
        <is>
          <t>偵測到的年度欄位 — Income Statement: 2026; Balance Sheet: 2026 / 2025; Cash Flow: 2026 / 2025</t>
        </is>
      </c>
    </row>
    <row r="4">
      <c r="A4" s="7" t="inlineStr">
        <is>
          <t>報表 Statement</t>
        </is>
      </c>
      <c r="B4" s="7" t="inlineStr">
        <is>
          <t>科目 Item</t>
        </is>
      </c>
      <c r="C4" s="7" t="inlineStr">
        <is>
          <t>本年 Current</t>
        </is>
      </c>
      <c r="D4" s="7" t="inlineStr">
        <is>
          <t>上年 Prior</t>
        </is>
      </c>
      <c r="E4" s="7" t="inlineStr">
        <is>
          <t>變動 YoY %</t>
        </is>
      </c>
      <c r="F4" s="7" t="inlineStr">
        <is>
          <t>來源頁</t>
        </is>
      </c>
      <c r="G4" s="7" t="inlineStr">
        <is>
          <t>原文行 Source line</t>
        </is>
      </c>
    </row>
    <row r="5">
      <c r="A5" s="8" t="inlineStr">
        <is>
          <t>Balance Sheet</t>
        </is>
      </c>
      <c r="B5" s="8" t="inlineStr">
        <is>
          <t>Total Assets</t>
        </is>
      </c>
      <c r="C5" s="12" t="n">
        <v>109136</v>
      </c>
      <c r="D5" s="13" t="n">
        <v>116712</v>
      </c>
      <c r="E5" s="14">
        <f>IF(ISERROR((C5-D5)/ABS(D5)),"",(C5-D5)/ABS(D5))</f>
        <v>-0.06491191993968058</v>
      </c>
      <c r="F5" s="11" t="inlineStr">
        <is>
          <t>PDF p.88 (印刷頁 87)</t>
        </is>
      </c>
      <c r="G5" s="11" t="inlineStr">
        <is>
          <t>Total assets 109,136 116,712</t>
        </is>
      </c>
    </row>
    <row r="6">
      <c r="A6" s="8" t="inlineStr">
        <is>
          <t>Cash Flow</t>
        </is>
      </c>
      <c r="B6" s="8" t="inlineStr">
        <is>
          <t>Operating Cash Flow</t>
        </is>
      </c>
      <c r="C6" s="12" t="n">
        <v>2026</v>
      </c>
      <c r="D6" s="13" t="n">
        <v>2025</v>
      </c>
      <c r="E6" s="14">
        <f>IF(ISERROR((C6-D6)/ABS(D6)),"",(C6-D6)/ABS(D6))</f>
        <v>0.0004938271604938272</v>
      </c>
      <c r="F6" s="11" t="inlineStr">
        <is>
          <t>PDF p.127 (印刷頁 126)</t>
        </is>
      </c>
      <c r="G6" s="11" t="inlineStr">
        <is>
          <t>(a) CASH GENERATED FROM OPERATIONS … 2026 2025</t>
        </is>
      </c>
    </row>
    <row r="8">
      <c r="A8" s="2" t="inlineStr">
        <is>
          <t>藍色 = 從 PDF 原文擷取的數值(硬輸入);黑色 = 公式計算。單位依原報表所示(通常為千元或百萬元),請對照來源頁確認。</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3"/>
  <sheetViews>
    <sheetView workbookViewId="0">
      <pane ySplit="4" topLeftCell="A5" activePane="bottomLeft" state="frozen"/>
      <selection pane="bottomLeft" activeCell="A1" sqref="A1"/>
    </sheetView>
  </sheetViews>
  <sheetFormatPr baseColWidth="8" defaultRowHeight="15"/>
  <cols>
    <col width="30" customWidth="1" min="1" max="1"/>
    <col width="16" customWidth="1" min="2" max="2"/>
    <col width="16" customWidth="1" min="3" max="3"/>
    <col width="48" customWidth="1" min="4" max="4"/>
  </cols>
  <sheetData>
    <row r="1">
      <c r="A1" s="1" t="inlineStr">
        <is>
          <t>衍生比率 — 全部以公式連結至 Financials 分頁</t>
        </is>
      </c>
    </row>
    <row r="2">
      <c r="A2" s="2" t="inlineStr">
        <is>
          <t>改動 Financials 分頁的數字,本頁會自動重算。</t>
        </is>
      </c>
    </row>
    <row r="4">
      <c r="A4" s="7" t="inlineStr">
        <is>
          <t>比率 Ratio</t>
        </is>
      </c>
      <c r="B4" s="7" t="inlineStr">
        <is>
          <t>本年 Current</t>
        </is>
      </c>
      <c r="C4" s="7" t="inlineStr">
        <is>
          <t>上年 Prior</t>
        </is>
      </c>
      <c r="D4" s="7" t="inlineStr">
        <is>
          <t>說明</t>
        </is>
      </c>
    </row>
    <row r="5">
      <c r="A5" s="4" t="inlineStr">
        <is>
          <t>Gross Margin 毛利率</t>
        </is>
      </c>
      <c r="B5" s="15" t="str">
        <f>IF(ISERROR(INDEX('Financials 財務數據'!$C$5:$C$6,MATCH("Gross Profit",'Financials 財務數據'!$B$5:$B$6,0))/INDEX('Financials 財務數據'!$C$5:$C$6,MATCH("Revenue",'Financials 財務數據'!$B$5:$B$6,0))),"n/a",INDEX('Financials 財務數據'!$C$5:$C$6,MATCH("Gross Profit",'Financials 財務數據'!$B$5:$B$6,0))/INDEX('Financials 財務數據'!$C$5:$C$6,MATCH("Revenue",'Financials 財務數據'!$B$5:$B$6,0)))</f>
        <v>n/a</v>
      </c>
      <c r="C5" s="15" t="str">
        <f>IF(ISERROR(INDEX('Financials 財務數據'!$D$5:$D$6,MATCH("Gross Profit",'Financials 財務數據'!$B$5:$B$6,0))/INDEX('Financials 財務數據'!$D$5:$D$6,MATCH("Revenue",'Financials 財務數據'!$B$5:$B$6,0))),"n/a",INDEX('Financials 財務數據'!$D$5:$D$6,MATCH("Gross Profit",'Financials 財務數據'!$B$5:$B$6,0))/INDEX('Financials 財務數據'!$D$5:$D$6,MATCH("Revenue",'Financials 財務數據'!$B$5:$B$6,0)))</f>
        <v>n/a</v>
      </c>
      <c r="D5" s="2" t="inlineStr">
        <is>
          <t>毛利 ÷ 收入</t>
        </is>
      </c>
    </row>
    <row r="6">
      <c r="A6" s="4" t="inlineStr">
        <is>
          <t>Net Margin 淨利率</t>
        </is>
      </c>
      <c r="B6" s="15" t="str">
        <f>IF(ISERROR(INDEX('Financials 財務數據'!$C$5:$C$6,MATCH("Profit for the Year",'Financials 財務數據'!$B$5:$B$6,0))/INDEX('Financials 財務數據'!$C$5:$C$6,MATCH("Revenue",'Financials 財務數據'!$B$5:$B$6,0))),"n/a",INDEX('Financials 財務數據'!$C$5:$C$6,MATCH("Profit for the Year",'Financials 財務數據'!$B$5:$B$6,0))/INDEX('Financials 財務數據'!$C$5:$C$6,MATCH("Revenue",'Financials 財務數據'!$B$5:$B$6,0)))</f>
        <v>n/a</v>
      </c>
      <c r="C6" s="15" t="str">
        <f>IF(ISERROR(INDEX('Financials 財務數據'!$D$5:$D$6,MATCH("Profit for the Year",'Financials 財務數據'!$B$5:$B$6,0))/INDEX('Financials 財務數據'!$D$5:$D$6,MATCH("Revenue",'Financials 財務數據'!$B$5:$B$6,0))),"n/a",INDEX('Financials 財務數據'!$D$5:$D$6,MATCH("Profit for the Year",'Financials 財務數據'!$B$5:$B$6,0))/INDEX('Financials 財務數據'!$D$5:$D$6,MATCH("Revenue",'Financials 財務數據'!$B$5:$B$6,0)))</f>
        <v>n/a</v>
      </c>
      <c r="D6" s="2" t="inlineStr">
        <is>
          <t>年內溢利 ÷ 收入</t>
        </is>
      </c>
    </row>
    <row r="7">
      <c r="A7" s="4" t="inlineStr">
        <is>
          <t>Current Ratio 流動比率</t>
        </is>
      </c>
      <c r="B7" s="16" t="str">
        <f>IF(ISERROR(INDEX('Financials 財務數據'!$C$5:$C$6,MATCH("Total Current Assets",'Financials 財務數據'!$B$5:$B$6,0))/INDEX('Financials 財務數據'!$C$5:$C$6,MATCH("Total Current Liabilities",'Financials 財務數據'!$B$5:$B$6,0))),"n/a",INDEX('Financials 財務數據'!$C$5:$C$6,MATCH("Total Current Assets",'Financials 財務數據'!$B$5:$B$6,0))/INDEX('Financials 財務數據'!$C$5:$C$6,MATCH("Total Current Liabilities",'Financials 財務數據'!$B$5:$B$6,0)))</f>
        <v>n/a</v>
      </c>
      <c r="C7" s="16" t="str">
        <f>IF(ISERROR(INDEX('Financials 財務數據'!$D$5:$D$6,MATCH("Total Current Assets",'Financials 財務數據'!$B$5:$B$6,0))/INDEX('Financials 財務數據'!$D$5:$D$6,MATCH("Total Current Liabilities",'Financials 財務數據'!$B$5:$B$6,0))),"n/a",INDEX('Financials 財務數據'!$D$5:$D$6,MATCH("Total Current Assets",'Financials 財務數據'!$B$5:$B$6,0))/INDEX('Financials 財務數據'!$D$5:$D$6,MATCH("Total Current Liabilities",'Financials 財務數據'!$B$5:$B$6,0)))</f>
        <v>n/a</v>
      </c>
      <c r="D7" s="2" t="inlineStr">
        <is>
          <t>流動資產 ÷ 流動負債</t>
        </is>
      </c>
    </row>
    <row r="8">
      <c r="A8" s="4" t="inlineStr">
        <is>
          <t>Debt / Equity 負債權益比</t>
        </is>
      </c>
      <c r="B8" s="16" t="str">
        <f>IF(ISERROR(INDEX('Financials 財務數據'!$C$5:$C$6,MATCH("Total Liabilities",'Financials 財務數據'!$B$5:$B$6,0))/INDEX('Financials 財務數據'!$C$5:$C$6,MATCH("Total Equity",'Financials 財務數據'!$B$5:$B$6,0))),"n/a",INDEX('Financials 財務數據'!$C$5:$C$6,MATCH("Total Liabilities",'Financials 財務數據'!$B$5:$B$6,0))/INDEX('Financials 財務數據'!$C$5:$C$6,MATCH("Total Equity",'Financials 財務數據'!$B$5:$B$6,0)))</f>
        <v>n/a</v>
      </c>
      <c r="C8" s="16" t="str">
        <f>IF(ISERROR(INDEX('Financials 財務數據'!$D$5:$D$6,MATCH("Total Liabilities",'Financials 財務數據'!$B$5:$B$6,0))/INDEX('Financials 財務數據'!$D$5:$D$6,MATCH("Total Equity",'Financials 財務數據'!$B$5:$B$6,0))),"n/a",INDEX('Financials 財務數據'!$D$5:$D$6,MATCH("Total Liabilities",'Financials 財務數據'!$B$5:$B$6,0))/INDEX('Financials 財務數據'!$D$5:$D$6,MATCH("Total Equity",'Financials 財務數據'!$B$5:$B$6,0)))</f>
        <v>n/a</v>
      </c>
      <c r="D8" s="2" t="inlineStr">
        <is>
          <t>總負債 ÷ 總權益</t>
        </is>
      </c>
    </row>
    <row r="9">
      <c r="A9" s="4" t="inlineStr">
        <is>
          <t>Goodwill / Total Assets</t>
        </is>
      </c>
      <c r="B9" s="15" t="str">
        <f>IF(ISERROR(INDEX('Financials 財務數據'!$C$5:$C$6,MATCH("Goodwill",'Financials 財務數據'!$B$5:$B$6,0))/INDEX('Financials 財務數據'!$C$5:$C$6,MATCH("Total Assets",'Financials 財務數據'!$B$5:$B$6,0))),"n/a",INDEX('Financials 財務數據'!$C$5:$C$6,MATCH("Goodwill",'Financials 財務數據'!$B$5:$B$6,0))/INDEX('Financials 財務數據'!$C$5:$C$6,MATCH("Total Assets",'Financials 財務數據'!$B$5:$B$6,0)))</f>
        <v>n/a</v>
      </c>
      <c r="C9" s="15" t="str">
        <f>IF(ISERROR(INDEX('Financials 財務數據'!$D$5:$D$6,MATCH("Goodwill",'Financials 財務數據'!$B$5:$B$6,0))/INDEX('Financials 財務數據'!$D$5:$D$6,MATCH("Total Assets",'Financials 財務數據'!$B$5:$B$6,0))),"n/a",INDEX('Financials 財務數據'!$D$5:$D$6,MATCH("Goodwill",'Financials 財務數據'!$B$5:$B$6,0))/INDEX('Financials 財務數據'!$D$5:$D$6,MATCH("Total Assets",'Financials 財務數據'!$B$5:$B$6,0)))</f>
        <v>n/a</v>
      </c>
      <c r="D9" s="2" t="inlineStr">
        <is>
          <t>商譽佔總資產比重 — 減值風險指標</t>
        </is>
      </c>
    </row>
    <row r="10">
      <c r="A10" s="4" t="inlineStr">
        <is>
          <t>Intangibles / Total Assets</t>
        </is>
      </c>
      <c r="B10" s="15" t="str">
        <f>IF(ISERROR(INDEX('Financials 財務數據'!$C$5:$C$6,MATCH("Intangible Assets",'Financials 財務數據'!$B$5:$B$6,0))/INDEX('Financials 財務數據'!$C$5:$C$6,MATCH("Total Assets",'Financials 財務數據'!$B$5:$B$6,0))),"n/a",INDEX('Financials 財務數據'!$C$5:$C$6,MATCH("Intangible Assets",'Financials 財務數據'!$B$5:$B$6,0))/INDEX('Financials 財務數據'!$C$5:$C$6,MATCH("Total Assets",'Financials 財務數據'!$B$5:$B$6,0)))</f>
        <v>n/a</v>
      </c>
      <c r="C10" s="15" t="str">
        <f>IF(ISERROR(INDEX('Financials 財務數據'!$D$5:$D$6,MATCH("Intangible Assets",'Financials 財務數據'!$B$5:$B$6,0))/INDEX('Financials 財務數據'!$D$5:$D$6,MATCH("Total Assets",'Financials 財務數據'!$B$5:$B$6,0))),"n/a",INDEX('Financials 財務數據'!$D$5:$D$6,MATCH("Intangible Assets",'Financials 財務數據'!$B$5:$B$6,0))/INDEX('Financials 財務數據'!$D$5:$D$6,MATCH("Total Assets",'Financials 財務數據'!$B$5:$B$6,0)))</f>
        <v>n/a</v>
      </c>
      <c r="D10" s="2" t="inlineStr">
        <is>
          <t>無形資產佔比</t>
        </is>
      </c>
    </row>
    <row r="11">
      <c r="A11" s="4" t="inlineStr">
        <is>
          <t>ROE 股本回報率</t>
        </is>
      </c>
      <c r="B11" s="15" t="str">
        <f>IF(ISERROR(INDEX('Financials 財務數據'!$C$5:$C$6,MATCH("Profit for the Year",'Financials 財務數據'!$B$5:$B$6,0))/INDEX('Financials 財務數據'!$C$5:$C$6,MATCH("Total Equity",'Financials 財務數據'!$B$5:$B$6,0))),"n/a",INDEX('Financials 財務數據'!$C$5:$C$6,MATCH("Profit for the Year",'Financials 財務數據'!$B$5:$B$6,0))/INDEX('Financials 財務數據'!$C$5:$C$6,MATCH("Total Equity",'Financials 財務數據'!$B$5:$B$6,0)))</f>
        <v>n/a</v>
      </c>
      <c r="C11" s="15" t="str">
        <f>IF(ISERROR(INDEX('Financials 財務數據'!$D$5:$D$6,MATCH("Profit for the Year",'Financials 財務數據'!$B$5:$B$6,0))/INDEX('Financials 財務數據'!$D$5:$D$6,MATCH("Total Equity",'Financials 財務數據'!$B$5:$B$6,0))),"n/a",INDEX('Financials 財務數據'!$D$5:$D$6,MATCH("Profit for the Year",'Financials 財務數據'!$B$5:$B$6,0))/INDEX('Financials 財務數據'!$D$5:$D$6,MATCH("Total Equity",'Financials 財務數據'!$B$5:$B$6,0)))</f>
        <v>n/a</v>
      </c>
      <c r="D11" s="2" t="inlineStr">
        <is>
          <t>年內溢利 ÷ 總權益</t>
        </is>
      </c>
    </row>
    <row r="13">
      <c r="A13" s="2" t="inlineStr">
        <is>
          <t>顯示 "n/a" 表示該科目未在文件中成功擷取,需人手補入。</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inlineStr">
        <is>
          <t>本年 vs 上年 — 主要科目比較</t>
        </is>
      </c>
    </row>
    <row r="2">
      <c r="A2" s="2" t="inlineStr">
        <is>
          <t>港交所主板及 GEM 自 2024 年起均無強制季度報告,故以年度 / 中期數據作趨勢比較較符合披露實況。</t>
        </is>
      </c>
    </row>
    <row r="4">
      <c r="A4" s="17" t="inlineStr">
        <is>
          <t>Item</t>
        </is>
      </c>
      <c r="B4" s="17" t="inlineStr">
        <is>
          <t>Prior</t>
        </is>
      </c>
      <c r="C4" s="17" t="inlineStr">
        <is>
          <t>Current</t>
        </is>
      </c>
    </row>
    <row r="5">
      <c r="A5" s="4" t="inlineStr">
        <is>
          <t>Total Assets</t>
        </is>
      </c>
      <c r="B5" s="18" t="n">
        <v>116712</v>
      </c>
      <c r="C5" s="18" t="n">
        <v>109136</v>
      </c>
    </row>
  </sheetData>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F88"/>
  <sheetViews>
    <sheetView workbookViewId="0">
      <pane ySplit="3" topLeftCell="A4" activePane="bottomLeft" state="frozen"/>
      <selection pane="bottomLeft" activeCell="A1" sqref="A1"/>
    </sheetView>
  </sheetViews>
  <sheetFormatPr baseColWidth="8" defaultRowHeight="15"/>
  <cols>
    <col width="28" customWidth="1" min="1" max="1"/>
    <col width="20" customWidth="1" min="2" max="2"/>
    <col width="10" customWidth="1" min="3" max="3"/>
    <col width="20" customWidth="1" min="4" max="4"/>
    <col width="20" customWidth="1" min="5" max="5"/>
    <col width="100" customWidth="1" min="6" max="6"/>
  </cols>
  <sheetData>
    <row r="1">
      <c r="A1" s="1" t="inlineStr">
        <is>
          <t>主題式段落擷取 — 供估值師快速定位原文</t>
        </is>
      </c>
    </row>
    <row r="3">
      <c r="A3" s="7" t="inlineStr">
        <is>
          <t>主題 Topic</t>
        </is>
      </c>
      <c r="B3" s="7" t="inlineStr">
        <is>
          <t>中文</t>
        </is>
      </c>
      <c r="C3" s="7" t="inlineStr">
        <is>
          <t>優先</t>
        </is>
      </c>
      <c r="D3" s="7" t="inlineStr">
        <is>
          <t>命中詞</t>
        </is>
      </c>
      <c r="E3" s="7" t="inlineStr">
        <is>
          <t>來源頁</t>
        </is>
      </c>
      <c r="F3" s="7" t="inlineStr">
        <is>
          <t>段落 Snippet</t>
        </is>
      </c>
    </row>
    <row r="4">
      <c r="A4" s="8" t="inlineStr">
        <is>
          <t>Fair Value Measurement</t>
        </is>
      </c>
      <c r="B4" s="8" t="inlineStr">
        <is>
          <t>公允價值計量</t>
        </is>
      </c>
      <c r="C4" s="19" t="inlineStr">
        <is>
          <t>high</t>
        </is>
      </c>
      <c r="D4" s="11" t="inlineStr">
        <is>
          <t>level 1</t>
        </is>
      </c>
      <c r="E4" s="11" t="inlineStr">
        <is>
          <t>PDF p.89 (印刷頁 88)</t>
        </is>
      </c>
      <c r="F4" s="11" t="inlineStr">
        <is>
          <t>truments into the three levels prescribed under the accounting standards. An explanation of each level follows underneath the table: Level 1 Level 2 Level 3 Total HK$’000 HK$’000 HK$’000 HK$’000 As at 31 March 2026 Liabilities Derivative financial instruments Foreign exchange forward contracts (Note 25) – 21 – 21 As at 31 March 2025 Assets Derivative financial instruments Foreign exchange forward contracts (Note 25) – 74 – 74 Level 1: The fair value of financial instruments traded in active markets (such as publicly traded deri</t>
        </is>
      </c>
    </row>
    <row r="5">
      <c r="A5" s="8" t="inlineStr">
        <is>
          <t>Fair Value Measurement</t>
        </is>
      </c>
      <c r="B5" s="8" t="inlineStr">
        <is>
          <t>公允價值計量</t>
        </is>
      </c>
      <c r="C5" s="19" t="inlineStr">
        <is>
          <t>high</t>
        </is>
      </c>
      <c r="D5" s="11" t="inlineStr">
        <is>
          <t>fair value hierarchy</t>
        </is>
      </c>
      <c r="E5" s="11" t="inlineStr">
        <is>
          <t>PDF p.121 (印刷頁 120)</t>
        </is>
      </c>
      <c r="F5" s="11" t="inlineStr">
        <is>
          <t>nformation for the reference prices in the relevant cryptocurrencies markets. The recoverable amounts were categorised under Level 1 fair value hierarchy as the fair values were based on a quoted (unadjusted) market price in active markets for identical assets. The Directors considered that there was reversal of impairment loss of HK$88,000 (2025: impairment loss of HK$471,000) on cryptocurrencies as the recoverable amounts of cryptocurrencies as at 31 March 2026 were higher (2025: lower) than their carrying amounts. 27 CASH AN</t>
        </is>
      </c>
    </row>
    <row r="6">
      <c r="A6" s="8" t="inlineStr">
        <is>
          <t>Impairment Testing</t>
        </is>
      </c>
      <c r="B6" s="8" t="inlineStr">
        <is>
          <t>減值測試</t>
        </is>
      </c>
      <c r="C6" s="19" t="inlineStr">
        <is>
          <t>high</t>
        </is>
      </c>
      <c r="D6" s="11" t="inlineStr">
        <is>
          <t>impairment loss</t>
        </is>
      </c>
      <c r="E6" s="11" t="inlineStr">
        <is>
          <t>PDF p.9 (印刷頁 8)</t>
        </is>
      </c>
      <c r="F6" s="11" t="inlineStr">
        <is>
          <t>decreased by approximately 98.4%, from HK$4.3 million to HK$0.07 million. This improvement was mainly attributable to a reduction in impairment losses recognised on an investment held by the joint venture and a lower directors’ remuneration for FY25/26. 8 Flydoo Technology Holding Limited</t>
        </is>
      </c>
    </row>
    <row r="7">
      <c r="A7" s="8" t="inlineStr">
        <is>
          <t>Impairment Testing</t>
        </is>
      </c>
      <c r="B7" s="8" t="inlineStr">
        <is>
          <t>減值測試</t>
        </is>
      </c>
      <c r="C7" s="19" t="inlineStr">
        <is>
          <t>high</t>
        </is>
      </c>
      <c r="D7" s="11" t="inlineStr">
        <is>
          <t>impairment loss</t>
        </is>
      </c>
      <c r="E7" s="11" t="inlineStr">
        <is>
          <t>PDF p.70 (印刷頁 69)</t>
        </is>
      </c>
      <c r="F7" s="11" t="inlineStr">
        <is>
          <t>OCI. 4.5 PROPERTY, PLANT AND EQUIPMENT Property, plant and equipment are stated at historical cost less accumulated depreciation and impairment losses. Historical cost includes expenditure that is directly attributable to the acquisition of the items. Cost may also include transfers from equity of any gains or losses on qualifying cash flow hedges of foreign currency purchases of property, plant and equipment. Subsequent costs are included in the asset’s carrying amount or recognised as a separate asset, as appropriate, only wh</t>
        </is>
      </c>
    </row>
    <row r="8">
      <c r="A8" s="8" t="inlineStr">
        <is>
          <t>Impairment Testing</t>
        </is>
      </c>
      <c r="B8" s="8" t="inlineStr">
        <is>
          <t>減值測試</t>
        </is>
      </c>
      <c r="C8" s="19" t="inlineStr">
        <is>
          <t>high</t>
        </is>
      </c>
      <c r="D8" s="11" t="inlineStr">
        <is>
          <t>impairment loss</t>
        </is>
      </c>
      <c r="E8" s="11" t="inlineStr">
        <is>
          <t>PDF p.71 (印刷頁 70)</t>
        </is>
      </c>
      <c r="F8" s="11" t="inlineStr">
        <is>
          <t>and rebates) of preparing the asset for its intended use. Website is subsequently carried at cost less accumulated amortisation and impairment losses. These costs are amortised to profit or loss using the straight-line method over their estimated useful lives of 5 years. The amortisation period and amortisation method of intangible assets other than goodwill are reviewed at least at each reporting date. The effects of any revision are recognised in profit or loss when the changes arise. b. Cryptocurrencies Cryptocurrencies on</t>
        </is>
      </c>
    </row>
    <row r="9">
      <c r="A9" s="8" t="inlineStr">
        <is>
          <t>Impairment Testing</t>
        </is>
      </c>
      <c r="B9" s="8" t="inlineStr">
        <is>
          <t>減值測試</t>
        </is>
      </c>
      <c r="C9" s="19" t="inlineStr">
        <is>
          <t>high</t>
        </is>
      </c>
      <c r="D9" s="11" t="inlineStr">
        <is>
          <t>impairment loss</t>
        </is>
      </c>
      <c r="E9" s="11" t="inlineStr">
        <is>
          <t>PDF p.72 (印刷頁 71)</t>
        </is>
      </c>
      <c r="F9" s="11" t="inlineStr">
        <is>
          <t>efinite useful life is tested for impairment annually, irrespective of whether there is any indication that they may be impaired. An impairment loss is recognised for the amount by which the asset’s carrying amount exceeds its recoverable amount. The recoverable amount is the higher of an asset’s fair value less costs of disposal and value in use. For the purposes of assessing impairment, assets are grouped at the lowest levels for which there are separately identifiable cash inflows which are largely independent of the cash in</t>
        </is>
      </c>
    </row>
    <row r="10">
      <c r="A10" s="8" t="inlineStr">
        <is>
          <t>Impairment Testing</t>
        </is>
      </c>
      <c r="B10" s="8" t="inlineStr">
        <is>
          <t>減值測試</t>
        </is>
      </c>
      <c r="C10" s="19" t="inlineStr">
        <is>
          <t>high</t>
        </is>
      </c>
      <c r="D10" s="11" t="inlineStr">
        <is>
          <t>impairment loss</t>
        </is>
      </c>
      <c r="E10" s="11" t="inlineStr">
        <is>
          <t>PDF p.73 (印刷頁 72)</t>
        </is>
      </c>
      <c r="F10" s="11" t="inlineStr">
        <is>
          <t>e measured at fair value at the end of each reporting period, with any fair value gains or losses recognised in profit or loss. (ii) Impairment loss on financial assets The Group recognises loss allowances for expected credit loss (“ECL”) on financial assets at amortised cost. The ECLs are measured on either of the following bases: (1) 12-months ECLs: these are the ECLs that result from possible default events within the 12 months after the reporting date; and (2) lifetime ECLs: these are ECLs that result from all possible defa</t>
        </is>
      </c>
    </row>
    <row r="11">
      <c r="A11" s="8" t="inlineStr">
        <is>
          <t>Impairment Testing</t>
        </is>
      </c>
      <c r="B11" s="8" t="inlineStr">
        <is>
          <t>減值測試</t>
        </is>
      </c>
      <c r="C11" s="19" t="inlineStr">
        <is>
          <t>high</t>
        </is>
      </c>
      <c r="D11" s="11" t="inlineStr">
        <is>
          <t>impairment loss</t>
        </is>
      </c>
      <c r="E11" s="11" t="inlineStr">
        <is>
          <t>PDF p.74 (印刷頁 73)</t>
        </is>
      </c>
      <c r="F11" s="11" t="inlineStr">
        <is>
          <t>HE CONSOLIDATED FINANCIAL STATEMENTS 4 MATERIAL ACCOUNTING POLICY INFORMATION (CONTINUED) 4.9 FINANCIAL INSTRUMENTS (Continued) (ii) Impairment loss on financial assets (Continued) The Group measures loss allowances for trade receivables using HKFRS 9 simplified approach and has calculated ECLs based on lifetime ECLs. The Group has established a provision matrix that is based on the Group’s historical credit loss experience, adjusted for forward-looking factors specific to the debtors and the economic environment. For other fin</t>
        </is>
      </c>
    </row>
    <row r="12">
      <c r="A12" s="8" t="inlineStr">
        <is>
          <t>Impairment Testing</t>
        </is>
      </c>
      <c r="B12" s="8" t="inlineStr">
        <is>
          <t>減值測試</t>
        </is>
      </c>
      <c r="C12" s="19" t="inlineStr">
        <is>
          <t>high</t>
        </is>
      </c>
      <c r="D12" s="11" t="inlineStr">
        <is>
          <t>impairment loss</t>
        </is>
      </c>
      <c r="E12" s="11" t="inlineStr">
        <is>
          <t>PDF p.75 (印刷頁 74)</t>
        </is>
      </c>
      <c r="F12" s="11" t="inlineStr">
        <is>
          <t>HE CONSOLIDATED FINANCIAL STATEMENTS 4 MATERIAL ACCOUNTING POLICY INFORMATION (CONTINUED) 4.9 FINANCIAL INSTRUMENTS (Continued) (ii) Impairment loss on financial assets (Continued) Write-off policy The Group writes off a financial asset when there is information indicating that the debtor is in severe financial difficulty and there is no realistic prospect of recovery, e.g. when the counterparty has been placed under liquidation or has entered into bankruptcy proceedings. Financial assets written off may still be subject to enf</t>
        </is>
      </c>
    </row>
    <row r="13">
      <c r="A13" s="8" t="inlineStr">
        <is>
          <t>Impairment Testing</t>
        </is>
      </c>
      <c r="B13" s="8" t="inlineStr">
        <is>
          <t>減值測試</t>
        </is>
      </c>
      <c r="C13" s="19" t="inlineStr">
        <is>
          <t>high</t>
        </is>
      </c>
      <c r="D13" s="11" t="inlineStr">
        <is>
          <t>impairment loss</t>
        </is>
      </c>
      <c r="E13" s="11" t="inlineStr">
        <is>
          <t>PDF p.83 (印刷頁 82)</t>
        </is>
      </c>
      <c r="F13" s="11" t="inlineStr">
        <is>
          <t>ance or vice versa, including factors such as industry performance and changes in operational cash flows. In turn, measurement of an impairment loss or reversal requires a determination of recoverable amount, which is based on management’s estimates with the best information available. For the purpose of assessing impairment or reversal, assets are grouped at the lowest levels for which there are separately identifiable cash-generating units (“CGUs”). The Group treats Travel Related Products and Services, Other business Ancilla</t>
        </is>
      </c>
    </row>
    <row r="14">
      <c r="A14" s="8" t="inlineStr">
        <is>
          <t>Impairment Testing</t>
        </is>
      </c>
      <c r="B14" s="8" t="inlineStr">
        <is>
          <t>減值測試</t>
        </is>
      </c>
      <c r="C14" s="19" t="inlineStr">
        <is>
          <t>high</t>
        </is>
      </c>
      <c r="D14" s="11" t="inlineStr">
        <is>
          <t>impairment loss</t>
        </is>
      </c>
      <c r="E14" s="11" t="inlineStr">
        <is>
          <t>PDF p.85 (印刷頁 84)</t>
        </is>
      </c>
      <c r="F14" s="11" t="inlineStr">
        <is>
          <t>arly the authorisation of credit limits to individual customers and recoverable amounts of trade receivables to ensure that adequate impairment losses are made for irrecoverable amounts. Collections of outstanding receivable balances are closely monitored on an ongoing basis to minimise such credit risk. Sales to individual customers are settled in cash or via major credit cards, in which credit risk is mitigated. No material credit limits were exceeded during the reporting period, and management does not expect any material lo</t>
        </is>
      </c>
    </row>
    <row r="15">
      <c r="A15" s="8" t="inlineStr">
        <is>
          <t>Impairment Testing</t>
        </is>
      </c>
      <c r="B15" s="8" t="inlineStr">
        <is>
          <t>減值測試</t>
        </is>
      </c>
      <c r="C15" s="19" t="inlineStr">
        <is>
          <t>high</t>
        </is>
      </c>
      <c r="D15" s="11" t="inlineStr">
        <is>
          <t>impairment loss</t>
        </is>
      </c>
      <c r="E15" s="11" t="inlineStr">
        <is>
          <t>PDF p.91 (印刷頁 90)</t>
        </is>
      </c>
      <c r="F15" s="11" t="inlineStr">
        <is>
          <t>epreciation of property, plant and equipment (1,007) – – – – (1,007) Depreciation of right-of-use assets (2,629) – (113) – – (2,742) Impairment loss on property, plant and equipment (482) – – – – (482) Impairment loss on right-of-use assets (603) – – – – (603) Impairment loss on intangible assets (117) – – – – (117) 90 Flydoo Technology Holding Limited</t>
        </is>
      </c>
    </row>
    <row r="16">
      <c r="A16" s="8" t="inlineStr">
        <is>
          <t>Impairment Testing</t>
        </is>
      </c>
      <c r="B16" s="8" t="inlineStr">
        <is>
          <t>減值測試</t>
        </is>
      </c>
      <c r="C16" s="19" t="inlineStr">
        <is>
          <t>high</t>
        </is>
      </c>
      <c r="D16" s="11" t="inlineStr">
        <is>
          <t>impairment loss</t>
        </is>
      </c>
      <c r="E16" s="11" t="inlineStr">
        <is>
          <t>PDF p.92 (印刷頁 91)</t>
        </is>
      </c>
      <c r="F16" s="11" t="inlineStr">
        <is>
          <t>of property, plant and equipment (1,060) – – (162) (157) (1,379) Depreciation of right-of-use assets (3,617) – – (321) (519) (4,457) Impairment loss on goodwill (80) – – – (40) (120) Impairment loss on property, plant and equipment (21) – – (118) (248) (387) Impairment loss on right-of-use assets – – – (186) (160) (346) Impairment loss on cryptocurrencies (471) – – – – (471) For the year ended 31 March 2026, unallocated expenses, net represent corporate expenses (2025: same). Annual Report 2025/2026 91</t>
        </is>
      </c>
    </row>
    <row r="17">
      <c r="A17" s="8" t="inlineStr">
        <is>
          <t>Impairment Testing</t>
        </is>
      </c>
      <c r="B17" s="8" t="inlineStr">
        <is>
          <t>減值測試</t>
        </is>
      </c>
      <c r="C17" s="19" t="inlineStr">
        <is>
          <t>high</t>
        </is>
      </c>
      <c r="D17" s="11" t="inlineStr">
        <is>
          <t>impairment loss</t>
        </is>
      </c>
      <c r="E17" s="11" t="inlineStr">
        <is>
          <t>PDF p.95 (印刷頁 94)</t>
        </is>
      </c>
      <c r="F17" s="11" t="inlineStr">
        <is>
          <t>ial instruments (71) 76 Gain on disposal of property, plant and equipment 29 – Gain on disposal of cryptocurrencies – 24 Reversal of impairment loss of cryptocurrencies 88 – Loss on deregistration of a subsidiary – (264) (719) (173) Other income and other (losses)/gains, net (215) 576 Discontinued operation Other income and other gains Commission and sundry income 161 331 161 331 Notes: (i) Subsidies mainly represent grants received from Hong Kong SAR Government. There are no unfulfilled conditions or contingencies relating to</t>
        </is>
      </c>
    </row>
    <row r="18">
      <c r="A18" s="8" t="inlineStr">
        <is>
          <t>Impairment Testing</t>
        </is>
      </c>
      <c r="B18" s="8" t="inlineStr">
        <is>
          <t>減值測試</t>
        </is>
      </c>
      <c r="C18" s="19" t="inlineStr">
        <is>
          <t>high</t>
        </is>
      </c>
      <c r="D18" s="11" t="inlineStr">
        <is>
          <t>impairment loss</t>
        </is>
      </c>
      <c r="E18" s="11" t="inlineStr">
        <is>
          <t>PDF p.96 (印刷頁 95)</t>
        </is>
      </c>
      <c r="F18" s="11" t="inlineStr">
        <is>
          <t>fits and interests 407 514 Depreciation of property, plant and equipment 1,007 1,222 Depreciation of right-of-use assets 2,742 3,938 Impairment loss on cryptocurrencies – 471 Impairment loss on property, plant and equipment 482 139 Impairment loss on right-of-use assets 603 186 Impairment loss on goodwill – 80 Impairment loss on intangible assets 117 – Office, telecommunication and utility expenses 561 507 Exchange losses, net – 9 Legal and professional fees 2,723 1,583 Auditor’s remuneration – Audit services 566 546 – Non-audi</t>
        </is>
      </c>
    </row>
    <row r="19">
      <c r="A19" s="8" t="inlineStr">
        <is>
          <t>Impairment Testing</t>
        </is>
      </c>
      <c r="B19" s="8" t="inlineStr">
        <is>
          <t>減值測試</t>
        </is>
      </c>
      <c r="C19" s="19" t="inlineStr">
        <is>
          <t>high</t>
        </is>
      </c>
      <c r="D19" s="11" t="inlineStr">
        <is>
          <t>impairment loss</t>
        </is>
      </c>
      <c r="E19" s="11" t="inlineStr">
        <is>
          <t>PDF p.97 (印刷頁 96)</t>
        </is>
      </c>
      <c r="F19" s="11" t="inlineStr">
        <is>
          <t>irectors’ benefits and interests – 292 Depreciation of property, plant and equipment – 157 Depreciation of right-of-use assets – 519 Impairment loss on property, plant and equipment – 248 Impairment loss on right-of-use assets – 160 Impairment loss on goodwill – 40 Office, telecommunication and utility expenses – 29 Legal and professional fees – 2 Auditor’s remuneration – Audit services 61 61 – Non-audit services – – Others 80 223 141 18,268 Note: Land costs mainly consist of direct costs incurred in the provision of package to</t>
        </is>
      </c>
    </row>
    <row r="20">
      <c r="A20" s="8" t="inlineStr">
        <is>
          <t>Impairment Testing</t>
        </is>
      </c>
      <c r="B20" s="8" t="inlineStr">
        <is>
          <t>減值測試</t>
        </is>
      </c>
      <c r="C20" s="19" t="inlineStr">
        <is>
          <t>high</t>
        </is>
      </c>
      <c r="D20" s="11" t="inlineStr">
        <is>
          <t>impairment loss</t>
        </is>
      </c>
      <c r="E20" s="11" t="inlineStr">
        <is>
          <t>PDF p.107 (印刷頁 106)</t>
        </is>
      </c>
      <c r="F20" s="11" t="inlineStr">
        <is>
          <t>on and impairment At 1 April 2024 (4,371) (5,786) (858) (1,489) (9,459) (21,963) Charge for the year (956) (328) – (18) (77) (1,379) Impairment loss (112) (275) – – – (387) Written off – 4 – – – 4 At 31 March 2025 (5,439) (6,385) (858) (1,507) (9,536) (23,725) Closing net book amount At 31 March 2025 1,720 706 – 40 – 2,466 Year ended 31 March 2026 Cost At 1 April 2025 7,159 7,091 858 1,547 9,536 26,191 Additions 3 55 – 570 – 628 Disposals – – (592) – – (592) At 31 March 2026 7,162 7,146 266 2,117 9,536 26,227 Accumulated deprec</t>
        </is>
      </c>
    </row>
    <row r="21">
      <c r="A21" s="8" t="inlineStr">
        <is>
          <t>Impairment Testing</t>
        </is>
      </c>
      <c r="B21" s="8" t="inlineStr">
        <is>
          <t>減值測試</t>
        </is>
      </c>
      <c r="C21" s="19" t="inlineStr">
        <is>
          <t>high</t>
        </is>
      </c>
      <c r="D21" s="11" t="inlineStr">
        <is>
          <t>impairment loss</t>
        </is>
      </c>
      <c r="E21" s="11" t="inlineStr">
        <is>
          <t>PDF p.108 (印刷頁 107)</t>
        </is>
      </c>
      <c r="F21" s="11" t="inlineStr">
        <is>
          <t>st At 1 April 2025 405 Additions 397 At 31 March 2026 802 Accumulated amortisation and impairment At 1 April 2025 (162) Charge (139) Impairment loss (117) At 31 March 2026 (418) Closing net book amount At 31 March 2026 384 For the year ended 31 March 2026, depreciation expenses of HK$139,000 (2025: HK$81,000) was recognised in “administrative expenses” Annual Report 2025/2026 107</t>
        </is>
      </c>
    </row>
    <row r="22">
      <c r="A22" s="8" t="inlineStr">
        <is>
          <t>Impairment Testing</t>
        </is>
      </c>
      <c r="B22" s="8" t="inlineStr">
        <is>
          <t>減值測試</t>
        </is>
      </c>
      <c r="C22" s="19" t="inlineStr">
        <is>
          <t>high</t>
        </is>
      </c>
      <c r="D22" s="11" t="inlineStr">
        <is>
          <t>impairment loss</t>
        </is>
      </c>
      <c r="E22" s="11" t="inlineStr">
        <is>
          <t>PDF p.109 (印刷頁 108)</t>
        </is>
      </c>
      <c r="F22" s="11" t="inlineStr">
        <is>
          <t>fication of lease terms 4,113 At 31 March 2025 14,093 Accumulated depreciation and impairment At 1 April 2024 (6,137) Charge (4,457) Impairment loss (346) At 31 March 2025 (10,940) Closing net book amount At 31 March 2025 3,153 Total HK$’000 Year ended 31 March 2026 Cost At 1 April 2025 14,093 Additions 3,249 Derecognition (9,505) At 31 March 2026 7,837 Accumulated depreciation and impairment At 1 April 2025 (10,940) Charge (2,742) Derecognition 9,505 Impairment loss (603) At 31 March 2026 (4,780) Closing net book amount At 31</t>
        </is>
      </c>
    </row>
    <row r="23">
      <c r="A23" s="8" t="inlineStr">
        <is>
          <t>Impairment Testing</t>
        </is>
      </c>
      <c r="B23" s="8" t="inlineStr">
        <is>
          <t>減值測試</t>
        </is>
      </c>
      <c r="C23" s="19" t="inlineStr">
        <is>
          <t>high</t>
        </is>
      </c>
      <c r="D23" s="11" t="inlineStr">
        <is>
          <t>impairment loss</t>
        </is>
      </c>
      <c r="E23" s="11" t="inlineStr">
        <is>
          <t>PDF p.111 (印刷頁 110)</t>
        </is>
      </c>
      <c r="F23" s="11" t="inlineStr">
        <is>
          <t>acts. The majority of extension and termination options held are exercisable only by the Group and not by the respective lessor. (d) IMPAIRMENT LOSSES During the year ended 31 March 2026, management considered there were impairment indicators of one CGU with respect to Travel Related Products and Services due to intensified market competition, and hence conducted impairment assessment on property, plant and equipment, intangible assets with finite useful life and right-of-use assets, which belongs to this CGU. The recoverable a</t>
        </is>
      </c>
    </row>
    <row r="24">
      <c r="A24" s="8" t="inlineStr">
        <is>
          <t>Impairment Testing</t>
        </is>
      </c>
      <c r="B24" s="8" t="inlineStr">
        <is>
          <t>減值測試</t>
        </is>
      </c>
      <c r="C24" s="19" t="inlineStr">
        <is>
          <t>high</t>
        </is>
      </c>
      <c r="D24" s="11" t="inlineStr">
        <is>
          <t>impairment test</t>
        </is>
      </c>
      <c r="E24" s="11" t="inlineStr">
        <is>
          <t>PDF p.112 (印刷頁 111)</t>
        </is>
      </c>
      <c r="F24" s="11" t="inlineStr">
        <is>
          <t>422) (302) Impairment losses recognised – (120) Accumulated impairment losses at 31 March (422) (422) Net book value at 31 March – – Impairment test for goodwill A summary of the goodwill allocation is presented below: 2026 2025 HK$’000 HK$’000 Retail Operations 342 342 Travel Related Products and Services (FIT) 80 80 Gross carrying amount at 31 March 422 422 The recoverable amount of a CGU is determined based on value-in-use calculations. These calculations use cash flow projections based on financial budget and forecasts appr</t>
        </is>
      </c>
    </row>
    <row r="25">
      <c r="A25" s="8" t="inlineStr">
        <is>
          <t>Impairment Testing</t>
        </is>
      </c>
      <c r="B25" s="8" t="inlineStr">
        <is>
          <t>減值測試</t>
        </is>
      </c>
      <c r="C25" s="19" t="inlineStr">
        <is>
          <t>high</t>
        </is>
      </c>
      <c r="D25" s="11" t="inlineStr">
        <is>
          <t>impairment test</t>
        </is>
      </c>
      <c r="E25" s="11" t="inlineStr">
        <is>
          <t>PDF p.113 (印刷頁 112)</t>
        </is>
      </c>
      <c r="F25" s="11" t="inlineStr">
        <is>
          <t>impairment at each reporting date. Note 5 contains information about the estimates, assumptions and judgements relating to goodwill impairment tests. During the year ended 31 March 2025, impairment loss of goodwill amounting to HK$40,000 and HK$80,000 was recognised in CGU of Retail Operations, and Travel Related Products and Services (FIT), respectively. As at 31 March 2026 and 2025, goodwill has been fully impaired. 19 INTEREST IN A JOINT VENTURE (a) SHARE OF NET ASSETS OF A JOINT VENTURE 2026 2025 HK$’000 HK$’000 As at 1 Ap</t>
        </is>
      </c>
    </row>
    <row r="26">
      <c r="A26" s="8" t="inlineStr">
        <is>
          <t>Impairment Testing</t>
        </is>
      </c>
      <c r="B26" s="8" t="inlineStr">
        <is>
          <t>減值測試</t>
        </is>
      </c>
      <c r="C26" s="19" t="inlineStr">
        <is>
          <t>high</t>
        </is>
      </c>
      <c r="D26" s="11" t="inlineStr">
        <is>
          <t>impairment loss</t>
        </is>
      </c>
      <c r="E26" s="11" t="inlineStr">
        <is>
          <t>PDF p.120 (印刷頁 119)</t>
        </is>
      </c>
      <c r="F26" s="11" t="inlineStr">
        <is>
          <t>S 2026 2025 HK$’000 HK$’000 Gross carrying amount As at 1 April 1,206 1,344 Disposals – (138) As at 31 March 1,206 1,206 Accumulated impairment losses As at 1 April (539) (68) Reversal of impairment loss/(impairment loss) (Note 8 and Note 9(a)) 88 (471) As at 31 March (451) (539) Closing net book value As at 31 March 755 667 Annual Report 2025/2026 119</t>
        </is>
      </c>
    </row>
    <row r="27">
      <c r="A27" s="8" t="inlineStr">
        <is>
          <t>Impairment Testing</t>
        </is>
      </c>
      <c r="B27" s="8" t="inlineStr">
        <is>
          <t>減值測試</t>
        </is>
      </c>
      <c r="C27" s="19" t="inlineStr">
        <is>
          <t>high</t>
        </is>
      </c>
      <c r="D27" s="11" t="inlineStr">
        <is>
          <t>impairment loss</t>
        </is>
      </c>
      <c r="E27" s="11" t="inlineStr">
        <is>
          <t>PDF p.121 (印刷頁 120)</t>
        </is>
      </c>
      <c r="F27" s="11" t="inlineStr">
        <is>
          <t>ed on a quoted (unadjusted) market price in active markets for identical assets. The Directors considered that there was reversal of impairment loss of HK$88,000 (2025: impairment loss of HK$471,000) on cryptocurrencies as the recoverable amounts of cryptocurrencies as at 31 March 2026 were higher (2025: lower) than their carrying amounts. 27 CASH AND CASH EQUIVALENTS 2026 2025 HK$’000 HK$’000 Cash on hand 6,131 7,211 Cash at banks 55,137 64,291 Cash and cash equivalents 61,268 71,502 Cash and cash equivalents are denominated i</t>
        </is>
      </c>
    </row>
    <row r="28">
      <c r="A28" s="8" t="inlineStr">
        <is>
          <t>Impairment Testing</t>
        </is>
      </c>
      <c r="B28" s="8" t="inlineStr">
        <is>
          <t>減值測試</t>
        </is>
      </c>
      <c r="C28" s="19" t="inlineStr">
        <is>
          <t>high</t>
        </is>
      </c>
      <c r="D28" s="11" t="inlineStr">
        <is>
          <t>impairment loss</t>
        </is>
      </c>
      <c r="E28" s="11" t="inlineStr">
        <is>
          <t>PDF p.127 (印刷頁 126)</t>
        </is>
      </c>
      <c r="F28" s="11" t="inlineStr">
        <is>
          <t>of right of use assets 2,742 4,457 Expected credit losses 20 – Gain on disposal of property, plant and equipment (29) – (Reversal of impairment loss)/impairment loss on cryptocurrencies (88) 471 Loss on deregistration of a subsidiary – 264 Impairment loss on goodwill – 120 Impairment loss on property, plant and equipment 482 387 Impairment loss on right-to-use assets 603 346 Impairment loss on intangible assets 117 – Gain on lease modifications – (7) Finance costs, net 183 154 Fair value losses/(gains) on derivative financial i</t>
        </is>
      </c>
    </row>
    <row r="29">
      <c r="A29" s="8" t="inlineStr">
        <is>
          <t>Intangible Assets &amp; Goodwill</t>
        </is>
      </c>
      <c r="B29" s="8" t="inlineStr">
        <is>
          <t>無形資產及商譽</t>
        </is>
      </c>
      <c r="C29" s="19" t="inlineStr">
        <is>
          <t>high</t>
        </is>
      </c>
      <c r="D29" s="11" t="inlineStr">
        <is>
          <t>intangible asset</t>
        </is>
      </c>
      <c r="E29" s="11" t="inlineStr">
        <is>
          <t>PDF p.11 (印刷頁 10)</t>
        </is>
      </c>
      <c r="F29" s="11" t="inlineStr">
        <is>
          <t>es granted to the Group (31 March 2025: same). CAPITAL EXPENDITURE During FY25/26, the Group acquired property, plant and equipment, intangible assets and right-of-use assets at total costs of approximately HK$4.3 million (FY24/25: approximately HK$5.0 million), which was financed by internal resources of the Group or advances from non-controlling shareholders of subsidiaries. CAPITAL STRUCTURE Details of changes in the Company’s share capital are set out in Note 33 in this report. FOREIGN EXCHANGE EXPOSURE Regarding the Group’</t>
        </is>
      </c>
    </row>
    <row r="30">
      <c r="A30" s="8" t="inlineStr">
        <is>
          <t>Intangible Assets &amp; Goodwill</t>
        </is>
      </c>
      <c r="B30" s="8" t="inlineStr">
        <is>
          <t>無形資產及商譽</t>
        </is>
      </c>
      <c r="C30" s="19" t="inlineStr">
        <is>
          <t>high</t>
        </is>
      </c>
      <c r="D30" s="11" t="inlineStr">
        <is>
          <t>licence</t>
        </is>
      </c>
      <c r="E30" s="11" t="inlineStr">
        <is>
          <t>PDF p.40 (印刷頁 39)</t>
        </is>
      </c>
      <c r="F30" s="11" t="inlineStr">
        <is>
          <t>ed service quality standards for transportation, accommodation, guides, and activities. Tour Bus Operators Operators must hold valid licences and permits; vehicles must comply with local age limits; drivers must possess valid licences with sound experience; third-party liability insurance must be maintained. Hotels Reputable establishments are selected; site visits are conducted at new hotels to verify service quality, safety standards, and cleanliness. Lifestyle and Healthcare Products Product quality and safety serve as the p</t>
        </is>
      </c>
    </row>
    <row r="31">
      <c r="A31" s="8" t="inlineStr">
        <is>
          <t>Intangible Assets &amp; Goodwill</t>
        </is>
      </c>
      <c r="B31" s="8" t="inlineStr">
        <is>
          <t>無形資產及商譽</t>
        </is>
      </c>
      <c r="C31" s="19" t="inlineStr">
        <is>
          <t>high</t>
        </is>
      </c>
      <c r="D31" s="11" t="inlineStr">
        <is>
          <t>licence</t>
        </is>
      </c>
      <c r="E31" s="11" t="inlineStr">
        <is>
          <t>PDF p.41 (印刷頁 40)</t>
        </is>
      </c>
      <c r="F31" s="11" t="inlineStr">
        <is>
          <t>professional standards of outbound tour escorts remained a core priority. All tour escorts are required to hold a valid Tour Escort Licence (“TEL”) under the oversight of the TIA, obtainable through Pre-Examination Training Courses and the Licensing Examination for Tour Escorts (“TELE”). The TELE syllabus encompasses escort responsibilities, contingency planning, travel insurance, crisis management, emergency response, and basic first aid. Licences are valid for three years and are subject to renewal. The Group acknowledges th</t>
        </is>
      </c>
    </row>
    <row r="32">
      <c r="A32" s="8" t="inlineStr">
        <is>
          <t>Intangible Assets &amp; Goodwill</t>
        </is>
      </c>
      <c r="B32" s="8" t="inlineStr">
        <is>
          <t>無形資產及商譽</t>
        </is>
      </c>
      <c r="C32" s="19" t="inlineStr">
        <is>
          <t>high</t>
        </is>
      </c>
      <c r="D32" s="11" t="inlineStr">
        <is>
          <t>trademark</t>
        </is>
      </c>
      <c r="E32" s="11" t="inlineStr">
        <is>
          <t>PDF p.42 (印刷頁 41)</t>
        </is>
      </c>
      <c r="F32" s="11" t="inlineStr">
        <is>
          <t>PERTY RIGHTS PROTECTION In FY2025/26, the Group continued to actively protect its intellectual property assets, including registered trademarks and branding materials, through regular registration and renewal processes. Employees are consistently reminded of the importance of intellectual property protection, and internal protocols are maintained to prevent potential infringements. The Group upholds the lawful rights of third parties and is committed to fair competitive practices. IP Compliance FY2025/26 FY2024/25 Non-complianc</t>
        </is>
      </c>
    </row>
    <row r="33">
      <c r="A33" s="8" t="inlineStr">
        <is>
          <t>Intangible Assets &amp; Goodwill</t>
        </is>
      </c>
      <c r="B33" s="8" t="inlineStr">
        <is>
          <t>無形資產及商譽</t>
        </is>
      </c>
      <c r="C33" s="19" t="inlineStr">
        <is>
          <t>high</t>
        </is>
      </c>
      <c r="D33" s="11" t="inlineStr">
        <is>
          <t>intangible asset</t>
        </is>
      </c>
      <c r="E33" s="11" t="inlineStr">
        <is>
          <t>PDF p.61 (印刷頁 60)</t>
        </is>
      </c>
      <c r="F33" s="11" t="inlineStr">
        <is>
          <t>March 2026 2026 2025 Notes HK$’000 HK$’000 ASSETS AND LIABILITIES Non-current assets Property, plant and equipment 17(a) 1,605 2,466 Intangible assets 17(b) 384 243 Right-of-use assets 17(c) 3,057 3,153 Goodwill 18 – – Other non-current assets 24 980 731 Interest in a joint venture 19 1,690 1,756 7,716 8,349 Current assets Inventories 20 – 5,497 Trade receivables 22 – 102 Loan receivables 23 3,796 – Prepayments, deposits and other receivables 24 30,319 26,931 Derivative financial instruments 25 – 74 Due from a related company 3</t>
        </is>
      </c>
    </row>
    <row r="34">
      <c r="A34" s="8" t="inlineStr">
        <is>
          <t>Intangible Assets &amp; Goodwill</t>
        </is>
      </c>
      <c r="B34" s="8" t="inlineStr">
        <is>
          <t>無形資產及商譽</t>
        </is>
      </c>
      <c r="C34" s="19" t="inlineStr">
        <is>
          <t>high</t>
        </is>
      </c>
      <c r="D34" s="11" t="inlineStr">
        <is>
          <t>intangible asset</t>
        </is>
      </c>
      <c r="E34" s="11" t="inlineStr">
        <is>
          <t>PDF p.64 (印刷頁 63)</t>
        </is>
      </c>
      <c r="F34" s="11" t="inlineStr">
        <is>
          <t>ctivities 35(a) (8,217) 8,212 Cash flows from investing activities Purchase of property, plant and equipment (628) (857) Purchase of intangible assets (397) – Interest received 14 37 Proceeds from disposal of property, plant and equipment 35(a) 29 – Payments for right-of-use assets (7) – Net cash used in investing activities (989) (820) Cash flows from financing activities Payments for lease liabilities (including interest) (3,302) (4,451) (Repayment to)/advances from non-controlling shareholder of a subsidiary (1,841) 856 Issu</t>
        </is>
      </c>
    </row>
    <row r="35">
      <c r="A35" s="8" t="inlineStr">
        <is>
          <t>Intangible Assets &amp; Goodwill</t>
        </is>
      </c>
      <c r="B35" s="8" t="inlineStr">
        <is>
          <t>無形資產及商譽</t>
        </is>
      </c>
      <c r="C35" s="19" t="inlineStr">
        <is>
          <t>high</t>
        </is>
      </c>
      <c r="D35" s="11" t="inlineStr">
        <is>
          <t>goodwill</t>
        </is>
      </c>
      <c r="E35" s="11" t="inlineStr">
        <is>
          <t>PDF p.69 (印刷頁 68)</t>
        </is>
      </c>
      <c r="F35" s="11" t="inlineStr">
        <is>
          <t>ue of any previous equity interest in the acquired entity over the fair value of the net identifiable assets acquired is recorded as goodwill. If those amounts are less than the fair value of the net identifiable assets of the business acquired, the difference is recognised directly in profit or loss as a bargain purchase. 4.3 SEGMENT REPORTING Operating segments are reported in a manner consistent with the internal reporting provided to the chief operating decision maker. The chief operating decision maker, who is responsible</t>
        </is>
      </c>
    </row>
    <row r="36">
      <c r="A36" s="8" t="inlineStr">
        <is>
          <t>Intangible Assets &amp; Goodwill</t>
        </is>
      </c>
      <c r="B36" s="8" t="inlineStr">
        <is>
          <t>無形資產及商譽</t>
        </is>
      </c>
      <c r="C36" s="19" t="inlineStr">
        <is>
          <t>high</t>
        </is>
      </c>
      <c r="D36" s="11" t="inlineStr">
        <is>
          <t>intangible asset</t>
        </is>
      </c>
      <c r="E36" s="11" t="inlineStr">
        <is>
          <t>PDF p.71 (印刷頁 70)</t>
        </is>
      </c>
      <c r="F36" s="11" t="inlineStr">
        <is>
          <t>NOTES TO THE CONSOLIDATED FINANCIAL STATEMENTS 4 MATERIAL ACCOUNTING POLICY INFORMATION (CONTINUED) 4.6 INTANGIBLE ASSETS a. Website Website is initially capitalised at cost which includes the purchase prices (net of any discounts and rebates) of preparing the asset for its intended use. Website is subsequently carried at cost less accumulated amortisation and impairment losses. These costs are amortised to profit or loss using the straight-line method over their estimated useful lives of 5 years. T</t>
        </is>
      </c>
    </row>
    <row r="37">
      <c r="A37" s="8" t="inlineStr">
        <is>
          <t>Intangible Assets &amp; Goodwill</t>
        </is>
      </c>
      <c r="B37" s="8" t="inlineStr">
        <is>
          <t>無形資產及商譽</t>
        </is>
      </c>
      <c r="C37" s="19" t="inlineStr">
        <is>
          <t>high</t>
        </is>
      </c>
      <c r="D37" s="11" t="inlineStr">
        <is>
          <t>intangible asset</t>
        </is>
      </c>
      <c r="E37" s="11" t="inlineStr">
        <is>
          <t>PDF p.72 (印刷頁 71)</t>
        </is>
      </c>
      <c r="F37" s="11" t="inlineStr">
        <is>
          <t>s are tested for impairment whenever events or changes in circumstances indicate that the carrying amount may not be recoverable. An intangible asset with an indefinite useful life is tested for impairment annually, irrespective of whether there is any indication that they may be impaired. An impairment loss is recognised for the amount by which the asset’s carrying amount exceeds its recoverable amount. The recoverable amount is the higher of an asset’s fair value less costs of disposal and value in use. For the purposes of as</t>
        </is>
      </c>
    </row>
    <row r="38">
      <c r="A38" s="8" t="inlineStr">
        <is>
          <t>Intangible Assets &amp; Goodwill</t>
        </is>
      </c>
      <c r="B38" s="8" t="inlineStr">
        <is>
          <t>無形資產及商譽</t>
        </is>
      </c>
      <c r="C38" s="19" t="inlineStr">
        <is>
          <t>high</t>
        </is>
      </c>
      <c r="D38" s="11" t="inlineStr">
        <is>
          <t>amortisation</t>
        </is>
      </c>
      <c r="E38" s="11" t="inlineStr">
        <is>
          <t>PDF p.75 (印刷頁 74)</t>
        </is>
      </c>
      <c r="F38" s="11" t="inlineStr">
        <is>
          <t>sed in profit or loss. Gains or losses are recognised in profit or loss when the liabilities are derecognised as well as through the amortisation process. 74 Flydoo Technology Holding Limited</t>
        </is>
      </c>
    </row>
    <row r="39">
      <c r="A39" s="8" t="inlineStr">
        <is>
          <t>Intangible Assets &amp; Goodwill</t>
        </is>
      </c>
      <c r="B39" s="8" t="inlineStr">
        <is>
          <t>無形資產及商譽</t>
        </is>
      </c>
      <c r="C39" s="19" t="inlineStr">
        <is>
          <t>high</t>
        </is>
      </c>
      <c r="D39" s="11" t="inlineStr">
        <is>
          <t>useful life</t>
        </is>
      </c>
      <c r="E39" s="11" t="inlineStr">
        <is>
          <t>PDF p.81 (印刷頁 80)</t>
        </is>
      </c>
      <c r="F39" s="11" t="inlineStr">
        <is>
          <t>The right-of-use asset is adjusted by the same amount. Right-of-use assets are generally depreciated over the shorter of the asset’s useful life and the lease term on a straightline basis. If the Group is reasonably certain to exercise a purchase option, the right-of-use asset is depreciated over the underlying asset’s useful life. Payments associated with short-term leases and leases of low-value assets are recognised on a straight-line basis as an expense in profit or loss. Short-term leases are leases with a lease term of</t>
        </is>
      </c>
    </row>
    <row r="40">
      <c r="A40" s="8" t="inlineStr">
        <is>
          <t>Intangible Assets &amp; Goodwill</t>
        </is>
      </c>
      <c r="B40" s="8" t="inlineStr">
        <is>
          <t>無形資產及商譽</t>
        </is>
      </c>
      <c r="C40" s="19" t="inlineStr">
        <is>
          <t>high</t>
        </is>
      </c>
      <c r="D40" s="11" t="inlineStr">
        <is>
          <t>intangible asset</t>
        </is>
      </c>
      <c r="E40" s="11" t="inlineStr">
        <is>
          <t>PDF p.83 (印刷頁 82)</t>
        </is>
      </c>
      <c r="F40" s="11" t="inlineStr">
        <is>
          <t>g amounts of assets and liabilities within the next financial year are addressed below. IMPAIRMENT OF PROPERTY, PLANT AND EQUIPMENT, INTANGIBLE ASSETS, RIGHT-OF-USE ASSETS, GOODWILL AND CRYPTOCURRENCIES The Group follows the guidance of HKAS 36 Impairment of Assets to determine whether property, plant and equipment, intangible assets, right-of-use assets, goodwill and cryptocurrencies are required to be impaired or to be reversed with the exception of goodwill. Significant judgement is required to identify indicators of impairm</t>
        </is>
      </c>
    </row>
    <row r="41">
      <c r="A41" s="8" t="inlineStr">
        <is>
          <t>Intangible Assets &amp; Goodwill</t>
        </is>
      </c>
      <c r="B41" s="8" t="inlineStr">
        <is>
          <t>無形資產及商譽</t>
        </is>
      </c>
      <c r="C41" s="19" t="inlineStr">
        <is>
          <t>high</t>
        </is>
      </c>
      <c r="D41" s="11" t="inlineStr">
        <is>
          <t>intangible asset</t>
        </is>
      </c>
      <c r="E41" s="11" t="inlineStr">
        <is>
          <t>PDF p.91 (印刷頁 90)</t>
        </is>
      </c>
      <c r="F41" s="11" t="inlineStr">
        <is>
          <t>ense – Loss and total comprehensive loss for the year (11,585) Share of results of a joint venture – (66) – – – (66) Amortisation of intangible assets (139) – – – – (139) Expected credit losses – – (20) – – (20) Depreciation of property, plant and equipment (1,007) – – – – (1,007) Depreciation of right-of-use assets (2,629) – (113) – – (2,742) Impairment loss on property, plant and equipment (482) – – – – (482) Impairment loss on right-of-use assets (603) – – – – (603) Impairment loss on intangible assets (117) – – – – (117) 90</t>
        </is>
      </c>
    </row>
    <row r="42">
      <c r="A42" s="8" t="inlineStr">
        <is>
          <t>Intangible Assets &amp; Goodwill</t>
        </is>
      </c>
      <c r="B42" s="8" t="inlineStr">
        <is>
          <t>無形資產及商譽</t>
        </is>
      </c>
      <c r="C42" s="19" t="inlineStr">
        <is>
          <t>high</t>
        </is>
      </c>
      <c r="D42" s="11" t="inlineStr">
        <is>
          <t>intangible asset</t>
        </is>
      </c>
      <c r="E42" s="11" t="inlineStr">
        <is>
          <t>PDF p.92 (印刷頁 91)</t>
        </is>
      </c>
      <c r="F42" s="11" t="inlineStr">
        <is>
          <t>– Loss and total comprehensive loss for the year (1,282) Share of results of a joint venture – (4,320) – – – (4,320) Amortisation of intangible assets (81) – – – – (81) Depreciation of property, plant and equipment (1,060) – – (162) (157) (1,379) Depreciation of right-of-use assets (3,617) – – (321) (519) (4,457) Impairment loss on goodwill (80) – – – (40) (120) Impairment loss on property, plant and equipment (21) – – (118) (248) (387) Impairment loss on right-of-use assets – – – (186) (160) (346) Impairment loss on cryptocurr</t>
        </is>
      </c>
    </row>
    <row r="43">
      <c r="A43" s="8" t="inlineStr">
        <is>
          <t>Intangible Assets &amp; Goodwill</t>
        </is>
      </c>
      <c r="B43" s="8" t="inlineStr">
        <is>
          <t>無形資產及商譽</t>
        </is>
      </c>
      <c r="C43" s="19" t="inlineStr">
        <is>
          <t>high</t>
        </is>
      </c>
      <c r="D43" s="11" t="inlineStr">
        <is>
          <t>intangible asset</t>
        </is>
      </c>
      <c r="E43" s="11" t="inlineStr">
        <is>
          <t>PDF p.93 (印刷頁 92)</t>
        </is>
      </c>
      <c r="F43" s="11" t="inlineStr">
        <is>
          <t>penditure 4,727 – – 11 232 – 4,970 Capital expenditure comprises additions to property, plant and equipment, right-of-use assets and intangible assets. 92 Flydoo Technology Holding Limited</t>
        </is>
      </c>
    </row>
    <row r="44">
      <c r="A44" s="8" t="inlineStr">
        <is>
          <t>Intangible Assets &amp; Goodwill</t>
        </is>
      </c>
      <c r="B44" s="8" t="inlineStr">
        <is>
          <t>無形資產及商譽</t>
        </is>
      </c>
      <c r="C44" s="19" t="inlineStr">
        <is>
          <t>high</t>
        </is>
      </c>
      <c r="D44" s="11" t="inlineStr">
        <is>
          <t>intangible asset</t>
        </is>
      </c>
      <c r="E44" s="11" t="inlineStr">
        <is>
          <t>PDF p.96 (印刷頁 95)</t>
        </is>
      </c>
      <c r="F44" s="11" t="inlineStr">
        <is>
          <t>,484 184,464 Air fare costs 101,203 120,392 Short-term lease expenses 2,542 – Advertising and promotion 10,262 7,056 Amortisation of intangible assets 139 81 Credit card fees 3,295 4,308 Employee benefits expenses, excluding directors’ benefits and interests 34,044 37,746 Expected credit losses 20 – Directors’ benefits and interests 407 514 Depreciation of property, plant and equipment 1,007 1,222 Depreciation of right-of-use assets 2,742 3,938 Impairment loss on cryptocurrencies – 471 Impairment loss on property, plant and equ</t>
        </is>
      </c>
    </row>
    <row r="45">
      <c r="A45" s="8" t="inlineStr">
        <is>
          <t>Intangible Assets &amp; Goodwill</t>
        </is>
      </c>
      <c r="B45" s="8" t="inlineStr">
        <is>
          <t>無形資產及商譽</t>
        </is>
      </c>
      <c r="C45" s="19" t="inlineStr">
        <is>
          <t>high</t>
        </is>
      </c>
      <c r="D45" s="11" t="inlineStr">
        <is>
          <t>goodwill</t>
        </is>
      </c>
      <c r="E45" s="11" t="inlineStr">
        <is>
          <t>PDF p.97 (印刷頁 96)</t>
        </is>
      </c>
      <c r="F45" s="11" t="inlineStr">
        <is>
          <t>assets – 519 Impairment loss on property, plant and equipment – 248 Impairment loss on right-of-use assets – 160 Impairment loss on goodwill – 40 Office, telecommunication and utility expenses – 29 Legal and professional fees – 2 Auditor’s remuneration – Audit services 61 61 – Non-audit services – – Others 80 223 141 18,268 Note: Land costs mainly consist of direct costs incurred in the provision of package tours services such as land operator services, hotel accommodations, transportation expenses, meal expenses, admission ti</t>
        </is>
      </c>
    </row>
    <row r="46">
      <c r="A46" s="8" t="inlineStr">
        <is>
          <t>Intangible Assets &amp; Goodwill</t>
        </is>
      </c>
      <c r="B46" s="8" t="inlineStr">
        <is>
          <t>無形資產及商譽</t>
        </is>
      </c>
      <c r="C46" s="19" t="inlineStr">
        <is>
          <t>high</t>
        </is>
      </c>
      <c r="D46" s="11" t="inlineStr">
        <is>
          <t>intangible asset</t>
        </is>
      </c>
      <c r="E46" s="11" t="inlineStr">
        <is>
          <t>PDF p.107 (印刷頁 106)</t>
        </is>
      </c>
      <c r="F46" s="11" t="inlineStr">
        <is>
          <t>NOTES TO THE CONSOLIDATED FINANCIAL STATEMENTS 17 PROPERTY, PLANT AND EQUIPMENT, INTANGIBLE ASSETS AND RIGHT-OF-USE ASSETS (a) PROPERTY, PLANT AND EQUIPMENT Furniture, fixtures and Leasehold office Motor Computer improvements equipment vehicles software Website Total HK$’000 HK$’000 HK$’000 HK$’000 HK$’000 HK$’000 Year ended 31 March 2025 Cost At 1 April 2024 6,739 6,716 858 1,489 9,536 25,338 Additions 420 379 – 58 – 857 Written off – (4) – – – (4) At 31 March 2025 7,159 7,09</t>
        </is>
      </c>
    </row>
    <row r="47">
      <c r="A47" s="8" t="inlineStr">
        <is>
          <t>Intangible Assets &amp; Goodwill</t>
        </is>
      </c>
      <c r="B47" s="8" t="inlineStr">
        <is>
          <t>無形資產及商譽</t>
        </is>
      </c>
      <c r="C47" s="19" t="inlineStr">
        <is>
          <t>high</t>
        </is>
      </c>
      <c r="D47" s="11" t="inlineStr">
        <is>
          <t>intangible asset</t>
        </is>
      </c>
      <c r="E47" s="11" t="inlineStr">
        <is>
          <t>PDF p.108 (印刷頁 107)</t>
        </is>
      </c>
      <c r="F47" s="11" t="inlineStr">
        <is>
          <t>NOTES TO THE CONSOLIDATED FINANCIAL STATEMENTS 17 PROPERTY, PLANT AND EQUIPMENT, INTANGIBLE ASSETS AND RIGHT-OF-USE ASSETS (CONTINUED) (b) INTANGIBLE ASSETS Website Total HK$’000 Year ended 31 March 2025 Cost At 1 April 2024 405 At 31 March 2025 405 Accumulated amortisation and impairment At 1 April 2024 (81) Charge (81) At 31 March 2025 (162) Closing net book amount At 31 March 2025 243 Total HK$’000 Year ended 31 March 2026 Cost At 1 April 2025 405 Additions 397 At 31 March</t>
        </is>
      </c>
    </row>
    <row r="48">
      <c r="A48" s="8" t="inlineStr">
        <is>
          <t>Intangible Assets &amp; Goodwill</t>
        </is>
      </c>
      <c r="B48" s="8" t="inlineStr">
        <is>
          <t>無形資產及商譽</t>
        </is>
      </c>
      <c r="C48" s="19" t="inlineStr">
        <is>
          <t>high</t>
        </is>
      </c>
      <c r="D48" s="11" t="inlineStr">
        <is>
          <t>intangible asset</t>
        </is>
      </c>
      <c r="E48" s="11" t="inlineStr">
        <is>
          <t>PDF p.109 (印刷頁 108)</t>
        </is>
      </c>
      <c r="F48" s="11" t="inlineStr">
        <is>
          <t>NOTES TO THE CONSOLIDATED FINANCIAL STATEMENTS 17 PROPERTY, PLANT AND EQUIPMENT, INTANGIBLE ASSETS AND RIGHT-OF-USE ASSETS (CONTINUED) (c) RIGHT-OF-USE ASSETS The Group has lease contracts for properties used in its operations. The movements during the year are set out below: Total HK$’000 Year ended 31 March 2025 Cost At 1 April 2024 9,980 Effect of modification of lease terms 4,113 At 31 March 2025 14,093 Accumulated depreciation and impairment At 1 April 2024 (6,137) Charge</t>
        </is>
      </c>
    </row>
    <row r="49">
      <c r="A49" s="8" t="inlineStr">
        <is>
          <t>Intangible Assets &amp; Goodwill</t>
        </is>
      </c>
      <c r="B49" s="8" t="inlineStr">
        <is>
          <t>無形資產及商譽</t>
        </is>
      </c>
      <c r="C49" s="19" t="inlineStr">
        <is>
          <t>high</t>
        </is>
      </c>
      <c r="D49" s="11" t="inlineStr">
        <is>
          <t>intangible asset</t>
        </is>
      </c>
      <c r="E49" s="11" t="inlineStr">
        <is>
          <t>PDF p.110 (印刷頁 109)</t>
        </is>
      </c>
      <c r="F49" s="11" t="inlineStr">
        <is>
          <t>NOTES TO THE CONSOLIDATED FINANCIAL STATEMENTS 17 PROPERTY, PLANT AND EQUIPMENT, INTANGIBLE ASSETS AND RIGHT-OF-USE ASSETS (CONTINUED) (c) RIGHT-OF-USE ASSETS (Continued) (i) Amounts recognised in the consolidated statement of financial position The consolidated statement of financial position shows the following amounts relating to leases: 2026 2025 HK$’000 HK$’000 Right-of-use assets Properties 3,057 3,153 Lease liabilities Current 3,300 2,366 Non-current 523 1,328 3,823 3,6</t>
        </is>
      </c>
    </row>
    <row r="50">
      <c r="A50" s="8" t="inlineStr">
        <is>
          <t>Intangible Assets &amp; Goodwill</t>
        </is>
      </c>
      <c r="B50" s="8" t="inlineStr">
        <is>
          <t>無形資產及商譽</t>
        </is>
      </c>
      <c r="C50" s="19" t="inlineStr">
        <is>
          <t>high</t>
        </is>
      </c>
      <c r="D50" s="11" t="inlineStr">
        <is>
          <t>intangible asset</t>
        </is>
      </c>
      <c r="E50" s="11" t="inlineStr">
        <is>
          <t>PDF p.111 (印刷頁 110)</t>
        </is>
      </c>
      <c r="F50" s="11" t="inlineStr">
        <is>
          <t>NOTES TO THE CONSOLIDATED FINANCIAL STATEMENTS 17 PROPERTY, PLANT AND EQUIPMENT, INTANGIBLE ASSETS AND RIGHT-OF-USE ASSETS (CONTINUED) (c) RIGHT-OF-USE ASSETS (Continued) (iii) The Group’s leasing activities and how these are accounted for The Group leases various properties as travel agency branches and office premises. Lease contracts are typically made for fixed periods, but may have extension options as described in (iv) below. Lease terms are negotiated on an individual b</t>
        </is>
      </c>
    </row>
    <row r="51">
      <c r="A51" s="8" t="inlineStr">
        <is>
          <t>Intangible Assets &amp; Goodwill</t>
        </is>
      </c>
      <c r="B51" s="8" t="inlineStr">
        <is>
          <t>無形資產及商譽</t>
        </is>
      </c>
      <c r="C51" s="19" t="inlineStr">
        <is>
          <t>high</t>
        </is>
      </c>
      <c r="D51" s="11" t="inlineStr">
        <is>
          <t>goodwill</t>
        </is>
      </c>
      <c r="E51" s="11" t="inlineStr">
        <is>
          <t>PDF p.112 (印刷頁 111)</t>
        </is>
      </c>
      <c r="F51" s="11" t="inlineStr">
        <is>
          <t>NOTES TO THE CONSOLIDATED FINANCIAL STATEMENTS 18 GOODWILL 2026 2025 HK$’000 HK$’000 Gross carrying amount at 1 April 422 422 Gross carrying amount at 31 March 422 422 Accumulated impairment losses at 1 April (422) (302) Impairment losses recognised – (120) Accumulated impairment losses at 31 March (422) (422) Net book value at 31 March – – Impairment test for goodwill A summary of the goodwill allocation is presented below: 2026 2025 HK$’000 HK$</t>
        </is>
      </c>
    </row>
    <row r="52">
      <c r="A52" s="8" t="inlineStr">
        <is>
          <t>Intangible Assets &amp; Goodwill</t>
        </is>
      </c>
      <c r="B52" s="8" t="inlineStr">
        <is>
          <t>無形資產及商譽</t>
        </is>
      </c>
      <c r="C52" s="19" t="inlineStr">
        <is>
          <t>high</t>
        </is>
      </c>
      <c r="D52" s="11" t="inlineStr">
        <is>
          <t>goodwill</t>
        </is>
      </c>
      <c r="E52" s="11" t="inlineStr">
        <is>
          <t>PDF p.113 (印刷頁 112)</t>
        </is>
      </c>
      <c r="F52" s="11" t="inlineStr">
        <is>
          <t>NOTES TO THE CONSOLIDATED FINANCIAL STATEMENTS 18 GOODWILL (CONTINUED) (ii) The pre-tax discount rate applied to cash flows of the Group’s respective CGUs is based on discount rate and reflects the specific risks relating to the relevant CGU. The terminal growth rate used is made with reference to the long-term average growth rates and expected market development. The pre-tax discount rate and growth rate applied in the value-in-use calculation a</t>
        </is>
      </c>
    </row>
    <row r="53">
      <c r="A53" s="8" t="inlineStr">
        <is>
          <t>Intangible Assets &amp; Goodwill</t>
        </is>
      </c>
      <c r="B53" s="8" t="inlineStr">
        <is>
          <t>無形資產及商譽</t>
        </is>
      </c>
      <c r="C53" s="19" t="inlineStr">
        <is>
          <t>high</t>
        </is>
      </c>
      <c r="D53" s="11" t="inlineStr">
        <is>
          <t>intangible asset</t>
        </is>
      </c>
      <c r="E53" s="11" t="inlineStr">
        <is>
          <t>PDF p.127 (印刷頁 126)</t>
        </is>
      </c>
      <c r="F53" s="11" t="inlineStr">
        <is>
          <t>(777) Profit/(loss) before income tax expense from discontinued operation 20 (505) (11,585) (1,282) Adjustments for: Amortisation of intangible assets 139 81 Depreciation of property, plant and equipment 1,007 1,379 Depreciation of right of use assets 2,742 4,457 Expected credit losses 20 – Gain on disposal of property, plant and equipment (29) – (Reversal of impairment loss)/impairment loss on cryptocurrencies (88) 471 Loss on deregistration of a subsidiary – 264 Impairment loss on goodwill – 120 Impairment loss on property, p</t>
        </is>
      </c>
    </row>
    <row r="54">
      <c r="A54" s="8" t="inlineStr">
        <is>
          <t>ESG Data</t>
        </is>
      </c>
      <c r="B54" s="8" t="inlineStr">
        <is>
          <t>環境社會及管治數據</t>
        </is>
      </c>
      <c r="C54" s="8" t="inlineStr">
        <is>
          <t>medium</t>
        </is>
      </c>
      <c r="D54" s="11" t="inlineStr">
        <is>
          <t>ESG</t>
        </is>
      </c>
      <c r="E54" s="11" t="inlineStr">
        <is>
          <t>PDF p.26 (印刷頁 25)</t>
        </is>
      </c>
      <c r="F54" s="11" t="inlineStr">
        <is>
          <t>T ABOUT THIS REPORT Flydoo Technology Holding Limited (the “Group”) proudly presents its 10th Environmental, Social and Governance (“ESG”) Report. This Report encompasses the financial year from 1 April 2025 to 31 March 2026 (“FY2025/26”) and is prepared in accordance with the principles of objectivity, transparency, comprehensiveness, and full regulatory compliance. It offers stakeholders a clear account of the Group’s sustainability strategy, the advancement of key ESG initiatives, and notable performance achievements during</t>
        </is>
      </c>
    </row>
    <row r="55">
      <c r="A55" s="8" t="inlineStr">
        <is>
          <t>ESG Data</t>
        </is>
      </c>
      <c r="B55" s="8" t="inlineStr">
        <is>
          <t>環境社會及管治數據</t>
        </is>
      </c>
      <c r="C55" s="8" t="inlineStr">
        <is>
          <t>medium</t>
        </is>
      </c>
      <c r="D55" s="11" t="inlineStr">
        <is>
          <t>ESG</t>
        </is>
      </c>
      <c r="E55" s="11" t="inlineStr">
        <is>
          <t>PDF p.27 (印刷頁 26)</t>
        </is>
      </c>
      <c r="F55" s="11" t="inlineStr">
        <is>
          <t>material changes in methodology are clearly disclosed within the relevant sections of this Report. ACKNOWLEDGEMENT AND APPROVAL This ESG Report was reviewed by management and approved by the Board of Directors on 30 June 2026. FEEDBACK Flydoo values the perspectives of all stakeholders and actively welcomes feedback to strengthen the quality and relevance of future ESG disclosures. Enquiries and comments may be directed to: Postal Address: 1402, 14/F., Chung Ying Building, 20 Connaught Road West, Sheung Wan, Hong Kong (For the</t>
        </is>
      </c>
    </row>
    <row r="56">
      <c r="A56" s="8" t="inlineStr">
        <is>
          <t>ESG Data</t>
        </is>
      </c>
      <c r="B56" s="8" t="inlineStr">
        <is>
          <t>環境社會及管治數據</t>
        </is>
      </c>
      <c r="C56" s="8" t="inlineStr">
        <is>
          <t>medium</t>
        </is>
      </c>
      <c r="D56" s="11" t="inlineStr">
        <is>
          <t>ESG</t>
        </is>
      </c>
      <c r="E56" s="11" t="inlineStr">
        <is>
          <t>PDF p.28 (印刷頁 27)</t>
        </is>
      </c>
      <c r="F56" s="11" t="inlineStr">
        <is>
          <t>ues to evolve, the Group places heightened emphasis on reinforcing its environmental and social performance. The publication of this ESG Report is a testament to the Group’s dedication to accountability, transparency, and continuous improvement across all ESG dimensions. The Board assumes ultimate responsibility for integrating ESG considerations into the Group’s overall strategy and operational framework. It regularly reviews the Group’s ESG key performance indicators, performance outcomes, and strategic progress. A dedicated</t>
        </is>
      </c>
    </row>
    <row r="57">
      <c r="A57" s="8" t="inlineStr">
        <is>
          <t>ESG Data</t>
        </is>
      </c>
      <c r="B57" s="8" t="inlineStr">
        <is>
          <t>環境社會及管治數據</t>
        </is>
      </c>
      <c r="C57" s="8" t="inlineStr">
        <is>
          <t>medium</t>
        </is>
      </c>
      <c r="D57" s="11" t="inlineStr">
        <is>
          <t>ESG</t>
        </is>
      </c>
      <c r="E57" s="11" t="inlineStr">
        <is>
          <t>PDF p.29 (印刷頁 28)</t>
        </is>
      </c>
      <c r="F57" s="11" t="inlineStr">
        <is>
          <t>nual general meeting, interim Business performance, risk Maintained regular financial and reports, investor presentations, exposure, ESG practices, ESG reporting; strengthened IR email competitive differentiation disclosure on sustainability strategy Employees/Tour Internal briefings, staff meetings, Health &amp; safety during tours, Rolled out wellness programmes; Leaders/Frontline surveys, training programmes, professional development, expanded destination-specific Staff HR support fair compensation, workplace safety training; im</t>
        </is>
      </c>
    </row>
    <row r="58">
      <c r="A58" s="8" t="inlineStr">
        <is>
          <t>ESG Data</t>
        </is>
      </c>
      <c r="B58" s="8" t="inlineStr">
        <is>
          <t>環境社會及管治數據</t>
        </is>
      </c>
      <c r="C58" s="8" t="inlineStr">
        <is>
          <t>medium</t>
        </is>
      </c>
      <c r="D58" s="11" t="inlineStr">
        <is>
          <t>ESG</t>
        </is>
      </c>
      <c r="E58" s="11" t="inlineStr">
        <is>
          <t>PDF p.30 (印刷頁 29)</t>
        </is>
      </c>
      <c r="F58" s="11" t="inlineStr">
        <is>
          <t>and shareholders/investors – through targeted questionnaires and interviews. The process was designed to identify and prioritise the ESG issues of greatest significance to both the Group’s operations and its long-term value creation. The Group further enhanced its engagement approach by integrating digital survey tools and feedback mechanisms to broaden participation and improve the responsiveness of the assessment process. Procedures for Materiality Assessment The FY2025/26 materiality assessment was conducted through the foll</t>
        </is>
      </c>
    </row>
    <row r="59">
      <c r="A59" s="8" t="inlineStr">
        <is>
          <t>ESG Data</t>
        </is>
      </c>
      <c r="B59" s="8" t="inlineStr">
        <is>
          <t>環境社會及管治數據</t>
        </is>
      </c>
      <c r="C59" s="8" t="inlineStr">
        <is>
          <t>medium</t>
        </is>
      </c>
      <c r="D59" s="11" t="inlineStr">
        <is>
          <t>GHG emission</t>
        </is>
      </c>
      <c r="E59" s="11" t="inlineStr">
        <is>
          <t>PDF p.31 (印刷頁 30)</t>
        </is>
      </c>
      <c r="F59" s="11" t="inlineStr">
        <is>
          <t>d stakeholder consultations and internal management reviews. Material ESG issues identified cover key environmental topics including GHG emissions and energy management, as well as social topics such as employee health and safety, training and development, and supply chain management. Governance topics including anti-corruption and data privacy are also considered material to the Group’s operations. GREEN OPERATION The Group’s day-to-day operations and package tour arrangements continue to generate environmental impacts, primar</t>
        </is>
      </c>
    </row>
    <row r="60">
      <c r="A60" s="8" t="inlineStr">
        <is>
          <t>ESG Data</t>
        </is>
      </c>
      <c r="B60" s="8" t="inlineStr">
        <is>
          <t>環境社會及管治數據</t>
        </is>
      </c>
      <c r="C60" s="8" t="inlineStr">
        <is>
          <t>medium</t>
        </is>
      </c>
      <c r="D60" s="11" t="inlineStr">
        <is>
          <t>greenhouse gas</t>
        </is>
      </c>
      <c r="E60" s="11" t="inlineStr">
        <is>
          <t>PDF p.32 (印刷頁 31)</t>
        </is>
      </c>
      <c r="F60" s="11" t="inlineStr">
        <is>
          <t>ENVIRONMENTAL, SOCIAL AND GOVERNANCE REPORT The reduction of greenhouse gas (“GHG”) emissions remains a key long-term objective for the Group. GHG-generating activities are attributable to two main sources: (1) indirect emissions arising from electricity consumption at the Group’s offices and travel agency branches (Scope 2); and (2) indirect upstream emissions associated with air travel and third-party transportation services used in travel packages (Scope</t>
        </is>
      </c>
    </row>
    <row r="61">
      <c r="A61" s="8" t="inlineStr">
        <is>
          <t>ESG Data</t>
        </is>
      </c>
      <c r="B61" s="8" t="inlineStr">
        <is>
          <t>環境社會及管治數據</t>
        </is>
      </c>
      <c r="C61" s="8" t="inlineStr">
        <is>
          <t>medium</t>
        </is>
      </c>
      <c r="D61" s="11" t="inlineStr">
        <is>
          <t>energy consumption</t>
        </is>
      </c>
      <c r="E61" s="11" t="inlineStr">
        <is>
          <t>PDF p.33 (印刷頁 32)</t>
        </is>
      </c>
      <c r="F61" s="11" t="inlineStr">
        <is>
          <t>the Group’s headquarters and travel agency branches, as these facilities operate primarily for office and customer-facing purposes. Energy Consumption The Group continues to advance its commitment to resource conservation and the cultivation of a sustainable workplace through the implementation of a range of eco-friendly measures, including: • Maximising the use of natural lighting in conjunction with energy-efficient lighting systems across all office premises • Applying zoned controls for air conditioning and lighting to opt</t>
        </is>
      </c>
    </row>
    <row r="62">
      <c r="A62" s="8" t="inlineStr">
        <is>
          <t>ESG Data</t>
        </is>
      </c>
      <c r="B62" s="8" t="inlineStr">
        <is>
          <t>環境社會及管治數據</t>
        </is>
      </c>
      <c r="C62" s="8" t="inlineStr">
        <is>
          <t>medium</t>
        </is>
      </c>
      <c r="D62" s="11" t="inlineStr">
        <is>
          <t>sustainability</t>
        </is>
      </c>
      <c r="E62" s="11" t="inlineStr">
        <is>
          <t>PDF p.34 (印刷頁 33)</t>
        </is>
      </c>
      <c r="F62" s="11" t="inlineStr">
        <is>
          <t>ironment. Nevertheless, the Group remains devoted to strengthening its environmental management practices and fostering a culture of sustainability within the workplace. Annual Report 2025/2026 33</t>
        </is>
      </c>
    </row>
    <row r="63">
      <c r="A63" s="8" t="inlineStr">
        <is>
          <t>ESG Data</t>
        </is>
      </c>
      <c r="B63" s="8" t="inlineStr">
        <is>
          <t>環境社會及管治數據</t>
        </is>
      </c>
      <c r="C63" s="8" t="inlineStr">
        <is>
          <t>medium</t>
        </is>
      </c>
      <c r="D63" s="11" t="inlineStr">
        <is>
          <t>ESG</t>
        </is>
      </c>
      <c r="E63" s="11" t="inlineStr">
        <is>
          <t>PDF p.35 (印刷頁 34)</t>
        </is>
      </c>
      <c r="F63" s="11" t="inlineStr">
        <is>
          <t>REPORT CLIMATE CHANGE In acknowledgement of the growing urgency of climate-related risks, the Group proactively manages and monitors ESG risks and opportunities within its business environment. During FY2025/26, the Group continued to assess climate-related risks that may have a material bearing on its operations, taking appropriate steps to mitigate their potential effects. These efforts reflect the Group’s enduring commitment to climate resilience and responsible business conduct. Risk Type Category Description Potential Impa</t>
        </is>
      </c>
    </row>
    <row r="64">
      <c r="A64" s="8" t="inlineStr">
        <is>
          <t>ESG Data</t>
        </is>
      </c>
      <c r="B64" s="8" t="inlineStr">
        <is>
          <t>環境社會及管治數據</t>
        </is>
      </c>
      <c r="C64" s="8" t="inlineStr">
        <is>
          <t>medium</t>
        </is>
      </c>
      <c r="D64" s="11" t="inlineStr">
        <is>
          <t>sustainability</t>
        </is>
      </c>
      <c r="E64" s="11" t="inlineStr">
        <is>
          <t>PDF p.39 (印刷頁 38)</t>
        </is>
      </c>
      <c r="F64" s="11" t="inlineStr">
        <is>
          <t>ity. By upholding these standards, the Group ensures that its supply chain remains aligned with both business objectives and broader sustainability commitments. 38 Flydoo Technology Holding Limited</t>
        </is>
      </c>
    </row>
    <row r="65">
      <c r="A65" s="8" t="inlineStr">
        <is>
          <t>ESG Data</t>
        </is>
      </c>
      <c r="B65" s="8" t="inlineStr">
        <is>
          <t>環境社會及管治數據</t>
        </is>
      </c>
      <c r="C65" s="8" t="inlineStr">
        <is>
          <t>medium</t>
        </is>
      </c>
      <c r="D65" s="11" t="inlineStr">
        <is>
          <t>sustainability</t>
        </is>
      </c>
      <c r="E65" s="11" t="inlineStr">
        <is>
          <t>PDF p.40 (印刷頁 39)</t>
        </is>
      </c>
      <c r="F65" s="11" t="inlineStr">
        <is>
          <t>mer feedback. The Group prioritised partnerships with suppliers holding recognised environmental certifications, consistent with its sustainability objectives. Suppliers found to be in breach of local environmental or labour regulations were excluded from the supply chain under the Group’s zero-tolerance policy on legal non-compliance. Supplier Data FY2025/26 FY2024/25 Hong Kong 33 34 Japan 20 20 Korea 4 4 China Mainland 6 6 Taiwan 3 3 Other 14 12 Annual Report 2025/2026 39</t>
        </is>
      </c>
    </row>
    <row r="66">
      <c r="A66" s="8" t="inlineStr">
        <is>
          <t>ESG Data</t>
        </is>
      </c>
      <c r="B66" s="8" t="inlineStr">
        <is>
          <t>環境社會及管治數據</t>
        </is>
      </c>
      <c r="C66" s="8" t="inlineStr">
        <is>
          <t>medium</t>
        </is>
      </c>
      <c r="D66" s="11" t="inlineStr">
        <is>
          <t>GHG emission</t>
        </is>
      </c>
      <c r="E66" s="11" t="inlineStr">
        <is>
          <t>PDF p.44 (印刷頁 43)</t>
        </is>
      </c>
      <c r="F66" s="11" t="inlineStr">
        <is>
          <t>NMENTAL, SOCIAL AND GOVERNANCE REPORT ESG KEY PERFORMANCE INDICATORS SUMMARY A. ENVIRONMENTAL KPIs KPI Unit FY2025/26 FY2024/25 A1 – GHG Emissions (Scope 2 – Electricity) tCO2e 43.80 44.62 A1 – GHG Emissions (Scope 3 – Transport/Other) tCO2e 17,362.07 18,212.82 A2 – Total Electricity Consumed kWh 123,761.70 109,393.85 A2 – Total Water Consumed m3 87.93 98.77 A3 – Total Office Waste (Non-hazardous – wastepaper disposed landfill) kg 986.32 750.39 A3 – Paper Consumption kg 1,474.48 1,446.06 A5 – Non-compliance with Environmental R</t>
        </is>
      </c>
    </row>
    <row r="67">
      <c r="A67" s="8" t="inlineStr">
        <is>
          <t>ESG Data</t>
        </is>
      </c>
      <c r="B67" s="8" t="inlineStr">
        <is>
          <t>環境社會及管治數據</t>
        </is>
      </c>
      <c r="C67" s="8" t="inlineStr">
        <is>
          <t>medium</t>
        </is>
      </c>
      <c r="D67" s="11" t="inlineStr">
        <is>
          <t>GHG emission</t>
        </is>
      </c>
      <c r="E67" s="11" t="inlineStr">
        <is>
          <t>PDF p.45 (印刷頁 44)</t>
        </is>
      </c>
      <c r="F67" s="11" t="inlineStr">
        <is>
          <t>E AND REFERENCE Appendix C2 Reference ESG Topic/KPI Disclosure in This Report A1 Emissions Green Operation – Emission Reduction A1.1 GHG Emissions (Scope 1, 2, 3) Green Operation – Emission Reduction (KPI Table) A1.2 GHG Intensity Green Operation – Emission Reduction (KPI Table) A1.3 NOx, SOx, PM Emissions Green Operation – Emission Reduction A1.4 Hazardous Waste Generated Green Operation – Emission Reduction A1.5 Non-hazardous Waste Generated Green Operation – Emission Reduction A1.6 Description of Significant Impacts Green Op</t>
        </is>
      </c>
    </row>
    <row r="68">
      <c r="A68" s="8" t="inlineStr">
        <is>
          <t>ESG Data</t>
        </is>
      </c>
      <c r="B68" s="8" t="inlineStr">
        <is>
          <t>環境社會及管治數據</t>
        </is>
      </c>
      <c r="C68" s="8" t="inlineStr">
        <is>
          <t>medium</t>
        </is>
      </c>
      <c r="D68" s="11" t="inlineStr">
        <is>
          <t>ESG</t>
        </is>
      </c>
      <c r="E68" s="11" t="inlineStr">
        <is>
          <t>PDF p.46 (印刷頁 45)</t>
        </is>
      </c>
      <c r="F68" s="11" t="inlineStr">
        <is>
          <t>ENVIRONMENTAL, SOCIAL AND GOVERNANCE REPORT Appendix C2 Reference ESG Topic/KPI Disclosure in This Report B3.1 % of Employees Trained Employee Oriented – Staff Training (KPI Table) B3.2 Average Training Hours per Employee Employee Oriented – Staff Training (KPI Table) B4 Labour Standards Employee Oriented – Child and Forced Labour Prohibition B4.1 Measures to Review Supply Chain on Employee Oriented – Child and Forced Labour Prohibition Labour Standards B4.2 Act</t>
        </is>
      </c>
    </row>
    <row r="69">
      <c r="A69" s="8" t="inlineStr">
        <is>
          <t>ESG Data</t>
        </is>
      </c>
      <c r="B69" s="8" t="inlineStr">
        <is>
          <t>環境社會及管治數據</t>
        </is>
      </c>
      <c r="C69" s="8" t="inlineStr">
        <is>
          <t>medium</t>
        </is>
      </c>
      <c r="D69" s="11" t="inlineStr">
        <is>
          <t>sustainability</t>
        </is>
      </c>
      <c r="E69" s="11" t="inlineStr">
        <is>
          <t>PDF p.47 (印刷頁 46)</t>
        </is>
      </c>
      <c r="F69" s="11" t="inlineStr">
        <is>
          <t>ct on the businesses and operations of the Group. ENVIRONMENTAL, SOCIAL AND GOVERNANCE The Group is committed to contributing to the sustainability of the environment and has implemented policies to minimise the impact on the environment from its business activities. The Group endeavours to refine the approach to addressing its environmental, social and ethical responsibilities along with improving its corporate governance in order to generate greater value for all stakeholders. Details of the environmental, social and governan</t>
        </is>
      </c>
    </row>
    <row r="70">
      <c r="A70" s="8" t="inlineStr">
        <is>
          <t>Segment Information</t>
        </is>
      </c>
      <c r="B70" s="8" t="inlineStr">
        <is>
          <t>分部資料</t>
        </is>
      </c>
      <c r="C70" s="8" t="inlineStr">
        <is>
          <t>medium</t>
        </is>
      </c>
      <c r="D70" s="11" t="inlineStr">
        <is>
          <t>geographical</t>
        </is>
      </c>
      <c r="E70" s="11" t="inlineStr">
        <is>
          <t>PDF p.36 (印刷頁 35)</t>
        </is>
      </c>
      <c r="F70" s="11" t="inlineStr">
        <is>
          <t>ates and the operational requirements of the Group – without regard to ethnicity, race, gender, religion, social origin or identity, geographical background, age, physical condition, or marital status. The Group remains in full compliance with the Employment Ordinance and the Mandatory Provident Fund Schemes Ordinance of Hong Kong, supported by clearly defined internal policies and procedures. Employee advancement is determined primarily through performance evaluations and tenure, ensuring a merit-based promotional framework. T</t>
        </is>
      </c>
    </row>
    <row r="71">
      <c r="A71" s="8" t="inlineStr">
        <is>
          <t>Segment Information</t>
        </is>
      </c>
      <c r="B71" s="8" t="inlineStr">
        <is>
          <t>分部資料</t>
        </is>
      </c>
      <c r="C71" s="8" t="inlineStr">
        <is>
          <t>medium</t>
        </is>
      </c>
      <c r="D71" s="11" t="inlineStr">
        <is>
          <t>operating segment</t>
        </is>
      </c>
      <c r="E71" s="11" t="inlineStr">
        <is>
          <t>PDF p.69 (印刷頁 68)</t>
        </is>
      </c>
      <c r="F71" s="11" t="inlineStr">
        <is>
          <t>ssets of the business acquired, the difference is recognised directly in profit or loss as a bargain purchase. 4.3 SEGMENT REPORTING Operating segments are reported in a manner consistent with the internal reporting provided to the chief operating decision maker. The chief operating decision maker, who is responsible for allocating resources and assessing performance of the operating segments, has been identified as the executive Directors of the Company who make strategic decisions. 4.4 FOREIGN CURRENCY TRANSLATION (a) Functio</t>
        </is>
      </c>
    </row>
    <row r="72">
      <c r="A72" s="8" t="inlineStr">
        <is>
          <t>Segment Information</t>
        </is>
      </c>
      <c r="B72" s="8" t="inlineStr">
        <is>
          <t>分部資料</t>
        </is>
      </c>
      <c r="C72" s="8" t="inlineStr">
        <is>
          <t>medium</t>
        </is>
      </c>
      <c r="D72" s="11" t="inlineStr">
        <is>
          <t>geographical</t>
        </is>
      </c>
      <c r="E72" s="11" t="inlineStr">
        <is>
          <t>PDF p.82 (印刷頁 81)</t>
        </is>
      </c>
      <c r="F72" s="11" t="inlineStr">
        <is>
          <t>t of the entity that has been disposed of or is classified as held for sale and that represents a separate major line of business or geographical area of operations, is part of a single co-ordinated plan to dispose of such a line of business or area of operations, or is a subsidiary acquired exclusively with a view to resale. The results of discontinued operations are presented separately in the consolidated statement of profit or loss and other comprehensive income. Annual Report 2025/2026 81</t>
        </is>
      </c>
    </row>
    <row r="73">
      <c r="A73" s="8" t="inlineStr">
        <is>
          <t>Segment Information</t>
        </is>
      </c>
      <c r="B73" s="8" t="inlineStr">
        <is>
          <t>分部資料</t>
        </is>
      </c>
      <c r="C73" s="8" t="inlineStr">
        <is>
          <t>medium</t>
        </is>
      </c>
      <c r="D73" s="11" t="inlineStr">
        <is>
          <t>segment information</t>
        </is>
      </c>
      <c r="E73" s="11" t="inlineStr">
        <is>
          <t>PDF p.90 (印刷頁 89)</t>
        </is>
      </c>
      <c r="F73" s="11" t="inlineStr">
        <is>
          <t>NOTES TO THE CONSOLIDATED FINANCIAL STATEMENTS 7 REVENUE AND SEGMENT INFORMATION (a) Revenue 2026 2025 HK$’000 HK$’000 Continuing operations Sales of package tours 301,738 367,056 Margin income from sales of FIT products 141 239 Margin income from sales of ancillary travel related products and services 2,760 3,826 Interest income from money lending business 396 – Other business ancillary thereto 5,687 2,607 310,722 373,728 Discontinued operation Sales of li</t>
        </is>
      </c>
    </row>
    <row r="74">
      <c r="A74" s="8" t="inlineStr">
        <is>
          <t>Segment Information</t>
        </is>
      </c>
      <c r="B74" s="8" t="inlineStr">
        <is>
          <t>分部資料</t>
        </is>
      </c>
      <c r="C74" s="8" t="inlineStr">
        <is>
          <t>medium</t>
        </is>
      </c>
      <c r="D74" s="11" t="inlineStr">
        <is>
          <t>segment information</t>
        </is>
      </c>
      <c r="E74" s="11" t="inlineStr">
        <is>
          <t>PDF p.91 (印刷頁 90)</t>
        </is>
      </c>
      <c r="F74" s="11" t="inlineStr">
        <is>
          <t>NOTES TO THE CONSOLIDATED FINANCIAL STATEMENTS 7 REVENUE AND SEGMENT INFORMATION (CONTINUED) (b) Segment information (Continued) The chief operating decision-maker assesses the performance of the operating segments based on a measure of profit before interest and tax. Information provided to the chief operating decision-maker is measured in a manner consistent with that in the consolidated financial statements. Year ended 31 March 2026 Discontinued Continui</t>
        </is>
      </c>
    </row>
    <row r="75">
      <c r="A75" s="8" t="inlineStr">
        <is>
          <t>Segment Information</t>
        </is>
      </c>
      <c r="B75" s="8" t="inlineStr">
        <is>
          <t>分部資料</t>
        </is>
      </c>
      <c r="C75" s="8" t="inlineStr">
        <is>
          <t>medium</t>
        </is>
      </c>
      <c r="D75" s="11" t="inlineStr">
        <is>
          <t>segment information</t>
        </is>
      </c>
      <c r="E75" s="11" t="inlineStr">
        <is>
          <t>PDF p.92 (印刷頁 91)</t>
        </is>
      </c>
      <c r="F75" s="11" t="inlineStr">
        <is>
          <t>NOTES TO THE CONSOLIDATED FINANCIAL STATEMENTS 7 REVENUE AND SEGMENT INFORMATION (CONTINUED) (b) Segment information (Continued) Year ended 31 March 2025 Discontinued Continuing operations operation Travel Tourism Related and Travel Money Other Products Technology Lending Business Retail and Services Investments Business Ancillary Operations Total HK$’000 HK$’000 HK$’000 HK$’000 HK$’000 HK$’000 Reportable segment revenue 371,121 – – 2,607 17,451 391,179 Rep</t>
        </is>
      </c>
    </row>
    <row r="76">
      <c r="A76" s="8" t="inlineStr">
        <is>
          <t>Segment Information</t>
        </is>
      </c>
      <c r="B76" s="8" t="inlineStr">
        <is>
          <t>分部資料</t>
        </is>
      </c>
      <c r="C76" s="8" t="inlineStr">
        <is>
          <t>medium</t>
        </is>
      </c>
      <c r="D76" s="11" t="inlineStr">
        <is>
          <t>segment information</t>
        </is>
      </c>
      <c r="E76" s="11" t="inlineStr">
        <is>
          <t>PDF p.93 (印刷頁 92)</t>
        </is>
      </c>
      <c r="F76" s="11" t="inlineStr">
        <is>
          <t>NOTES TO THE CONSOLIDATED FINANCIAL STATEMENTS 7 REVENUE AND SEGMENT INFORMATION (CONTINUED) (b) Segment information (Continued) Segment assets and liabilities are as follows: Year ended 31 March 2026 Discontinued Continuing operations operation Travel Tourism Related and Travel Money Other Products Technology Lending Business Retail and Services Investments Business Ancillary Operations Unallocated Total HK$’000 HK$’000 HK$’000 HK$’000 HK$’000 HK$’000 HK$’</t>
        </is>
      </c>
    </row>
    <row r="77">
      <c r="A77" s="8" t="inlineStr">
        <is>
          <t>Segment Information</t>
        </is>
      </c>
      <c r="B77" s="8" t="inlineStr">
        <is>
          <t>分部資料</t>
        </is>
      </c>
      <c r="C77" s="8" t="inlineStr">
        <is>
          <t>medium</t>
        </is>
      </c>
      <c r="D77" s="11" t="inlineStr">
        <is>
          <t>segment information</t>
        </is>
      </c>
      <c r="E77" s="11" t="inlineStr">
        <is>
          <t>PDF p.94 (印刷頁 93)</t>
        </is>
      </c>
      <c r="F77" s="11" t="inlineStr">
        <is>
          <t>NOTES TO THE CONSOLIDATED FINANCIAL STATEMENTS 7 REVENUE AND SEGMENT INFORMATION (CONTINUED) (b) Segment information (Continued) Segment assets and liabilities are reconciled to the Group’s assets and liabilities as follows: 2026 2025 Assets Liabilities Assets Liabilities HK$’000 HK$’000 HK$’000 HK$’000 Reportable segment assets/(liabilities) 108,320 (64,521) 110,908 (64,434) Unallocated: Prepayments, deposits and other receivables 57 – 252 – Cash and cash</t>
        </is>
      </c>
    </row>
    <row r="78">
      <c r="A78" s="8" t="inlineStr">
        <is>
          <t>Share-based Payment</t>
        </is>
      </c>
      <c r="B78" s="8" t="inlineStr">
        <is>
          <t>以股份為基礎的付款</t>
        </is>
      </c>
      <c r="C78" s="8" t="inlineStr">
        <is>
          <t>medium</t>
        </is>
      </c>
      <c r="D78" s="11" t="inlineStr">
        <is>
          <t>share option</t>
        </is>
      </c>
      <c r="E78" s="11" t="inlineStr">
        <is>
          <t>PDF p.12 (印刷頁 11)</t>
        </is>
      </c>
      <c r="F78" s="11" t="inlineStr">
        <is>
          <t>6 amounted to approximately HK$34.0 million (year ended 31 March 2025: approximately HK$38.0 million). The Company has adopted a new share option scheme on 20 September 2024 with a term of 10 years (the “Share Option Scheme”). The Share Option Scheme is designed to motivate eligible participants, including executives and key employees, who may make a contribution to the Group, and enables the Group to attract and retain individuals with experience and ability and to reward them for their contributions. During FY25/26, no share</t>
        </is>
      </c>
    </row>
    <row r="79">
      <c r="A79" s="8" t="inlineStr">
        <is>
          <t>Share-based Payment</t>
        </is>
      </c>
      <c r="B79" s="8" t="inlineStr">
        <is>
          <t>以股份為基礎的付款</t>
        </is>
      </c>
      <c r="C79" s="8" t="inlineStr">
        <is>
          <t>medium</t>
        </is>
      </c>
      <c r="D79" s="11" t="inlineStr">
        <is>
          <t>share option</t>
        </is>
      </c>
      <c r="E79" s="11" t="inlineStr">
        <is>
          <t>PDF p.49 (印刷頁 48)</t>
        </is>
      </c>
      <c r="F79" s="11" t="inlineStr">
        <is>
          <t>l years ended 31 March is set out in the section headed “Financial Highlights” in this report. EQUITY-LINKED AGREEMENTS Save for the Share Option Scheme as set out in the sub-section headed “Share Option Scheme” below, no equity-linked agreements were entered into by the Group, or existed during FY25/26. 48 Flydoo Technology Holding Limited</t>
        </is>
      </c>
    </row>
    <row r="80">
      <c r="A80" s="8" t="inlineStr">
        <is>
          <t>Share-based Payment</t>
        </is>
      </c>
      <c r="B80" s="8" t="inlineStr">
        <is>
          <t>以股份為基礎的付款</t>
        </is>
      </c>
      <c r="C80" s="8" t="inlineStr">
        <is>
          <t>medium</t>
        </is>
      </c>
      <c r="D80" s="11" t="inlineStr">
        <is>
          <t>share option</t>
        </is>
      </c>
      <c r="E80" s="11" t="inlineStr">
        <is>
          <t>PDF p.50 (印刷頁 49)</t>
        </is>
      </c>
      <c r="F80" s="11" t="inlineStr">
        <is>
          <t>ed securities (including sold of treasury shares) during FY25/26. As at 31 March 2026, the Company did not hold any treasury shares. SHARE OPTION SCHEME Pursuant to a resolution passed on 16 December 2016, the Company’s share option scheme adopted (the “Old Share Option Scheme”) was terminated and a share option scheme (the “2024 Share Option Scheme”) was adopted in order to comply with the amendments to Chapter 23 of the GEM Listing Rules in relation to share option schemes. Pursuant to another resolution passed on 20 Septembe</t>
        </is>
      </c>
    </row>
    <row r="81">
      <c r="A81" s="8" t="inlineStr">
        <is>
          <t>Related Party Transactions</t>
        </is>
      </c>
      <c r="B81" s="8" t="inlineStr">
        <is>
          <t>關聯方交易</t>
        </is>
      </c>
      <c r="C81" s="8" t="inlineStr">
        <is>
          <t>low</t>
        </is>
      </c>
      <c r="D81" s="11" t="inlineStr">
        <is>
          <t>related party</t>
        </is>
      </c>
      <c r="E81" s="11" t="inlineStr">
        <is>
          <t>PDF p.53 (印刷頁 52)</t>
        </is>
      </c>
      <c r="F81" s="11" t="inlineStr">
        <is>
          <t>han 5% of the number of the Company’s issued Shares) had any interest in the major suppliers noted above. CONNECTED TRANSACTIONS The related party transactions as disclosed in Note 39 to the consolidated financial statements constituted connected transactions as defined under Chapter 20 of the GEM Listing Rules, which complied with the requirements thereunder. COMPETING INTERESTS Based on the information available to the Company and within the knowledge and belief of the Directors, none of the Directors or the controlling share</t>
        </is>
      </c>
    </row>
    <row r="82">
      <c r="A82" s="8" t="inlineStr">
        <is>
          <t>Related Party Transactions</t>
        </is>
      </c>
      <c r="B82" s="8" t="inlineStr">
        <is>
          <t>關聯方交易</t>
        </is>
      </c>
      <c r="C82" s="8" t="inlineStr">
        <is>
          <t>low</t>
        </is>
      </c>
      <c r="D82" s="11" t="inlineStr">
        <is>
          <t>related party</t>
        </is>
      </c>
      <c r="E82" s="11" t="inlineStr">
        <is>
          <t>PDF p.61 (印刷頁 60)</t>
        </is>
      </c>
      <c r="F82" s="11" t="inlineStr">
        <is>
          <t>ents 25 – 74 Due from a related company 39(c) 168 658 Due from non-controlling shareholders of subsidiaries 39(d) 2,182 – Due from a related party 39(e) 2,932 2,932 Cryptocurrencies 26 755 667 Cash and cash equivalents 27 61,268 71,502 101,420 108,363 Current liabilities Trade payables 28 5,460 5,044 Accruals and other payables 29 53,789 52,655 Derivative financial instruments 25 21 – Due to non-controlling shareholders of subsidiaries 30 425 2,266 Lease liabilities 31 3,300 2,366 Current income tax liabilities 242 242 63,237 6</t>
        </is>
      </c>
    </row>
    <row r="83">
      <c r="A83" s="8" t="inlineStr">
        <is>
          <t>Related Party Transactions</t>
        </is>
      </c>
      <c r="B83" s="8" t="inlineStr">
        <is>
          <t>關聯方交易</t>
        </is>
      </c>
      <c r="C83" s="8" t="inlineStr">
        <is>
          <t>low</t>
        </is>
      </c>
      <c r="D83" s="11" t="inlineStr">
        <is>
          <t>related party</t>
        </is>
      </c>
      <c r="E83" s="11" t="inlineStr">
        <is>
          <t>PDF p.85 (印刷頁 84)</t>
        </is>
      </c>
      <c r="F83" s="11" t="inlineStr">
        <is>
          <t>t risk, which mainly arises from trade receivables, loan receivables, deposits and other receivables, due from a related company and related party, due from non-controlling shareholders of subsidiaries and cash and cash equivalent, is limited to the carrying amounts of financial assets recognised at the end of the reporting period, which are stated as follows: 2026 2025 HK$’000 HK$’000 Trade receivables – 102 Loan receivables (Note) 3,796 – Deposits and other receivables 3,428 3,455 Due from a related company 168 658 Due from a</t>
        </is>
      </c>
    </row>
    <row r="84">
      <c r="A84" s="8" t="inlineStr">
        <is>
          <t>Related Party Transactions</t>
        </is>
      </c>
      <c r="B84" s="8" t="inlineStr">
        <is>
          <t>關聯方交易</t>
        </is>
      </c>
      <c r="C84" s="8" t="inlineStr">
        <is>
          <t>low</t>
        </is>
      </c>
      <c r="D84" s="11" t="inlineStr">
        <is>
          <t>related party</t>
        </is>
      </c>
      <c r="E84" s="11" t="inlineStr">
        <is>
          <t>PDF p.86 (印刷頁 85)</t>
        </is>
      </c>
      <c r="F84" s="11" t="inlineStr">
        <is>
          <t>eivables and • other financial assets at amortised cost (including deposits and other receivables, and due from a related company, a related party and non-controlling shareholders of subsidiaries). The credit risk on bank and cash balances is limited because majority of counterparties are banks with high credit- ratings assigned by international credit-rating agencies. The Group applies the HKFRS 9 simplified approach to measuring expected credit losses which uses a lifetime expected loss allowance for all trade receivables. Th</t>
        </is>
      </c>
    </row>
    <row r="85">
      <c r="A85" s="8" t="inlineStr">
        <is>
          <t>Related Party Transactions</t>
        </is>
      </c>
      <c r="B85" s="8" t="inlineStr">
        <is>
          <t>關聯方交易</t>
        </is>
      </c>
      <c r="C85" s="8" t="inlineStr">
        <is>
          <t>low</t>
        </is>
      </c>
      <c r="D85" s="11" t="inlineStr">
        <is>
          <t>related party</t>
        </is>
      </c>
      <c r="E85" s="11" t="inlineStr">
        <is>
          <t>PDF p.115 (印刷頁 114)</t>
        </is>
      </c>
      <c r="F85" s="11" t="inlineStr">
        <is>
          <t>receivables – 102 Loan receivables 3,796 – Deposits and other receivables 3,428 3,455 Due from a related company 168 658 Due from a related party 2,932 2,932 Due from non-controlling shareholders of subsidiaries 2,182 – Cash and cash equivalents 61,268 71,502 73,774 78,649 Financial assets at fair value through profit or loss Derivative financial instruments – 74 – 74 Financial liabilities at amortised costs Trade payables 5,460 5,044 Other payables 5,984 4,847 Lease liabilities 3,823 3,694 Due to non-controlling shareholders</t>
        </is>
      </c>
    </row>
    <row r="86">
      <c r="A86" s="8" t="inlineStr">
        <is>
          <t>Related Party Transactions</t>
        </is>
      </c>
      <c r="B86" s="8" t="inlineStr">
        <is>
          <t>關聯方交易</t>
        </is>
      </c>
      <c r="C86" s="8" t="inlineStr">
        <is>
          <t>low</t>
        </is>
      </c>
      <c r="D86" s="11" t="inlineStr">
        <is>
          <t>related party</t>
        </is>
      </c>
      <c r="E86" s="11" t="inlineStr">
        <is>
          <t>PDF p.127 (印刷頁 126)</t>
        </is>
      </c>
      <c r="F86" s="11" t="inlineStr">
        <is>
          <t>epayments, deposits and other receivables and other non-current assets (3,637) 2,227 Due from a related company 490 (278) Due from a related party – (2,932) Due from non-controlling shareholders of subsidiaries (2,182) – Cryptocurrencies – 138 Trade payables 416 (4,004) Accruals, other payables and other non-current liabilities 1,161 (2,098) Cash (used in)/generated from operations (8,241) 8,242 Receipt/(payment) arising from net settlement of derivative financial instruments 24 (30) Net cash (used in)/generated from operating</t>
        </is>
      </c>
    </row>
    <row r="87">
      <c r="A87" s="8" t="inlineStr">
        <is>
          <t>Related Party Transactions</t>
        </is>
      </c>
      <c r="B87" s="8" t="inlineStr">
        <is>
          <t>關聯方交易</t>
        </is>
      </c>
      <c r="C87" s="8" t="inlineStr">
        <is>
          <t>low</t>
        </is>
      </c>
      <c r="D87" s="11" t="inlineStr">
        <is>
          <t>related party</t>
        </is>
      </c>
      <c r="E87" s="11" t="inlineStr">
        <is>
          <t>PDF p.130 (印刷頁 129)</t>
        </is>
      </c>
      <c r="F87" s="11" t="inlineStr">
        <is>
          <t>NOTES TO THE CONSOLIDATED FINANCIAL STATEMENTS 39 RELATED PARTY TRANSACTIONS The Directors are of the view that the following individuals and companies were related parties that had transactions or balances with the Group as at and for the years ended 31 March 2026 and 2025: Name of related party Relationship with the Group Mr. Yuen Chun Ning Director of subsidiaries Sky Right Investment Limited Controlled by a Director of subsidiaries Y’s Japan</t>
        </is>
      </c>
    </row>
    <row r="88">
      <c r="A88" s="8" t="inlineStr">
        <is>
          <t>Related Party Transactions</t>
        </is>
      </c>
      <c r="B88" s="8" t="inlineStr">
        <is>
          <t>關聯方交易</t>
        </is>
      </c>
      <c r="C88" s="8" t="inlineStr">
        <is>
          <t>low</t>
        </is>
      </c>
      <c r="D88" s="11" t="inlineStr">
        <is>
          <t>related party</t>
        </is>
      </c>
      <c r="E88" s="11" t="inlineStr">
        <is>
          <t>PDF p.131 (印刷頁 130)</t>
        </is>
      </c>
      <c r="F88" s="11" t="inlineStr">
        <is>
          <t>NOTES TO THE CONSOLIDATED FINANCIAL STATEMENTS 39 RELATED PARTY TRANSACTIONS (CONTINUED) (b) KEY MANAGEMENT COMPENSATION The remuneration of the executive Directors and members of senior management, who have the responsibility for planning, directing and controlling the activities of the Group, are as follows: 2026 2025 HK$’000 HK$’000 Salaries, discretionary bonuses and allowances 2,564 2,816 — Pension cost defined contribution plan 36 36 2,600</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40"/>
  <sheetViews>
    <sheetView workbookViewId="0">
      <pane ySplit="39" topLeftCell="A40" activePane="bottomLeft" state="frozen"/>
      <selection pane="bottomLeft" activeCell="A1" sqref="A1"/>
    </sheetView>
  </sheetViews>
  <sheetFormatPr baseColWidth="8" defaultRowHeight="15"/>
  <cols>
    <col width="16" customWidth="1" min="1" max="1"/>
    <col width="40" customWidth="1" min="2" max="2"/>
  </cols>
  <sheetData>
    <row r="1">
      <c r="A1" s="1" t="inlineStr">
        <is>
          <t>需要人手處理的項目</t>
        </is>
      </c>
    </row>
    <row r="2">
      <c r="A2" s="2" t="inlineStr">
        <is>
          <t>工具沒抓到的東西會列在這裡,不會靜靜消失 —— 請人手翻閱原文補入。</t>
        </is>
      </c>
    </row>
    <row r="4">
      <c r="A4" s="5" t="inlineStr">
        <is>
          <t>一、未擷取到的財務科目</t>
        </is>
      </c>
    </row>
    <row r="5">
      <c r="A5" s="2" t="inlineStr">
        <is>
          <t>可能原因:該公司未單獨揭露此科目 / 用了工具不認得的措辭 / 位於跨頁或附註中。措辭問題可在 config.py 補上別名。</t>
        </is>
      </c>
    </row>
    <row r="7">
      <c r="A7" s="7" t="inlineStr">
        <is>
          <t>報表 Statement</t>
        </is>
      </c>
      <c r="B7" s="7" t="inlineStr">
        <is>
          <t>未擷取科目 Missing item</t>
        </is>
      </c>
    </row>
    <row r="8">
      <c r="A8" s="8" t="inlineStr">
        <is>
          <t>Income Statement</t>
        </is>
      </c>
      <c r="B8" s="8" t="inlineStr">
        <is>
          <t>Revenue</t>
        </is>
      </c>
    </row>
    <row r="9">
      <c r="A9" s="8" t="inlineStr">
        <is>
          <t>Income Statement</t>
        </is>
      </c>
      <c r="B9" s="8" t="inlineStr">
        <is>
          <t>Cost of Sales</t>
        </is>
      </c>
    </row>
    <row r="10">
      <c r="A10" s="8" t="inlineStr">
        <is>
          <t>Income Statement</t>
        </is>
      </c>
      <c r="B10" s="8" t="inlineStr">
        <is>
          <t>Gross Profit</t>
        </is>
      </c>
    </row>
    <row r="11">
      <c r="A11" s="8" t="inlineStr">
        <is>
          <t>Income Statement</t>
        </is>
      </c>
      <c r="B11" s="8" t="inlineStr">
        <is>
          <t>Operating Profit</t>
        </is>
      </c>
    </row>
    <row r="12">
      <c r="A12" s="8" t="inlineStr">
        <is>
          <t>Income Statement</t>
        </is>
      </c>
      <c r="B12" s="8" t="inlineStr">
        <is>
          <t>Finance Costs</t>
        </is>
      </c>
    </row>
    <row r="13">
      <c r="A13" s="8" t="inlineStr">
        <is>
          <t>Income Statement</t>
        </is>
      </c>
      <c r="B13" s="8" t="inlineStr">
        <is>
          <t>Profit Before Tax</t>
        </is>
      </c>
    </row>
    <row r="14">
      <c r="A14" s="8" t="inlineStr">
        <is>
          <t>Income Statement</t>
        </is>
      </c>
      <c r="B14" s="8" t="inlineStr">
        <is>
          <t>Income Tax</t>
        </is>
      </c>
    </row>
    <row r="15">
      <c r="A15" s="8" t="inlineStr">
        <is>
          <t>Income Statement</t>
        </is>
      </c>
      <c r="B15" s="8" t="inlineStr">
        <is>
          <t>Profit for the Year</t>
        </is>
      </c>
    </row>
    <row r="16">
      <c r="A16" s="8" t="inlineStr">
        <is>
          <t>Income Statement</t>
        </is>
      </c>
      <c r="B16" s="8" t="inlineStr">
        <is>
          <t>R&amp;D Expenses</t>
        </is>
      </c>
    </row>
    <row r="17">
      <c r="A17" s="8" t="inlineStr">
        <is>
          <t>Income Statement</t>
        </is>
      </c>
      <c r="B17" s="8" t="inlineStr">
        <is>
          <t>Depreciation</t>
        </is>
      </c>
    </row>
    <row r="18">
      <c r="A18" s="8" t="inlineStr">
        <is>
          <t>Income Statement</t>
        </is>
      </c>
      <c r="B18" s="8" t="inlineStr">
        <is>
          <t>Amortisation</t>
        </is>
      </c>
    </row>
    <row r="19">
      <c r="A19" s="8" t="inlineStr">
        <is>
          <t>Balance Sheet</t>
        </is>
      </c>
      <c r="B19" s="8" t="inlineStr">
        <is>
          <t>Total Current Assets</t>
        </is>
      </c>
    </row>
    <row r="20">
      <c r="A20" s="8" t="inlineStr">
        <is>
          <t>Balance Sheet</t>
        </is>
      </c>
      <c r="B20" s="8" t="inlineStr">
        <is>
          <t>Cash and Equivalents</t>
        </is>
      </c>
    </row>
    <row r="21">
      <c r="A21" s="8" t="inlineStr">
        <is>
          <t>Balance Sheet</t>
        </is>
      </c>
      <c r="B21" s="8" t="inlineStr">
        <is>
          <t>Inventories</t>
        </is>
      </c>
    </row>
    <row r="22">
      <c r="A22" s="8" t="inlineStr">
        <is>
          <t>Balance Sheet</t>
        </is>
      </c>
      <c r="B22" s="8" t="inlineStr">
        <is>
          <t>Trade Receivables</t>
        </is>
      </c>
    </row>
    <row r="23">
      <c r="A23" s="8" t="inlineStr">
        <is>
          <t>Balance Sheet</t>
        </is>
      </c>
      <c r="B23" s="8" t="inlineStr">
        <is>
          <t>Goodwill</t>
        </is>
      </c>
    </row>
    <row r="24">
      <c r="A24" s="8" t="inlineStr">
        <is>
          <t>Balance Sheet</t>
        </is>
      </c>
      <c r="B24" s="8" t="inlineStr">
        <is>
          <t>Intangible Assets</t>
        </is>
      </c>
    </row>
    <row r="25">
      <c r="A25" s="8" t="inlineStr">
        <is>
          <t>Balance Sheet</t>
        </is>
      </c>
      <c r="B25" s="8" t="inlineStr">
        <is>
          <t>Investment Properties</t>
        </is>
      </c>
    </row>
    <row r="26">
      <c r="A26" s="8" t="inlineStr">
        <is>
          <t>Balance Sheet</t>
        </is>
      </c>
      <c r="B26" s="8" t="inlineStr">
        <is>
          <t>Property Plant and Equipment</t>
        </is>
      </c>
    </row>
    <row r="27">
      <c r="A27" s="8" t="inlineStr">
        <is>
          <t>Balance Sheet</t>
        </is>
      </c>
      <c r="B27" s="8" t="inlineStr">
        <is>
          <t>Total Liabilities</t>
        </is>
      </c>
    </row>
    <row r="28">
      <c r="A28" s="8" t="inlineStr">
        <is>
          <t>Balance Sheet</t>
        </is>
      </c>
      <c r="B28" s="8" t="inlineStr">
        <is>
          <t>Total Current Liabilities</t>
        </is>
      </c>
    </row>
    <row r="29">
      <c r="A29" s="8" t="inlineStr">
        <is>
          <t>Balance Sheet</t>
        </is>
      </c>
      <c r="B29" s="8" t="inlineStr">
        <is>
          <t>Borrowings</t>
        </is>
      </c>
    </row>
    <row r="30">
      <c r="A30" s="8" t="inlineStr">
        <is>
          <t>Balance Sheet</t>
        </is>
      </c>
      <c r="B30" s="8" t="inlineStr">
        <is>
          <t>Total Equity</t>
        </is>
      </c>
    </row>
    <row r="31">
      <c r="A31" s="8" t="inlineStr">
        <is>
          <t>Cash Flow</t>
        </is>
      </c>
      <c r="B31" s="8" t="inlineStr">
        <is>
          <t>Investing Cash Flow</t>
        </is>
      </c>
    </row>
    <row r="32">
      <c r="A32" s="8" t="inlineStr">
        <is>
          <t>Cash Flow</t>
        </is>
      </c>
      <c r="B32" s="8" t="inlineStr">
        <is>
          <t>Financing Cash Flow</t>
        </is>
      </c>
    </row>
    <row r="33">
      <c r="A33" s="8" t="inlineStr">
        <is>
          <t>Cash Flow</t>
        </is>
      </c>
      <c r="B33" s="8" t="inlineStr">
        <is>
          <t>Capital Expenditure</t>
        </is>
      </c>
    </row>
    <row r="36">
      <c r="A36" s="5" t="inlineStr">
        <is>
          <t>二、文字量過低的頁面(疑似掃描頁)</t>
        </is>
      </c>
    </row>
    <row r="37">
      <c r="A37" s="2" t="inlineStr">
        <is>
          <t>這些頁面幾乎抓不到文字,通常是掃描件或純圖表,建議人手翻閱或另行 OCR。</t>
        </is>
      </c>
    </row>
    <row r="39">
      <c r="A39" s="7" t="inlineStr">
        <is>
          <t>PDF 頁碼</t>
        </is>
      </c>
      <c r="B39" s="7" t="inlineStr">
        <is>
          <t>狀態</t>
        </is>
      </c>
    </row>
    <row r="40">
      <c r="A40" s="8" t="n">
        <v>1</v>
      </c>
      <c r="B40" s="8" t="inlineStr">
        <is>
          <t>文字量過低 — 可能為掃描頁/圖表頁</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2026-08-30T14:15:49Z</dcterms:created>
  <dcterms:modified xsi:type="dcterms:W3CDTF">2026-08-30T14:15:49Z</dcterms:modified>
</cp:coreProperties>
</file>
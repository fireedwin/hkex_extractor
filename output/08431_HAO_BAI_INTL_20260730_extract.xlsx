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9C0006"/>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8"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08431_HAO_BAI_INTL_20260730.pdf</t>
        </is>
      </c>
    </row>
    <row r="5">
      <c r="A5" s="3" t="inlineStr">
        <is>
          <t>產生時間 Generated</t>
        </is>
      </c>
      <c r="B5" s="4" t="inlineStr">
        <is>
          <t>2026-08-30 22:15</t>
        </is>
      </c>
    </row>
    <row r="6">
      <c r="A6" s="4" t="inlineStr"/>
      <c r="B6" s="4" t="inlineStr"/>
    </row>
    <row r="7">
      <c r="A7" s="3" t="inlineStr">
        <is>
          <t>總頁數 Total pages</t>
        </is>
      </c>
      <c r="B7" s="4" t="n">
        <v>177</v>
      </c>
    </row>
    <row r="8">
      <c r="A8" s="3" t="inlineStr">
        <is>
          <t>已擷取字元 Characters extracted</t>
        </is>
      </c>
      <c r="B8" s="4" t="n">
        <v>415151</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19</v>
      </c>
    </row>
    <row r="14">
      <c r="A14" s="3" t="inlineStr">
        <is>
          <t>主題段落擷取筆數 Topic extracts</t>
        </is>
      </c>
      <c r="B14" s="4" t="n">
        <v>99</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45,657 − 32,395 = 13,262</t>
        </is>
      </c>
    </row>
    <row r="20">
      <c r="A20" s="6" t="inlineStr">
        <is>
          <t>✓ 總資產 = 總負債 + 總權益</t>
        </is>
      </c>
      <c r="B20" s="4" t="inlineStr">
        <is>
          <t>46,280 vs 32,395 + 13,885 = 46,280</t>
        </is>
      </c>
    </row>
    <row r="21">
      <c r="A21" s="6" t="inlineStr">
        <is>
          <t>✓ 收入 − 銷售成本 = 毛利</t>
        </is>
      </c>
      <c r="B21" s="4" t="inlineStr">
        <is>
          <t>19,266 − 20,345 = -1,079 vs 毛利 -1,079</t>
        </is>
      </c>
    </row>
    <row r="22">
      <c r="A22" s="7" t="inlineStr">
        <is>
          <t>✗ 除稅前溢利 ± 稅項 = 年內溢利</t>
        </is>
      </c>
      <c r="B22" s="4" t="inlineStr">
        <is>
          <t>-36,432 − 246 = -36,186 vs 6,349</t>
        </is>
      </c>
    </row>
    <row r="23">
      <c r="A23" s="6" t="inlineStr">
        <is>
          <t>✓ 三大報表應相鄰</t>
        </is>
      </c>
      <c r="B23" s="4" t="inlineStr">
        <is>
          <t>Income Statement: p.81、Balance Sheet: p.83、Cash Flow: p.86(相距 5 頁)</t>
        </is>
      </c>
    </row>
    <row r="25">
      <c r="A25" s="5" t="inlineStr">
        <is>
          <t>方法論 Methodology</t>
        </is>
      </c>
    </row>
    <row r="26">
      <c r="A26" s="4" t="inlineStr">
        <is>
          <t>1. 逐頁擷取文字,全程保留 PDF 頁碼與年報印刷頁碼(可追溯性)。</t>
        </is>
      </c>
    </row>
    <row r="27">
      <c r="A27" s="4" t="inlineStr">
        <is>
          <t>2. 規則層(正則/關鍵字)先把全份文件縮減為少數相關頁面 —— 解決「文件太大」。</t>
        </is>
      </c>
    </row>
    <row r="28">
      <c r="A28" s="4" t="inlineStr">
        <is>
          <t>3. 數字由正則精確擷取並做合理性檢查,不由語言模型生成 —— 解決「準確度」。</t>
        </is>
      </c>
    </row>
    <row r="29">
      <c r="A29" s="4" t="inlineStr">
        <is>
          <t>4. AI 僅在縮減後的頁面上做語意判斷,且輸出頁碼須通過驗證才保留。</t>
        </is>
      </c>
    </row>
    <row r="30">
      <c r="A30" s="4" t="inlineStr">
        <is>
          <t>5. 所有結果附來源頁碼與原文行,供估值師覆核。信心度為 Low 者建議人手確認。</t>
        </is>
      </c>
    </row>
    <row r="31">
      <c r="A31"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8" t="inlineStr">
        <is>
          <t>參數 Parameter</t>
        </is>
      </c>
      <c r="B4" s="8" t="inlineStr">
        <is>
          <t>中文</t>
        </is>
      </c>
      <c r="C4" s="8" t="inlineStr">
        <is>
          <t>下限 Low (%)</t>
        </is>
      </c>
      <c r="D4" s="8" t="inlineStr">
        <is>
          <t>上限 High (%)</t>
        </is>
      </c>
      <c r="E4" s="8" t="inlineStr">
        <is>
          <t>原文數值</t>
        </is>
      </c>
      <c r="F4" s="8" t="inlineStr">
        <is>
          <t>信心度</t>
        </is>
      </c>
      <c r="G4" s="8" t="inlineStr">
        <is>
          <t>來源頁 Source Page</t>
        </is>
      </c>
      <c r="H4" s="8" t="inlineStr">
        <is>
          <t>上下文 Context</t>
        </is>
      </c>
    </row>
    <row r="5">
      <c r="A5" s="9" t="inlineStr">
        <is>
          <t>Gross Margin</t>
        </is>
      </c>
      <c r="B5" s="9" t="inlineStr">
        <is>
          <t>毛利率</t>
        </is>
      </c>
      <c r="C5" s="10" t="n">
        <v>34.3</v>
      </c>
      <c r="D5" s="11" t="n">
        <v>34.3</v>
      </c>
      <c r="E5" s="12" t="inlineStr">
        <is>
          <t>34.3%</t>
        </is>
      </c>
      <c r="F5" s="12" t="inlineStr">
        <is>
          <t>High</t>
        </is>
      </c>
      <c r="G5" s="12" t="inlineStr">
        <is>
          <t>PDF p.8 (印刷頁 7)</t>
        </is>
      </c>
      <c r="H5" s="12" t="inlineStr">
        <is>
          <t>ion in the prior year. Although project volumes remained broadly unchanged, the gross margin declined from 34.3% to a negative 5.6%. Looking ahead, management anticipates a return to positive gross margins within the next 12 to 18 months, underpinned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8" t="inlineStr">
        <is>
          <t>報表 Statement</t>
        </is>
      </c>
      <c r="B4" s="8" t="inlineStr">
        <is>
          <t>科目 Item</t>
        </is>
      </c>
      <c r="C4" s="8" t="inlineStr">
        <is>
          <t>本年 Current</t>
        </is>
      </c>
      <c r="D4" s="8" t="inlineStr">
        <is>
          <t>上年 Prior</t>
        </is>
      </c>
      <c r="E4" s="8" t="inlineStr">
        <is>
          <t>變動 YoY %</t>
        </is>
      </c>
      <c r="F4" s="8" t="inlineStr">
        <is>
          <t>來源頁</t>
        </is>
      </c>
      <c r="G4" s="8" t="inlineStr">
        <is>
          <t>原文行 Source line</t>
        </is>
      </c>
    </row>
    <row r="5">
      <c r="A5" s="9" t="inlineStr">
        <is>
          <t>Income Statement</t>
        </is>
      </c>
      <c r="B5" s="9" t="inlineStr">
        <is>
          <t>Revenue</t>
        </is>
      </c>
      <c r="C5" s="13" t="n">
        <v>19266</v>
      </c>
      <c r="D5" s="14" t="n">
        <v>23824</v>
      </c>
      <c r="E5" s="15">
        <f>IF(ISERROR((C5-D5)/ABS(D5)),"",(C5-D5)/ABS(D5))</f>
        <v>-0.1913196776359973</v>
      </c>
      <c r="F5" s="12" t="inlineStr">
        <is>
          <t>PDF p.81 (印刷頁 80)</t>
        </is>
      </c>
      <c r="G5" s="12" t="inlineStr">
        <is>
          <t>Revenue 5 19,266 23,824</t>
        </is>
      </c>
    </row>
    <row r="6">
      <c r="A6" s="9" t="inlineStr">
        <is>
          <t>Income Statement</t>
        </is>
      </c>
      <c r="B6" s="9" t="inlineStr">
        <is>
          <t>Cost of Sales</t>
        </is>
      </c>
      <c r="C6" s="13" t="n">
        <v>-20345</v>
      </c>
      <c r="D6" s="14" t="n">
        <v>-15654</v>
      </c>
      <c r="E6" s="15">
        <f>IF(ISERROR((C6-D6)/ABS(D6)),"",(C6-D6)/ABS(D6))</f>
        <v>-0.2996678165325157</v>
      </c>
      <c r="F6" s="12" t="inlineStr">
        <is>
          <t>PDF p.81 (印刷頁 80)</t>
        </is>
      </c>
      <c r="G6" s="12" t="inlineStr">
        <is>
          <t>Cost of sales (20,345) (15,654)</t>
        </is>
      </c>
    </row>
    <row r="7">
      <c r="A7" s="9" t="inlineStr">
        <is>
          <t>Income Statement</t>
        </is>
      </c>
      <c r="B7" s="9" t="inlineStr">
        <is>
          <t>Gross Profit</t>
        </is>
      </c>
      <c r="C7" s="13" t="n">
        <v>-1079</v>
      </c>
      <c r="D7" s="14" t="n">
        <v>8170</v>
      </c>
      <c r="E7" s="15">
        <f>IF(ISERROR((C7-D7)/ABS(D7)),"",(C7-D7)/ABS(D7))</f>
        <v>-1.1320685434516524</v>
      </c>
      <c r="F7" s="12" t="inlineStr">
        <is>
          <t>PDF p.81 (印刷頁 80)</t>
        </is>
      </c>
      <c r="G7" s="12" t="inlineStr">
        <is>
          <t>Gross (loss)/profit (1,079) 8,170</t>
        </is>
      </c>
    </row>
    <row r="8">
      <c r="A8" s="9" t="inlineStr">
        <is>
          <t>Income Statement</t>
        </is>
      </c>
      <c r="B8" s="9" t="inlineStr">
        <is>
          <t>Finance Costs</t>
        </is>
      </c>
      <c r="C8" s="13" t="n">
        <v>-545</v>
      </c>
      <c r="D8" s="14" t="n">
        <v>-534</v>
      </c>
      <c r="E8" s="15">
        <f>IF(ISERROR((C8-D8)/ABS(D8)),"",(C8-D8)/ABS(D8))</f>
        <v>-0.020599250936329586</v>
      </c>
      <c r="F8" s="12" t="inlineStr">
        <is>
          <t>PDF p.81 (印刷頁 80)</t>
        </is>
      </c>
      <c r="G8" s="12" t="inlineStr">
        <is>
          <t>Finance costs 7 (545) (534)</t>
        </is>
      </c>
    </row>
    <row r="9">
      <c r="A9" s="9" t="inlineStr">
        <is>
          <t>Income Statement</t>
        </is>
      </c>
      <c r="B9" s="9" t="inlineStr">
        <is>
          <t>Profit Before Tax</t>
        </is>
      </c>
      <c r="C9" s="13" t="n">
        <v>-36432</v>
      </c>
      <c r="D9" s="14" t="n">
        <v>-19210</v>
      </c>
      <c r="E9" s="15">
        <f>IF(ISERROR((C9-D9)/ABS(D9)),"",(C9-D9)/ABS(D9))</f>
        <v>-0.8965122332118688</v>
      </c>
      <c r="F9" s="12" t="inlineStr">
        <is>
          <t>PDF p.81 (印刷頁 80)</t>
        </is>
      </c>
      <c r="G9" s="12" t="inlineStr">
        <is>
          <t>Loss before tax from continuing operations 8 (36,432) (19,210)</t>
        </is>
      </c>
    </row>
    <row r="10">
      <c r="A10" s="9" t="inlineStr">
        <is>
          <t>Income Statement</t>
        </is>
      </c>
      <c r="B10" s="9" t="inlineStr">
        <is>
          <t>Income Tax</t>
        </is>
      </c>
      <c r="C10" s="13" t="n">
        <v>-246</v>
      </c>
      <c r="D10" s="14" t="n">
        <v>-167</v>
      </c>
      <c r="E10" s="15">
        <f>IF(ISERROR((C10-D10)/ABS(D10)),"",(C10-D10)/ABS(D10))</f>
        <v>-0.47305389221556887</v>
      </c>
      <c r="F10" s="12" t="inlineStr">
        <is>
          <t>PDF p.81 (印刷頁 80)</t>
        </is>
      </c>
      <c r="G10" s="12" t="inlineStr">
        <is>
          <t>Income tax expense 11 (246) (167)</t>
        </is>
      </c>
    </row>
    <row r="11">
      <c r="A11" s="9" t="inlineStr">
        <is>
          <t>Income Statement</t>
        </is>
      </c>
      <c r="B11" s="9" t="inlineStr">
        <is>
          <t>Profit for the Year</t>
        </is>
      </c>
      <c r="C11" s="13" t="n">
        <v>6349</v>
      </c>
      <c r="D11" s="14" t="n">
        <v>115</v>
      </c>
      <c r="E11" s="15">
        <f>IF(ISERROR((C11-D11)/ABS(D11)),"",(C11-D11)/ABS(D11))</f>
        <v>54.208695652173915</v>
      </c>
      <c r="F11" s="12" t="inlineStr">
        <is>
          <t>PDF p.81 (印刷頁 80)</t>
        </is>
      </c>
      <c r="G11" s="12" t="inlineStr">
        <is>
          <t>Profit for the year from discontinued operation 6,349 115</t>
        </is>
      </c>
    </row>
    <row r="12">
      <c r="A12" s="9" t="inlineStr">
        <is>
          <t>Balance Sheet</t>
        </is>
      </c>
      <c r="B12" s="9" t="inlineStr">
        <is>
          <t>Property Plant and Equipment</t>
        </is>
      </c>
      <c r="C12" s="13" t="n">
        <v>0</v>
      </c>
      <c r="D12" s="14" t="n">
        <v>3</v>
      </c>
      <c r="E12" s="15">
        <f>IF(ISERROR((C12-D12)/ABS(D12)),"",(C12-D12)/ABS(D12))</f>
        <v>-1.0</v>
      </c>
      <c r="F12" s="12" t="inlineStr">
        <is>
          <t>PDF p.83 (印刷頁 82)</t>
        </is>
      </c>
      <c r="G12" s="12" t="inlineStr">
        <is>
          <t>Property, plant and equipment 14 – 3</t>
        </is>
      </c>
    </row>
    <row r="13">
      <c r="A13" s="9" t="inlineStr">
        <is>
          <t>Balance Sheet</t>
        </is>
      </c>
      <c r="B13" s="9" t="inlineStr">
        <is>
          <t>Goodwill</t>
        </is>
      </c>
      <c r="C13" s="13" t="n">
        <v>0</v>
      </c>
      <c r="D13" s="14" t="n">
        <v>0</v>
      </c>
      <c r="E13" s="15" t="str">
        <f>IF(ISERROR((C13-D13)/ABS(D13)),"",(C13-D13)/ABS(D13))</f>
        <v/>
      </c>
      <c r="F13" s="12" t="inlineStr">
        <is>
          <t>PDF p.83 (印刷頁 82)</t>
        </is>
      </c>
      <c r="G13" s="12" t="inlineStr">
        <is>
          <t>Goodwill 16 – –</t>
        </is>
      </c>
    </row>
    <row r="14">
      <c r="A14" s="9" t="inlineStr">
        <is>
          <t>Balance Sheet</t>
        </is>
      </c>
      <c r="B14" s="9" t="inlineStr">
        <is>
          <t>Intangible Assets</t>
        </is>
      </c>
      <c r="C14" s="13" t="n">
        <v>170</v>
      </c>
      <c r="D14" s="14" t="n">
        <v>2701</v>
      </c>
      <c r="E14" s="15">
        <f>IF(ISERROR((C14-D14)/ABS(D14)),"",(C14-D14)/ABS(D14))</f>
        <v>-0.9370603480192521</v>
      </c>
      <c r="F14" s="12" t="inlineStr">
        <is>
          <t>PDF p.83 (印刷頁 82)</t>
        </is>
      </c>
      <c r="G14" s="12" t="inlineStr">
        <is>
          <t>Intangible assets 19 170 2,701</t>
        </is>
      </c>
    </row>
    <row r="15">
      <c r="A15" s="9" t="inlineStr">
        <is>
          <t>Balance Sheet</t>
        </is>
      </c>
      <c r="B15" s="9" t="inlineStr">
        <is>
          <t>Inventories</t>
        </is>
      </c>
      <c r="C15" s="13" t="n">
        <v>78</v>
      </c>
      <c r="D15" s="14" t="n">
        <v>0</v>
      </c>
      <c r="E15" s="15" t="str">
        <f>IF(ISERROR((C15-D15)/ABS(D15)),"",(C15-D15)/ABS(D15))</f>
        <v/>
      </c>
      <c r="F15" s="12" t="inlineStr">
        <is>
          <t>PDF p.83 (印刷頁 82)</t>
        </is>
      </c>
      <c r="G15" s="12" t="inlineStr">
        <is>
          <t>Inventories 20 78 –</t>
        </is>
      </c>
    </row>
    <row r="16">
      <c r="A16" s="9" t="inlineStr">
        <is>
          <t>Balance Sheet</t>
        </is>
      </c>
      <c r="B16" s="9" t="inlineStr">
        <is>
          <t>Trade Receivables</t>
        </is>
      </c>
      <c r="C16" s="13" t="n">
        <v>2926</v>
      </c>
      <c r="D16" s="14" t="n">
        <v>35014</v>
      </c>
      <c r="E16" s="15">
        <f>IF(ISERROR((C16-D16)/ABS(D16)),"",(C16-D16)/ABS(D16))</f>
        <v>-0.9164334266293482</v>
      </c>
      <c r="F16" s="12" t="inlineStr">
        <is>
          <t>PDF p.83 (印刷頁 82)</t>
        </is>
      </c>
      <c r="G16" s="12" t="inlineStr">
        <is>
          <t>Trade and other receivables, deposits and prepayments 22 2,926 35,014</t>
        </is>
      </c>
    </row>
    <row r="17">
      <c r="A17" s="9" t="inlineStr">
        <is>
          <t>Balance Sheet</t>
        </is>
      </c>
      <c r="B17" s="9" t="inlineStr">
        <is>
          <t>Total Assets</t>
        </is>
      </c>
      <c r="C17" s="13" t="n">
        <v>46280</v>
      </c>
      <c r="D17" s="14" t="n">
        <v>81085</v>
      </c>
      <c r="E17" s="15">
        <f>IF(ISERROR((C17-D17)/ABS(D17)),"",(C17-D17)/ABS(D17))</f>
        <v>-0.42924092002219894</v>
      </c>
      <c r="F17" s="12" t="inlineStr">
        <is>
          <t>PDF p.83 (印刷頁 82)</t>
        </is>
      </c>
      <c r="G17" s="12" t="inlineStr">
        <is>
          <t>Total assets 46,280 81,085</t>
        </is>
      </c>
    </row>
    <row r="18">
      <c r="A18" s="9" t="inlineStr">
        <is>
          <t>Balance Sheet</t>
        </is>
      </c>
      <c r="B18" s="9" t="inlineStr">
        <is>
          <t>Total Liabilities</t>
        </is>
      </c>
      <c r="C18" s="13" t="n">
        <v>32395</v>
      </c>
      <c r="D18" s="14" t="n">
        <v>75098</v>
      </c>
      <c r="E18" s="15">
        <f>IF(ISERROR((C18-D18)/ABS(D18)),"",(C18-D18)/ABS(D18))</f>
        <v>-0.5686303230445551</v>
      </c>
      <c r="F18" s="12" t="inlineStr">
        <is>
          <t>PDF p.83 (印刷頁 82)</t>
        </is>
      </c>
      <c r="G18" s="12" t="inlineStr">
        <is>
          <t>Total liabilities 32,395 75,098</t>
        </is>
      </c>
    </row>
    <row r="19">
      <c r="A19" s="9" t="inlineStr">
        <is>
          <t>Balance Sheet</t>
        </is>
      </c>
      <c r="B19" s="9" t="inlineStr">
        <is>
          <t>Total Equity</t>
        </is>
      </c>
      <c r="C19" s="13" t="n">
        <v>13885</v>
      </c>
      <c r="D19" s="14" t="n">
        <v>5987</v>
      </c>
      <c r="E19" s="15">
        <f>IF(ISERROR((C19-D19)/ABS(D19)),"",(C19-D19)/ABS(D19))</f>
        <v>1.3191915817604811</v>
      </c>
      <c r="F19" s="12" t="inlineStr">
        <is>
          <t>PDF p.84 (印刷頁 83)</t>
        </is>
      </c>
      <c r="G19" s="12" t="inlineStr">
        <is>
          <t>TOTAL EQUITY 13,885 5,987</t>
        </is>
      </c>
    </row>
    <row r="20">
      <c r="A20" s="9" t="inlineStr">
        <is>
          <t>Balance Sheet</t>
        </is>
      </c>
      <c r="B20" s="9" t="inlineStr">
        <is>
          <t>Total Current Assets</t>
        </is>
      </c>
      <c r="C20" s="13" t="n">
        <v>45657</v>
      </c>
      <c r="D20" s="14" t="n">
        <v>75756</v>
      </c>
      <c r="E20" s="15">
        <f>IF(ISERROR((C20-D20)/ABS(D20)),"",(C20-D20)/ABS(D20))</f>
        <v>-0.3973150641533344</v>
      </c>
      <c r="F20" s="12" t="inlineStr">
        <is>
          <t>PDF p.83 (印刷頁 82)</t>
        </is>
      </c>
      <c r="G20" s="12" t="inlineStr">
        <is>
          <t>[current assets 區段小計] 45,657 75,756</t>
        </is>
      </c>
    </row>
    <row r="21">
      <c r="A21" s="9" t="inlineStr">
        <is>
          <t>Balance Sheet</t>
        </is>
      </c>
      <c r="B21" s="9" t="inlineStr">
        <is>
          <t>Total Current Liabilities</t>
        </is>
      </c>
      <c r="C21" s="13" t="n">
        <v>32395</v>
      </c>
      <c r="D21" s="14" t="n">
        <v>75098</v>
      </c>
      <c r="E21" s="15">
        <f>IF(ISERROR((C21-D21)/ABS(D21)),"",(C21-D21)/ABS(D21))</f>
        <v>-0.5686303230445551</v>
      </c>
      <c r="F21" s="12" t="inlineStr">
        <is>
          <t>PDF p.83 (印刷頁 82)</t>
        </is>
      </c>
      <c r="G21" s="12" t="inlineStr">
        <is>
          <t>[current liabilities 區段小計] 32,395 75,098</t>
        </is>
      </c>
    </row>
    <row r="22">
      <c r="A22" s="9" t="inlineStr">
        <is>
          <t>Cash Flow</t>
        </is>
      </c>
      <c r="B22" s="9" t="inlineStr">
        <is>
          <t>Investing Cash Flow</t>
        </is>
      </c>
      <c r="C22" s="13" t="n">
        <v>-310</v>
      </c>
      <c r="D22" s="14" t="n">
        <v>-4214</v>
      </c>
      <c r="E22" s="15">
        <f>IF(ISERROR((C22-D22)/ABS(D22)),"",(C22-D22)/ABS(D22))</f>
        <v>0.9264356905552918</v>
      </c>
      <c r="F22" s="12" t="inlineStr">
        <is>
          <t>PDF p.86 (印刷頁 85)</t>
        </is>
      </c>
      <c r="G22" s="12" t="inlineStr">
        <is>
          <t>Net cash used in investing activities (310) (4,214)</t>
        </is>
      </c>
    </row>
    <row r="23">
      <c r="A23" s="9" t="inlineStr">
        <is>
          <t>Cash Flow</t>
        </is>
      </c>
      <c r="B23" s="9" t="inlineStr">
        <is>
          <t>Financing Cash Flow</t>
        </is>
      </c>
      <c r="C23" s="13" t="n">
        <v>25146</v>
      </c>
      <c r="D23" s="14" t="n">
        <v>-4233</v>
      </c>
      <c r="E23" s="15">
        <f>IF(ISERROR((C23-D23)/ABS(D23)),"",(C23-D23)/ABS(D23))</f>
        <v>6.9404677533664065</v>
      </c>
      <c r="F23" s="12" t="inlineStr">
        <is>
          <t>PDF p.86 (印刷頁 85)</t>
        </is>
      </c>
      <c r="G23" s="12" t="inlineStr">
        <is>
          <t>Net cash from/(used in) financing activities 25,146 (4,233)</t>
        </is>
      </c>
    </row>
    <row r="25">
      <c r="A2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8" t="inlineStr">
        <is>
          <t>比率 Ratio</t>
        </is>
      </c>
      <c r="B4" s="8" t="inlineStr">
        <is>
          <t>本年 Current</t>
        </is>
      </c>
      <c r="C4" s="8" t="inlineStr">
        <is>
          <t>上年 Prior</t>
        </is>
      </c>
      <c r="D4" s="8" t="inlineStr">
        <is>
          <t>說明</t>
        </is>
      </c>
    </row>
    <row r="5">
      <c r="A5" s="4" t="inlineStr">
        <is>
          <t>Gross Margin 毛利率</t>
        </is>
      </c>
      <c r="B5" s="16">
        <f>IF(ISERROR(INDEX('Financials 財務數據'!$C$5:$C$23,MATCH("Gross Profit",'Financials 財務數據'!$B$5:$B$23,0))/INDEX('Financials 財務數據'!$C$5:$C$23,MATCH("Revenue",'Financials 財務數據'!$B$5:$B$23,0))),"n/a",INDEX('Financials 財務數據'!$C$5:$C$23,MATCH("Gross Profit",'Financials 財務數據'!$B$5:$B$23,0))/INDEX('Financials 財務數據'!$C$5:$C$23,MATCH("Revenue",'Financials 財務數據'!$B$5:$B$23,0)))</f>
        <v>-0.05600539811066127</v>
      </c>
      <c r="C5" s="16">
        <f>IF(ISERROR(INDEX('Financials 財務數據'!$D$5:$D$23,MATCH("Gross Profit",'Financials 財務數據'!$B$5:$B$23,0))/INDEX('Financials 財務數據'!$D$5:$D$23,MATCH("Revenue",'Financials 財務數據'!$B$5:$B$23,0))),"n/a",INDEX('Financials 財務數據'!$D$5:$D$23,MATCH("Gross Profit",'Financials 財務數據'!$B$5:$B$23,0))/INDEX('Financials 財務數據'!$D$5:$D$23,MATCH("Revenue",'Financials 財務數據'!$B$5:$B$23,0)))</f>
        <v>0.34293149764942915</v>
      </c>
      <c r="D5" s="2" t="inlineStr">
        <is>
          <t>毛利 ÷ 收入</t>
        </is>
      </c>
    </row>
    <row r="6">
      <c r="A6" s="4" t="inlineStr">
        <is>
          <t>Net Margin 淨利率</t>
        </is>
      </c>
      <c r="B6" s="16">
        <f>IF(ISERROR(INDEX('Financials 財務數據'!$C$5:$C$23,MATCH("Profit for the Year",'Financials 財務數據'!$B$5:$B$23,0))/INDEX('Financials 財務數據'!$C$5:$C$23,MATCH("Revenue",'Financials 財務數據'!$B$5:$B$23,0))),"n/a",INDEX('Financials 財務數據'!$C$5:$C$23,MATCH("Profit for the Year",'Financials 財務數據'!$B$5:$B$23,0))/INDEX('Financials 財務數據'!$C$5:$C$23,MATCH("Revenue",'Financials 財務數據'!$B$5:$B$23,0)))</f>
        <v>0.32954427488840443</v>
      </c>
      <c r="C6" s="16">
        <f>IF(ISERROR(INDEX('Financials 財務數據'!$D$5:$D$23,MATCH("Profit for the Year",'Financials 財務數據'!$B$5:$B$23,0))/INDEX('Financials 財務數據'!$D$5:$D$23,MATCH("Revenue",'Financials 財務數據'!$B$5:$B$23,0))),"n/a",INDEX('Financials 財務數據'!$D$5:$D$23,MATCH("Profit for the Year",'Financials 財務數據'!$B$5:$B$23,0))/INDEX('Financials 財務數據'!$D$5:$D$23,MATCH("Revenue",'Financials 財務數據'!$B$5:$B$23,0)))</f>
        <v>0.004827065144392209</v>
      </c>
      <c r="D6" s="2" t="inlineStr">
        <is>
          <t>年內溢利 ÷ 收入</t>
        </is>
      </c>
    </row>
    <row r="7">
      <c r="A7" s="4" t="inlineStr">
        <is>
          <t>Current Ratio 流動比率</t>
        </is>
      </c>
      <c r="B7" s="17">
        <f>IF(ISERROR(INDEX('Financials 財務數據'!$C$5:$C$23,MATCH("Total Current Assets",'Financials 財務數據'!$B$5:$B$23,0))/INDEX('Financials 財務數據'!$C$5:$C$23,MATCH("Total Current Liabilities",'Financials 財務數據'!$B$5:$B$23,0))),"n/a",INDEX('Financials 財務數據'!$C$5:$C$23,MATCH("Total Current Assets",'Financials 財務數據'!$B$5:$B$23,0))/INDEX('Financials 財務數據'!$C$5:$C$23,MATCH("Total Current Liabilities",'Financials 財務數據'!$B$5:$B$23,0)))</f>
        <v>1.409384164222874</v>
      </c>
      <c r="C7" s="17">
        <f>IF(ISERROR(INDEX('Financials 財務數據'!$D$5:$D$23,MATCH("Total Current Assets",'Financials 財務數據'!$B$5:$B$23,0))/INDEX('Financials 財務數據'!$D$5:$D$23,MATCH("Total Current Liabilities",'Financials 財務數據'!$B$5:$B$23,0))),"n/a",INDEX('Financials 財務數據'!$D$5:$D$23,MATCH("Total Current Assets",'Financials 財務數據'!$B$5:$B$23,0))/INDEX('Financials 財務數據'!$D$5:$D$23,MATCH("Total Current Liabilities",'Financials 財務數據'!$B$5:$B$23,0)))</f>
        <v>1.008761884470958</v>
      </c>
      <c r="D7" s="2" t="inlineStr">
        <is>
          <t>流動資產 ÷ 流動負債</t>
        </is>
      </c>
    </row>
    <row r="8">
      <c r="A8" s="4" t="inlineStr">
        <is>
          <t>Debt / Equity 負債權益比</t>
        </is>
      </c>
      <c r="B8" s="17">
        <f>IF(ISERROR(INDEX('Financials 財務數據'!$C$5:$C$23,MATCH("Total Liabilities",'Financials 財務數據'!$B$5:$B$23,0))/INDEX('Financials 財務數據'!$C$5:$C$23,MATCH("Total Equity",'Financials 財務數據'!$B$5:$B$23,0))),"n/a",INDEX('Financials 財務數據'!$C$5:$C$23,MATCH("Total Liabilities",'Financials 財務數據'!$B$5:$B$23,0))/INDEX('Financials 財務數據'!$C$5:$C$23,MATCH("Total Equity",'Financials 財務數據'!$B$5:$B$23,0)))</f>
        <v>2.333093266114512</v>
      </c>
      <c r="C8" s="17">
        <f>IF(ISERROR(INDEX('Financials 財務數據'!$D$5:$D$23,MATCH("Total Liabilities",'Financials 財務數據'!$B$5:$B$23,0))/INDEX('Financials 財務數據'!$D$5:$D$23,MATCH("Total Equity",'Financials 財務數據'!$B$5:$B$23,0))),"n/a",INDEX('Financials 財務數據'!$D$5:$D$23,MATCH("Total Liabilities",'Financials 財務數據'!$B$5:$B$23,0))/INDEX('Financials 財務數據'!$D$5:$D$23,MATCH("Total Equity",'Financials 財務數據'!$B$5:$B$23,0)))</f>
        <v>12.543510940370803</v>
      </c>
      <c r="D8" s="2" t="inlineStr">
        <is>
          <t>總負債 ÷ 總權益</t>
        </is>
      </c>
    </row>
    <row r="9">
      <c r="A9" s="4" t="inlineStr">
        <is>
          <t>Goodwill / Total Assets</t>
        </is>
      </c>
      <c r="B9" s="16">
        <f>IF(ISERROR(INDEX('Financials 財務數據'!$C$5:$C$23,MATCH("Goodwill",'Financials 財務數據'!$B$5:$B$23,0))/INDEX('Financials 財務數據'!$C$5:$C$23,MATCH("Total Assets",'Financials 財務數據'!$B$5:$B$23,0))),"n/a",INDEX('Financials 財務數據'!$C$5:$C$23,MATCH("Goodwill",'Financials 財務數據'!$B$5:$B$23,0))/INDEX('Financials 財務數據'!$C$5:$C$23,MATCH("Total Assets",'Financials 財務數據'!$B$5:$B$23,0)))</f>
        <v>0.0</v>
      </c>
      <c r="C9" s="16">
        <f>IF(ISERROR(INDEX('Financials 財務數據'!$D$5:$D$23,MATCH("Goodwill",'Financials 財務數據'!$B$5:$B$23,0))/INDEX('Financials 財務數據'!$D$5:$D$23,MATCH("Total Assets",'Financials 財務數據'!$B$5:$B$23,0))),"n/a",INDEX('Financials 財務數據'!$D$5:$D$23,MATCH("Goodwill",'Financials 財務數據'!$B$5:$B$23,0))/INDEX('Financials 財務數據'!$D$5:$D$23,MATCH("Total Assets",'Financials 財務數據'!$B$5:$B$23,0)))</f>
        <v>0.0</v>
      </c>
      <c r="D9" s="2" t="inlineStr">
        <is>
          <t>商譽佔總資產比重 — 減值風險指標</t>
        </is>
      </c>
    </row>
    <row r="10">
      <c r="A10" s="4" t="inlineStr">
        <is>
          <t>Intangibles / Total Assets</t>
        </is>
      </c>
      <c r="B10" s="16">
        <f>IF(ISERROR(INDEX('Financials 財務數據'!$C$5:$C$23,MATCH("Intangible Assets",'Financials 財務數據'!$B$5:$B$23,0))/INDEX('Financials 財務數據'!$C$5:$C$23,MATCH("Total Assets",'Financials 財務數據'!$B$5:$B$23,0))),"n/a",INDEX('Financials 財務數據'!$C$5:$C$23,MATCH("Intangible Assets",'Financials 財務數據'!$B$5:$B$23,0))/INDEX('Financials 財務數據'!$C$5:$C$23,MATCH("Total Assets",'Financials 財務數據'!$B$5:$B$23,0)))</f>
        <v>0.003673292999135696</v>
      </c>
      <c r="C10" s="16">
        <f>IF(ISERROR(INDEX('Financials 財務數據'!$D$5:$D$23,MATCH("Intangible Assets",'Financials 財務數據'!$B$5:$B$23,0))/INDEX('Financials 財務數據'!$D$5:$D$23,MATCH("Total Assets",'Financials 財務數據'!$B$5:$B$23,0))),"n/a",INDEX('Financials 財務數據'!$D$5:$D$23,MATCH("Intangible Assets",'Financials 財務數據'!$B$5:$B$23,0))/INDEX('Financials 財務數據'!$D$5:$D$23,MATCH("Total Assets",'Financials 財務數據'!$B$5:$B$23,0)))</f>
        <v>0.03331072331503977</v>
      </c>
      <c r="D10" s="2" t="inlineStr">
        <is>
          <t>無形資產佔比</t>
        </is>
      </c>
    </row>
    <row r="11">
      <c r="A11" s="4" t="inlineStr">
        <is>
          <t>ROE 股本回報率</t>
        </is>
      </c>
      <c r="B11" s="16">
        <f>IF(ISERROR(INDEX('Financials 財務數據'!$C$5:$C$23,MATCH("Profit for the Year",'Financials 財務數據'!$B$5:$B$23,0))/INDEX('Financials 財務數據'!$C$5:$C$23,MATCH("Total Equity",'Financials 財務數據'!$B$5:$B$23,0))),"n/a",INDEX('Financials 財務數據'!$C$5:$C$23,MATCH("Profit for the Year",'Financials 財務數據'!$B$5:$B$23,0))/INDEX('Financials 財務數據'!$C$5:$C$23,MATCH("Total Equity",'Financials 財務數據'!$B$5:$B$23,0)))</f>
        <v>0.4572560316888729</v>
      </c>
      <c r="C11" s="16">
        <f>IF(ISERROR(INDEX('Financials 財務數據'!$D$5:$D$23,MATCH("Profit for the Year",'Financials 財務數據'!$B$5:$B$23,0))/INDEX('Financials 財務數據'!$D$5:$D$23,MATCH("Total Equity",'Financials 財務數據'!$B$5:$B$23,0))),"n/a",INDEX('Financials 財務數據'!$D$5:$D$23,MATCH("Profit for the Year",'Financials 財務數據'!$B$5:$B$23,0))/INDEX('Financials 財務數據'!$D$5:$D$23,MATCH("Total Equity",'Financials 財務數據'!$B$5:$B$23,0)))</f>
        <v>0.01920828461666945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23824</v>
      </c>
      <c r="C5" s="19" t="n">
        <v>19266</v>
      </c>
    </row>
    <row r="6">
      <c r="A6" s="4" t="inlineStr">
        <is>
          <t>Gross Profit</t>
        </is>
      </c>
      <c r="B6" s="19" t="n">
        <v>8170</v>
      </c>
      <c r="C6" s="19" t="n">
        <v>-1079</v>
      </c>
    </row>
    <row r="7">
      <c r="A7" s="4" t="inlineStr">
        <is>
          <t>Profit Before Tax</t>
        </is>
      </c>
      <c r="B7" s="19" t="n">
        <v>-19210</v>
      </c>
      <c r="C7" s="19" t="n">
        <v>-36432</v>
      </c>
    </row>
    <row r="8">
      <c r="A8" s="4" t="inlineStr">
        <is>
          <t>Profit for the Year</t>
        </is>
      </c>
      <c r="B8" s="19" t="n">
        <v>115</v>
      </c>
      <c r="C8" s="19" t="n">
        <v>6349</v>
      </c>
    </row>
    <row r="9">
      <c r="A9" s="4" t="inlineStr">
        <is>
          <t>Total Assets</t>
        </is>
      </c>
      <c r="B9" s="19" t="n">
        <v>81085</v>
      </c>
      <c r="C9" s="19" t="n">
        <v>46280</v>
      </c>
    </row>
    <row r="10">
      <c r="A10" s="4" t="inlineStr">
        <is>
          <t>Total Equity</t>
        </is>
      </c>
      <c r="B10" s="19" t="n">
        <v>5987</v>
      </c>
      <c r="C10" s="19" t="n">
        <v>13885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2"/>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8" t="inlineStr">
        <is>
          <t>主題 Topic</t>
        </is>
      </c>
      <c r="B3" s="8" t="inlineStr">
        <is>
          <t>中文</t>
        </is>
      </c>
      <c r="C3" s="8" t="inlineStr">
        <is>
          <t>優先</t>
        </is>
      </c>
      <c r="D3" s="8" t="inlineStr">
        <is>
          <t>命中詞</t>
        </is>
      </c>
      <c r="E3" s="8" t="inlineStr">
        <is>
          <t>來源頁</t>
        </is>
      </c>
      <c r="F3" s="8" t="inlineStr">
        <is>
          <t>段落 Snippet</t>
        </is>
      </c>
    </row>
    <row r="4">
      <c r="A4" s="9" t="inlineStr">
        <is>
          <t>Fair Value Measurement</t>
        </is>
      </c>
      <c r="B4" s="9" t="inlineStr">
        <is>
          <t>公允價值計量</t>
        </is>
      </c>
      <c r="C4" s="20" t="inlineStr">
        <is>
          <t>high</t>
        </is>
      </c>
      <c r="D4" s="12" t="inlineStr">
        <is>
          <t>valuation technique</t>
        </is>
      </c>
      <c r="E4" s="12" t="inlineStr">
        <is>
          <t>PDF p.89 (印刷頁 88)</t>
        </is>
      </c>
      <c r="F4" s="12" t="inlineStr">
        <is>
          <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t>
        </is>
      </c>
    </row>
    <row r="5">
      <c r="A5" s="9" t="inlineStr">
        <is>
          <t>Fair Value Measurement</t>
        </is>
      </c>
      <c r="B5" s="9" t="inlineStr">
        <is>
          <t>公允價值計量</t>
        </is>
      </c>
      <c r="C5" s="20" t="inlineStr">
        <is>
          <t>high</t>
        </is>
      </c>
      <c r="D5" s="12" t="inlineStr">
        <is>
          <t>level 1</t>
        </is>
      </c>
      <c r="E5" s="12" t="inlineStr">
        <is>
          <t>PDF p.90 (印刷頁 89)</t>
        </is>
      </c>
      <c r="F5" s="12" t="inlineStr">
        <is>
          <t>tinued) Basis of measurement (continued)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6">
      <c r="A6" s="9" t="inlineStr">
        <is>
          <t>Fair Value Measurement</t>
        </is>
      </c>
      <c r="B6" s="9" t="inlineStr">
        <is>
          <t>公允價值計量</t>
        </is>
      </c>
      <c r="C6" s="20" t="inlineStr">
        <is>
          <t>high</t>
        </is>
      </c>
      <c r="D6" s="12" t="inlineStr">
        <is>
          <t>valuation technique</t>
        </is>
      </c>
      <c r="E6" s="12" t="inlineStr">
        <is>
          <t>PDF p.115 (印刷頁 114)</t>
        </is>
      </c>
      <c r="F6" s="12" t="inlineStr">
        <is>
          <t>value of the asset or liability is estimated by reference to the valuation performed by professional valuers. Information about the valuation techniques and inputs used in determining the fair value of various financial assets are disclosed in note 31 to the consolidated financial statements. The key assumptions concerning the future, and other key sources of estimation uncertainty at the end of the reporting period, that have a significant risk of causing a material adjustment to the carrying amounts of assets and liabilities</t>
        </is>
      </c>
    </row>
    <row r="7">
      <c r="A7" s="9" t="inlineStr">
        <is>
          <t>Fair Value Measurement</t>
        </is>
      </c>
      <c r="B7" s="9" t="inlineStr">
        <is>
          <t>公允價值計量</t>
        </is>
      </c>
      <c r="C7" s="20" t="inlineStr">
        <is>
          <t>high</t>
        </is>
      </c>
      <c r="D7" s="12" t="inlineStr">
        <is>
          <t>valuation technique</t>
        </is>
      </c>
      <c r="E7" s="12" t="inlineStr">
        <is>
          <t>PDF p.116 (印刷頁 115)</t>
        </is>
      </c>
      <c r="F7" s="12" t="inlineStr">
        <is>
          <t>ce and industry and sector performance of the equity investments. Judgement and estimation are required in establishing the relevant valuation techniques and the relevant inputs thereof. Changes in assumptions relating to these factor could result in material adjustments to the fair value of the Equity Investment. Impairment of non-financial assets (other than goodwill) The Group assesses whether there are any indicators of impairment for all non-financial assets at the end of each reporting period. Non-financial assets are tes</t>
        </is>
      </c>
    </row>
    <row r="8">
      <c r="A8" s="9" t="inlineStr">
        <is>
          <t>Fair Value Measurement</t>
        </is>
      </c>
      <c r="B8" s="9" t="inlineStr">
        <is>
          <t>公允價值計量</t>
        </is>
      </c>
      <c r="C8" s="20" t="inlineStr">
        <is>
          <t>high</t>
        </is>
      </c>
      <c r="D8" s="12" t="inlineStr">
        <is>
          <t>fair value hierarchy</t>
        </is>
      </c>
      <c r="E8" s="12" t="inlineStr">
        <is>
          <t>PDF p.140 (印刷頁 139)</t>
        </is>
      </c>
      <c r="F8" s="12" t="inlineStr">
        <is>
          <t>using the market comparison approach by the Valuer. The fair value measurement of the licenses is categorised within Level 2 of the fair value hierarchy. It was arrived at by reference to the average values of observable and comparable market transactions for similar assets. The fair value of these licenses was estimated to be approximately HK$1,500,000 as at 31 December 2025. Based on the impairment test results, management recognised an impairment loss of approximately HK$1,201,000 for the year ended 31 March 2026. On 24 Feb</t>
        </is>
      </c>
    </row>
    <row r="9">
      <c r="A9" s="9" t="inlineStr">
        <is>
          <t>Fair Value Measurement</t>
        </is>
      </c>
      <c r="B9" s="9" t="inlineStr">
        <is>
          <t>公允價值計量</t>
        </is>
      </c>
      <c r="C9" s="20" t="inlineStr">
        <is>
          <t>high</t>
        </is>
      </c>
      <c r="D9" s="12" t="inlineStr">
        <is>
          <t>fair value hierarchy</t>
        </is>
      </c>
      <c r="E9" s="12" t="inlineStr">
        <is>
          <t>PDF p.165 (印刷頁 164)</t>
        </is>
      </c>
      <c r="F9" s="12" t="inlineStr">
        <is>
          <t>nts of financial instruments measured at fair value at the end of the reporting period are categorised among the three levels of the fair value hierarchy defined in HKFRS 13 “Fair value measurement”, with the fair value of each financial instrument categorised in its entirety based on the lowest level of input that is significant to that fair value measurement. The levels are defined as follows: • Level 1 (highest level): quoted prices (unadjusted) in active markets for identical assets or liabilities that the Group can access</t>
        </is>
      </c>
    </row>
    <row r="10">
      <c r="A10" s="9" t="inlineStr">
        <is>
          <t>Fair Value Measurement</t>
        </is>
      </c>
      <c r="B10" s="9" t="inlineStr">
        <is>
          <t>公允價值計量</t>
        </is>
      </c>
      <c r="C10" s="20" t="inlineStr">
        <is>
          <t>high</t>
        </is>
      </c>
      <c r="D10" s="12" t="inlineStr">
        <is>
          <t>level 3</t>
        </is>
      </c>
      <c r="E10" s="12" t="inlineStr">
        <is>
          <t>PDF p.166 (印刷頁 165)</t>
        </is>
      </c>
      <c r="F10" s="12" t="inlineStr">
        <is>
          <t>rketability (“DLOM”) to the financial data of the Company as at the date of valuation to arrive at its fair value. Information about level 3 fair value measurements Significant Range of Relation of significant Carrying Valuation unobservable unobservable unobservable inputs to amount techniques input inputs fair value HK$’000 Financial assets at 300 Income approach Price earnings ratio 4–12 The higher PE ratio, the FVTOCI (2025: 2,625) (“PE ratio”) (2025: 4–39) higher fair value of the investment, and vice versa DLOM 25% The hi</t>
        </is>
      </c>
    </row>
    <row r="11">
      <c r="A11" s="9" t="inlineStr">
        <is>
          <t>Impairment Testing</t>
        </is>
      </c>
      <c r="B11" s="9" t="inlineStr">
        <is>
          <t>減值測試</t>
        </is>
      </c>
      <c r="C11" s="20" t="inlineStr">
        <is>
          <t>high</t>
        </is>
      </c>
      <c r="D11" s="12" t="inlineStr">
        <is>
          <t>impairment loss</t>
        </is>
      </c>
      <c r="E11" s="12" t="inlineStr">
        <is>
          <t>PDF p.5 (印刷頁 4)</t>
        </is>
      </c>
      <c r="F11" s="12" t="inlineStr">
        <is>
          <t>9.3 million for the year ended 31 March 2025. The additional net loss of HK$13.3 million is mainly attributable to a HK$15.5 million impairment loss of certain assets. Overall, the Board believes that the financing and fundraising activities undertaken over the past 12 months have significantly strengthened the Group’s foundation. These efforts have enabled us to reduce indebtedness, reinforce our balance sheet, sustain day-to-day operations, and seize selected investment opportunities, all of which have positioned us for the n</t>
        </is>
      </c>
    </row>
    <row r="12">
      <c r="A12" s="9" t="inlineStr">
        <is>
          <t>Impairment Testing</t>
        </is>
      </c>
      <c r="B12" s="9" t="inlineStr">
        <is>
          <t>減值測試</t>
        </is>
      </c>
      <c r="C12" s="20" t="inlineStr">
        <is>
          <t>high</t>
        </is>
      </c>
      <c r="D12" s="12" t="inlineStr">
        <is>
          <t>impairment loss</t>
        </is>
      </c>
      <c r="E12" s="12" t="inlineStr">
        <is>
          <t>PDF p.8 (印刷頁 7)</t>
        </is>
      </c>
      <c r="F12" s="12" t="inlineStr">
        <is>
          <t>HK$2.6 million for the year ended 31 March 2026, a positive swing of HK$6.4 million, mainly due to gain on disposal of subsidiaries. Impairment loss Impairment loss on intangible assets, contract assets, trade receivables and deposits and other receivables increased by approximately HK$15.5 million year-on-year, from HK$17.3 million for the year ended 31 March 2025 to HK$32.8 million for the year ended 31 March 2026. Administrative expenses Our administrative expenses reduced by approximately HK$1.1 million or 19.3% from approx</t>
        </is>
      </c>
    </row>
    <row r="13">
      <c r="A13" s="9" t="inlineStr">
        <is>
          <t>Impairment Testing</t>
        </is>
      </c>
      <c r="B13" s="9" t="inlineStr">
        <is>
          <t>減值測試</t>
        </is>
      </c>
      <c r="C13" s="20" t="inlineStr">
        <is>
          <t>high</t>
        </is>
      </c>
      <c r="D13" s="12" t="inlineStr">
        <is>
          <t>impairment loss</t>
        </is>
      </c>
      <c r="E13" s="12" t="inlineStr">
        <is>
          <t>PDF p.9 (印刷頁 8)</t>
        </is>
      </c>
      <c r="F13" s="12" t="inlineStr">
        <is>
          <t>9.3 million for the year ended 31 March 2025. The additional net loss of HK$13.3 million is mainly attributable to a HK$15.5 million impairment loss of certain assets. Impairment assessment on contract assets and trade receivables The Group performs impairment assessment under expected credit loss (“ECL”) model on financial assets (including trade and retention receivables, deposits and other receivables, contract assets, cash and cash equivalents) on an annual basis. The Group has made appropriate impairment adjustments on its</t>
        </is>
      </c>
    </row>
    <row r="14">
      <c r="A14" s="9" t="inlineStr">
        <is>
          <t>Impairment Testing</t>
        </is>
      </c>
      <c r="B14" s="9" t="inlineStr">
        <is>
          <t>減值測試</t>
        </is>
      </c>
      <c r="C14" s="20" t="inlineStr">
        <is>
          <t>high</t>
        </is>
      </c>
      <c r="D14" s="12" t="inlineStr">
        <is>
          <t>impairment loss</t>
        </is>
      </c>
      <c r="E14" s="12" t="inlineStr">
        <is>
          <t>PDF p.81 (印刷頁 80)</t>
        </is>
      </c>
      <c r="F14" s="12" t="inlineStr">
        <is>
          <t>19,266 23,824 Cost of sales (20,345) (15,654) Gross (loss)/profit (1,079) 8,170 Other income and gains/(losses), net 6 2,645 (3,788) Impairment loss on intangible assets (1,201) – Impairment loss on contract assets (25,038) (15,601) Impairment loss on trade receivables (4,975) (1,657) Impairment loss on deposit and other receivables (1,559) – Administrative expenses (4,680) (5,800) Finance costs 7 (545) (534) Loss before tax from continuing operations 8 (36,432) (19,210) Income tax expense 11 (246) (167) Loss for the year from</t>
        </is>
      </c>
    </row>
    <row r="15">
      <c r="A15" s="9" t="inlineStr">
        <is>
          <t>Impairment Testing</t>
        </is>
      </c>
      <c r="B15" s="9" t="inlineStr">
        <is>
          <t>減值測試</t>
        </is>
      </c>
      <c r="C15" s="20" t="inlineStr">
        <is>
          <t>high</t>
        </is>
      </c>
      <c r="D15" s="12" t="inlineStr">
        <is>
          <t>value in use</t>
        </is>
      </c>
      <c r="E15" s="12" t="inlineStr">
        <is>
          <t>PDF p.89 (印刷頁 88)</t>
        </is>
      </c>
      <c r="F15" s="12" t="inlineStr">
        <is>
          <t>measurements that have some similarities to fair value but are not fair value, such as net realisable value in HKAS 2 Inventories or value in use in HKAS 36 Impairment of Assets. 88 HAO BAI INTERNATIONAL (CAYMAN) LIMITED Annual Report 2025/26</t>
        </is>
      </c>
    </row>
    <row r="16">
      <c r="A16" s="9" t="inlineStr">
        <is>
          <t>Impairment Testing</t>
        </is>
      </c>
      <c r="B16" s="9" t="inlineStr">
        <is>
          <t>減值測試</t>
        </is>
      </c>
      <c r="C16" s="20" t="inlineStr">
        <is>
          <t>high</t>
        </is>
      </c>
      <c r="D16" s="12" t="inlineStr">
        <is>
          <t>impairment loss</t>
        </is>
      </c>
      <c r="E16" s="12" t="inlineStr">
        <is>
          <t>PDF p.91 (印刷頁 90)</t>
        </is>
      </c>
      <c r="F16" s="12" t="inlineStr">
        <is>
          <t>ancial position as set out in note 34 to the consolidated financial statements, an investment in a subsidiary is stated at cost less impairment loss, if any. The carrying amount of the investment is reduced to its recoverable amount on an individual basis, if it is higher than the recoverable amount. The results of the subsidiary are accounted for by the Company on the basis of dividends received and receivable. 90 HAO BAI INTERNATIONAL (CAYMAN) LIMITED Annual Report 2025/26</t>
        </is>
      </c>
    </row>
    <row r="17">
      <c r="A17" s="9" t="inlineStr">
        <is>
          <t>Impairment Testing</t>
        </is>
      </c>
      <c r="B17" s="9" t="inlineStr">
        <is>
          <t>減值測試</t>
        </is>
      </c>
      <c r="C17" s="20" t="inlineStr">
        <is>
          <t>high</t>
        </is>
      </c>
      <c r="D17" s="12" t="inlineStr">
        <is>
          <t>impairment test</t>
        </is>
      </c>
      <c r="E17" s="12" t="inlineStr">
        <is>
          <t>PDF p.92 (印刷頁 91)</t>
        </is>
      </c>
      <c r="F17" s="12" t="inlineStr">
        <is>
          <t>rcumstances indicate that it might be impaired. Goodwill is measured at cost less accumulated impairment losses. For the purposes of impairment testing, goodwill is allocated to each of the Group’s cash-generating units (or group of cash-generating units) that is expected to benefit from the synergies of the combination, which represent the lowest level at which the goodwill is monitored for internal management purposes and not larger than an operating segment. A cash-generating unit (or group of cash-generating units) to which</t>
        </is>
      </c>
    </row>
    <row r="18">
      <c r="A18" s="9" t="inlineStr">
        <is>
          <t>Impairment Testing</t>
        </is>
      </c>
      <c r="B18" s="9" t="inlineStr">
        <is>
          <t>減值測試</t>
        </is>
      </c>
      <c r="C18" s="20" t="inlineStr">
        <is>
          <t>high</t>
        </is>
      </c>
      <c r="D18" s="12" t="inlineStr">
        <is>
          <t>cash-generating unit</t>
        </is>
      </c>
      <c r="E18" s="12" t="inlineStr">
        <is>
          <t>PDF p.93 (印刷頁 92)</t>
        </is>
      </c>
      <c r="F18" s="12" t="inlineStr">
        <is>
          <t>2026 2. MATERIAL ACCOUNTING POLICY INFORMATION (continued) Business combination and goodwill (continued) On disposal of the relevant cash-generating unit or any of the cash-generating unit within the group of cash-generating units, the attributable amount of goodwill is included in the determination of the amount of profit or loss on disposal. When the Group disposes of an operation within the cash-generating unit (or a cash-generating unit within a group of cash-generating units), the amount of goodwill disposed of is measured</t>
        </is>
      </c>
    </row>
    <row r="19">
      <c r="A19" s="9" t="inlineStr">
        <is>
          <t>Impairment Testing</t>
        </is>
      </c>
      <c r="B19" s="9" t="inlineStr">
        <is>
          <t>減值測試</t>
        </is>
      </c>
      <c r="C19" s="20" t="inlineStr">
        <is>
          <t>high</t>
        </is>
      </c>
      <c r="D19" s="12" t="inlineStr">
        <is>
          <t>impairment loss</t>
        </is>
      </c>
      <c r="E19" s="12" t="inlineStr">
        <is>
          <t>PDF p.94 (印刷頁 93)</t>
        </is>
      </c>
      <c r="F19" s="12" t="inlineStr">
        <is>
          <t>tinued) Property, plant and equipment Property, plant and equipment are stated at cost less accumulated depreciation and accumulated impairment losses. The cost of an item of property, plant and equipment comprises its purchase price and any directly attributable costs of bringing the asset to its working condition and location for its intended use. Repairs and maintenance are charged to profit or loss during the period in which they are incurred. Depreciation is provided to write off the cost less accumulated impairment losses</t>
        </is>
      </c>
    </row>
    <row r="20">
      <c r="A20" s="9" t="inlineStr">
        <is>
          <t>Impairment Testing</t>
        </is>
      </c>
      <c r="B20" s="9" t="inlineStr">
        <is>
          <t>減值測試</t>
        </is>
      </c>
      <c r="C20" s="20" t="inlineStr">
        <is>
          <t>high</t>
        </is>
      </c>
      <c r="D20" s="12" t="inlineStr">
        <is>
          <t>impairment loss</t>
        </is>
      </c>
      <c r="E20" s="12" t="inlineStr">
        <is>
          <t>PDF p.106 (印刷頁 105)</t>
        </is>
      </c>
      <c r="F20" s="12" t="inlineStr">
        <is>
          <t>allocation of other costs directly related to fulfilling that contract. Before a provision is established, the group recognises any impairment loss on the assets associated with that contract. Contingent liabilities A contingent liability is a present obligation arising from past events but is not recognised because it is not probable that an outflow of resources embodying economic benefits will be required to settle the obligation or the amount of the obligation cannot be measured with sufficient reliability. Where the Group</t>
        </is>
      </c>
    </row>
    <row r="21">
      <c r="A21" s="9" t="inlineStr">
        <is>
          <t>Impairment Testing</t>
        </is>
      </c>
      <c r="B21" s="9" t="inlineStr">
        <is>
          <t>減值測試</t>
        </is>
      </c>
      <c r="C21" s="20" t="inlineStr">
        <is>
          <t>high</t>
        </is>
      </c>
      <c r="D21" s="12" t="inlineStr">
        <is>
          <t>impairment loss</t>
        </is>
      </c>
      <c r="E21" s="12" t="inlineStr">
        <is>
          <t>PDF p.107 (印刷頁 106)</t>
        </is>
      </c>
      <c r="F21" s="12" t="inlineStr">
        <is>
          <t>ssets and intangible assets with finite useful lives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right-of-use assets and intangible assets are estimated individually. When it is not possible to estimate the recoverable amount individually, the Group estimates the reco</t>
        </is>
      </c>
    </row>
    <row r="22">
      <c r="A22" s="9" t="inlineStr">
        <is>
          <t>Impairment Testing</t>
        </is>
      </c>
      <c r="B22" s="9" t="inlineStr">
        <is>
          <t>減值測試</t>
        </is>
      </c>
      <c r="C22" s="20" t="inlineStr">
        <is>
          <t>high</t>
        </is>
      </c>
      <c r="D22" s="12" t="inlineStr">
        <is>
          <t>impairment loss</t>
        </is>
      </c>
      <c r="E22" s="12" t="inlineStr">
        <is>
          <t>PDF p.109 (印刷頁 108)</t>
        </is>
      </c>
      <c r="F22" s="12" t="inlineStr">
        <is>
          <t>produce inventories. Subsequently, the right-of-use asset is measured at cost less any accumulated depreciation and any accumulated impairment losses and adjusted for any remeasurement of the lease liability. Depreciation is provided on a straight-line basis over the shorter of the lease term and the estimated useful lives at the annual rates/useful lives of the right-of-use asset as follows: Office premises Over the term of lease At the commencement date of a lease, the Group recognises and measures the lease liability at the</t>
        </is>
      </c>
    </row>
    <row r="23">
      <c r="A23" s="9" t="inlineStr">
        <is>
          <t>Impairment Testing</t>
        </is>
      </c>
      <c r="B23" s="9" t="inlineStr">
        <is>
          <t>減值測試</t>
        </is>
      </c>
      <c r="C23" s="20" t="inlineStr">
        <is>
          <t>high</t>
        </is>
      </c>
      <c r="D23" s="12" t="inlineStr">
        <is>
          <t>impairment loss</t>
        </is>
      </c>
      <c r="E23" s="12" t="inlineStr">
        <is>
          <t>PDF p.116 (印刷頁 115)</t>
        </is>
      </c>
      <c r="F23" s="12" t="inlineStr">
        <is>
          <t>continued) Key sources of estimation uncertainty (continued) Provision for impairment of trade and other receivables The Group makes impairment loss for bad and doubtful debts based on assessments of the recoverability of the trade and other receivables, including the current creditworthiness and the past collection history of each debtor. Impairments arise where events or changes in circumstances indicate that the balances may not be collectible. The identification of bad and doubtful debts requires the use of judgement and es</t>
        </is>
      </c>
    </row>
    <row r="24">
      <c r="A24" s="9" t="inlineStr">
        <is>
          <t>Impairment Testing</t>
        </is>
      </c>
      <c r="B24" s="9" t="inlineStr">
        <is>
          <t>減值測試</t>
        </is>
      </c>
      <c r="C24" s="20" t="inlineStr">
        <is>
          <t>high</t>
        </is>
      </c>
      <c r="D24" s="12" t="inlineStr">
        <is>
          <t>impairment loss</t>
        </is>
      </c>
      <c r="E24" s="12" t="inlineStr">
        <is>
          <t>PDF p.124 (印刷頁 123)</t>
        </is>
      </c>
      <c r="F24" s="12" t="inlineStr">
        <is>
          <t>ange losses, net (7) (386) Fair value loss on contingent consideration receivable – (5,611) Gain on disposal of subsidiaries 2,649 – Impairment loss on goodwill – (2,739) Loss on early termination of leases – (8) Loss on provision for onerous contract (15) – Sundry income 18 241 Waive of other payables and accruals – 4,715 2,645 (3,788) 7. FINANCE COSTS 2026 2025 HK$’000 HK$’000 (Restated) Continuing operations Interest on bank borrowings 211 138 Interest on bank overdrafts 10 – Interest on other borrowings 314 379 Interest on</t>
        </is>
      </c>
    </row>
    <row r="25">
      <c r="A25" s="9" t="inlineStr">
        <is>
          <t>Impairment Testing</t>
        </is>
      </c>
      <c r="B25" s="9" t="inlineStr">
        <is>
          <t>減值測試</t>
        </is>
      </c>
      <c r="C25" s="20" t="inlineStr">
        <is>
          <t>high</t>
        </is>
      </c>
      <c r="D25" s="12" t="inlineStr">
        <is>
          <t>impairment loss</t>
        </is>
      </c>
      <c r="E25" s="12" t="inlineStr">
        <is>
          <t>PDF p.125 (印刷頁 124)</t>
        </is>
      </c>
      <c r="F25" s="12" t="inlineStr">
        <is>
          <t>costs relating to management contracting services recognised as expenses* 19,025 15,654 Depreciation of right-of-use assets 153 983 Impairment loss on goodwill – 2,739 Impairment loss on intangible assets 1,201 – Impairment loss on trade receivables 4,975 1,657 Impairment loss on other receivables 1,559 – Impairment loss on contract assets 25,038 15,601 Loss on provision for onerous contract 15 – Loss on early termination of leases – 8 * Contract costs included approximately HK$2,462,000 (2025: HK$2,561,000) and approximately</t>
        </is>
      </c>
    </row>
    <row r="26">
      <c r="A26" s="9" t="inlineStr">
        <is>
          <t>Impairment Testing</t>
        </is>
      </c>
      <c r="B26" s="9" t="inlineStr">
        <is>
          <t>減值測試</t>
        </is>
      </c>
      <c r="C26" s="20" t="inlineStr">
        <is>
          <t>high</t>
        </is>
      </c>
      <c r="D26" s="12" t="inlineStr">
        <is>
          <t>impairment test</t>
        </is>
      </c>
      <c r="E26" s="12" t="inlineStr">
        <is>
          <t>PDF p.135 (印刷頁 134)</t>
        </is>
      </c>
      <c r="F26" s="12" t="inlineStr">
        <is>
          <t>As at 31 March 2025, goodwill has been allocated to the consultancy services business, management contracting services business for impairment testing purposes. 134 HAO BAI INTERNATIONAL (CAYMAN) LIMITED Annual Report 2025/26</t>
        </is>
      </c>
    </row>
    <row r="27">
      <c r="A27" s="9" t="inlineStr">
        <is>
          <t>Impairment Testing</t>
        </is>
      </c>
      <c r="B27" s="9" t="inlineStr">
        <is>
          <t>減值測試</t>
        </is>
      </c>
      <c r="C27" s="20" t="inlineStr">
        <is>
          <t>high</t>
        </is>
      </c>
      <c r="D27" s="12" t="inlineStr">
        <is>
          <t>impairment loss</t>
        </is>
      </c>
      <c r="E27" s="12" t="inlineStr">
        <is>
          <t>PDF p.136 (印刷頁 135)</t>
        </is>
      </c>
      <c r="F27" s="12" t="inlineStr">
        <is>
          <t>nimal, therefore the goodwill has been fully impaired during the year ended 31 March 2025. Based on the above impairment assessment, impairment loss of goodwill amounted to approximately HK$2,340,000 was recognised by the Group and charged to profit or loss for the year ended 31 March 2025. The carrying amount of goodwill as at 31 March 2025 was HK$Nil. During the year ended 31 March 2026, the Group has been disposed City Key Group. Shenzhen Jin Kai Culture Communication Goodwill of approximately HK$399,000 arose from the acqui</t>
        </is>
      </c>
    </row>
    <row r="28">
      <c r="A28" s="9" t="inlineStr">
        <is>
          <t>Impairment Testing</t>
        </is>
      </c>
      <c r="B28" s="9" t="inlineStr">
        <is>
          <t>減值測試</t>
        </is>
      </c>
      <c r="C28" s="20" t="inlineStr">
        <is>
          <t>high</t>
        </is>
      </c>
      <c r="D28" s="12" t="inlineStr">
        <is>
          <t>recoverable amount</t>
        </is>
      </c>
      <c r="E28" s="12" t="inlineStr">
        <is>
          <t>PDF p.137 (印刷頁 136)</t>
        </is>
      </c>
      <c r="F28" s="12" t="inlineStr">
        <is>
          <t>iod has ended. The Actual Profit during the Guarantee Period was below the Guaranteed Profit. However, the management considered the recoverable amount of the contingent consideration receivable was close to zero based on the credit assessment on the Vendor. Therefore, the fair value was determined to be zero at the end of the Guarantee Period. During the year ended 31 March 2026, the management has considered these receivable were irrecoverable and fully impaired and derecognised. 136 HAO BAI INTERNATIONAL (CAYMAN) LIMITED Ann</t>
        </is>
      </c>
    </row>
    <row r="29">
      <c r="A29" s="9" t="inlineStr">
        <is>
          <t>Impairment Testing</t>
        </is>
      </c>
      <c r="B29" s="9" t="inlineStr">
        <is>
          <t>減值測試</t>
        </is>
      </c>
      <c r="C29" s="20" t="inlineStr">
        <is>
          <t>high</t>
        </is>
      </c>
      <c r="D29" s="12" t="inlineStr">
        <is>
          <t>impairment test</t>
        </is>
      </c>
      <c r="E29" s="12" t="inlineStr">
        <is>
          <t>PDF p.140 (印刷頁 139)</t>
        </is>
      </c>
      <c r="F29" s="12" t="inlineStr">
        <is>
          <t>2026 19. INTANGIBLE ASSETS (continued) Notes: (continued) (a) Asset acquisition (continued) As at 31 March 2025, for the purpose of impairment testing, the Group’s management engaged a professional valuer, Weisi Limited (the “Valuer”), to assess the fair value of its four construction engineering works qualification licenses in accordance with HKAS 36 Impairment of Assets. The Valuer conducted the valuation as at the acquisition date, 2 October 2024, adopting the market approach by referencing observable and comparable market</t>
        </is>
      </c>
    </row>
    <row r="30">
      <c r="A30" s="9" t="inlineStr">
        <is>
          <t>Impairment Testing</t>
        </is>
      </c>
      <c r="B30" s="9" t="inlineStr">
        <is>
          <t>減值測試</t>
        </is>
      </c>
      <c r="C30" s="20" t="inlineStr">
        <is>
          <t>high</t>
        </is>
      </c>
      <c r="D30" s="12" t="inlineStr">
        <is>
          <t>impairment loss</t>
        </is>
      </c>
      <c r="E30" s="12" t="inlineStr">
        <is>
          <t>PDF p.152 (印刷頁 151)</t>
        </is>
      </c>
      <c r="F30" s="12" t="inlineStr">
        <is>
          <t>228 (30,083) (18,928) Depreciation 153 983 Fair value loss on contingent consideration receivable – 5,611 Interest expenses 545 534 Impairment loss on goodwill – 2,739 Impairment loss on intangible assets 1,201 – Impairment loss on trade receivables 4,975 1,657 Impairment loss on contract assets 25,038 15,601 Impairment loss on other receivables 1,559 – Loss on provision for onerous contract 15 – Gain on disposal of subsidiaries (2,649) – Loss on early termination of leases – 8 Waiver of other payables and accruals – (4,715) 7</t>
        </is>
      </c>
    </row>
    <row r="31">
      <c r="A31" s="9" t="inlineStr">
        <is>
          <t>Impairment Testing</t>
        </is>
      </c>
      <c r="B31" s="9" t="inlineStr">
        <is>
          <t>減值測試</t>
        </is>
      </c>
      <c r="C31" s="20" t="inlineStr">
        <is>
          <t>high</t>
        </is>
      </c>
      <c r="D31" s="12" t="inlineStr">
        <is>
          <t>impairment loss</t>
        </is>
      </c>
      <c r="E31" s="12" t="inlineStr">
        <is>
          <t>PDF p.161 (印刷頁 160)</t>
        </is>
      </c>
      <c r="F31" s="12" t="inlineStr">
        <is>
          <t>(creditimpaired) impaired) Total HK$’000 HK$’000 HK$’000 At 1 April 2024 256 10,997 11,253 Transfer to credit-impaired (160) 160 – Impairment losses recognised – 1,657 1,657 At 31 March 2025 and 1 April 2025 96 12,814 12,910 Transfer to not credit-impaired 95 (95) – Impairment losses recognised (170) 5,145 4,975 Eliminated on disposal of subsidiaries – (7,080) (7,080) Written off – (8,900) (8,900) At 31 March 2026 21 1,884 1,905 The following table shows the movement in lifetime ECL that has been recognised for contract asset</t>
        </is>
      </c>
    </row>
    <row r="32">
      <c r="A32" s="9" t="inlineStr">
        <is>
          <t>Impairment Testing</t>
        </is>
      </c>
      <c r="B32" s="9" t="inlineStr">
        <is>
          <t>減值測試</t>
        </is>
      </c>
      <c r="C32" s="20" t="inlineStr">
        <is>
          <t>high</t>
        </is>
      </c>
      <c r="D32" s="12" t="inlineStr">
        <is>
          <t>impairment loss</t>
        </is>
      </c>
      <c r="E32" s="12" t="inlineStr">
        <is>
          <t>PDF p.162 (印刷頁 161)</t>
        </is>
      </c>
      <c r="F32" s="12" t="inlineStr">
        <is>
          <t>- (credit- 12m ECL impaired) impaired) Total HK$’000 HK$’000 HK$’000 HK$’000 At 1 April 2024, 31 March 2025 and 1 April 2025 – – – – Impairment loss recognised 1 14 1,544 1,559 At 31 March 2026 1 14 1,544 1,559 During the year ended 31 March 2026, management assessed a customer with deposits and other receivables past due for over two years and determined that there was no realistic prospect of recovery. Accordingly, the Group has fully impaired the relevant deposits and other receivables, which have been classified as credit-i</t>
        </is>
      </c>
    </row>
    <row r="33">
      <c r="A33" s="9" t="inlineStr">
        <is>
          <t>Intangible Assets &amp; Goodwill</t>
        </is>
      </c>
      <c r="B33" s="9" t="inlineStr">
        <is>
          <t>無形資產及商譽</t>
        </is>
      </c>
      <c r="C33" s="20" t="inlineStr">
        <is>
          <t>high</t>
        </is>
      </c>
      <c r="D33" s="12" t="inlineStr">
        <is>
          <t>intangible asset</t>
        </is>
      </c>
      <c r="E33" s="12" t="inlineStr">
        <is>
          <t>PDF p.8 (印刷頁 7)</t>
        </is>
      </c>
      <c r="F33" s="12" t="inlineStr">
        <is>
          <t>1 March 2026, a positive swing of HK$6.4 million, mainly due to gain on disposal of subsidiaries. Impairment loss Impairment loss on intangible assets, contract assets, trade receivables and deposits and other receivables increased by approximately HK$15.5 million year-on-year, from HK$17.3 million for the year ended 31 March 2025 to HK$32.8 million for the year ended 31 March 2026. Administrative expenses Our administrative expenses reduced by approximately HK$1.1 million or 19.3% from approximately HK$5.8 million for the year</t>
        </is>
      </c>
    </row>
    <row r="34">
      <c r="A34" s="9" t="inlineStr">
        <is>
          <t>Intangible Assets &amp; Goodwill</t>
        </is>
      </c>
      <c r="B34" s="9" t="inlineStr">
        <is>
          <t>無形資產及商譽</t>
        </is>
      </c>
      <c r="C34" s="20" t="inlineStr">
        <is>
          <t>high</t>
        </is>
      </c>
      <c r="D34" s="12" t="inlineStr">
        <is>
          <t>licence</t>
        </is>
      </c>
      <c r="E34" s="12" t="inlineStr">
        <is>
          <t>PDF p.45 (印刷頁 44)</t>
        </is>
      </c>
      <c r="F34" s="12" t="inlineStr">
        <is>
          <t>e who share our moral values and standards. Regular supplier assessments are conducted, including requests for basic certifications, licences, and product catalogues, to ensure that suppliers are not only committed to product cost and quality but also have not contravened any applicable laws or practices. In principle, procurement for construction projects follows established trade practices and industry norms, by inviting multiple tenderers based on contract value, time, amount involved, and any technical or time constraints.</t>
        </is>
      </c>
    </row>
    <row r="35">
      <c r="A35" s="9" t="inlineStr">
        <is>
          <t>Intangible Assets &amp; Goodwill</t>
        </is>
      </c>
      <c r="B35" s="9" t="inlineStr">
        <is>
          <t>無形資產及商譽</t>
        </is>
      </c>
      <c r="C35" s="20" t="inlineStr">
        <is>
          <t>high</t>
        </is>
      </c>
      <c r="D35" s="12" t="inlineStr">
        <is>
          <t>patent</t>
        </is>
      </c>
      <c r="E35" s="12" t="inlineStr">
        <is>
          <t>PDF p.46 (印刷頁 45)</t>
        </is>
      </c>
      <c r="F35" s="12" t="inlineStr">
        <is>
          <t>華人民共和國產品質量法》), the Law of the People’s Republic of China on the Protection of Consumer Rights and Interests (《中華人民共和國消費者權益保護法》), the Patent Law of the People’s Republic of China (《中華人民共和國專利法》), the Sale of Goods Ordinance (Cap. 26 of the Laws of Hong Kong), the Copyright Ordinance (Cap. 528), the Prevention of Copyright Piracy Ordinance (Cap. 544), the Personal Data (Privacy) Ordinance (Cap. 486), and all other relevant regulations, in order to deliver a high standard of service to its customers. During the Reporting Period, th</t>
        </is>
      </c>
    </row>
    <row r="36">
      <c r="A36" s="9" t="inlineStr">
        <is>
          <t>Intangible Assets &amp; Goodwill</t>
        </is>
      </c>
      <c r="B36" s="9" t="inlineStr">
        <is>
          <t>無形資產及商譽</t>
        </is>
      </c>
      <c r="C36" s="20" t="inlineStr">
        <is>
          <t>high</t>
        </is>
      </c>
      <c r="D36" s="12" t="inlineStr">
        <is>
          <t>intangible asset</t>
        </is>
      </c>
      <c r="E36" s="12" t="inlineStr">
        <is>
          <t>PDF p.81 (印刷頁 80)</t>
        </is>
      </c>
      <c r="F36" s="12" t="inlineStr">
        <is>
          <t>of sales (20,345) (15,654) Gross (loss)/profit (1,079) 8,170 Other income and gains/(losses), net 6 2,645 (3,788) Impairment loss on intangible assets (1,201) – Impairment loss on contract assets (25,038) (15,601) Impairment loss on trade receivables (4,975) (1,657) Impairment loss on deposit and other receivables (1,559) – Administrative expenses (4,680) (5,800) Finance costs 7 (545) (534) Loss before tax from continuing operations 8 (36,432) (19,210) Income tax expense 11 (246) (167) Loss for the year from continuing operatio</t>
        </is>
      </c>
    </row>
    <row r="37">
      <c r="A37" s="9" t="inlineStr">
        <is>
          <t>Intangible Assets &amp; Goodwill</t>
        </is>
      </c>
      <c r="B37" s="9" t="inlineStr">
        <is>
          <t>無形資產及商譽</t>
        </is>
      </c>
      <c r="C37" s="20" t="inlineStr">
        <is>
          <t>high</t>
        </is>
      </c>
      <c r="D37" s="12" t="inlineStr">
        <is>
          <t>intangible asset</t>
        </is>
      </c>
      <c r="E37" s="12" t="inlineStr">
        <is>
          <t>PDF p.83 (印刷頁 82)</t>
        </is>
      </c>
      <c r="F37" s="12" t="inlineStr">
        <is>
          <t>nt assets Property, plant and equipment 14 – 3 Right-of-use assets 15 153 – Goodwill 16 – – Equity investment at FVTOCI 18 300 2,625 Intangible assets 19 170 2,701 623 5,329 Current assets Inventories 20 78 – Contract assets 21 27,248 38,923 Trade and other receivables, deposits and prepayments 22 2,926 35,014 Bank balances and cash 23 15,405 1,819 45,657 75,756 Total assets 46,280 81,085 Current liabilities Contract liabilities 21 – 3,183 Trade and other payables and accruals 24 28,065 65,620 Bank and other borrowings 25 3,337</t>
        </is>
      </c>
    </row>
    <row r="38">
      <c r="A38" s="9" t="inlineStr">
        <is>
          <t>Intangible Assets &amp; Goodwill</t>
        </is>
      </c>
      <c r="B38" s="9" t="inlineStr">
        <is>
          <t>無形資產及商譽</t>
        </is>
      </c>
      <c r="C38" s="20" t="inlineStr">
        <is>
          <t>high</t>
        </is>
      </c>
      <c r="D38" s="12" t="inlineStr">
        <is>
          <t>goodwill</t>
        </is>
      </c>
      <c r="E38" s="12" t="inlineStr">
        <is>
          <t>PDF p.90 (印刷頁 89)</t>
        </is>
      </c>
      <c r="F38" s="12" t="inlineStr">
        <is>
          <t>e of any investment retained in that subsidiary and (ii) the Company’s share of the net assets of that subsidiary plus any remaining goodwill and any accumulated translation reserve relating to that subsidiary. Intragroup transactions, balances and unrealised profits are eliminated. Unrealised losses are also eliminated unless the transaction provides evidence of an impairment of the asset transferred. Accounting policies of subsidiaries have been changed where necessary to ensure consistency with the policies adopted by the Gr</t>
        </is>
      </c>
    </row>
    <row r="39">
      <c r="A39" s="9" t="inlineStr">
        <is>
          <t>Intangible Assets &amp; Goodwill</t>
        </is>
      </c>
      <c r="B39" s="9" t="inlineStr">
        <is>
          <t>無形資產及商譽</t>
        </is>
      </c>
      <c r="C39" s="20" t="inlineStr">
        <is>
          <t>high</t>
        </is>
      </c>
      <c r="D39" s="12" t="inlineStr">
        <is>
          <t>goodwill</t>
        </is>
      </c>
      <c r="E39" s="12" t="inlineStr">
        <is>
          <t>PDF p.91 (印刷頁 90)</t>
        </is>
      </c>
      <c r="F39" s="12"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40">
      <c r="A40" s="9" t="inlineStr">
        <is>
          <t>Intangible Assets &amp; Goodwill</t>
        </is>
      </c>
      <c r="B40" s="9" t="inlineStr">
        <is>
          <t>無形資產及商譽</t>
        </is>
      </c>
      <c r="C40" s="20" t="inlineStr">
        <is>
          <t>high</t>
        </is>
      </c>
      <c r="D40" s="12" t="inlineStr">
        <is>
          <t>goodwill</t>
        </is>
      </c>
      <c r="E40" s="12" t="inlineStr">
        <is>
          <t>PDF p.92 (印刷頁 91)</t>
        </is>
      </c>
      <c r="F40" s="12" t="inlineStr">
        <is>
          <t>LIDATED FINANCIAL STATEMENTS Year ended 31 March 2026 2. MATERIAL ACCOUNTING POLICY INFORMATION (continued) Business combination and goodwill The acquisition method is used to account for the acquisition of a subsidiary in a business combination. The consideration transferred in a business combination is measured at the acquisition-date fair value of the assets given, equity instruments issued, liabilities incurred and any contingent consideration. Acquisition-related costs are recognised as expenses in the periods in which the</t>
        </is>
      </c>
    </row>
    <row r="41">
      <c r="A41" s="9" t="inlineStr">
        <is>
          <t>Intangible Assets &amp; Goodwill</t>
        </is>
      </c>
      <c r="B41" s="9" t="inlineStr">
        <is>
          <t>無形資產及商譽</t>
        </is>
      </c>
      <c r="C41" s="20" t="inlineStr">
        <is>
          <t>high</t>
        </is>
      </c>
      <c r="D41" s="12" t="inlineStr">
        <is>
          <t>goodwill</t>
        </is>
      </c>
      <c r="E41" s="12" t="inlineStr">
        <is>
          <t>PDF p.93 (印刷頁 92)</t>
        </is>
      </c>
      <c r="F41" s="12" t="inlineStr">
        <is>
          <t>LIDATED FINANCIAL STATEMENTS Year ended 31 March 2026 2. MATERIAL ACCOUNTING POLICY INFORMATION (continued) Business combination and goodwill (continued) On disposal of the relevant cash-generating unit or any of the cash-generating unit within the group of cash-generating units, the attributable amount of goodwill is included in the determination of the amount of profit or loss on disposal. When the Group disposes of an operation within the cash-generating unit (or a cash-generating unit within a group of cash-generating units</t>
        </is>
      </c>
    </row>
    <row r="42">
      <c r="A42" s="9" t="inlineStr">
        <is>
          <t>Intangible Assets &amp; Goodwill</t>
        </is>
      </c>
      <c r="B42" s="9" t="inlineStr">
        <is>
          <t>無形資產及商譽</t>
        </is>
      </c>
      <c r="C42" s="20" t="inlineStr">
        <is>
          <t>high</t>
        </is>
      </c>
      <c r="D42" s="12" t="inlineStr">
        <is>
          <t>intangible asset</t>
        </is>
      </c>
      <c r="E42" s="12" t="inlineStr">
        <is>
          <t>PDF p.94 (印刷頁 93)</t>
        </is>
      </c>
      <c r="F42" s="12" t="inlineStr">
        <is>
          <t>is determined as the difference between the sales proceeds and the carrying amount of the asset and is recognsied in profit or loss. Intangible assets (other than goodwill) Intangible assets acquired separately are measured on initial recognition at cost. The cost of intangible assets acquired in a business combination is the fair value at the date of acquisition. The useful lives of intangible assets are assessed to be either finite or indefinite. Intangible assets with finite lives are subsequently amortised over the useful e</t>
        </is>
      </c>
    </row>
    <row r="43">
      <c r="A43" s="9" t="inlineStr">
        <is>
          <t>Intangible Assets &amp; Goodwill</t>
        </is>
      </c>
      <c r="B43" s="9" t="inlineStr">
        <is>
          <t>無形資產及商譽</t>
        </is>
      </c>
      <c r="C43" s="20" t="inlineStr">
        <is>
          <t>high</t>
        </is>
      </c>
      <c r="D43" s="12" t="inlineStr">
        <is>
          <t>intangible asset</t>
        </is>
      </c>
      <c r="E43" s="12" t="inlineStr">
        <is>
          <t>PDF p.107 (印刷頁 106)</t>
        </is>
      </c>
      <c r="F43" s="12" t="inlineStr">
        <is>
          <t>mely rare circumstances where no reliable estimate can be made. Impairment on property, plant and equipment, right-of-use assets and intangible assets At the end of the reporting period, the Group reviews the carrying amounts of its property, plant and equipment, right-of-use assets and intangible assets with finite useful lives to determine whether there is any indication that these assets have suffered an impairment loss. If any such indication exists, the recoverable amount of the relevant asset is estimated in order to dete</t>
        </is>
      </c>
    </row>
    <row r="44">
      <c r="A44" s="9" t="inlineStr">
        <is>
          <t>Intangible Assets &amp; Goodwill</t>
        </is>
      </c>
      <c r="B44" s="9" t="inlineStr">
        <is>
          <t>無形資產及商譽</t>
        </is>
      </c>
      <c r="C44" s="20" t="inlineStr">
        <is>
          <t>high</t>
        </is>
      </c>
      <c r="D44" s="12" t="inlineStr">
        <is>
          <t>useful life</t>
        </is>
      </c>
      <c r="E44" s="12" t="inlineStr">
        <is>
          <t>PDF p.110 (印刷頁 109)</t>
        </is>
      </c>
      <c r="F44" s="12" t="inlineStr">
        <is>
          <t>alue is recognised as a deduction from the carrying amount of the relevant asset and is released to profit or loss over the expected useful life of the relevant asset by equal annual instalments. Employee benefits Short term employee benefits Salaries, annual bonuses, paid annual leave and the cost of non-monetary benefits are accrued in the period in which the associated services are rendered by employees. Defined contribution plans Pension obligations The Group contributes to defined contribution retirement schemes which are</t>
        </is>
      </c>
    </row>
    <row r="45">
      <c r="A45" s="9" t="inlineStr">
        <is>
          <t>Intangible Assets &amp; Goodwill</t>
        </is>
      </c>
      <c r="B45" s="9" t="inlineStr">
        <is>
          <t>無形資產及商譽</t>
        </is>
      </c>
      <c r="C45" s="20" t="inlineStr">
        <is>
          <t>high</t>
        </is>
      </c>
      <c r="D45" s="12" t="inlineStr">
        <is>
          <t>goodwill</t>
        </is>
      </c>
      <c r="E45" s="12" t="inlineStr">
        <is>
          <t>PDF p.111 (印刷頁 110)</t>
        </is>
      </c>
      <c r="F45" s="12" t="inlineStr">
        <is>
          <t>s and their carrying amounts in the consolidated financial statements. However, any deferred tax arising from initial recognition of goodwill, or other asset or liability in a transaction other than a business combination that at the time of the transaction affects neither the accounting profit nor taxable profit or loss and does not give arise to equal taxable and deductible temporary differences is not recognised. The deferred tax assets and liabilities are measured at the tax rates that are expected to apply to the period wh</t>
        </is>
      </c>
    </row>
    <row r="46">
      <c r="A46" s="9" t="inlineStr">
        <is>
          <t>Intangible Assets &amp; Goodwill</t>
        </is>
      </c>
      <c r="B46" s="9" t="inlineStr">
        <is>
          <t>無形資產及商譽</t>
        </is>
      </c>
      <c r="C46" s="20" t="inlineStr">
        <is>
          <t>high</t>
        </is>
      </c>
      <c r="D46" s="12" t="inlineStr">
        <is>
          <t>goodwill</t>
        </is>
      </c>
      <c r="E46" s="12" t="inlineStr">
        <is>
          <t>PDF p.116 (印刷頁 115)</t>
        </is>
      </c>
      <c r="F46" s="12" t="inlineStr">
        <is>
          <t>ctor could result in material adjustments to the fair value of the Equity Investment. Impairment of non-financial assets (other than goodwill) The Group assesses whether there are any indicators of impairment for all non-financial assets at the end of each reporting period. Non-financial assets are tested for impairment when there are indicators that the carrying amounts may not be recoverable. An impairment exists when the carrying value of an asset or a cash-generating unit exceeds its recoverable amount, which is the higher</t>
        </is>
      </c>
    </row>
    <row r="47">
      <c r="A47" s="9" t="inlineStr">
        <is>
          <t>Intangible Assets &amp; Goodwill</t>
        </is>
      </c>
      <c r="B47" s="9" t="inlineStr">
        <is>
          <t>無形資產及商譽</t>
        </is>
      </c>
      <c r="C47" s="20" t="inlineStr">
        <is>
          <t>high</t>
        </is>
      </c>
      <c r="D47" s="12" t="inlineStr">
        <is>
          <t>goodwill</t>
        </is>
      </c>
      <c r="E47" s="12" t="inlineStr">
        <is>
          <t>PDF p.117 (印刷頁 116)</t>
        </is>
      </c>
      <c r="F47" s="12" t="inlineStr">
        <is>
          <t>esource allocation and performance assessment. The assets of the Group are allocated to reportable and operating segments except for goodwill, contingent consideration receivable, certain of other receivables, deposits and prepayments, equity investment at FVTOCI and bank balances and cash. The liabilities of the Group are allocated to reportable and operating segments except for bank and other borrowings and other payables and accruals. 116 HAO BAI INTERNATIONAL (CAYMAN) LIMITED Annual Report 2025/26</t>
        </is>
      </c>
    </row>
    <row r="48">
      <c r="A48" s="9" t="inlineStr">
        <is>
          <t>Intangible Assets &amp; Goodwill</t>
        </is>
      </c>
      <c r="B48" s="9" t="inlineStr">
        <is>
          <t>無形資產及商譽</t>
        </is>
      </c>
      <c r="C48" s="20" t="inlineStr">
        <is>
          <t>high</t>
        </is>
      </c>
      <c r="D48" s="12" t="inlineStr">
        <is>
          <t>goodwill</t>
        </is>
      </c>
      <c r="E48" s="12" t="inlineStr">
        <is>
          <t>PDF p.124 (印刷頁 123)</t>
        </is>
      </c>
      <c r="F48" s="12" t="inlineStr">
        <is>
          <t>) (386) Fair value loss on contingent consideration receivable – (5,611) Gain on disposal of subsidiaries 2,649 – Impairment loss on goodwill – (2,739) Loss on early termination of leases – (8) Loss on provision for onerous contract (15) – Sundry income 18 241 Waive of other payables and accruals – 4,715 2,645 (3,788) 7. FINANCE COSTS 2026 2025 HK$’000 HK$’000 (Restated) Continuing operations Interest on bank borrowings 211 138 Interest on bank overdrafts 10 – Interest on other borrowings 314 379 Interest on lease liabilities 1</t>
        </is>
      </c>
    </row>
    <row r="49">
      <c r="A49" s="9" t="inlineStr">
        <is>
          <t>Intangible Assets &amp; Goodwill</t>
        </is>
      </c>
      <c r="B49" s="9" t="inlineStr">
        <is>
          <t>無形資產及商譽</t>
        </is>
      </c>
      <c r="C49" s="20" t="inlineStr">
        <is>
          <t>high</t>
        </is>
      </c>
      <c r="D49" s="12" t="inlineStr">
        <is>
          <t>intangible asset</t>
        </is>
      </c>
      <c r="E49" s="12" t="inlineStr">
        <is>
          <t>PDF p.125 (印刷頁 124)</t>
        </is>
      </c>
      <c r="F49" s="12" t="inlineStr">
        <is>
          <t>gnised as expenses* 19,025 15,654 Depreciation of right-of-use assets 153 983 Impairment loss on goodwill – 2,739 Impairment loss on intangible assets 1,201 – Impairment loss on trade receivables 4,975 1,657 Impairment loss on other receivables 1,559 – Impairment loss on contract assets 25,038 15,601 Loss on provision for onerous contract 15 – Loss on early termination of leases – 8 * Contract costs included approximately HK$2,462,000 (2025: HK$2,561,000) and approximately HK$16,563,000 (2025: HK$11,921,000) relating to the con</t>
        </is>
      </c>
    </row>
    <row r="50">
      <c r="A50" s="9" t="inlineStr">
        <is>
          <t>Intangible Assets &amp; Goodwill</t>
        </is>
      </c>
      <c r="B50" s="9" t="inlineStr">
        <is>
          <t>無形資產及商譽</t>
        </is>
      </c>
      <c r="C50" s="20" t="inlineStr">
        <is>
          <t>high</t>
        </is>
      </c>
      <c r="D50" s="12" t="inlineStr">
        <is>
          <t>goodwill</t>
        </is>
      </c>
      <c r="E50" s="12" t="inlineStr">
        <is>
          <t>PDF p.135 (印刷頁 134)</t>
        </is>
      </c>
      <c r="F50" s="12" t="inlineStr">
        <is>
          <t>NOTES TO THE CONSOLIDATED FINANCIAL STATEMENTS Year ended 31 March 2026 16. GOODWILL 2026 2025 HK$’000 HK$’000 COST At 1 April 4,269 4,269 Derecognition through disposal of subsidiaries (note 36) (4,269) – At 31 March – 4,269 ACCUMULATED IMPAIRMENT At 1 April (4,269) (1,530) Impairment of goodwill – (2,739) Derecognition through disposal of subsidiaries 4,269 – At 31 March – (4,269) Net carrying amount – – The cost of goodwill was allocated as follows: 2026 2025 HK$’000 H</t>
        </is>
      </c>
    </row>
    <row r="51">
      <c r="A51" s="9" t="inlineStr">
        <is>
          <t>Intangible Assets &amp; Goodwill</t>
        </is>
      </c>
      <c r="B51" s="9" t="inlineStr">
        <is>
          <t>無形資產及商譽</t>
        </is>
      </c>
      <c r="C51" s="20" t="inlineStr">
        <is>
          <t>high</t>
        </is>
      </c>
      <c r="D51" s="12" t="inlineStr">
        <is>
          <t>goodwill</t>
        </is>
      </c>
      <c r="E51" s="12" t="inlineStr">
        <is>
          <t>PDF p.136 (印刷頁 135)</t>
        </is>
      </c>
      <c r="F51" s="12" t="inlineStr">
        <is>
          <t>NOTES TO THE CONSOLIDATED FINANCIAL STATEMENTS Year ended 31 March 2026 16. GOODWILL (continued) City Key Group Goodwill arose from the acquisition of City Key Group Limited and its subsidiaries (“City Key Group”) which was completed in 8 April 2022. The cash generating unit (“CGUs”) to which the goodwill was allocated represents City Key Group which, through its PRC subsidiaries, is principally engaging in the development, leasing and management of properties located in</t>
        </is>
      </c>
    </row>
    <row r="52">
      <c r="A52" s="9" t="inlineStr">
        <is>
          <t>Intangible Assets &amp; Goodwill</t>
        </is>
      </c>
      <c r="B52" s="9" t="inlineStr">
        <is>
          <t>無形資產及商譽</t>
        </is>
      </c>
      <c r="C52" s="20" t="inlineStr">
        <is>
          <t>high</t>
        </is>
      </c>
      <c r="D52" s="12" t="inlineStr">
        <is>
          <t>intangible asset</t>
        </is>
      </c>
      <c r="E52" s="12" t="inlineStr">
        <is>
          <t>PDF p.139 (印刷頁 138)</t>
        </is>
      </c>
      <c r="F52" s="12" t="inlineStr">
        <is>
          <t>NOTES TO THE CONSOLIDATED FINANCIAL STATEMENTS Year ended 31 March 2026 19. INTANGIBLE ASSETS 2026 2025 HK$’000 HK$’000 COST At beginning of the year 2,701 – Addition (Notes (a) and (b)) 170 2,701 Derecognition through disposal of subsidiaries (2,701) – At end of the year 170 2,701 ACCUMULATED IMPAIRMENT AND AMORTISATION At beginning and end of the year – – Impairment (Note (c)) 1,201 – Derecognition through disposal of subsidiaries (1,201) – CARRYING AMOUNT – – Net carry</t>
        </is>
      </c>
    </row>
    <row r="53">
      <c r="A53" s="9" t="inlineStr">
        <is>
          <t>Intangible Assets &amp; Goodwill</t>
        </is>
      </c>
      <c r="B53" s="9" t="inlineStr">
        <is>
          <t>無形資產及商譽</t>
        </is>
      </c>
      <c r="C53" s="20" t="inlineStr">
        <is>
          <t>high</t>
        </is>
      </c>
      <c r="D53" s="12" t="inlineStr">
        <is>
          <t>intangible asset</t>
        </is>
      </c>
      <c r="E53" s="12" t="inlineStr">
        <is>
          <t>PDF p.140 (印刷頁 139)</t>
        </is>
      </c>
      <c r="F53" s="12" t="inlineStr">
        <is>
          <t>NOTES TO THE CONSOLIDATED FINANCIAL STATEMENTS Year ended 31 March 2026 19. INTANGIBLE ASSETS (continued) Notes: (continued) (a) Asset acquisition (continued) As at 31 March 2025, for the purpose of impairment testing, the Group’s management engaged a professional valuer, Weisi Limited (the “Valuer”), to assess the fair value of its four construction engineering works qualification licenses in accordance with HKAS 36 Impairment of Assets. The Valuer conducted the valuatio</t>
        </is>
      </c>
    </row>
    <row r="54">
      <c r="A54" s="9" t="inlineStr">
        <is>
          <t>Intangible Assets &amp; Goodwill</t>
        </is>
      </c>
      <c r="B54" s="9" t="inlineStr">
        <is>
          <t>無形資產及商譽</t>
        </is>
      </c>
      <c r="C54" s="20" t="inlineStr">
        <is>
          <t>high</t>
        </is>
      </c>
      <c r="D54" s="12" t="inlineStr">
        <is>
          <t>intangible asset</t>
        </is>
      </c>
      <c r="E54" s="12" t="inlineStr">
        <is>
          <t>PDF p.152 (印刷頁 151)</t>
        </is>
      </c>
      <c r="F54" s="12" t="inlineStr">
        <is>
          <t>loss on contingent consideration receivable – 5,611 Interest expenses 545 534 Impairment loss on goodwill – 2,739 Impairment loss on intangible assets 1,201 – Impairment loss on trade receivables 4,975 1,657 Impairment loss on contract assets 25,038 15,601 Impairment loss on other receivables 1,559 – Loss on provision for onerous contract 15 – Gain on disposal of subsidiaries (2,649) – Loss on early termination of leases – 8 Waiver of other payables and accruals – (4,715) 754 3,490 Change in working capital: Contract assets/lia</t>
        </is>
      </c>
    </row>
    <row r="55">
      <c r="A55" s="9" t="inlineStr">
        <is>
          <t>Intangible Assets &amp; Goodwill</t>
        </is>
      </c>
      <c r="B55" s="9" t="inlineStr">
        <is>
          <t>無形資產及商譽</t>
        </is>
      </c>
      <c r="C55" s="20" t="inlineStr">
        <is>
          <t>high</t>
        </is>
      </c>
      <c r="D55" s="12" t="inlineStr">
        <is>
          <t>intangible asset</t>
        </is>
      </c>
      <c r="E55" s="12" t="inlineStr">
        <is>
          <t>PDF p.171 (印刷頁 170)</t>
        </is>
      </c>
      <c r="F55" s="12" t="inlineStr">
        <is>
          <t>ird party. The net assets of the Mighty Trend Group at the date of disposal were as follows: HK$’000 Property, plant and equipment 3 Intangible assets 1,500 Trade and other receivables, deposits and prepayments 574 Bank balances and cash 2 Other payables and accruals (1,981) Net assets 98 Gain on disposal of the Mighty Trend Group: HK$’000 Consideration (1,500) Net assets disposed of 98 Non-controlling interests (355) Gain on disposal (1,757) Net cash outflow arising on disposal of the Mighty Trend Group: HK$’000 Consideration</t>
        </is>
      </c>
    </row>
    <row r="56">
      <c r="A56" s="9" t="inlineStr">
        <is>
          <t>ESG Data</t>
        </is>
      </c>
      <c r="B56" s="9" t="inlineStr">
        <is>
          <t>環境社會及管治數據</t>
        </is>
      </c>
      <c r="C56" s="9" t="inlineStr">
        <is>
          <t>medium</t>
        </is>
      </c>
      <c r="D56" s="12" t="inlineStr">
        <is>
          <t>ESG</t>
        </is>
      </c>
      <c r="E56" s="12" t="inlineStr">
        <is>
          <t>PDF p.27 (印刷頁 26)</t>
        </is>
      </c>
      <c r="F56" s="12" t="inlineStr">
        <is>
          <t>ENVIRONMENTAL, SOCIAL AND GOVERNANCE REPORT GENERAL This is the Environmental, Social and Governance (“ESG”) report by Hao Bai International (Cayman) Limited (the “Company”) together with its subsidiaries (collectively referred to as the “Group”), reviewing and disclosing its environmental and social performance for the period from 1 April 2025 to 31 March 2026 (the “Reporting Period”). This Report has been prepared in accordance with the Environmental, Social and Governance Reporting Guide (the “E</t>
        </is>
      </c>
    </row>
    <row r="57">
      <c r="A57" s="9" t="inlineStr">
        <is>
          <t>ESG Data</t>
        </is>
      </c>
      <c r="B57" s="9" t="inlineStr">
        <is>
          <t>環境社會及管治數據</t>
        </is>
      </c>
      <c r="C57" s="9" t="inlineStr">
        <is>
          <t>medium</t>
        </is>
      </c>
      <c r="D57" s="12" t="inlineStr">
        <is>
          <t>ESG</t>
        </is>
      </c>
      <c r="E57" s="12" t="inlineStr">
        <is>
          <t>PDF p.28 (印刷頁 27)</t>
        </is>
      </c>
      <c r="F57" s="12" t="inlineStr">
        <is>
          <t>ENVIRONMENTAL, SOCIAL AND GOVERNANCE REPORT ESG Governance Structure The Group adopts a top-down management approach with respect to ESG issues and has developed a core governance framework to ensure the alignment of ESG governance with its strategic growth, while advocating the integration of ESG into its business operations. The ESG governance structure is divided into two components, namely the Board and ESG Task Force (the “Task Force”)</t>
        </is>
      </c>
    </row>
    <row r="58">
      <c r="A58" s="9" t="inlineStr">
        <is>
          <t>ESG Data</t>
        </is>
      </c>
      <c r="B58" s="9" t="inlineStr">
        <is>
          <t>環境社會及管治數據</t>
        </is>
      </c>
      <c r="C58" s="9" t="inlineStr">
        <is>
          <t>medium</t>
        </is>
      </c>
      <c r="D58" s="12" t="inlineStr">
        <is>
          <t>carbon</t>
        </is>
      </c>
      <c r="E58" s="12" t="inlineStr">
        <is>
          <t>PDF p.29 (印刷頁 28)</t>
        </is>
      </c>
      <c r="F58" s="12" t="inlineStr">
        <is>
          <t>e Group will endeavour to allocate greater manpower and resources towards sustainable development, including resource efficiency and carbon reduction, with a view to protecting our planet. We are dedicated to fostering a humanized and high-quality working environment for our employees, while ensuring product safety and quality throughout the production process. At the same time, we will maintain close and effective engagement with our stakeholders, namely customers, employees, communities, suppliers, business partners, investor</t>
        </is>
      </c>
    </row>
    <row r="59">
      <c r="A59" s="9" t="inlineStr">
        <is>
          <t>ESG Data</t>
        </is>
      </c>
      <c r="B59" s="9" t="inlineStr">
        <is>
          <t>環境社會及管治數據</t>
        </is>
      </c>
      <c r="C59" s="9" t="inlineStr">
        <is>
          <t>medium</t>
        </is>
      </c>
      <c r="D59" s="12" t="inlineStr">
        <is>
          <t>ESG</t>
        </is>
      </c>
      <c r="E59" s="12" t="inlineStr">
        <is>
          <t>PDF p.30 (印刷頁 29)</t>
        </is>
      </c>
      <c r="F59" s="12" t="inlineStr">
        <is>
          <t>ANCE REPORT STAKEHOLDER ENGAGEMENT The Group greatly values opinions and feedback from its stakeholders regarding its businesses and ESG matters, as their expectations and concerns guide the Group towards sustainability and inform the formulation of appropriate business and ESG strategies. The Group maintains close communication with key stakeholders through various engagement methods, and has summarised their respective expectations and concerns as follows: Stakeholders Expectations and Concerns Communication Channels Sharehol</t>
        </is>
      </c>
    </row>
    <row r="60">
      <c r="A60" s="9" t="inlineStr">
        <is>
          <t>ESG Data</t>
        </is>
      </c>
      <c r="B60" s="9" t="inlineStr">
        <is>
          <t>環境社會及管治數據</t>
        </is>
      </c>
      <c r="C60" s="9" t="inlineStr">
        <is>
          <t>medium</t>
        </is>
      </c>
      <c r="D60" s="12" t="inlineStr">
        <is>
          <t>ESG</t>
        </is>
      </c>
      <c r="E60" s="12" t="inlineStr">
        <is>
          <t>PDF p.31 (印刷頁 30)</t>
        </is>
      </c>
      <c r="F60" s="12" t="inlineStr">
        <is>
          <t>ENVIRONMENTAL, SOCIAL AND GOVERNANCE REPORT MATERIALITY ASSESSMENT To consider feedback from various stakeholders on relevant ESG issues, the Group has assessed their importance to its businesses and stakeholders as summarised in the table below: ESG Index Material ESG Issues Materiality A. Environmental A1: Emissions Air emissions Low Noise emissions Medium Waste management Low A2: Use of Resources Electricity consumption Medium Water consumption Medium Paper, packaging and other raw material consumption Low A3: The Env</t>
        </is>
      </c>
    </row>
    <row r="61">
      <c r="A61" s="9" t="inlineStr">
        <is>
          <t>ESG Data</t>
        </is>
      </c>
      <c r="B61" s="9" t="inlineStr">
        <is>
          <t>環境社會及管治數據</t>
        </is>
      </c>
      <c r="C61" s="9" t="inlineStr">
        <is>
          <t>medium</t>
        </is>
      </c>
      <c r="D61" s="12" t="inlineStr">
        <is>
          <t>scope 1</t>
        </is>
      </c>
      <c r="E61" s="12" t="inlineStr">
        <is>
          <t>PDF p.32 (印刷頁 31)</t>
        </is>
      </c>
      <c r="F61" s="12" t="inlineStr">
        <is>
          <t>impact of its installation activities. Total in Total in Increase/ Scope of greenhouse emission Unit 2025/26 2024/25 decrease (+/-) Scope 1 – direct emissions Tonnes N/A N/A N/A Scope 2 – indirect emissions (electricity) Tonnes 10.29 12.72 -19.1% Scope 3 – other indirect emissions (water) Tonnes 0.03 0.03 0% Total emissions Tonnes 10.32 12.75 -19.1% HAO BAI INTERNATIONAL (CAYMAN) LIMITED 31 Annual Report 2025/26</t>
        </is>
      </c>
    </row>
    <row r="62">
      <c r="A62" s="9" t="inlineStr">
        <is>
          <t>ESG Data</t>
        </is>
      </c>
      <c r="B62" s="9" t="inlineStr">
        <is>
          <t>環境社會及管治數據</t>
        </is>
      </c>
      <c r="C62" s="9" t="inlineStr">
        <is>
          <t>medium</t>
        </is>
      </c>
      <c r="D62" s="12" t="inlineStr">
        <is>
          <t>greenhouse gas</t>
        </is>
      </c>
      <c r="E62" s="12" t="inlineStr">
        <is>
          <t>PDF p.33 (印刷頁 32)</t>
        </is>
      </c>
      <c r="F62" s="12" t="inlineStr">
        <is>
          <t>rnment and applicable to the Group. We have devised and arranged procedures, and carried out works in a manner so as to minimise the greenhouse gas emissions. With regard to dust pollutants, we have implemented several simple and effective measures, such as using waste water to hose down and clear dust from surfaces to reduce its emissions. To effectively manage these air emissions, we have engaged experienced personnel with appropriate training to provide guidance on the implementation of these measures. 32 HAO BAI INTERNATION</t>
        </is>
      </c>
    </row>
    <row r="63">
      <c r="A63" s="9" t="inlineStr">
        <is>
          <t>ESG Data</t>
        </is>
      </c>
      <c r="B63" s="9" t="inlineStr">
        <is>
          <t>環境社會及管治數據</t>
        </is>
      </c>
      <c r="C63" s="9" t="inlineStr">
        <is>
          <t>medium</t>
        </is>
      </c>
      <c r="D63" s="12" t="inlineStr">
        <is>
          <t>ESG</t>
        </is>
      </c>
      <c r="E63" s="12" t="inlineStr">
        <is>
          <t>PDF p.34 (印刷頁 33)</t>
        </is>
      </c>
      <c r="F63" s="12" t="inlineStr">
        <is>
          <t>ENVIRONMENTAL, SOCIAL AND GOVERNANCE REPORT Apart from the project sites, as disclosed in last year’s ESG report, the Group has continued to implement measures in our Hong Kong office to monitor the use of electricity and other forms of energy in order to reduce their usage on one hand to reduce operation costs, and on the other hand to reduce greenhouse gas emissions. During the Reporting Period, the Group was not aware of any material non-compliance with the relevant laws and regulations for the</t>
        </is>
      </c>
    </row>
    <row r="64">
      <c r="A64" s="9" t="inlineStr">
        <is>
          <t>ESG Data</t>
        </is>
      </c>
      <c r="B64" s="9" t="inlineStr">
        <is>
          <t>環境社會及管治數據</t>
        </is>
      </c>
      <c r="C64" s="9" t="inlineStr">
        <is>
          <t>medium</t>
        </is>
      </c>
      <c r="D64" s="12" t="inlineStr">
        <is>
          <t>ESG</t>
        </is>
      </c>
      <c r="E64" s="12" t="inlineStr">
        <is>
          <t>PDF p.35 (印刷頁 34)</t>
        </is>
      </c>
      <c r="F64" s="12" t="inlineStr">
        <is>
          <t>ly involved in the emission management process alongside other sub-contractors and site-work operators. As discussed in our previous ESG reports, we advocate minimising emissions through economic, efficient and smart uses of resources, controlling and stopping wastage, recycling of water and construction materials for reuse, properly handling water and solid wastes, and saving energy in our daily operations and activities, etc. During the Reporting Period, the Group was not aware of any material non-compliance with all the rele</t>
        </is>
      </c>
    </row>
    <row r="65">
      <c r="A65" s="9" t="inlineStr">
        <is>
          <t>ESG Data</t>
        </is>
      </c>
      <c r="B65" s="9" t="inlineStr">
        <is>
          <t>環境社會及管治數據</t>
        </is>
      </c>
      <c r="C65" s="9" t="inlineStr">
        <is>
          <t>medium</t>
        </is>
      </c>
      <c r="D65" s="12" t="inlineStr">
        <is>
          <t>ESG</t>
        </is>
      </c>
      <c r="E65" s="12" t="inlineStr">
        <is>
          <t>PDF p.36 (印刷頁 35)</t>
        </is>
      </c>
      <c r="F65" s="12" t="inlineStr">
        <is>
          <t>nergy and other resources, particularly water, in smart ways. Directional instructions and advice which we disclosed in our previous ESG reports, along with future educational programs, are and will remain the main driving force in this regard. (i) Electricity Consumption For the Reporting Period, approximately 10,290 kWh of electricity was consumed for the Group’s Hong Kong office operation, which is approximately 19.1% less compared with last year for respective projects. The Group encourages employees to (a) develop a good h</t>
        </is>
      </c>
    </row>
    <row r="66">
      <c r="A66" s="9" t="inlineStr">
        <is>
          <t>ESG Data</t>
        </is>
      </c>
      <c r="B66" s="9" t="inlineStr">
        <is>
          <t>環境社會及管治數據</t>
        </is>
      </c>
      <c r="C66" s="9" t="inlineStr">
        <is>
          <t>medium</t>
        </is>
      </c>
      <c r="D66" s="12" t="inlineStr">
        <is>
          <t>carbon</t>
        </is>
      </c>
      <c r="E66" s="12" t="inlineStr">
        <is>
          <t>PDF p.38 (印刷頁 37)</t>
        </is>
      </c>
      <c r="F66" s="12" t="inlineStr">
        <is>
          <t>ore, the Group is committed to managing potential climate-related risks which may impact its business activities. In order to reduce carbon emissions in business operations and jointly cope with climate change, the Group actively advocates a green policy of sustainable development and strives to save energy, water, paper and other resources within its capacity. We proactively raise our staff’s environmental awareness and implement relevant energy saving and emission reduction measures in daily operations to establish a lowcar</t>
        </is>
      </c>
    </row>
    <row r="67">
      <c r="A67" s="9" t="inlineStr">
        <is>
          <t>ESG Data</t>
        </is>
      </c>
      <c r="B67" s="9" t="inlineStr">
        <is>
          <t>環境社會及管治數據</t>
        </is>
      </c>
      <c r="C67" s="9" t="inlineStr">
        <is>
          <t>medium</t>
        </is>
      </c>
      <c r="D67" s="12" t="inlineStr">
        <is>
          <t>carbon</t>
        </is>
      </c>
      <c r="E67" s="12" t="inlineStr">
        <is>
          <t>PDF p.39 (印刷頁 38)</t>
        </is>
      </c>
      <c r="F67" s="12" t="inlineStr">
        <is>
          <t>Policy and Legal Risks There are increasingly stringent climate legislations and regulations in place to support global vision for decarbonisation. For example, the Stock Exchange has required the listed companies to enhance the climaterelated disclosures in their ESG reports. Stricter environmental laws and regulations may expose enterprises to higher risks of claims and lawsuits. Corporate reputation may also decline due to failure to meet compliance requirements relating to climate change. As a result, the Group’s related</t>
        </is>
      </c>
    </row>
    <row r="68">
      <c r="A68" s="9" t="inlineStr">
        <is>
          <t>ESG Data</t>
        </is>
      </c>
      <c r="B68" s="9" t="inlineStr">
        <is>
          <t>環境社會及管治數據</t>
        </is>
      </c>
      <c r="C68" s="9" t="inlineStr">
        <is>
          <t>medium</t>
        </is>
      </c>
      <c r="D68" s="12" t="inlineStr">
        <is>
          <t>ESG</t>
        </is>
      </c>
      <c r="E68" s="12" t="inlineStr">
        <is>
          <t>PDF p.41 (印刷頁 40)</t>
        </is>
      </c>
      <c r="F68" s="12" t="inlineStr">
        <is>
          <t>dily growing business, while actively pursuing potential business opportunities. Employee Compensation and Benefits One of the major ESG aspects raised by the Group’s employees was benefits and compensation packages. The Group adopts a transparent approach to salary and compensation by sharing the outcomes of its salary benchmarking exercises with employees. Our Group follows the Employment Ordinance (Chapter 57 of the Laws of Hong Kong) and the Employees’ Compensation Ordinance (Chapter 282 of the Laws of Hong Kong). Remunerat</t>
        </is>
      </c>
    </row>
    <row r="69">
      <c r="A69" s="9" t="inlineStr">
        <is>
          <t>ESG Data</t>
        </is>
      </c>
      <c r="B69" s="9" t="inlineStr">
        <is>
          <t>環境社會及管治數據</t>
        </is>
      </c>
      <c r="C69" s="9" t="inlineStr">
        <is>
          <t>medium</t>
        </is>
      </c>
      <c r="D69" s="12" t="inlineStr">
        <is>
          <t>ESG</t>
        </is>
      </c>
      <c r="E69" s="12" t="inlineStr">
        <is>
          <t>PDF p.44 (印刷頁 43)</t>
        </is>
      </c>
      <c r="F69" s="12" t="inlineStr">
        <is>
          <t>ity assurance, sales, intellectual property rights and anti-corruption. B5 Supply Chain Management Supply chain management under the ESG Guide primarily pertains to the management of sourcing and procurement. The Group engages two main categories of suppliers: (i) sub-contractors who carry out subcontracting construction and installation project works; and (ii) suppliers of raw materials, tools, equipment, consumables, and other items required for the completion of our construction and installation projects. We conduct raw ma</t>
        </is>
      </c>
    </row>
    <row r="70">
      <c r="A70" s="9" t="inlineStr">
        <is>
          <t>ESG Data</t>
        </is>
      </c>
      <c r="B70" s="9" t="inlineStr">
        <is>
          <t>環境社會及管治數據</t>
        </is>
      </c>
      <c r="C70" s="9" t="inlineStr">
        <is>
          <t>medium</t>
        </is>
      </c>
      <c r="D70" s="12" t="inlineStr">
        <is>
          <t>sustainability</t>
        </is>
      </c>
      <c r="E70" s="12" t="inlineStr">
        <is>
          <t>PDF p.49 (印刷頁 48)</t>
        </is>
      </c>
      <c r="F70" s="12" t="inlineStr">
        <is>
          <t>t risks or issues in this area. B8 Community Investment The Group recognises that community engagement is essential to its long-term sustainability. We actively encourage employees to participate in volunteer activities, including regular visits to underprivileged communities and organising outdoor events for disadvantaged groups. The Group is also committed to investing in youth development and offers internship programmes for university students, providing them with practical work experience to support their career growth. Du</t>
        </is>
      </c>
    </row>
    <row r="71">
      <c r="A71" s="9" t="inlineStr">
        <is>
          <t>ESG Data</t>
        </is>
      </c>
      <c r="B71" s="9" t="inlineStr">
        <is>
          <t>環境社會及管治數據</t>
        </is>
      </c>
      <c r="C71" s="9" t="inlineStr">
        <is>
          <t>medium</t>
        </is>
      </c>
      <c r="D71" s="12" t="inlineStr">
        <is>
          <t>greenhouse gas</t>
        </is>
      </c>
      <c r="E71" s="12" t="inlineStr">
        <is>
          <t>PDF p.50 (印刷頁 49)</t>
        </is>
      </c>
      <c r="F71" s="12" t="inlineStr">
        <is>
          <t>ll consider including relevant data in the future. A1.2 Direct (Scope 1) and energy indirect (Scope 2) Emissions – Air Pollutant and greenhouse gas emissions (in tonnes) and, where Noxious Odour Emissions and Noise appropriate, intensity (e.g. per unit of production volume, Emissions per facility). A1.3 Total hazardous waste produced (in tonnes) and, where Emissions – Hazardous and Nonappropriate, intensity (e.g. per unit of production volume, Hazardous Wastes per facility). A1.4 Total non-hazardous waste produced (in tonnes)</t>
        </is>
      </c>
    </row>
    <row r="72">
      <c r="A72" s="9" t="inlineStr">
        <is>
          <t>ESG Data</t>
        </is>
      </c>
      <c r="B72" s="9" t="inlineStr">
        <is>
          <t>環境社會及管治數據</t>
        </is>
      </c>
      <c r="C72" s="9" t="inlineStr">
        <is>
          <t>medium</t>
        </is>
      </c>
      <c r="D72" s="12" t="inlineStr">
        <is>
          <t>energy consumption</t>
        </is>
      </c>
      <c r="E72" s="12" t="inlineStr">
        <is>
          <t>PDF p.51 (印刷頁 50)</t>
        </is>
      </c>
      <c r="F72" s="12" t="inlineStr">
        <is>
          <t>ies on the efficient use of resources, including Use of Resources energy, water and other raw materials. A2.1 Direct and/or indirect energy consumption by type (e.g. Use of Resources – Electricity electricity, gas or oil) in total (kWh in ’000s) and intensity Consumption (e.g. per unit of production volume, per facility). A2.2 Water consumption in total and intensity (e.g. per unit of Use of Resources – Water production volume, per facility). Consumption A2.3 Description of energy use efficiency target(s) set and Use of Resourc</t>
        </is>
      </c>
    </row>
    <row r="73">
      <c r="A73" s="9" t="inlineStr">
        <is>
          <t>ESG Data</t>
        </is>
      </c>
      <c r="B73" s="9" t="inlineStr">
        <is>
          <t>環境社會及管治數據</t>
        </is>
      </c>
      <c r="C73" s="9" t="inlineStr">
        <is>
          <t>medium</t>
        </is>
      </c>
      <c r="D73" s="12" t="inlineStr">
        <is>
          <t>ESG</t>
        </is>
      </c>
      <c r="E73" s="12" t="inlineStr">
        <is>
          <t>PDF p.67 (印刷頁 66)</t>
        </is>
      </c>
      <c r="F73" s="12" t="inlineStr">
        <is>
          <t>tegy, the Board has ultimate responsibilities for ensuring the effectiveness of the Company’s environmental, social and governance (“ESG”) policies. The Board has established the ESG Working Group to manage ESG matters within each business division of the Company and keep monitoring and overseeing the progress against corporate goals and targets. The Company believes that ESG matters are important considerations in effectively managing risk and achieving superior long-term results for investments. The Group has complied with th</t>
        </is>
      </c>
    </row>
    <row r="74">
      <c r="A74" s="9" t="inlineStr">
        <is>
          <t>Segment Information</t>
        </is>
      </c>
      <c r="B74" s="9" t="inlineStr">
        <is>
          <t>分部資料</t>
        </is>
      </c>
      <c r="C74" s="9" t="inlineStr">
        <is>
          <t>medium</t>
        </is>
      </c>
      <c r="D74" s="12" t="inlineStr">
        <is>
          <t>geographical</t>
        </is>
      </c>
      <c r="E74" s="12" t="inlineStr">
        <is>
          <t>PDF p.52 (印刷頁 51)</t>
        </is>
      </c>
      <c r="F74" s="12" t="inlineStr">
        <is>
          <t>enefits and welfare. B1.1 Total workforce by gender, employment type (for Employment example, full-time or part-time), age group and geographical region. B1.2 Employee turnover rate by gender, age group and Employment geographical region. HAO BAI INTERNATIONAL (CAYMAN) LIMITED 51 Annual Report 2025/26</t>
        </is>
      </c>
    </row>
    <row r="75">
      <c r="A75" s="9" t="inlineStr">
        <is>
          <t>Segment Information</t>
        </is>
      </c>
      <c r="B75" s="9" t="inlineStr">
        <is>
          <t>分部資料</t>
        </is>
      </c>
      <c r="C75" s="9" t="inlineStr">
        <is>
          <t>medium</t>
        </is>
      </c>
      <c r="D75" s="12" t="inlineStr">
        <is>
          <t>geographical</t>
        </is>
      </c>
      <c r="E75" s="12" t="inlineStr">
        <is>
          <t>PDF p.54 (印刷頁 53)</t>
        </is>
      </c>
      <c r="F75" s="12" t="inlineStr">
        <is>
          <t>closure Policies on managing environmental and social risks of Supply Chain Management the supply chain. B5.1 Number of suppliers by geographical region. Supply Chain Management B5.2 Description of practices relating to engaging suppliers, Supply Chain Management number of suppliers where the practices are being implemented, and how they are implemented and monitored. B5.3 Description of practices used to identify environmental Supply Chain Management and social risks along the supply chain, and how they are implemented and mon</t>
        </is>
      </c>
    </row>
    <row r="76">
      <c r="A76" s="9" t="inlineStr">
        <is>
          <t>Segment Information</t>
        </is>
      </c>
      <c r="B76" s="9" t="inlineStr">
        <is>
          <t>分部資料</t>
        </is>
      </c>
      <c r="C76" s="9" t="inlineStr">
        <is>
          <t>medium</t>
        </is>
      </c>
      <c r="D76" s="12" t="inlineStr">
        <is>
          <t>segment information</t>
        </is>
      </c>
      <c r="E76" s="12" t="inlineStr">
        <is>
          <t>PDF p.59 (印刷頁 58)</t>
        </is>
      </c>
      <c r="F76" s="12" t="inlineStr">
        <is>
          <t>Directors are also not aware of any material litigation or claims that are pending or threatened against the Group during the Year. SEGMENT INFORMATION An analysis of the Group’s performance for the year ended 31 March 2026 by operating segment is set out in note 4 to the consolidated financial statements. RESULTS AND APPROPRIATIONS The results of the Group for the year ended 31 March 2026 are set out in the consolidated statement of profit or loss and other comprehensive income on pages 80 and 81 of this annual report. PAYMEN</t>
        </is>
      </c>
    </row>
    <row r="77">
      <c r="A77" s="9" t="inlineStr">
        <is>
          <t>Segment Information</t>
        </is>
      </c>
      <c r="B77" s="9" t="inlineStr">
        <is>
          <t>分部資料</t>
        </is>
      </c>
      <c r="C77" s="9" t="inlineStr">
        <is>
          <t>medium</t>
        </is>
      </c>
      <c r="D77" s="12" t="inlineStr">
        <is>
          <t>operating segment</t>
        </is>
      </c>
      <c r="E77" s="12" t="inlineStr">
        <is>
          <t>PDF p.92 (印刷頁 91)</t>
        </is>
      </c>
      <c r="F77" s="12" t="inlineStr">
        <is>
          <t>ination, which represent the lowest level at which the goodwill is monitored for internal management purposes and not larger than an operating segment. A cash-generating unit (or group of cash-generating units) to which goodwill has been allocated is tested for impairment annually or more frequently when there is indication that the unit may be impaired. For goodwill arising on an acquisition in a reporting period, the cash-generating unit (or group of cash-generating units) to which goodwill has been allocated is tested for im</t>
        </is>
      </c>
    </row>
    <row r="78">
      <c r="A78" s="9" t="inlineStr">
        <is>
          <t>Segment Information</t>
        </is>
      </c>
      <c r="B78" s="9" t="inlineStr">
        <is>
          <t>分部資料</t>
        </is>
      </c>
      <c r="C78" s="9" t="inlineStr">
        <is>
          <t>medium</t>
        </is>
      </c>
      <c r="D78" s="12" t="inlineStr">
        <is>
          <t>operating segment</t>
        </is>
      </c>
      <c r="E78" s="12" t="inlineStr">
        <is>
          <t>PDF p.113 (印刷頁 112)</t>
        </is>
      </c>
      <c r="F78" s="12" t="inlineStr">
        <is>
          <t>n associate includes subsidiaries of the associate and a joint venture includes subsidiaries of the joint venture. Segment reporting Operating segments, and the amounts of each segment item reported in the consolidated financial statements, are identified from the financial information provided regularly to the Group’s most senior executive management for the purpose of allocating resources to, and assessing the performance of, the Group’s various lines of business and geographical locations. Individual material operating segme</t>
        </is>
      </c>
    </row>
    <row r="79">
      <c r="A79" s="9" t="inlineStr">
        <is>
          <t>Segment Information</t>
        </is>
      </c>
      <c r="B79" s="9" t="inlineStr">
        <is>
          <t>分部資料</t>
        </is>
      </c>
      <c r="C79" s="9" t="inlineStr">
        <is>
          <t>medium</t>
        </is>
      </c>
      <c r="D79" s="12" t="inlineStr">
        <is>
          <t>segment information</t>
        </is>
      </c>
      <c r="E79" s="12" t="inlineStr">
        <is>
          <t>PDF p.117 (印刷頁 116)</t>
        </is>
      </c>
      <c r="F79" s="12" t="inlineStr">
        <is>
          <t>NOTES TO THE CONSOLIDATED FINANCIAL STATEMENTS Year ended 31 March 2026 4. SEGMENT INFORMATION The executive directors of the Company, who have been identified as the chief operating decision makers review the Group’s internal reports in order to assess performance and allocate resources. Based on the products and services offered by the Group to the customers, the executive directors of the Company consider that the operating segments are as follows: Continuing operatio</t>
        </is>
      </c>
    </row>
    <row r="80">
      <c r="A80" s="9" t="inlineStr">
        <is>
          <t>Segment Information</t>
        </is>
      </c>
      <c r="B80" s="9" t="inlineStr">
        <is>
          <t>分部資料</t>
        </is>
      </c>
      <c r="C80" s="9" t="inlineStr">
        <is>
          <t>medium</t>
        </is>
      </c>
      <c r="D80" s="12" t="inlineStr">
        <is>
          <t>segment information</t>
        </is>
      </c>
      <c r="E80" s="12" t="inlineStr">
        <is>
          <t>PDF p.118 (印刷頁 117)</t>
        </is>
      </c>
      <c r="F80" s="12" t="inlineStr">
        <is>
          <t>NOTES TO THE CONSOLIDATED FINANCIAL STATEMENTS Year ended 31 March 2026 4. SEGMENT INFORMATION (continued) The segment information for the reportable and operating segments for the years ended 31 March 2026 and 2025 is as follows: Year ended 31 March 2026 Discontinued Continuing operations operation Management Sales and contracting supply chain Consultancy services business Sub-total services Total HK$’000 HK$’000 HK$’000 HK$’000 HK$’000 Revenue from external customers a</t>
        </is>
      </c>
    </row>
    <row r="81">
      <c r="A81" s="9" t="inlineStr">
        <is>
          <t>Segment Information</t>
        </is>
      </c>
      <c r="B81" s="9" t="inlineStr">
        <is>
          <t>分部資料</t>
        </is>
      </c>
      <c r="C81" s="9" t="inlineStr">
        <is>
          <t>medium</t>
        </is>
      </c>
      <c r="D81" s="12" t="inlineStr">
        <is>
          <t>segment information</t>
        </is>
      </c>
      <c r="E81" s="12" t="inlineStr">
        <is>
          <t>PDF p.119 (印刷頁 118)</t>
        </is>
      </c>
      <c r="F81" s="12" t="inlineStr">
        <is>
          <t>NOTES TO THE CONSOLIDATED FINANCIAL STATEMENTS Year ended 31 March 2026 4. SEGMENT INFORMATION (continued) Year ended 31 March 2025 (Restated) Continuing Discontinued operation operation Management contracting Consultancy services services Total HK$’000 HK$’000 HK$’000 Revenue from external customers and segment revenue 23,824 681 24,505 Segment (loss)/profit (14,057) 282 (13,775) Other income and losses, net (3,788) Administrative expenses (831) Finance costs (534) Loss</t>
        </is>
      </c>
    </row>
    <row r="82">
      <c r="A82" s="9" t="inlineStr">
        <is>
          <t>Segment Information</t>
        </is>
      </c>
      <c r="B82" s="9" t="inlineStr">
        <is>
          <t>分部資料</t>
        </is>
      </c>
      <c r="C82" s="9" t="inlineStr">
        <is>
          <t>medium</t>
        </is>
      </c>
      <c r="D82" s="12" t="inlineStr">
        <is>
          <t>segment information</t>
        </is>
      </c>
      <c r="E82" s="12" t="inlineStr">
        <is>
          <t>PDF p.120 (印刷頁 119)</t>
        </is>
      </c>
      <c r="F82" s="12" t="inlineStr">
        <is>
          <t>NOTES TO THE CONSOLIDATED FINANCIAL STATEMENTS Year ended 31 March 2026 4. SEGMENT INFORMATION (continued) The following is an analysis of the Group’s assets and liabilities by operating segments: At 31 March 2026 Discontinued Continuing operations operation Management Sales and contracting supply chain Consultancy services business Sub-total services Total HK$’000 HK$’000 HK$’000 HK$’000 HK$’000 Segment assets 28,560 290 28,850 – 28,850 Bank balances and cash 15,405 Oth</t>
        </is>
      </c>
    </row>
    <row r="83">
      <c r="A83" s="9" t="inlineStr">
        <is>
          <t>Segment Information</t>
        </is>
      </c>
      <c r="B83" s="9" t="inlineStr">
        <is>
          <t>分部資料</t>
        </is>
      </c>
      <c r="C83" s="9" t="inlineStr">
        <is>
          <t>medium</t>
        </is>
      </c>
      <c r="D83" s="12" t="inlineStr">
        <is>
          <t>segment information</t>
        </is>
      </c>
      <c r="E83" s="12" t="inlineStr">
        <is>
          <t>PDF p.121 (印刷頁 120)</t>
        </is>
      </c>
      <c r="F83" s="12" t="inlineStr">
        <is>
          <t>NOTES TO THE CONSOLIDATED FINANCIAL STATEMENTS Year ended 31 March 2026 4. SEGMENT INFORMATION (continued) At 31 March 2025 Continuing Discontinued operation operation Management contracting Consultancy services services Total HK$’000 HK$’000 HK$’000 Segment assets 51,192 9,018 60,210 Bank balances and cash 1,819 Other receivables, deposits and prepayments 16,431 Equity investment at FVTOCI 2,625 Consolidated assets 81,085 Segment liabilities 41,328 8,519 49,847 Bank and</t>
        </is>
      </c>
    </row>
    <row r="84">
      <c r="A84" s="9" t="inlineStr">
        <is>
          <t>Segment Information</t>
        </is>
      </c>
      <c r="B84" s="9" t="inlineStr">
        <is>
          <t>分部資料</t>
        </is>
      </c>
      <c r="C84" s="9" t="inlineStr">
        <is>
          <t>medium</t>
        </is>
      </c>
      <c r="D84" s="12" t="inlineStr">
        <is>
          <t>segment information</t>
        </is>
      </c>
      <c r="E84" s="12" t="inlineStr">
        <is>
          <t>PDF p.122 (印刷頁 121)</t>
        </is>
      </c>
      <c r="F84" s="12" t="inlineStr">
        <is>
          <t>NOTES TO THE CONSOLIDATED FINANCIAL STATEMENTS Year ended 31 March 2026 4. SEGMENT INFORMATION (continued) The following table provides an analysis of the Group’s revenue based on geographical location where installation works or other services are provided: 2026 2025 (Restated) Continuing Discontinued Continuing Discontinued operations operation Total operation operation Total HK$’000 HK$’000 HK$’000 HK$’000 HK$’000 HK$’000 Hong Kong 17,641 – 17,641 23,824 – 23,824 Main</t>
        </is>
      </c>
    </row>
    <row r="85">
      <c r="A85" s="9" t="inlineStr">
        <is>
          <t>Share-based Payment</t>
        </is>
      </c>
      <c r="B85" s="9" t="inlineStr">
        <is>
          <t>以股份為基礎的付款</t>
        </is>
      </c>
      <c r="C85" s="9" t="inlineStr">
        <is>
          <t>medium</t>
        </is>
      </c>
      <c r="D85" s="12" t="inlineStr">
        <is>
          <t>share option</t>
        </is>
      </c>
      <c r="E85" s="12" t="inlineStr">
        <is>
          <t>PDF p.11 (印刷頁 10)</t>
        </is>
      </c>
      <c r="F85" s="12" t="inlineStr">
        <is>
          <t>’s performance. Other staff benefits include provision of retirement benefits, medical benefits and sponsorship of training courses. Share options may also be granted to eligible employees by reference to the Group’s performance as well as individual contribution. EVENTS AFTER THE REPORTING PERIOD Save as disclosed in note 39 to the consolidated financial statements and otherwise disclosed in this annual report, there have been no material events affecting the Group from 31 March 2026 up to the date of this report. 10 HAO BAI I</t>
        </is>
      </c>
    </row>
    <row r="86">
      <c r="A86" s="9" t="inlineStr">
        <is>
          <t>Share-based Payment</t>
        </is>
      </c>
      <c r="B86" s="9" t="inlineStr">
        <is>
          <t>以股份為基礎的付款</t>
        </is>
      </c>
      <c r="C86" s="9" t="inlineStr">
        <is>
          <t>medium</t>
        </is>
      </c>
      <c r="D86" s="12" t="inlineStr">
        <is>
          <t>share option</t>
        </is>
      </c>
      <c r="E86" s="12" t="inlineStr">
        <is>
          <t>PDF p.60 (印刷頁 59)</t>
        </is>
      </c>
      <c r="F86" s="12" t="inlineStr">
        <is>
          <t>ls of bank and other borrowings during the year ended 31 March 2026 are set out in note 25 to the consolidated financial statements. SHARE OPTION SCHEME The Share Option Scheme became effective on the date of the Company’s listing (i.e. 26 May 2017) and, unless otherwise cancelled or amended, will remain in force for 10 years from that date. The maximum number of shares which may be issued upon exercise of all options granted and to be granted under the Share Option Scheme is 130,000,000 shares, representing 10% of the shares o</t>
        </is>
      </c>
    </row>
    <row r="87">
      <c r="A87" s="9" t="inlineStr">
        <is>
          <t>Share-based Payment</t>
        </is>
      </c>
      <c r="B87" s="9" t="inlineStr">
        <is>
          <t>以股份為基礎的付款</t>
        </is>
      </c>
      <c r="C87" s="9" t="inlineStr">
        <is>
          <t>medium</t>
        </is>
      </c>
      <c r="D87" s="12" t="inlineStr">
        <is>
          <t>share option</t>
        </is>
      </c>
      <c r="E87" s="12" t="inlineStr">
        <is>
          <t>PDF p.61 (印刷頁 60)</t>
        </is>
      </c>
      <c r="F87" s="12" t="inlineStr">
        <is>
          <t>the date of grant with a nominal consideration of HK$1 on each grant. An option may be exercised in accordance with the terms of the Share Option Scheme at any time during a period to be determined and notified by the Directors to each grantee, which period may commence on a day after the date upon which the offer for the grant of options is made but shall end in any event not later than 10 years from the date of grant of the option subject to the provisions for early termination. Unless otherwise determined by the Directors an</t>
        </is>
      </c>
    </row>
    <row r="88">
      <c r="A88" s="9" t="inlineStr">
        <is>
          <t>Share-based Payment</t>
        </is>
      </c>
      <c r="B88" s="9" t="inlineStr">
        <is>
          <t>以股份為基礎的付款</t>
        </is>
      </c>
      <c r="C88" s="9" t="inlineStr">
        <is>
          <t>medium</t>
        </is>
      </c>
      <c r="D88" s="12" t="inlineStr">
        <is>
          <t>share option</t>
        </is>
      </c>
      <c r="E88" s="12" t="inlineStr">
        <is>
          <t>PDF p.62 (印刷頁 61)</t>
        </is>
      </c>
      <c r="F88" s="12" t="inlineStr">
        <is>
          <t>REPORT OF DIRECTORS Notes: (a) Consideration of HK$1 was paid by each of the grantees on their acceptance of the share options granted. (b) Consultants of the Group assist the Group in formulating business development plans and expanding its business development by referring customers, business partners, investment opportunities and business opportunities to the Group. Share options were granted to the consultants of the Group as incentives to them for helping the Group to expand its business network, acquir</t>
        </is>
      </c>
    </row>
    <row r="89">
      <c r="A89" s="9" t="inlineStr">
        <is>
          <t>Share-based Payment</t>
        </is>
      </c>
      <c r="B89" s="9" t="inlineStr">
        <is>
          <t>以股份為基礎的付款</t>
        </is>
      </c>
      <c r="C89" s="9" t="inlineStr">
        <is>
          <t>medium</t>
        </is>
      </c>
      <c r="D89" s="12" t="inlineStr">
        <is>
          <t>share option</t>
        </is>
      </c>
      <c r="E89" s="12" t="inlineStr">
        <is>
          <t>PDF p.67 (印刷頁 66)</t>
        </is>
      </c>
      <c r="F89" s="12" t="inlineStr">
        <is>
          <t>t condition, the responsibilities and duties assumed by each Director as well as their individual performance. The Company adopted a share option scheme and the details are set out under section “Share Option Scheme” of this report. COMPETING INTERESTS The Directors are not aware of any business or interest of Directors nor the controlling shareholder of the Company nor any of their respective close associates (as defined in the GEM Listing Rules) that compete or may compete with the business of the Group and any conflicts of i</t>
        </is>
      </c>
    </row>
    <row r="90">
      <c r="A90" s="9" t="inlineStr">
        <is>
          <t>Share-based Payment</t>
        </is>
      </c>
      <c r="B90" s="9" t="inlineStr">
        <is>
          <t>以股份為基礎的付款</t>
        </is>
      </c>
      <c r="C90" s="9" t="inlineStr">
        <is>
          <t>medium</t>
        </is>
      </c>
      <c r="D90" s="12" t="inlineStr">
        <is>
          <t>share option</t>
        </is>
      </c>
      <c r="E90" s="12" t="inlineStr">
        <is>
          <t>PDF p.85 (印刷頁 84)</t>
        </is>
      </c>
      <c r="F90" s="12" t="inlineStr">
        <is>
          <t>EMENT OF CHANGES IN EQUITY Year ended 31 March 2026 Equity attributable to owners of the Company Fair value Share reserve Non- Share Share option Other Capital Exchange (non- Accumulated controlling capital premium reserve reserve reserve reserve recycling) losses Sub-total interests Total HK$’000 HK$’000 HK$’000 HK$’000 HK$’000 HK$’000 HK$’000 HK$’000 HK$’000 HK$’000 HK$’000 (Note 26) (Note 37(b)) (Note 37(b)) (Note 37(b)) (Note 37(b)) (Note 37(b)) (Note 37(b)) At 1 April 2024 30,951 99,086 2,016 (16,790) – – – (104,171) 11,09</t>
        </is>
      </c>
    </row>
    <row r="91">
      <c r="A91" s="9" t="inlineStr">
        <is>
          <t>Share-based Payment</t>
        </is>
      </c>
      <c r="B91" s="9" t="inlineStr">
        <is>
          <t>以股份為基礎的付款</t>
        </is>
      </c>
      <c r="C91" s="9" t="inlineStr">
        <is>
          <t>medium</t>
        </is>
      </c>
      <c r="D91" s="12" t="inlineStr">
        <is>
          <t>share-based payment</t>
        </is>
      </c>
      <c r="E91" s="12" t="inlineStr">
        <is>
          <t>PDF p.89 (印刷頁 88)</t>
        </is>
      </c>
      <c r="F91" s="12"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net realisable value in HKAS 2 Inventories or value in use in HKAS 36 Impairment of Assets. 88 HAO BAI INTERNATIONAL (CAYMAN) LIMITED Annu</t>
        </is>
      </c>
    </row>
    <row r="92">
      <c r="A92" s="9" t="inlineStr">
        <is>
          <t>Share-based Payment</t>
        </is>
      </c>
      <c r="B92" s="9" t="inlineStr">
        <is>
          <t>以股份為基礎的付款</t>
        </is>
      </c>
      <c r="C92" s="9" t="inlineStr">
        <is>
          <t>medium</t>
        </is>
      </c>
      <c r="D92" s="12" t="inlineStr">
        <is>
          <t>share-based payment</t>
        </is>
      </c>
      <c r="E92" s="12" t="inlineStr">
        <is>
          <t>PDF p.111 (印刷頁 110)</t>
        </is>
      </c>
      <c r="F92" s="12" t="inlineStr">
        <is>
          <t>NOTES TO THE CONSOLIDATED FINANCIAL STATEMENTS Year ended 31 March 2026 2. MATERIAL ACCOUNTING POLICY INFORMATION (continued) Share-based payments The Group issues equity-settled share-based payments to certain directors, employees and consultants. Equity-settled share-based payments to directors and employees are measured at the fair value of the equity instruments at the date of grant. The fair value of the equity-settled share-based payments determined at the grant date without taking into consideration all non-market</t>
        </is>
      </c>
    </row>
    <row r="93">
      <c r="A93" s="9" t="inlineStr">
        <is>
          <t>Share-based Payment</t>
        </is>
      </c>
      <c r="B93" s="9" t="inlineStr">
        <is>
          <t>以股份為基礎的付款</t>
        </is>
      </c>
      <c r="C93" s="9" t="inlineStr">
        <is>
          <t>medium</t>
        </is>
      </c>
      <c r="D93" s="12" t="inlineStr">
        <is>
          <t>share option</t>
        </is>
      </c>
      <c r="E93" s="12" t="inlineStr">
        <is>
          <t>PDF p.131 (印刷頁 130)</t>
        </is>
      </c>
      <c r="F93" s="12" t="inlineStr">
        <is>
          <t>been effective on 1 April 2024. The computation of diluted loss per share does not assume the exercise of the Company’s outstanding share options since their assumed exercise would lead to anti-dilutive effect and result in a decrease in loss per share for the years ended 31 March 2026 and 2025. 13. DIVIDENDS The directors of the Company did not declare or propose any dividend for the year ended 31 March 2026 (2025: HK$Nil). 130 HAO BAI INTERNATIONAL (CAYMAN) LIMITED Annual Report 2025/26</t>
        </is>
      </c>
    </row>
    <row r="94">
      <c r="A94" s="9" t="inlineStr">
        <is>
          <t>Share-based Payment</t>
        </is>
      </c>
      <c r="B94" s="9" t="inlineStr">
        <is>
          <t>以股份為基礎的付款</t>
        </is>
      </c>
      <c r="C94" s="9" t="inlineStr">
        <is>
          <t>medium</t>
        </is>
      </c>
      <c r="D94" s="12" t="inlineStr">
        <is>
          <t>share option</t>
        </is>
      </c>
      <c r="E94" s="12" t="inlineStr">
        <is>
          <t>PDF p.148 (印刷頁 147)</t>
        </is>
      </c>
      <c r="F94" s="12" t="inlineStr">
        <is>
          <t>hts shares, respectively. The net proceeds (after deduction of expenses) from the rights issue were approximately HK$36,940,000. 27. SHARE OPTION SCHEME A summary of the scheme of the Company is set out in the section headed “Share Option Scheme” in the Report of the Directors of the annual report. The Company adopted a share option scheme in May 2017 (the “Share Option Scheme”). The Share Option Scheme became effective on the date of the Company’s listing (i.e. 26 May 2017) and, unless otherwise cancelled or amended, will rema</t>
        </is>
      </c>
    </row>
    <row r="95">
      <c r="A95" s="9" t="inlineStr">
        <is>
          <t>Share-based Payment</t>
        </is>
      </c>
      <c r="B95" s="9" t="inlineStr">
        <is>
          <t>以股份為基礎的付款</t>
        </is>
      </c>
      <c r="C95" s="9" t="inlineStr">
        <is>
          <t>medium</t>
        </is>
      </c>
      <c r="D95" s="12" t="inlineStr">
        <is>
          <t>share option</t>
        </is>
      </c>
      <c r="E95" s="12" t="inlineStr">
        <is>
          <t>PDF p.149 (印刷頁 148)</t>
        </is>
      </c>
      <c r="F95" s="12" t="inlineStr">
        <is>
          <t>NOTES TO THE CONSOLIDATED FINANCIAL STATEMENTS Year ended 31 March 2026 27. SHARE OPTION SCHEME (continued) The maximum number of shares which may be issued upon exercise of all options granted and to be granted under the Share Option Scheme is 130,000,000 shares, representing 10% and 4% of the shares of the Company in issue as at the date of adoption of the Share Option Scheme and as at the date of this annual report respectively. The maximum number of shares issuable un</t>
        </is>
      </c>
    </row>
    <row r="96">
      <c r="A96" s="9" t="inlineStr">
        <is>
          <t>Share-based Payment</t>
        </is>
      </c>
      <c r="B96" s="9" t="inlineStr">
        <is>
          <t>以股份為基礎的付款</t>
        </is>
      </c>
      <c r="C96" s="9" t="inlineStr">
        <is>
          <t>medium</t>
        </is>
      </c>
      <c r="D96" s="12" t="inlineStr">
        <is>
          <t>share option</t>
        </is>
      </c>
      <c r="E96" s="12" t="inlineStr">
        <is>
          <t>PDF p.150 (印刷頁 149)</t>
        </is>
      </c>
      <c r="F96" s="12" t="inlineStr">
        <is>
          <t>NOTES TO THE CONSOLIDATED FINANCIAL STATEMENTS Year ended 31 March 2026 27. SHARE OPTION SCHEME (continued) There is no performance target which must be achieved before any of the options can be exercised. Except for the 652,765 (2025: 6,115,384) share options, no ordinary shares of the Company are available for issue under the Share Option Scheme as at the date of this annual report. No share options were granted during the year and the following share options were outst</t>
        </is>
      </c>
    </row>
    <row r="97">
      <c r="A97" s="9" t="inlineStr">
        <is>
          <t>Share-based Payment</t>
        </is>
      </c>
      <c r="B97" s="9" t="inlineStr">
        <is>
          <t>以股份為基礎的付款</t>
        </is>
      </c>
      <c r="C97" s="9" t="inlineStr">
        <is>
          <t>medium</t>
        </is>
      </c>
      <c r="D97" s="12" t="inlineStr">
        <is>
          <t>share option</t>
        </is>
      </c>
      <c r="E97" s="12" t="inlineStr">
        <is>
          <t>PDF p.151 (印刷頁 150)</t>
        </is>
      </c>
      <c r="F97" s="12" t="inlineStr">
        <is>
          <t>NOTES TO THE CONSOLIDATED FINANCIAL STATEMENTS Year ended 31 March 2026 27. SHARE OPTION SCHEME (continued) Fair value of options granted The fair value of options granted is being calculated by an external qualified valuer by using Black-Scholes Option Pricing Model. Black-Scholes Option Value Input Data Stock Price on 27/4/2022 (S) 0.034 Exercise Price of Option (K) 0.0342 Number of periods to Exercise in years (T-t) 10 Compounded Risk-Free Interest Rate (r) 2,826% Stan</t>
        </is>
      </c>
    </row>
    <row r="98">
      <c r="A98" s="9" t="inlineStr">
        <is>
          <t>Share-based Payment</t>
        </is>
      </c>
      <c r="B98" s="9" t="inlineStr">
        <is>
          <t>以股份為基礎的付款</t>
        </is>
      </c>
      <c r="C98" s="9" t="inlineStr">
        <is>
          <t>medium</t>
        </is>
      </c>
      <c r="D98" s="12" t="inlineStr">
        <is>
          <t>share option</t>
        </is>
      </c>
      <c r="E98" s="12" t="inlineStr">
        <is>
          <t>PDF p.169 (印刷頁 168)</t>
        </is>
      </c>
      <c r="F98" s="12" t="inlineStr">
        <is>
          <t>ended 31 March 2026 34. STATEMENT OF FINANCIAL POSITION OF THE COMPANY (continued) Note: Movements of the reserves Fair value Share Share option reserve Accumulated premium reserve (non-recycling) losses Total HK$’000 HK$’000 HK$’000 HK$’000 HK$’000 At 1 April 2024 99,086 2,016 – (120,663) (19,561) Issue of shares under specific mandate for debt capitalisation (3,308) – – – (3,308) Loss for the year and total comprehensive expense for the year – – (75) (14,162) (14,237) At 31 March 2025 and 1 April 2025 95,778 2,016 (75) (134,</t>
        </is>
      </c>
    </row>
    <row r="99">
      <c r="A99" s="9" t="inlineStr">
        <is>
          <t>Share-based Payment</t>
        </is>
      </c>
      <c r="B99" s="9" t="inlineStr">
        <is>
          <t>以股份為基礎的付款</t>
        </is>
      </c>
      <c r="C99" s="9" t="inlineStr">
        <is>
          <t>medium</t>
        </is>
      </c>
      <c r="D99" s="12" t="inlineStr">
        <is>
          <t>share-based payment</t>
        </is>
      </c>
      <c r="E99" s="12" t="inlineStr">
        <is>
          <t>PDF p.173 (印刷頁 172)</t>
        </is>
      </c>
      <c r="F99" s="12" t="inlineStr">
        <is>
          <t>eserve Share option reserve arises on the grant of share option to eligible participants under the Scheme. Further information about share-based payments is set out in note 27 to the consolidated financial statements. (iii) Other reserve Other reserve represents the Group’s aggregate amount of the issued share capital of the entities comprising the Group less consideration paid to acquire the relevant interests (if any) in relation to the reorganisation carried out in preparation for the initial listing of the Company’s shares.</t>
        </is>
      </c>
    </row>
    <row r="100">
      <c r="A100" s="9" t="inlineStr">
        <is>
          <t>Related Party Transactions</t>
        </is>
      </c>
      <c r="B100" s="9" t="inlineStr">
        <is>
          <t>關聯方交易</t>
        </is>
      </c>
      <c r="C100" s="9" t="inlineStr">
        <is>
          <t>low</t>
        </is>
      </c>
      <c r="D100" s="12" t="inlineStr">
        <is>
          <t>related party</t>
        </is>
      </c>
      <c r="E100" s="12" t="inlineStr">
        <is>
          <t>PDF p.71 (印刷頁 70)</t>
        </is>
      </c>
      <c r="F100" s="12" t="inlineStr">
        <is>
          <t>indirectly, to the Directors, senior management of the Company, the Controlling Shareholders or their respective connected persons. RELATED PARTY TRANSACTIONS Details of related party transactions of the Group during the year ended 31 March 2026 are set out in note 29 to the consolidated financial statements in this annual report. None of these related party transactions constituted a connected transaction under Chapter 20 of the GEM Listing Rules which were subject to the reporting, announcement or independent shareholders’ a</t>
        </is>
      </c>
    </row>
    <row r="101">
      <c r="A101" s="9" t="inlineStr">
        <is>
          <t>Related Party Transactions</t>
        </is>
      </c>
      <c r="B101" s="9" t="inlineStr">
        <is>
          <t>關聯方交易</t>
        </is>
      </c>
      <c r="C101" s="9" t="inlineStr">
        <is>
          <t>low</t>
        </is>
      </c>
      <c r="D101" s="12" t="inlineStr">
        <is>
          <t>related party</t>
        </is>
      </c>
      <c r="E101" s="12" t="inlineStr">
        <is>
          <t>PDF p.112 (印刷頁 111)</t>
        </is>
      </c>
      <c r="F101" s="12" t="inlineStr">
        <is>
          <t>E CONSOLIDATED FINANCIAL STATEMENTS Year ended 31 March 2026 2. MATERIAL ACCOUNTING POLICY INFORMATION (continued) Related parties A related party is a person or entity that is related to the Group. (a) A person or a close member of that person’s family is related to the Group if that person: (i) has control or joint control over the Group; (ii) has significant influence over the Group; or (iii) is a member of the key management personnel of the Group or of the holding company of the Group. (b) An entity is related to the Group</t>
        </is>
      </c>
    </row>
    <row r="102">
      <c r="A102" s="9" t="inlineStr">
        <is>
          <t>Related Party Transactions</t>
        </is>
      </c>
      <c r="B102" s="9" t="inlineStr">
        <is>
          <t>關聯方交易</t>
        </is>
      </c>
      <c r="C102" s="9" t="inlineStr">
        <is>
          <t>low</t>
        </is>
      </c>
      <c r="D102" s="12" t="inlineStr">
        <is>
          <t>related party</t>
        </is>
      </c>
      <c r="E102" s="12" t="inlineStr">
        <is>
          <t>PDF p.113 (印刷頁 112)</t>
        </is>
      </c>
      <c r="F102" s="12" t="inlineStr">
        <is>
          <t>’s spouse or domestic partner; and (c) dependants of that person or that person’s spouse or domestic partner. In the definition of a related party, an associate includes subsidiaries of the associate and a joint venture includes subsidiaries of the joint venture. Segment reporting Operating segments, and the amounts of each segment item reported in the consolidated financial statements, are identified from the financial information provided regularly to the Group’s most senior executive management for the purpose of allocating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8" t="inlineStr">
        <is>
          <t>報表 Statement</t>
        </is>
      </c>
      <c r="B7" s="8" t="inlineStr">
        <is>
          <t>未擷取科目 Missing item</t>
        </is>
      </c>
    </row>
    <row r="8">
      <c r="A8" s="9" t="inlineStr">
        <is>
          <t>Income Statement</t>
        </is>
      </c>
      <c r="B8" s="9" t="inlineStr">
        <is>
          <t>Operating Profit</t>
        </is>
      </c>
    </row>
    <row r="9">
      <c r="A9" s="9" t="inlineStr">
        <is>
          <t>Income Statement</t>
        </is>
      </c>
      <c r="B9" s="9" t="inlineStr">
        <is>
          <t>R&amp;D Expenses</t>
        </is>
      </c>
    </row>
    <row r="10">
      <c r="A10" s="9" t="inlineStr">
        <is>
          <t>Income Statement</t>
        </is>
      </c>
      <c r="B10" s="9" t="inlineStr">
        <is>
          <t>Depreciation</t>
        </is>
      </c>
    </row>
    <row r="11">
      <c r="A11" s="9" t="inlineStr">
        <is>
          <t>Income Statement</t>
        </is>
      </c>
      <c r="B11" s="9" t="inlineStr">
        <is>
          <t>Amortisation</t>
        </is>
      </c>
    </row>
    <row r="12">
      <c r="A12" s="9" t="inlineStr">
        <is>
          <t>Balance Sheet</t>
        </is>
      </c>
      <c r="B12" s="9" t="inlineStr">
        <is>
          <t>Cash and Equivalents</t>
        </is>
      </c>
    </row>
    <row r="13">
      <c r="A13" s="9" t="inlineStr">
        <is>
          <t>Balance Sheet</t>
        </is>
      </c>
      <c r="B13" s="9" t="inlineStr">
        <is>
          <t>Investment Properties</t>
        </is>
      </c>
    </row>
    <row r="14">
      <c r="A14" s="9" t="inlineStr">
        <is>
          <t>Balance Sheet</t>
        </is>
      </c>
      <c r="B14" s="9" t="inlineStr">
        <is>
          <t>Borrowings</t>
        </is>
      </c>
    </row>
    <row r="15">
      <c r="A15" s="9" t="inlineStr">
        <is>
          <t>Cash Flow</t>
        </is>
      </c>
      <c r="B15" s="9" t="inlineStr">
        <is>
          <t>Operating Cash Flow</t>
        </is>
      </c>
    </row>
    <row r="16">
      <c r="A16" s="9" t="inlineStr">
        <is>
          <t>Cash Flow</t>
        </is>
      </c>
      <c r="B16" s="9" t="inlineStr">
        <is>
          <t>Capital Expenditure</t>
        </is>
      </c>
    </row>
    <row r="19">
      <c r="A19" s="5" t="inlineStr">
        <is>
          <t>二、文字量過低的頁面(疑似掃描頁)</t>
        </is>
      </c>
    </row>
    <row r="20">
      <c r="A20" s="2" t="inlineStr">
        <is>
          <t>這些頁面幾乎抓不到文字,通常是掃描件或純圖表,建議人手翻閱或另行 OCR。</t>
        </is>
      </c>
    </row>
    <row r="22">
      <c r="A22" s="8" t="inlineStr">
        <is>
          <t>PDF 頁碼</t>
        </is>
      </c>
      <c r="B22" s="8" t="inlineStr">
        <is>
          <t>狀態</t>
        </is>
      </c>
    </row>
    <row r="23">
      <c r="A23" s="9" t="n">
        <v>1</v>
      </c>
      <c r="B23"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2026-08-30T14:15:29Z</dcterms:created>
  <dcterms:modified xsi:type="dcterms:W3CDTF">2026-08-30T14:15:29Z</dcterms:modified>
</cp:coreProperties>
</file>
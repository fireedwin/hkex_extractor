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08232_THAC_GROUP_20260730.pdf</t>
        </is>
      </c>
    </row>
    <row r="5">
      <c r="A5" s="3" t="inlineStr">
        <is>
          <t>產生時間 Generated</t>
        </is>
      </c>
      <c r="B5" s="4" t="inlineStr">
        <is>
          <t>2026-08-30 22:16</t>
        </is>
      </c>
    </row>
    <row r="6">
      <c r="A6" s="4" t="inlineStr"/>
      <c r="B6" s="4" t="inlineStr"/>
    </row>
    <row r="7">
      <c r="A7" s="3" t="inlineStr">
        <is>
          <t>總頁數 Total pages</t>
        </is>
      </c>
      <c r="B7" s="4" t="n">
        <v>101</v>
      </c>
    </row>
    <row r="8">
      <c r="A8" s="3" t="inlineStr">
        <is>
          <t>已擷取字元 Characters extracted</t>
        </is>
      </c>
      <c r="B8" s="4" t="n">
        <v>208991</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1</v>
      </c>
    </row>
    <row r="13">
      <c r="A13" s="3" t="inlineStr">
        <is>
          <t>財務科目擷取筆數 Financial line items</t>
        </is>
      </c>
      <c r="B13" s="4" t="n">
        <v>16</v>
      </c>
    </row>
    <row r="14">
      <c r="A14" s="3" t="inlineStr">
        <is>
          <t>主題段落擷取筆數 Topic extracts</t>
        </is>
      </c>
      <c r="B14" s="4" t="n">
        <v>39</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10,585 − 26,613 = -16,028</t>
        </is>
      </c>
    </row>
    <row r="20">
      <c r="A20" s="6" t="inlineStr">
        <is>
          <t>✓ 總資產 = 總負債 + 總權益</t>
        </is>
      </c>
      <c r="B20" s="4" t="inlineStr">
        <is>
          <t>56,284 vs 53,792 + 2,492 = 56,284</t>
        </is>
      </c>
    </row>
    <row r="21">
      <c r="A21" s="6" t="inlineStr">
        <is>
          <t>✓ 除稅前溢利 ± 稅項 = 年內溢利</t>
        </is>
      </c>
      <c r="B21" s="4" t="inlineStr">
        <is>
          <t>-7,017 + 0 = -7,017 vs -7,017</t>
        </is>
      </c>
    </row>
    <row r="22">
      <c r="A22" s="6" t="inlineStr">
        <is>
          <t>✓ 三大報表應相鄰</t>
        </is>
      </c>
      <c r="B22" s="4" t="inlineStr">
        <is>
          <t>Income Statement: p.47、Balance Sheet: p.48、Cash Flow: p.51(相距 4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16.01</v>
      </c>
      <c r="D5" s="10" t="n">
        <v>16.01</v>
      </c>
      <c r="E5" s="11" t="inlineStr">
        <is>
          <t>16.01%</t>
        </is>
      </c>
      <c r="F5" s="11" t="inlineStr">
        <is>
          <t>High</t>
        </is>
      </c>
      <c r="G5" s="11" t="inlineStr">
        <is>
          <t>PDF p.81 (印刷頁 80)</t>
        </is>
      </c>
      <c r="H5" s="11" t="inlineStr">
        <is>
          <t>by the management of the Group covering the remaining lease term with a pre-tax discount rate is 16.01%. The annual projected revenue of individual CGU over the remaining lease term ranged from HK$1,135,000 to HK$12,752,000 as at 31 December 2024. The 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2024; Balance Sheet: 2026 / 2024; Cash Flow: 2026 / 2024</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82338</v>
      </c>
      <c r="D5" s="13" t="n">
        <v>35736</v>
      </c>
      <c r="E5" s="14">
        <f>IF(ISERROR((C5-D5)/ABS(D5)),"",(C5-D5)/ABS(D5))</f>
        <v>1.3040631296171927</v>
      </c>
      <c r="F5" s="11" t="inlineStr">
        <is>
          <t>PDF p.47 (印刷頁 46)</t>
        </is>
      </c>
      <c r="G5" s="11" t="inlineStr">
        <is>
          <t>Revenue 6 82,338 35,736</t>
        </is>
      </c>
    </row>
    <row r="6">
      <c r="A6" s="8" t="inlineStr">
        <is>
          <t>Income Statement</t>
        </is>
      </c>
      <c r="B6" s="8" t="inlineStr">
        <is>
          <t>Depreciation</t>
        </is>
      </c>
      <c r="C6" s="12" t="n">
        <v>-6665</v>
      </c>
      <c r="D6" s="13" t="n">
        <v>-2618</v>
      </c>
      <c r="E6" s="14">
        <f>IF(ISERROR((C6-D6)/ABS(D6)),"",(C6-D6)/ABS(D6))</f>
        <v>-1.5458365164247516</v>
      </c>
      <c r="F6" s="11" t="inlineStr">
        <is>
          <t>PDF p.47 (印刷頁 46)</t>
        </is>
      </c>
      <c r="G6" s="11" t="inlineStr">
        <is>
          <t>Depreciation (6,665) (2,618)</t>
        </is>
      </c>
    </row>
    <row r="7">
      <c r="A7" s="8" t="inlineStr">
        <is>
          <t>Income Statement</t>
        </is>
      </c>
      <c r="B7" s="8" t="inlineStr">
        <is>
          <t>Finance Costs</t>
        </is>
      </c>
      <c r="C7" s="12" t="n">
        <v>-730</v>
      </c>
      <c r="D7" s="13" t="n">
        <v>-314</v>
      </c>
      <c r="E7" s="14">
        <f>IF(ISERROR((C7-D7)/ABS(D7)),"",(C7-D7)/ABS(D7))</f>
        <v>-1.3248407643312101</v>
      </c>
      <c r="F7" s="11" t="inlineStr">
        <is>
          <t>PDF p.47 (印刷頁 46)</t>
        </is>
      </c>
      <c r="G7" s="11" t="inlineStr">
        <is>
          <t>Finance costs 10 (730) (314)</t>
        </is>
      </c>
    </row>
    <row r="8">
      <c r="A8" s="8" t="inlineStr">
        <is>
          <t>Income Statement</t>
        </is>
      </c>
      <c r="B8" s="8" t="inlineStr">
        <is>
          <t>Profit Before Tax</t>
        </is>
      </c>
      <c r="C8" s="12" t="n">
        <v>-7017</v>
      </c>
      <c r="D8" s="13" t="n">
        <v>-8310</v>
      </c>
      <c r="E8" s="14">
        <f>IF(ISERROR((C8-D8)/ABS(D8)),"",(C8-D8)/ABS(D8))</f>
        <v>0.1555956678700361</v>
      </c>
      <c r="F8" s="11" t="inlineStr">
        <is>
          <t>PDF p.47 (印刷頁 46)</t>
        </is>
      </c>
      <c r="G8" s="11" t="inlineStr">
        <is>
          <t>Loss before taxation 11 (7,017) (8,310)</t>
        </is>
      </c>
    </row>
    <row r="9">
      <c r="A9" s="8" t="inlineStr">
        <is>
          <t>Income Statement</t>
        </is>
      </c>
      <c r="B9" s="8" t="inlineStr">
        <is>
          <t>Income Tax</t>
        </is>
      </c>
      <c r="C9" s="12" t="n">
        <v>0</v>
      </c>
      <c r="D9" s="13" t="n">
        <v>0</v>
      </c>
      <c r="E9" s="14" t="str">
        <f>IF(ISERROR((C9-D9)/ABS(D9)),"",(C9-D9)/ABS(D9))</f>
        <v/>
      </c>
      <c r="F9" s="11" t="inlineStr">
        <is>
          <t>PDF p.47 (印刷頁 46)</t>
        </is>
      </c>
      <c r="G9" s="11" t="inlineStr">
        <is>
          <t>Income tax charge 12 – –</t>
        </is>
      </c>
    </row>
    <row r="10">
      <c r="A10" s="8" t="inlineStr">
        <is>
          <t>Income Statement</t>
        </is>
      </c>
      <c r="B10" s="8" t="inlineStr">
        <is>
          <t>Profit for the Year</t>
        </is>
      </c>
      <c r="C10" s="12" t="n">
        <v>-7017</v>
      </c>
      <c r="D10" s="13" t="n">
        <v>-8310</v>
      </c>
      <c r="E10" s="14">
        <f>IF(ISERROR((C10-D10)/ABS(D10)),"",(C10-D10)/ABS(D10))</f>
        <v>0.1555956678700361</v>
      </c>
      <c r="F10" s="11" t="inlineStr">
        <is>
          <t>PDF p.47 (印刷頁 46)</t>
        </is>
      </c>
      <c r="G10" s="11" t="inlineStr">
        <is>
          <t>Loss for the period/year (7,017) (8,310)</t>
        </is>
      </c>
    </row>
    <row r="11">
      <c r="A11" s="8" t="inlineStr">
        <is>
          <t>Balance Sheet</t>
        </is>
      </c>
      <c r="B11" s="8" t="inlineStr">
        <is>
          <t>Property Plant and Equipment</t>
        </is>
      </c>
      <c r="C11" s="12" t="n">
        <v>10830</v>
      </c>
      <c r="D11" s="13" t="n">
        <v>225</v>
      </c>
      <c r="E11" s="14">
        <f>IF(ISERROR((C11-D11)/ABS(D11)),"",(C11-D11)/ABS(D11))</f>
        <v>47.13333333333333</v>
      </c>
      <c r="F11" s="11" t="inlineStr">
        <is>
          <t>PDF p.48 (印刷頁 47)</t>
        </is>
      </c>
      <c r="G11" s="11" t="inlineStr">
        <is>
          <t>Property, plant and equipment 15 10,830 225</t>
        </is>
      </c>
    </row>
    <row r="12">
      <c r="A12" s="8" t="inlineStr">
        <is>
          <t>Balance Sheet</t>
        </is>
      </c>
      <c r="B12" s="8" t="inlineStr">
        <is>
          <t>Inventories</t>
        </is>
      </c>
      <c r="C12" s="12" t="n">
        <v>469</v>
      </c>
      <c r="D12" s="13" t="n">
        <v>21902</v>
      </c>
      <c r="E12" s="14">
        <f>IF(ISERROR((C12-D12)/ABS(D12)),"",(C12-D12)/ABS(D12))</f>
        <v>-0.9785864304629714</v>
      </c>
      <c r="F12" s="11" t="inlineStr">
        <is>
          <t>PDF p.48 (印刷頁 47)</t>
        </is>
      </c>
      <c r="G12" s="11" t="inlineStr">
        <is>
          <t>Inventories 18 469 21,902</t>
        </is>
      </c>
    </row>
    <row r="13">
      <c r="A13" s="8" t="inlineStr">
        <is>
          <t>Balance Sheet</t>
        </is>
      </c>
      <c r="B13" s="8" t="inlineStr">
        <is>
          <t>Trade Receivables</t>
        </is>
      </c>
      <c r="C13" s="12" t="n">
        <v>6097</v>
      </c>
      <c r="D13" s="13" t="n">
        <v>3139</v>
      </c>
      <c r="E13" s="14">
        <f>IF(ISERROR((C13-D13)/ABS(D13)),"",(C13-D13)/ABS(D13))</f>
        <v>0.9423383243071042</v>
      </c>
      <c r="F13" s="11" t="inlineStr">
        <is>
          <t>PDF p.48 (印刷頁 47)</t>
        </is>
      </c>
      <c r="G13" s="11" t="inlineStr">
        <is>
          <t>Trade and other receivables, deposits and prepayments 19 6,097 3,139</t>
        </is>
      </c>
    </row>
    <row r="14">
      <c r="A14" s="8" t="inlineStr">
        <is>
          <t>Balance Sheet</t>
        </is>
      </c>
      <c r="B14" s="8" t="inlineStr">
        <is>
          <t>Total Assets</t>
        </is>
      </c>
      <c r="C14" s="12" t="n">
        <v>56284</v>
      </c>
      <c r="D14" s="13" t="n">
        <v>27342</v>
      </c>
      <c r="E14" s="14">
        <f>IF(ISERROR((C14-D14)/ABS(D14)),"",(C14-D14)/ABS(D14))</f>
        <v>1.0585180308682614</v>
      </c>
      <c r="F14" s="11" t="inlineStr">
        <is>
          <t>PDF p.48 (印刷頁 47)</t>
        </is>
      </c>
      <c r="G14" s="11" t="inlineStr">
        <is>
          <t>Total assets 56,284 27,342</t>
        </is>
      </c>
    </row>
    <row r="15">
      <c r="A15" s="8" t="inlineStr">
        <is>
          <t>Balance Sheet</t>
        </is>
      </c>
      <c r="B15" s="8" t="inlineStr">
        <is>
          <t>Total Liabilities</t>
        </is>
      </c>
      <c r="C15" s="12" t="n">
        <v>53792</v>
      </c>
      <c r="D15" s="13" t="n">
        <v>17833</v>
      </c>
      <c r="E15" s="14">
        <f>IF(ISERROR((C15-D15)/ABS(D15)),"",(C15-D15)/ABS(D15))</f>
        <v>2.0164302136488534</v>
      </c>
      <c r="F15" s="11" t="inlineStr">
        <is>
          <t>PDF p.49 (印刷頁 48)</t>
        </is>
      </c>
      <c r="G15" s="11" t="inlineStr">
        <is>
          <t>Total liabilities 53,792 17,833</t>
        </is>
      </c>
    </row>
    <row r="16">
      <c r="A16" s="8" t="inlineStr">
        <is>
          <t>Balance Sheet</t>
        </is>
      </c>
      <c r="B16" s="8" t="inlineStr">
        <is>
          <t>Total Equity</t>
        </is>
      </c>
      <c r="C16" s="12" t="n">
        <v>2492</v>
      </c>
      <c r="D16" s="13" t="n">
        <v>9509</v>
      </c>
      <c r="E16" s="14">
        <f>IF(ISERROR((C16-D16)/ABS(D16)),"",(C16-D16)/ABS(D16))</f>
        <v>-0.7379324850141971</v>
      </c>
      <c r="F16" s="11" t="inlineStr">
        <is>
          <t>PDF p.49 (印刷頁 48)</t>
        </is>
      </c>
      <c r="G16" s="11" t="inlineStr">
        <is>
          <t>Total equity 2,492 9,509</t>
        </is>
      </c>
    </row>
    <row r="17">
      <c r="A17" s="8" t="inlineStr">
        <is>
          <t>Balance Sheet</t>
        </is>
      </c>
      <c r="B17" s="8" t="inlineStr">
        <is>
          <t>Total Current Assets</t>
        </is>
      </c>
      <c r="C17" s="12" t="n">
        <v>10585</v>
      </c>
      <c r="D17" s="13" t="n">
        <v>26075</v>
      </c>
      <c r="E17" s="14">
        <f>IF(ISERROR((C17-D17)/ABS(D17)),"",(C17-D17)/ABS(D17))</f>
        <v>-0.5940556088207095</v>
      </c>
      <c r="F17" s="11" t="inlineStr">
        <is>
          <t>PDF p.48 (印刷頁 47)</t>
        </is>
      </c>
      <c r="G17" s="11" t="inlineStr">
        <is>
          <t>[current assets 區段小計] 10,585 26,075</t>
        </is>
      </c>
    </row>
    <row r="18">
      <c r="A18" s="8" t="inlineStr">
        <is>
          <t>Balance Sheet</t>
        </is>
      </c>
      <c r="B18" s="8" t="inlineStr">
        <is>
          <t>Total Current Liabilities</t>
        </is>
      </c>
      <c r="C18" s="12" t="n">
        <v>26613</v>
      </c>
      <c r="D18" s="13" t="n">
        <v>17797</v>
      </c>
      <c r="E18" s="14">
        <f>IF(ISERROR((C18-D18)/ABS(D18)),"",(C18-D18)/ABS(D18))</f>
        <v>0.4953643872562791</v>
      </c>
      <c r="F18" s="11" t="inlineStr">
        <is>
          <t>PDF p.48 (印刷頁 47)</t>
        </is>
      </c>
      <c r="G18" s="11" t="inlineStr">
        <is>
          <t>[current liabilities 區段小計] 26,613 17,797</t>
        </is>
      </c>
    </row>
    <row r="19">
      <c r="A19" s="8" t="inlineStr">
        <is>
          <t>Cash Flow</t>
        </is>
      </c>
      <c r="B19" s="8" t="inlineStr">
        <is>
          <t>Operating Cash Flow</t>
        </is>
      </c>
      <c r="C19" s="12" t="n">
        <v>19481</v>
      </c>
      <c r="D19" s="13" t="n">
        <v>-2161</v>
      </c>
      <c r="E19" s="14">
        <f>IF(ISERROR((C19-D19)/ABS(D19)),"",(C19-D19)/ABS(D19))</f>
        <v>10.014807959278112</v>
      </c>
      <c r="F19" s="11" t="inlineStr">
        <is>
          <t>PDF p.51 (印刷頁 50)</t>
        </is>
      </c>
      <c r="G19" s="11" t="inlineStr">
        <is>
          <t>Cash generated from/(used in) operations 19,481 (2,161)</t>
        </is>
      </c>
    </row>
    <row r="20">
      <c r="A20" s="8" t="inlineStr">
        <is>
          <t>Cash Flow</t>
        </is>
      </c>
      <c r="B20" s="8" t="inlineStr">
        <is>
          <t>Financing Cash Flow</t>
        </is>
      </c>
      <c r="C20" s="12" t="n">
        <v>-5280</v>
      </c>
      <c r="D20" s="13" t="n">
        <v>-3222</v>
      </c>
      <c r="E20" s="14">
        <f>IF(ISERROR((C20-D20)/ABS(D20)),"",(C20-D20)/ABS(D20))</f>
        <v>-0.638733705772812</v>
      </c>
      <c r="F20" s="11" t="inlineStr">
        <is>
          <t>PDF p.52 (印刷頁 51)</t>
        </is>
      </c>
      <c r="G20" s="11" t="inlineStr">
        <is>
          <t>NET CASH USED IN FINANCING ACTIVITIES (5,280) (3,222)</t>
        </is>
      </c>
    </row>
    <row r="22">
      <c r="A22"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t="str">
        <f>IF(ISERROR(INDEX('Financials 財務數據'!$C$5:$C$20,MATCH("Gross Profit",'Financials 財務數據'!$B$5:$B$20,0))/INDEX('Financials 財務數據'!$C$5:$C$20,MATCH("Revenue",'Financials 財務數據'!$B$5:$B$20,0))),"n/a",INDEX('Financials 財務數據'!$C$5:$C$20,MATCH("Gross Profit",'Financials 財務數據'!$B$5:$B$20,0))/INDEX('Financials 財務數據'!$C$5:$C$20,MATCH("Revenue",'Financials 財務數據'!$B$5:$B$20,0)))</f>
        <v>n/a</v>
      </c>
      <c r="C5" s="15" t="str">
        <f>IF(ISERROR(INDEX('Financials 財務數據'!$D$5:$D$20,MATCH("Gross Profit",'Financials 財務數據'!$B$5:$B$20,0))/INDEX('Financials 財務數據'!$D$5:$D$20,MATCH("Revenue",'Financials 財務數據'!$B$5:$B$20,0))),"n/a",INDEX('Financials 財務數據'!$D$5:$D$20,MATCH("Gross Profit",'Financials 財務數據'!$B$5:$B$20,0))/INDEX('Financials 財務數據'!$D$5:$D$20,MATCH("Revenue",'Financials 財務數據'!$B$5:$B$20,0)))</f>
        <v>n/a</v>
      </c>
      <c r="D5" s="2" t="inlineStr">
        <is>
          <t>毛利 ÷ 收入</t>
        </is>
      </c>
    </row>
    <row r="6">
      <c r="A6" s="4" t="inlineStr">
        <is>
          <t>Net Margin 淨利率</t>
        </is>
      </c>
      <c r="B6" s="15">
        <f>IF(ISERROR(INDEX('Financials 財務數據'!$C$5:$C$20,MATCH("Profit for the Year",'Financials 財務數據'!$B$5:$B$20,0))/INDEX('Financials 財務數據'!$C$5:$C$20,MATCH("Revenue",'Financials 財務數據'!$B$5:$B$20,0))),"n/a",INDEX('Financials 財務數據'!$C$5:$C$20,MATCH("Profit for the Year",'Financials 財務數據'!$B$5:$B$20,0))/INDEX('Financials 財務數據'!$C$5:$C$20,MATCH("Revenue",'Financials 財務數據'!$B$5:$B$20,0)))</f>
        <v>-0.08522189025723238</v>
      </c>
      <c r="C6" s="15">
        <f>IF(ISERROR(INDEX('Financials 財務數據'!$D$5:$D$20,MATCH("Profit for the Year",'Financials 財務數據'!$B$5:$B$20,0))/INDEX('Financials 財務數據'!$D$5:$D$20,MATCH("Revenue",'Financials 財務數據'!$B$5:$B$20,0))),"n/a",INDEX('Financials 財務數據'!$D$5:$D$20,MATCH("Profit for the Year",'Financials 財務數據'!$B$5:$B$20,0))/INDEX('Financials 財務數據'!$D$5:$D$20,MATCH("Revenue",'Financials 財務數據'!$B$5:$B$20,0)))</f>
        <v>-0.23253861652115515</v>
      </c>
      <c r="D6" s="2" t="inlineStr">
        <is>
          <t>年內溢利 ÷ 收入</t>
        </is>
      </c>
    </row>
    <row r="7">
      <c r="A7" s="4" t="inlineStr">
        <is>
          <t>Current Ratio 流動比率</t>
        </is>
      </c>
      <c r="B7" s="16">
        <f>IF(ISERROR(INDEX('Financials 財務數據'!$C$5:$C$20,MATCH("Total Current Assets",'Financials 財務數據'!$B$5:$B$20,0))/INDEX('Financials 財務數據'!$C$5:$C$20,MATCH("Total Current Liabilities",'Financials 財務數據'!$B$5:$B$20,0))),"n/a",INDEX('Financials 財務數據'!$C$5:$C$20,MATCH("Total Current Assets",'Financials 財務數據'!$B$5:$B$20,0))/INDEX('Financials 財務數據'!$C$5:$C$20,MATCH("Total Current Liabilities",'Financials 財務數據'!$B$5:$B$20,0)))</f>
        <v>0.3977379476195844</v>
      </c>
      <c r="C7" s="16">
        <f>IF(ISERROR(INDEX('Financials 財務數據'!$D$5:$D$20,MATCH("Total Current Assets",'Financials 財務數據'!$B$5:$B$20,0))/INDEX('Financials 財務數據'!$D$5:$D$20,MATCH("Total Current Liabilities",'Financials 財務數據'!$B$5:$B$20,0))),"n/a",INDEX('Financials 財務數據'!$D$5:$D$20,MATCH("Total Current Assets",'Financials 財務數據'!$B$5:$B$20,0))/INDEX('Financials 財務數據'!$D$5:$D$20,MATCH("Total Current Liabilities",'Financials 財務數據'!$B$5:$B$20,0)))</f>
        <v>1.4651345732426813</v>
      </c>
      <c r="D7" s="2" t="inlineStr">
        <is>
          <t>流動資產 ÷ 流動負債</t>
        </is>
      </c>
    </row>
    <row r="8">
      <c r="A8" s="4" t="inlineStr">
        <is>
          <t>Debt / Equity 負債權益比</t>
        </is>
      </c>
      <c r="B8" s="16">
        <f>IF(ISERROR(INDEX('Financials 財務數據'!$C$5:$C$20,MATCH("Total Liabilities",'Financials 財務數據'!$B$5:$B$20,0))/INDEX('Financials 財務數據'!$C$5:$C$20,MATCH("Total Equity",'Financials 財務數據'!$B$5:$B$20,0))),"n/a",INDEX('Financials 財務數據'!$C$5:$C$20,MATCH("Total Liabilities",'Financials 財務數據'!$B$5:$B$20,0))/INDEX('Financials 財務數據'!$C$5:$C$20,MATCH("Total Equity",'Financials 財務數據'!$B$5:$B$20,0)))</f>
        <v>21.585874799357946</v>
      </c>
      <c r="C8" s="16">
        <f>IF(ISERROR(INDEX('Financials 財務數據'!$D$5:$D$20,MATCH("Total Liabilities",'Financials 財務數據'!$B$5:$B$20,0))/INDEX('Financials 財務數據'!$D$5:$D$20,MATCH("Total Equity",'Financials 財務數據'!$B$5:$B$20,0))),"n/a",INDEX('Financials 財務數據'!$D$5:$D$20,MATCH("Total Liabilities",'Financials 財務數據'!$B$5:$B$20,0))/INDEX('Financials 財務數據'!$D$5:$D$20,MATCH("Total Equity",'Financials 財務數據'!$B$5:$B$20,0)))</f>
        <v>1.875381217793669</v>
      </c>
      <c r="D8" s="2" t="inlineStr">
        <is>
          <t>總負債 ÷ 總權益</t>
        </is>
      </c>
    </row>
    <row r="9">
      <c r="A9" s="4" t="inlineStr">
        <is>
          <t>Goodwill / Total Assets</t>
        </is>
      </c>
      <c r="B9" s="15" t="str">
        <f>IF(ISERROR(INDEX('Financials 財務數據'!$C$5:$C$20,MATCH("Goodwill",'Financials 財務數據'!$B$5:$B$20,0))/INDEX('Financials 財務數據'!$C$5:$C$20,MATCH("Total Assets",'Financials 財務數據'!$B$5:$B$20,0))),"n/a",INDEX('Financials 財務數據'!$C$5:$C$20,MATCH("Goodwill",'Financials 財務數據'!$B$5:$B$20,0))/INDEX('Financials 財務數據'!$C$5:$C$20,MATCH("Total Assets",'Financials 財務數據'!$B$5:$B$20,0)))</f>
        <v>n/a</v>
      </c>
      <c r="C9" s="15" t="str">
        <f>IF(ISERROR(INDEX('Financials 財務數據'!$D$5:$D$20,MATCH("Goodwill",'Financials 財務數據'!$B$5:$B$20,0))/INDEX('Financials 財務數據'!$D$5:$D$20,MATCH("Total Assets",'Financials 財務數據'!$B$5:$B$20,0))),"n/a",INDEX('Financials 財務數據'!$D$5:$D$20,MATCH("Goodwill",'Financials 財務數據'!$B$5:$B$20,0))/INDEX('Financials 財務數據'!$D$5:$D$20,MATCH("Total Assets",'Financials 財務數據'!$B$5:$B$20,0)))</f>
        <v>n/a</v>
      </c>
      <c r="D9" s="2" t="inlineStr">
        <is>
          <t>商譽佔總資產比重 — 減值風險指標</t>
        </is>
      </c>
    </row>
    <row r="10">
      <c r="A10" s="4" t="inlineStr">
        <is>
          <t>Intangibles / Total Assets</t>
        </is>
      </c>
      <c r="B10" s="15" t="str">
        <f>IF(ISERROR(INDEX('Financials 財務數據'!$C$5:$C$20,MATCH("Intangible Assets",'Financials 財務數據'!$B$5:$B$20,0))/INDEX('Financials 財務數據'!$C$5:$C$20,MATCH("Total Assets",'Financials 財務數據'!$B$5:$B$20,0))),"n/a",INDEX('Financials 財務數據'!$C$5:$C$20,MATCH("Intangible Assets",'Financials 財務數據'!$B$5:$B$20,0))/INDEX('Financials 財務數據'!$C$5:$C$20,MATCH("Total Assets",'Financials 財務數據'!$B$5:$B$20,0)))</f>
        <v>n/a</v>
      </c>
      <c r="C10" s="15" t="str">
        <f>IF(ISERROR(INDEX('Financials 財務數據'!$D$5:$D$20,MATCH("Intangible Assets",'Financials 財務數據'!$B$5:$B$20,0))/INDEX('Financials 財務數據'!$D$5:$D$20,MATCH("Total Assets",'Financials 財務數據'!$B$5:$B$20,0))),"n/a",INDEX('Financials 財務數據'!$D$5:$D$20,MATCH("Intangible Assets",'Financials 財務數據'!$B$5:$B$20,0))/INDEX('Financials 財務數據'!$D$5:$D$20,MATCH("Total Assets",'Financials 財務數據'!$B$5:$B$20,0)))</f>
        <v>n/a</v>
      </c>
      <c r="D10" s="2" t="inlineStr">
        <is>
          <t>無形資產佔比</t>
        </is>
      </c>
    </row>
    <row r="11">
      <c r="A11" s="4" t="inlineStr">
        <is>
          <t>ROE 股本回報率</t>
        </is>
      </c>
      <c r="B11" s="15">
        <f>IF(ISERROR(INDEX('Financials 財務數據'!$C$5:$C$20,MATCH("Profit for the Year",'Financials 財務數據'!$B$5:$B$20,0))/INDEX('Financials 財務數據'!$C$5:$C$20,MATCH("Total Equity",'Financials 財務數據'!$B$5:$B$20,0))),"n/a",INDEX('Financials 財務數據'!$C$5:$C$20,MATCH("Profit for the Year",'Financials 財務數據'!$B$5:$B$20,0))/INDEX('Financials 財務數據'!$C$5:$C$20,MATCH("Total Equity",'Financials 財務數據'!$B$5:$B$20,0)))</f>
        <v>-2.8158105939004816</v>
      </c>
      <c r="C11" s="15">
        <f>IF(ISERROR(INDEX('Financials 財務數據'!$D$5:$D$20,MATCH("Profit for the Year",'Financials 財務數據'!$B$5:$B$20,0))/INDEX('Financials 財務數據'!$D$5:$D$20,MATCH("Total Equity",'Financials 財務數據'!$B$5:$B$20,0))),"n/a",INDEX('Financials 財務數據'!$D$5:$D$20,MATCH("Profit for the Year",'Financials 財務數據'!$B$5:$B$20,0))/INDEX('Financials 財務數據'!$D$5:$D$20,MATCH("Total Equity",'Financials 財務數據'!$B$5:$B$20,0)))</f>
        <v>-0.8739089283836365</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35736</v>
      </c>
      <c r="C5" s="18" t="n">
        <v>82338</v>
      </c>
    </row>
    <row r="6">
      <c r="A6" s="4" t="inlineStr">
        <is>
          <t>Profit Before Tax</t>
        </is>
      </c>
      <c r="B6" s="18" t="n">
        <v>-8310</v>
      </c>
      <c r="C6" s="18" t="n">
        <v>-7017</v>
      </c>
    </row>
    <row r="7">
      <c r="A7" s="4" t="inlineStr">
        <is>
          <t>Profit for the Year</t>
        </is>
      </c>
      <c r="B7" s="18" t="n">
        <v>-8310</v>
      </c>
      <c r="C7" s="18" t="n">
        <v>-7017</v>
      </c>
    </row>
    <row r="8">
      <c r="A8" s="4" t="inlineStr">
        <is>
          <t>Total Assets</t>
        </is>
      </c>
      <c r="B8" s="18" t="n">
        <v>27342</v>
      </c>
      <c r="C8" s="18" t="n">
        <v>56284</v>
      </c>
    </row>
    <row r="9">
      <c r="A9" s="4" t="inlineStr">
        <is>
          <t>Total Equity</t>
        </is>
      </c>
      <c r="B9" s="18" t="n">
        <v>9509</v>
      </c>
      <c r="C9" s="18" t="n">
        <v>2492</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42"/>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level 1</t>
        </is>
      </c>
      <c r="E4" s="11" t="inlineStr">
        <is>
          <t>PDF p.57 (印刷頁 56)</t>
        </is>
      </c>
      <c r="F4" s="11" t="inlineStr">
        <is>
          <t>n use in HKAS 36 “Impairment of Assets”. In addition, for financial reporting purposes, fair value measurements are categorised into Level 1, 2 or 3 based on the degree to which the inputs to the fair value measurements are observable and the significance of the inputs to the fair value measurement in its entirety, which are described as follows: • Level 1 inputs are quoted prices (unadjusted) in active markets for identical assets or liabilities that the entity can access at the measurement date; • Level 2 inputs are inputs, o</t>
        </is>
      </c>
    </row>
    <row r="5">
      <c r="A5" s="8" t="inlineStr">
        <is>
          <t>Fair Value Measurement</t>
        </is>
      </c>
      <c r="B5" s="8" t="inlineStr">
        <is>
          <t>公允價值計量</t>
        </is>
      </c>
      <c r="C5" s="19" t="inlineStr">
        <is>
          <t>high</t>
        </is>
      </c>
      <c r="D5" s="11" t="inlineStr">
        <is>
          <t>valuation technique</t>
        </is>
      </c>
      <c r="E5" s="11" t="inlineStr">
        <is>
          <t>PDF p.66 (印刷頁 65)</t>
        </is>
      </c>
      <c r="F5" s="11" t="inlineStr">
        <is>
          <t>to those cash flows. When fair value less costs of disposal calculations are undertaken, the fair value was estimated using relevant valuation technique and make reference to recent market comparative for similar assets adjusted for differences in condition in order to determine the fair value. Net realisable value of inventories In accordance with HKAS 2 “Inventories”, the Group estimates annually the net realisable value of inventories. Net realisable value is the estimated selling price in the ordinary course of business, le</t>
        </is>
      </c>
    </row>
    <row r="6">
      <c r="A6" s="8" t="inlineStr">
        <is>
          <t>Impairment Testing</t>
        </is>
      </c>
      <c r="B6" s="8" t="inlineStr">
        <is>
          <t>減值測試</t>
        </is>
      </c>
      <c r="C6" s="19" t="inlineStr">
        <is>
          <t>high</t>
        </is>
      </c>
      <c r="D6" s="11" t="inlineStr">
        <is>
          <t>impairment loss</t>
        </is>
      </c>
      <c r="E6" s="11" t="inlineStr">
        <is>
          <t>PDF p.47 (印刷頁 46)</t>
        </is>
      </c>
      <c r="F6" s="11" t="inlineStr">
        <is>
          <t>nses (3,337) (1,606) Advertising and promotion expenses (1,062) (1,652) Other expenses (10,138) (6,670) Finance costs 10 (730) (314) Impairment loss of right-of-use assets 17 – (1,266) Loss before taxation 11 (7,017) (8,310) Income tax charge 12 – – Loss for the period/year (7,017) (8,310) Loss per share attributable to owners of the Company: – Basic (HK cents) 14 (12.59) (14.91) – Diluted (HK cents) 14 (12.59) (14.91) 46 THAC GROUP (HOLDINGS) LIMITED</t>
        </is>
      </c>
    </row>
    <row r="7">
      <c r="A7" s="8" t="inlineStr">
        <is>
          <t>Impairment Testing</t>
        </is>
      </c>
      <c r="B7" s="8" t="inlineStr">
        <is>
          <t>減值測試</t>
        </is>
      </c>
      <c r="C7" s="19" t="inlineStr">
        <is>
          <t>high</t>
        </is>
      </c>
      <c r="D7" s="11" t="inlineStr">
        <is>
          <t>impairment loss</t>
        </is>
      </c>
      <c r="E7" s="11" t="inlineStr">
        <is>
          <t>PDF p.51 (印刷頁 50)</t>
        </is>
      </c>
      <c r="F7" s="11" t="inlineStr">
        <is>
          <t>quipment 15 1,203 179 Depreciation on right-of-use assets 16 5,462 2,439 Gain on disposal of property, plant and equipment 9 (777) – Impairment loss of other receivables 9 – 128 Impairment loss of right-of-use assets 16 – 1,266 Interest income 8 (2) (13) Finance costs 10 730 314 Operating cash flows before movements in working capital (401) (3,997) Decrease in inventories 21,433 136 (Increase)/decrease in trade and other receivables, deposits and prepayments (4,793) 1,090 Decrease in amounts due from related companies 187 503 (</t>
        </is>
      </c>
    </row>
    <row r="8">
      <c r="A8" s="8" t="inlineStr">
        <is>
          <t>Impairment Testing</t>
        </is>
      </c>
      <c r="B8" s="8" t="inlineStr">
        <is>
          <t>減值測試</t>
        </is>
      </c>
      <c r="C8" s="19" t="inlineStr">
        <is>
          <t>high</t>
        </is>
      </c>
      <c r="D8" s="11" t="inlineStr">
        <is>
          <t>value in use</t>
        </is>
      </c>
      <c r="E8" s="11" t="inlineStr">
        <is>
          <t>PDF p.57 (印刷頁 56)</t>
        </is>
      </c>
      <c r="F8" s="11" t="inlineStr">
        <is>
          <t>asurements that have some similarities to fair value but are not fair value, such as net realisable value in HKAS 2 “Inventories” or value in use in HKAS 36 “Impairment of Assets”. In addition, for financial reporting purposes, fair value measurements are categorised into Level 1, 2 or 3 based on the degree to which the inputs to the fair value measurements are observable and the significance of the inputs to the fair value measurement in its entirety, which are described as follows: • Level 1 inputs are quoted prices (unadjust</t>
        </is>
      </c>
    </row>
    <row r="9">
      <c r="A9" s="8" t="inlineStr">
        <is>
          <t>Impairment Testing</t>
        </is>
      </c>
      <c r="B9" s="8" t="inlineStr">
        <is>
          <t>減值測試</t>
        </is>
      </c>
      <c r="C9" s="19" t="inlineStr">
        <is>
          <t>high</t>
        </is>
      </c>
      <c r="D9" s="11" t="inlineStr">
        <is>
          <t>impairment loss</t>
        </is>
      </c>
      <c r="E9" s="11" t="inlineStr">
        <is>
          <t>PDF p.58 (印刷頁 57)</t>
        </is>
      </c>
      <c r="F9" s="11" t="inlineStr">
        <is>
          <t>these elements of control. In the Company’s statement of financial position, investment in subsidiaries is carried at cost less any impairment loss, if any. The results of subsidiaries are accounted for by the Company on the basis of dividends received and receivable at the reporting date. (c) Property, plant and equipment Property, plant and equipment are stated in the consolidated statement of financial position at cost less subsequent accumulated depreciation and subsequent accumulated impairment losses, if any. Depreciatio</t>
        </is>
      </c>
    </row>
    <row r="10">
      <c r="A10" s="8" t="inlineStr">
        <is>
          <t>Impairment Testing</t>
        </is>
      </c>
      <c r="B10" s="8" t="inlineStr">
        <is>
          <t>減值測試</t>
        </is>
      </c>
      <c r="C10" s="19" t="inlineStr">
        <is>
          <t>high</t>
        </is>
      </c>
      <c r="D10" s="11" t="inlineStr">
        <is>
          <t>impairment loss</t>
        </is>
      </c>
      <c r="E10" s="11" t="inlineStr">
        <is>
          <t>PDF p.59 (印刷頁 58)</t>
        </is>
      </c>
      <c r="F10" s="11" t="inlineStr">
        <is>
          <t>applying a cost model. Under the cost model, the Group measures the right-of-use at cost, less any accumulated depreciation and any impairment losses, and adjusted for any remeasurement of lease liability. Right-of-use assets are depreciated on a straight-line basis over the lease terms. Lease liability The lease liability is recognised at the present value of the lease payments, principally fixed lease payments less lease incentives receivables (if any), that are not paid at the date of commencement of the lease. The lease pa</t>
        </is>
      </c>
    </row>
    <row r="11">
      <c r="A11" s="8" t="inlineStr">
        <is>
          <t>Impairment Testing</t>
        </is>
      </c>
      <c r="B11" s="8" t="inlineStr">
        <is>
          <t>減值測試</t>
        </is>
      </c>
      <c r="C11" s="19" t="inlineStr">
        <is>
          <t>high</t>
        </is>
      </c>
      <c r="D11" s="11" t="inlineStr">
        <is>
          <t>impairment loss</t>
        </is>
      </c>
      <c r="E11" s="11" t="inlineStr">
        <is>
          <t>PDF p.60 (印刷頁 59)</t>
        </is>
      </c>
      <c r="F11" s="11" t="inlineStr">
        <is>
          <t>ws the carrying amounts of its nonfinancial assets to determine whether there is any indication that those assets have suffered an impairment loss. If any such indication exists, the recoverable amount of the asset is estimated in order to determine the extent of the impairment loss, if any. The recoverable amount of non-financial assets are estimated individually. When it is not possible to estimate the recoverable amount of an asset individually, the Group estimates the recoverable amount of the cash-generating unit to whic</t>
        </is>
      </c>
    </row>
    <row r="12">
      <c r="A12" s="8" t="inlineStr">
        <is>
          <t>Impairment Testing</t>
        </is>
      </c>
      <c r="B12" s="8" t="inlineStr">
        <is>
          <t>減值測試</t>
        </is>
      </c>
      <c r="C12" s="19" t="inlineStr">
        <is>
          <t>high</t>
        </is>
      </c>
      <c r="D12" s="11" t="inlineStr">
        <is>
          <t>impairment loss</t>
        </is>
      </c>
      <c r="E12" s="11" t="inlineStr">
        <is>
          <t>PDF p.61 (印刷頁 60)</t>
        </is>
      </c>
      <c r="F12" s="11" t="inlineStr">
        <is>
          <t>ge gains and losses and impairment are recognised in profit or loss. Any gain on derecognition is recognised in profit or loss. (ii) Impairment loss on financial assets The Group recognises loss allowances for expected credit loss (“ECL”) on trade receivables and, financial assets measured at amortised cost. ECLs are measured on either of the following bases: • 12-months ECLs: these are ECLs that result from possible default events within the 12 months after the reporting date; and • Lifetime ECLs: these are ECLs that result fr</t>
        </is>
      </c>
    </row>
    <row r="13">
      <c r="A13" s="8" t="inlineStr">
        <is>
          <t>Impairment Testing</t>
        </is>
      </c>
      <c r="B13" s="8" t="inlineStr">
        <is>
          <t>減值測試</t>
        </is>
      </c>
      <c r="C13" s="19" t="inlineStr">
        <is>
          <t>high</t>
        </is>
      </c>
      <c r="D13" s="11" t="inlineStr">
        <is>
          <t>impairment loss</t>
        </is>
      </c>
      <c r="E13" s="11" t="inlineStr">
        <is>
          <t>PDF p.62 (印刷頁 61)</t>
        </is>
      </c>
      <c r="F13" s="11" t="inlineStr">
        <is>
          <t>fifteen months ended 31 March 2026 4. MATERIAL ACCOUNTING POLICY INFORMATION (Continued) (g) Financial instruments (Continued) (ii) Impairment loss on financial assets (Continued) The Group measured loss allowances for trade receivables using HKFRS 9 simplified approach and has calculated ECLs based on lifetime ECLs. The Group has established a provision matrix that is based on the Group’s historical credit loss experience, adjusted for forward-looking factors specific to the debtors and the economic environment. For other deb</t>
        </is>
      </c>
    </row>
    <row r="14">
      <c r="A14" s="8" t="inlineStr">
        <is>
          <t>Impairment Testing</t>
        </is>
      </c>
      <c r="B14" s="8" t="inlineStr">
        <is>
          <t>減值測試</t>
        </is>
      </c>
      <c r="C14" s="19" t="inlineStr">
        <is>
          <t>high</t>
        </is>
      </c>
      <c r="D14" s="11" t="inlineStr">
        <is>
          <t>recoverable amount</t>
        </is>
      </c>
      <c r="E14" s="11" t="inlineStr">
        <is>
          <t>PDF p.66 (印刷頁 65)</t>
        </is>
      </c>
      <c r="F14" s="11" t="inlineStr">
        <is>
          <t>d right-of-use asset Assessing impairment of the property, plant and equipment and right-of-use assets requires an estimation of its recoverable amounts which is the higher of value in use and fair value less costs of disposal. If there is any indication that the property, plant and equipment and right-of-use assets allocated to each individual restaurant cash generating unit (“CGU”) may be impaired, such as restaurants operated with operating loss, recoverable amount shall be estimated for such restaurant CGU. When value in us</t>
        </is>
      </c>
    </row>
    <row r="15">
      <c r="A15" s="8" t="inlineStr">
        <is>
          <t>Impairment Testing</t>
        </is>
      </c>
      <c r="B15" s="8" t="inlineStr">
        <is>
          <t>減值測試</t>
        </is>
      </c>
      <c r="C15" s="19" t="inlineStr">
        <is>
          <t>high</t>
        </is>
      </c>
      <c r="D15" s="11" t="inlineStr">
        <is>
          <t>impairment loss</t>
        </is>
      </c>
      <c r="E15" s="11" t="inlineStr">
        <is>
          <t>PDF p.72 (印刷頁 71)</t>
        </is>
      </c>
      <c r="F15" s="11" t="inlineStr">
        <is>
          <t>– 410 Depreciation of property, plant and equipment (Note 15) 36 143 179 Depreciation of right of use assets (Note 16) 2,439 – 2,439 Impairment loss recognised in respect of right of use assets (Note 16) 1,266 – 1,266 Impairment loss of other receivables (Note 9) 128 – 128 Information about major customers Fifteen months Year ended ended 31 March 31 December 2026 2024 HK$’000 HK$’000 Western Customer A 13,819 – Geographical information All the Group’s operations are located in Hong Kong. Accordingly, the Group’s revenue from ex</t>
        </is>
      </c>
    </row>
    <row r="16">
      <c r="A16" s="8" t="inlineStr">
        <is>
          <t>Impairment Testing</t>
        </is>
      </c>
      <c r="B16" s="8" t="inlineStr">
        <is>
          <t>減值測試</t>
        </is>
      </c>
      <c r="C16" s="19" t="inlineStr">
        <is>
          <t>high</t>
        </is>
      </c>
      <c r="D16" s="11" t="inlineStr">
        <is>
          <t>impairment loss</t>
        </is>
      </c>
      <c r="E16" s="11" t="inlineStr">
        <is>
          <t>PDF p.76 (印刷頁 75)</t>
        </is>
      </c>
      <c r="F16" s="11" t="inlineStr">
        <is>
          <t>D LOSSES, NET Fifteen Year ended months ended 31 December 31 March 2026 2024 HK$’000 HK$’000 Net foreign exchange loss, net (27) (1) Impairment loss of other receivables – (128) Gain on disposal of property, plant and equipment 777 – 750 (129) 10. FINANCE COSTS Fifteen Year ended months ended 31 December 31 March 2026 2024 HK$’000 HK$’000 Interest on lease liabilities 730 314 11. LOSS BEFORE TAXATION Fifteen Year ended months ended 31 December 31 March 2026 2024 HK$’000 HK$’000 Loss before taxation has been arrived at after cha</t>
        </is>
      </c>
    </row>
    <row r="17">
      <c r="A17" s="8" t="inlineStr">
        <is>
          <t>Impairment Testing</t>
        </is>
      </c>
      <c r="B17" s="8" t="inlineStr">
        <is>
          <t>減值測試</t>
        </is>
      </c>
      <c r="C17" s="19" t="inlineStr">
        <is>
          <t>high</t>
        </is>
      </c>
      <c r="D17" s="11" t="inlineStr">
        <is>
          <t>recoverable amount</t>
        </is>
      </c>
      <c r="E17" s="11" t="inlineStr">
        <is>
          <t>PDF p.81 (印刷頁 80)</t>
        </is>
      </c>
      <c r="F17" s="11" t="inlineStr">
        <is>
          <t>rable performance of the Group resulting from the uncertain economic environment in Hong Kong and conducted impairment assessment on recoverable amounts of certain property, plant and equipment and right-of-use assets associated to the restaurants. The recoverable amount of the relevant restaurants are estimated individually. The recoverable amount of CGUs have been determined based on a value in use calculation. That calculation uses cash flow projections based on financial budgets approved by the management of the Group cover</t>
        </is>
      </c>
    </row>
    <row r="18">
      <c r="A18" s="8" t="inlineStr">
        <is>
          <t>Intangible Assets &amp; Goodwill</t>
        </is>
      </c>
      <c r="B18" s="8" t="inlineStr">
        <is>
          <t>無形資產及商譽</t>
        </is>
      </c>
      <c r="C18" s="19" t="inlineStr">
        <is>
          <t>high</t>
        </is>
      </c>
      <c r="D18" s="11" t="inlineStr">
        <is>
          <t>goodwill</t>
        </is>
      </c>
      <c r="E18" s="11" t="inlineStr">
        <is>
          <t>PDF p.60 (印刷頁 59)</t>
        </is>
      </c>
      <c r="F18" s="11" t="inlineStr">
        <is>
          <t>s recoverable amount. In allocating the impairment loss, the impairment loss is allocated first to reduce the carrying amount of any goodwill (if applicable) and then to the other assets on a pro-rata basis based on the carrying amount of each asset in the unit. The carrying amount of an asset is not reduced below the highest of its fair value less costs of disposal (if measurable), its value in use (if determinable) and zero. The amount of the impairment loss that would otherwise have been allocated to the asset is allocated p</t>
        </is>
      </c>
    </row>
    <row r="19">
      <c r="A19" s="8" t="inlineStr">
        <is>
          <t>Intangible Assets &amp; Goodwill</t>
        </is>
      </c>
      <c r="B19" s="8" t="inlineStr">
        <is>
          <t>無形資產及商譽</t>
        </is>
      </c>
      <c r="C19" s="19" t="inlineStr">
        <is>
          <t>high</t>
        </is>
      </c>
      <c r="D19" s="11" t="inlineStr">
        <is>
          <t>amortisation</t>
        </is>
      </c>
      <c r="E19" s="11" t="inlineStr">
        <is>
          <t>PDF p.62 (印刷頁 61)</t>
        </is>
      </c>
      <c r="F19" s="11" t="inlineStr">
        <is>
          <t>sed in profit or loss. Gains or losses are recognised in profit or loss when the liabilities are derecognised as well as through the amortisation process. 61 2025/26 ANNUAL REPORT</t>
        </is>
      </c>
    </row>
    <row r="20">
      <c r="A20" s="8" t="inlineStr">
        <is>
          <t>ESG Data</t>
        </is>
      </c>
      <c r="B20" s="8" t="inlineStr">
        <is>
          <t>環境社會及管治數據</t>
        </is>
      </c>
      <c r="C20" s="8" t="inlineStr">
        <is>
          <t>medium</t>
        </is>
      </c>
      <c r="D20" s="11" t="inlineStr">
        <is>
          <t>ESG</t>
        </is>
      </c>
      <c r="E20" s="11" t="inlineStr">
        <is>
          <t>PDF p.13 (印刷頁 12)</t>
        </is>
      </c>
      <c r="F20" s="11" t="inlineStr">
        <is>
          <t>S) examination administered by the Association of Certified Anti- Money Laundering Specialists (ACAMS). She also holds the Certified ESG Analyst (CESGA) credential awarded by the CFA Institute and is a Certified ESG Planner (CEP®) recognized in Hong Kong. Ms. Chan, has over 10 years of experience in auditing and financial fields. Ms. Chan has been serving as an independent non-executive director of Prosperity Group International Limited (a company listed on the Stock Exchange with stock code: 1421) since December 2024, GBA Grou</t>
        </is>
      </c>
    </row>
    <row r="21">
      <c r="A21" s="8" t="inlineStr">
        <is>
          <t>ESG Data</t>
        </is>
      </c>
      <c r="B21" s="8" t="inlineStr">
        <is>
          <t>環境社會及管治數據</t>
        </is>
      </c>
      <c r="C21" s="8" t="inlineStr">
        <is>
          <t>medium</t>
        </is>
      </c>
      <c r="D21" s="11" t="inlineStr">
        <is>
          <t>ESG</t>
        </is>
      </c>
      <c r="E21" s="11" t="inlineStr">
        <is>
          <t>PDF p.16 (印刷頁 15)</t>
        </is>
      </c>
      <c r="F21" s="11" t="inlineStr">
        <is>
          <t>diversified experience in management and broad industry experience. INEDs possess professional knowledge in accounting and finance, ESG matters, risk management, legal compliance and business management, respectively. The Board has ensured that appropriate balance of gender diversity is achieved with reference to stakeholders’ expectation and international and local recommended best practices. The Board is of the view that the board diversity policy of the Company can ensure there will be a pipeline of potential successors to</t>
        </is>
      </c>
    </row>
    <row r="22">
      <c r="A22" s="8" t="inlineStr">
        <is>
          <t>Segment Information</t>
        </is>
      </c>
      <c r="B22" s="8" t="inlineStr">
        <is>
          <t>分部資料</t>
        </is>
      </c>
      <c r="C22" s="8" t="inlineStr">
        <is>
          <t>medium</t>
        </is>
      </c>
      <c r="D22" s="11" t="inlineStr">
        <is>
          <t>geographical</t>
        </is>
      </c>
      <c r="E22" s="11" t="inlineStr">
        <is>
          <t>PDF p.67 (印刷頁 66)</t>
        </is>
      </c>
      <c r="F22" s="11" t="inlineStr">
        <is>
          <t>00 Types of services: Catering services 82,338 35,736 Fifteen Year ended months ended 31 December 31 March 2026 2024 HK$’000 HK$’000 Geographical market (Note) Hong Kong 82,338 35,736 Fifteen Year ended months ended 31 December 31 March 2026 2024 HK$’000 HK$’000 Timing of recognition revenue Point in time 82,338 35,736 Note: Information about the Group’s revenue from external customers is presented based on the location of the services provided. Performance obligations for contracts with customers The performance obligation is</t>
        </is>
      </c>
    </row>
    <row r="23">
      <c r="A23" s="8" t="inlineStr">
        <is>
          <t>Segment Information</t>
        </is>
      </c>
      <c r="B23" s="8" t="inlineStr">
        <is>
          <t>分部資料</t>
        </is>
      </c>
      <c r="C23" s="8" t="inlineStr">
        <is>
          <t>medium</t>
        </is>
      </c>
      <c r="D23" s="11" t="inlineStr">
        <is>
          <t>segment information</t>
        </is>
      </c>
      <c r="E23" s="11" t="inlineStr">
        <is>
          <t>PDF p.68 (印刷頁 67)</t>
        </is>
      </c>
      <c r="F23" s="11" t="inlineStr">
        <is>
          <t>ecember 2024 has been recognised as revenue for the fifteen months ended 31 March 2026 due to the performance obligations satisfied. Segment information The financial information reported to executive directors of the Company, being the chief operating decision marker, for the purpose of assessment of segment performance and resources allocation focuses on types of services rendered and goods delivered. No operating segments identified by the chief operating decision maker have been aggregated in arriving at the reportable segm</t>
        </is>
      </c>
    </row>
    <row r="24">
      <c r="A24" s="8" t="inlineStr">
        <is>
          <t>Segment Information</t>
        </is>
      </c>
      <c r="B24" s="8" t="inlineStr">
        <is>
          <t>分部資料</t>
        </is>
      </c>
      <c r="C24" s="8" t="inlineStr">
        <is>
          <t>medium</t>
        </is>
      </c>
      <c r="D24" s="11" t="inlineStr">
        <is>
          <t>reportable segment</t>
        </is>
      </c>
      <c r="E24" s="11" t="inlineStr">
        <is>
          <t>PDF p.69 (印刷頁 68)</t>
        </is>
      </c>
      <c r="F24" s="11" t="inlineStr">
        <is>
          <t>,199) Loss before taxation (8,310) There was no inter-segment revenue for both periods. The accounting policies of the operating and reportable segments are the same as the Group’s accounting policies described in Note 4. Segment results represent the loss incurred by each segment without allocation of other income, other gains and losses, net and unallocated operating costs (including head office staff costs, short-term lease expenses rental and other corporate expenses). 68 THAC GROUP (HOLDINGS) LIMITED</t>
        </is>
      </c>
    </row>
    <row r="25">
      <c r="A25" s="8" t="inlineStr">
        <is>
          <t>Segment Information</t>
        </is>
      </c>
      <c r="B25" s="8" t="inlineStr">
        <is>
          <t>分部資料</t>
        </is>
      </c>
      <c r="C25" s="8" t="inlineStr">
        <is>
          <t>medium</t>
        </is>
      </c>
      <c r="D25" s="11" t="inlineStr">
        <is>
          <t>reportable segment</t>
        </is>
      </c>
      <c r="E25" s="11" t="inlineStr">
        <is>
          <t>PDF p.71 (印刷頁 70)</t>
        </is>
      </c>
      <c r="F25" s="11" t="inlineStr">
        <is>
          <t>e purposes of monitoring segment performances and allocating resources between segments: – all assets are allocated to operating and reportable segments, other than certain property, plant and equipment, certain inventories, certain other receivables, deposits and prepayments, amounts due from related companies with non-trade nature, tax recoverable, bank balances and cash. – all liabilities are allocated to operating and reportable segments, other than certain other payables and amounts due to directors and related companies.</t>
        </is>
      </c>
    </row>
    <row r="26">
      <c r="A26" s="8" t="inlineStr">
        <is>
          <t>Segment Information</t>
        </is>
      </c>
      <c r="B26" s="8" t="inlineStr">
        <is>
          <t>分部資料</t>
        </is>
      </c>
      <c r="C26" s="8" t="inlineStr">
        <is>
          <t>medium</t>
        </is>
      </c>
      <c r="D26" s="11" t="inlineStr">
        <is>
          <t>segment information</t>
        </is>
      </c>
      <c r="E26" s="11" t="inlineStr">
        <is>
          <t>PDF p.72 (印刷頁 71)</t>
        </is>
      </c>
      <c r="F26" s="11" t="inlineStr">
        <is>
          <t>CONSOLIDATED FINANCIAL STATEMENTS For the fifteen months ended 31 March 2026 6. REVENUE AND SEGMENTAL INFORMATION (Continued) Other segment information Fifteen months ended 31 March 2026 Western Chinese Unallocated Consolidated HK$’000 HK$’000 HK$’000 HK$’000 Amounts included in the measure of segment profit or segment assets: Additions of property, plant and equipment (Note 15) – 11,831 – 11,831 Additions of right of use assets (Note 16) – 33,158 – 33,158 Depreciation of property, plant and equipment (Note 15) 56 1,010 137 1,</t>
        </is>
      </c>
    </row>
    <row r="27">
      <c r="A27" s="8" t="inlineStr">
        <is>
          <t>Share-based Payment</t>
        </is>
      </c>
      <c r="B27" s="8" t="inlineStr">
        <is>
          <t>以股份為基礎的付款</t>
        </is>
      </c>
      <c r="C27" s="8" t="inlineStr">
        <is>
          <t>medium</t>
        </is>
      </c>
      <c r="D27" s="11" t="inlineStr">
        <is>
          <t>share option</t>
        </is>
      </c>
      <c r="E27" s="11" t="inlineStr">
        <is>
          <t>PDF p.33 (印刷頁 32)</t>
        </is>
      </c>
      <c r="F27" s="11" t="inlineStr">
        <is>
          <t>and Short Positions of Substantial Shareholders and Other Persons in the Shares, Underlying Shares and Debentures of the Company”, “Share Option Scheme” and “Connected Transactions” below, at no time during the fifteen months ended 31 March 2026 were rights to acquire benefits by means of the acquisition of Shares in or debentures of the Company granted to any Director or their respective associates nor was the Company and any of its subsidiaries a party to any arrangement to enable the Directors, or their respective associate</t>
        </is>
      </c>
    </row>
    <row r="28">
      <c r="A28" s="8" t="inlineStr">
        <is>
          <t>Share-based Payment</t>
        </is>
      </c>
      <c r="B28" s="8" t="inlineStr">
        <is>
          <t>以股份為基礎的付款</t>
        </is>
      </c>
      <c r="C28" s="8" t="inlineStr">
        <is>
          <t>medium</t>
        </is>
      </c>
      <c r="D28" s="11" t="inlineStr">
        <is>
          <t>share option</t>
        </is>
      </c>
      <c r="E28" s="11" t="inlineStr">
        <is>
          <t>PDF p.34 (印刷頁 33)</t>
        </is>
      </c>
      <c r="F28" s="11" t="inlineStr">
        <is>
          <t>DIRECTORS’ REPORT ﻿ SHARE OPTION SCHEME The following is a summary of the principal terms of the rules of the Share Option Scheme conditionally adopted by the resolutions in writing of all the Shareholders passed on 14 June 2016 (the “Adoption Date”). The terms of the Share Option Scheme are in accordance with the provisions of Chapter 23 of the GEM Listing Rules. (A) Purpose of the Share Option Scheme The purpose of</t>
        </is>
      </c>
    </row>
    <row r="29">
      <c r="A29" s="8" t="inlineStr">
        <is>
          <t>Share-based Payment</t>
        </is>
      </c>
      <c r="B29" s="8" t="inlineStr">
        <is>
          <t>以股份為基礎的付款</t>
        </is>
      </c>
      <c r="C29" s="8" t="inlineStr">
        <is>
          <t>medium</t>
        </is>
      </c>
      <c r="D29" s="11" t="inlineStr">
        <is>
          <t>share option</t>
        </is>
      </c>
      <c r="E29" s="11" t="inlineStr">
        <is>
          <t>PDF p.35 (印刷頁 34)</t>
        </is>
      </c>
      <c r="F29" s="11" t="inlineStr">
        <is>
          <t>in general meeting provided that the total number of shares which may be issued upon exercise of all options to be granted under the Share Option Scheme and any other share option schemes of the Company must not exceed 10% of the shares in issue as at the date of approval of the refreshed limit. Options previously granted under the Share Option Scheme and any other share option schemes of the Company (including those outstanding, cancelled or lapsed in accordance with the terms of the Share Option Scheme and any other share opt</t>
        </is>
      </c>
    </row>
    <row r="30">
      <c r="A30" s="8" t="inlineStr">
        <is>
          <t>Share-based Payment</t>
        </is>
      </c>
      <c r="B30" s="8" t="inlineStr">
        <is>
          <t>以股份為基礎的付款</t>
        </is>
      </c>
      <c r="C30" s="8" t="inlineStr">
        <is>
          <t>medium</t>
        </is>
      </c>
      <c r="D30" s="11" t="inlineStr">
        <is>
          <t>share option</t>
        </is>
      </c>
      <c r="E30" s="11" t="inlineStr">
        <is>
          <t>PDF p.36 (印刷頁 35)</t>
        </is>
      </c>
      <c r="F30" s="11" t="inlineStr">
        <is>
          <t>tal number of shares issued and to be issued upon exercise of all options already granted and to be granted to such person under the Share Option Scheme (including options exercised, cancelled and outstanding) and any other share option schemes of the Company to such person in any 12-month period up to and including the date of grant: (i) representing in aggregate over 0.1% of the shares in issue; and (ii) having an aggregate value, based on the closing price of the shares at the date of each grant, in excess of HK$5.0 million,</t>
        </is>
      </c>
    </row>
    <row r="31">
      <c r="A31" s="8" t="inlineStr">
        <is>
          <t>Share-based Payment</t>
        </is>
      </c>
      <c r="B31" s="8" t="inlineStr">
        <is>
          <t>以股份為基礎的付款</t>
        </is>
      </c>
      <c r="C31" s="8" t="inlineStr">
        <is>
          <t>medium</t>
        </is>
      </c>
      <c r="D31" s="11" t="inlineStr">
        <is>
          <t>share option</t>
        </is>
      </c>
      <c r="E31" s="11" t="inlineStr">
        <is>
          <t>PDF p.37 (印刷頁 36)</t>
        </is>
      </c>
      <c r="F31" s="11" t="inlineStr">
        <is>
          <t>o the publication date of the results. (I) Time of exercise of option An option may be exercised in accordance with the terms of the Share Option Scheme at any time during a period as the Board may determine which shall not exceed 10 years from the date of grant subject to the provisions of early termination thereof. (J) Period of the Share Option Scheme The Share Option Scheme will remain in force for a period of ten years commencing on the Adoption Date and shall expire at the close of business on the business day immediately</t>
        </is>
      </c>
    </row>
    <row r="32">
      <c r="A32" s="8" t="inlineStr">
        <is>
          <t>Share-based Payment</t>
        </is>
      </c>
      <c r="B32" s="8" t="inlineStr">
        <is>
          <t>以股份為基礎的付款</t>
        </is>
      </c>
      <c r="C32" s="8" t="inlineStr">
        <is>
          <t>medium</t>
        </is>
      </c>
      <c r="D32" s="11" t="inlineStr">
        <is>
          <t>share option</t>
        </is>
      </c>
      <c r="E32" s="11" t="inlineStr">
        <is>
          <t>PDF p.42 (印刷頁 41)</t>
        </is>
      </c>
      <c r="F32" s="11" t="inlineStr">
        <is>
          <t>to all our employees. No discretionary bonus was paid or receivable by the Directors for the fifteen months ended 31 March 2026. The share option scheme enables the Company to grant options as an incentive to eligible participants. Details of the scheme are set out in the section headed “Share Option Scheme” on page 33 and note 31 of this Annual Report. ENVIRONMENTAL, POLICIES AND PERFORMANCE The Group is devoted to promoting and maintaining the environmental and social sustainable development of Hong Kong. As a responsible ent</t>
        </is>
      </c>
    </row>
    <row r="33">
      <c r="A33" s="8" t="inlineStr">
        <is>
          <t>Share-based Payment</t>
        </is>
      </c>
      <c r="B33" s="8" t="inlineStr">
        <is>
          <t>以股份為基礎的付款</t>
        </is>
      </c>
      <c r="C33" s="8" t="inlineStr">
        <is>
          <t>medium</t>
        </is>
      </c>
      <c r="D33" s="11" t="inlineStr">
        <is>
          <t>share-based payment</t>
        </is>
      </c>
      <c r="E33" s="11" t="inlineStr">
        <is>
          <t>PDF p.57 (印刷頁 56)</t>
        </is>
      </c>
      <c r="F33" s="11" t="inlineStr">
        <is>
          <t>alue for measurement and/or disclosure purposes in these consolidated financial statements is determined on such a basis, except for share-based payment transactions that are within the scope of HKFRS 2 “Share-based Payment”, leasing transactions that are within the scope of HKFRS 16, and measurements that have some similarities to fair value but are not fair value, such as net realisable value in HKAS 2 “Inventories” or value in use in HKAS 36 “Impairment of Assets”. In addition, for financial reporting purposes, fair value me</t>
        </is>
      </c>
    </row>
    <row r="34">
      <c r="A34" s="8" t="inlineStr">
        <is>
          <t>Share-based Payment</t>
        </is>
      </c>
      <c r="B34" s="8" t="inlineStr">
        <is>
          <t>以股份為基礎的付款</t>
        </is>
      </c>
      <c r="C34" s="8" t="inlineStr">
        <is>
          <t>medium</t>
        </is>
      </c>
      <c r="D34" s="11" t="inlineStr">
        <is>
          <t>share option</t>
        </is>
      </c>
      <c r="E34" s="11" t="inlineStr">
        <is>
          <t>PDF p.97 (印刷頁 96)</t>
        </is>
      </c>
      <c r="F34" s="11" t="inlineStr">
        <is>
          <t>NOTES TO THE CONSOLIDATED FINANCIAL STATEMENTS For the fifteen months ended 31 March 2026 31. SHARE OPTION SCHEME The Company’s share option scheme was adopted pursuant to a resolution passed on 14 June 2016 (“Share Option Scheme”) for the primary purpose of providing incentives to eligible participants for their contributions to the Group. Under the Share Option Scheme, the directors of the Company may grant options to eligible employees, including directors of the Company and its subsidi</t>
        </is>
      </c>
    </row>
    <row r="35">
      <c r="A35" s="8" t="inlineStr">
        <is>
          <t>Related Party Transactions</t>
        </is>
      </c>
      <c r="B35" s="8" t="inlineStr">
        <is>
          <t>關聯方交易</t>
        </is>
      </c>
      <c r="C35" s="8" t="inlineStr">
        <is>
          <t>low</t>
        </is>
      </c>
      <c r="D35" s="11" t="inlineStr">
        <is>
          <t>connected transaction</t>
        </is>
      </c>
      <c r="E35" s="11" t="inlineStr">
        <is>
          <t>PDF p.17 (印刷頁 16)</t>
        </is>
      </c>
      <c r="F35" s="11" t="inlineStr">
        <is>
          <t>knowledge and experience, the INEDs advise the Company on its operation and management; provide independent opinion on the Company’s connected transactions; and participate in the Company’s various committees including Audit Committee, Remuneration Committee and Nomination Committee. The Nomination Committee have assessed the independence of the candidates who were appointed as INEDs as well as the INEDs who are to be re-elected with reference to the independence guidelines set out at Rule 5.09 of the GEM Listing Rules to ensur</t>
        </is>
      </c>
    </row>
    <row r="36">
      <c r="A36" s="8" t="inlineStr">
        <is>
          <t>Related Party Transactions</t>
        </is>
      </c>
      <c r="B36" s="8" t="inlineStr">
        <is>
          <t>關聯方交易</t>
        </is>
      </c>
      <c r="C36" s="8" t="inlineStr">
        <is>
          <t>low</t>
        </is>
      </c>
      <c r="D36" s="11" t="inlineStr">
        <is>
          <t>connected transaction</t>
        </is>
      </c>
      <c r="E36" s="11" t="inlineStr">
        <is>
          <t>PDF p.21 (印刷頁 20)</t>
        </is>
      </c>
      <c r="F36" s="11" t="inlineStr">
        <is>
          <t>CORPORATE GOVERNANCE REPORT ﻿ INDEPENDENT BOARD COMMITTEE Where there are matters involving connected or continuing connected transactions, so far as required under the GEM Listing Rules, an Independent Board Committee, comprising wholly the INEDs, will be established. BOARD COMMITTEES The Board has established three committees, namely the Remuneration Committee, the Nomination Committee and the Audit Committee with delegated powers for overseeing particular aspects of the Company’s affair. Each of the committe</t>
        </is>
      </c>
    </row>
    <row r="37">
      <c r="A37" s="8" t="inlineStr">
        <is>
          <t>Related Party Transactions</t>
        </is>
      </c>
      <c r="B37" s="8" t="inlineStr">
        <is>
          <t>關聯方交易</t>
        </is>
      </c>
      <c r="C37" s="8" t="inlineStr">
        <is>
          <t>low</t>
        </is>
      </c>
      <c r="D37" s="11" t="inlineStr">
        <is>
          <t>connected transaction</t>
        </is>
      </c>
      <c r="E37" s="11" t="inlineStr">
        <is>
          <t>PDF p.26 (印刷頁 25)</t>
        </is>
      </c>
      <c r="F37" s="11" t="inlineStr">
        <is>
          <t>ised access and use of inside information are strictly prohibited. Independent non-executive Directors’ view on internal control for connected transactions The management and independent non-executive Directors will continue to monitor connected transactions of the Company. The management and independent non-executive Directors consider that information provided by the Company’s management to assist independent non-executive Directors in their annual review of connected transaction are fair and sufficient. The independent non-e</t>
        </is>
      </c>
    </row>
    <row r="38">
      <c r="A38" s="8" t="inlineStr">
        <is>
          <t>Related Party Transactions</t>
        </is>
      </c>
      <c r="B38" s="8" t="inlineStr">
        <is>
          <t>關聯方交易</t>
        </is>
      </c>
      <c r="C38" s="8" t="inlineStr">
        <is>
          <t>low</t>
        </is>
      </c>
      <c r="D38" s="11" t="inlineStr">
        <is>
          <t>connected transaction</t>
        </is>
      </c>
      <c r="E38" s="11" t="inlineStr">
        <is>
          <t>PDF p.32 (印刷頁 31)</t>
        </is>
      </c>
      <c r="F38" s="11" t="inlineStr">
        <is>
          <t>GNIFICANCE Except for the transactions disclosed in notes 20 and 27 to the consolidated financial statements and the section headed “Connected Transaction” below, no other contracts of significance to which the Company or any of its subsidiaries was a party and in which a Director or controlling shareholder of the Company had a material interest subsisted as at 31 March 2026 or at any time during the Period. DIRECTORS’ INTERESTS IN COMPETING BUSINESS The Directors are not aware of any business and interest of the Directors nor</t>
        </is>
      </c>
    </row>
    <row r="39">
      <c r="A39" s="8" t="inlineStr">
        <is>
          <t>Related Party Transactions</t>
        </is>
      </c>
      <c r="B39" s="8" t="inlineStr">
        <is>
          <t>關聯方交易</t>
        </is>
      </c>
      <c r="C39" s="8" t="inlineStr">
        <is>
          <t>low</t>
        </is>
      </c>
      <c r="D39" s="11" t="inlineStr">
        <is>
          <t>connected transaction</t>
        </is>
      </c>
      <c r="E39" s="11" t="inlineStr">
        <is>
          <t>PDF p.33 (印刷頁 32)</t>
        </is>
      </c>
      <c r="F39" s="11" t="inlineStr">
        <is>
          <t>bstantial Shareholders and Other Persons in the Shares, Underlying Shares and Debentures of the Company”, “Share Option Scheme” and “Connected Transactions” below, at no time during the fifteen months ended 31 March 2026 were rights to acquire benefits by means of the acquisition of Shares in or debentures of the Company granted to any Director or their respective associates nor was the Company and any of its subsidiaries a party to any arrangement to enable the Directors, or their respective associates to acquire such rights i</t>
        </is>
      </c>
    </row>
    <row r="40">
      <c r="A40" s="8" t="inlineStr">
        <is>
          <t>Related Party Transactions</t>
        </is>
      </c>
      <c r="B40" s="8" t="inlineStr">
        <is>
          <t>關聯方交易</t>
        </is>
      </c>
      <c r="C40" s="8" t="inlineStr">
        <is>
          <t>low</t>
        </is>
      </c>
      <c r="D40" s="11" t="inlineStr">
        <is>
          <t>related party</t>
        </is>
      </c>
      <c r="E40" s="11" t="inlineStr">
        <is>
          <t>PDF p.37 (印刷頁 36)</t>
        </is>
      </c>
      <c r="F40" s="11" t="inlineStr">
        <is>
          <t>xpired on 13 June 2026 and no option has been granted or agreed to be granted since the Adoption Date under the Share Option Scheme. RELATED PARTY TRANSACTIONS The details of related party transactions for the fifteen months ended 31 March 2026 are set out in note 27 to the consolidated financial statements. In relation to those related party transactions that also constituted connected transactions or continuing connected transactions of the Group as defined under the GEM Listing Rules, the Company confirms that it has complie</t>
        </is>
      </c>
    </row>
    <row r="41">
      <c r="A41" s="8" t="inlineStr">
        <is>
          <t>Related Party Transactions</t>
        </is>
      </c>
      <c r="B41" s="8" t="inlineStr">
        <is>
          <t>關聯方交易</t>
        </is>
      </c>
      <c r="C41" s="8" t="inlineStr">
        <is>
          <t>low</t>
        </is>
      </c>
      <c r="D41" s="11" t="inlineStr">
        <is>
          <t>connected transaction</t>
        </is>
      </c>
      <c r="E41" s="11" t="inlineStr">
        <is>
          <t>PDF p.38 (印刷頁 37)</t>
        </is>
      </c>
      <c r="F41" s="11" t="inlineStr">
        <is>
          <t>DIRECTORS’ REPORT ﻿ CONNECTED TRANSACTIONS During the Period, the Group did not enter into any transactions which need to be disclosed as connected transactions or continuing connected transactions pursuant to Chapter 20 of the GEM Listing Rules. DIRECTORS The Directors during the Period and up to the date of this Annual Report are as follows: Executive Directors Mr. KWOK Chun Kwan (Chairman) (appointed on 30 Septemb</t>
        </is>
      </c>
    </row>
    <row r="42">
      <c r="A42" s="8" t="inlineStr">
        <is>
          <t>Related Party Transactions</t>
        </is>
      </c>
      <c r="B42" s="8" t="inlineStr">
        <is>
          <t>關聯方交易</t>
        </is>
      </c>
      <c r="C42" s="8" t="inlineStr">
        <is>
          <t>low</t>
        </is>
      </c>
      <c r="D42" s="11" t="inlineStr">
        <is>
          <t>related party</t>
        </is>
      </c>
      <c r="E42" s="11" t="inlineStr">
        <is>
          <t>PDF p.91 (印刷頁 90)</t>
        </is>
      </c>
      <c r="F42" s="11" t="inlineStr">
        <is>
          <t>NOTES TO THE CONSOLIDATED FINANCIAL STATEMENTS For the fifteen months ended 31 March 2026 27. RELATED PARTY TRANSACTIONS Save as disclosed elsewhere in the consolidated financial statements, the Group had the following transactions with related parties during the period/year. Fifteen Year ended months ended 31 December 31 March 2026 2024 HK$’000 HK$’000 Catering income from Mr. Pong and Mr. Wong (Note b) 2 6 Catering income from Altaya Wines (Note b) 3 13 Management fee income from Way Wis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6"/>
  <sheetViews>
    <sheetView workbookViewId="0">
      <pane ySplit="25" topLeftCell="A26"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Gross Profit</t>
        </is>
      </c>
    </row>
    <row r="10">
      <c r="A10" s="8" t="inlineStr">
        <is>
          <t>Income Statement</t>
        </is>
      </c>
      <c r="B10" s="8" t="inlineStr">
        <is>
          <t>Operating Profit</t>
        </is>
      </c>
    </row>
    <row r="11">
      <c r="A11" s="8" t="inlineStr">
        <is>
          <t>Income Statement</t>
        </is>
      </c>
      <c r="B11" s="8" t="inlineStr">
        <is>
          <t>R&amp;D Expenses</t>
        </is>
      </c>
    </row>
    <row r="12">
      <c r="A12" s="8" t="inlineStr">
        <is>
          <t>Income Statement</t>
        </is>
      </c>
      <c r="B12" s="8" t="inlineStr">
        <is>
          <t>Amortisation</t>
        </is>
      </c>
    </row>
    <row r="13">
      <c r="A13" s="8" t="inlineStr">
        <is>
          <t>Balance Sheet</t>
        </is>
      </c>
      <c r="B13" s="8" t="inlineStr">
        <is>
          <t>Cash and Equivalents</t>
        </is>
      </c>
    </row>
    <row r="14">
      <c r="A14" s="8" t="inlineStr">
        <is>
          <t>Balance Sheet</t>
        </is>
      </c>
      <c r="B14" s="8" t="inlineStr">
        <is>
          <t>Goodwill</t>
        </is>
      </c>
    </row>
    <row r="15">
      <c r="A15" s="8" t="inlineStr">
        <is>
          <t>Balance Sheet</t>
        </is>
      </c>
      <c r="B15" s="8" t="inlineStr">
        <is>
          <t>Intangible Assets</t>
        </is>
      </c>
    </row>
    <row r="16">
      <c r="A16" s="8" t="inlineStr">
        <is>
          <t>Balance Sheet</t>
        </is>
      </c>
      <c r="B16" s="8" t="inlineStr">
        <is>
          <t>Investment Properties</t>
        </is>
      </c>
    </row>
    <row r="17">
      <c r="A17" s="8" t="inlineStr">
        <is>
          <t>Balance Sheet</t>
        </is>
      </c>
      <c r="B17" s="8" t="inlineStr">
        <is>
          <t>Borrowings</t>
        </is>
      </c>
    </row>
    <row r="18">
      <c r="A18" s="8" t="inlineStr">
        <is>
          <t>Cash Flow</t>
        </is>
      </c>
      <c r="B18" s="8" t="inlineStr">
        <is>
          <t>Investing Cash Flow</t>
        </is>
      </c>
    </row>
    <row r="19">
      <c r="A19" s="8" t="inlineStr">
        <is>
          <t>Cash Flow</t>
        </is>
      </c>
      <c r="B19" s="8" t="inlineStr">
        <is>
          <t>Capital Expenditure</t>
        </is>
      </c>
    </row>
    <row r="22">
      <c r="A22" s="5" t="inlineStr">
        <is>
          <t>二、文字量過低的頁面(疑似掃描頁)</t>
        </is>
      </c>
    </row>
    <row r="23">
      <c r="A23" s="2" t="inlineStr">
        <is>
          <t>這些頁面幾乎抓不到文字,通常是掃描件或純圖表,建議人手翻閱或另行 OCR。</t>
        </is>
      </c>
    </row>
    <row r="25">
      <c r="A25" s="7" t="inlineStr">
        <is>
          <t>PDF 頁碼</t>
        </is>
      </c>
      <c r="B25" s="7" t="inlineStr">
        <is>
          <t>狀態</t>
        </is>
      </c>
    </row>
    <row r="26">
      <c r="A26"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2026-08-30T14:16:10Z</dcterms:created>
  <dcterms:modified xsi:type="dcterms:W3CDTF">2026-08-30T14:16:10Z</dcterms:modified>
</cp:coreProperties>
</file>
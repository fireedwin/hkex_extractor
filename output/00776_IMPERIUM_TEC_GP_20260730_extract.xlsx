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趨勢圖'!$A$5:$A$8</f>
            </numRef>
          </cat>
          <val>
            <numRef>
              <f>'Chart 趨勢圖'!$B$5:$B$8</f>
            </numRef>
          </val>
        </ser>
        <ser>
          <idx val="1"/>
          <order val="1"/>
          <tx>
            <strRef>
              <f>'Chart 趨勢圖'!C4</f>
            </strRef>
          </tx>
          <spPr>
            <a:ln>
              <a:prstDash val="solid"/>
            </a:ln>
          </spPr>
          <cat>
            <numRef>
              <f>'Chart 趨勢圖'!$A$5:$A$8</f>
            </numRef>
          </cat>
          <val>
            <numRef>
              <f>'Chart 趨勢圖'!$C$5:$C$8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00776_IMPERIUM_TEC_GP_20260730.pdf</t>
        </is>
      </c>
    </row>
    <row r="5">
      <c r="A5" s="3" t="inlineStr">
        <is>
          <t>產生時間 Generated</t>
        </is>
      </c>
      <c r="B5" s="4" t="inlineStr">
        <is>
          <t>2026-08-30 22:16</t>
        </is>
      </c>
    </row>
    <row r="6">
      <c r="A6" s="4" t="inlineStr"/>
      <c r="B6" s="4" t="inlineStr"/>
    </row>
    <row r="7">
      <c r="A7" s="3" t="inlineStr">
        <is>
          <t>總頁數 Total pages</t>
        </is>
      </c>
      <c r="B7" s="4" t="n">
        <v>258</v>
      </c>
    </row>
    <row r="8">
      <c r="A8" s="3" t="inlineStr">
        <is>
          <t>已擷取字元 Characters extracted</t>
        </is>
      </c>
      <c r="B8" s="4" t="n">
        <v>514187</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6</v>
      </c>
    </row>
    <row r="13">
      <c r="A13" s="3" t="inlineStr">
        <is>
          <t>財務科目擷取筆數 Financial line items</t>
        </is>
      </c>
      <c r="B13" s="4" t="n">
        <v>18</v>
      </c>
    </row>
    <row r="14">
      <c r="A14" s="3" t="inlineStr">
        <is>
          <t>主題段落擷取筆數 Topic extracts</t>
        </is>
      </c>
      <c r="B14" s="4" t="n">
        <v>177</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49,869 − 39,195 = 10,674</t>
        </is>
      </c>
    </row>
    <row r="20">
      <c r="A20" s="6" t="inlineStr">
        <is>
          <t>✓ 收入 − 銷售成本 = 毛利</t>
        </is>
      </c>
      <c r="B20" s="4" t="inlineStr">
        <is>
          <t>53,579 − 28,083 = 25,496 vs 毛利 25,496</t>
        </is>
      </c>
    </row>
    <row r="21">
      <c r="A21" s="6" t="inlineStr">
        <is>
          <t>✓ 除稅前溢利 ± 稅項 = 年內溢利</t>
        </is>
      </c>
      <c r="B21" s="4" t="inlineStr">
        <is>
          <t>-64,651 + 94 = -64,745 vs -64,745</t>
        </is>
      </c>
    </row>
    <row r="22">
      <c r="A22" s="6" t="inlineStr">
        <is>
          <t>✓ 三大報表應相鄰</t>
        </is>
      </c>
      <c r="B22" s="4" t="inlineStr">
        <is>
          <t>Income Statement: p.124、Balance Sheet: p.126、Cash Flow: p.129(相距 5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Expected Volatility</t>
        </is>
      </c>
      <c r="B5" s="8" t="inlineStr">
        <is>
          <t>預期波幅</t>
        </is>
      </c>
      <c r="C5" s="9" t="n">
        <v>78.61</v>
      </c>
      <c r="D5" s="10" t="n">
        <v>78.61</v>
      </c>
      <c r="E5" s="11" t="inlineStr">
        <is>
          <t>78.61%</t>
        </is>
      </c>
      <c r="F5" s="11" t="inlineStr">
        <is>
          <t>High</t>
        </is>
      </c>
      <c r="G5" s="11" t="inlineStr">
        <is>
          <t>PDF p.43 (印刷頁 42)</t>
        </is>
      </c>
      <c r="H5" s="11" t="inlineStr">
        <is>
          <t>of grant 於授出日期股價 HK$11.04港元 HK$17.02港元 Exercise price 行使價 HK$11.04港元 HK$17.14港元 Expected volatility (per annum) 預期波幅（每年） 78.61% 81.16% Expected life of share options 購股權預期年期 10 years年 10 years年 Expected dividend yield 預期股息率 0.00% 0.00% Risk-free rate 無風險利率 1.</t>
        </is>
      </c>
    </row>
    <row r="6">
      <c r="A6" s="8" t="inlineStr">
        <is>
          <t>Expected Volatility</t>
        </is>
      </c>
      <c r="B6" s="8" t="inlineStr">
        <is>
          <t>預期波幅</t>
        </is>
      </c>
      <c r="C6" s="9" t="n">
        <v>81.16</v>
      </c>
      <c r="D6" s="10" t="n">
        <v>81.16</v>
      </c>
      <c r="E6" s="11" t="inlineStr">
        <is>
          <t>81.16%</t>
        </is>
      </c>
      <c r="F6" s="11" t="inlineStr">
        <is>
          <t>High</t>
        </is>
      </c>
      <c r="G6" s="11" t="inlineStr">
        <is>
          <t>PDF p.246 (印刷頁 245)</t>
        </is>
      </c>
      <c r="H6" s="11" t="inlineStr">
        <is>
          <t>.04港元 Weighted average exercise price 加權平均行使價 HK$17.14 HK$11.04 17.14港元 11.04港元 Expected volatility 預期波幅 81.16% 78.61% Expected life 預期使用年限 10 years 10 years 10年 10年 Risk free rate 無風險利率 1.61% 1.43% Expected dividend yield 預期股息率 0.00% 0.00% Expected volatilit</t>
        </is>
      </c>
    </row>
    <row r="7">
      <c r="A7" s="8" t="inlineStr">
        <is>
          <t>Gross Margin</t>
        </is>
      </c>
      <c r="B7" s="8" t="inlineStr">
        <is>
          <t>毛利率</t>
        </is>
      </c>
      <c r="C7" s="9" t="n">
        <v>39.4</v>
      </c>
      <c r="D7" s="10" t="n">
        <v>39.4</v>
      </c>
      <c r="E7" s="11" t="inlineStr">
        <is>
          <t>39.4%</t>
        </is>
      </c>
      <c r="F7" s="11" t="inlineStr">
        <is>
          <t>High</t>
        </is>
      </c>
      <c r="G7" s="11" t="inlineStr">
        <is>
          <t>PDF p.15 (印刷頁 14)</t>
        </is>
      </c>
      <c r="H7" s="11" t="inlineStr">
        <is>
          <t>ainly due to the 該增加乃由於來自電子競技分部的收益增加。 increase of revenue from esports segment. Gross profit margin of the Group increased from 39.4% for the year 本集團之毛利率由截至二零二四年十二月三十一 ended 31 December 2024 to approximately 47.6% for the Period 日止年度的39.4%上升至期內約47.6%，主要由於 wa</t>
        </is>
      </c>
    </row>
    <row r="8">
      <c r="A8" s="8" t="inlineStr">
        <is>
          <t>Gross Margin</t>
        </is>
      </c>
      <c r="B8" s="8" t="inlineStr">
        <is>
          <t>毛利率</t>
        </is>
      </c>
      <c r="C8" s="9" t="n">
        <v>47.6</v>
      </c>
      <c r="D8" s="10" t="n">
        <v>47.6</v>
      </c>
      <c r="E8" s="11" t="inlineStr">
        <is>
          <t>47.6%</t>
        </is>
      </c>
      <c r="F8" s="11" t="inlineStr">
        <is>
          <t>Medium</t>
        </is>
      </c>
      <c r="G8" s="11" t="inlineStr">
        <is>
          <t>PDF p.15 (印刷頁 14)</t>
        </is>
      </c>
      <c r="H8" s="11" t="inlineStr">
        <is>
          <t>ely 47.6% for the Period 日止年度的39.4%上升至期內約47.6%，主要由於 was mainly due to increased gross profit margin of online game 線上遊戲業務及電子競技業務的毛利率增加。 business and esports business. Other income increased from approximately HK$1,870,000 for the 其他收入由截至二零二四年十二月三十一日止年 year en</t>
        </is>
      </c>
    </row>
    <row r="9">
      <c r="A9" s="8" t="inlineStr">
        <is>
          <t>Risk-free Rate</t>
        </is>
      </c>
      <c r="B9" s="8" t="inlineStr">
        <is>
          <t>無風險利率</t>
        </is>
      </c>
      <c r="C9" s="9" t="n">
        <v>1.43</v>
      </c>
      <c r="D9" s="10" t="n">
        <v>1.43</v>
      </c>
      <c r="E9" s="11" t="inlineStr">
        <is>
          <t>1.43%</t>
        </is>
      </c>
      <c r="F9" s="11" t="inlineStr">
        <is>
          <t>High</t>
        </is>
      </c>
      <c r="G9" s="11" t="inlineStr">
        <is>
          <t>PDF p.43 (印刷頁 42)</t>
        </is>
      </c>
      <c r="H9" s="11" t="inlineStr">
        <is>
          <t>e options 購股權預期年期 10 years年 10 years年 Expected dividend yield 預期股息率 0.00% 0.00% Risk-free rate 無風險利率 1.43% 1.61% Fair value of share option 購股權之公允值 HK$34,456,254港元 HK$35,360,821港元 Fair values of the share options were with reference to the valuation 購股權之</t>
        </is>
      </c>
    </row>
    <row r="10">
      <c r="A10" s="8" t="inlineStr">
        <is>
          <t>Risk-free Rate</t>
        </is>
      </c>
      <c r="B10" s="8" t="inlineStr">
        <is>
          <t>無風險利率</t>
        </is>
      </c>
      <c r="C10" s="9" t="n">
        <v>1.61</v>
      </c>
      <c r="D10" s="10" t="n">
        <v>1.61</v>
      </c>
      <c r="E10" s="11" t="inlineStr">
        <is>
          <t>1.61%</t>
        </is>
      </c>
      <c r="F10" s="11" t="inlineStr">
        <is>
          <t>High</t>
        </is>
      </c>
      <c r="G10" s="11" t="inlineStr">
        <is>
          <t>PDF p.246 (印刷頁 245)</t>
        </is>
      </c>
      <c r="H10" s="11" t="inlineStr">
        <is>
          <t xml:space="preserve">ed volatility 預期波幅 81.16% 78.61% Expected life 預期使用年限 10 years 10 years 10年 10年 Risk free rate 無風險利率 1.61% 1.43% Expected dividend yield 預期股息率 0.00% 0.00% Expected volatility was determined by calculating the 預期波幅透過計算本公司過去10年股價的 historical volatility of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2024; Balance Sheet: 2026 / 2024; Cash Flow: 2026 / 2024</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53579</v>
      </c>
      <c r="D5" s="13" t="n">
        <v>51510</v>
      </c>
      <c r="E5" s="14">
        <f>IF(ISERROR((C5-D5)/ABS(D5)),"",(C5-D5)/ABS(D5))</f>
        <v>0.04016695787225781</v>
      </c>
      <c r="F5" s="11" t="inlineStr">
        <is>
          <t>PDF p.124 (印刷頁 123)</t>
        </is>
      </c>
      <c r="G5" s="11" t="inlineStr">
        <is>
          <t>REVENUE 收益 8 53,579 51,510</t>
        </is>
      </c>
    </row>
    <row r="6">
      <c r="A6" s="8" t="inlineStr">
        <is>
          <t>Income Statement</t>
        </is>
      </c>
      <c r="B6" s="8" t="inlineStr">
        <is>
          <t>Cost of Sales</t>
        </is>
      </c>
      <c r="C6" s="12" t="n">
        <v>-28083</v>
      </c>
      <c r="D6" s="13" t="n">
        <v>-31217</v>
      </c>
      <c r="E6" s="14">
        <f>IF(ISERROR((C6-D6)/ABS(D6)),"",(C6-D6)/ABS(D6))</f>
        <v>0.10039401608098152</v>
      </c>
      <c r="F6" s="11" t="inlineStr">
        <is>
          <t>PDF p.124 (印刷頁 123)</t>
        </is>
      </c>
      <c r="G6" s="11" t="inlineStr">
        <is>
          <t>Cost of sales 銷售成本 (28,083) (31,217)</t>
        </is>
      </c>
    </row>
    <row r="7">
      <c r="A7" s="8" t="inlineStr">
        <is>
          <t>Income Statement</t>
        </is>
      </c>
      <c r="B7" s="8" t="inlineStr">
        <is>
          <t>Gross Profit</t>
        </is>
      </c>
      <c r="C7" s="12" t="n">
        <v>25496</v>
      </c>
      <c r="D7" s="13" t="n">
        <v>20293</v>
      </c>
      <c r="E7" s="14">
        <f>IF(ISERROR((C7-D7)/ABS(D7)),"",(C7-D7)/ABS(D7))</f>
        <v>0.2563938303848618</v>
      </c>
      <c r="F7" s="11" t="inlineStr">
        <is>
          <t>PDF p.124 (印刷頁 123)</t>
        </is>
      </c>
      <c r="G7" s="11" t="inlineStr">
        <is>
          <t>Gross profit 毛利 25,496 20,293</t>
        </is>
      </c>
    </row>
    <row r="8">
      <c r="A8" s="8" t="inlineStr">
        <is>
          <t>Income Statement</t>
        </is>
      </c>
      <c r="B8" s="8" t="inlineStr">
        <is>
          <t>Operating Profit</t>
        </is>
      </c>
      <c r="C8" s="12" t="n">
        <v>-37343</v>
      </c>
      <c r="D8" s="13" t="n">
        <v>-25669</v>
      </c>
      <c r="E8" s="14">
        <f>IF(ISERROR((C8-D8)/ABS(D8)),"",(C8-D8)/ABS(D8))</f>
        <v>-0.45478982430168685</v>
      </c>
      <c r="F8" s="11" t="inlineStr">
        <is>
          <t>PDF p.124 (印刷頁 123)</t>
        </is>
      </c>
      <c r="G8" s="11" t="inlineStr">
        <is>
          <t>LOSS FROM OPERATIONS 經營虧損 (37,343) (25,669)</t>
        </is>
      </c>
    </row>
    <row r="9">
      <c r="A9" s="8" t="inlineStr">
        <is>
          <t>Income Statement</t>
        </is>
      </c>
      <c r="B9" s="8" t="inlineStr">
        <is>
          <t>Finance Costs</t>
        </is>
      </c>
      <c r="C9" s="12" t="n">
        <v>-27308</v>
      </c>
      <c r="D9" s="13" t="n">
        <v>-16030</v>
      </c>
      <c r="E9" s="14">
        <f>IF(ISERROR((C9-D9)/ABS(D9)),"",(C9-D9)/ABS(D9))</f>
        <v>-0.7035558328134748</v>
      </c>
      <c r="F9" s="11" t="inlineStr">
        <is>
          <t>PDF p.124 (印刷頁 123)</t>
        </is>
      </c>
      <c r="G9" s="11" t="inlineStr">
        <is>
          <t>Finance costs 融資成本 13 (27,308) (16,030)</t>
        </is>
      </c>
    </row>
    <row r="10">
      <c r="A10" s="8" t="inlineStr">
        <is>
          <t>Income Statement</t>
        </is>
      </c>
      <c r="B10" s="8" t="inlineStr">
        <is>
          <t>Profit Before Tax</t>
        </is>
      </c>
      <c r="C10" s="12" t="n">
        <v>-64651</v>
      </c>
      <c r="D10" s="13" t="n">
        <v>-41699</v>
      </c>
      <c r="E10" s="14">
        <f>IF(ISERROR((C10-D10)/ABS(D10)),"",(C10-D10)/ABS(D10))</f>
        <v>-0.5504208734022399</v>
      </c>
      <c r="F10" s="11" t="inlineStr">
        <is>
          <t>PDF p.124 (印刷頁 123)</t>
        </is>
      </c>
      <c r="G10" s="11" t="inlineStr">
        <is>
          <t>LOSS BEFORE TAX 除稅前虧損 (64,651) (41,699)</t>
        </is>
      </c>
    </row>
    <row r="11">
      <c r="A11" s="8" t="inlineStr">
        <is>
          <t>Income Statement</t>
        </is>
      </c>
      <c r="B11" s="8" t="inlineStr">
        <is>
          <t>Income Tax</t>
        </is>
      </c>
      <c r="C11" s="12" t="n">
        <v>-94</v>
      </c>
      <c r="D11" s="13" t="n">
        <v>-26</v>
      </c>
      <c r="E11" s="14">
        <f>IF(ISERROR((C11-D11)/ABS(D11)),"",(C11-D11)/ABS(D11))</f>
        <v>-2.6153846153846154</v>
      </c>
      <c r="F11" s="11" t="inlineStr">
        <is>
          <t>PDF p.124 (印刷頁 123)</t>
        </is>
      </c>
      <c r="G11" s="11" t="inlineStr">
        <is>
          <t>Income tax expense 所得稅開支 14 (94) (26)</t>
        </is>
      </c>
    </row>
    <row r="12">
      <c r="A12" s="8" t="inlineStr">
        <is>
          <t>Income Statement</t>
        </is>
      </c>
      <c r="B12" s="8" t="inlineStr">
        <is>
          <t>Profit for the Year</t>
        </is>
      </c>
      <c r="C12" s="12" t="n">
        <v>-64745</v>
      </c>
      <c r="D12" s="13" t="n">
        <v>-41725</v>
      </c>
      <c r="E12" s="14">
        <f>IF(ISERROR((C12-D12)/ABS(D12)),"",(C12-D12)/ABS(D12))</f>
        <v>-0.5517076093469143</v>
      </c>
      <c r="F12" s="11" t="inlineStr">
        <is>
          <t>PDF p.124 (印刷頁 123)</t>
        </is>
      </c>
      <c r="G12" s="11" t="inlineStr">
        <is>
          <t>LOSS FOR THE PERIOD/YEAR 期╱年內虧損 15 (64,745) (41,725)</t>
        </is>
      </c>
    </row>
    <row r="13">
      <c r="A13" s="8" t="inlineStr">
        <is>
          <t>Balance Sheet</t>
        </is>
      </c>
      <c r="B13" s="8" t="inlineStr">
        <is>
          <t>Property Plant and Equipment</t>
        </is>
      </c>
      <c r="C13" s="12" t="n">
        <v>8637</v>
      </c>
      <c r="D13" s="13" t="n">
        <v>8840</v>
      </c>
      <c r="E13" s="14">
        <f>IF(ISERROR((C13-D13)/ABS(D13)),"",(C13-D13)/ABS(D13))</f>
        <v>-0.022963800904977377</v>
      </c>
      <c r="F13" s="11" t="inlineStr">
        <is>
          <t>PDF p.126 (印刷頁 125)</t>
        </is>
      </c>
      <c r="G13" s="11" t="inlineStr">
        <is>
          <t>Property, plant and equipment 物業、廠房及設備 18 8,637 8,840</t>
        </is>
      </c>
    </row>
    <row r="14">
      <c r="A14" s="8" t="inlineStr">
        <is>
          <t>Balance Sheet</t>
        </is>
      </c>
      <c r="B14" s="8" t="inlineStr">
        <is>
          <t>Investment Properties</t>
        </is>
      </c>
      <c r="C14" s="12" t="n">
        <v>23215</v>
      </c>
      <c r="D14" s="13" t="n">
        <v>19699</v>
      </c>
      <c r="E14" s="14">
        <f>IF(ISERROR((C14-D14)/ABS(D14)),"",(C14-D14)/ABS(D14))</f>
        <v>0.17848621757449618</v>
      </c>
      <c r="F14" s="11" t="inlineStr">
        <is>
          <t>PDF p.126 (印刷頁 125)</t>
        </is>
      </c>
      <c r="G14" s="11" t="inlineStr">
        <is>
          <t>Investment properties 投資物業 19 23,215 19,699</t>
        </is>
      </c>
    </row>
    <row r="15">
      <c r="A15" s="8" t="inlineStr">
        <is>
          <t>Balance Sheet</t>
        </is>
      </c>
      <c r="B15" s="8" t="inlineStr">
        <is>
          <t>Goodwill</t>
        </is>
      </c>
      <c r="C15" s="12" t="n">
        <v>0</v>
      </c>
      <c r="D15" s="13" t="n">
        <v>0</v>
      </c>
      <c r="E15" s="14" t="str">
        <f>IF(ISERROR((C15-D15)/ABS(D15)),"",(C15-D15)/ABS(D15))</f>
        <v/>
      </c>
      <c r="F15" s="11" t="inlineStr">
        <is>
          <t>PDF p.126 (印刷頁 125)</t>
        </is>
      </c>
      <c r="G15" s="11" t="inlineStr">
        <is>
          <t>Goodwill 商譽 20 — —</t>
        </is>
      </c>
    </row>
    <row r="16">
      <c r="A16" s="8" t="inlineStr">
        <is>
          <t>Balance Sheet</t>
        </is>
      </c>
      <c r="B16" s="8" t="inlineStr">
        <is>
          <t>Intangible Assets</t>
        </is>
      </c>
      <c r="C16" s="12" t="n">
        <v>894</v>
      </c>
      <c r="D16" s="13" t="n">
        <v>5220</v>
      </c>
      <c r="E16" s="14">
        <f>IF(ISERROR((C16-D16)/ABS(D16)),"",(C16-D16)/ABS(D16))</f>
        <v>-0.828735632183908</v>
      </c>
      <c r="F16" s="11" t="inlineStr">
        <is>
          <t>PDF p.126 (印刷頁 125)</t>
        </is>
      </c>
      <c r="G16" s="11" t="inlineStr">
        <is>
          <t>Intangible assets 無形資產 21 894 5,220</t>
        </is>
      </c>
    </row>
    <row r="17">
      <c r="A17" s="8" t="inlineStr">
        <is>
          <t>Balance Sheet</t>
        </is>
      </c>
      <c r="B17" s="8" t="inlineStr">
        <is>
          <t>Inventories</t>
        </is>
      </c>
      <c r="C17" s="12" t="n">
        <v>58</v>
      </c>
      <c r="D17" s="13" t="n">
        <v>221</v>
      </c>
      <c r="E17" s="14">
        <f>IF(ISERROR((C17-D17)/ABS(D17)),"",(C17-D17)/ABS(D17))</f>
        <v>-0.7375565610859729</v>
      </c>
      <c r="F17" s="11" t="inlineStr">
        <is>
          <t>PDF p.126 (印刷頁 125)</t>
        </is>
      </c>
      <c r="G17" s="11" t="inlineStr">
        <is>
          <t>Inventories 存貨 58 221</t>
        </is>
      </c>
    </row>
    <row r="18">
      <c r="A18" s="8" t="inlineStr">
        <is>
          <t>Balance Sheet</t>
        </is>
      </c>
      <c r="B18" s="8" t="inlineStr">
        <is>
          <t>Trade Receivables</t>
        </is>
      </c>
      <c r="C18" s="12" t="n">
        <v>14375</v>
      </c>
      <c r="D18" s="13" t="n">
        <v>19455</v>
      </c>
      <c r="E18" s="14">
        <f>IF(ISERROR((C18-D18)/ABS(D18)),"",(C18-D18)/ABS(D18))</f>
        <v>-0.2611153945001285</v>
      </c>
      <c r="F18" s="11" t="inlineStr">
        <is>
          <t>PDF p.126 (印刷頁 125)</t>
        </is>
      </c>
      <c r="G18" s="11" t="inlineStr">
        <is>
          <t>Trade receivables 應收貿易賬款 24 14,375 19,455</t>
        </is>
      </c>
    </row>
    <row r="19">
      <c r="A19" s="8" t="inlineStr">
        <is>
          <t>Balance Sheet</t>
        </is>
      </c>
      <c r="B19" s="8" t="inlineStr">
        <is>
          <t>Total Current Assets</t>
        </is>
      </c>
      <c r="C19" s="12" t="n">
        <v>49869</v>
      </c>
      <c r="D19" s="13" t="n">
        <v>43741</v>
      </c>
      <c r="E19" s="14">
        <f>IF(ISERROR((C19-D19)/ABS(D19)),"",(C19-D19)/ABS(D19))</f>
        <v>0.14009739146338676</v>
      </c>
      <c r="F19" s="11" t="inlineStr">
        <is>
          <t>PDF p.126 (印刷頁 125)</t>
        </is>
      </c>
      <c r="G19" s="11" t="inlineStr">
        <is>
          <t>[current assets 區段小計] 49,869 43,741</t>
        </is>
      </c>
    </row>
    <row r="20">
      <c r="A20" s="8" t="inlineStr">
        <is>
          <t>Balance Sheet</t>
        </is>
      </c>
      <c r="B20" s="8" t="inlineStr">
        <is>
          <t>Total Current Liabilities</t>
        </is>
      </c>
      <c r="C20" s="12" t="n">
        <v>39195</v>
      </c>
      <c r="D20" s="13" t="n">
        <v>260541</v>
      </c>
      <c r="E20" s="14">
        <f>IF(ISERROR((C20-D20)/ABS(D20)),"",(C20-D20)/ABS(D20))</f>
        <v>-0.8495630246295209</v>
      </c>
      <c r="F20" s="11" t="inlineStr">
        <is>
          <t>PDF p.126 (印刷頁 125)</t>
        </is>
      </c>
      <c r="G20" s="11" t="inlineStr">
        <is>
          <t>[current liabilities 區段小計] 39,195 260,541</t>
        </is>
      </c>
    </row>
    <row r="21">
      <c r="A21" s="8" t="inlineStr">
        <is>
          <t>Cash Flow</t>
        </is>
      </c>
      <c r="B21" s="8" t="inlineStr">
        <is>
          <t>Capital Expenditure</t>
        </is>
      </c>
      <c r="C21" s="12" t="n">
        <v>-193</v>
      </c>
      <c r="D21" s="13" t="n">
        <v>-2942</v>
      </c>
      <c r="E21" s="14">
        <f>IF(ISERROR((C21-D21)/ABS(D21)),"",(C21-D21)/ABS(D21))</f>
        <v>0.9343983684568321</v>
      </c>
      <c r="F21" s="11" t="inlineStr">
        <is>
          <t>PDF p.130 (印刷頁 129)</t>
        </is>
      </c>
      <c r="G21" s="11" t="inlineStr">
        <is>
          <t>Purchase of property, plant and equipment 購買物業、廠房及設備 (193) (2,942)</t>
        </is>
      </c>
    </row>
    <row r="22">
      <c r="A22" s="8" t="inlineStr">
        <is>
          <t>Cash Flow</t>
        </is>
      </c>
      <c r="B22" s="8" t="inlineStr">
        <is>
          <t>Financing Cash Flow</t>
        </is>
      </c>
      <c r="C22" s="12" t="n">
        <v>54036</v>
      </c>
      <c r="D22" s="13" t="n">
        <v>13657</v>
      </c>
      <c r="E22" s="14">
        <f>IF(ISERROR((C22-D22)/ABS(D22)),"",(C22-D22)/ABS(D22))</f>
        <v>2.9566522662370947</v>
      </c>
      <c r="F22" s="11" t="inlineStr">
        <is>
          <t>PDF p.130 (印刷頁 129)</t>
        </is>
      </c>
      <c r="G22" s="11" t="inlineStr">
        <is>
          <t>NET CASH FROM FINANCING ACTIVITIES 融資活動所得的現金淨額 54,036 13,657</t>
        </is>
      </c>
    </row>
    <row r="24">
      <c r="A24"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財務數據'!$C$5:$C$22,MATCH("Gross Profit",'Financials 財務數據'!$B$5:$B$22,0))/INDEX('Financials 財務數據'!$C$5:$C$22,MATCH("Revenue",'Financials 財務數據'!$B$5:$B$22,0))),"n/a",INDEX('Financials 財務數據'!$C$5:$C$22,MATCH("Gross Profit",'Financials 財務數據'!$B$5:$B$22,0))/INDEX('Financials 財務數據'!$C$5:$C$22,MATCH("Revenue",'Financials 財務數據'!$B$5:$B$22,0)))</f>
        <v>0.47585807872487357</v>
      </c>
      <c r="C5" s="15">
        <f>IF(ISERROR(INDEX('Financials 財務數據'!$D$5:$D$22,MATCH("Gross Profit",'Financials 財務數據'!$B$5:$B$22,0))/INDEX('Financials 財務數據'!$D$5:$D$22,MATCH("Revenue",'Financials 財務數據'!$B$5:$B$22,0))),"n/a",INDEX('Financials 財務數據'!$D$5:$D$22,MATCH("Gross Profit",'Financials 財務數據'!$B$5:$B$22,0))/INDEX('Financials 財務數據'!$D$5:$D$22,MATCH("Revenue",'Financials 財務數據'!$B$5:$B$22,0)))</f>
        <v>0.3939623374102116</v>
      </c>
      <c r="D5" s="2" t="inlineStr">
        <is>
          <t>毛利 ÷ 收入</t>
        </is>
      </c>
    </row>
    <row r="6">
      <c r="A6" s="4" t="inlineStr">
        <is>
          <t>Net Margin 淨利率</t>
        </is>
      </c>
      <c r="B6" s="15">
        <f>IF(ISERROR(INDEX('Financials 財務數據'!$C$5:$C$22,MATCH("Profit for the Year",'Financials 財務數據'!$B$5:$B$22,0))/INDEX('Financials 財務數據'!$C$5:$C$22,MATCH("Revenue",'Financials 財務數據'!$B$5:$B$22,0))),"n/a",INDEX('Financials 財務數據'!$C$5:$C$22,MATCH("Profit for the Year",'Financials 財務數據'!$B$5:$B$22,0))/INDEX('Financials 財務數據'!$C$5:$C$22,MATCH("Revenue",'Financials 財務數據'!$B$5:$B$22,0)))</f>
        <v>-1.2084025457735306</v>
      </c>
      <c r="C6" s="15">
        <f>IF(ISERROR(INDEX('Financials 財務數據'!$D$5:$D$22,MATCH("Profit for the Year",'Financials 財務數據'!$B$5:$B$22,0))/INDEX('Financials 財務數據'!$D$5:$D$22,MATCH("Revenue",'Financials 財務數據'!$B$5:$B$22,0))),"n/a",INDEX('Financials 財務數據'!$D$5:$D$22,MATCH("Profit for the Year",'Financials 財務數據'!$B$5:$B$22,0))/INDEX('Financials 財務數據'!$D$5:$D$22,MATCH("Revenue",'Financials 財務數據'!$B$5:$B$22,0)))</f>
        <v>-0.8100368860415453</v>
      </c>
      <c r="D6" s="2" t="inlineStr">
        <is>
          <t>年內溢利 ÷ 收入</t>
        </is>
      </c>
    </row>
    <row r="7">
      <c r="A7" s="4" t="inlineStr">
        <is>
          <t>Current Ratio 流動比率</t>
        </is>
      </c>
      <c r="B7" s="16">
        <f>IF(ISERROR(INDEX('Financials 財務數據'!$C$5:$C$22,MATCH("Total Current Assets",'Financials 財務數據'!$B$5:$B$22,0))/INDEX('Financials 財務數據'!$C$5:$C$22,MATCH("Total Current Liabilities",'Financials 財務數據'!$B$5:$B$22,0))),"n/a",INDEX('Financials 財務數據'!$C$5:$C$22,MATCH("Total Current Assets",'Financials 財務數據'!$B$5:$B$22,0))/INDEX('Financials 財務數據'!$C$5:$C$22,MATCH("Total Current Liabilities",'Financials 財務數據'!$B$5:$B$22,0)))</f>
        <v>1.2723306544202067</v>
      </c>
      <c r="C7" s="16">
        <f>IF(ISERROR(INDEX('Financials 財務數據'!$D$5:$D$22,MATCH("Total Current Assets",'Financials 財務數據'!$B$5:$B$22,0))/INDEX('Financials 財務數據'!$D$5:$D$22,MATCH("Total Current Liabilities",'Financials 財務數據'!$B$5:$B$22,0))),"n/a",INDEX('Financials 財務數據'!$D$5:$D$22,MATCH("Total Current Assets",'Financials 財務數據'!$B$5:$B$22,0))/INDEX('Financials 財務數據'!$D$5:$D$22,MATCH("Total Current Liabilities",'Financials 財務數據'!$B$5:$B$22,0)))</f>
        <v>0.1678852848496014</v>
      </c>
      <c r="D7" s="2" t="inlineStr">
        <is>
          <t>流動資產 ÷ 流動負債</t>
        </is>
      </c>
    </row>
    <row r="8">
      <c r="A8" s="4" t="inlineStr">
        <is>
          <t>Debt / Equity 負債權益比</t>
        </is>
      </c>
      <c r="B8" s="16" t="str">
        <f>IF(ISERROR(INDEX('Financials 財務數據'!$C$5:$C$22,MATCH("Total Liabilities",'Financials 財務數據'!$B$5:$B$22,0))/INDEX('Financials 財務數據'!$C$5:$C$22,MATCH("Total Equity",'Financials 財務數據'!$B$5:$B$22,0))),"n/a",INDEX('Financials 財務數據'!$C$5:$C$22,MATCH("Total Liabilities",'Financials 財務數據'!$B$5:$B$22,0))/INDEX('Financials 財務數據'!$C$5:$C$22,MATCH("Total Equity",'Financials 財務數據'!$B$5:$B$22,0)))</f>
        <v>n/a</v>
      </c>
      <c r="C8" s="16" t="str">
        <f>IF(ISERROR(INDEX('Financials 財務數據'!$D$5:$D$22,MATCH("Total Liabilities",'Financials 財務數據'!$B$5:$B$22,0))/INDEX('Financials 財務數據'!$D$5:$D$22,MATCH("Total Equity",'Financials 財務數據'!$B$5:$B$22,0))),"n/a",INDEX('Financials 財務數據'!$D$5:$D$22,MATCH("Total Liabilities",'Financials 財務數據'!$B$5:$B$22,0))/INDEX('Financials 財務數據'!$D$5:$D$22,MATCH("Total Equity",'Financials 財務數據'!$B$5:$B$22,0)))</f>
        <v>n/a</v>
      </c>
      <c r="D8" s="2" t="inlineStr">
        <is>
          <t>總負債 ÷ 總權益</t>
        </is>
      </c>
    </row>
    <row r="9">
      <c r="A9" s="4" t="inlineStr">
        <is>
          <t>Goodwill / Total Assets</t>
        </is>
      </c>
      <c r="B9" s="15" t="str">
        <f>IF(ISERROR(INDEX('Financials 財務數據'!$C$5:$C$22,MATCH("Goodwill",'Financials 財務數據'!$B$5:$B$22,0))/INDEX('Financials 財務數據'!$C$5:$C$22,MATCH("Total Assets",'Financials 財務數據'!$B$5:$B$22,0))),"n/a",INDEX('Financials 財務數據'!$C$5:$C$22,MATCH("Goodwill",'Financials 財務數據'!$B$5:$B$22,0))/INDEX('Financials 財務數據'!$C$5:$C$22,MATCH("Total Assets",'Financials 財務數據'!$B$5:$B$22,0)))</f>
        <v>n/a</v>
      </c>
      <c r="C9" s="15" t="str">
        <f>IF(ISERROR(INDEX('Financials 財務數據'!$D$5:$D$22,MATCH("Goodwill",'Financials 財務數據'!$B$5:$B$22,0))/INDEX('Financials 財務數據'!$D$5:$D$22,MATCH("Total Assets",'Financials 財務數據'!$B$5:$B$22,0))),"n/a",INDEX('Financials 財務數據'!$D$5:$D$22,MATCH("Goodwill",'Financials 財務數據'!$B$5:$B$22,0))/INDEX('Financials 財務數據'!$D$5:$D$22,MATCH("Total Assets",'Financials 財務數據'!$B$5:$B$22,0)))</f>
        <v>n/a</v>
      </c>
      <c r="D9" s="2" t="inlineStr">
        <is>
          <t>商譽佔總資產比重 — 減值風險指標</t>
        </is>
      </c>
    </row>
    <row r="10">
      <c r="A10" s="4" t="inlineStr">
        <is>
          <t>Intangibles / Total Assets</t>
        </is>
      </c>
      <c r="B10" s="15" t="str">
        <f>IF(ISERROR(INDEX('Financials 財務數據'!$C$5:$C$22,MATCH("Intangible Assets",'Financials 財務數據'!$B$5:$B$22,0))/INDEX('Financials 財務數據'!$C$5:$C$22,MATCH("Total Assets",'Financials 財務數據'!$B$5:$B$22,0))),"n/a",INDEX('Financials 財務數據'!$C$5:$C$22,MATCH("Intangible Assets",'Financials 財務數據'!$B$5:$B$22,0))/INDEX('Financials 財務數據'!$C$5:$C$22,MATCH("Total Assets",'Financials 財務數據'!$B$5:$B$22,0)))</f>
        <v>n/a</v>
      </c>
      <c r="C10" s="15" t="str">
        <f>IF(ISERROR(INDEX('Financials 財務數據'!$D$5:$D$22,MATCH("Intangible Assets",'Financials 財務數據'!$B$5:$B$22,0))/INDEX('Financials 財務數據'!$D$5:$D$22,MATCH("Total Assets",'Financials 財務數據'!$B$5:$B$22,0))),"n/a",INDEX('Financials 財務數據'!$D$5:$D$22,MATCH("Intangible Assets",'Financials 財務數據'!$B$5:$B$22,0))/INDEX('Financials 財務數據'!$D$5:$D$22,MATCH("Total Assets",'Financials 財務數據'!$B$5:$B$22,0)))</f>
        <v>n/a</v>
      </c>
      <c r="D10" s="2" t="inlineStr">
        <is>
          <t>無形資產佔比</t>
        </is>
      </c>
    </row>
    <row r="11">
      <c r="A11" s="4" t="inlineStr">
        <is>
          <t>ROE 股本回報率</t>
        </is>
      </c>
      <c r="B11" s="15" t="str">
        <f>IF(ISERROR(INDEX('Financials 財務數據'!$C$5:$C$22,MATCH("Profit for the Year",'Financials 財務數據'!$B$5:$B$22,0))/INDEX('Financials 財務數據'!$C$5:$C$22,MATCH("Total Equity",'Financials 財務數據'!$B$5:$B$22,0))),"n/a",INDEX('Financials 財務數據'!$C$5:$C$22,MATCH("Profit for the Year",'Financials 財務數據'!$B$5:$B$22,0))/INDEX('Financials 財務數據'!$C$5:$C$22,MATCH("Total Equity",'Financials 財務數據'!$B$5:$B$22,0)))</f>
        <v>n/a</v>
      </c>
      <c r="C11" s="15" t="str">
        <f>IF(ISERROR(INDEX('Financials 財務數據'!$D$5:$D$22,MATCH("Profit for the Year",'Financials 財務數據'!$B$5:$B$22,0))/INDEX('Financials 財務數據'!$D$5:$D$22,MATCH("Total Equity",'Financials 財務數據'!$B$5:$B$22,0))),"n/a",INDEX('Financials 財務數據'!$D$5:$D$22,MATCH("Profit for the Year",'Financials 財務數據'!$B$5:$B$22,0))/INDEX('Financials 財務數據'!$D$5:$D$22,MATCH("Total Equity",'Financials 財務數據'!$B$5:$B$22,0)))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51510</v>
      </c>
      <c r="C5" s="18" t="n">
        <v>53579</v>
      </c>
    </row>
    <row r="6">
      <c r="A6" s="4" t="inlineStr">
        <is>
          <t>Gross Profit</t>
        </is>
      </c>
      <c r="B6" s="18" t="n">
        <v>20293</v>
      </c>
      <c r="C6" s="18" t="n">
        <v>25496</v>
      </c>
    </row>
    <row r="7">
      <c r="A7" s="4" t="inlineStr">
        <is>
          <t>Profit Before Tax</t>
        </is>
      </c>
      <c r="B7" s="18" t="n">
        <v>-41699</v>
      </c>
      <c r="C7" s="18" t="n">
        <v>-64651</v>
      </c>
    </row>
    <row r="8">
      <c r="A8" s="4" t="inlineStr">
        <is>
          <t>Profit for the Year</t>
        </is>
      </c>
      <c r="B8" s="18" t="n">
        <v>-41725</v>
      </c>
      <c r="C8" s="18" t="n">
        <v>-64745</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80"/>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獨立估值師</t>
        </is>
      </c>
      <c r="E4" s="11" t="inlineStr">
        <is>
          <t>PDF p.43 (印刷頁 42)</t>
        </is>
      </c>
      <c r="F4" s="11" t="inlineStr">
        <is>
          <t>re option 購股權之公允值 HK$34,456,254港元 HK$35,360,821港元 Fair values of the share options were with reference to the valuation 購股權之公允值乃參考由專業獨立估值師之估值。 carried out by an independent firm of professional valuers. 42 Imperium Technology Group Limited Annual Report 2026</t>
        </is>
      </c>
    </row>
    <row r="5">
      <c r="A5" s="8" t="inlineStr">
        <is>
          <t>Fair Value Measurement</t>
        </is>
      </c>
      <c r="B5" s="8" t="inlineStr">
        <is>
          <t>公允價值計量</t>
        </is>
      </c>
      <c r="C5" s="19" t="inlineStr">
        <is>
          <t>high</t>
        </is>
      </c>
      <c r="D5" s="11" t="inlineStr">
        <is>
          <t>unobservable input</t>
        </is>
      </c>
      <c r="E5" s="11" t="inlineStr">
        <is>
          <t>PDF p.137 (印刷頁 136)</t>
        </is>
      </c>
      <c r="F5" s="11" t="inlineStr">
        <is>
          <t>and best use. 濟利益的能力。 For investment properties which are transacted at fair value 就按公允值進行交易之投資物業以及於隨 and a valuation technique that unobservable inputs is to 後期間將使用不可觀察輸入數據計量公允 be used to measure fair value in subsequent periods, the 值的估值方法而言，估值方法會予以校準， valuation technique is calibrated so that at initial recognition 以使於初步確認時估值方法的結果與交易 the results of the valuation technique equals the transaction 價格相等。 price. 136 Imperium Technology Group Limited Annual Report 2026</t>
        </is>
      </c>
    </row>
    <row r="6">
      <c r="A6" s="8" t="inlineStr">
        <is>
          <t>Fair Value Measurement</t>
        </is>
      </c>
      <c r="B6" s="8" t="inlineStr">
        <is>
          <t>公允價值計量</t>
        </is>
      </c>
      <c r="C6" s="19" t="inlineStr">
        <is>
          <t>high</t>
        </is>
      </c>
      <c r="D6" s="11" t="inlineStr">
        <is>
          <t>level 1</t>
        </is>
      </c>
      <c r="E6" s="11" t="inlineStr">
        <is>
          <t>PDF p.138 (印刷頁 137)</t>
        </is>
      </c>
      <c r="F6" s="11" t="inlineStr">
        <is>
          <t>FORMATION (Continued) In addition, for financial reporting purposes, fair value 此外，就財務報告而言，根據公允值計量 measurements are categorised into Level 1, 2 or 3 之輸入數據的可觀察程度及輸入數據對公 based on the degree to which the inputs to the fair value 允值計量整體之重要性，公允值計量被分 measurements are observable and the significance of the 類為第一、第二或第三層級，載述如下： inputs to the fair value measurement in its entirety, which are described as follows: • Level 1 inputs are quoted prices (unadjusted) in active ‧ 第一層級輸入數據為實體於計量日 markets for identical assets or liabilities that th</t>
        </is>
      </c>
    </row>
    <row r="7">
      <c r="A7" s="8" t="inlineStr">
        <is>
          <t>Fair Value Measurement</t>
        </is>
      </c>
      <c r="B7" s="8" t="inlineStr">
        <is>
          <t>公允價值計量</t>
        </is>
      </c>
      <c r="C7" s="19" t="inlineStr">
        <is>
          <t>high</t>
        </is>
      </c>
      <c r="D7" s="11" t="inlineStr">
        <is>
          <t>level 1</t>
        </is>
      </c>
      <c r="E7" s="11" t="inlineStr">
        <is>
          <t>PDF p.199 (印刷頁 198)</t>
        </is>
      </c>
      <c r="F7" s="11" t="inlineStr">
        <is>
          <t>hat caused the transfer. (a) Disclosures of level in fair value (a) 公允值層級水平披露： hierarchy: Fair value measurements using: 公允值計量採用的層級： Level 1 Level 2 Level 3 Total 第1層級 第2層級 第3層級 總計 HK$’000 HK$’000 HK$’000 HK$’000 千港元 千港元 千港元 千港元 As at 31 March 2026 於二零二六年 三月三十一日 Recurring fair value measurements: 經常性公允值計量 Investment properties 投資物業 Office units — Malaysia 辦公單位 — 馬來西亞 — — 23,215 23,215 As at 31 December 2024 於二零二四年 十二月三十一日 Recurring fair value measurements: 經常性公允值計量 Investment properties 投資物業 Office units — Malaysia 辦公單位 — 馬來西亞</t>
        </is>
      </c>
    </row>
    <row r="8">
      <c r="A8" s="8" t="inlineStr">
        <is>
          <t>Fair Value Measurement</t>
        </is>
      </c>
      <c r="B8" s="8" t="inlineStr">
        <is>
          <t>公允價值計量</t>
        </is>
      </c>
      <c r="C8" s="19" t="inlineStr">
        <is>
          <t>high</t>
        </is>
      </c>
      <c r="D8" s="11" t="inlineStr">
        <is>
          <t>level 3</t>
        </is>
      </c>
      <c r="E8" s="11" t="inlineStr">
        <is>
          <t>PDF p.200 (印刷頁 199)</t>
        </is>
      </c>
      <c r="F8" s="11" t="inlineStr">
        <is>
          <t>個月 7. FAIR VALUE MEASUREMENTS 7. 公允值計量（續） (Continued) (b) Reconciliation of assets measured at (b) 根據第3層級按公允值計量的 fair value based on Level 3: 資產對賬： Investment Properties 投資物業 HK$’000 千港元 At 1 January 2024 於二零二四年一月一日 19,169 Net fair value gain recognised in profit or loss 於損益確認的公允值收益淨額 104 Exchange difference 匯兌差額 426 At 31 December 2024 and 1 January 2025 於二零二四年十二月三十一日及 二零二五年一月一日 19,699 Net fair value gain recognised in profit or loss 於損益確認的公允值收益淨額 1,159 Exchange difference 匯兌差額 2,357 At 31 March 2026 於二零二六年三月三十一日 23,215 (c) Di</t>
        </is>
      </c>
    </row>
    <row r="9">
      <c r="A9" s="8" t="inlineStr">
        <is>
          <t>Fair Value Measurement</t>
        </is>
      </c>
      <c r="B9" s="8" t="inlineStr">
        <is>
          <t>公允價值計量</t>
        </is>
      </c>
      <c r="C9" s="19" t="inlineStr">
        <is>
          <t>high</t>
        </is>
      </c>
      <c r="D9" s="11" t="inlineStr">
        <is>
          <t>level 3</t>
        </is>
      </c>
      <c r="E9" s="11" t="inlineStr">
        <is>
          <t>PDF p.201 (印刷頁 200)</t>
        </is>
      </c>
      <c r="F9" s="11" t="inlineStr">
        <is>
          <t>ation techniques used and key inputs 於報告期末，對分類為第3層級公允 to valuation on investment properties which are 值計量之投資物業進行估值時所用 categorised as Level 3 fair value measurement at the 的估值技術及重要參數詳情如下： end of the reporting period are as follows: Valuation Significant Fair value technique unobservable input Range 公允值 估值技術 重大不可觀察參數 範圍 31 March 31 December 2026 2024 二零二六年 二零二四年 三月三十一日 十二月三十一日 HK$’000 HK$’000 千港元 千港元 Investment properties 投資物業 — Office units located in 23,215 19,699 Income approach (1) Reversionary yield 6.5% Malaysia 收入法 (1)復歸收益</t>
        </is>
      </c>
    </row>
    <row r="10">
      <c r="A10" s="8" t="inlineStr">
        <is>
          <t>Fair Value Measurement</t>
        </is>
      </c>
      <c r="B10" s="8" t="inlineStr">
        <is>
          <t>公允價值計量</t>
        </is>
      </c>
      <c r="C10" s="19" t="inlineStr">
        <is>
          <t>high</t>
        </is>
      </c>
      <c r="D10" s="11" t="inlineStr">
        <is>
          <t>valuation technique</t>
        </is>
      </c>
      <c r="E10" s="11" t="inlineStr">
        <is>
          <t>PDF p.222 (印刷頁 221)</t>
        </is>
      </c>
      <c r="F10" s="11" t="inlineStr">
        <is>
          <t>fteen months ended 31 March 2026 and the 截至二零二六年三月三十一日止十五個月及 year ended 31 December 2024, there was no change in 截至二零二四年十二月三十一日止年度，與 valuation techniques used for the fair value measurement of 去年相比，用於本集團投資物業之公允值 the Group’s investment properties as compared to last year. 計量的估值技術並無任何變動。 Details of valuation techniques and inputs used are set out in 有關估值技術及所用輸入數據之詳情載於 Note 7(c). 附註7(c)。 20. GOODWILL 20. 商譽 31 March 31 December 2026 2024 二零二六年 二零二四年 三月 十二月 三十一日 三十一日 HK$’000 HK$’000 千港元 千港元 Cost 成本 At 1 January, 31 December 2024, 於</t>
        </is>
      </c>
    </row>
    <row r="11">
      <c r="A11" s="8" t="inlineStr">
        <is>
          <t>Fair Value Measurement</t>
        </is>
      </c>
      <c r="B11" s="8" t="inlineStr">
        <is>
          <t>公允價值計量</t>
        </is>
      </c>
      <c r="C11" s="19" t="inlineStr">
        <is>
          <t>high</t>
        </is>
      </c>
      <c r="D11" s="11" t="inlineStr">
        <is>
          <t>market approach</t>
        </is>
      </c>
      <c r="E11" s="11" t="inlineStr">
        <is>
          <t>PDF p.231 (印刷頁 230)</t>
        </is>
      </c>
      <c r="F11" s="11" t="inlineStr">
        <is>
          <t>unt to its recoverable 回金額，可收回金額乃按公允值減 amount which was estimated based on fair value 出售成本使用市場法估算得出。截 less cost of disposal by using market approach. 至二零二六年三月三十一日止十五個 Impairment loss of approximately HK$2,200,000 月，已就加密貨幣及加密貨幣按金 and HK$3,174,000 (year ended 31 December 2024: 及應收加密貨幣確認減值虧損分別 Impairment loss of HK$1,563,000 and HK$497,000) 約2,200,000港元及3,174,000港元（截 re spe ctive ly we re re cognise d in re spe ct of 至二零二四年十二月三十一日止年度﹕ cryptocurrencies and cryptocurrency deposits and 減值虧損為1,563,000港元及497,000 receivables for the fif</t>
        </is>
      </c>
    </row>
    <row r="12">
      <c r="A12" s="8" t="inlineStr">
        <is>
          <t>Impairment Testing</t>
        </is>
      </c>
      <c r="B12" s="8" t="inlineStr">
        <is>
          <t>減值測試</t>
        </is>
      </c>
      <c r="C12" s="19" t="inlineStr">
        <is>
          <t>high</t>
        </is>
      </c>
      <c r="D12" s="11" t="inlineStr">
        <is>
          <t>impairment loss</t>
        </is>
      </c>
      <c r="E12" s="11" t="inlineStr">
        <is>
          <t>PDF p.9 (印刷頁 8)</t>
        </is>
      </c>
      <c r="F12" s="11" t="inlineStr">
        <is>
          <t>en months while the year ended 31 December 2024 covered 則涵蓋十二個月期間；(ii)加密貨幣及加密貨幣按 a period of twelve months; (ii) the increase in the impairment loss 金及應收加密貨幣的減值虧損增加約3.3百萬港元， in cryptocurrencies and cryptocurrency deposit and receivables 主要由於加密貨幣市價下跌；及(iii) 企業日常開支 of approximately HK$3.3 million mainly due to decrease in market 增加約5.7百萬港元，主要由於財政年度結算日變 price of cryptocurrencies; and (iii) the increase in corporate 更所帶來的影響，致使期內涵蓋十五個月期間， overhead expenses of approximately HK$5.7 million mainly 而截至二零二四年十二月三十一日止年度則涵蓋 attributable to</t>
        </is>
      </c>
    </row>
    <row r="13">
      <c r="A13" s="8" t="inlineStr">
        <is>
          <t>Impairment Testing</t>
        </is>
      </c>
      <c r="B13" s="8" t="inlineStr">
        <is>
          <t>減值測試</t>
        </is>
      </c>
      <c r="C13" s="19" t="inlineStr">
        <is>
          <t>high</t>
        </is>
      </c>
      <c r="D13" s="11" t="inlineStr">
        <is>
          <t>impairment loss</t>
        </is>
      </c>
      <c r="E13" s="11" t="inlineStr">
        <is>
          <t>PDF p.11 (印刷頁 10)</t>
        </is>
      </c>
      <c r="F13" s="11" t="inlineStr">
        <is>
          <t>， primarily the cost incurred in the development of the Holosens 主要為開發Holosens 項目及AI軟件所產生的成本 project and the AI software; as well as impairment loss of trade 以及應收貿易賬款的減值虧損。 receivables. Cloud computing and data storage business 雲計算及數據儲存業務 The revenue from cloud computing and data storage business 於期內，本集團來自雲計算及數據儲存業務的 of the Group for the Period was approximately HK$1,676,000 收益約為1,676,000港元（截至二零二四年十二 (year ended 31 December 2024: HK$2,823,000), representing a 月三十一日止年度：2,823,000港元），減少約 decrease of approximately 40.6%. The decrea</t>
        </is>
      </c>
    </row>
    <row r="14">
      <c r="A14" s="8" t="inlineStr">
        <is>
          <t>Impairment Testing</t>
        </is>
      </c>
      <c r="B14" s="8" t="inlineStr">
        <is>
          <t>減值測試</t>
        </is>
      </c>
      <c r="C14" s="19" t="inlineStr">
        <is>
          <t>high</t>
        </is>
      </c>
      <c r="D14" s="11" t="inlineStr">
        <is>
          <t>impairment loss</t>
        </is>
      </c>
      <c r="E14" s="11" t="inlineStr">
        <is>
          <t>PDF p.12 (印刷頁 11)</t>
        </is>
      </c>
      <c r="F14" s="11" t="inlineStr">
        <is>
          <t>esenting 年十二月三十一日止年度：6,746,000港元），主要 primarily the cost incurred in the development of the TokenTrend 為開發TokenTrend所產生的成本以及加密貨幣的 and impairment loss in cryptocurrencies, cryptocurrency deposit 減值虧損、加密貨幣按金及應收加密貨幣。 and receivables. 11 帝國科技集團有限公司 2026 年報</t>
        </is>
      </c>
    </row>
    <row r="15">
      <c r="A15" s="8" t="inlineStr">
        <is>
          <t>Impairment Testing</t>
        </is>
      </c>
      <c r="B15" s="8" t="inlineStr">
        <is>
          <t>減值測試</t>
        </is>
      </c>
      <c r="C15" s="19" t="inlineStr">
        <is>
          <t>high</t>
        </is>
      </c>
      <c r="D15" s="11" t="inlineStr">
        <is>
          <t>impairment loss</t>
        </is>
      </c>
      <c r="E15" s="11" t="inlineStr">
        <is>
          <t>PDF p.16 (印刷頁 15)</t>
        </is>
      </c>
      <c r="F15" s="11" t="inlineStr">
        <is>
          <t>個月期間，而截至二零二四年 covered fifteen months while the year ended 31 December 2024 十二月三十一日止年度則涵蓋十二個月期間所致。 covered a period of twelve months. Impairment loss on non-financial assets, net increased from 非金融資產減值虧損淨額由截至二零二四年十二 approximately HK$2,060,000 during the year ended 31 月三十一日止年度約2,060,000港元增加至期內約 December 2024 to approximately HK$5,374,000 for the Period, 5,374,000港元，乃歸因於加密貨幣的市價下跌， was attributable to the impairment of cryptocurrencies and 導致加密貨幣以及加密貨幣按金及應收加密貨幣 cryptocurrency deposits and receivables resulted from the decrease 減值。</t>
        </is>
      </c>
    </row>
    <row r="16">
      <c r="A16" s="8" t="inlineStr">
        <is>
          <t>Impairment Testing</t>
        </is>
      </c>
      <c r="B16" s="8" t="inlineStr">
        <is>
          <t>減值測試</t>
        </is>
      </c>
      <c r="C16" s="19" t="inlineStr">
        <is>
          <t>high</t>
        </is>
      </c>
      <c r="D16" s="11" t="inlineStr">
        <is>
          <t>recoverable amount</t>
        </is>
      </c>
      <c r="E16" s="11" t="inlineStr">
        <is>
          <t>PDF p.121 (印刷頁 120)</t>
        </is>
      </c>
      <c r="F16" s="11" t="inlineStr">
        <is>
          <t>整以 concern, adjustments would have to be made to write down the 將 貴集團資產的賬面值撇減至其可收回金額， carrying values of the Group’s assets to their recoverable amounts, 以為可能產生的進一步負債作出撥備，並將非流 to provide for further liabilities which might arise and to reclassify 動資產及非流動負債分別重新分類至流動資產及 non-current assets and non-current liabilities as current assets and 流動負債。該等調整的影響並未反映於該等綜合 current liabilities respectively. The effects of these adjustments have 財務報表內，且吾等未能確定該等調整是否可能 not been reflected in these consolidated financial statements and 屬必要。 we were</t>
        </is>
      </c>
    </row>
    <row r="17">
      <c r="A17" s="8" t="inlineStr">
        <is>
          <t>Impairment Testing</t>
        </is>
      </c>
      <c r="B17" s="8" t="inlineStr">
        <is>
          <t>減值測試</t>
        </is>
      </c>
      <c r="C17" s="19" t="inlineStr">
        <is>
          <t>high</t>
        </is>
      </c>
      <c r="D17" s="11" t="inlineStr">
        <is>
          <t>impairment loss</t>
        </is>
      </c>
      <c r="E17" s="11" t="inlineStr">
        <is>
          <t>PDF p.124 (印刷頁 123)</t>
        </is>
      </c>
      <c r="F17" s="11" t="inlineStr">
        <is>
          <t>losses 其他收益及虧損 15a 6,072 2,241 Distribution and selling costs 分銷及銷售成本 (739) (1,390) Administrative expenses 行政開支 (60,570) (47,665) (Impairment loss)/Reversal of impairment loss 應收款項（減值虧損）╱減值 of receivables, net 虧損撥回淨額 15b (4,818) 1,042 Impairment loss of non-financial assets, net 非金融資產減值虧損淨額 15b (5,374) (2,060) LOSS FROM OPERATIONS 經營虧損 (37,343) (25,669) Finance costs 融資成本 13 (27,308) (16,030) LOSS BEFORE TAX 除稅前虧損 (64,651) (41,699) Income tax expense 所得稅開支 14 (94) (26) LOSS FOR THE PERIOD/YEAR 期╱年內虧損 15 (64,745) (41,725) Loss</t>
        </is>
      </c>
    </row>
    <row r="18">
      <c r="A18" s="8" t="inlineStr">
        <is>
          <t>Impairment Testing</t>
        </is>
      </c>
      <c r="B18" s="8" t="inlineStr">
        <is>
          <t>減值測試</t>
        </is>
      </c>
      <c r="C18" s="19" t="inlineStr">
        <is>
          <t>high</t>
        </is>
      </c>
      <c r="D18" s="11" t="inlineStr">
        <is>
          <t>impairment loss</t>
        </is>
      </c>
      <c r="E18" s="11" t="inlineStr">
        <is>
          <t>PDF p.129 (印刷頁 128)</t>
        </is>
      </c>
      <c r="F18" s="11" t="inlineStr">
        <is>
          <t>t 撇銷物業、廠房及設備 34 — Interest income 利息收入 (1,095) (10) Gain on disposal of property, plant and 出售物業、廠房及設備之 equipment 收益 (1,702) (4,537) Impairment loss/(reversal of impairment 應收款項減值虧損╱（減值 loss) of receivables, net 虧損撥回）淨額 4,818 (1,042) Impairment loss of non-financial assets, 非金融資產減值虧損 net of reversal （扣除撥回） 5,374 2,060 Gain on written off on other payables 撇銷其他應付款項之收益 (1,418) — Gain on remeasurement of lease 重新計量租賃之收益 — (8) Operating cash flows before movements in 營運資金變動前之 working capital 經營現金流量 (23,976) (14,443) (Increase)/decr</t>
        </is>
      </c>
    </row>
    <row r="19">
      <c r="A19" s="8" t="inlineStr">
        <is>
          <t>Impairment Testing</t>
        </is>
      </c>
      <c r="B19" s="8" t="inlineStr">
        <is>
          <t>減值測試</t>
        </is>
      </c>
      <c r="C19" s="19" t="inlineStr">
        <is>
          <t>high</t>
        </is>
      </c>
      <c r="D19" s="11" t="inlineStr">
        <is>
          <t>recoverable amount</t>
        </is>
      </c>
      <c r="E19" s="11" t="inlineStr">
        <is>
          <t>PDF p.134 (印刷頁 133)</t>
        </is>
      </c>
      <c r="F19" s="11" t="inlineStr">
        <is>
          <t>stments 回金額，就可能產生之任何進一步負債作 would have to be made to write down the carrying values of 出撥備，並將非流動資產及非流動負債分 the Group’s assets to their recoverable amounts, to provide 別重新分類為流動資產及流動負債。由於 for any further liabilities which might arise and to reclassify 綜合財務報表乃假設本集團將持續經營而 non-current assets and non-current liabilities as current 編製，故該等調整之影響並無於本集團綜 assets and current liabilities, respectively. The effects of 合財務報表中反映。 these adjustments have not been reflected in the Group’s consolidated financial statements as the consolidated financi</t>
        </is>
      </c>
    </row>
    <row r="20">
      <c r="A20" s="8" t="inlineStr">
        <is>
          <t>Impairment Testing</t>
        </is>
      </c>
      <c r="B20" s="8" t="inlineStr">
        <is>
          <t>減值測試</t>
        </is>
      </c>
      <c r="C20" s="19" t="inlineStr">
        <is>
          <t>high</t>
        </is>
      </c>
      <c r="D20" s="11" t="inlineStr">
        <is>
          <t>value in use</t>
        </is>
      </c>
      <c r="E20" s="11" t="inlineStr">
        <is>
          <t>PDF p.137 (印刷頁 136)</t>
        </is>
      </c>
      <c r="F20" s="11" t="inlineStr">
        <is>
          <t>香港會計準則第36號「資產減值」的使 similarities to fair value but are not fair value, such as net 用價值除外。 realisable value in HKAS 2 “Inventories” or value in use in HKAS 36 “Impairment of Assets”. A fair value measurement of a non-financial asset takes into 非金融資產的公允值計量乃經計及一名市 account a market participant’s ability to generate economic 場參與者透過使用其資產的最高及最佳用 benefits by using the asset in its highest and best use or by 途或透過將資產出售予將使用其最高及最 selling it to another market participant that would use the 佳用途的另一名市場參與者而能夠產生經 asset in its highest and best use</t>
        </is>
      </c>
    </row>
    <row r="21">
      <c r="A21" s="8" t="inlineStr">
        <is>
          <t>Impairment Testing</t>
        </is>
      </c>
      <c r="B21" s="8" t="inlineStr">
        <is>
          <t>減值測試</t>
        </is>
      </c>
      <c r="C21" s="19" t="inlineStr">
        <is>
          <t>high</t>
        </is>
      </c>
      <c r="D21" s="11" t="inlineStr">
        <is>
          <t>impairment test</t>
        </is>
      </c>
      <c r="E21" s="11" t="inlineStr">
        <is>
          <t>PDF p.141 (印刷頁 140)</t>
        </is>
      </c>
      <c r="F21" s="11" t="inlineStr">
        <is>
          <t>ished at the date of acquisition of the business 定之成本減去累計減值虧損（如有）列賬。 less accumulated impairment losses, if any. For the purposes of impairment testing, goodwill is allocated 就減值測試而言，商譽會分配至預期可受 to each of the Group’s cash-generating units (or group 惠於業務合併協同效益之各個本集團現金 of cash-generating units) that is expected to benefit from 產生單位（或現金產生單位組別），乃指就 the synergies of the combination, which represent the 內部管理目的監控商譽且不大於經營分部 lowest level at which the goodwill is monitored for internal 的最低水平。 management purposes and not larger than an op</t>
        </is>
      </c>
    </row>
    <row r="22">
      <c r="A22" s="8" t="inlineStr">
        <is>
          <t>Impairment Testing</t>
        </is>
      </c>
      <c r="B22" s="8" t="inlineStr">
        <is>
          <t>減值測試</t>
        </is>
      </c>
      <c r="C22" s="19" t="inlineStr">
        <is>
          <t>high</t>
        </is>
      </c>
      <c r="D22" s="11" t="inlineStr">
        <is>
          <t>減值虧損</t>
        </is>
      </c>
      <c r="E22" s="11" t="inlineStr">
        <is>
          <t>PDF p.142 (印刷頁 141)</t>
        </is>
      </c>
      <c r="F22" s="11" t="inlineStr">
        <is>
          <t>、廠 purposes, are stated in the consolidated statement of 房及設備以成本減其後累計折舊及其後累 financial position at cost, less subsequent accumulated 計減值虧損（如有）列賬。當本集團就於物 depreciation and subsequent accumulated impairment 業的擁有權權益（包括租賃土地及樓宇成分） losses, if any. When the Group makes payments for 付款時，全部代價於租賃土地及樓宇成分 ownership interests of proper ties which includes 之間按初始確認時的相對公允值的比例分 both leasehold land and building elements, the entire 配。在相關付款可作可靠分配的情況下， consideration is allocated between the leasehold land and 租賃土地權益於綜合財務狀況表中呈列為「使 the building elemen</t>
        </is>
      </c>
    </row>
    <row r="23">
      <c r="A23" s="8" t="inlineStr">
        <is>
          <t>Impairment Testing</t>
        </is>
      </c>
      <c r="B23" s="8" t="inlineStr">
        <is>
          <t>減值測試</t>
        </is>
      </c>
      <c r="C23" s="19" t="inlineStr">
        <is>
          <t>high</t>
        </is>
      </c>
      <c r="D23" s="11" t="inlineStr">
        <is>
          <t>impairment loss</t>
        </is>
      </c>
      <c r="E23" s="11" t="inlineStr">
        <is>
          <t>PDF p.145 (印刷頁 144)</t>
        </is>
      </c>
      <c r="F23" s="11" t="inlineStr">
        <is>
          <t>erms and conditions of the lease. Right-of-use assets are measured at cost, less any 使用權資產按成本減任何累計折舊及減值 accumulated depreciation and impairment losses, and 虧損計量，並就租賃負債的任何重新計量 adjusted for any remeasurement of lease liabilities. 作出調整。 The Group presents right-of-use assets in the “property, 本集團於「物業、廠房及設備」 （即本集團在 plant and equipment”, the same line item within which the 擁有相關資產的情況下原會將之呈列的同 corresponding underlying assets would be presented if they 一項目）內呈列使用權資產。 were owned. Refundable rental deposits 可退還租金按金 Refundable rental depos</t>
        </is>
      </c>
    </row>
    <row r="24">
      <c r="A24" s="8" t="inlineStr">
        <is>
          <t>Impairment Testing</t>
        </is>
      </c>
      <c r="B24" s="8" t="inlineStr">
        <is>
          <t>減值測試</t>
        </is>
      </c>
      <c r="C24" s="19" t="inlineStr">
        <is>
          <t>high</t>
        </is>
      </c>
      <c r="D24" s="11" t="inlineStr">
        <is>
          <t>impairment loss</t>
        </is>
      </c>
      <c r="E24" s="11" t="inlineStr">
        <is>
          <t>PDF p.149 (印刷頁 148)</t>
        </is>
      </c>
      <c r="F24" s="11" t="inlineStr">
        <is>
          <t>useful lives that are 單獨收購且具備無限可使用年期的無形資 acquired separately are carried at cost less any subsequent 產按成本減任何其後累計減值虧損列賬。 accumulated impairment losses. Game intellectual properties and licences, game software, 單獨收購的遊戲知識產權及版權、遊戲軟 rights on esports team and trademark acquired separately 件、於電子競技隊之權益及商標按成本減 are stated at cost less accumulated amortisation and 累計攤銷及減值虧損列賬。攤銷按其估計 impairment losses. Amortisation is calculated on a 可使用年限以直線法計算。 straight-line basis over their estimated useful lives. The intangible assets are amortised o</t>
        </is>
      </c>
    </row>
    <row r="25">
      <c r="A25" s="8" t="inlineStr">
        <is>
          <t>Impairment Testing</t>
        </is>
      </c>
      <c r="B25" s="8" t="inlineStr">
        <is>
          <t>減值測試</t>
        </is>
      </c>
      <c r="C25" s="19" t="inlineStr">
        <is>
          <t>high</t>
        </is>
      </c>
      <c r="D25" s="11" t="inlineStr">
        <is>
          <t>recoverable amount</t>
        </is>
      </c>
      <c r="E25" s="11" t="inlineStr">
        <is>
          <t>PDF p.150 (印刷頁 149)</t>
        </is>
      </c>
      <c r="F25" s="11" t="inlineStr">
        <is>
          <t>, plant and 物業、廠房及設備、使用權資產及 equipment, right-of-use assets and 無形資產（商譽除外）減值（續） intangible assets other than goodwill (Continued) The recoverable amount of property, plant and equipment, 物業、廠房及設備、使用權資產及無形資 right-of-use assets and intangible assets are estimated 產個別估計可收回金額。倘無法個別估計 individually. When it is not possible to estimate the 可收回金額，則本集團估計資產所屬現金 recoverable amount individually, the Group estimates the 產生單位的可收回金額。 recoverable amount of the cash-generating unit to which the asset belongs. In testing a cash-generating unit fo</t>
        </is>
      </c>
    </row>
    <row r="26">
      <c r="A26" s="8" t="inlineStr">
        <is>
          <t>Impairment Testing</t>
        </is>
      </c>
      <c r="B26" s="8" t="inlineStr">
        <is>
          <t>減值測試</t>
        </is>
      </c>
      <c r="C26" s="19" t="inlineStr">
        <is>
          <t>high</t>
        </is>
      </c>
      <c r="D26" s="11" t="inlineStr">
        <is>
          <t>impairment loss</t>
        </is>
      </c>
      <c r="E26" s="11" t="inlineStr">
        <is>
          <t>PDF p.151 (印刷頁 150)</t>
        </is>
      </c>
      <c r="F26" s="11" t="inlineStr">
        <is>
          <t>g units, with the recoverable 減值虧損首先分配至調低任何商譽的賬面 amount of the group of cash-generating units. In allocating 值（如適用），其後按該單位或現金產生單 the impairment loss, the impairment loss is allocated first to 位組別各項資產的賬面值所佔比例分配至 reduce the carrying amount of any goodwill (if applicable) 其他資產。資產賬面值不得減少至低於其 and then to the other assets on a pro-rata basis based on 公允值減出售成本（如可計量）、其使用價值 the carrying amount of each asset in the unit or the group （如可釐定）及零之中的最高值。已另行分 of cash-generating units. The carrying amount of an asset 配至資產的減值虧損金額按比例分配至該 is not re</t>
        </is>
      </c>
    </row>
    <row r="27">
      <c r="A27" s="8" t="inlineStr">
        <is>
          <t>Impairment Testing</t>
        </is>
      </c>
      <c r="B27" s="8" t="inlineStr">
        <is>
          <t>減值測試</t>
        </is>
      </c>
      <c r="C27" s="19" t="inlineStr">
        <is>
          <t>high</t>
        </is>
      </c>
      <c r="D27" s="11" t="inlineStr">
        <is>
          <t>impairment loss</t>
        </is>
      </c>
      <c r="E27" s="11" t="inlineStr">
        <is>
          <t>PDF p.181 (印刷頁 180)</t>
        </is>
      </c>
      <c r="F27" s="11" t="inlineStr">
        <is>
          <t>cember 2024: 港元（二零二四年十二月三十一日：零港元 HK$8,840,000 and HK$5,220,000) respectively, after taking 及34,460,000港元）後，須進行減值評估的 into account the impairment losses of approximately Nil and 物業、廠房及設備以及無形資產（商譽除 HK$34,460,000 (31 December 2024: Nil and HK$34,460,000) 外）的賬面價值分別約為8,637,000港元及 respectively in respect of property, plant and equipment 894,000港元（二零二四年十二月三十一日： and intangible assets other than goodwill that have been 8,840,000港元及5,220,000港元）。物業、 recognised. Details of the impairment of property, plant and 廠房及設備以及無形資產（商譽除外）減值 equipment</t>
        </is>
      </c>
    </row>
    <row r="28">
      <c r="A28" s="8" t="inlineStr">
        <is>
          <t>Impairment Testing</t>
        </is>
      </c>
      <c r="B28" s="8" t="inlineStr">
        <is>
          <t>減值測試</t>
        </is>
      </c>
      <c r="C28" s="19" t="inlineStr">
        <is>
          <t>high</t>
        </is>
      </c>
      <c r="D28" s="11" t="inlineStr">
        <is>
          <t>impairment loss</t>
        </is>
      </c>
      <c r="E28" s="11" t="inlineStr">
        <is>
          <t>PDF p.193 (印刷頁 192)</t>
        </is>
      </c>
      <c r="F28" s="11" t="inlineStr">
        <is>
          <t>1 March 31 December 2026 2024 二零二六年 二零二四年 三月 十二月 三十一日 三十一日 HK$’000 HK$’000 千港元 千港元 At beginning of the period/year 於期╱年初 1,750 2,826 Impairment loss/(reversal of 應收款項減值虧損╱（減值 impairment loss) of receivables, net 虧損撥回）淨額 4,818 (1,042) Disposal of subsidiary 出售附屬公司 (19) — Exchange differences 匯兌差額 69 (34) At ending of the period/year 於期╱年末 6,618 1,750 Loan receivables and interest receivables 應收貸款及應收利息 The Group manage the credit risk by assessing 本集團透過評估客戶的信貸 the credit quality of the customers, taking into 品質並考慮其財務狀況、過 account</t>
        </is>
      </c>
    </row>
    <row r="29">
      <c r="A29" s="8" t="inlineStr">
        <is>
          <t>Impairment Testing</t>
        </is>
      </c>
      <c r="B29" s="8" t="inlineStr">
        <is>
          <t>減值測試</t>
        </is>
      </c>
      <c r="C29" s="19" t="inlineStr">
        <is>
          <t>high</t>
        </is>
      </c>
      <c r="D29" s="11" t="inlineStr">
        <is>
          <t>減值虧損</t>
        </is>
      </c>
      <c r="E29" s="11" t="inlineStr">
        <is>
          <t>PDF p.195 (印刷頁 194)</t>
        </is>
      </c>
      <c r="F29" s="11" t="inlineStr">
        <is>
          <t>een months ended 31 止十五個月及二零二四年十二 March 2026 and year ended 31 December 月三十一日止年度，除下文所 2024, the Group assessed the ECL for other 述已信貸減值虧損撥備金額 receivables and deposits are insignificant, 外，本集團評估其他應收款項 except for the amount of credit-impaired loss 及按金的預期信貸虧損為並 allowance made below, and thus no 12m ECL 不重大，因此並未確認12個月 allowance is recognised. 預期信貸虧損撥備。 HK$’000 千港元 At 1 January 2024,31 December 2024, 於二零二四年一月一日、二零二四 1 January 2025 and 31 March 2026 年十二月三十一日、二零二五年 一月一日及二零二六年三月 三十一日 5,134 Cash and cash equivalents 現金及現金等值物 Credit risk</t>
        </is>
      </c>
    </row>
    <row r="30">
      <c r="A30" s="8" t="inlineStr">
        <is>
          <t>Impairment Testing</t>
        </is>
      </c>
      <c r="B30" s="8" t="inlineStr">
        <is>
          <t>減值測試</t>
        </is>
      </c>
      <c r="C30" s="19" t="inlineStr">
        <is>
          <t>high</t>
        </is>
      </c>
      <c r="D30" s="11" t="inlineStr">
        <is>
          <t>impairment loss</t>
        </is>
      </c>
      <c r="E30" s="11" t="inlineStr">
        <is>
          <t>PDF p.205 (印刷頁 204)</t>
        </is>
      </c>
      <c r="F30" s="11" t="inlineStr">
        <is>
          <t>4,378) — — (9,535) Depreciation and amortisation 折舊及攤銷 (869) (1,838) (3,767) — — (6,474) Other material non-cash items: 其他重大非現金項目： — Impairment loss of receivables, net — 應收款項減值虧損淨額 (3,099) — (1,719) — — (4,818) — Impairment loss of non-financial assets, net — 非 金融資產減值虧損 淨額 — (5,374) — — — (5,374) — Net fair value gain on investment properties — 投 資物業的公允值收益 淨額 — — — 1,159 — 1,159 Additions to segment non-current assets 添置分部非流動資產 28 2,663 175 — — 2,866 As at 31 March 2026 於二零二六年三月三十一日 Segment assets 分部資產 8,294 34,426 30,339 23,2</t>
        </is>
      </c>
    </row>
    <row r="31">
      <c r="A31" s="8" t="inlineStr">
        <is>
          <t>Impairment Testing</t>
        </is>
      </c>
      <c r="B31" s="8" t="inlineStr">
        <is>
          <t>減值測試</t>
        </is>
      </c>
      <c r="C31" s="19" t="inlineStr">
        <is>
          <t>high</t>
        </is>
      </c>
      <c r="D31" s="11" t="inlineStr">
        <is>
          <t>impairment loss</t>
        </is>
      </c>
      <c r="E31" s="11" t="inlineStr">
        <is>
          <t>PDF p.206 (印刷頁 205)</t>
        </is>
      </c>
      <c r="F31" s="11" t="inlineStr">
        <is>
          <t>Depreciation and amortisation 折舊及攤銷 (1,638) (5,908) (6,013) — (14) (13,573) Other material non-cash items: 其他重大非現金項目： — Reversal of impairment loss of receivables, net — 應 收款項減值虧損撥回 淨額 15 — 971 — 56 1,042 — Impairment loss of non-financial assets, net — 非金融資產減值虧損淨額 — (2,060) — — — (2,060) — Net fair value gain on investment properties — 投 資物業的公允值收益 淨額 — — — 104 — 104 Addition to segment non-current assets 添置分部非流動資產 1,554 2,492 2,505 — — 6,551 As at 31 December 2024 於二零二四年十二月三十一日 Segment assets 分部資產 13,708 8,953 35,683 19,699 4</t>
        </is>
      </c>
    </row>
    <row r="32">
      <c r="A32" s="8" t="inlineStr">
        <is>
          <t>Impairment Testing</t>
        </is>
      </c>
      <c r="B32" s="8" t="inlineStr">
        <is>
          <t>減值測試</t>
        </is>
      </c>
      <c r="C32" s="19" t="inlineStr">
        <is>
          <t>high</t>
        </is>
      </c>
      <c r="D32" s="11" t="inlineStr">
        <is>
          <t>impairment loss</t>
        </is>
      </c>
      <c r="E32" s="11" t="inlineStr">
        <is>
          <t>PDF p.216 (印刷頁 215)</t>
        </is>
      </c>
      <c r="F32" s="11" t="inlineStr">
        <is>
          <t>設備折舊 equipment — Included in cost of sales — 計入銷售成本 56 2,271 — Included in administrative — 計入行政開支 expenses 4,066 8,300 4,122 10,571 Impairment loss/(Reversal of 應收款項減值虧損╱ impairment loss) of （減值虧損撥回）淨額 receivables, net — Trade receivables — 應收貿易賬款 4,818 (1,042) Impairment loss of non-financial 非金融資產減值虧損淨額 assets, net — Cryptocurrencies — 加密貨幣 2,200 1,563 — Cryptocurrency deposits and — 加密貨幣按金及應收加密 receivables 貨幣 3,174 497 5,374 2,060 Gross rental income from investment 投資物業的租金收入總額* properties* (1,798) (1,257) * No material out</t>
        </is>
      </c>
    </row>
    <row r="33">
      <c r="A33" s="8" t="inlineStr">
        <is>
          <t>Impairment Testing</t>
        </is>
      </c>
      <c r="B33" s="8" t="inlineStr">
        <is>
          <t>減值測試</t>
        </is>
      </c>
      <c r="C33" s="19" t="inlineStr">
        <is>
          <t>high</t>
        </is>
      </c>
      <c r="D33" s="11" t="inlineStr">
        <is>
          <t>impairment loss</t>
        </is>
      </c>
      <c r="E33" s="11" t="inlineStr">
        <is>
          <t>PDF p.218 (印刷頁 217)</t>
        </is>
      </c>
      <c r="F33" s="11" t="inlineStr">
        <is>
          <t>ences 匯兌差額 697 104 — 353 1,154 At 31 March 2026 於二零二六年三月三十一日 10,579 8,082 28,575 3,921 51,157 Accumulated depreciation and 累計折舊及減值虧損 impairment losses At 1 January 2024 於二零二四年一月一日 2,712 9,177 67,856 4,310 84,055 Charge for the year 年內支出 3,484 105 5,799 1,183 10,571 Disposal 出售 (1,557) — (33,312) (9) (34,878) Write off 撇銷 — — — (2) (2) Exchange differences 匯兌差額 (122) (78) (3) (150) (353) At 31 December 2024 and 1 January 2025 於二零二四年十二月三十一日及 二零二五年一月一日 4,517 9,204 40,340 5,332 59,393 Charge for the period 期內支出 3,390 — 56 676 4,122</t>
        </is>
      </c>
    </row>
    <row r="34">
      <c r="A34" s="8" t="inlineStr">
        <is>
          <t>Impairment Testing</t>
        </is>
      </c>
      <c r="B34" s="8" t="inlineStr">
        <is>
          <t>減值測試</t>
        </is>
      </c>
      <c r="C34" s="19" t="inlineStr">
        <is>
          <t>high</t>
        </is>
      </c>
      <c r="D34" s="11" t="inlineStr">
        <is>
          <t>impairment loss</t>
        </is>
      </c>
      <c r="E34" s="11" t="inlineStr">
        <is>
          <t>PDF p.219 (印刷頁 218)</t>
        </is>
      </c>
      <c r="F34" s="11" t="inlineStr">
        <is>
          <t>69) — (2,469) Exchange differences 匯兌差額 394 — 394 At 31 March 2026 於二零二六年三月三十一日 6,958 — 6,958 Accumulated depreciation 累計折舊及減值虧損 and impairment losses At 1 January 2024 於二零二四年一月一日 1,933 14,650 16,583 Charge for the year 年內支出 3,402 — 3,402 Derecognised upon expiration of 租賃屆滿時終止確認 lease (1,557) (14,650) (16,207) Early termination of lease 提早終止租賃 — — — Exchange differences 匯兌差額 (120) — (120) At 31 December 2024 and 於二零二四年十二月三十一日 1 January 2025 及二零二五年一月一日 3,658 — 3,658 Charge for the period 期內支出 3,374 — 3,374 Derecognised upon exp</t>
        </is>
      </c>
    </row>
    <row r="35">
      <c r="A35" s="8" t="inlineStr">
        <is>
          <t>Impairment Testing</t>
        </is>
      </c>
      <c r="B35" s="8" t="inlineStr">
        <is>
          <t>減值測試</t>
        </is>
      </c>
      <c r="C35" s="19" t="inlineStr">
        <is>
          <t>high</t>
        </is>
      </c>
      <c r="D35" s="11" t="inlineStr">
        <is>
          <t>impairment loss</t>
        </is>
      </c>
      <c r="E35" s="11" t="inlineStr">
        <is>
          <t>PDF p.222 (印刷頁 221)</t>
        </is>
      </c>
      <c r="F35" s="11" t="inlineStr">
        <is>
          <t>t 1 January, 31 December 2024, 於二零二四年一月一日、十二月 1 January 2025 and 31 March 2026 三十一日、二零二五年一月一日 及二零二六年三月三十一日 16,482 16,482 Accumulated impairment losses 累計減值虧損 At 1 January, 31 December 2024, 於二零二四年一月一日、十二月 1 January 2025 and 31 March 2026 三十一日、二零二五年一月一日 及二零二六年三月三十一日 16,482 16,482 — — Goodwill acquired in a business combination is allocated, 在業務合併中收購之商譽於收購時分配予 at acquisition, to the cash generating unit (“CGU”) that is 預期將從該業務合併中獲益的現金產生單 expected to benefit from that business combination. The 位（「現金產生單位」）。商譽的賬面值已分 carrying amount</t>
        </is>
      </c>
    </row>
    <row r="36">
      <c r="A36" s="8" t="inlineStr">
        <is>
          <t>Impairment Testing</t>
        </is>
      </c>
      <c r="B36" s="8" t="inlineStr">
        <is>
          <t>減值測試</t>
        </is>
      </c>
      <c r="C36" s="19" t="inlineStr">
        <is>
          <t>high</t>
        </is>
      </c>
      <c r="D36" s="11" t="inlineStr">
        <is>
          <t>impairment loss</t>
        </is>
      </c>
      <c r="E36" s="11" t="inlineStr">
        <is>
          <t>PDF p.223 (印刷頁 222)</t>
        </is>
      </c>
      <c r="F36" s="11" t="inlineStr">
        <is>
          <t>s 匯兌差額 809 — 868 — — 1,677 At 31 March 2026 於二零二六年三月三十一日 33,240 2,492 17,830 7,300 500 61,362 Accumulated amortisation and 累計攤銷及減值虧損 impairment losses At 1 January 2024 於二零二四年一月一日 33,443 — 12,994 5,232 — 51,669 Amortisation 攤銷 — — 2,836 1,460 — 4,296 Exchange differences 匯兌差額 (1,012) — (488) — — (1,500) At 31 December 2024 and 於二零二四年十二月三十一日 1 January 2025 及二零二五年一月一日 32,431 — 15,342 6,692 — 54,465 Amortisation 攤銷 — 2,098 1,656 608 — 4,362 Exchange differences 匯兌差額 809 — 832 — — 1,641 At 31 March 2026 於二零二六年三月三十一日 33,240 2,098 17</t>
        </is>
      </c>
    </row>
    <row r="37">
      <c r="A37" s="8" t="inlineStr">
        <is>
          <t>Impairment Testing</t>
        </is>
      </c>
      <c r="B37" s="8" t="inlineStr">
        <is>
          <t>減值測試</t>
        </is>
      </c>
      <c r="C37" s="19" t="inlineStr">
        <is>
          <t>high</t>
        </is>
      </c>
      <c r="D37" s="11" t="inlineStr">
        <is>
          <t>impairment loss</t>
        </is>
      </c>
      <c r="E37" s="11" t="inlineStr">
        <is>
          <t>PDF p.229 (印刷頁 228)</t>
        </is>
      </c>
      <c r="F37" s="11" t="inlineStr">
        <is>
          <t>eposits — 轉自加密貨幣按金 26(b) 3,403 Total additions 添置總額 7,776 Cryptocurrencies sold 已售加密貨幣 (11,229) Cryptocurrencies paid 已付加密貨幣 (2,308) Impairment loss during the year 年內減值虧損 15 (1,563) Exchange differences 匯兌差額 678 At 31 December 2024 and 1 January 2025 於二零二四年十二月三十一日 及二零二五年一月一日 2,179 Additions 添置 Cryptocurrencies mined 已開採加密貨幣 1,308 Cryptocurrencies received 已收取加密貨幣 — Received from cryptocurrency receivables — 已收取應收加密貨幣 26(b) 412 — Received from operating activities — 經營活動所得款項 810 — Received from sale of mining machines — 出售採礦機所得</t>
        </is>
      </c>
    </row>
    <row r="38">
      <c r="A38" s="8" t="inlineStr">
        <is>
          <t>Impairment Testing</t>
        </is>
      </c>
      <c r="B38" s="8" t="inlineStr">
        <is>
          <t>減值測試</t>
        </is>
      </c>
      <c r="C38" s="19" t="inlineStr">
        <is>
          <t>high</t>
        </is>
      </c>
      <c r="D38" s="11" t="inlineStr">
        <is>
          <t>impairment loss</t>
        </is>
      </c>
      <c r="E38" s="11" t="inlineStr">
        <is>
          <t>PDF p.231 (印刷頁 230)</t>
        </is>
      </c>
      <c r="F38" s="11" t="inlineStr">
        <is>
          <t>mers 自客戶收取 26(a) — (964) (964) Payment to the suppliers 向供應商付款 — 73 73 Expense payables from service 已接受服務的應付開支 accepted — (84) (84) Impairment loss during the year 年內減值虧損 15 (488) (9) (497) Exchange differences 匯兌差額 (17) 2 (15) At 31 December 2024 and 於二零二四年十二月三十一日 1 January 2025 及二零二五年一月一日 3,762 122 3,884 Additions 添置 Income receivable from rental and 來自租賃及所提供服務之應 services provided 收收入 — 322 322 Received from the customers 自客戶收取 26(a) — (412) (412) Payment to the suppliers 向供應商付款 — 20 20 Expense payables from service 已接受服務的 a</t>
        </is>
      </c>
    </row>
    <row r="39">
      <c r="A39" s="8" t="inlineStr">
        <is>
          <t>Intangible Assets &amp; Goodwill</t>
        </is>
      </c>
      <c r="B39" s="8" t="inlineStr">
        <is>
          <t>無形資產及商譽</t>
        </is>
      </c>
      <c r="C39" s="19" t="inlineStr">
        <is>
          <t>high</t>
        </is>
      </c>
      <c r="D39" s="11" t="inlineStr">
        <is>
          <t>licence</t>
        </is>
      </c>
      <c r="E39" s="11" t="inlineStr">
        <is>
          <t>PDF p.10 (印刷頁 9)</t>
        </is>
      </c>
      <c r="F39" s="11" t="inlineStr">
        <is>
          <t>為期兩年。 plans to retain customers and working with the game developer to modernize the title and is in the final stage or renewing the licence for two years. 9 帝國科技集團有限公司 2026 年報</t>
        </is>
      </c>
    </row>
    <row r="40">
      <c r="A40" s="8" t="inlineStr">
        <is>
          <t>Intangible Assets &amp; Goodwill</t>
        </is>
      </c>
      <c r="B40" s="8" t="inlineStr">
        <is>
          <t>無形資產及商譽</t>
        </is>
      </c>
      <c r="C40" s="19" t="inlineStr">
        <is>
          <t>high</t>
        </is>
      </c>
      <c r="D40" s="11" t="inlineStr">
        <is>
          <t>客戶關係</t>
        </is>
      </c>
      <c r="E40" s="11" t="inlineStr">
        <is>
          <t>PDF p.25 (印刷頁 24)</t>
        </is>
      </c>
      <c r="F40" s="11" t="inlineStr">
        <is>
          <t>Chengxin Heng Metal Materials Company Limited, 恒金屬材料有限責任公司擔任客戶經理，負責管 where he was responsible for managing client relationship and 理客戶關係以及交易及售後支援。自二零一七年 transactions and after-sale support. From September 2017 to April 九月至二零二二年四月，彼成為X-dig Technology 2022, he became a partner at X-dig Technology, where he led site 的合夥人，帶領初創開採公司進行工地建設、設 construction, facility setup and operations for the startup mining 施設置及營運以及管理電腦零件的採購及升級。 company and managed procurement and upgrades of computer 自二零二二年五月至二零二三年十月，彼於加拿 components. From May 2022 t</t>
        </is>
      </c>
    </row>
    <row r="41">
      <c r="A41" s="8" t="inlineStr">
        <is>
          <t>Intangible Assets &amp; Goodwill</t>
        </is>
      </c>
      <c r="B41" s="8" t="inlineStr">
        <is>
          <t>無形資產及商譽</t>
        </is>
      </c>
      <c r="C41" s="19" t="inlineStr">
        <is>
          <t>high</t>
        </is>
      </c>
      <c r="D41" s="11" t="inlineStr">
        <is>
          <t>trademark</t>
        </is>
      </c>
      <c r="E41" s="11" t="inlineStr">
        <is>
          <t>PDF p.104 (印刷頁 103)</t>
        </is>
      </c>
      <c r="F41" s="11" t="inlineStr">
        <is>
          <t>國專利法》、《中華人民共和國侵權責任法》、 the Group strictly complies with the Copyright Law of the 中國《互聯網絡域名管理辦法》、中國《軟件 People’s Republic of China, the Trademark Law of the 產品管理辦法》以及其他適用法律法規，制 People’s Republic of China, the Patent Law of the People’s 定了《知識產權管理辦法》，規範知識產權 Republic of China, the Tort Liability Law of the People’s 管理工作。我們也與員工、業務夥伴簽訂 Republic of China, the Measures for the Administration 保密協議，保障我們知識產權的安全。我 of Internet Domain Names of the PRC, the Administrative 們亦採取措施防止侵犯第三方知識產權， Measures for Software Products of the PRC and other ap</t>
        </is>
      </c>
    </row>
    <row r="42">
      <c r="A42" s="8" t="inlineStr">
        <is>
          <t>Intangible Assets &amp; Goodwill</t>
        </is>
      </c>
      <c r="B42" s="8" t="inlineStr">
        <is>
          <t>無形資產及商譽</t>
        </is>
      </c>
      <c r="C42" s="19" t="inlineStr">
        <is>
          <t>high</t>
        </is>
      </c>
      <c r="D42" s="11" t="inlineStr">
        <is>
          <t>intangible asset</t>
        </is>
      </c>
      <c r="E42" s="11" t="inlineStr">
        <is>
          <t>PDF p.126 (印刷頁 125)</t>
        </is>
      </c>
      <c r="F42" s="11" t="inlineStr">
        <is>
          <t>nt assets 非流動資產 Property, plant and equipment 物業、廠房及設備 18 8,637 8,840 Investment properties 投資物業 19 23,215 19,699 Goodwill 商譽 20 — — Intangible assets 無形資產 21 894 5,220 Interest in an associate 於聯營公司的權益 22 15,000 — Prepayments for acquisition of property, 收購物業、廠房及設備 plant and equipment 預付款項 — 2,591 Deposits, other receivables and prepayments 按金、其他應收款項及 預付款項 25 5,423 7,068 53,169 43,418 Current assets 流動資產 Inventories 存貨 58 221 Loan receivables and interest receivables 應收貸款及應收利息 23 — — Trade receivables 應收貿易賬款 24 14,375 19,455 C</t>
        </is>
      </c>
    </row>
    <row r="43">
      <c r="A43" s="8" t="inlineStr">
        <is>
          <t>Intangible Assets &amp; Goodwill</t>
        </is>
      </c>
      <c r="B43" s="8" t="inlineStr">
        <is>
          <t>無形資產及商譽</t>
        </is>
      </c>
      <c r="C43" s="19" t="inlineStr">
        <is>
          <t>high</t>
        </is>
      </c>
      <c r="D43" s="11" t="inlineStr">
        <is>
          <t>amortisation</t>
        </is>
      </c>
      <c r="E43" s="11" t="inlineStr">
        <is>
          <t>PDF p.129 (印刷頁 128)</t>
        </is>
      </c>
      <c r="F43" s="11" t="inlineStr">
        <is>
          <t>前虧損 (64,651) (41,699) Adjustments for: 經調整： Net fair value gain on investment properties 投資物業公允值收益 淨額 (1,159) (104) Depreciation and amortisation 折舊及攤銷 8,484 14,867 Finance costs 融資成本 27,308 16,030 Loss on disposal of a subsidiary 出售附屬公司虧損 31 — Written-off of property, plant and equipment 撇銷物業、廠房及設備 34 — Interest income 利息收入 (1,095) (10) Gain on disposal of property, plant and 出售物業、廠房及設備之 equipment 收益 (1,702) (4,537) Impairment loss/(reversal of impairment 應收款項減值虧損╱（減值 loss) of receivables, net 虧損撥回）淨額 4,818 (1,042) Impairment</t>
        </is>
      </c>
    </row>
    <row r="44">
      <c r="A44" s="8" t="inlineStr">
        <is>
          <t>Intangible Assets &amp; Goodwill</t>
        </is>
      </c>
      <c r="B44" s="8" t="inlineStr">
        <is>
          <t>無形資產及商譽</t>
        </is>
      </c>
      <c r="C44" s="19" t="inlineStr">
        <is>
          <t>high</t>
        </is>
      </c>
      <c r="D44" s="11" t="inlineStr">
        <is>
          <t>goodwill</t>
        </is>
      </c>
      <c r="E44" s="11" t="inlineStr">
        <is>
          <t>PDF p.141 (印刷頁 140)</t>
        </is>
      </c>
      <c r="F44" s="11" t="inlineStr">
        <is>
          <t>註 For the fifteen months ended 31 March 2026 截至二零二六年三月三十一日止十五個月 4. MATERIAL ACCOUNTING POLICY 4. 重大會計政策資料（續） INFORMATION (Continued) Goodwill 商譽 Goodwill arising on an acquisition of a business is carried at 收購業務所產生之商譽按收購業務當日確 cost as established at the date of acquisition of the business 定之成本減去累計減值虧損（如有）列賬。 less accumulated impairment losses, if any. For the purposes of impairment testing, goodwill is allocated 就減值測試而言，商譽會分配至預期可受 to each of the Group’s cash-generating units (or group 惠於業務合併協同效益之各個本集團現金 of cash-generating units</t>
        </is>
      </c>
    </row>
    <row r="45">
      <c r="A45" s="8" t="inlineStr">
        <is>
          <t>Intangible Assets &amp; Goodwill</t>
        </is>
      </c>
      <c r="B45" s="8" t="inlineStr">
        <is>
          <t>無形資產及商譽</t>
        </is>
      </c>
      <c r="C45" s="19" t="inlineStr">
        <is>
          <t>high</t>
        </is>
      </c>
      <c r="D45" s="11" t="inlineStr">
        <is>
          <t>goodwill</t>
        </is>
      </c>
      <c r="E45" s="11" t="inlineStr">
        <is>
          <t>PDF p.142 (印刷頁 141)</t>
        </is>
      </c>
      <c r="F45" s="11" t="inlineStr">
        <is>
          <t>ifiable assets on the basis of their relative fair values at 或議價購買收益。 the date of purchase. Such a transaction does not give rise to goodwill or bargain purchase gain. Property, plant and equipment 物業、廠房及設備 Property, plant and equipment held for use in the production 綜合財務狀況表所列的持作生產或供應貨 or supply of goods or services, or for administrative 品或提供服務，或作行政用途之物業、廠 purposes, are stated in the consolidated statement of 房及設備以成本減其後累計折舊及其後累 financial position at cost, less subsequent accumulated 計減值虧損（如有）列賬。當本集團就於物 depreciation and subsequ</t>
        </is>
      </c>
    </row>
    <row r="46">
      <c r="A46" s="8" t="inlineStr">
        <is>
          <t>Intangible Assets &amp; Goodwill</t>
        </is>
      </c>
      <c r="B46" s="8" t="inlineStr">
        <is>
          <t>無形資產及商譽</t>
        </is>
      </c>
      <c r="C46" s="19" t="inlineStr">
        <is>
          <t>high</t>
        </is>
      </c>
      <c r="D46" s="11" t="inlineStr">
        <is>
          <t>可使用年期</t>
        </is>
      </c>
      <c r="E46" s="11" t="inlineStr">
        <is>
          <t>PDF p.143 (印刷頁 142)</t>
        </is>
      </c>
      <c r="F46" s="11" t="inlineStr">
        <is>
          <t>e off their cost less their residual 用年期內按足以撇銷其成本減其剩餘價值 values over the estimated useful lives on a straight-line basis. 之比率計算折舊。主要估計可使用年期如 The principal estimated useful lives are as follows: 下： Properties 50 years 物業 50年 Leasehold improvement 2–5 years 租賃裝修 2–5年 Plant and machinery 3–10 years 廠房及機械 3–10年 Furniture, fixtures and equipment 2–5 years 傢俬、裝置及設備 2–5年 Motor vehicles 5 years 車輛 5年 The residual values, useful lives and depreciation method 剩餘價值、可使用年期及折舊方法會於每 are reviewed and adjusted, if appropriate, at the end of each</t>
        </is>
      </c>
    </row>
    <row r="47">
      <c r="A47" s="8" t="inlineStr">
        <is>
          <t>Intangible Assets &amp; Goodwill</t>
        </is>
      </c>
      <c r="B47" s="8" t="inlineStr">
        <is>
          <t>無形資產及商譽</t>
        </is>
      </c>
      <c r="C47" s="19" t="inlineStr">
        <is>
          <t>high</t>
        </is>
      </c>
      <c r="D47" s="11" t="inlineStr">
        <is>
          <t>intangible asset</t>
        </is>
      </c>
      <c r="E47" s="11" t="inlineStr">
        <is>
          <t>PDF p.149 (印刷頁 148)</t>
        </is>
      </c>
      <c r="F47" s="11" t="inlineStr">
        <is>
          <t>註 For the fifteen months ended 31 March 2026 截至二零二六年三月三十一日止十五個月 4. MATERIAL ACCOUNTING POLICY 4. 重大會計政策資料（續） INFORMATION (Continued) Intangible assets 無形資產 Intangible assets with indefinite useful lives that are 單獨收購且具備無限可使用年期的無形資 acquired separately are carried at cost less any subsequent 產按成本減任何其後累計減值虧損列賬。 accumulated impairment losses. Game intellectual properties and licences, game software, 單獨收購的遊戲知識產權及版權、遊戲軟 rights on esports team and trademark acquired separately 件、於電子競技隊之權益及商標按成本減 are stated at cost less accumulated amo</t>
        </is>
      </c>
    </row>
    <row r="48">
      <c r="A48" s="8" t="inlineStr">
        <is>
          <t>Intangible Assets &amp; Goodwill</t>
        </is>
      </c>
      <c r="B48" s="8" t="inlineStr">
        <is>
          <t>無形資產及商譽</t>
        </is>
      </c>
      <c r="C48" s="19" t="inlineStr">
        <is>
          <t>high</t>
        </is>
      </c>
      <c r="D48" s="11" t="inlineStr">
        <is>
          <t>intangible asset</t>
        </is>
      </c>
      <c r="E48" s="11" t="inlineStr">
        <is>
          <t>PDF p.150 (印刷頁 149)</t>
        </is>
      </c>
      <c r="F48" s="11" t="inlineStr">
        <is>
          <t>政策資料（續） INFORMATION (Continued) Impairment on property, plant and 物業、廠房及設備、使用權資產及 equipment, right-of-use assets and 無形資產（商譽除外）減值（續） intangible assets other than goodwill (Continued) The recoverable amount of property, plant and equipment, 物業、廠房及設備、使用權資產及無形資 right-of-use assets and intangible assets are estimated 產個別估計可收回金額。倘無法個別估計 individually. When it is not possible to estimate the 可收回金額，則本集團估計資產所屬現金 recoverable amount individually, the Group estimates the 產生單位的可收回金額。 recoverable amount of the cash-generating unit to which t</t>
        </is>
      </c>
    </row>
    <row r="49">
      <c r="A49" s="8" t="inlineStr">
        <is>
          <t>Intangible Assets &amp; Goodwill</t>
        </is>
      </c>
      <c r="B49" s="8" t="inlineStr">
        <is>
          <t>無形資產及商譽</t>
        </is>
      </c>
      <c r="C49" s="19" t="inlineStr">
        <is>
          <t>high</t>
        </is>
      </c>
      <c r="D49" s="11" t="inlineStr">
        <is>
          <t>intangible asset</t>
        </is>
      </c>
      <c r="E49" s="11" t="inlineStr">
        <is>
          <t>PDF p.151 (印刷頁 150)</t>
        </is>
      </c>
      <c r="F49" s="11" t="inlineStr">
        <is>
          <t>政策資料（續） INFORMATION (Continued) Impairment on property, plant and 物業、廠房及設備、使用權資產及 equipment, right-of-use assets and 無形資產（商譽除外）減值（續） intangible assets other than goodwill (Continued) If the recoverable amount of an asset (or a cash-generating 倘若資產（或現金產生單位）之估計可收回 unit) is estimated to be less than its carrying amount, the 金額低於其賬面值，則資產（或現金產生單 carrying amount of the asset (or a cash-generating unit) is 位）之賬面值將調低至其可收回金額。就未 reduced to its recoverable amount. For corporate assets 能按合理一致的基準分配至現金產生單位 or portion of corporate assets whic</t>
        </is>
      </c>
    </row>
    <row r="50">
      <c r="A50" s="8" t="inlineStr">
        <is>
          <t>Intangible Assets &amp; Goodwill</t>
        </is>
      </c>
      <c r="B50" s="8" t="inlineStr">
        <is>
          <t>無形資產及商譽</t>
        </is>
      </c>
      <c r="C50" s="19" t="inlineStr">
        <is>
          <t>high</t>
        </is>
      </c>
      <c r="D50" s="11" t="inlineStr">
        <is>
          <t>intangible asset</t>
        </is>
      </c>
      <c r="E50" s="11" t="inlineStr">
        <is>
          <t>PDF p.152 (印刷頁 151)</t>
        </is>
      </c>
      <c r="F50" s="11" t="inlineStr">
        <is>
          <t>n be bought and sold, do not qualify for recognition as 屬性與無形資產類似。 cash and cash equivalents or financial assets, and are similar to intangible assets in nature. The Group’s business model for holding cryptocurrencies 本集團的商業模式為持有其透過運營獲取 received from its operations are held for sale in the ordinary 的加密貨幣並在正常業務過程中持作出售。 course of business. Accordingly, the cryptocurrencies 因此，加密貨幣根據香港會計準則第2號的 are accounted for as similar to inventories based on the 規定作為類似存貨入賬。 requirements of HKAS 2. Cryptocurrencies are stated at the lower of co</t>
        </is>
      </c>
    </row>
    <row r="51">
      <c r="A51" s="8" t="inlineStr">
        <is>
          <t>Intangible Assets &amp; Goodwill</t>
        </is>
      </c>
      <c r="B51" s="8" t="inlineStr">
        <is>
          <t>無形資產及商譽</t>
        </is>
      </c>
      <c r="C51" s="19" t="inlineStr">
        <is>
          <t>high</t>
        </is>
      </c>
      <c r="D51" s="11" t="inlineStr">
        <is>
          <t>攤銷</t>
        </is>
      </c>
      <c r="E51" s="11" t="inlineStr">
        <is>
          <t>PDF p.154 (印刷頁 153)</t>
        </is>
      </c>
      <c r="F51" s="11" t="inlineStr">
        <is>
          <t>fective interest method is a method of calculating 實際利息法是計算金融資產或金融負債的 the amortised cost of a financial asset or financial liability 攤銷成本及於有關期間內攤分利息收入及 and of allocating interest income and interest expense over 利息開支的方法。實際利率為於金融資產 the relevant period. The effective interest rate is the rate 或金融負債的預計年期或（如適當）較短期 that exactly discounts estimated future cash receipts and 間內，將估計未來現金收款與付款（包括已 payments (including all fees and points paid or received 付或已收之所有費用及點數，該等費用構 that form an integral part of the effective interest rate, 成實際利率、交易</t>
        </is>
      </c>
    </row>
    <row r="52">
      <c r="A52" s="8" t="inlineStr">
        <is>
          <t>Intangible Assets &amp; Goodwill</t>
        </is>
      </c>
      <c r="B52" s="8" t="inlineStr">
        <is>
          <t>無形資產及商譽</t>
        </is>
      </c>
      <c r="C52" s="19" t="inlineStr">
        <is>
          <t>high</t>
        </is>
      </c>
      <c r="D52" s="11" t="inlineStr">
        <is>
          <t>攤銷</t>
        </is>
      </c>
      <c r="E52" s="11" t="inlineStr">
        <is>
          <t>PDF p.155 (印刷頁 154)</t>
        </is>
      </c>
      <c r="F52" s="11" t="inlineStr">
        <is>
          <t>金融資產（續） Classification and subsequent measurement of financial 金融資產之分類及後續計量（續） assets (Continued) Amortised cost and interest income 攤銷成本及利息收入 Interest income is recognised using the effective interest 就其後按攤銷成本計量之金融資產使用實 method for financial assets measured subsequently at 際利息法確認利息收入。利息收入透過對 amortised cost. Interest income is calculated by applying 金融資產賬面總值應用實際利率而計算， the effective interest rate to the gross carrying amount 惟其後成為信貸減值之金融資產除外（見下 of a financial asset, except for financial assets that 文）。就其後成為信貸減值之金融資產而言， have subse</t>
        </is>
      </c>
    </row>
    <row r="53">
      <c r="A53" s="8" t="inlineStr">
        <is>
          <t>Intangible Assets &amp; Goodwill</t>
        </is>
      </c>
      <c r="B53" s="8" t="inlineStr">
        <is>
          <t>無形資產及商譽</t>
        </is>
      </c>
      <c r="C53" s="19" t="inlineStr">
        <is>
          <t>high</t>
        </is>
      </c>
      <c r="D53" s="11" t="inlineStr">
        <is>
          <t>攤銷</t>
        </is>
      </c>
      <c r="E53" s="11" t="inlineStr">
        <is>
          <t>PDF p.162 (印刷頁 161)</t>
        </is>
      </c>
      <c r="F53" s="11" t="inlineStr">
        <is>
          <t>ewards of ownership of the asset to another 他實體時終止確認該項金融資產。 entity. On derecognition of a financial asset measured at amortised 終止確認按攤銷成本計量之金融資產時， cost, the difference between the asset’s carrying amount 資產賬面值與已收及應收代價總和之差額 and the sum of the consideration received and receivable is 於損益中確認。 recognised in profit or loss. Financial liabilities and equity 金融負債及權益 Classification as debt or equity 債項及權益的分類 Debt and equity instruments are classified as either financial 債項及權益工具乃根據合約安排之內容及 liabilities or as equity in accordance with the</t>
        </is>
      </c>
    </row>
    <row r="54">
      <c r="A54" s="8" t="inlineStr">
        <is>
          <t>Intangible Assets &amp; Goodwill</t>
        </is>
      </c>
      <c r="B54" s="8" t="inlineStr">
        <is>
          <t>無形資產及商譽</t>
        </is>
      </c>
      <c r="C54" s="19" t="inlineStr">
        <is>
          <t>high</t>
        </is>
      </c>
      <c r="D54" s="11" t="inlineStr">
        <is>
          <t>攤銷</t>
        </is>
      </c>
      <c r="E54" s="11" t="inlineStr">
        <is>
          <t>PDF p.163 (印刷頁 162)</t>
        </is>
      </c>
      <c r="F54" s="11" t="inlineStr">
        <is>
          <t>cial liabilities’ original effective interest rate. 或費用被調整至經修訂金融負債賬面值， Transaction costs or fees incurred are adjusted to the 並在剩餘期限內攤銷。對金融負債賬面值 carrying amount of the modified financial liabilities and are 的任何調整均於修改日期於損益中確認。 amortised over the remaining term. Any adjustment to the carrying amount of the financial liability is recognised in profit or loss at the date of modification. 162 Imperium Technology Group Limited Annual Report 2026</t>
        </is>
      </c>
    </row>
    <row r="55">
      <c r="A55" s="8" t="inlineStr">
        <is>
          <t>Intangible Assets &amp; Goodwill</t>
        </is>
      </c>
      <c r="B55" s="8" t="inlineStr">
        <is>
          <t>無形資產及商譽</t>
        </is>
      </c>
      <c r="C55" s="19" t="inlineStr">
        <is>
          <t>high</t>
        </is>
      </c>
      <c r="D55" s="11" t="inlineStr">
        <is>
          <t>amortisation</t>
        </is>
      </c>
      <c r="E55" s="11" t="inlineStr">
        <is>
          <t>PDF p.166 (印刷頁 165)</t>
        </is>
      </c>
      <c r="F55" s="11" t="inlineStr">
        <is>
          <t>se third-party licensed game on a gross 益。向平台及付款渠道支付的 basis. Commission fees paid to Platforms and 佣金費用及向第三方遊戲開 payment channels and amortisation of license 發商支付的版權費攤銷，則入 fees paid to third-party game developer are 賬列為收益成本。 recorded as cost of revenues. When the Group acts as an agent, it recognises 當本集團為代理人時，彼於 revenue on a net basis when the services are 向各名玩家提供服務時按淨 provided to the respective players. 額基準確認收益。 165 帝國科技集團有限公司 2026 年報</t>
        </is>
      </c>
    </row>
    <row r="56">
      <c r="A56" s="8" t="inlineStr">
        <is>
          <t>Intangible Assets &amp; Goodwill</t>
        </is>
      </c>
      <c r="B56" s="8" t="inlineStr">
        <is>
          <t>無形資產及商譽</t>
        </is>
      </c>
      <c r="C56" s="19" t="inlineStr">
        <is>
          <t>high</t>
        </is>
      </c>
      <c r="D56" s="11" t="inlineStr">
        <is>
          <t>攤銷</t>
        </is>
      </c>
      <c r="E56" s="11" t="inlineStr">
        <is>
          <t>PDF p.168 (印刷頁 167)</t>
        </is>
      </c>
      <c r="F56" s="11" t="inlineStr">
        <is>
          <t>債主要包括來自銷售網頁遊戲及手 from sales of virtual tokens and virtual items for 機遊戲之虛擬代幣及虛擬物品之未 web-based games and mobile games, where there is 攤銷收益，而本集團隨著時間仍有 still an implied obligation to be provided by the Group 隱含責任提供該等物品，當達致所 and will be recognised as revenue when all of the 有收益確認標準時，將被確認為收 revenue recognition criteria are met. 益。 167 帝國科技集團有限公司 2026 年報</t>
        </is>
      </c>
    </row>
    <row r="57">
      <c r="A57" s="8" t="inlineStr">
        <is>
          <t>Intangible Assets &amp; Goodwill</t>
        </is>
      </c>
      <c r="B57" s="8" t="inlineStr">
        <is>
          <t>無形資產及商譽</t>
        </is>
      </c>
      <c r="C57" s="19" t="inlineStr">
        <is>
          <t>high</t>
        </is>
      </c>
      <c r="D57" s="11" t="inlineStr">
        <is>
          <t>攤銷</t>
        </is>
      </c>
      <c r="E57" s="11" t="inlineStr">
        <is>
          <t>PDF p.169 (印刷頁 168)</t>
        </is>
      </c>
      <c r="F57" s="11" t="inlineStr">
        <is>
          <t>合約成本有關， acquisition costs, which primarily consist of 而後者主要包括分銷平台所收取的 u n a m o r tis e d c o m m is s i o n c osts c h a rg e d by 未攤銷佣金成本。本集團就分銷平 distribution platforms. The Group recognises 台收取的佣金確認合約成本，而該 contract costs in relation to commission charged by 等成本作為取得客戶合約的增量成 distribution platforms, which meet contract acquisition 本符合獲取合約成本的條件。該等 cost criteria as an incremental cost of acquiring a 成本資本化成為獲取合約成本並於 customer contract. They are capitalised as contract 各自的玩家關係期內攤銷，符合相 acquisition costs and amortised over their respe</t>
        </is>
      </c>
    </row>
    <row r="58">
      <c r="A58" s="8" t="inlineStr">
        <is>
          <t>Intangible Assets &amp; Goodwill</t>
        </is>
      </c>
      <c r="B58" s="8" t="inlineStr">
        <is>
          <t>無形資產及商譽</t>
        </is>
      </c>
      <c r="C58" s="19" t="inlineStr">
        <is>
          <t>high</t>
        </is>
      </c>
      <c r="D58" s="11" t="inlineStr">
        <is>
          <t>goodwill</t>
        </is>
      </c>
      <c r="E58" s="11" t="inlineStr">
        <is>
          <t>PDF p.177 (印刷頁 176)</t>
        </is>
      </c>
      <c r="F58" s="11" t="inlineStr">
        <is>
          <t>erences. In addition, deferred tax liabilities are not recognised if the temporary difference arises from the initial recognition of goodwill. 176 Imperium Technology Group Limited Annual Report 2026</t>
        </is>
      </c>
    </row>
    <row r="59">
      <c r="A59" s="8" t="inlineStr">
        <is>
          <t>Intangible Assets &amp; Goodwill</t>
        </is>
      </c>
      <c r="B59" s="8" t="inlineStr">
        <is>
          <t>無形資產及商譽</t>
        </is>
      </c>
      <c r="C59" s="19" t="inlineStr">
        <is>
          <t>high</t>
        </is>
      </c>
      <c r="D59" s="11" t="inlineStr">
        <is>
          <t>intangible asset</t>
        </is>
      </c>
      <c r="E59" s="11" t="inlineStr">
        <is>
          <t>PDF p.181 (印刷頁 180)</t>
        </is>
      </c>
      <c r="F59" s="11" t="inlineStr">
        <is>
          <t>Key sources of estimation uncertainty 估計不明朗因素之主要來源（續） (Continued) Impairment of property, plant and equipment 物業、廠房及設備及無形資產（商譽除 and intangible assets other than goodwill 外）減值 Property, plant and equipment and intangible assets 物業、廠房及設備以及無形資產（商譽除外） other than goodwill are stated at costs less accumulated 按成本減累計折舊及減值（如有）列賬。於 depreciation and impairment, if any. In determining whether 釐定資產是否減值時，本集團須作出判斷 an asset is impaired, the Group has to exercise judgement 及估計，尤其是評估：(i)是否已發生或有任 and make estimation, particularly in assessing:</t>
        </is>
      </c>
    </row>
    <row r="60">
      <c r="A60" s="8" t="inlineStr">
        <is>
          <t>Intangible Assets &amp; Goodwill</t>
        </is>
      </c>
      <c r="B60" s="8" t="inlineStr">
        <is>
          <t>無形資產及商譽</t>
        </is>
      </c>
      <c r="C60" s="19" t="inlineStr">
        <is>
          <t>high</t>
        </is>
      </c>
      <c r="D60" s="11" t="inlineStr">
        <is>
          <t>攤銷</t>
        </is>
      </c>
      <c r="E60" s="11" t="inlineStr">
        <is>
          <t>PDF p.198 (印刷頁 197)</t>
        </is>
      </c>
      <c r="F60" s="11" t="inlineStr">
        <is>
          <t>rch 31 December 2026 2024 二零二六年 二零二四年 三月 十二月 三十一日 三十一日 HK$’000 HK$’000 千港元 千港元 Financial assets: 金融資產： Financial assets measured at 按攤銷成本計量之 amortised cost 金融資產 29,073 35,548 Financial liabilities: 金融負債： Financial liabilities measured at 按攤銷成本計量之 amortised cost 金融負債 231,125 265,283 (f) Fair values (f) 公允值 The carrying amounts of the Group’s financial 於二零二六年三月三十一日及 assets and financial liabilities included in the 二零二四年十二月三十一日， consolidated statement of financial position are 本集團計入綜合財務狀況表 approximately to their respective fair va</t>
        </is>
      </c>
    </row>
    <row r="61">
      <c r="A61" s="8" t="inlineStr">
        <is>
          <t>Intangible Assets &amp; Goodwill</t>
        </is>
      </c>
      <c r="B61" s="8" t="inlineStr">
        <is>
          <t>無形資產及商譽</t>
        </is>
      </c>
      <c r="C61" s="19" t="inlineStr">
        <is>
          <t>high</t>
        </is>
      </c>
      <c r="D61" s="11" t="inlineStr">
        <is>
          <t>amortisation</t>
        </is>
      </c>
      <c r="E61" s="11" t="inlineStr">
        <is>
          <t>PDF p.205 (印刷頁 204)</t>
        </is>
      </c>
      <c r="F61" s="11" t="inlineStr">
        <is>
          <t>2,956 360 (31,132) Bank interest income 銀行利息收入 — — 2 — — 2 Interest expenses 利息開支 (117) (5,040) (4,378) — — (9,535) Depreciation and amortisation 折舊及攤銷 (869) (1,838) (3,767) — — (6,474) Other material non-cash items: 其他重大非現金項目： — Impairment loss of receivables, net — 應收款項減值虧損淨額 (3,099) — (1,719) — — (4,818) — Impairment loss of non-financial assets, net — 非 金融資產減值虧損 淨額 — (5,374) — — — (5,374) — Net fair value gain on investment properties — 投 資物業的公允值收益 淨額 — — — 1,159 — 1,159 Additions to segment non-current assets 添置分部非流動資產 28</t>
        </is>
      </c>
    </row>
    <row r="62">
      <c r="A62" s="8" t="inlineStr">
        <is>
          <t>Intangible Assets &amp; Goodwill</t>
        </is>
      </c>
      <c r="B62" s="8" t="inlineStr">
        <is>
          <t>無形資產及商譽</t>
        </is>
      </c>
      <c r="C62" s="19" t="inlineStr">
        <is>
          <t>high</t>
        </is>
      </c>
      <c r="D62" s="11" t="inlineStr">
        <is>
          <t>amortisation</t>
        </is>
      </c>
      <c r="E62" s="11" t="inlineStr">
        <is>
          <t>PDF p.206 (印刷頁 205)</t>
        </is>
      </c>
      <c r="F62" s="11" t="inlineStr">
        <is>
          <t>7 1,361 302 (18,027) Bank interest income 銀行利息收入 1 — 6 — 2 9 Interest expense 利息開支 (33) (1,720) (2,106) — — (3,859) Depreciation and amortisation 折舊及攤銷 (1,638) (5,908) (6,013) — (14) (13,573) Other material non-cash items: 其他重大非現金項目： — Reversal of impairment loss of receivables, net — 應 收款項減值虧損撥回 淨額 15 — 971 — 56 1,042 — Impairment loss of non-financial assets, net — 非金融資產減值虧損淨額 — (2,060) — — — (2,060) — Net fair value gain on investment properties — 投 資物業的公允值收益 淨額 — — — 104 — 104 Addition to segment non-current assets 添置分部非流動資</t>
        </is>
      </c>
    </row>
    <row r="63">
      <c r="A63" s="8" t="inlineStr">
        <is>
          <t>Intangible Assets &amp; Goodwill</t>
        </is>
      </c>
      <c r="B63" s="8" t="inlineStr">
        <is>
          <t>無形資產及商譽</t>
        </is>
      </c>
      <c r="C63" s="19" t="inlineStr">
        <is>
          <t>high</t>
        </is>
      </c>
      <c r="D63" s="11" t="inlineStr">
        <is>
          <t>intangible asset</t>
        </is>
      </c>
      <c r="E63" s="11" t="inlineStr">
        <is>
          <t>PDF p.216 (印刷頁 215)</t>
        </is>
      </c>
      <c r="F63" s="11" t="inlineStr">
        <is>
          <t>000 千港元 千港元 Auditor’s remuneration 核數師薪酬 1,280 980 Cost of inventories recognised as 確認為開支之存貨成本 expenses 3,454 2,978 Amortisation of intangible assets 無形資產攤銷 (included in administrative expenses) （計入行政開支） 4,362 4,296 Depreciation of property, plant and 物業、廠房及設備折舊 equipment — Included in cost of sales — 計入銷售成本 56 2,271 — Included in administrative — 計入行政開支 expenses 4,066 8,300 4,122 10,571 Impairment loss/(Reversal of 應收款項減值虧損╱ impairment loss) of （減值虧損撥回）淨額 receivables, net — Trade receivables — 應收貿易賬款 4,818 (1,042) Impairment</t>
        </is>
      </c>
    </row>
    <row r="64">
      <c r="A64" s="8" t="inlineStr">
        <is>
          <t>Intangible Assets &amp; Goodwill</t>
        </is>
      </c>
      <c r="B64" s="8" t="inlineStr">
        <is>
          <t>無形資產及商譽</t>
        </is>
      </c>
      <c r="C64" s="19" t="inlineStr">
        <is>
          <t>high</t>
        </is>
      </c>
      <c r="D64" s="11" t="inlineStr">
        <is>
          <t>goodwill</t>
        </is>
      </c>
      <c r="E64" s="11" t="inlineStr">
        <is>
          <t>PDF p.222 (印刷頁 221)</t>
        </is>
      </c>
      <c r="F64" s="11" t="inlineStr">
        <is>
          <t>o last year. 計量的估值技術並無任何變動。 Details of valuation techniques and inputs used are set out in 有關估值技術及所用輸入數據之詳情載於 Note 7(c). 附註7(c)。 20. GOODWILL 20. 商譽 31 March 31 December 2026 2024 二零二六年 二零二四年 三月 十二月 三十一日 三十一日 HK$’000 HK$’000 千港元 千港元 Cost 成本 At 1 January, 31 December 2024, 於二零二四年一月一日、十二月 1 January 2025 and 31 March 2026 三十一日、二零二五年一月一日 及二零二六年三月三十一日 16,482 16,482 Accumulated impairment losses 累計減值虧損 At 1 January, 31 December 2024, 於二零二四年一月一日、十二月 1 January 2025 and 31 March 2026 三十一日、二零二五年一月一日 及二零二六年三月三十一日 16,482 16,482 — — Goodwil</t>
        </is>
      </c>
    </row>
    <row r="65">
      <c r="A65" s="8" t="inlineStr">
        <is>
          <t>Intangible Assets &amp; Goodwill</t>
        </is>
      </c>
      <c r="B65" s="8" t="inlineStr">
        <is>
          <t>無形資產及商譽</t>
        </is>
      </c>
      <c r="C65" s="19" t="inlineStr">
        <is>
          <t>high</t>
        </is>
      </c>
      <c r="D65" s="11" t="inlineStr">
        <is>
          <t>intangible asset</t>
        </is>
      </c>
      <c r="E65" s="11" t="inlineStr">
        <is>
          <t>PDF p.223 (印刷頁 222)</t>
        </is>
      </c>
      <c r="F65" s="11" t="inlineStr">
        <is>
          <t>NOTES TO THE CONSOLIDATED FINANCIAL STATEMENTS 綜合財務報表附註 For the fifteen months ended 31 March 2026 截至二零二六年三月三十一日止十五個月 21. INTANGIBLE ASSETS 21. 無形資產 Game intellectual Money properties and Rights on lending licenses Software esports team Trademark license Total 遊戲知識產權 於電子競技團隊 及版權 軟件 之權益 商標 放債牌照 總計 HK$’000 HK$’000 HK$’000 HK$’000 HK$’000 HK$’000 千港元 千港元 千港元 千港元 千港元 千港元 Cost 成本 At 1 January 2024 於二零二四年一月一日 33,443 — 17,540 7,300 500 58,783 Acquisition of subsidiaries 收購附屬公司 — 2,492 — — — 2,492 Exchange differences 匯兌差額 (</t>
        </is>
      </c>
    </row>
    <row r="66">
      <c r="A66" s="8" t="inlineStr">
        <is>
          <t>Intangible Assets &amp; Goodwill</t>
        </is>
      </c>
      <c r="B66" s="8" t="inlineStr">
        <is>
          <t>無形資產及商譽</t>
        </is>
      </c>
      <c r="C66" s="19" t="inlineStr">
        <is>
          <t>high</t>
        </is>
      </c>
      <c r="D66" s="11" t="inlineStr">
        <is>
          <t>intangible asset</t>
        </is>
      </c>
      <c r="E66" s="11" t="inlineStr">
        <is>
          <t>PDF p.224 (印刷頁 223)</t>
        </is>
      </c>
      <c r="F66" s="11" t="inlineStr">
        <is>
          <t>NOTES TO THE CONSOLIDATED FINANCIAL STATEMENTS 綜合財務報表附註 For the fifteen months ended 31 March 2026 截至二零二六年三月三十一日止十五個月 21. INTANGIBLE ASSETS 21. 無形資產（續） (Continued) The Group’s money lending license of approximately 於二零二六年三月三十一日，本集團的放 HK$500,000 (31 December 2024: HK$500,000) at 31 March 債牌照約500,000港元（二零二四年十二月 2026 was assessed as having indefinite useful life because 三十一日：500,000港元）評估為具無限可使 the license has a limited term of 1 year but would be able 用年期，因該牌照的限制年期為1年，惟每 to be renewed annually at minimal cost. The direc</t>
        </is>
      </c>
    </row>
    <row r="67">
      <c r="A67" s="8" t="inlineStr">
        <is>
          <t>Intangible Assets &amp; Goodwill</t>
        </is>
      </c>
      <c r="B67" s="8" t="inlineStr">
        <is>
          <t>無形資產及商譽</t>
        </is>
      </c>
      <c r="C67" s="19" t="inlineStr">
        <is>
          <t>high</t>
        </is>
      </c>
      <c r="D67" s="11" t="inlineStr">
        <is>
          <t>專利</t>
        </is>
      </c>
      <c r="E67" s="11" t="inlineStr">
        <is>
          <t>PDF p.235 (印刷頁 234)</t>
        </is>
      </c>
      <c r="F67" s="11" t="inlineStr">
        <is>
          <t>年 二零二四年 三月 十二月 三十一日 三十一日 HK$’000 HK$’000 千港元 千港元 Deposits received 已收按金 424 415 Accruals 應計項目 7,933 5,504 Royalty payable (Note a) 應付專利權費（附註a） 2,513 1,455 Retirement benefits costs (Note b) 退休福利成本（附註b） 352 276 Other payables (Note c) 其他應付款項（附註c） 29,158 34,272 40,380 41,922 Analyses for reporting purposes 就報告用途分析為： Current 流動 34,405 41,646 Non-current 非流動 5,975 276 40,380 41,922 Notes: 附註： (a) The balance represented non-cancellable minimum royalty payable (a) 結餘指根據線上遊戲版權協議應付一名遊戲 to a game developer under an online game license</t>
        </is>
      </c>
    </row>
    <row r="68">
      <c r="A68" s="8" t="inlineStr">
        <is>
          <t>Intangible Assets &amp; Goodwill</t>
        </is>
      </c>
      <c r="B68" s="8" t="inlineStr">
        <is>
          <t>無形資產及商譽</t>
        </is>
      </c>
      <c r="C68" s="19" t="inlineStr">
        <is>
          <t>high</t>
        </is>
      </c>
      <c r="D68" s="11" t="inlineStr">
        <is>
          <t>intangible asset</t>
        </is>
      </c>
      <c r="E68" s="11" t="inlineStr">
        <is>
          <t>PDF p.239 (印刷頁 238)</t>
        </is>
      </c>
      <c r="F68" s="11" t="inlineStr">
        <is>
          <t>activities and assets is 務之結論。 not a business HK$’000 千港元 Assets and liabilities recognised at the date of 於收購日期確認的資產及負債 acquisition Intangible assets 無形資產 2,492 Net cash outflows arising on acquisition of 收購Smart System所產生的現金流出淨額 Smart System Cash consideration 現金代價 1,102 Less: cash and cash equivalents acquired 減：已收購現金及現金等價物 — Net cash outflow 現金流出淨額 1,102 On 31 July 2025, the Group acquired the remaining 49% 於二零二五年七月三十一日，本集團以1港 issued shares of Smart System at the consideration of HK$1. 元代價收購Smart System 餘下49%已發行 Accordingly</t>
        </is>
      </c>
    </row>
    <row r="69">
      <c r="A69" s="8" t="inlineStr">
        <is>
          <t>Investment Properties</t>
        </is>
      </c>
      <c r="B69" s="8" t="inlineStr">
        <is>
          <t>投資物業</t>
        </is>
      </c>
      <c r="C69" s="19" t="inlineStr">
        <is>
          <t>high</t>
        </is>
      </c>
      <c r="D69" s="11" t="inlineStr">
        <is>
          <t>投資物業</t>
        </is>
      </c>
      <c r="E69" s="11" t="inlineStr">
        <is>
          <t>PDF p.15 (印刷頁 14)</t>
        </is>
      </c>
      <c r="F69" s="11" t="inlineStr">
        <is>
          <t>31 December 2024: HK$1,361,000) as the fair value of 年十二月三十一日止年度：1,361,000港元），乃由 investment properties increased during the Period. 於投資物業的公允值於期內有所增加。 The revenue from the remaining business, namely household 於期內，來自餘下業務（即家居產品業務及放債業務） products business and money lending business for the Period 的收益約為400,000港元（截至二零二四年十二月 was approximately HK$400,000 (year ended 31 December 三十一日止年度：2,613,000港元），綜合分部溢利 2024: HK$2,613,000), while the combined segment profit was 約為360,000港元（截至二零二四年十二月三十一 approximately HK$360,000 (year ended 31 December</t>
        </is>
      </c>
    </row>
    <row r="70">
      <c r="A70" s="8" t="inlineStr">
        <is>
          <t>Investment Properties</t>
        </is>
      </c>
      <c r="B70" s="8" t="inlineStr">
        <is>
          <t>投資物業</t>
        </is>
      </c>
      <c r="C70" s="19" t="inlineStr">
        <is>
          <t>high</t>
        </is>
      </c>
      <c r="D70" s="11" t="inlineStr">
        <is>
          <t>投資物業</t>
        </is>
      </c>
      <c r="E70" s="11" t="inlineStr">
        <is>
          <t>PDF p.19 (印刷頁 18)</t>
        </is>
      </c>
      <c r="F70" s="11" t="inlineStr">
        <is>
          <t>dressing the Group’s cash flow 團的現金流量需求： requirements: (i) disposal of all or part of the investment properties in (i) 出售全部或部分位於馬來西亞的投資物業； Malaysia; (ii) disposal of surplus mining machinery in Hong Kong; and (ii) 出售香港過剩的挖礦機器；及 (iii) securing short term bridging facility. (iii) 獲得短期過渡融資。 Quarterly progress update 每季最新進度資料 The Company will publish a quar terly progress update 本公司將自刊發年報當日起計每三個月刊發每季 announcement every three months from the date of publication 進度最新資料，詳盡披露所採取的措施及行動方 of the annual report, disclosing the detailed step</t>
        </is>
      </c>
    </row>
    <row r="71">
      <c r="A71" s="8" t="inlineStr">
        <is>
          <t>Investment Properties</t>
        </is>
      </c>
      <c r="B71" s="8" t="inlineStr">
        <is>
          <t>投資物業</t>
        </is>
      </c>
      <c r="C71" s="19" t="inlineStr">
        <is>
          <t>high</t>
        </is>
      </c>
      <c r="D71" s="11" t="inlineStr">
        <is>
          <t>投資物業</t>
        </is>
      </c>
      <c r="E71" s="11" t="inlineStr">
        <is>
          <t>PDF p.29 (印刷頁 28)</t>
        </is>
      </c>
      <c r="F71" s="11" t="inlineStr">
        <is>
          <t>REPORT OF THE DIRECTORS 董事會報告 INVESTMENT PROPERTIES 投資物業 Details of movements in investment properties of the Group during the 本集團年內投資物業的變動詳情載於綜合財務報 year are set out in Note 19 to the consolidated financial statements. 表附註19。 SHARE CAPITAL 股本 Details of movements in share capital of the Company during the 本公司年內股本的變動詳情載於綜合財務報表 year are set out in Note 35 to the consolidated financial statements. 附註35。 MAJOR CUSTOMERS AND SUPPLIERS 主要客戶及供應商 The infor</t>
        </is>
      </c>
    </row>
    <row r="72">
      <c r="A72" s="8" t="inlineStr">
        <is>
          <t>Investment Properties</t>
        </is>
      </c>
      <c r="B72" s="8" t="inlineStr">
        <is>
          <t>投資物業</t>
        </is>
      </c>
      <c r="C72" s="19" t="inlineStr">
        <is>
          <t>high</t>
        </is>
      </c>
      <c r="D72" s="11" t="inlineStr">
        <is>
          <t>投資物業</t>
        </is>
      </c>
      <c r="E72" s="11" t="inlineStr">
        <is>
          <t>PDF p.126 (印刷頁 125)</t>
        </is>
      </c>
      <c r="F72" s="11" t="inlineStr">
        <is>
          <t>otes HK$’000 HK$’000 附註 千港元 千港元 Non-current assets 非流動資產 Property, plant and equipment 物業、廠房及設備 18 8,637 8,840 Investment properties 投資物業 19 23,215 19,699 Goodwill 商譽 20 — — Intangible assets 無形資產 21 894 5,220 Interest in an associate 於聯營公司的權益 22 15,000 — Prepayments for acquisition of property, 收購物業、廠房及設備 plant and equipment 預付款項 — 2,591 Deposits, other receivables and prepayments 按金、其他應收款項及 預付款項 25 5,423 7,068 53,169 43,418 Current assets 流動資產 Inventories 存貨 58 221 Loan receivables and interest receivables 應收貸款及應收利息 23 — — Tr</t>
        </is>
      </c>
    </row>
    <row r="73">
      <c r="A73" s="8" t="inlineStr">
        <is>
          <t>Investment Properties</t>
        </is>
      </c>
      <c r="B73" s="8" t="inlineStr">
        <is>
          <t>投資物業</t>
        </is>
      </c>
      <c r="C73" s="19" t="inlineStr">
        <is>
          <t>high</t>
        </is>
      </c>
      <c r="D73" s="11" t="inlineStr">
        <is>
          <t>投資物業</t>
        </is>
      </c>
      <c r="E73" s="11" t="inlineStr">
        <is>
          <t>PDF p.129 (印刷頁 128)</t>
        </is>
      </c>
      <c r="F73" s="11" t="inlineStr">
        <is>
          <t>OPERATING ACTIVITIES 經營活動 Loss before tax 除稅前虧損 (64,651) (41,699) Adjustments for: 經調整： Net fair value gain on investment properties 投資物業公允值收益 淨額 (1,159) (104) Depreciation and amortisation 折舊及攤銷 8,484 14,867 Finance costs 融資成本 27,308 16,030 Loss on disposal of a subsidiary 出售附屬公司虧損 31 — Written-off of property, plant and equipment 撇銷物業、廠房及設備 34 — Interest income 利息收入 (1,095) (10) Gain on disposal of property, plant and 出售物業、廠房及設備之 equipment 收益 (1,702) (4,537) Impairment loss/(reversal of impairment 應收款項減值虧損╱（減值 loss) of receiv</t>
        </is>
      </c>
    </row>
    <row r="74">
      <c r="A74" s="8" t="inlineStr">
        <is>
          <t>Investment Properties</t>
        </is>
      </c>
      <c r="B74" s="8" t="inlineStr">
        <is>
          <t>投資物業</t>
        </is>
      </c>
      <c r="C74" s="19" t="inlineStr">
        <is>
          <t>high</t>
        </is>
      </c>
      <c r="D74" s="11" t="inlineStr">
        <is>
          <t>投資物業</t>
        </is>
      </c>
      <c r="E74" s="11" t="inlineStr">
        <is>
          <t>PDF p.137 (印刷頁 136)</t>
        </is>
      </c>
      <c r="F74" s="11" t="inlineStr">
        <is>
          <t>ated financial statements have been prepared 該等綜合財務報表乃按歷史成本法編製， under the historical cost basis, except for investment 惟於各報告期末按公允值計量的投資物業 properties which have been measured at fair value at the 除外，詳情於下文之會計政策闡述。 end of each reporting period, as explained in the accounting policies below. Historical cost is generally based on the fair value of the 歷史成本一般以交換貨品及服務所支付代 consideration given in exchange for goods and services. 價之公允值為基準。 Fair value is the price that would be received to sell an asset 公允值是市場參與者於計量日在有序交易 or paid to trans</t>
        </is>
      </c>
    </row>
    <row r="75">
      <c r="A75" s="8" t="inlineStr">
        <is>
          <t>Investment Properties</t>
        </is>
      </c>
      <c r="B75" s="8" t="inlineStr">
        <is>
          <t>投資物業</t>
        </is>
      </c>
      <c r="C75" s="19" t="inlineStr">
        <is>
          <t>high</t>
        </is>
      </c>
      <c r="D75" s="11" t="inlineStr">
        <is>
          <t>投資物業</t>
        </is>
      </c>
      <c r="E75" s="11" t="inlineStr">
        <is>
          <t>PDF p.142 (印刷頁 141)</t>
        </is>
      </c>
      <c r="F75" s="11" t="inlineStr">
        <is>
          <t>roportion to the relative fair values 用權資產」 （計入物業、廠房及設備），惟在 at initial recognition. To the extent the allocation of the 公允值模型下分類及入賬列為投資物業者 relevant payments can be made reliably, interest in leasehold 除外。當代價無法在相關租賃土地的非租 land is presented as “right-of-use assets” (included in 賃樓宇成分及未分割權益之間可靠分配時， property, plant and equipment) in the consolidated statement 整項物業分類為物業、廠房及設備。 of financial position except for those that are classified and accounted for as investment properties under the fair value model. When the consideration cannot</t>
        </is>
      </c>
    </row>
    <row r="76">
      <c r="A76" s="8" t="inlineStr">
        <is>
          <t>Investment Properties</t>
        </is>
      </c>
      <c r="B76" s="8" t="inlineStr">
        <is>
          <t>投資物業</t>
        </is>
      </c>
      <c r="C76" s="19" t="inlineStr">
        <is>
          <t>high</t>
        </is>
      </c>
      <c r="D76" s="11" t="inlineStr">
        <is>
          <t>investment property</t>
        </is>
      </c>
      <c r="E76" s="11" t="inlineStr">
        <is>
          <t>PDF p.143 (印刷頁 142)</t>
        </is>
      </c>
      <c r="F76" s="11" t="inlineStr">
        <is>
          <t>d future use and property that is 的土地，以及為將來用作投資物業而正在 being constructed or developed for future use as investment 建設或開發的物業。 property. Investment property are stated at fair value. Gains or 投資物業按公允值列賬。投資物業公允值 losses arising from changes in the fair value of investment 變動產生之損益於產生期間在損益中確認。 properties are recognised in profit or loss for the period in which they arise. 142 Imperium Technology Group Limited Annual Report 2026</t>
        </is>
      </c>
    </row>
    <row r="77">
      <c r="A77" s="8" t="inlineStr">
        <is>
          <t>Investment Properties</t>
        </is>
      </c>
      <c r="B77" s="8" t="inlineStr">
        <is>
          <t>投資物業</t>
        </is>
      </c>
      <c r="C77" s="19" t="inlineStr">
        <is>
          <t>high</t>
        </is>
      </c>
      <c r="D77" s="11" t="inlineStr">
        <is>
          <t>market rent</t>
        </is>
      </c>
      <c r="E77" s="11" t="inlineStr">
        <is>
          <t>PDF p.147 (印刷頁 146)</t>
        </is>
      </c>
      <c r="F77" s="11" t="inlineStr">
        <is>
          <t>t the date of reassessment. 付款而重新計量。 • the lease payments change due to changes in market ‧ 租賃付款因市場租金檢討後的市場 rental rates following a market rent review/expected 租金╱擔保剩餘價值項下預期付款 payment under a guaranteed residual value, in which 的變更而出現變動，在此情況下， cases the related lease liability is remeasured by 有關租賃負債透過使用初步貼現率 discounting the revised lease payments using the 貼現經修訂租賃付款而重新計量。 initial discount rate. • a lease contract is modified and the lease modification ‧ 租賃合約被修訂，且租賃修訂不作 is not accounted for as a separate lease (see below 為單獨的租</t>
        </is>
      </c>
    </row>
    <row r="78">
      <c r="A78" s="8" t="inlineStr">
        <is>
          <t>Investment Properties</t>
        </is>
      </c>
      <c r="B78" s="8" t="inlineStr">
        <is>
          <t>投資物業</t>
        </is>
      </c>
      <c r="C78" s="19" t="inlineStr">
        <is>
          <t>high</t>
        </is>
      </c>
      <c r="D78" s="11" t="inlineStr">
        <is>
          <t>投資物業</t>
        </is>
      </c>
      <c r="E78" s="11" t="inlineStr">
        <is>
          <t>PDF p.148 (印刷頁 147)</t>
        </is>
      </c>
      <c r="F78" s="11" t="inlineStr">
        <is>
          <t>unt of the leased asset, and such costs are recognised 線法確認為開支，惟按公允值模式計量的 as an expense on a straight-line basis over the lease term 投資物業除外。 except for investment properties measured under fair value model. Rental income which are derived from the Group’s ordinary 本集團日常業務過程中產生的租金收入呈 course of business are presented as revenue. 列為收益。 147 帝國科技集團有限公司 2026 年報</t>
        </is>
      </c>
    </row>
    <row r="79">
      <c r="A79" s="8" t="inlineStr">
        <is>
          <t>Investment Properties</t>
        </is>
      </c>
      <c r="B79" s="8" t="inlineStr">
        <is>
          <t>投資物業</t>
        </is>
      </c>
      <c r="C79" s="19" t="inlineStr">
        <is>
          <t>high</t>
        </is>
      </c>
      <c r="D79" s="11" t="inlineStr">
        <is>
          <t>投資物業</t>
        </is>
      </c>
      <c r="E79" s="11" t="inlineStr">
        <is>
          <t>PDF p.182 (印刷頁 181)</t>
        </is>
      </c>
      <c r="F79" s="11" t="inlineStr">
        <is>
          <t>要來源（續） UNCERTAINTY (Continued) Key sources of estimation uncertainty 估計不明朗因素之主要來源（續） (Continued) Fair value of investment properties 投資物業公允值 The Group appointed an independent professional valuer 本集團已委聘一名獨立專業估值師對投資 to assess the fair value of the investment properties. The 物業之公允值進行評估。釐定公允值時涉 determination of the fair value involves certain assumptions 及若干對市況的假設（如附註7所載）。 of market conditions that are set out in Note 7. In relying on the valuation report, the directors of the 根據估值報告，本公司董事已行使其判斷， Company have exercised their judge</t>
        </is>
      </c>
    </row>
    <row r="80">
      <c r="A80" s="8" t="inlineStr">
        <is>
          <t>Investment Properties</t>
        </is>
      </c>
      <c r="B80" s="8" t="inlineStr">
        <is>
          <t>投資物業</t>
        </is>
      </c>
      <c r="C80" s="19" t="inlineStr">
        <is>
          <t>high</t>
        </is>
      </c>
      <c r="D80" s="11" t="inlineStr">
        <is>
          <t>投資物業</t>
        </is>
      </c>
      <c r="E80" s="11" t="inlineStr">
        <is>
          <t>PDF p.199 (印刷頁 198)</t>
        </is>
      </c>
      <c r="F80" s="11" t="inlineStr">
        <is>
          <t>HK$’000 HK$’000 千港元 千港元 千港元 千港元 As at 31 March 2026 於二零二六年 三月三十一日 Recurring fair value measurements: 經常性公允值計量 Investment properties 投資物業 Office units — Malaysia 辦公單位 — 馬來西亞 — — 23,215 23,215 As at 31 December 2024 於二零二四年 十二月三十一日 Recurring fair value measurements: 經常性公允值計量 Investment properties 投資物業 Office units — Malaysia 辦公單位 — 馬來西亞 — — 19,699 19,699 198 Imperium Technology Group Limited Annual Report 2026</t>
        </is>
      </c>
    </row>
    <row r="81">
      <c r="A81" s="8" t="inlineStr">
        <is>
          <t>Investment Properties</t>
        </is>
      </c>
      <c r="B81" s="8" t="inlineStr">
        <is>
          <t>投資物業</t>
        </is>
      </c>
      <c r="C81" s="19" t="inlineStr">
        <is>
          <t>high</t>
        </is>
      </c>
      <c r="D81" s="11" t="inlineStr">
        <is>
          <t>投資物業</t>
        </is>
      </c>
      <c r="E81" s="11" t="inlineStr">
        <is>
          <t>PDF p.200 (印刷頁 199)</t>
        </is>
      </c>
      <c r="F81" s="11" t="inlineStr">
        <is>
          <t>量（續） (Continued) (b) Reconciliation of assets measured at (b) 根據第3層級按公允值計量的 fair value based on Level 3: 資產對賬： Investment Properties 投資物業 HK$’000 千港元 At 1 January 2024 於二零二四年一月一日 19,169 Net fair value gain recognised in profit or loss 於損益確認的公允值收益淨額 104 Exchange difference 匯兌差額 426 At 31 December 2024 and 1 January 2025 於二零二四年十二月三十一日及 二零二五年一月一日 19,699 Net fair value gain recognised in profit or loss 於損益確認的公允值收益淨額 1,159 Exchange difference 匯兌差額 2,357 At 31 March 2026 於二零二六年三月三十一日 23,215 (c) Disclosure of valuation process used by</t>
        </is>
      </c>
    </row>
    <row r="82">
      <c r="A82" s="8" t="inlineStr">
        <is>
          <t>Investment Properties</t>
        </is>
      </c>
      <c r="B82" s="8" t="inlineStr">
        <is>
          <t>投資物業</t>
        </is>
      </c>
      <c r="C82" s="19" t="inlineStr">
        <is>
          <t>high</t>
        </is>
      </c>
      <c r="D82" s="11" t="inlineStr">
        <is>
          <t>market rent</t>
        </is>
      </c>
      <c r="E82" s="11" t="inlineStr">
        <is>
          <t>PDF p.201 (印刷頁 200)</t>
        </is>
      </c>
      <c r="F82" s="11" t="inlineStr">
        <is>
          <t>proach (1) Reversionary yield 6.5% Malaysia 收入法 (1)復歸收益率 (31 December 2024: 6.5%) — 位於馬來西亞之辦公單位 6.5%（二零二四年 十二月三十一日：6.5%） (2) Monthly market rent per sq. ft RM3.5 (2) 每平方呎每月的市場租金 (31 December 2024: RM3.0) 3.5令吉（二零二四年 十二月三十一日：3.0令吉） Reversionary yield is the rate taking into account 復歸收益率乃計及潛在租金收入資 the capitalisation of potential rental income, nature 本化、物業性質及當時市況得出之 of the property and prevailing market conditions. 比率。每平方呎之市場租金乃計及 Monthly market rent per square foot is the market 相關物業之市場可供直接比較交易 rent taking into account the dire</t>
        </is>
      </c>
    </row>
    <row r="83">
      <c r="A83" s="8" t="inlineStr">
        <is>
          <t>Investment Properties</t>
        </is>
      </c>
      <c r="B83" s="8" t="inlineStr">
        <is>
          <t>投資物業</t>
        </is>
      </c>
      <c r="C83" s="19" t="inlineStr">
        <is>
          <t>high</t>
        </is>
      </c>
      <c r="D83" s="11" t="inlineStr">
        <is>
          <t>投資物業</t>
        </is>
      </c>
      <c r="E83" s="11" t="inlineStr">
        <is>
          <t>PDF p.202 (印刷頁 201)</t>
        </is>
      </c>
      <c r="F83" s="11" t="inlineStr">
        <is>
          <t>Esports — 電子競技 32,619 29,737 — Others — 其他 — 1,913 51,060 48,588 Revenue from other sources 其他來源收益 — Rental income from investment — 投資物業之租金收入 properties 1,798 1,257 — Interest income from money lending — 放債業務之利息收入 business 400 700 — Rental income from cloud computing — 雲計算及數據儲存機器之租金 and data storage machines 收入 321 965 2,519 2,922 53,579 51,510 201 帝國科技集團有限公司 2026 年報</t>
        </is>
      </c>
    </row>
    <row r="84">
      <c r="A84" s="8" t="inlineStr">
        <is>
          <t>Investment Properties</t>
        </is>
      </c>
      <c r="B84" s="8" t="inlineStr">
        <is>
          <t>投資物業</t>
        </is>
      </c>
      <c r="C84" s="19" t="inlineStr">
        <is>
          <t>high</t>
        </is>
      </c>
      <c r="D84" s="11" t="inlineStr">
        <is>
          <t>投資物業</t>
        </is>
      </c>
      <c r="E84" s="11" t="inlineStr">
        <is>
          <t>PDF p.204 (印刷頁 203)</t>
        </is>
      </c>
      <c r="F84" s="11" t="inlineStr">
        <is>
          <t>titions, streaming and 市場推廣活動及商品銷售 marketing event, and merchandise sales Property investment — rental income from investment 物業投資 — 投資物業之租金收入 properties Others — manufacture and sale of stainless 其他 — 製造及銷售不銹鋼傢俱及 steel furnishings and home 家居用品，以及放債業務之 products and interest income from 利息收入 money lending business In prior years, the Group had six reportable segments, 於過往年度，本集團有六個可呈報分部， which were online game, cloud computing and data storage, 即線上遊戲、雲計算及數據儲存、電子競 esports, household products, property investment and 技、家居產品、物業投資及放</t>
        </is>
      </c>
    </row>
    <row r="85">
      <c r="A85" s="8" t="inlineStr">
        <is>
          <t>Investment Properties</t>
        </is>
      </c>
      <c r="B85" s="8" t="inlineStr">
        <is>
          <t>投資物業</t>
        </is>
      </c>
      <c r="C85" s="19" t="inlineStr">
        <is>
          <t>high</t>
        </is>
      </c>
      <c r="D85" s="11" t="inlineStr">
        <is>
          <t>投資物業</t>
        </is>
      </c>
      <c r="E85" s="11" t="inlineStr">
        <is>
          <t>PDF p.215 (印刷頁 214)</t>
        </is>
      </c>
      <c r="F85" s="11" t="inlineStr">
        <is>
          <t>售物業、廠房及設備的收益 and equipment, net 淨額 1,702 4,537 Exchange gain/(loss), net 匯兌收益╱（虧損）淨額 3,188 (3,388) Net fair value gain on investment 投資物業公允值收益淨額 properties 1,159 104 Loss on disposal of a subsidiary 出售附屬公司虧損 (31) — Loss on written off of property, 撇銷物業、廠房及設備之 plant and equipment 虧損 (34) — Others 其他 88 988 6,072 2,241 214 Imperium Technology Group Limited Annual Report 2026</t>
        </is>
      </c>
    </row>
    <row r="86">
      <c r="A86" s="8" t="inlineStr">
        <is>
          <t>Investment Properties</t>
        </is>
      </c>
      <c r="B86" s="8" t="inlineStr">
        <is>
          <t>投資物業</t>
        </is>
      </c>
      <c r="C86" s="19" t="inlineStr">
        <is>
          <t>high</t>
        </is>
      </c>
      <c r="D86" s="11" t="inlineStr">
        <is>
          <t>投資物業</t>
        </is>
      </c>
      <c r="E86" s="11" t="inlineStr">
        <is>
          <t>PDF p.216 (印刷頁 215)</t>
        </is>
      </c>
      <c r="F86" s="11" t="inlineStr">
        <is>
          <t>密貨幣 2,200 1,563 — Cryptocurrency deposits and — 加密貨幣按金及應收加密 receivables 貨幣 3,174 497 5,374 2,060 Gross rental income from investment 投資物業的租金收入總額* properties* (1,798) (1,257) * No material outgoings had been incurred for the rental income. * 並無就租金收入產生重大支出。 215 帝國科技集團有限公司 2026 年報</t>
        </is>
      </c>
    </row>
    <row r="87">
      <c r="A87" s="8" t="inlineStr">
        <is>
          <t>Investment Properties</t>
        </is>
      </c>
      <c r="B87" s="8" t="inlineStr">
        <is>
          <t>投資物業</t>
        </is>
      </c>
      <c r="C87" s="19" t="inlineStr">
        <is>
          <t>high</t>
        </is>
      </c>
      <c r="D87" s="11" t="inlineStr">
        <is>
          <t>投資物業</t>
        </is>
      </c>
      <c r="E87" s="11" t="inlineStr">
        <is>
          <t>PDF p.221 (印刷頁 220)</t>
        </is>
      </c>
      <c r="F87" s="11" t="inlineStr">
        <is>
          <t>ll terms are renegotiated. None of the leases includes 重續的選項。所有租賃均不包括可變租賃 variable lease payments. 付款。 19. INVESTMENT PROPERTIES 19. 投資物業 The Group leases out certain offices under operating leases 本集團以經營租賃的方式出租若干辦公室， with rentals payable monthly. The leases typically run for an 租金每月支付。租賃的初始租期通常為一 initial period of 1 to 3 years (year ended 31 December 2024: 至三年（截至二零二四年十二月三十一日止 1 to 3 years). Majority of the lease contracts contain market 年度﹕一至三年）。倘承租人行使續約權， review clauses in the event the lessee exercises the option 則大多數租賃合同均包含</t>
        </is>
      </c>
    </row>
    <row r="88">
      <c r="A88" s="8" t="inlineStr">
        <is>
          <t>Investment Properties</t>
        </is>
      </c>
      <c r="B88" s="8" t="inlineStr">
        <is>
          <t>投資物業</t>
        </is>
      </c>
      <c r="C88" s="19" t="inlineStr">
        <is>
          <t>high</t>
        </is>
      </c>
      <c r="D88" s="11" t="inlineStr">
        <is>
          <t>投資物業</t>
        </is>
      </c>
      <c r="E88" s="11" t="inlineStr">
        <is>
          <t>PDF p.222 (印刷頁 221)</t>
        </is>
      </c>
      <c r="F88" s="11" t="inlineStr">
        <is>
          <t>NSOLIDATED FINANCIAL STATEMENTS 綜合財務報表附註 For the fifteen months ended 31 March 2026 截至二零二六年三月三十一日止十五個月 19. INVESTMENT PROPERTIES 19. 投資物業（續） (Continued) At 31 March 2026 and 31 December 2024, the fair value of 於二零二六年三月三十一日及二零二四年 the Group’s investment properties were arrived at on the 十二月三十一日，本集團投資物業之公允 basis of valuations conducted by Masterpiece Valuation 值乃根據分別由與本集團並無關連的獨立 Advisory Limited (31 December 2024: Masterpiece Valuation 專業測量師睿力評估諮詢有限公司（二零 Advisory Limited), independent firms of chartered surveyors 二四年十二月三十一日：睿力評估諮詢</t>
        </is>
      </c>
    </row>
    <row r="89">
      <c r="A89" s="8" t="inlineStr">
        <is>
          <t>Investment Properties</t>
        </is>
      </c>
      <c r="B89" s="8" t="inlineStr">
        <is>
          <t>投資物業</t>
        </is>
      </c>
      <c r="C89" s="19" t="inlineStr">
        <is>
          <t>high</t>
        </is>
      </c>
      <c r="D89" s="11" t="inlineStr">
        <is>
          <t>投資物業</t>
        </is>
      </c>
      <c r="E89" s="11" t="inlineStr">
        <is>
          <t>PDF p.237 (印刷頁 236)</t>
        </is>
      </c>
      <c r="F89" s="11" t="inlineStr">
        <is>
          <t>負債 Fair value adjustments Deferred tax Right-of-use on assets on investment assets/lease acquired properties liabilities Total 所收購資產 投資物業之 使用權資產╱租 之公允值調整 遞延稅項 賃負債 總計 HK$’000 HK$’000 HK$’000 HK$’000 千港元 千港元 千港元 千港元 At 1 January 2024 於二零二四年一月一日 170 569 18 757 Charge to profit or loss 扣除自損益 — 11 15 26 Exchange differences 匯兌差額 (3) 16 (1) 12 At 31 December 2024 and 於二零二四年 1 January 2025 十二月三十一日及 二零二五年一月一日 167 596 32 795 Charge to profit or loss 扣除自損益 — 116 (22) 94 Exchange differences 匯兌差額 — 75 1 76 At 31 March 2026 於二零二六年三月三十一日 16</t>
        </is>
      </c>
    </row>
    <row r="90">
      <c r="A90" s="8" t="inlineStr">
        <is>
          <t>Investment Properties</t>
        </is>
      </c>
      <c r="B90" s="8" t="inlineStr">
        <is>
          <t>投資物業</t>
        </is>
      </c>
      <c r="C90" s="19" t="inlineStr">
        <is>
          <t>high</t>
        </is>
      </c>
      <c r="D90" s="11" t="inlineStr">
        <is>
          <t>investment property</t>
        </is>
      </c>
      <c r="E90" s="11" t="inlineStr">
        <is>
          <t>PDF p.255 (印刷頁 254)</t>
        </is>
      </c>
      <c r="F90" s="11" t="inlineStr">
        <is>
          <t>31 March 2026 截至二零二六年三月三十一日止十五個月 44. OPERATING LEASE ARRANGEMENTS 44. 經營租賃安排 The Group as lessor 本集團作為出租人 Operating leases relate to investment property and plant 經營租賃與本集團租期為一至三年（不可延 and machinery owned by the Group with lease terms of 1 期）的自有投資物業以及廠房及機械有關。 to 3 years, with no extension. The lessee does not have an 承租人並無擁有於租期屆滿時購買該物業 option to purchase the property or plant and machinery at 或廠房及機械的選擇權。 the expiry of the lease period. Minimum lease payments receivable on leases are as follows: 租賃的最低應收租賃款項如下： 31 March 31 December</t>
        </is>
      </c>
    </row>
    <row r="91">
      <c r="A91" s="8" t="inlineStr">
        <is>
          <t>ESG Data</t>
        </is>
      </c>
      <c r="B91" s="8" t="inlineStr">
        <is>
          <t>環境社會及管治數據</t>
        </is>
      </c>
      <c r="C91" s="8" t="inlineStr">
        <is>
          <t>medium</t>
        </is>
      </c>
      <c r="D91" s="11" t="inlineStr">
        <is>
          <t>環境、社會及管治</t>
        </is>
      </c>
      <c r="E91" s="11" t="inlineStr">
        <is>
          <t>PDF p.2 (印刷頁 1)</t>
        </is>
      </c>
      <c r="F91" s="11" t="inlineStr">
        <is>
          <t>董事及高級管理人員之詳細履歷 23 Report of the Directors 董事會報告 27 Corporate Governance Report 企業管治報告 45 Environmental, Social and Governance Report 環境、社會及管治報告 65 Independent Auditor’s Report 獨立核數師報告 119 Consolidated Statement of Profit or Loss 綜合損益表 123 Consolidated Statement of Profit or Loss and 綜合損益及其他全面收益表 124 Other Comprehensive Income Consolidated Statement of Financial Position 綜合財務狀況表 125 Consolidated Statement of Changes in Equity 綜合權益變動表 127 Consolidated Statement of Cash Flows 綜合現金流量表 128 Notes to the Consolidated Financial Stateme</t>
        </is>
      </c>
    </row>
    <row r="92">
      <c r="A92" s="8" t="inlineStr">
        <is>
          <t>ESG Data</t>
        </is>
      </c>
      <c r="B92" s="8" t="inlineStr">
        <is>
          <t>環境社會及管治數據</t>
        </is>
      </c>
      <c r="C92" s="8" t="inlineStr">
        <is>
          <t>medium</t>
        </is>
      </c>
      <c r="D92" s="11" t="inlineStr">
        <is>
          <t>ESG</t>
        </is>
      </c>
      <c r="E92" s="11" t="inlineStr">
        <is>
          <t>PDF p.66 (印刷頁 65)</t>
        </is>
      </c>
      <c r="F92" s="11" t="inlineStr">
        <is>
          <t>AL, SOCIAL AND GOVERNANCE REPORT 環境、社會及管治報告 1. OUR REPORT 1. 我們的報告 1.1. OVERVIEW 1.1. 概覽 This Environmental, Social and Governance (“ESG”) 本環境、社會及管治（下稱「ESG」）報告（下 Report (the “Report”) is the report published by Imperium 稱「本報告」）為帝國科技集團有限公司（下稱 Technology Group Limited (the “Company”, together with its 「公司」，及其附屬公司，統稱「本集團」或「我 subsidiaries, the “Group” or “we”). The Report systematically 們」）發布的報告。本報告以系統性地檢討 reviews the Group’s performance in fulfilling its social 本集團在履行社會責任及制定可持續發展 responsibilities and formulating a sustainable deve</t>
        </is>
      </c>
    </row>
    <row r="93">
      <c r="A93" s="8" t="inlineStr">
        <is>
          <t>ESG Data</t>
        </is>
      </c>
      <c r="B93" s="8" t="inlineStr">
        <is>
          <t>環境社會及管治數據</t>
        </is>
      </c>
      <c r="C93" s="8" t="inlineStr">
        <is>
          <t>medium</t>
        </is>
      </c>
      <c r="D93" s="11" t="inlineStr">
        <is>
          <t>ESG</t>
        </is>
      </c>
      <c r="E93" s="11" t="inlineStr">
        <is>
          <t>PDF p.67 (印刷頁 66)</t>
        </is>
      </c>
      <c r="F93" s="11" t="inlineStr">
        <is>
          <t>門）、 Macau, unless otherwise specified), Hong Kong, Malaysia 香港、馬來西亞及泰國之遊戲業務及電子 and Thailand. The Group will continue to evaluate the ESG 競技業務的數據。本集團將持續評估其業 significance of its businesses and refine the reporting scope 務的ESG 重要性，並完善報告範圍，以更 to better align with operational circumstances. 貼合營運狀況。 1.3. REPORTING PRINCIPLES 1.3. 匯報原則 We have considered the following reporting principles in 我們在編製本報告時考慮了以下的報告原則： preparing the Report: • Materiality: The Group determines the impact of ‧ 重要性：本集團透過管理層訪談及內、 ESG issues on the Group’s operat</t>
        </is>
      </c>
    </row>
    <row r="94">
      <c r="A94" s="8" t="inlineStr">
        <is>
          <t>ESG Data</t>
        </is>
      </c>
      <c r="B94" s="8" t="inlineStr">
        <is>
          <t>環境社會及管治數據</t>
        </is>
      </c>
      <c r="C94" s="8" t="inlineStr">
        <is>
          <t>medium</t>
        </is>
      </c>
      <c r="D94" s="11" t="inlineStr">
        <is>
          <t>energy consumption</t>
        </is>
      </c>
      <c r="E94" s="11" t="inlineStr">
        <is>
          <t>PDF p.68 (印刷頁 67)</t>
        </is>
      </c>
      <c r="F94" s="11" t="inlineStr">
        <is>
          <t>effective 本集團管理層堅信有效及出色的ESG管理， and excellent ESG management can help enhance its 有助提升企業品牌形象及減少能源消耗， corporate brand image and reduce energy consumption, 從而降低營運成本。我們致力將社會責任 thereby reducing operating costs. We are committed to 理念融入公司決策管理和業務營運中，把 incorporating the concept of social responsibility into the 握每個可持續發展機遇。 Company’s decision-making management and business operations, and seizing every opportunity for sustainable development. The Group’s sustainability strategy is based on four 本集團的可持續發展策略基於四個可持續 core areas of sustainab</t>
        </is>
      </c>
    </row>
    <row r="95">
      <c r="A95" s="8" t="inlineStr">
        <is>
          <t>ESG Data</t>
        </is>
      </c>
      <c r="B95" s="8" t="inlineStr">
        <is>
          <t>環境社會及管治數據</t>
        </is>
      </c>
      <c r="C95" s="8" t="inlineStr">
        <is>
          <t>medium</t>
        </is>
      </c>
      <c r="D95" s="11" t="inlineStr">
        <is>
          <t>sustainability</t>
        </is>
      </c>
      <c r="E95" s="11" t="inlineStr">
        <is>
          <t>PDF p.69 (印刷頁 68)</t>
        </is>
      </c>
      <c r="F95" s="11" t="inlineStr">
        <is>
          <t>l impact 環境 環境管理 — 定期監察各類環境參數及檢討生產方案，盡量減少相關的環境影響 Climate Change Strategy • Review the Group’s policy on climate change and develop a sustainability plan to identify and address related physical and transition risks and opportunities 氣候變化策略 — 檢討本集團應對氣候變化的政策，並制定可持續發展計劃，以識別和應對相關的實體和 轉型風險與機遇 Employees Employee Care • Provide adequate support for employees and strengthen good relations with them 員工 關懷員工 — 為員工提供充足支援、加強與彼等的良好關係 Personnel Training • Create a continuous learning environment and encourage employees to develop their caree</t>
        </is>
      </c>
    </row>
    <row r="96">
      <c r="A96" s="8" t="inlineStr">
        <is>
          <t>ESG Data</t>
        </is>
      </c>
      <c r="B96" s="8" t="inlineStr">
        <is>
          <t>環境社會及管治數據</t>
        </is>
      </c>
      <c r="C96" s="8" t="inlineStr">
        <is>
          <t>medium</t>
        </is>
      </c>
      <c r="D96" s="11" t="inlineStr">
        <is>
          <t>ESG</t>
        </is>
      </c>
      <c r="E96" s="11" t="inlineStr">
        <is>
          <t>PDF p.70 (印刷頁 69)</t>
        </is>
      </c>
      <c r="F96" s="11" t="inlineStr">
        <is>
          <t>es. Meanwhile, the Group will continue to strengthen 本集團將繼續加強與持份者溝通，進一步 communication with stakeholders to further enhance its 提升本集團的ESG 表現，為本集團的股東 ESG performance and create value for our shareholders and 及持份者創造長遠的價值。 stakeholders in the long run. 2.2. GOVERNANCE STRUCTURE AND RISK 2.2. 管治架構及風險管理 MANAGEMENT Governance Structure 管治架構 The Board assumes the role of leadership and supervision 董事會一直以來肩負著本集團領導及監察 in the Group and possesses the necessary skills, experience 的角色，並具備與ESG 管理相關的必要技 and knowledge relevant to ESG management</t>
        </is>
      </c>
    </row>
    <row r="97">
      <c r="A97" s="8" t="inlineStr">
        <is>
          <t>ESG Data</t>
        </is>
      </c>
      <c r="B97" s="8" t="inlineStr">
        <is>
          <t>環境社會及管治數據</t>
        </is>
      </c>
      <c r="C97" s="8" t="inlineStr">
        <is>
          <t>medium</t>
        </is>
      </c>
      <c r="D97" s="11" t="inlineStr">
        <is>
          <t>energy consumption</t>
        </is>
      </c>
      <c r="E97" s="11" t="inlineStr">
        <is>
          <t>PDF p.71 (印刷頁 70)</t>
        </is>
      </c>
      <c r="F97" s="11" t="inlineStr">
        <is>
          <t>ting, etc. after work and this requirement is stipulated in the Code of Conduct for Employees which all must follow, so as to reduce energy consumption. In addition, the lighting equipment in the office is gradually replaced with LED energy-efficient lighting to improve energy efficiency. 節約能源 隨著社會日益重視能源使用，完善的節約能源 本集團重視節約能源，致力減少不必要的能耗， 政策會為本集團避免承擔關於環境法律法規的 以及新增節能設備。我們規定下班時間關閉電 風險，也有助於企業內部的討論與規劃。 腦、顯示器、照明燈等，並納入《員工行為規 範》，所有員工必須依循該規範，以減少能耗。 此外，辦公室的照明設備亦逐步更換成LED節 能燈管，提升能源效益。 70 Imperium Technology Group Limited Annual Report 2026</t>
        </is>
      </c>
    </row>
    <row r="98">
      <c r="A98" s="8" t="inlineStr">
        <is>
          <t>ESG Data</t>
        </is>
      </c>
      <c r="B98" s="8" t="inlineStr">
        <is>
          <t>環境社會及管治數據</t>
        </is>
      </c>
      <c r="C98" s="8" t="inlineStr">
        <is>
          <t>medium</t>
        </is>
      </c>
      <c r="D98" s="11" t="inlineStr">
        <is>
          <t>環境、社會及管治</t>
        </is>
      </c>
      <c r="E98" s="11" t="inlineStr">
        <is>
          <t>PDF p.72 (印刷頁 71)</t>
        </is>
      </c>
      <c r="F98" s="11" t="inlineStr">
        <is>
          <t>ENVIRONMENTAL, SOCIAL AND GOVERNANCE REPORT 環境、社會及管治報告 Risk category Risk description Countermeasures 風險類型 風險描述 應對措施 Employment System With regard to protecting employment rights, The Group recruits and manages employees in legal regulations in many countries around the strict accordance with the labour laws applicable world are becoming increasingly stringent. If the in all countries where its business operates, requirements are not met, t</t>
        </is>
      </c>
    </row>
    <row r="99">
      <c r="A99" s="8" t="inlineStr">
        <is>
          <t>ESG Data</t>
        </is>
      </c>
      <c r="B99" s="8" t="inlineStr">
        <is>
          <t>環境社會及管治數據</t>
        </is>
      </c>
      <c r="C99" s="8" t="inlineStr">
        <is>
          <t>medium</t>
        </is>
      </c>
      <c r="D99" s="11" t="inlineStr">
        <is>
          <t>ESG</t>
        </is>
      </c>
      <c r="E99" s="11" t="inlineStr">
        <is>
          <t>PDF p.73 (印刷頁 72)</t>
        </is>
      </c>
      <c r="F99" s="11" t="inlineStr">
        <is>
          <t>工作日益關注，本集團 risks, the Group will continue to refine its sustainability 將繼續完善可持續發展管治工作，我們會 governance, intensify the functions of its ESG management, 強化ESG 工作管理，並加強風險識別及評 and enhance risk identification and assessment, thus 估，從而讓本集團更有效處理可持續發展 enabling the Group to deal with sustainability issues more 事宜及回應持份者的關注點。 effectively and respond to stakeholders’ concerns. 2.3. MATERIALITY ASSESSMENT 2.3. 重要性評估 The Group’s overall sustainability policy is closely linked 本集團的整體可持續發展政策與持份者的 to stakeholder engagement and materiality assessm</t>
        </is>
      </c>
    </row>
    <row r="100">
      <c r="A100" s="8" t="inlineStr">
        <is>
          <t>ESG Data</t>
        </is>
      </c>
      <c r="B100" s="8" t="inlineStr">
        <is>
          <t>環境社會及管治數據</t>
        </is>
      </c>
      <c r="C100" s="8" t="inlineStr">
        <is>
          <t>medium</t>
        </is>
      </c>
      <c r="D100" s="11" t="inlineStr">
        <is>
          <t>ESG</t>
        </is>
      </c>
      <c r="E100" s="11" t="inlineStr">
        <is>
          <t>PDF p.74 (印刷頁 73)</t>
        </is>
      </c>
      <c r="F100" s="11" t="inlineStr">
        <is>
          <t>GOVERNANCE REPORT 環境、社會及管治報告 We take three steps to conduct a materiality assessment: 我們採取三個步驟以進行重要性評估： Step 1 With reference to the ESG Reporting Code of the Stock Exchange, we identify material Identify material issues issues that reflect the Group’s economic and ESG impacts, or significantly influence the assessments and decisions of our stakeholders. This identification process is informed by our corporate strategy, prevailing industry trends, and evolving regulatory, capital market requirements, etc. 第一步 參考聯交所的《ESG報告守則》，識別</t>
        </is>
      </c>
    </row>
    <row r="101">
      <c r="A101" s="8" t="inlineStr">
        <is>
          <t>ESG Data</t>
        </is>
      </c>
      <c r="B101" s="8" t="inlineStr">
        <is>
          <t>環境社會及管治數據</t>
        </is>
      </c>
      <c r="C101" s="8" t="inlineStr">
        <is>
          <t>medium</t>
        </is>
      </c>
      <c r="D101" s="11" t="inlineStr">
        <is>
          <t>greenhouse gas</t>
        </is>
      </c>
      <c r="E101" s="11" t="inlineStr">
        <is>
          <t>PDF p.75 (印刷頁 74)</t>
        </is>
      </c>
      <c r="F101" s="11" t="inlineStr">
        <is>
          <t>ity 22 17 4 2 5 3 7 6 8 Less important issues 低度重要性議題 Low Materiality to the Group's Development High 低 對本集團發展的重要性 高 1 Air Pollutant/Greenhouse Gas (“GHG”) Emission Management 12 Employee Training and Development 空氣污染物╱溫室氣體（「溫室氣體」）排放管理 僱員培訓與發展 2 Sewage Discharge Management 13 Labour Standards 廢水排放管理 勞工準則 3 Waste Management 14 Environmental and Social Risks in the Supply Chain 廢棄物管理 供應鏈的環境及社會風險 4 Energy Conservation 15 Quality Control of Production Materials 節約能源 生產材料的質量控制 5 Water Conservation 16 Customer Health and Safety 節約用水</t>
        </is>
      </c>
    </row>
    <row r="102">
      <c r="A102" s="8" t="inlineStr">
        <is>
          <t>ESG Data</t>
        </is>
      </c>
      <c r="B102" s="8" t="inlineStr">
        <is>
          <t>環境社會及管治數據</t>
        </is>
      </c>
      <c r="C102" s="8" t="inlineStr">
        <is>
          <t>medium</t>
        </is>
      </c>
      <c r="D102" s="11" t="inlineStr">
        <is>
          <t>GHG emission</t>
        </is>
      </c>
      <c r="E102" s="11" t="inlineStr">
        <is>
          <t>PDF p.76 (印刷頁 75)</t>
        </is>
      </c>
      <c r="F102" s="11" t="inlineStr">
        <is>
          <t>s and Interests ‧ 社區需要和利益 • Product Recall System ‧ 產品回收制度 • Water Conservation ‧ 節約用水 • Community Investment ‧ 社區投資 • Air Pollutant/GHG Emission Management ‧ 空氣污染物╱溫室氣體排放管理 Less important issues • Waste Management ‧ 廢棄物管理 低度重要議題 • Impact of Management and Operations on ‧ 管理及營運對環境及天然資源造成的影 the Environment and Natural Resources 響 • Sewage Discharge Management ‧ 廢水排放管理 • Strengthening Climate Adaptability and ‧ 強化氣候適應力與韌性 Resilience • Use Efficiency of Other Resources ‧ 其他資源的使用效益 75 帝國科技集團有限公司 2026 年報</t>
        </is>
      </c>
    </row>
    <row r="103">
      <c r="A103" s="8" t="inlineStr">
        <is>
          <t>ESG Data</t>
        </is>
      </c>
      <c r="B103" s="8" t="inlineStr">
        <is>
          <t>環境社會及管治數據</t>
        </is>
      </c>
      <c r="C103" s="8" t="inlineStr">
        <is>
          <t>medium</t>
        </is>
      </c>
      <c r="D103" s="11" t="inlineStr">
        <is>
          <t>環境、社會及管治</t>
        </is>
      </c>
      <c r="E103" s="11" t="inlineStr">
        <is>
          <t>PDF p.77 (印刷頁 76)</t>
        </is>
      </c>
      <c r="F103" s="11" t="inlineStr">
        <is>
          <t>ENVIRONMENTAL, SOCIAL AND GOVERNANCE REPORT 環境、社會及管治報告 3. ENVIRONMENTAL PROSPERITY 3. 環境共榮 Management guidelines and policies 管理方針及政策 The Group always upholds the concept of sustainable 本集團長久以來堅守可持續發展的理念， development. We are aware of the possible environmental 我們意識到自身業務營運環節中可能造成 impact of our business operations, identify the key 的環境影響，識別我們所面臨的主要環境 environmental risks we face, and put into practice the 風險，實行綠色營運理念。我們審視主要 concept of green op</t>
        </is>
      </c>
    </row>
    <row r="104">
      <c r="A104" s="8" t="inlineStr">
        <is>
          <t>ESG Data</t>
        </is>
      </c>
      <c r="B104" s="8" t="inlineStr">
        <is>
          <t>環境社會及管治數據</t>
        </is>
      </c>
      <c r="C104" s="8" t="inlineStr">
        <is>
          <t>medium</t>
        </is>
      </c>
      <c r="D104" s="11" t="inlineStr">
        <is>
          <t>環境、社會及管治</t>
        </is>
      </c>
      <c r="E104" s="11" t="inlineStr">
        <is>
          <t>PDF p.78 (印刷頁 77)</t>
        </is>
      </c>
      <c r="F104" s="11" t="inlineStr">
        <is>
          <t>ENVIRONMENTAL, SOCIAL AND GOVERNANCE REPORT 環境、社會及管治報告 Environmental targets Aspects set for the Reporting Period Measures taken during the Reporting Period 方面 於報告期內所訂立的環境目標 於報告期內所採取的措施 Energy efficiency Reduction of unnecessary energy • Requiring employees to turn off all computers, consumption monitors, lighting, etc. after work and this requirement is stipulated in the Code of Conduct for Employees which all must follow • Switching print</t>
        </is>
      </c>
    </row>
    <row r="105">
      <c r="A105" s="8" t="inlineStr">
        <is>
          <t>ESG Data</t>
        </is>
      </c>
      <c r="B105" s="8" t="inlineStr">
        <is>
          <t>環境社會及管治數據</t>
        </is>
      </c>
      <c r="C105" s="8" t="inlineStr">
        <is>
          <t>medium</t>
        </is>
      </c>
      <c r="D105" s="11" t="inlineStr">
        <is>
          <t>GHG emission</t>
        </is>
      </c>
      <c r="E105" s="11" t="inlineStr">
        <is>
          <t>PDF p.79 (印刷頁 78)</t>
        </is>
      </c>
      <c r="F105" s="11" t="inlineStr">
        <is>
          <t>he Reporting Period 方面 於報告期內所訂立的環境目標 於報告期內所採取的措施 Emission reduction Utilisation of energy-efficient equipment to • Reducing indirect GHG emissions from power lower energy indirect emissions (Scope 2) consumption through the above-mentioned measures GHG emissions from purchased electricity to improve energy efficiency (switching off power, configuring power-saving mode, using LED energyefficient lighting, etc.) • Reviewing and analysing monthly electricity bills and usage regularly to develop improvement measures 減少排放 採用節能設備，以</t>
        </is>
      </c>
    </row>
    <row r="106">
      <c r="A106" s="8" t="inlineStr">
        <is>
          <t>ESG Data</t>
        </is>
      </c>
      <c r="B106" s="8" t="inlineStr">
        <is>
          <t>環境社會及管治數據</t>
        </is>
      </c>
      <c r="C106" s="8" t="inlineStr">
        <is>
          <t>medium</t>
        </is>
      </c>
      <c r="D106" s="11" t="inlineStr">
        <is>
          <t>環境、社會及管治</t>
        </is>
      </c>
      <c r="E106" s="11" t="inlineStr">
        <is>
          <t>PDF p.80 (印刷頁 79)</t>
        </is>
      </c>
      <c r="F106" s="11" t="inlineStr">
        <is>
          <t>ENVIRONMENTAL, SOCIAL AND GOVERNANCE REPORT 環境、社會及管治報告 Environmental targets Aspects set for the Reporting Period Measures taken during the Reporting Period 方面 於報告期內所訂立的環境目標 於報告期內所採取的措施 Waste recycling • Recycling and reusing electrical appliances and waste • Placing multi-sort recycling bins in the office, such as paper recycling bins and food waste bins to help staff cultivate good recycling habits 回收利用廢棄物 • 對電器及廢料進行回收再利用及循環再用 • 在辦公室內放置分類</t>
        </is>
      </c>
    </row>
    <row r="107">
      <c r="A107" s="8" t="inlineStr">
        <is>
          <t>ESG Data</t>
        </is>
      </c>
      <c r="B107" s="8" t="inlineStr">
        <is>
          <t>環境社會及管治數據</t>
        </is>
      </c>
      <c r="C107" s="8" t="inlineStr">
        <is>
          <t>medium</t>
        </is>
      </c>
      <c r="D107" s="11" t="inlineStr">
        <is>
          <t>scope 2</t>
        </is>
      </c>
      <c r="E107" s="11" t="inlineStr">
        <is>
          <t>PDF p.81 (印刷頁 80)</t>
        </is>
      </c>
      <c r="F107" s="11" t="inlineStr">
        <is>
          <t>n of energy-saving equipment 新增節能設備 Emission reduction Utilisation of energy-efficient equipment to lower energy indirect emissions (Scope 2) GHG 減少排放 emissions from purchased electricity 採用節能設備，以減少外購電力所產生的能源間接（範圍二）的溫室氣體排放 Waste reduction Reduction of paper waste 減少廢棄物 減少紙質廢棄物 Water efficiency Enhancement of water-saving efficiency 用水效益 提升省水效益 80 Imperium Technology Group Limited Annual Report 2026</t>
        </is>
      </c>
    </row>
    <row r="108">
      <c r="A108" s="8" t="inlineStr">
        <is>
          <t>ESG Data</t>
        </is>
      </c>
      <c r="B108" s="8" t="inlineStr">
        <is>
          <t>環境社會及管治數據</t>
        </is>
      </c>
      <c r="C108" s="8" t="inlineStr">
        <is>
          <t>medium</t>
        </is>
      </c>
      <c r="D108" s="11" t="inlineStr">
        <is>
          <t>環境、社會及管治</t>
        </is>
      </c>
      <c r="E108" s="11" t="inlineStr">
        <is>
          <t>PDF p.82 (印刷頁 81)</t>
        </is>
      </c>
      <c r="F108" s="11" t="inlineStr">
        <is>
          <t>ENVIRONMENTAL, SOCIAL AND GOVERNANCE REPORT 環境、社會及管治報告 3.1. EMISSIONS 3.1. 排放物 Air emissions 廢氣排放 No exhaust gas is generated from our online game business 基於線上遊戲業務及電子競技業務的業務 and esports business due to their business nature. 特性，故並沒有廢氣產生。 Waste management 廢棄物管理 The Group continues to strengthen its waste management 本集團持續加強其廢棄物管理策略，以促 strategy to foster a greener and more resource-efficient 進更環保且資源利用效率更高的辦公環境。 office environment. In order to</t>
        </is>
      </c>
    </row>
    <row r="109">
      <c r="A109" s="8" t="inlineStr">
        <is>
          <t>ESG Data</t>
        </is>
      </c>
      <c r="B109" s="8" t="inlineStr">
        <is>
          <t>環境社會及管治數據</t>
        </is>
      </c>
      <c r="C109" s="8" t="inlineStr">
        <is>
          <t>medium</t>
        </is>
      </c>
      <c r="D109" s="11" t="inlineStr">
        <is>
          <t>energy consumption</t>
        </is>
      </c>
      <c r="E109" s="11" t="inlineStr">
        <is>
          <t>PDF p.83 (印刷頁 82)</t>
        </is>
      </c>
      <c r="F109" s="11" t="inlineStr">
        <is>
          <t>Projects, the Energy Conservation 管理制度》等。 Management Procedures and the Water Management Measures. Energy efficiency 能源效益 Optimising energy consumption is a critical priority within 完善耗能是國際環保組織的一項關鍵優先 a global environmental organisation. Therefore, the Group 事項。故此，本集團一直致力吸納新技術 always strives to introduce new technologies and equipment 及設備，以提升營運表現，同時亦減少耗 designed to enhance operational performance while reducing 能。於報告期內，我們採取了以下措施以 energy consumption. During the Reporting Period, we 提高我們營運的能效： have adopted the following initiativ</t>
        </is>
      </c>
    </row>
    <row r="110">
      <c r="A110" s="8" t="inlineStr">
        <is>
          <t>ESG Data</t>
        </is>
      </c>
      <c r="B110" s="8" t="inlineStr">
        <is>
          <t>環境社會及管治數據</t>
        </is>
      </c>
      <c r="C110" s="8" t="inlineStr">
        <is>
          <t>medium</t>
        </is>
      </c>
      <c r="D110" s="11" t="inlineStr">
        <is>
          <t>greenhouse gas</t>
        </is>
      </c>
      <c r="E110" s="11" t="inlineStr">
        <is>
          <t>PDF p.84 (印刷頁 83)</t>
        </is>
      </c>
      <c r="F110" s="11" t="inlineStr">
        <is>
          <t>的《能源統計 Statistics Manual” issued by the International Energy Agency 手冊》及中國生態環境部頒布的《企業溫室 and “Guidelines for Accounting and Reporting Greenhouse Gas 氣體排放核算方法與報告指南》進行計算。 Emissions for Enterprises” issued by the Ministry of Ecology and Environment of the PRC. Water efficiency 用水效益 To protect the precious water resources, we actively promote 為保護珍貴的水資源，我們積極向員工推 the idea of water conservation among employees and 行節約用水的概念和加強對用水設備的維 strengthen the maintenance, inspection and management of 護檢查管理，以達至節約用水的目的。於 water-consuming equipment to</t>
        </is>
      </c>
    </row>
    <row r="111">
      <c r="A111" s="8" t="inlineStr">
        <is>
          <t>ESG Data</t>
        </is>
      </c>
      <c r="B111" s="8" t="inlineStr">
        <is>
          <t>環境社會及管治數據</t>
        </is>
      </c>
      <c r="C111" s="8" t="inlineStr">
        <is>
          <t>medium</t>
        </is>
      </c>
      <c r="D111" s="11" t="inlineStr">
        <is>
          <t>環境、社會及管治</t>
        </is>
      </c>
      <c r="E111" s="11" t="inlineStr">
        <is>
          <t>PDF p.85 (印刷頁 84)</t>
        </is>
      </c>
      <c r="F111" s="11" t="inlineStr">
        <is>
          <t>ENVIRONMENTAL, SOCIAL AND GOVERNANCE REPORT 環境、社會及管治報告 The total water consumption of the Group during the 本集團於報告期內的食水總耗量概述如下： Reporting Period is summarised as follows: Online game Esports business3 business Indicator 指標 Unit 單位 線上遊戲業務3 電子競技業務 Total water consumption 食水總耗量 m3 立方米 52.00 8.95 Intensity 密度 m3 per employee 立方米╱員工 2.26 0.11 Note(s): 附註： 3. Water consumption data disclosed in the Report cover only the 3. 本報告所披露的該耗水量數據僅涵蓋本集團 Grou</t>
        </is>
      </c>
    </row>
    <row r="112">
      <c r="A112" s="8" t="inlineStr">
        <is>
          <t>ESG Data</t>
        </is>
      </c>
      <c r="B112" s="8" t="inlineStr">
        <is>
          <t>環境社會及管治數據</t>
        </is>
      </c>
      <c r="C112" s="8" t="inlineStr">
        <is>
          <t>medium</t>
        </is>
      </c>
      <c r="D112" s="11" t="inlineStr">
        <is>
          <t>GHG emission</t>
        </is>
      </c>
      <c r="E112" s="11" t="inlineStr">
        <is>
          <t>PDF p.86 (印刷頁 85)</t>
        </is>
      </c>
      <c r="F112" s="11" t="inlineStr">
        <is>
          <t>is an important part of an 有助實現減緩溫室氣體排放及支持環境保 environmentally friendly life, contributing to the broader goal 護的更廣泛目標。 of mitigating GHG emissions and supporting environmental conservation. 3.4. CLIMATE CHANGE 3.4. 氣候變化 The Group is aware that the impact related to climate 本集團意識到氣候變化相關的影響有可能 change may bring risks to the Group’s operations. As such, 會對本集團營運帶來不同的風險。因此， we seek the best measures to reduce the environmental 我們力求採取最佳措施，減少業務營運所 impact of our business operations. With reference to the 帶來的環境影響。本集團參考了《ESG報告 ESG Reporti</t>
        </is>
      </c>
    </row>
    <row r="113">
      <c r="A113" s="8" t="inlineStr">
        <is>
          <t>ESG Data</t>
        </is>
      </c>
      <c r="B113" s="8" t="inlineStr">
        <is>
          <t>環境社會及管治數據</t>
        </is>
      </c>
      <c r="C113" s="8" t="inlineStr">
        <is>
          <t>medium</t>
        </is>
      </c>
      <c r="D113" s="11" t="inlineStr">
        <is>
          <t>ESG</t>
        </is>
      </c>
      <c r="E113" s="11" t="inlineStr">
        <is>
          <t>PDF p.87 (印刷頁 86)</t>
        </is>
      </c>
      <c r="F113" s="11" t="inlineStr">
        <is>
          <t>RONMENTAL, SOCIAL AND GOVERNANCE REPORT 環境、社會及管治報告 Governance 管治 The Board exercises ultimate oversight of climate-related 董事會對整合於更廣泛ESG 職責範圍內的 risks and opportunities integrated within its broader 氣候相關風險與機遇行使最終監督權。董 ESG responsibilities. The roles and ESG governance 事會與管理層的角色及ESG管治職責詳載 responsibilities of the Board and management are 於「管治架構及風險管理」一節。 detailed in the “GOVERNANCE STRUCTURE AND RISK MANAGEMENT” section. To effectively oversee climate-related issues, the Board 為有效監督氣候相關議題，董事會透過內 sustains appropriate knowledge and s</t>
        </is>
      </c>
    </row>
    <row r="114">
      <c r="A114" s="8" t="inlineStr">
        <is>
          <t>ESG Data</t>
        </is>
      </c>
      <c r="B114" s="8" t="inlineStr">
        <is>
          <t>環境社會及管治數據</t>
        </is>
      </c>
      <c r="C114" s="8" t="inlineStr">
        <is>
          <t>medium</t>
        </is>
      </c>
      <c r="D114" s="11" t="inlineStr">
        <is>
          <t>carbon</t>
        </is>
      </c>
      <c r="E114" s="11" t="inlineStr">
        <is>
          <t>PDF p.88 (印刷頁 87)</t>
        </is>
      </c>
      <c r="F114" s="11" t="inlineStr">
        <is>
          <t>rs, up to 2050) 所載的減碳目標保持一致。該情景分析評 horizons, ensuring alignment with the Group’s strategic 估政府間氣候變化專門委員會（「IPCC」）代 planning and the decarbonisation targets outlined in Hong 表濃度路徑（「RCP」）8.5情景下的物理風險， Kong’s Climate Action Plan. The scenario analysis assessed 以及綠色金融網絡（「NGFS」）2050年淨零排 physical risks under the Intergovernmental Panel on Climate 放情景下的轉型風險。 Change (“IPCC”) Representative Concentration Pathway (“RCP”) 8.5 scenario and transition risks under the Network for Greening the Financial System (“NGFS”) Net Zero 2050 scenario. T</t>
        </is>
      </c>
    </row>
    <row r="115">
      <c r="A115" s="8" t="inlineStr">
        <is>
          <t>ESG Data</t>
        </is>
      </c>
      <c r="B115" s="8" t="inlineStr">
        <is>
          <t>環境社會及管治數據</t>
        </is>
      </c>
      <c r="C115" s="8" t="inlineStr">
        <is>
          <t>medium</t>
        </is>
      </c>
      <c r="D115" s="11" t="inlineStr">
        <is>
          <t>energy consumption</t>
        </is>
      </c>
      <c r="E115" s="11" t="inlineStr">
        <is>
          <t>PDF p.89 (印刷頁 88)</t>
        </is>
      </c>
      <c r="F115" s="11" t="inlineStr">
        <is>
          <t>y upgrading to server rooms. energy-efficient equipment in our offices and server rooms. We have also strengthened the monitoring of energy consumption to ensure operational stability while managing costs. These measures allow us to maintain equipment integrity and reduce the risk of service interruptions while simultaneously improving our overall energy productivity. 物理風險： 氣候變化導致的高溫持續時間延長，可能對關 中至長期 低 本集團採用全面的供應鏈管理機制以監控品質與 慢性風險 鍵基礎設施供應商（例如網絡營運商）造成干擾， 環境表現，並與供應商密切合作，以確保服務在極 同時也會縮短關鍵設備的使用壽命，並增加本 端天氣下仍能保持韌性。內部方面，我們透過在辦 集團辦公室及伺服器機房</t>
        </is>
      </c>
    </row>
    <row r="116">
      <c r="A116" s="8" t="inlineStr">
        <is>
          <t>ESG Data</t>
        </is>
      </c>
      <c r="B116" s="8" t="inlineStr">
        <is>
          <t>環境社會及管治數據</t>
        </is>
      </c>
      <c r="C116" s="8" t="inlineStr">
        <is>
          <t>medium</t>
        </is>
      </c>
      <c r="D116" s="11" t="inlineStr">
        <is>
          <t>energy consumption</t>
        </is>
      </c>
      <c r="E116" s="11" t="inlineStr">
        <is>
          <t>PDF p.90 (印刷頁 89)</t>
        </is>
      </c>
      <c r="F116" s="11" t="inlineStr">
        <is>
          <t>timise electricity efficiency and saving appliances, the Group lowers its total foster a culture of resource conservation across all energy consumption and mitigates the impact of facilities. rising utility costs on its facilities. 機遇：資源效益 擴大使用節能設備是提升營運生產力的關鍵動 中至長期 中 我們已制定全面的能源管理政策，並實施各項措施， 力。透過引入先進的節能設備，本集團降低了 旨在優化用電效率，並在所有設施中培養節約資源 能耗總量及減輕了公用事業成本上漲對設施造 的文化。 成的影響。 89 帝國科技集團有限公司 2026 年報</t>
        </is>
      </c>
    </row>
    <row r="117">
      <c r="A117" s="8" t="inlineStr">
        <is>
          <t>ESG Data</t>
        </is>
      </c>
      <c r="B117" s="8" t="inlineStr">
        <is>
          <t>環境社會及管治數據</t>
        </is>
      </c>
      <c r="C117" s="8" t="inlineStr">
        <is>
          <t>medium</t>
        </is>
      </c>
      <c r="D117" s="11" t="inlineStr">
        <is>
          <t>環境、社會及管治</t>
        </is>
      </c>
      <c r="E117" s="11" t="inlineStr">
        <is>
          <t>PDF p.91 (印刷頁 90)</t>
        </is>
      </c>
      <c r="F117" s="11" t="inlineStr">
        <is>
          <t>ENVIRONMENTAL, SOCIAL AND GOVERNANCE REPORT 環境、社會及管治報告 The scenario analysis is based on assumptions and 該情景分析乃基於編製時可得的假設及資 information available at the time of preparation, which may 訊，該等假設及資訊未必會實現，且受限 not materialise and are subject to uncertainties and factors 於未被考量的不確定性及因素。因此，該 beyond those considered. As such, the scenarios do not 等情景並不構成確定的預測或實際未來結 constitute definitive predictions or actual future outcomes. 果。根據本分析結果，氣候相關風險與機 Based o</t>
        </is>
      </c>
    </row>
    <row r="118">
      <c r="A118" s="8" t="inlineStr">
        <is>
          <t>ESG Data</t>
        </is>
      </c>
      <c r="B118" s="8" t="inlineStr">
        <is>
          <t>環境社會及管治數據</t>
        </is>
      </c>
      <c r="C118" s="8" t="inlineStr">
        <is>
          <t>medium</t>
        </is>
      </c>
      <c r="D118" s="11" t="inlineStr">
        <is>
          <t>GHG emission</t>
        </is>
      </c>
      <c r="E118" s="11" t="inlineStr">
        <is>
          <t>PDF p.92 (印刷頁 91)</t>
        </is>
      </c>
      <c r="F118" s="11" t="inlineStr">
        <is>
          <t>ard and reviewed at least annually. Metrics and targets 指標及目標 During the Reporting Period, the Group expanded its 於報告期內，本集團擴大溫室氣體排放披 GHG emission disclosure to include Scope 3 emissions. 露範圍，以納入範圍三排放量。本集團的 The Group’s emissions primarily comprise Scope 1 from 排放量主要包含天然氣固定燃燒所產生的 the stationary combustion of natural gas, Scope 2 from 範圍一、外購電力所產生的範圍二，以及 purchased electricity, and Scope 3 from paper waste 廢紙處理與員工商務航空差旅所產生的範 disposal and employee business air travel. This broader 圍三。此更廣泛的披露有助更有效地識別 disclosure supports more effective</t>
        </is>
      </c>
    </row>
    <row r="119">
      <c r="A119" s="8" t="inlineStr">
        <is>
          <t>ESG Data</t>
        </is>
      </c>
      <c r="B119" s="8" t="inlineStr">
        <is>
          <t>環境社會及管治數據</t>
        </is>
      </c>
      <c r="C119" s="8" t="inlineStr">
        <is>
          <t>medium</t>
        </is>
      </c>
      <c r="D119" s="11" t="inlineStr">
        <is>
          <t>greenhouse gas</t>
        </is>
      </c>
      <c r="E119" s="11" t="inlineStr">
        <is>
          <t>PDF p.93 (印刷頁 92)</t>
        </is>
      </c>
      <c r="F119" s="11" t="inlineStr">
        <is>
          <t>missions data have 標準。溫室氣體排放數據乃參考（包括但不限於） been calculated with reference to, including but not limited to, “The 世界資源研究所及世界企業永續發展協會頒布 Greenhouse Gas Protocol: A Corporate Accounting and Reporting 的《溫室氣體核算體系：企業核算與報告標準》、 Standard” issued by the World Resources Institute and the World 中國生態環境部頒布的《關於發布2023年電力 Business Council for Sustainable Development, the “Notice on the 二氧化碳排放因子的公告》、中電控股有限公 Release of the 2023 Electricity Carbon Dioxide Emission Factor” 司建立的ESG數據中心、國家能源有限公司發 issued by the Ministry of Ecology and Environment of the</t>
        </is>
      </c>
    </row>
    <row r="120">
      <c r="A120" s="8" t="inlineStr">
        <is>
          <t>ESG Data</t>
        </is>
      </c>
      <c r="B120" s="8" t="inlineStr">
        <is>
          <t>環境社會及管治數據</t>
        </is>
      </c>
      <c r="C120" s="8" t="inlineStr">
        <is>
          <t>medium</t>
        </is>
      </c>
      <c r="D120" s="11" t="inlineStr">
        <is>
          <t>carbon</t>
        </is>
      </c>
      <c r="E120" s="11" t="inlineStr">
        <is>
          <t>PDF p.94 (印刷頁 93)</t>
        </is>
      </c>
      <c r="F120" s="11" t="inlineStr">
        <is>
          <t>內，本集團並未實施 environmental protection” section. During the Reporting 內部碳定價機制，亦未利用碳信用進行抵 Period, the Group did not implement an internal carbon 銷。儘管如此，我們將持續監察碳市場價 pricing mechanism or utilise carbon credits for offsetting 格及碳稅法規的發展，以更妥善管理潛在 purposes. Nevertheless, we will continue to monitor 氣候相關風險與機遇。本集團目前尚未採 developments in carbon market prices and carbon tax 用任何基於行業的指標以進行氣候相關披 regulations to better manage potential climate-related risks 露。然而，我們將評估其未來適用性。 and opportunities. The Group has not currently adopted any industry-based m</t>
        </is>
      </c>
    </row>
    <row r="121">
      <c r="A121" s="8" t="inlineStr">
        <is>
          <t>ESG Data</t>
        </is>
      </c>
      <c r="B121" s="8" t="inlineStr">
        <is>
          <t>環境社會及管治數據</t>
        </is>
      </c>
      <c r="C121" s="8" t="inlineStr">
        <is>
          <t>medium</t>
        </is>
      </c>
      <c r="D121" s="11" t="inlineStr">
        <is>
          <t>環境、社會及管治</t>
        </is>
      </c>
      <c r="E121" s="11" t="inlineStr">
        <is>
          <t>PDF p.95 (印刷頁 94)</t>
        </is>
      </c>
      <c r="F121" s="11" t="inlineStr">
        <is>
          <t>ENVIRONMENTAL, SOCIAL AND GOVERNANCE REPORT 環境、社會及管治報告 The employee breakdown of the Group as at 31 March 2026 本集團於二零二六年三月三十一日的員工 is summarised as follows: 細項資料概述如下： Online game Esports business business Indicator 指標 線上遊戲業務 電子競技業務 Total number of employees 員工總人數 23 81 By gender 按性別 Male 男 15 57 Female 女 8 24 By employment type 按僱傭類型 Full-time 全職 23 55 Part-time 兼職 — 22 Apprentices and interns 學徒和實習生 — 4 By age group 按年齡組別 18–24 18–24歲 — 41</t>
        </is>
      </c>
    </row>
    <row r="122">
      <c r="A122" s="8" t="inlineStr">
        <is>
          <t>ESG Data</t>
        </is>
      </c>
      <c r="B122" s="8" t="inlineStr">
        <is>
          <t>環境社會及管治數據</t>
        </is>
      </c>
      <c r="C122" s="8" t="inlineStr">
        <is>
          <t>medium</t>
        </is>
      </c>
      <c r="D122" s="11" t="inlineStr">
        <is>
          <t>環境、社會及管治</t>
        </is>
      </c>
      <c r="E122" s="11" t="inlineStr">
        <is>
          <t>PDF p.96 (印刷頁 95)</t>
        </is>
      </c>
      <c r="F122" s="11" t="inlineStr">
        <is>
          <t>ENVIRONMENTAL, SOCIAL AND GOVERNANCE REPORT 環境、社會及管治報告 The monthly average employee turnover5 of the Group during 本集團於報告期內的員工每月平均流失率5 the Reporting Period is summarised as follows: 概述如下： Online game Esports business business Indicator 指標 線上遊戲業務 電子競技業務 Overall monthly average turnover rate 整體每月平均流失率 — 11.93% By gender 按性別 Male 男 — 12.72% Female 女 — 10.07% By age group 按年齡組別 18–24 18–24歲 — 14.23% 25–34 25–34歲 — 10.83% 35–44 35–44歲 — 4.17% 45–</t>
        </is>
      </c>
    </row>
    <row r="123">
      <c r="A123" s="8" t="inlineStr">
        <is>
          <t>ESG Data</t>
        </is>
      </c>
      <c r="B123" s="8" t="inlineStr">
        <is>
          <t>環境社會及管治數據</t>
        </is>
      </c>
      <c r="C123" s="8" t="inlineStr">
        <is>
          <t>medium</t>
        </is>
      </c>
      <c r="D123" s="11" t="inlineStr">
        <is>
          <t>環境、社會及管治</t>
        </is>
      </c>
      <c r="E123" s="11" t="inlineStr">
        <is>
          <t>PDF p.97 (印刷頁 96)</t>
        </is>
      </c>
      <c r="F123" s="11" t="inlineStr">
        <is>
          <t>ENVIRONMENTAL, SOCIAL AND GOVERNANCE REPORT 環境、社會及管治報告 4.1. EQUAL EMPLOYMENT 4.1. 平等僱傭 Management guidelines and policies 管理方針及政策 The Group sees employees as its greatest assets and the 本集團一向視員工為最寶貴的資產，也是 key driver of its business success. The Group has been 推動業務成功的關鍵。本集團一直積極致 working actively to create a working environment that 力於營造提倡互相尊重、以安全為重，並 promotes mutual respect, prioritises safety and fosters 促進員工之間和諧團隊合作的工作環境。 harmonious teamwo</t>
        </is>
      </c>
    </row>
    <row r="124">
      <c r="A124" s="8" t="inlineStr">
        <is>
          <t>ESG Data</t>
        </is>
      </c>
      <c r="B124" s="8" t="inlineStr">
        <is>
          <t>環境社會及管治數據</t>
        </is>
      </c>
      <c r="C124" s="8" t="inlineStr">
        <is>
          <t>medium</t>
        </is>
      </c>
      <c r="D124" s="11" t="inlineStr">
        <is>
          <t>環境、社會及管治</t>
        </is>
      </c>
      <c r="E124" s="11" t="inlineStr">
        <is>
          <t>PDF p.98 (印刷頁 97)</t>
        </is>
      </c>
      <c r="F124" s="11" t="inlineStr">
        <is>
          <t>ENVIRONMENTAL, SOCIAL AND GOVERNANCE REPORT 環境、社會及管治報告 Employee compensation 員工待遇 The Group gives due recognition to employees’ contributions 本集團透過實施公平的薪酬政策，公正且 fairly and objectively by implementing equitable remuneration 客觀地表揚員工的貢獻。為獎勵員工，我 policies. To offer incentives to our staff, our remuneration 們定期檢討及重新調整薪酬機制，使薪酬 mechanisms are reviewed and re-adjusted regularly to 保持市場競爭力。我們確保員工福利、工 remain competitive. We ensure that employee benefi</t>
        </is>
      </c>
    </row>
    <row r="125">
      <c r="A125" s="8" t="inlineStr">
        <is>
          <t>ESG Data</t>
        </is>
      </c>
      <c r="B125" s="8" t="inlineStr">
        <is>
          <t>環境社會及管治數據</t>
        </is>
      </c>
      <c r="C125" s="8" t="inlineStr">
        <is>
          <t>medium</t>
        </is>
      </c>
      <c r="D125" s="11" t="inlineStr">
        <is>
          <t>環境、社會及管治</t>
        </is>
      </c>
      <c r="E125" s="11" t="inlineStr">
        <is>
          <t>PDF p.99 (印刷頁 98)</t>
        </is>
      </c>
      <c r="F125" s="11" t="inlineStr">
        <is>
          <t>ENVIRONMENTAL, SOCIAL AND GOVERNANCE REPORT 環境、社會及管治報告 Due to the nature of our online game and esports 基於我們線上遊戲及電子競技業務的性質， businesses, employees primarily work in an of fice 員工主要在辦公室內工作，工作期間不會 environment, and are not exposed to dust, radioactive 接觸粉塵、放射性物質及其他有毒有害物 materials and other toxic and harmful substances at work. 質，故不存在因接觸有害物質而引發的職 As a result, there is no occupational disease associated 業病。然而，長期伏案工作的特性可能導 with exposure to hazardo</t>
        </is>
      </c>
    </row>
    <row r="126">
      <c r="A126" s="8" t="inlineStr">
        <is>
          <t>ESG Data</t>
        </is>
      </c>
      <c r="B126" s="8" t="inlineStr">
        <is>
          <t>環境社會及管治數據</t>
        </is>
      </c>
      <c r="C126" s="8" t="inlineStr">
        <is>
          <t>medium</t>
        </is>
      </c>
      <c r="D126" s="11" t="inlineStr">
        <is>
          <t>環境、社會及管治</t>
        </is>
      </c>
      <c r="E126" s="11" t="inlineStr">
        <is>
          <t>PDF p.100 (印刷頁 99)</t>
        </is>
      </c>
      <c r="F126" s="11" t="inlineStr">
        <is>
          <t>ENVIRONMENTAL, SOCIAL AND GOVERNANCE REPORT 環境、社會及管治報告 4.3. TRAINING AND DEVELOPMENT 4.3. 培訓及發展 Management guidelines and policies 管理方針及政策 We firmly believe that continued training and development 我們堅信員工持續不斷地進修和發展，有 for employees will enhance the value of the team and 助提升團隊的價值及員工個人的職業素養， professional quality of the employees themselves, thus 亦能為本集團帶來更高的生產效率。本集 bringing higher production efficiency for the Group. The 團制定了《新員工培訓政策》、《員工指導政 Gro</t>
        </is>
      </c>
    </row>
    <row r="127">
      <c r="A127" s="8" t="inlineStr">
        <is>
          <t>ESG Data</t>
        </is>
      </c>
      <c r="B127" s="8" t="inlineStr">
        <is>
          <t>環境社會及管治數據</t>
        </is>
      </c>
      <c r="C127" s="8" t="inlineStr">
        <is>
          <t>medium</t>
        </is>
      </c>
      <c r="D127" s="11" t="inlineStr">
        <is>
          <t>環境、社會及管治</t>
        </is>
      </c>
      <c r="E127" s="11" t="inlineStr">
        <is>
          <t>PDF p.101 (印刷頁 100)</t>
        </is>
      </c>
      <c r="F127" s="11" t="inlineStr">
        <is>
          <t>ENVIRONMENTAL, SOCIAL AND GOVERNANCE REPORT 環境、社會及管治報告 The percentage of trained employees6 of the Group during 本集團於報告期內受訓員工6所佔百分比概 the Reporting Period is summarised as follows: 述如下： Online game Esports business business Indicator 指標 Unit 單位 線上遊戲業務 電子競技業務 Total percentage of trained employees 受訓的員工總百分比 % 百分比 43.48% 100.00% By gender 按性別 Male 男 % 百分比 40.00% 100.00% Female 女 % 百分比 50.00% 100.00% By employee category 按員工類型 Senior management 高</t>
        </is>
      </c>
    </row>
    <row r="128">
      <c r="A128" s="8" t="inlineStr">
        <is>
          <t>ESG Data</t>
        </is>
      </c>
      <c r="B128" s="8" t="inlineStr">
        <is>
          <t>環境社會及管治數據</t>
        </is>
      </c>
      <c r="C128" s="8" t="inlineStr">
        <is>
          <t>medium</t>
        </is>
      </c>
      <c r="D128" s="11" t="inlineStr">
        <is>
          <t>環境、社會及管治</t>
        </is>
      </c>
      <c r="E128" s="11" t="inlineStr">
        <is>
          <t>PDF p.102 (印刷頁 101)</t>
        </is>
      </c>
      <c r="F128" s="11" t="inlineStr">
        <is>
          <t>ENVIRONMENTAL, SOCIAL AND GOVERNANCE REPORT 環境、社會及管治報告 4.4. PROTECTION OF RIGHTS AND INTERESTS 4.4. 權利及權益保障 Management guidelines and policies 管理方針及政策 The Group conducts staff recruitment and management 本集團嚴格按照《中華人民共和國勞動法》、 in strict accordance with the Labour Law of the People’s 《中華人民共和國勞動合同法》、《中國禁止 Republic of China, the Labour Contract Law of the People’s 使用童工規定》、香港《僱傭條例》、台灣的 Republic of China, the Regulations on the Prohibition of Child</t>
        </is>
      </c>
    </row>
    <row r="129">
      <c r="A129" s="8" t="inlineStr">
        <is>
          <t>ESG Data</t>
        </is>
      </c>
      <c r="B129" s="8" t="inlineStr">
        <is>
          <t>環境社會及管治數據</t>
        </is>
      </c>
      <c r="C129" s="8" t="inlineStr">
        <is>
          <t>medium</t>
        </is>
      </c>
      <c r="D129" s="11" t="inlineStr">
        <is>
          <t>環境、社會及管治</t>
        </is>
      </c>
      <c r="E129" s="11" t="inlineStr">
        <is>
          <t>PDF p.103 (印刷頁 102)</t>
        </is>
      </c>
      <c r="F129" s="11" t="inlineStr">
        <is>
          <t>ENVIRONMENTAL, SOCIAL AND GOVERNANCE REPORT 環境、社會及管治報告 5. OPERATIONAL COMMITMENT 5. 營運承擔 In the process of business development, we always keep 我們在發展業務的同時亦時刻緊記，要以 in mind that we have to manage our relationships with our 負責任及可持續的態度管理我們與供應商 suppliers and customers in a responsible and sustainable 和客戶的關係，我們致力為客戶提供最優 manner. We are dedicated to providing our customers with 質的產品和服務，並與供應商攜手締造變 the highest quality products and services, and worki</t>
        </is>
      </c>
    </row>
    <row r="130">
      <c r="A130" s="8" t="inlineStr">
        <is>
          <t>ESG Data</t>
        </is>
      </c>
      <c r="B130" s="8" t="inlineStr">
        <is>
          <t>環境社會及管治數據</t>
        </is>
      </c>
      <c r="C130" s="8" t="inlineStr">
        <is>
          <t>medium</t>
        </is>
      </c>
      <c r="D130" s="11" t="inlineStr">
        <is>
          <t>環境、社會及管治</t>
        </is>
      </c>
      <c r="E130" s="11" t="inlineStr">
        <is>
          <t>PDF p.104 (印刷頁 103)</t>
        </is>
      </c>
      <c r="F130" s="11" t="inlineStr">
        <is>
          <t>ENVIRONMENTAL, SOCIAL AND GOVERNANCE REPORT 環境、社會及管治報告 5.2. HIGH QUALITY PRODUCTS 5.2. 優質產品 Management guidelines and policies 管理方針及政策 Providing quality products to our customers is our ultimate 為客戶提供優質的產品為我們的最終目標。 goal. The Group commits itself to establishing, maintaining 本集團致力於建立和維持ISO9001品質體系， and improving the ISO9001 quality system, with a mission 並持續改進，以提供優質的產品及服務， to provide quality products and services to meet customer 從而滿足顧客的要求；並</t>
        </is>
      </c>
    </row>
    <row r="131">
      <c r="A131" s="8" t="inlineStr">
        <is>
          <t>R&amp;D Expenditure</t>
        </is>
      </c>
      <c r="B131" s="8" t="inlineStr">
        <is>
          <t>研發開支</t>
        </is>
      </c>
      <c r="C131" s="8" t="inlineStr">
        <is>
          <t>medium</t>
        </is>
      </c>
      <c r="D131" s="11" t="inlineStr">
        <is>
          <t>research and development</t>
        </is>
      </c>
      <c r="E131" s="11" t="inlineStr">
        <is>
          <t>PDF p.27 (印刷頁 26)</t>
        </is>
      </c>
      <c r="F131" s="11" t="inlineStr">
        <is>
          <t>y. Mr. Zhao 研發領域擁有豐富經驗。自二零二二年起，趙先 has extensive experience in the fields of investment, finance 生擔任南京中潤厚德私募基金管理有限公司的創 and technology research and development. Mr. Zhao has been 始合夥人兼執行董事。二零一九年至二零二一年 a founding partner and executive director of Nanjing Zhongrun 期間，趙先生曾擔任上海盛泰義和投資管理有限 Houde Private Equity Fund Management Limited* (南京中潤厚德 公司的投資負責人。林先生於過去三年並無於香 私募基金管理有限公司) since 2022. From 2019 to 2021, Mr. Zhao 港或海外的任何其他上市公司擔任任何董事職務。 was the investment responsible person of Shanghai Shengtai Yihe Investment Management Limited* (上海盛</t>
        </is>
      </c>
    </row>
    <row r="132">
      <c r="A132" s="8" t="inlineStr">
        <is>
          <t>R&amp;D Expenditure</t>
        </is>
      </c>
      <c r="B132" s="8" t="inlineStr">
        <is>
          <t>研發開支</t>
        </is>
      </c>
      <c r="C132" s="8" t="inlineStr">
        <is>
          <t>medium</t>
        </is>
      </c>
      <c r="D132" s="11" t="inlineStr">
        <is>
          <t>開發成本</t>
        </is>
      </c>
      <c r="E132" s="11" t="inlineStr">
        <is>
          <t>PDF p.89 (印刷頁 88)</t>
        </is>
      </c>
      <c r="F132" s="11" t="inlineStr">
        <is>
          <t>development. 轉型風險：政策及法規風險 隨著對與氣候變化相關的監管規定越趨嚴格， 短至中期 低 本集團在各個營運地點採取多項的節能減排措施， 企業在營運、產品和服務方面面臨日益增加的 並全面遵守所有環境相關的法律及法規。 成本壓力，其中包括合規成本和產品開發成本 的上升。 Physical risk: chronic risk Prolonged high temperatures resulting from Medium- to long-term Low The Group adopts a comprehensive supply chain climate change may disrupt key infrastructure management mechanism to monitor quality and suppliers, such as network operators, while environmental performance, working closely with also shortening the operational lifespan of suppliers to ensure se</t>
        </is>
      </c>
    </row>
    <row r="133">
      <c r="A133" s="8" t="inlineStr">
        <is>
          <t>R&amp;D Expenditure</t>
        </is>
      </c>
      <c r="B133" s="8" t="inlineStr">
        <is>
          <t>研發開支</t>
        </is>
      </c>
      <c r="C133" s="8" t="inlineStr">
        <is>
          <t>medium</t>
        </is>
      </c>
      <c r="D133" s="11" t="inlineStr">
        <is>
          <t>研發</t>
        </is>
      </c>
      <c r="E133" s="11" t="inlineStr">
        <is>
          <t>PDF p.228 (印刷頁 227)</t>
        </is>
      </c>
      <c r="F133" s="11" t="inlineStr">
        <is>
          <t>ser vice provider for research and 付予一家獨立軟件開發服務供應商的款項約 development of its self-developed application of approximately 16,688,000港元，以研發其自行開發的應用程 HK$16,688,000. 式。 227 帝國科技集團有限公司 2026 年報</t>
        </is>
      </c>
    </row>
    <row r="134">
      <c r="A134" s="8" t="inlineStr">
        <is>
          <t>Segment Information</t>
        </is>
      </c>
      <c r="B134" s="8" t="inlineStr">
        <is>
          <t>分部資料</t>
        </is>
      </c>
      <c r="C134" s="8" t="inlineStr">
        <is>
          <t>medium</t>
        </is>
      </c>
      <c r="D134" s="11" t="inlineStr">
        <is>
          <t>geographical</t>
        </is>
      </c>
      <c r="E134" s="11" t="inlineStr">
        <is>
          <t>PDF p.108 (印刷頁 107)</t>
        </is>
      </c>
      <c r="F134" s="11" t="inlineStr">
        <is>
          <t>.1.平等僱傭 KPI B1.1 Total workforce by gender, employment type (for example, full- or part-time), age group and 4. PUTTING PEOPLE FIRST geographical region. 關鍵績效指標 按性別、僱傭類型（如全職或兼職）、年齡組別及地區劃分的僱員總數。 4.以人為本 B1.1 KPI B1.2 Employee turnover rate by gender, age group and geographical region. 4. PUTTING PEOPLE FIRST 關鍵績效指標 按性別、年齡組別及地區劃分的僱員流失比率。 4.以人為本 B1.2 Aspect B2 Health and Safety 4.2. OCCUPATIONAL HEALTH AND SAFETY 層面B2 健康與安全 4.2.職業健康與安全 KPI B2.1 Number and rate of work-related fatalities occurred in each of the past three years incl</t>
        </is>
      </c>
    </row>
    <row r="135">
      <c r="A135" s="8" t="inlineStr">
        <is>
          <t>Segment Information</t>
        </is>
      </c>
      <c r="B135" s="8" t="inlineStr">
        <is>
          <t>分部資料</t>
        </is>
      </c>
      <c r="C135" s="8" t="inlineStr">
        <is>
          <t>medium</t>
        </is>
      </c>
      <c r="D135" s="11" t="inlineStr">
        <is>
          <t>geographical</t>
        </is>
      </c>
      <c r="E135" s="11" t="inlineStr">
        <is>
          <t>PDF p.109 (印刷頁 108)</t>
        </is>
      </c>
      <c r="F135" s="11" t="inlineStr">
        <is>
          <t>4.4.權利及權益保障 B4.2 Aspect B5 Supply Chain Management 5.1. SUPPLY CHAIN MANAGEMENT 層面B5 供應鏈管理 5.1.供應鏈管理 KPI B5.1 Number of suppliers by geographical region. 5.1. SUPPLY CHAIN MANAGEMENT 關鍵績效指標 按地區劃分的供應商數目。 5.1.供應鏈管理 B5.1 KPI B5.2 Description of practices relating to engaging suppliers, number of suppliers where the 5.1. SUPPLY CHAIN practices are being implemented, and how they are implemented and monitored. MANAGEMENT 關鍵績效指標 描述有關聘用供應商的慣例，向其執行有關慣例的供應商數目，以及相關執行及監察方法。 5.1.供應鏈管理 B5.2 KPI B5.3 Description of practices used to identify</t>
        </is>
      </c>
    </row>
    <row r="136">
      <c r="A136" s="8" t="inlineStr">
        <is>
          <t>Segment Information</t>
        </is>
      </c>
      <c r="B136" s="8" t="inlineStr">
        <is>
          <t>分部資料</t>
        </is>
      </c>
      <c r="C136" s="8" t="inlineStr">
        <is>
          <t>medium</t>
        </is>
      </c>
      <c r="D136" s="11" t="inlineStr">
        <is>
          <t>geographical</t>
        </is>
      </c>
      <c r="E136" s="11" t="inlineStr">
        <is>
          <t>PDF p.112 (印刷頁 111)</t>
        </is>
      </c>
      <c r="F136" s="11" t="inlineStr">
        <is>
          <t>e issuer’s business model and value chain climate-related 3.4. CLIMATE CHANGE risks and opportunities are concentrated (for example, geographical areas, facilities and types of assets). (b) 描述在發行人的業務模式和價值鏈中，氣候相關風險和機遇集中的地方（例如，地 3.4.氣候變化 理區域、設施及資產類型）。 Strategy and decision-making 策略和決策 22. An issuer shall disclose information that enables an understanding of the effects of climate- 3.4. CLIMATE CHANGE related risks and opportunities on its strategy and decision-making. Specifically, the issuer shall disclose: 有關發行人須披露讓人了解氣候相關風險和機</t>
        </is>
      </c>
    </row>
    <row r="137">
      <c r="A137" s="8" t="inlineStr">
        <is>
          <t>Segment Information</t>
        </is>
      </c>
      <c r="B137" s="8" t="inlineStr">
        <is>
          <t>分部資料</t>
        </is>
      </c>
      <c r="C137" s="8" t="inlineStr">
        <is>
          <t>medium</t>
        </is>
      </c>
      <c r="D137" s="11" t="inlineStr">
        <is>
          <t>經營分部</t>
        </is>
      </c>
      <c r="E137" s="11" t="inlineStr">
        <is>
          <t>PDF p.141 (印刷頁 140)</t>
        </is>
      </c>
      <c r="F137" s="11" t="inlineStr">
        <is>
          <t>ting units) that is expected to benefit from 產生單位（或現金產生單位組別），乃指就 the synergies of the combination, which represent the 內部管理目的監控商譽且不大於經營分部 lowest level at which the goodwill is monitored for internal 的最低水平。 management purposes and not larger than an operating segment. A cash-generating unit (or group of cash-generating units) to 獲分配商譽的現金產生單位（或現金產生單 which goodwill has been allocated is tested for impairment 位組別）會每年進行減值測試，或於單位出 annually or more frequently when there is indication that the 現減值跡象時增加測試次數。就於報告期 unit may be impaired. F</t>
        </is>
      </c>
    </row>
    <row r="138">
      <c r="A138" s="8" t="inlineStr">
        <is>
          <t>Segment Information</t>
        </is>
      </c>
      <c r="B138" s="8" t="inlineStr">
        <is>
          <t>分部資料</t>
        </is>
      </c>
      <c r="C138" s="8" t="inlineStr">
        <is>
          <t>medium</t>
        </is>
      </c>
      <c r="D138" s="11" t="inlineStr">
        <is>
          <t>segment information</t>
        </is>
      </c>
      <c r="E138" s="11" t="inlineStr">
        <is>
          <t>PDF p.204 (印刷頁 203)</t>
        </is>
      </c>
      <c r="F138" s="11" t="inlineStr">
        <is>
          <t>NOTES TO THE CONSOLIDATED FINANCIAL STATEMENTS 綜合財務報表附註 For the fifteen months ended 31 March 2026 截至二零二六年三月三十一日止十五個月 10. SEGMENT INFORMATION 10. 分部資料 The Group has five (year ended 31 December 2024: six) 本集團之五個（截至二零二四年十二月 major reportable and operating segments, as follows: 三十一日止年度：六個）主要可申報及經營 分部如下： Online game — marketing and operation of mobile 線上遊戲 — 推廣及營運手機遊戲及電 games and computer games and 腦遊戲以及出售NFT及其他 sale of NFTs and other digital token 數字代幣 Cloud computing — to engage in cryptocurrency and 雲計算及數據 — 從事加密貨幣及數據</t>
        </is>
      </c>
    </row>
    <row r="139">
      <c r="A139" s="8" t="inlineStr">
        <is>
          <t>Segment Information</t>
        </is>
      </c>
      <c r="B139" s="8" t="inlineStr">
        <is>
          <t>分部資料</t>
        </is>
      </c>
      <c r="C139" s="8" t="inlineStr">
        <is>
          <t>medium</t>
        </is>
      </c>
      <c r="D139" s="11" t="inlineStr">
        <is>
          <t>segment information</t>
        </is>
      </c>
      <c r="E139" s="11" t="inlineStr">
        <is>
          <t>PDF p.205 (印刷頁 204)</t>
        </is>
      </c>
      <c r="F139" s="11" t="inlineStr">
        <is>
          <t>NOTES TO THE CONSOLIDATED FINANCIAL STATEMENTS 綜合財務報表附註 For the fifteen months ended 31 March 2026 截至二零二六年三月三十一日止十五個月 10. SEGMENT INFORMATION 10. 分部資料（續） (Continued) Information relating to segment liabilities is not disclosed 有關分部負債之資料並未予以披露，乃由 as such information is not regularly reported to the chief 於有關資料並未定期向主要經營決策者呈 operating decision-maker. 報。 Information about reportable segment revenue, profit or loss 有關可呈報分部收益、損益及資產之資料： and assets: For the fifteen months ended 31 March 2026 截至二零二六年三月三十一日止十五個月 Cloud computin</t>
        </is>
      </c>
    </row>
    <row r="140">
      <c r="A140" s="8" t="inlineStr">
        <is>
          <t>Segment Information</t>
        </is>
      </c>
      <c r="B140" s="8" t="inlineStr">
        <is>
          <t>分部資料</t>
        </is>
      </c>
      <c r="C140" s="8" t="inlineStr">
        <is>
          <t>medium</t>
        </is>
      </c>
      <c r="D140" s="11" t="inlineStr">
        <is>
          <t>segment information</t>
        </is>
      </c>
      <c r="E140" s="11" t="inlineStr">
        <is>
          <t>PDF p.206 (印刷頁 205)</t>
        </is>
      </c>
      <c r="F140" s="11" t="inlineStr">
        <is>
          <t>NOTES TO THE CONSOLIDATED FINANCIAL STATEMENTS 綜合財務報表附註 For the fifteen months ended 31 March 2026 截至二零二六年三月三十一日止十五個月 10. SEGMENT INFORMATION 10. 分部資料（續） (Continued) For the year ended 31 December 2024 截至二零二四年十二月三十一日止年度 Cloud computing Online and data Property game storage Esports investment Others Total 雲計算及 線上遊戲 數據儲存 電子競技 物業投資 其他 總計 HK$’000 HK$’000 HK$’000 HK$’000 HK$’000 HK$’000 千港元 千港元 千港元 千港元 千港元 千港元 Revenue from external customers 來自外部客戶之收益 15,080 2,823 29,737 1,257 2,613 51,510 Segment (loss)/profit 分部（虧損）╱溢利</t>
        </is>
      </c>
    </row>
    <row r="141">
      <c r="A141" s="8" t="inlineStr">
        <is>
          <t>Segment Information</t>
        </is>
      </c>
      <c r="B141" s="8" t="inlineStr">
        <is>
          <t>分部資料</t>
        </is>
      </c>
      <c r="C141" s="8" t="inlineStr">
        <is>
          <t>medium</t>
        </is>
      </c>
      <c r="D141" s="11" t="inlineStr">
        <is>
          <t>segment information</t>
        </is>
      </c>
      <c r="E141" s="11" t="inlineStr">
        <is>
          <t>PDF p.207 (印刷頁 206)</t>
        </is>
      </c>
      <c r="F141" s="11" t="inlineStr">
        <is>
          <t>NOTES TO THE CONSOLIDATED FINANCIAL STATEMENTS 綜合財務報表附註 For the fifteen months ended 31 March 2026 截至二零二六年三月三十一日止十五個月 10. SEGMENT INFORMATION 10. 分部資料（續） (Continued) Reconciliations of segment assets: 分部資產之對賬： At At 31 March 31 December 2026 2024 於二零二六年 於二零二四年 三月三十一日 十二月三十一日 HK$’000 HK$’000 千港元 千港元 Assets 資產 Total assets of reportable segment 可呈報分部之資產總值 98,322 82,965 Unallocated deposits, other receivables 未分配按金、其他應收款項及 and prepayments 預付款項 2,180 884 Unallocated cash and bank balances 未分配現金及銀行結餘 7 2,428 Unallocated o</t>
        </is>
      </c>
    </row>
    <row r="142">
      <c r="A142" s="8" t="inlineStr">
        <is>
          <t>Share-based Payment</t>
        </is>
      </c>
      <c r="B142" s="8" t="inlineStr">
        <is>
          <t>以股份為基礎的付款</t>
        </is>
      </c>
      <c r="C142" s="8" t="inlineStr">
        <is>
          <t>medium</t>
        </is>
      </c>
      <c r="D142" s="11" t="inlineStr">
        <is>
          <t>share option</t>
        </is>
      </c>
      <c r="E142" s="11" t="inlineStr">
        <is>
          <t>PDF p.21 (印刷頁 20)</t>
        </is>
      </c>
      <c r="F142" s="11" t="inlineStr">
        <is>
          <t>ts employees with reference to the length of services and 員薪酬及獎勵僱員。本集團亦可基於本集團的財 performance. The Group also has the liberty to grant share options 務表現由董事酌情決定向本集團僱員授出購股權 and bonuses to employees of the Group at the discretion of the 及花紅。 Directors based on the financial performance of the Group. TREASURY POLICIES AND CAPITAL 財務政策及資本結構 STRUCTURE The Group adopts a prudent approach with respect to treasury and 本集團在財務及融資政策方面取態審慎，並專注 funding policies, with a focus on risk management and transactions 於風險管理及與本集團相關業務有直接關係的交 that are di</t>
        </is>
      </c>
    </row>
    <row r="143">
      <c r="A143" s="8" t="inlineStr">
        <is>
          <t>Share-based Payment</t>
        </is>
      </c>
      <c r="B143" s="8" t="inlineStr">
        <is>
          <t>以股份為基礎的付款</t>
        </is>
      </c>
      <c r="C143" s="8" t="inlineStr">
        <is>
          <t>medium</t>
        </is>
      </c>
      <c r="D143" s="11" t="inlineStr">
        <is>
          <t>購股權</t>
        </is>
      </c>
      <c r="E143" s="11" t="inlineStr">
        <is>
          <t>PDF p.31 (印刷頁 30)</t>
        </is>
      </c>
      <c r="F143" s="11" t="inlineStr">
        <is>
          <t>Corporate 2018 Share Shares in issue Name of Director interests interests interests Option Scheme Total (Note 3) 權益總額 根據二零一八年 佔已發行股份 購股權計劃持有的 總數之百分比 董事姓名 個人權益 家族權益 公司權益 相關股份數目 總計 （附註3） Mr. Yeung Tong Seng Terry — — 1,900,000 (L) 3,110,360 5,010,360 (L) 1.12% 楊東成先生 (Note 2) （附註2） Mr. Lin Junwei — — — 311,036 311,036 (L) 0.07% 林俊煒先生 Ms. Li Tingting — — — 1,000,000 1,000,000 (L) 0.22% 李婷婷女士 Notes: 附註： 1. The letter “L” represents the Director’s interests in the Shares and underlying 1. 字母「L」代表董事於本公司或其相聯法團的股份及相關 Shares or, as the c</t>
        </is>
      </c>
    </row>
    <row r="144">
      <c r="A144" s="8" t="inlineStr">
        <is>
          <t>Share-based Payment</t>
        </is>
      </c>
      <c r="B144" s="8" t="inlineStr">
        <is>
          <t>以股份為基礎的付款</t>
        </is>
      </c>
      <c r="C144" s="8" t="inlineStr">
        <is>
          <t>medium</t>
        </is>
      </c>
      <c r="D144" s="11" t="inlineStr">
        <is>
          <t>share option</t>
        </is>
      </c>
      <c r="E144" s="11" t="inlineStr">
        <is>
          <t>PDF p.36 (印刷頁 35)</t>
        </is>
      </c>
      <c r="F144" s="11" t="inlineStr">
        <is>
          <t>Articles and the aforesaid liability insurance were in force during the year ended 31 March 2026 and as of the date of this report. SHARE OPTION 購股權 On 27 June 2025, a resolution was passed in the annual general 於二零二五年六月二十七日，一項決議案已於本公 meeting of the Company to adopt a share option scheme (the 司股東週年大會上通過，以採納購股權計劃（「二 “2025 Share Option Scheme”). On the same date, the share 零二五年購股權計劃」）。同日，於二零一八年六月 option scheme adopted on 29 June 2018 (the “2018 Share Option 二十九日採納的購股權計劃（「二零一八年購股權 Scheme”) was terminated. At the beginning of the</t>
        </is>
      </c>
    </row>
    <row r="145">
      <c r="A145" s="8" t="inlineStr">
        <is>
          <t>Share-based Payment</t>
        </is>
      </c>
      <c r="B145" s="8" t="inlineStr">
        <is>
          <t>以股份為基礎的付款</t>
        </is>
      </c>
      <c r="C145" s="8" t="inlineStr">
        <is>
          <t>medium</t>
        </is>
      </c>
      <c r="D145" s="11" t="inlineStr">
        <is>
          <t>share option</t>
        </is>
      </c>
      <c r="E145" s="11" t="inlineStr">
        <is>
          <t>PDF p.37 (印刷頁 36)</t>
        </is>
      </c>
      <c r="F145" s="11" t="inlineStr">
        <is>
          <t>REPORT OF THE DIRECTORS 董事會報告 2025 Share Option Scheme 二零二五年購股權計劃 Purpose 目的 To provide eligible participants to recognize and acknowledge 表彰及認可合資格參與者對本集團的貢獻，並鼓 the contributions which the Eligible Participants have made to 勵合資格參與者致力提升本公司及其股份的價值， the Group and to encourage Eligible Participants to work towards 以符合本公司及股東整體利益。 enhancing the value of the Company and its Shares for the benefit of the Company and the Shareholders as a w</t>
        </is>
      </c>
    </row>
    <row r="146">
      <c r="A146" s="8" t="inlineStr">
        <is>
          <t>Share-based Payment</t>
        </is>
      </c>
      <c r="B146" s="8" t="inlineStr">
        <is>
          <t>以股份為基礎的付款</t>
        </is>
      </c>
      <c r="C146" s="8" t="inlineStr">
        <is>
          <t>medium</t>
        </is>
      </c>
      <c r="D146" s="11" t="inlineStr">
        <is>
          <t>share option</t>
        </is>
      </c>
      <c r="E146" s="11" t="inlineStr">
        <is>
          <t>PDF p.38 (印刷頁 37)</t>
        </is>
      </c>
      <c r="F146" s="11" t="inlineStr">
        <is>
          <t>REPORT OF THE DIRECTORS 董事會報告 Total number of share options available for grant 可供授出的購股權總數 The total number of share options available for grant under the 於二零二五年購股權計劃採納日期及於二零二六 2025 Share Option Scheme was 37,324,320 on the date of adoption 年三月三十一日，根據二零二五年購股權計劃可 of the 2025 Share Option Scheme and as at 31 March 2026. 供授出的購股權總數為37,324,320份。 The number of shares that may be issued in respect of options 期內根據所有購股權計劃授出的購股權可予發行 granted under all s</t>
        </is>
      </c>
    </row>
    <row r="147">
      <c r="A147" s="8" t="inlineStr">
        <is>
          <t>Share-based Payment</t>
        </is>
      </c>
      <c r="B147" s="8" t="inlineStr">
        <is>
          <t>以股份為基礎的付款</t>
        </is>
      </c>
      <c r="C147" s="8" t="inlineStr">
        <is>
          <t>medium</t>
        </is>
      </c>
      <c r="D147" s="11" t="inlineStr">
        <is>
          <t>share option</t>
        </is>
      </c>
      <c r="E147" s="11" t="inlineStr">
        <is>
          <t>PDF p.39 (印刷頁 38)</t>
        </is>
      </c>
      <c r="F147" s="11" t="inlineStr">
        <is>
          <t>No purchase price is payable by eligible participants upon 合資格參與者接納二零二五年購股權計劃下授出 acceptance of options to be granted under the 2025 Share Option 的購股權毋須支付購買價。 Scheme. Remaining life of the scheme 計劃之餘下年期 The 2025 Share Option Scheme will be valid and effective until 二零二五年購股權計劃將一直有效及生效至二零 26 June 2035, after which no further options will be granted but 三五年六月二十六日止，此後將不會授出任何購 the provisions of the scheme shall remain in full force and effect 股權，但計劃之條文於所有其他方面將維持十足 in all other respects. Options complying with the provisions of the</t>
        </is>
      </c>
    </row>
    <row r="148">
      <c r="A148" s="8" t="inlineStr">
        <is>
          <t>Share-based Payment</t>
        </is>
      </c>
      <c r="B148" s="8" t="inlineStr">
        <is>
          <t>以股份為基礎的付款</t>
        </is>
      </c>
      <c r="C148" s="8" t="inlineStr">
        <is>
          <t>medium</t>
        </is>
      </c>
      <c r="D148" s="11" t="inlineStr">
        <is>
          <t>share option</t>
        </is>
      </c>
      <c r="E148" s="11" t="inlineStr">
        <is>
          <t>PDF p.40 (印刷頁 39)</t>
        </is>
      </c>
      <c r="F148" s="11" t="inlineStr">
        <is>
          <t>actional prices, the exercise price per share 每股行使價應湊整至最接近完整仙位。 shall be rounded upwards to the nearest whole cents. Total number of share options available for grant 可供授予的購股權總數 As at 31 December 2024, the total number of share options 於二零二四年十二月三十一日，根據購股權計劃 available for grant under the Share Option Scheme was 37,324,320. 可供授予的購股權總數為37,324,320份。年內根 The number of shares that may be issued in respect of options 據所有購股權計劃授出的購股權所涉及可發行的 granted under all share option schemes during the year divided by 股份數目除以本年度已發行普通股的加權平均數 the weight</t>
        </is>
      </c>
    </row>
    <row r="149">
      <c r="A149" s="8" t="inlineStr">
        <is>
          <t>Share-based Payment</t>
        </is>
      </c>
      <c r="B149" s="8" t="inlineStr">
        <is>
          <t>以股份為基礎的付款</t>
        </is>
      </c>
      <c r="C149" s="8" t="inlineStr">
        <is>
          <t>medium</t>
        </is>
      </c>
      <c r="D149" s="11" t="inlineStr">
        <is>
          <t>購股權</t>
        </is>
      </c>
      <c r="E149" s="11" t="inlineStr">
        <is>
          <t>PDF p.41 (印刷頁 40)</t>
        </is>
      </c>
      <c r="F149" s="11" t="inlineStr">
        <is>
          <t>REPORT OF THE DIRECTORS 董事會報告 Minimum period for which an option must be held 購股權行使前必須持有之最短期限 before it can be exercised Subject to the discretion by the Board. 由董事會酌情釐定。 Acceptance of the option 接納購股權 Acceptance of the option must be made within 30 days after the 購股權須於授出日期後30日內接納，並須支付1.00 date of offer and HK$1.00 must be paid as a consideration for the 港元作為授出購股權之代價。 grant of option. Amount payable on acceptance 接納時應付金額 HK$1.00 payable upon acceptance of the offer. 於接納時應付1</t>
        </is>
      </c>
    </row>
    <row r="150">
      <c r="A150" s="8" t="inlineStr">
        <is>
          <t>Share-based Payment</t>
        </is>
      </c>
      <c r="B150" s="8" t="inlineStr">
        <is>
          <t>以股份為基礎的付款</t>
        </is>
      </c>
      <c r="C150" s="8" t="inlineStr">
        <is>
          <t>medium</t>
        </is>
      </c>
      <c r="D150" s="11" t="inlineStr">
        <is>
          <t>share option</t>
        </is>
      </c>
      <c r="E150" s="11" t="inlineStr">
        <is>
          <t>PDF p.42 (印刷頁 41)</t>
        </is>
      </c>
      <c r="F150" s="11" t="inlineStr">
        <is>
          <t>hare 於截至二零二六年三月三十一日止十五個月，本公 options during the fifteen months ended 31 March 2026: 司購股權變動披露如下： Closing price of the Shares Number of share options immediately 購股權數目 before the Lapsed/ date on which Granted Exercised cancelled Outstanding the Share Date of Exercise Outstanding during the during the during the as at Options were Name grant price Exercisable period at 1.1.2025 period period period 31.3.2026 granted 於二零二五年 於二零二六年 緊接購股權 一月一日 期內 三月三十一日 授出日期前 姓名 授出日期 行使價 行使期 尚未行使 期內授出 期內行使 失效╱註銷 尚未行使 股份收市價 HK$ 港元 Under 2018 Share Opti</t>
        </is>
      </c>
    </row>
    <row r="151">
      <c r="A151" s="8" t="inlineStr">
        <is>
          <t>Share-based Payment</t>
        </is>
      </c>
      <c r="B151" s="8" t="inlineStr">
        <is>
          <t>以股份為基礎的付款</t>
        </is>
      </c>
      <c r="C151" s="8" t="inlineStr">
        <is>
          <t>medium</t>
        </is>
      </c>
      <c r="D151" s="11" t="inlineStr">
        <is>
          <t>share option</t>
        </is>
      </c>
      <c r="E151" s="11" t="inlineStr">
        <is>
          <t>PDF p.43 (印刷頁 42)</t>
        </is>
      </c>
      <c r="F151" s="11" t="inlineStr">
        <is>
          <t>REPORT OF THE DIRECTORS 董事會報告 Closing price of the Shares Number of share options immediately 購股權數目 before the Lapsed/ date on which Granted Exercised cancelled Outstanding the Share Date of Exercise Outstanding during the during the during the as at Options were Name grant price Exercisable period at 1.1.2025 period period period 31.3.2026 granted 於二零二五年 於二零二六年 緊接購股權 一月一日 期內 三月三十一日 授出日期前 姓名 授出日期 行使價 行使期 尚未行使 期內授出 期內行使 失效╱註銷 尚未行使 股份收市價 HK$ 港元 Senior Management 高級管</t>
        </is>
      </c>
    </row>
    <row r="152">
      <c r="A152" s="8" t="inlineStr">
        <is>
          <t>Share-based Payment</t>
        </is>
      </c>
      <c r="B152" s="8" t="inlineStr">
        <is>
          <t>以股份為基礎的付款</t>
        </is>
      </c>
      <c r="C152" s="8" t="inlineStr">
        <is>
          <t>medium</t>
        </is>
      </c>
      <c r="D152" s="11" t="inlineStr">
        <is>
          <t>share option</t>
        </is>
      </c>
      <c r="E152" s="11" t="inlineStr">
        <is>
          <t>PDF p.44 (印刷頁 43)</t>
        </is>
      </c>
      <c r="F152" s="11" t="inlineStr">
        <is>
          <t>於授出日期估計。 Authority as of the grant date. The variables and assumptions used in computing the fair value 用作計算購股權公允值的變數及假設乃以董事的 of the share options are based on the directors’ best estimate. 最佳估計為依據。購股權價值由若干主觀假設之 The value of an option varies with different variables of certain 不同變數而變更。 subjective assumptions. RETIREMENT SCHEMES 退休計劃 The Group maintains a mandatory provident fund (“MPF Scheme”) 本集團為其全體香港合資格僱員設立強制性公積 for all qualifying employees in Hong Kong. The Group’s and 金計劃（「強積金計劃」）。本集團及僱員對強積金 employee’s contributions to the</t>
        </is>
      </c>
    </row>
    <row r="153">
      <c r="A153" s="8" t="inlineStr">
        <is>
          <t>Share-based Payment</t>
        </is>
      </c>
      <c r="B153" s="8" t="inlineStr">
        <is>
          <t>以股份為基礎的付款</t>
        </is>
      </c>
      <c r="C153" s="8" t="inlineStr">
        <is>
          <t>medium</t>
        </is>
      </c>
      <c r="D153" s="11" t="inlineStr">
        <is>
          <t>share option</t>
        </is>
      </c>
      <c r="E153" s="11" t="inlineStr">
        <is>
          <t>PDF p.52 (印刷頁 51)</t>
        </is>
      </c>
      <c r="F153" s="11" t="inlineStr">
        <is>
          <t>ved by the Board from time to time; 議； (iv) to administer and make determinations with regard to the (iv) 執行及釐定本公司的購股權計劃；及 Company’s share option scheme; and (v) to review matters relating to share schemes under Chapter (v) 根據上市規則第十七章審閱股份計劃相關 17 of the Listing Rules. 事項。 51 帝國科技集團有限公司 2026 年報</t>
        </is>
      </c>
    </row>
    <row r="154">
      <c r="A154" s="8" t="inlineStr">
        <is>
          <t>Share-based Payment</t>
        </is>
      </c>
      <c r="B154" s="8" t="inlineStr">
        <is>
          <t>以股份為基礎的付款</t>
        </is>
      </c>
      <c r="C154" s="8" t="inlineStr">
        <is>
          <t>medium</t>
        </is>
      </c>
      <c r="D154" s="11" t="inlineStr">
        <is>
          <t>share option</t>
        </is>
      </c>
      <c r="E154" s="11" t="inlineStr">
        <is>
          <t>PDF p.53 (印刷頁 52)</t>
        </is>
      </c>
      <c r="F154" s="11" t="inlineStr">
        <is>
          <t>irectors for the Year are set out in Note 12 to the consolidated financial statements. • Review and endorse the adoption of the 2025 Share Option ‧ 審閱及批准於二零二五年六月二十七日舉行 Scheme and the termination of the 2018 Share Option 的股東週年大會上採納二零二五年購股權 Scheme at the annual general meeting held on 27 June 及計劃及終止二零一八年購股權計劃； 2025; • Review the outstanding options granted under the 2018 ‧ 審閱根據二零一八年購股權計劃授出的尚 Share Option Scheme and confirm that the vesting periods 未行使購股權，並確認各批授適用的歸屬 applicable to each grant are in compliance with the scheme 期均符合計</t>
        </is>
      </c>
    </row>
    <row r="155">
      <c r="A155" s="8" t="inlineStr">
        <is>
          <t>Share-based Payment</t>
        </is>
      </c>
      <c r="B155" s="8" t="inlineStr">
        <is>
          <t>以股份為基礎的付款</t>
        </is>
      </c>
      <c r="C155" s="8" t="inlineStr">
        <is>
          <t>medium</t>
        </is>
      </c>
      <c r="D155" s="11" t="inlineStr">
        <is>
          <t>share-based payment</t>
        </is>
      </c>
      <c r="E155" s="11" t="inlineStr">
        <is>
          <t>PDF p.128 (印刷頁 127)</t>
        </is>
      </c>
      <c r="F155" s="11" t="inlineStr">
        <is>
          <t>3 (note General reserve 一般儲備 HK$’000 千港元 42(b)(iv)) （附註42(b)(iv)） 681 — — — — — — 681 — — — — — — — — 681 company (note the 本公司擁有人應佔 Share-based payments 以股份為 基礎付款 HK$’000 千港元 46,868 — — — — — — 46,868 — — — — — — — — 46,868 of owners to Attributable Foreign currency translation reserve 外幣 匯兌儲備 HK$’000 千港元 42(b)(iii)) （附註42(b)(iii)） (5,370) — 3,515 3,515 — — — (1,855) — (177) (10) (187) — — — — (2,042) (note Merger reserve 合併儲備 HK$’000 千港元 42(b)(ii)) （附註42(b)(ii)） 7,358 — — — — — — 7,358 — — — — — — — — 7,358 (note Share premiu</t>
        </is>
      </c>
    </row>
    <row r="156">
      <c r="A156" s="8" t="inlineStr">
        <is>
          <t>Share-based Payment</t>
        </is>
      </c>
      <c r="B156" s="8" t="inlineStr">
        <is>
          <t>以股份為基礎的付款</t>
        </is>
      </c>
      <c r="C156" s="8" t="inlineStr">
        <is>
          <t>medium</t>
        </is>
      </c>
      <c r="D156" s="11" t="inlineStr">
        <is>
          <t>share-based payment</t>
        </is>
      </c>
      <c r="E156" s="11" t="inlineStr">
        <is>
          <t>PDF p.137 (印刷頁 136)</t>
        </is>
      </c>
      <c r="F156" s="11" t="inlineStr">
        <is>
          <t>urposes in these 告準則第2號「以股份為基礎的支付」範圍內 consolidated financial statements is determined on such a 的股份支付交易、根據香港財務報告準則 basis, except for share-based payment transactions that 第16號「租賃」列作租賃交易，以及與公允 are within the scope of HKFRS 2 “Share-based Payment”, 值有一些相似之處但並非公允值的計量， leasing transactions that are accounted for in accordance 例如香港會計準則第2號「存貨」的可變現淨 with HKFRS 16 “Leases”, and measurements that have some 值或香港會計準則第36號「資產減值」的使 similarities to fair value but are not fair value, such as net 用價值除外。 realisable value in HKAS 2 “Inventories”</t>
        </is>
      </c>
    </row>
    <row r="157">
      <c r="A157" s="8" t="inlineStr">
        <is>
          <t>Share-based Payment</t>
        </is>
      </c>
      <c r="B157" s="8" t="inlineStr">
        <is>
          <t>以股份為基礎的付款</t>
        </is>
      </c>
      <c r="C157" s="8" t="inlineStr">
        <is>
          <t>medium</t>
        </is>
      </c>
      <c r="D157" s="11" t="inlineStr">
        <is>
          <t>share-based payment</t>
        </is>
      </c>
      <c r="E157" s="11" t="inlineStr">
        <is>
          <t>PDF p.176 (印刷頁 175)</t>
        </is>
      </c>
      <c r="F157" s="11" t="inlineStr">
        <is>
          <t>註 For the fifteen months ended 31 March 2026 截至二零二六年三月三十一日止十五個月 4. MATERIAL ACCOUNTING POLICY 4. 重大會計政策資料（續） INFORMATION (Continued) Share-based payments 以股份為基礎的付款 Equity-settled share-based payment 以權益結算並以股份為基礎的付款交 transactions 易 Shares/Share options granted to employees 向僱員授出股份╱購股權 Equity-settled share-based payments to employees and 向僱員及提供類似服務之其他人士作出之 others providing similar services are measured at the fair 以權益結算並以股份為基礎的付款乃按授 value of the equity instruments at the grant date. 出日期股本工具之公允值計算。 The fair value of the equity-set</t>
        </is>
      </c>
    </row>
    <row r="158">
      <c r="A158" s="8" t="inlineStr">
        <is>
          <t>Share-based Payment</t>
        </is>
      </c>
      <c r="B158" s="8" t="inlineStr">
        <is>
          <t>以股份為基礎的付款</t>
        </is>
      </c>
      <c r="C158" s="8" t="inlineStr">
        <is>
          <t>medium</t>
        </is>
      </c>
      <c r="D158" s="11" t="inlineStr">
        <is>
          <t>購股權</t>
        </is>
      </c>
      <c r="E158" s="11" t="inlineStr">
        <is>
          <t>PDF p.217 (印刷頁 216)</t>
        </is>
      </c>
      <c r="F158" s="11" t="inlineStr">
        <is>
          <t>,625,000) in issue during the period. 三十一日止年度：322,625,000股）計算。 Potential ordinary shares from the assumed exercise of share 於兩個期間，因假設購股權行使而產生的 options have not been included in the calculation of diluted 潛在普通股具有反攤薄作用，故並未計入 loss per share because they are anti-dilutive for the both 每股攤薄虧損的計算中。因此，兩個期間 periods. Therefore, diluted loss per share was the same as 的每股攤薄虧損與每股基本虧損相同。 the basic loss per share for the both periods. 216 Imperium Technology Group Limited Annual Report 2026</t>
        </is>
      </c>
    </row>
    <row r="159">
      <c r="A159" s="8" t="inlineStr">
        <is>
          <t>Share-based Payment</t>
        </is>
      </c>
      <c r="B159" s="8" t="inlineStr">
        <is>
          <t>以股份為基礎的付款</t>
        </is>
      </c>
      <c r="C159" s="8" t="inlineStr">
        <is>
          <t>medium</t>
        </is>
      </c>
      <c r="D159" s="11" t="inlineStr">
        <is>
          <t>share-based payment</t>
        </is>
      </c>
      <c r="E159" s="11" t="inlineStr">
        <is>
          <t>PDF p.242 (印刷頁 241)</t>
        </is>
      </c>
      <c r="F159" s="11" t="inlineStr">
        <is>
          <t>NOTES TO THE CONSOLIDATED FINANCIAL STATEMENTS 綜合財務報表附註 For the fifteen months ended 31 March 2026 截至二零二六年三月三十一日止十五個月 39. SHARE-BASED PAYMENTS 39. 以股份支付款項 Equity-settled share option scheme 以股權結算的購股權計劃 (i) Share Option Scheme 購股權計劃 Pursuant to the ordinary written resolution passed 根據本公司於二零一八年六月二十九日舉行 in the annual general meeting of the Company on 的股東週年大會上通過的書面普通決議案， 29 June 2018, the share option scheme (“Share 購股權計劃（「購股權計劃」）已獲本公司批 Option Scheme”) was approved and adopted by the 准及採納，以符合上市規則第十七章的規 Company to comply</t>
        </is>
      </c>
    </row>
    <row r="160">
      <c r="A160" s="8" t="inlineStr">
        <is>
          <t>Share-based Payment</t>
        </is>
      </c>
      <c r="B160" s="8" t="inlineStr">
        <is>
          <t>以股份為基礎的付款</t>
        </is>
      </c>
      <c r="C160" s="8" t="inlineStr">
        <is>
          <t>medium</t>
        </is>
      </c>
      <c r="D160" s="11" t="inlineStr">
        <is>
          <t>share-based payment</t>
        </is>
      </c>
      <c r="E160" s="11" t="inlineStr">
        <is>
          <t>PDF p.243 (印刷頁 242)</t>
        </is>
      </c>
      <c r="F160" s="11" t="inlineStr">
        <is>
          <t>NOTES TO THE CONSOLIDATED FINANCIAL STATEMENTS 綜合財務報表附註 For the fifteen months ended 31 March 2026 截至二零二六年三月三十一日止十五個月 39. SHARE-BASED PAYMENTS 39. 以股份支付款項（續） (Continued) Equity-settled share option scheme (Continued) 以股權結算的購股權計劃（續） (i) Share Option Scheme (Continued) 購股權計劃（續） The subscription price for share(s) under the Share 根據購股權計劃，股份之認購價格將由董 Option Scheme will be a price as the board of 事會全權酌情釐定並知會予各參與者，且 directors in its absolute discretion shall determine 不得低於以下之較高者：(i)股份於購股權授 and notify to each Participant and</t>
        </is>
      </c>
    </row>
    <row r="161">
      <c r="A161" s="8" t="inlineStr">
        <is>
          <t>Share-based Payment</t>
        </is>
      </c>
      <c r="B161" s="8" t="inlineStr">
        <is>
          <t>以股份為基礎的付款</t>
        </is>
      </c>
      <c r="C161" s="8" t="inlineStr">
        <is>
          <t>medium</t>
        </is>
      </c>
      <c r="D161" s="11" t="inlineStr">
        <is>
          <t>share-based payment</t>
        </is>
      </c>
      <c r="E161" s="11" t="inlineStr">
        <is>
          <t>PDF p.244 (印刷頁 243)</t>
        </is>
      </c>
      <c r="F161" s="11" t="inlineStr">
        <is>
          <t>NOTES TO THE CONSOLIDATED FINANCIAL STATEMENTS 綜合財務報表附註 For the fifteen months ended 31 March 2026 截至二零二六年三月三十一日止十五個月 39. SHARE-BASED PAYMENTS 39. 以股份支付款項（續） (Continued) Equity-settled share option scheme (Continued) 以股權結算的購股權計劃（續） (i) Share Option Scheme (Continued) 購股權計劃（續） Details of the specific categories of options granted to 授予董事及僱員之購股權特定類別之詳情 the directors and employees are as follows: 如下： Exercise Date of grant Vesting date Exercise period price 授出日期 歸屬日期 行使期 行使價 HK$ 港元 2022A 18 January 2022 28 September 202</t>
        </is>
      </c>
    </row>
    <row r="162">
      <c r="A162" s="8" t="inlineStr">
        <is>
          <t>Share-based Payment</t>
        </is>
      </c>
      <c r="B162" s="8" t="inlineStr">
        <is>
          <t>以股份為基礎的付款</t>
        </is>
      </c>
      <c r="C162" s="8" t="inlineStr">
        <is>
          <t>medium</t>
        </is>
      </c>
      <c r="D162" s="11" t="inlineStr">
        <is>
          <t>share-based payment</t>
        </is>
      </c>
      <c r="E162" s="11" t="inlineStr">
        <is>
          <t>PDF p.245 (印刷頁 244)</t>
        </is>
      </c>
      <c r="F162" s="11" t="inlineStr">
        <is>
          <t>NOTES TO THE CONSOLIDATED FINANCIAL STATEMENTS 綜合財務報表附註 For the fifteen months ended 31 March 2026 截至二零二六年三月三十一日止十五個月 39. SHARE-BASED PAYMENTS 39. 以股份支付款項（續） (Continued) Equity-settled share option scheme (Continued) 以股權結算的購股權計劃（續） (i) Share Option Scheme (Continued) 購股權計劃（續） Details of the movement of share options during the 期╱年內購股權變動之詳情如下 period/year are as follows: 31 March 2026 31 December 2024 二零二六年三月三十一日 二零二四年十二月三十一日 Weighted Weighted Number average Number average of share exercise of share exercise options pr</t>
        </is>
      </c>
    </row>
    <row r="163">
      <c r="A163" s="8" t="inlineStr">
        <is>
          <t>Share-based Payment</t>
        </is>
      </c>
      <c r="B163" s="8" t="inlineStr">
        <is>
          <t>以股份為基礎的付款</t>
        </is>
      </c>
      <c r="C163" s="8" t="inlineStr">
        <is>
          <t>medium</t>
        </is>
      </c>
      <c r="D163" s="11" t="inlineStr">
        <is>
          <t>share-based payment</t>
        </is>
      </c>
      <c r="E163" s="11" t="inlineStr">
        <is>
          <t>PDF p.246 (印刷頁 245)</t>
        </is>
      </c>
      <c r="F163" s="11" t="inlineStr">
        <is>
          <t>NOTES TO THE CONSOLIDATED FINANCIAL STATEMENTS 綜合財務報表附註 For the fifteen months ended 31 March 2026 截至二零二六年三月三十一日止十五個月 39. SHARE-BASED PAYMENTS 39. 以股份支付款項（續） (Continued) Equity-settled share option scheme (Continued) 以股權結算的購股權計劃（續） (i) Share Option Scheme (Continued) 購股權計劃（續） These fair values were calculated using the Polynomial 該等公允值使用多項式期權定價模型計算。 option price model. The inputs into the model are as 輸入該模型的參數如下： follows: Share options Share options grant date 18 grant date 28 January 2022 September 2021 授出日期為 授出日期為</t>
        </is>
      </c>
    </row>
    <row r="164">
      <c r="A164" s="8" t="inlineStr">
        <is>
          <t>Share-based Payment</t>
        </is>
      </c>
      <c r="B164" s="8" t="inlineStr">
        <is>
          <t>以股份為基礎的付款</t>
        </is>
      </c>
      <c r="C164" s="8" t="inlineStr">
        <is>
          <t>medium</t>
        </is>
      </c>
      <c r="D164" s="11" t="inlineStr">
        <is>
          <t>以股份為基礎</t>
        </is>
      </c>
      <c r="E164" s="11" t="inlineStr">
        <is>
          <t>PDF p.249 (印刷頁 248)</t>
        </is>
      </c>
      <c r="F164" s="11" t="inlineStr">
        <is>
          <t>ontributed payments Other Accumulated premium surplus reserve reserves losses Total (Note 42(b)(i)) (Note 42(b)(vi)) (Note 42(b)(v)) 以股份為基礎的 股份溢價 繳入盈餘 付款儲備 其他儲備 累計虧損 總值 （附註42(b)(i)） （附註42(b)(vi)） （附註42(b)(v)） HK$’000 HK$’000 HK$’000 HK$’000 HK$’000 HK$’000 千港元 千港元 千港元 千港元 千港元 千港元 At 1 January 2024 於二零二四年一月一日 294,884 42,967 46,868 38,065 (670,358) (247,574) Loss for the year 年內虧損 — — — — (13,059) (13,059) Placing of shares, net of transaction costs 配售股份（扣除交易成本） 109,615 — — — — 109,615 Capital contribution 注資 — — — 148 — 148 At 3</t>
        </is>
      </c>
    </row>
    <row r="165">
      <c r="A165" s="8" t="inlineStr">
        <is>
          <t>Related Party Transactions</t>
        </is>
      </c>
      <c r="B165" s="8" t="inlineStr">
        <is>
          <t>關聯方交易</t>
        </is>
      </c>
      <c r="C165" s="8" t="inlineStr">
        <is>
          <t>low</t>
        </is>
      </c>
      <c r="D165" s="11" t="inlineStr">
        <is>
          <t>關聯方</t>
        </is>
      </c>
      <c r="E165" s="11" t="inlineStr">
        <is>
          <t>PDF p.16 (印刷頁 15)</t>
        </is>
      </c>
      <c r="F165" s="11" t="inlineStr">
        <is>
          <t>ber 2024 to approximately 度約16,030,000港元增加至期內約27,308,000港 HK$27,308,000 for the Period, mainly attributable to the increase 元，主要歸因於來自關聯方之貸款實際利率上升 in effective interest rate of loans from related parties and increase 及其他借款增加，以及財政年度結算日變更所帶 in other borrowings, and the impact of change of financial year 來的影響，致使期內涵蓋十五個月期間，而截至 end date, such that the period covered a period of fifteen months 二零二四年十二月三十一日止年度則涵蓋十二個 while the year ended 31 December 2024 covered a period of twelve 月期間。 months during the period. LIQUIDITY, FINANCIAL RESO</t>
        </is>
      </c>
    </row>
    <row r="166">
      <c r="A166" s="8" t="inlineStr">
        <is>
          <t>Related Party Transactions</t>
        </is>
      </c>
      <c r="B166" s="8" t="inlineStr">
        <is>
          <t>關聯方交易</t>
        </is>
      </c>
      <c r="C166" s="8" t="inlineStr">
        <is>
          <t>low</t>
        </is>
      </c>
      <c r="D166" s="11" t="inlineStr">
        <is>
          <t>related party</t>
        </is>
      </c>
      <c r="E166" s="11" t="inlineStr">
        <is>
          <t>PDF p.32 (印刷頁 31)</t>
        </is>
      </c>
      <c r="F166" s="11" t="inlineStr">
        <is>
          <t>during the period under review 束或回顧期間內任何時間存續之重大合約中直接 save and except for the transactions disclosed as connected and/ 或間接擁有重大權益。 or related party transactions in accordance with the requirements of the Listing Rules and accounting principles generally accepted in Hong Kong. 31 帝國科技集團有限公司 2026 年報</t>
        </is>
      </c>
    </row>
    <row r="167">
      <c r="A167" s="8" t="inlineStr">
        <is>
          <t>Related Party Transactions</t>
        </is>
      </c>
      <c r="B167" s="8" t="inlineStr">
        <is>
          <t>關聯方交易</t>
        </is>
      </c>
      <c r="C167" s="8" t="inlineStr">
        <is>
          <t>low</t>
        </is>
      </c>
      <c r="D167" s="11" t="inlineStr">
        <is>
          <t>關聯方</t>
        </is>
      </c>
      <c r="E167" s="11" t="inlineStr">
        <is>
          <t>PDF p.126 (印刷頁 125)</t>
        </is>
      </c>
      <c r="F167" s="11" t="inlineStr">
        <is>
          <t>741 Current liabilities 流動負債 Trade payables 應付貿易賬款 28 1,501 3,786 Lease liabilities 租賃負債 29 2,041 2,333 Loans from related parties 來自關聯方之貸款 30 — 212,721 Other borrowings 其他借款 31 1,240 — Other payables and accruals 其他應付款項及應計項目 32 34,405 41,646 Contract liabilities 合約負債 33 8 55 39,195 260,541 125 帝國科技集團有限公司 2026 年報</t>
        </is>
      </c>
    </row>
    <row r="168">
      <c r="A168" s="8" t="inlineStr">
        <is>
          <t>Related Party Transactions</t>
        </is>
      </c>
      <c r="B168" s="8" t="inlineStr">
        <is>
          <t>關聯方交易</t>
        </is>
      </c>
      <c r="C168" s="8" t="inlineStr">
        <is>
          <t>low</t>
        </is>
      </c>
      <c r="D168" s="11" t="inlineStr">
        <is>
          <t>關聯方</t>
        </is>
      </c>
      <c r="E168" s="11" t="inlineStr">
        <is>
          <t>PDF p.127 (印刷頁 126)</t>
        </is>
      </c>
      <c r="F168" s="11" t="inlineStr">
        <is>
          <t>URRENT LIABILITIES 63,843 (173,382) Non-current liabilities 非流動負債 Lease liabilities 租賃負債 29 3,310 2,834 Loans from related parties 來自關聯方之貸款 30 183,005 1,963 Other payables 其他應付款項 32 5,975 276 Deferred tax liabilities 遞延稅項負債 34 965 795 193,255 5,868 NET LIABILITIES 負債淨額 (129,412) (179,250) CAPITAL AND RESERVES 資本及儲備 Share capital 股本 35 4,479 3,732 Reserves 儲備 (135,573) (185,604) Deficits attributable to owners 本公司擁有人應佔虧絀 of the Company (131,094) (181,872) Non-controlling interests 非控股權益 1,682 2,622 CAPITAL DEFICIENCY 資本虧絀 (129,4</t>
        </is>
      </c>
    </row>
    <row r="169">
      <c r="A169" s="8" t="inlineStr">
        <is>
          <t>Related Party Transactions</t>
        </is>
      </c>
      <c r="B169" s="8" t="inlineStr">
        <is>
          <t>關聯方交易</t>
        </is>
      </c>
      <c r="C169" s="8" t="inlineStr">
        <is>
          <t>low</t>
        </is>
      </c>
      <c r="D169" s="11" t="inlineStr">
        <is>
          <t>關聯方</t>
        </is>
      </c>
      <c r="E169" s="11" t="inlineStr">
        <is>
          <t>PDF p.130 (印刷頁 129)</t>
        </is>
      </c>
      <c r="F169" s="11" t="inlineStr">
        <is>
          <t>Other borrowings raised 其他新增借款 31,000 4,000 Repayment of other borrowings 償還其他借款 (30,000) — Repayment of loans from related parties 關聯方償還貸款 (5,000) (95,000) Principal elements of lease payments 租賃付款之本金部分 (3,145) (3,620) Interest paid 已付利息 (1,267) (1,960) Gross proceeds from placing of shares 配售股份所得款項總額 35 63,078 111,351 Transaction costs arising from placing and 配售及認購股份的交易成本 35 subscription of shares (630) (1,114) NET CASH FROM FINANCING ACTIVITIES 融資活動所得的現金淨額 54,036 13,657 NET DECREASE IN CASH AND CASH 現金及現金等值物減少淨額 EQUIVALENT</t>
        </is>
      </c>
    </row>
    <row r="170">
      <c r="A170" s="8" t="inlineStr">
        <is>
          <t>Related Party Transactions</t>
        </is>
      </c>
      <c r="B170" s="8" t="inlineStr">
        <is>
          <t>關聯方交易</t>
        </is>
      </c>
      <c r="C170" s="8" t="inlineStr">
        <is>
          <t>low</t>
        </is>
      </c>
      <c r="D170" s="11" t="inlineStr">
        <is>
          <t>關聯方</t>
        </is>
      </c>
      <c r="E170" s="11" t="inlineStr">
        <is>
          <t>PDF p.162 (印刷頁 161)</t>
        </is>
      </c>
      <c r="F170" s="11" t="inlineStr">
        <is>
          <t>ilities including trade payables, lease liabilities, 金融負債（包括應付貿易賬款、租賃負債、 loan from related parties and other payables and accruals 來自關聯方之貸款以及其他應付款項及應 are subsequently measured at amortised cost, using the 計費用）其後使用實際利息法按攤銷成本計 effective interest method. 量。 161 帝國科技集團有限公司 2026 年報</t>
        </is>
      </c>
    </row>
    <row r="171">
      <c r="A171" s="8" t="inlineStr">
        <is>
          <t>Related Party Transactions</t>
        </is>
      </c>
      <c r="B171" s="8" t="inlineStr">
        <is>
          <t>關聯方交易</t>
        </is>
      </c>
      <c r="C171" s="8" t="inlineStr">
        <is>
          <t>low</t>
        </is>
      </c>
      <c r="D171" s="11" t="inlineStr">
        <is>
          <t>關聯方</t>
        </is>
      </c>
      <c r="E171" s="11" t="inlineStr">
        <is>
          <t>PDF p.196 (印刷頁 195)</t>
        </is>
      </c>
      <c r="F171" s="11" t="inlineStr">
        <is>
          <t>三月三十一日 Trade payables 應付貿易賬款 1,501 — — 1,501 1,501 Lease liabilities 租賃負債 2,594 2,242 1,485 6,321 5,351 Loans from related parties 來自關聯方之貸款 30,000 182,040 — 212,040 183,005 Other borrowings 其他借款 1,345 — — 1,345 1,240 Other payables and accruals 其他應付款項及應計項目 34,405 5,623 — 40,028 40,028 69,845 189,905 1,485 261,235 231,125 At 31 December 2024 於二零二四年十二月三十一日 Trade payables 應付貿易賬款 3,786 — — 3,786 3,786 Lease liabilities 租賃負債 2,801 1,255 2,191 6,247 5,167 Loans from related parties 來自關聯方之貸款 216,631 2,070 — 218,701 214,684 Other payab</t>
        </is>
      </c>
    </row>
    <row r="172">
      <c r="A172" s="8" t="inlineStr">
        <is>
          <t>Related Party Transactions</t>
        </is>
      </c>
      <c r="B172" s="8" t="inlineStr">
        <is>
          <t>關聯方交易</t>
        </is>
      </c>
      <c r="C172" s="8" t="inlineStr">
        <is>
          <t>low</t>
        </is>
      </c>
      <c r="D172" s="11" t="inlineStr">
        <is>
          <t>關聯方</t>
        </is>
      </c>
      <c r="E172" s="11" t="inlineStr">
        <is>
          <t>PDF p.197 (印刷頁 196)</t>
        </is>
      </c>
      <c r="F172" s="11" t="inlineStr">
        <is>
          <t>率變化而波動的風險。本集團 rates. The Group’s exposure to interest rate 之利率風險主要有關其銀行 risk primarily relates to its bank deposits, loan 存款、應收貸款、來自關聯方 receivables, loan from related parties and other 之貸款及其他計息應付款項。 payables that are interest bearing. The Group’s 本集團之銀行存款跟隨當時 bank deposits bear interests at variable rates 之市場狀況按不同利率計息。 that vary with the then prevailing market condition. The Group’s loan receivables, loans from 本集團之應收貸款、來自關聯 related parties, other borrowings and other 方之貸款、其他借款及按固定 payables bear interests at fixed rates and 利率</t>
        </is>
      </c>
    </row>
    <row r="173">
      <c r="A173" s="8" t="inlineStr">
        <is>
          <t>Related Party Transactions</t>
        </is>
      </c>
      <c r="B173" s="8" t="inlineStr">
        <is>
          <t>關聯方交易</t>
        </is>
      </c>
      <c r="C173" s="8" t="inlineStr">
        <is>
          <t>low</t>
        </is>
      </c>
      <c r="D173" s="11" t="inlineStr">
        <is>
          <t>關聯方</t>
        </is>
      </c>
      <c r="E173" s="11" t="inlineStr">
        <is>
          <t>PDF p.213 (印刷頁 212)</t>
        </is>
      </c>
      <c r="F173" s="11" t="inlineStr">
        <is>
          <t>ch 31 December 2026 2024 截至 截至 二零二六年 二零二四年 三月三十一日 十二月三十一日 止十五個月 止年度 HK$’000 HK$’000 千港元 千港元 Interest on loans from related parties 來自關聯方之貸款利息 25,068 15,525 Interest on other borrowings 其他借款之利息 1,507 — Interest on lease liabilities 租賃負債之利息 733 505 27,308 16,030 14. INCOME TAX EXPENSES 14. 所得稅開支 For the fifteen months For the ended year ended 31 March 31 December 2026 2024 截至 截至 二零二六年 二零二四年 三月三十一日 十二月三十一日 止十五個月 止年度 HK$’000 HK$’000 千港元 千港元 Deferred Tax 遞延稅項 94 26 Under the two-tiered Profits Tax regime, the first HK$2 根據兩級制利得稅稅率制度</t>
        </is>
      </c>
    </row>
    <row r="174">
      <c r="A174" s="8" t="inlineStr">
        <is>
          <t>Related Party Transactions</t>
        </is>
      </c>
      <c r="B174" s="8" t="inlineStr">
        <is>
          <t>關聯方交易</t>
        </is>
      </c>
      <c r="C174" s="8" t="inlineStr">
        <is>
          <t>low</t>
        </is>
      </c>
      <c r="D174" s="11" t="inlineStr">
        <is>
          <t>關聯方</t>
        </is>
      </c>
      <c r="E174" s="11" t="inlineStr">
        <is>
          <t>PDF p.234 (印刷頁 233)</t>
        </is>
      </c>
      <c r="F174" s="11" t="inlineStr">
        <is>
          <t>ATED FINANCIAL STATEMENTS 綜合財務報表附註 For the fifteen months ended 31 March 2026 截至二零二六年三月三十一日止十五個月 30. LOAN FROM RELATED PARTIES 30. 來自關聯方之貸款 As at 31 March 2026, the Group received loans from Mr. 於二零二六年三月三十一日，本集團向鄭先 Cheng and related companies, which are companies 生及由鄭先生實益擁有及控制的關聯公司 beneficially owned and controlled by Mr. Cheng, with 獲得貸款，本金總額為212,000,000港元（二 aggregate principal amount of HK$212,000,000 (31 零二四年十二月三十一日：217,000,000港 December 2024: HK$217,000,000). These loans were 元）。該等貸款為無抵押，按年息0%至2% unsecured, interest bearing</t>
        </is>
      </c>
    </row>
    <row r="175">
      <c r="A175" s="8" t="inlineStr">
        <is>
          <t>Related Party Transactions</t>
        </is>
      </c>
      <c r="B175" s="8" t="inlineStr">
        <is>
          <t>關聯方交易</t>
        </is>
      </c>
      <c r="C175" s="8" t="inlineStr">
        <is>
          <t>low</t>
        </is>
      </c>
      <c r="D175" s="11" t="inlineStr">
        <is>
          <t>關聯方</t>
        </is>
      </c>
      <c r="E175" s="11" t="inlineStr">
        <is>
          <t>PDF p.235 (印刷頁 234)</t>
        </is>
      </c>
      <c r="F175" s="11" t="inlineStr">
        <is>
          <t>was interest payable for the loans to related (c) 於二零二六年三月三十一日，有關款項包括就 parties of approximately HK$13,199,000 (31 December 2024: 貸款應付關聯方的利息約13,199,000港元（二零 HK$13,000,000) as at 31 March 2026. 二四年十二月三十一日：13,000,000港元）。 234 Imperium Technology Group Limited Annual Report 2026</t>
        </is>
      </c>
    </row>
    <row r="176">
      <c r="A176" s="8" t="inlineStr">
        <is>
          <t>Related Party Transactions</t>
        </is>
      </c>
      <c r="B176" s="8" t="inlineStr">
        <is>
          <t>關聯方交易</t>
        </is>
      </c>
      <c r="C176" s="8" t="inlineStr">
        <is>
          <t>low</t>
        </is>
      </c>
      <c r="D176" s="11" t="inlineStr">
        <is>
          <t>關聯方</t>
        </is>
      </c>
      <c r="E176" s="11" t="inlineStr">
        <is>
          <t>PDF p.247 (印刷頁 246)</t>
        </is>
      </c>
      <c r="F176" s="11" t="inlineStr">
        <is>
          <t>flows as cash flows from financing activities. Loan from Lease related Interest Other liabilities parties payable borrowings Total 來自關聯方之 租賃負債 貸款 應付利息 其他借款 總計 HK$’000 HK$’000 HK$’000 HK$’000 HK$’000 千港元 千港元 千港元 千港元 千港元 At 1 January 2024 於二零二四年一月一日 5,135 300,767 4,500 — 310,402 Financing cash flows 融資現金流量 (4,125) (92,960) — — (97,085) Remeasurement of lease 重新計量租賃 (13) — — — (13) Interest expenses 利息開支 505 15,525 — — 16,030 Effect of initial recognition 初始確認之影響 3,355 (148) — — 3,207 Transfer (to) from interest payable 撥轉（至）自應付利息</t>
        </is>
      </c>
    </row>
    <row r="177">
      <c r="A177" s="8" t="inlineStr">
        <is>
          <t>Related Party Transactions</t>
        </is>
      </c>
      <c r="B177" s="8" t="inlineStr">
        <is>
          <t>關聯方交易</t>
        </is>
      </c>
      <c r="C177" s="8" t="inlineStr">
        <is>
          <t>low</t>
        </is>
      </c>
      <c r="D177" s="11" t="inlineStr">
        <is>
          <t>關聯方</t>
        </is>
      </c>
      <c r="E177" s="11" t="inlineStr">
        <is>
          <t>PDF p.248 (印刷頁 247)</t>
        </is>
      </c>
      <c r="F177" s="11" t="inlineStr">
        <is>
          <t>iabilities 流動負債 Lease liabilities 租賃負債 1,041 1,060 Other payables and accruals 其他應付款項及應計項目 11,864 14,719 Loan from related parties 來自關聯方之貸款 — 148,641 Amounts due to subsidiaries 應付附屬公司款項 2,235 2,256 15,140 166,676 Net current assets/(liabilities) 流動資產╱（負債）淨額 5,429 (146,038) Total assets less current liabilities 總資產減流動負債 7,940 (145,175) Non-current liabilities 非流動負債 Loan from related parties 來自關聯方之貸款 128,727 1,963 Other payables 其他應付款項 4,593 — Lease liabilities 租賃負債 1,563 — 134,883 1,963 Net liabilities 負債淨額 (126,943) (147,138)</t>
        </is>
      </c>
    </row>
    <row r="178">
      <c r="A178" s="8" t="inlineStr">
        <is>
          <t>Related Party Transactions</t>
        </is>
      </c>
      <c r="B178" s="8" t="inlineStr">
        <is>
          <t>關聯方交易</t>
        </is>
      </c>
      <c r="C178" s="8" t="inlineStr">
        <is>
          <t>low</t>
        </is>
      </c>
      <c r="D178" s="11" t="inlineStr">
        <is>
          <t>關聯方</t>
        </is>
      </c>
      <c r="E178" s="11" t="inlineStr">
        <is>
          <t>PDF p.251 (印刷頁 250)</t>
        </is>
      </c>
      <c r="F178" s="11" t="inlineStr">
        <is>
          <t>e and purpose of reserves (b) 儲備之性質及用途（續） (Continued) (v) Other reserves (v) 其他儲備 The Group received loans from related parties. 本集團自關聯方收取貸款。該 These loans were unsecured, interest bearing 等貸款為無抵押，按年息0% from 0% to 2% per annum and repayable 至2%計息及須按貸款協議條 according to the terms of the loan agreements. 款償還。該等貸款之公允值 The fair value of these loans were estimated 乃按同檔次貸款初始確認時 at the prevailing market interest rates for 之現行市場利率介乎11.40% equivalent loans ranged from 11.40% to 15.28% 至15.28%（二零二四年十二月 (31 December 2024: 4.64% to 7.26%) on</t>
        </is>
      </c>
    </row>
    <row r="179">
      <c r="A179" s="8" t="inlineStr">
        <is>
          <t>Related Party Transactions</t>
        </is>
      </c>
      <c r="B179" s="8" t="inlineStr">
        <is>
          <t>關聯方交易</t>
        </is>
      </c>
      <c r="C179" s="8" t="inlineStr">
        <is>
          <t>low</t>
        </is>
      </c>
      <c r="D179" s="11" t="inlineStr">
        <is>
          <t>related party</t>
        </is>
      </c>
      <c r="E179" s="11" t="inlineStr">
        <is>
          <t>PDF p.256 (印刷頁 255)</t>
        </is>
      </c>
      <c r="F179" s="11" t="inlineStr">
        <is>
          <t>NOTES TO THE CONSOLIDATED FINANCIAL STATEMENTS 綜合財務報表附註 For the fifteen months ended 31 March 2026 截至二零二六年三月三十一日止十五個月 45. RELATED PARTY TRANSACTIONS 45. 關聯方交易 (a) In addition to those related party transactions and (a) 除本綜合財務報表其他部分所披露 balances disclosed elsewhere in the consolidated 的關聯方交易及結餘外，於期╱年 financial statements, the Group had the following 內，本集團與其關聯方進行以下交 transactions with its related parties during the period/ 易： year: For the fifteen For the year months ended 31 ended 31 December March 2026 2024 截至 截至 二零二六年</t>
        </is>
      </c>
    </row>
    <row r="180">
      <c r="A180" s="8" t="inlineStr">
        <is>
          <t>Related Party Transactions</t>
        </is>
      </c>
      <c r="B180" s="8" t="inlineStr">
        <is>
          <t>關聯方交易</t>
        </is>
      </c>
      <c r="C180" s="8" t="inlineStr">
        <is>
          <t>low</t>
        </is>
      </c>
      <c r="D180" s="11" t="inlineStr">
        <is>
          <t>related party</t>
        </is>
      </c>
      <c r="E180" s="11" t="inlineStr">
        <is>
          <t>PDF p.257 (印刷頁 256)</t>
        </is>
      </c>
      <c r="F180" s="11" t="inlineStr">
        <is>
          <t>NOTES TO THE CONSOLIDATED FINANCIAL STATEMENTS 綜合財務報表附註 For the fifteen months ended 31 March 2026 截至二零二六年三月三十一日止十五個月 45. RELATED PARTY TRANSACTIONS 45. 關聯方交易（續） (Continued) (b) Balance with related parties (b) 與關聯方的結餘 At 31 March 2026 and 31 December 2024, the Group 於二零二六年三月三十一日及二零 had the following balances with related parties: 二四年十二月三十一日，本集團與關 聯方有下列結餘： 31 March 31 December 2026 2024 二零二六年 二零二四年 三月 十二月 三十一日 三十一日 HK$’000 HK$’000 千港元 千港元 Loans from related parties and related 來自關聯方之貸款及 interest payable 應付相關利息 — Impe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4"/>
  <sheetViews>
    <sheetView workbookViewId="0">
      <pane ySplit="23" topLeftCell="A24"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R&amp;D Expenses</t>
        </is>
      </c>
    </row>
    <row r="9">
      <c r="A9" s="8" t="inlineStr">
        <is>
          <t>Income Statement</t>
        </is>
      </c>
      <c r="B9" s="8" t="inlineStr">
        <is>
          <t>Depreciation</t>
        </is>
      </c>
    </row>
    <row r="10">
      <c r="A10" s="8" t="inlineStr">
        <is>
          <t>Income Statement</t>
        </is>
      </c>
      <c r="B10" s="8" t="inlineStr">
        <is>
          <t>Amortisation</t>
        </is>
      </c>
    </row>
    <row r="11">
      <c r="A11" s="8" t="inlineStr">
        <is>
          <t>Balance Sheet</t>
        </is>
      </c>
      <c r="B11" s="8" t="inlineStr">
        <is>
          <t>Total Assets</t>
        </is>
      </c>
    </row>
    <row r="12">
      <c r="A12" s="8" t="inlineStr">
        <is>
          <t>Balance Sheet</t>
        </is>
      </c>
      <c r="B12" s="8" t="inlineStr">
        <is>
          <t>Cash and Equivalents</t>
        </is>
      </c>
    </row>
    <row r="13">
      <c r="A13" s="8" t="inlineStr">
        <is>
          <t>Balance Sheet</t>
        </is>
      </c>
      <c r="B13" s="8" t="inlineStr">
        <is>
          <t>Total Liabilities</t>
        </is>
      </c>
    </row>
    <row r="14">
      <c r="A14" s="8" t="inlineStr">
        <is>
          <t>Balance Sheet</t>
        </is>
      </c>
      <c r="B14" s="8" t="inlineStr">
        <is>
          <t>Borrowings</t>
        </is>
      </c>
    </row>
    <row r="15">
      <c r="A15" s="8" t="inlineStr">
        <is>
          <t>Balance Sheet</t>
        </is>
      </c>
      <c r="B15" s="8" t="inlineStr">
        <is>
          <t>Total Equity</t>
        </is>
      </c>
    </row>
    <row r="16">
      <c r="A16" s="8" t="inlineStr">
        <is>
          <t>Cash Flow</t>
        </is>
      </c>
      <c r="B16" s="8" t="inlineStr">
        <is>
          <t>Operating Cash Flow</t>
        </is>
      </c>
    </row>
    <row r="17">
      <c r="A17" s="8" t="inlineStr">
        <is>
          <t>Cash Flow</t>
        </is>
      </c>
      <c r="B17" s="8" t="inlineStr">
        <is>
          <t>Investing Cash Flow</t>
        </is>
      </c>
    </row>
    <row r="20">
      <c r="A20" s="5" t="inlineStr">
        <is>
          <t>二、文字量過低的頁面(疑似掃描頁)</t>
        </is>
      </c>
    </row>
    <row r="21">
      <c r="A21" s="2" t="inlineStr">
        <is>
          <t>這些頁面幾乎抓不到文字,通常是掃描件或純圖表,建議人手翻閱或另行 OCR。</t>
        </is>
      </c>
    </row>
    <row r="23">
      <c r="A23" s="7" t="inlineStr">
        <is>
          <t>PDF 頁碼</t>
        </is>
      </c>
      <c r="B23" s="7" t="inlineStr">
        <is>
          <t>狀態</t>
        </is>
      </c>
    </row>
    <row r="24">
      <c r="A24" s="8" t="n">
        <v>258</v>
      </c>
      <c r="B24"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2026-08-30T14:16:03Z</dcterms:created>
  <dcterms:modified xsi:type="dcterms:W3CDTF">2026-08-30T14:16:03Z</dcterms:modified>
</cp:coreProperties>
</file>
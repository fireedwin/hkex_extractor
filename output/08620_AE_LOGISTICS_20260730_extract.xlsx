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摘要" sheetId="1" state="visible" r:id="rId1"/>
    <sheet name="Valuation Params 估值參數" sheetId="2" state="visible" r:id="rId2"/>
    <sheet name="Financials 財務數據" sheetId="3" state="visible" r:id="rId3"/>
    <sheet name="Ratios 財務比率" sheetId="4" state="visible" r:id="rId4"/>
    <sheet name="Chart 趨勢圖" sheetId="5" state="visible" r:id="rId5"/>
    <sheet name="Extracts 主題段落" sheetId="6" state="visible" r:id="rId6"/>
    <sheet name="Review Queue 待覆核" sheetId="7" state="visible" r:id="rId7"/>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9">
    <font>
      <name val="Calibri"/>
      <family val="2"/>
      <color theme="1"/>
      <sz val="11"/>
      <scheme val="minor"/>
    </font>
    <font>
      <name val="Arial"/>
      <b val="1"/>
      <color rgb="001F4E5F"/>
      <sz val="14"/>
    </font>
    <font>
      <name val="Arial"/>
      <i val="1"/>
      <color rgb="00808080"/>
      <sz val="9"/>
    </font>
    <font>
      <name val="Arial"/>
      <b val="1"/>
      <sz val="10"/>
    </font>
    <font>
      <name val="Arial"/>
      <sz val="10"/>
    </font>
    <font>
      <name val="Arial"/>
      <b val="1"/>
      <sz val="11"/>
    </font>
    <font>
      <name val="Arial"/>
      <color rgb="00006100"/>
      <sz val="10"/>
    </font>
    <font>
      <name val="Arial"/>
      <b val="1"/>
      <color rgb="00FFFFFF"/>
      <sz val="10"/>
    </font>
    <font>
      <name val="Arial"/>
      <color rgb="000000FF"/>
      <sz val="10"/>
    </font>
  </fonts>
  <fills count="4">
    <fill>
      <patternFill/>
    </fill>
    <fill>
      <patternFill patternType="gray125"/>
    </fill>
    <fill>
      <patternFill patternType="solid">
        <fgColor rgb="001F4E5F"/>
      </patternFill>
    </fill>
    <fill>
      <patternFill patternType="solid">
        <f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2" borderId="0" applyAlignment="1" pivotButton="0" quotePrefix="0" xfId="0">
      <alignment vertical="center" wrapText="1"/>
    </xf>
    <xf numFmtId="0" fontId="4" fillId="0" borderId="1" applyAlignment="1" pivotButton="0" quotePrefix="0" xfId="0">
      <alignment vertical="top"/>
    </xf>
    <xf numFmtId="2" fontId="4" fillId="0" borderId="1" applyAlignment="1" pivotButton="0" quotePrefix="0" xfId="0">
      <alignment vertical="top"/>
    </xf>
    <xf numFmtId="2" fontId="4" fillId="0" borderId="1" applyAlignment="1" pivotButton="0" quotePrefix="0" xfId="0">
      <alignment vertical="top" wrapText="1"/>
    </xf>
    <xf numFmtId="0" fontId="4" fillId="0" borderId="1" applyAlignment="1" pivotButton="0" quotePrefix="0" xfId="0">
      <alignment vertical="top" wrapText="1"/>
    </xf>
    <xf numFmtId="164" fontId="4" fillId="0" borderId="1" applyAlignment="1" pivotButton="0" quotePrefix="0" xfId="0">
      <alignment vertical="top"/>
    </xf>
    <xf numFmtId="164" fontId="4" fillId="0" borderId="1" applyAlignment="1" pivotButton="0" quotePrefix="0" xfId="0">
      <alignment vertical="top" wrapText="1"/>
    </xf>
    <xf numFmtId="165" fontId="4" fillId="0" borderId="1" applyAlignment="1" pivotButton="0" quotePrefix="0" xfId="0">
      <alignment vertical="top" wrapText="1"/>
    </xf>
    <xf numFmtId="165" fontId="4" fillId="0" borderId="0" pivotButton="0" quotePrefix="0" xfId="0"/>
    <xf numFmtId="2" fontId="4" fillId="0" borderId="0" pivotButton="0" quotePrefix="0" xfId="0"/>
    <xf numFmtId="0" fontId="7" fillId="2" borderId="0" pivotButton="0" quotePrefix="0" xfId="0"/>
    <xf numFmtId="164" fontId="0" fillId="0" borderId="0" pivotButton="0" quotePrefix="0" xfId="0"/>
    <xf numFmtId="0" fontId="4"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style val="10"/>
  <chart>
    <title>
      <tx>
        <rich>
          <a:bodyPr/>
          <a:p>
            <a:pPr>
              <a:defRPr/>
            </a:pPr>
            <a:r>
              <a:t>Key Financials — Prior vs Current</a:t>
            </a:r>
          </a:p>
        </rich>
      </tx>
    </title>
    <plotArea>
      <barChart>
        <barDir val="col"/>
        <grouping val="clustered"/>
        <ser>
          <idx val="0"/>
          <order val="0"/>
          <tx>
            <strRef>
              <f>'Chart 趨勢圖'!B4</f>
            </strRef>
          </tx>
          <spPr>
            <a:ln>
              <a:prstDash val="solid"/>
            </a:ln>
          </spPr>
          <cat>
            <numRef>
              <f>'Chart 趨勢圖'!$A$5:$A$8</f>
            </numRef>
          </cat>
          <val>
            <numRef>
              <f>'Chart 趨勢圖'!$B$5:$B$8</f>
            </numRef>
          </val>
        </ser>
        <ser>
          <idx val="1"/>
          <order val="1"/>
          <tx>
            <strRef>
              <f>'Chart 趨勢圖'!C4</f>
            </strRef>
          </tx>
          <spPr>
            <a:ln>
              <a:prstDash val="solid"/>
            </a:ln>
          </spPr>
          <cat>
            <numRef>
              <f>'Chart 趨勢圖'!$A$5:$A$8</f>
            </numRef>
          </cat>
          <val>
            <numRef>
              <f>'Chart 趨勢圖'!$C$5:$C$8</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Amount (as reported)</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3</row>
      <rowOff>0</rowOff>
    </from>
    <ext cx="7920000" cy="396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42" customWidth="1" min="1" max="1"/>
    <col width="60" customWidth="1" min="2" max="2"/>
  </cols>
  <sheetData>
    <row r="1">
      <c r="A1" s="1" t="inlineStr">
        <is>
          <t>HKEX 文件資料萃取報告</t>
        </is>
      </c>
    </row>
    <row r="2">
      <c r="A2" s="2" t="inlineStr">
        <is>
          <t>Automated Extraction Report — Business Valuation Support</t>
        </is>
      </c>
    </row>
    <row r="4">
      <c r="A4" s="3" t="inlineStr">
        <is>
          <t>來源文件 Source file</t>
        </is>
      </c>
      <c r="B4" s="4" t="inlineStr">
        <is>
          <t>08620_AE_LOGISTICS_20260730.pdf</t>
        </is>
      </c>
    </row>
    <row r="5">
      <c r="A5" s="3" t="inlineStr">
        <is>
          <t>產生時間 Generated</t>
        </is>
      </c>
      <c r="B5" s="4" t="inlineStr">
        <is>
          <t>2026-08-30 22:16</t>
        </is>
      </c>
    </row>
    <row r="6">
      <c r="A6" s="4" t="inlineStr"/>
      <c r="B6" s="4" t="inlineStr"/>
    </row>
    <row r="7">
      <c r="A7" s="3" t="inlineStr">
        <is>
          <t>總頁數 Total pages</t>
        </is>
      </c>
      <c r="B7" s="4" t="n">
        <v>131</v>
      </c>
    </row>
    <row r="8">
      <c r="A8" s="3" t="inlineStr">
        <is>
          <t>已擷取字元 Characters extracted</t>
        </is>
      </c>
      <c r="B8" s="4" t="n">
        <v>289227</v>
      </c>
    </row>
    <row r="9">
      <c r="A9" s="3" t="inlineStr">
        <is>
          <t>含表格頁數 Pages with tables</t>
        </is>
      </c>
      <c r="B9" s="4" t="n">
        <v>0</v>
      </c>
    </row>
    <row r="10">
      <c r="A10" s="3" t="inlineStr">
        <is>
          <t>需人手/OCR 頁數 Pages needing OCR</t>
        </is>
      </c>
      <c r="B10" s="4" t="n">
        <v>0</v>
      </c>
    </row>
    <row r="11">
      <c r="A11" s="4" t="inlineStr"/>
      <c r="B11" s="4" t="inlineStr"/>
    </row>
    <row r="12">
      <c r="A12" s="3" t="inlineStr">
        <is>
          <t>估值參數擷取筆數 Valuation parameters</t>
        </is>
      </c>
      <c r="B12" s="4" t="n">
        <v>3</v>
      </c>
    </row>
    <row r="13">
      <c r="A13" s="3" t="inlineStr">
        <is>
          <t>財務科目擷取筆數 Financial line items</t>
        </is>
      </c>
      <c r="B13" s="4" t="n">
        <v>15</v>
      </c>
    </row>
    <row r="14">
      <c r="A14" s="3" t="inlineStr">
        <is>
          <t>主題段落擷取筆數 Topic extracts</t>
        </is>
      </c>
      <c r="B14" s="4" t="n">
        <v>35</v>
      </c>
    </row>
    <row r="15">
      <c r="A15" s="3" t="inlineStr">
        <is>
          <t>AI 複核筆數 AI-verified findings</t>
        </is>
      </c>
      <c r="B15" s="4" t="n">
        <v>0</v>
      </c>
    </row>
    <row r="17">
      <c r="A17" s="5" t="inlineStr">
        <is>
          <t>資料完整性檢查 Integrity checks</t>
        </is>
      </c>
    </row>
    <row r="18">
      <c r="A18" s="2" t="inlineStr">
        <is>
          <t>用會計恆等式交叉驗證擷取結果 —— 數字之間本來就該對得上,對不上代表某欄可能抓錯,請翻回來源頁核對。</t>
        </is>
      </c>
    </row>
    <row r="19">
      <c r="A19" s="6" t="inlineStr">
        <is>
          <t>✓ 流動資產 − 流動負債 = 淨流動資產</t>
        </is>
      </c>
      <c r="B19" s="4" t="inlineStr">
        <is>
          <t>69,620 − 70,516 = -896</t>
        </is>
      </c>
    </row>
    <row r="20">
      <c r="A20" s="6" t="inlineStr">
        <is>
          <t>✓ 除稅前溢利 ± 稅項 = 年內溢利</t>
        </is>
      </c>
      <c r="B20" s="4" t="inlineStr">
        <is>
          <t>-566 + 544 = -1,110 vs -1,110</t>
        </is>
      </c>
    </row>
    <row r="21">
      <c r="A21" s="6" t="inlineStr">
        <is>
          <t>✓ 三大報表應相鄰</t>
        </is>
      </c>
      <c r="B21" s="4" t="inlineStr">
        <is>
          <t>Income Statement: p.56、Balance Sheet: p.57、Cash Flow: p.60(相距 4 頁)</t>
        </is>
      </c>
    </row>
    <row r="23">
      <c r="A23" s="5" t="inlineStr">
        <is>
          <t>方法論 Methodology</t>
        </is>
      </c>
    </row>
    <row r="24">
      <c r="A24" s="4" t="inlineStr">
        <is>
          <t>1. 逐頁擷取文字,全程保留 PDF 頁碼與年報印刷頁碼(可追溯性)。</t>
        </is>
      </c>
    </row>
    <row r="25">
      <c r="A25" s="4" t="inlineStr">
        <is>
          <t>2. 規則層(正則/關鍵字)先把全份文件縮減為少數相關頁面 —— 解決「文件太大」。</t>
        </is>
      </c>
    </row>
    <row r="26">
      <c r="A26" s="4" t="inlineStr">
        <is>
          <t>3. 數字由正則精確擷取並做合理性檢查,不由語言模型生成 —— 解決「準確度」。</t>
        </is>
      </c>
    </row>
    <row r="27">
      <c r="A27" s="4" t="inlineStr">
        <is>
          <t>4. AI 僅在縮減後的頁面上做語意判斷,且輸出頁碼須通過驗證才保留。</t>
        </is>
      </c>
    </row>
    <row r="28">
      <c r="A28" s="4" t="inlineStr">
        <is>
          <t>5. 所有結果附來源頁碼與原文行,供估值師覆核。信心度為 Low 者建議人手確認。</t>
        </is>
      </c>
    </row>
    <row r="29">
      <c r="A29" s="4" t="inlineStr">
        <is>
          <t>6. 支援中英對照年報、破折號(nil)、Profit/(loss) 等港股常見排版。</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7"/>
  <sheetViews>
    <sheetView workbookViewId="0">
      <pane ySplit="4" topLeftCell="A5" activePane="bottomLeft" state="frozen"/>
      <selection pane="bottomLeft" activeCell="A1" sqref="A1"/>
    </sheetView>
  </sheetViews>
  <sheetFormatPr baseColWidth="8" defaultRowHeight="15"/>
  <cols>
    <col width="24" customWidth="1" min="1" max="1"/>
    <col width="18" customWidth="1" min="2" max="2"/>
    <col width="12" customWidth="1" min="3" max="3"/>
    <col width="12" customWidth="1" min="4" max="4"/>
    <col width="14" customWidth="1" min="5" max="5"/>
    <col width="10" customWidth="1" min="6" max="6"/>
    <col width="22" customWidth="1" min="7" max="7"/>
    <col width="90" customWidth="1" min="8" max="8"/>
  </cols>
  <sheetData>
    <row r="1">
      <c r="A1" s="1" t="inlineStr">
        <is>
          <t>估值參數 Benchmark — 可直接併入行內參數資料庫</t>
        </is>
      </c>
    </row>
    <row r="2">
      <c r="A2" s="2" t="inlineStr">
        <is>
          <t>數字由正則式從原文精確擷取,並經合理範圍檢查;非由 AI 生成。</t>
        </is>
      </c>
    </row>
    <row r="4">
      <c r="A4" s="7" t="inlineStr">
        <is>
          <t>參數 Parameter</t>
        </is>
      </c>
      <c r="B4" s="7" t="inlineStr">
        <is>
          <t>中文</t>
        </is>
      </c>
      <c r="C4" s="7" t="inlineStr">
        <is>
          <t>下限 Low (%)</t>
        </is>
      </c>
      <c r="D4" s="7" t="inlineStr">
        <is>
          <t>上限 High (%)</t>
        </is>
      </c>
      <c r="E4" s="7" t="inlineStr">
        <is>
          <t>原文數值</t>
        </is>
      </c>
      <c r="F4" s="7" t="inlineStr">
        <is>
          <t>信心度</t>
        </is>
      </c>
      <c r="G4" s="7" t="inlineStr">
        <is>
          <t>來源頁 Source Page</t>
        </is>
      </c>
      <c r="H4" s="7" t="inlineStr">
        <is>
          <t>上下文 Context</t>
        </is>
      </c>
    </row>
    <row r="5">
      <c r="A5" s="8" t="inlineStr">
        <is>
          <t>Discount Rate</t>
        </is>
      </c>
      <c r="B5" s="8" t="inlineStr">
        <is>
          <t>折現率</t>
        </is>
      </c>
      <c r="C5" s="9" t="n">
        <v>16.5</v>
      </c>
      <c r="D5" s="10" t="n">
        <v>16.5</v>
      </c>
      <c r="E5" s="11" t="inlineStr">
        <is>
          <t>16.5%</t>
        </is>
      </c>
      <c r="F5" s="11" t="inlineStr">
        <is>
          <t>Medium</t>
        </is>
      </c>
      <c r="G5" s="11" t="inlineStr">
        <is>
          <t>PDF p.87 (印刷頁 86)</t>
        </is>
      </c>
      <c r="H5" s="11" t="inlineStr">
        <is>
          <t>ear period are extrapolated using growth rate of 2.5% (2025: 2.5%). The pre-tax discount rate used in measuring the amount of value in use was 16.5% (2025: 13.7%). Changing the assumptions and estimates, including the discount rates or the growth rate i</t>
        </is>
      </c>
    </row>
    <row r="6">
      <c r="A6" s="8" t="inlineStr">
        <is>
          <t>Discount Rate</t>
        </is>
      </c>
      <c r="B6" s="8" t="inlineStr">
        <is>
          <t>折現率</t>
        </is>
      </c>
      <c r="C6" s="9" t="n">
        <v>13.7</v>
      </c>
      <c r="D6" s="10" t="n">
        <v>13.7</v>
      </c>
      <c r="E6" s="11" t="inlineStr">
        <is>
          <t>13.7%</t>
        </is>
      </c>
      <c r="F6" s="11" t="inlineStr">
        <is>
          <t>Medium</t>
        </is>
      </c>
      <c r="G6" s="11" t="inlineStr">
        <is>
          <t>PDF p.87 (印刷頁 86)</t>
        </is>
      </c>
      <c r="H6" s="11" t="inlineStr">
        <is>
          <t xml:space="preserve"> was 16.5% (2025: 13.7%). Changing the assumptions and estimates, including the discount rates or the growth rate in the cash flow projections, could materially affect the recoverable amounts. As at 31 March 2026, the carrying amounts of property, plant</t>
        </is>
      </c>
    </row>
    <row r="7">
      <c r="A7" s="8" t="inlineStr">
        <is>
          <t>Discount Rate</t>
        </is>
      </c>
      <c r="B7" s="8" t="inlineStr">
        <is>
          <t>折現率</t>
        </is>
      </c>
      <c r="C7" s="9" t="n">
        <v>16.5</v>
      </c>
      <c r="D7" s="10" t="n">
        <v>16.5</v>
      </c>
      <c r="E7" s="11" t="inlineStr">
        <is>
          <t>16.5%</t>
        </is>
      </c>
      <c r="F7" s="11" t="inlineStr">
        <is>
          <t>Medium</t>
        </is>
      </c>
      <c r="G7" s="11" t="inlineStr">
        <is>
          <t>PDF p.98 (印刷頁 97)</t>
        </is>
      </c>
      <c r="H7" s="11" t="inlineStr">
        <is>
          <t>ear period are extrapolated using growth rate of 2.5% (2025: 2.5%). The pre-tax discount rate used in measuring the amount of value in use was 16.5% (2025: 13.7%). Asia-express Logistics Holdings Limited 97 Annual Report 2026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1"/>
  <sheetViews>
    <sheetView workbookViewId="0">
      <pane ySplit="4" topLeftCell="A5" activePane="bottomLeft" state="frozen"/>
      <selection pane="bottomLeft" activeCell="A1" sqref="A1"/>
    </sheetView>
  </sheetViews>
  <sheetFormatPr baseColWidth="8" defaultRowHeight="15"/>
  <cols>
    <col width="20" customWidth="1" min="1" max="1"/>
    <col width="28" customWidth="1" min="2" max="2"/>
    <col width="16" customWidth="1" min="3" max="3"/>
    <col width="16" customWidth="1" min="4" max="4"/>
    <col width="12" customWidth="1" min="5" max="5"/>
    <col width="20" customWidth="1" min="6" max="6"/>
    <col width="70" customWidth="1" min="7" max="7"/>
  </cols>
  <sheetData>
    <row r="1">
      <c r="A1" s="1" t="inlineStr">
        <is>
          <t>三大報表擷取結果</t>
        </is>
      </c>
    </row>
    <row r="2">
      <c r="A2" s="2" t="inlineStr">
        <is>
          <t>偵測到的年度欄位 — Income Statement: 2026 / 2025; Balance Sheet: 2026 / 2025; Cash Flow: 2026 / 2025</t>
        </is>
      </c>
    </row>
    <row r="4">
      <c r="A4" s="7" t="inlineStr">
        <is>
          <t>報表 Statement</t>
        </is>
      </c>
      <c r="B4" s="7" t="inlineStr">
        <is>
          <t>科目 Item</t>
        </is>
      </c>
      <c r="C4" s="7" t="inlineStr">
        <is>
          <t>本年 Current</t>
        </is>
      </c>
      <c r="D4" s="7" t="inlineStr">
        <is>
          <t>上年 Prior</t>
        </is>
      </c>
      <c r="E4" s="7" t="inlineStr">
        <is>
          <t>變動 YoY %</t>
        </is>
      </c>
      <c r="F4" s="7" t="inlineStr">
        <is>
          <t>來源頁</t>
        </is>
      </c>
      <c r="G4" s="7" t="inlineStr">
        <is>
          <t>原文行 Source line</t>
        </is>
      </c>
    </row>
    <row r="5">
      <c r="A5" s="8" t="inlineStr">
        <is>
          <t>Income Statement</t>
        </is>
      </c>
      <c r="B5" s="8" t="inlineStr">
        <is>
          <t>Revenue</t>
        </is>
      </c>
      <c r="C5" s="12" t="n">
        <v>327683</v>
      </c>
      <c r="D5" s="13" t="n">
        <v>348015</v>
      </c>
      <c r="E5" s="14">
        <f>IF(ISERROR((C5-D5)/ABS(D5)),"",(C5-D5)/ABS(D5))</f>
        <v>-0.05842276913351436</v>
      </c>
      <c r="F5" s="11" t="inlineStr">
        <is>
          <t>PDF p.56 (印刷頁 55)</t>
        </is>
      </c>
      <c r="G5" s="11" t="inlineStr">
        <is>
          <t>Revenue 5 327,683 348,015</t>
        </is>
      </c>
    </row>
    <row r="6">
      <c r="A6" s="8" t="inlineStr">
        <is>
          <t>Income Statement</t>
        </is>
      </c>
      <c r="B6" s="8" t="inlineStr">
        <is>
          <t>Depreciation</t>
        </is>
      </c>
      <c r="C6" s="12" t="n">
        <v>-5314</v>
      </c>
      <c r="D6" s="13" t="n">
        <v>-6127</v>
      </c>
      <c r="E6" s="14">
        <f>IF(ISERROR((C6-D6)/ABS(D6)),"",(C6-D6)/ABS(D6))</f>
        <v>0.13269136608454382</v>
      </c>
      <c r="F6" s="11" t="inlineStr">
        <is>
          <t>PDF p.56 (印刷頁 55)</t>
        </is>
      </c>
      <c r="G6" s="11" t="inlineStr">
        <is>
          <t>Depreciation of property, plant and equipment 16 (5,314) (6,127)</t>
        </is>
      </c>
    </row>
    <row r="7">
      <c r="A7" s="8" t="inlineStr">
        <is>
          <t>Income Statement</t>
        </is>
      </c>
      <c r="B7" s="8" t="inlineStr">
        <is>
          <t>Finance Costs</t>
        </is>
      </c>
      <c r="C7" s="12" t="n">
        <v>-2154</v>
      </c>
      <c r="D7" s="13" t="n">
        <v>-2064</v>
      </c>
      <c r="E7" s="14">
        <f>IF(ISERROR((C7-D7)/ABS(D7)),"",(C7-D7)/ABS(D7))</f>
        <v>-0.0436046511627907</v>
      </c>
      <c r="F7" s="11" t="inlineStr">
        <is>
          <t>PDF p.56 (印刷頁 55)</t>
        </is>
      </c>
      <c r="G7" s="11" t="inlineStr">
        <is>
          <t>Finance costs 9 (2,154) (2,064)</t>
        </is>
      </c>
    </row>
    <row r="8">
      <c r="A8" s="8" t="inlineStr">
        <is>
          <t>Income Statement</t>
        </is>
      </c>
      <c r="B8" s="8" t="inlineStr">
        <is>
          <t>Profit Before Tax</t>
        </is>
      </c>
      <c r="C8" s="12" t="n">
        <v>-566</v>
      </c>
      <c r="D8" s="13" t="n">
        <v>-4100</v>
      </c>
      <c r="E8" s="14">
        <f>IF(ISERROR((C8-D8)/ABS(D8)),"",(C8-D8)/ABS(D8))</f>
        <v>0.8619512195121951</v>
      </c>
      <c r="F8" s="11" t="inlineStr">
        <is>
          <t>PDF p.56 (印刷頁 55)</t>
        </is>
      </c>
      <c r="G8" s="11" t="inlineStr">
        <is>
          <t>Loss before tax (566) (4,100)</t>
        </is>
      </c>
    </row>
    <row r="9">
      <c r="A9" s="8" t="inlineStr">
        <is>
          <t>Income Statement</t>
        </is>
      </c>
      <c r="B9" s="8" t="inlineStr">
        <is>
          <t>Income Tax</t>
        </is>
      </c>
      <c r="C9" s="12" t="n">
        <v>-544</v>
      </c>
      <c r="D9" s="13" t="n">
        <v>557</v>
      </c>
      <c r="E9" s="14">
        <f>IF(ISERROR((C9-D9)/ABS(D9)),"",(C9-D9)/ABS(D9))</f>
        <v>-1.9766606822262118</v>
      </c>
      <c r="F9" s="11" t="inlineStr">
        <is>
          <t>PDF p.56 (印刷頁 55)</t>
        </is>
      </c>
      <c r="G9" s="11" t="inlineStr">
        <is>
          <t>Income tax (expense) credit 10 (544) 557</t>
        </is>
      </c>
    </row>
    <row r="10">
      <c r="A10" s="8" t="inlineStr">
        <is>
          <t>Income Statement</t>
        </is>
      </c>
      <c r="B10" s="8" t="inlineStr">
        <is>
          <t>Profit for the Year</t>
        </is>
      </c>
      <c r="C10" s="12" t="n">
        <v>-1110</v>
      </c>
      <c r="D10" s="13" t="n">
        <v>-3543</v>
      </c>
      <c r="E10" s="14">
        <f>IF(ISERROR((C10-D10)/ABS(D10)),"",(C10-D10)/ABS(D10))</f>
        <v>0.6867061812023709</v>
      </c>
      <c r="F10" s="11" t="inlineStr">
        <is>
          <t>PDF p.56 (印刷頁 55)</t>
        </is>
      </c>
      <c r="G10" s="11" t="inlineStr">
        <is>
          <t>Loss for the year attributable to equity holders of the Company 11 (1,110) (3,543)</t>
        </is>
      </c>
    </row>
    <row r="11">
      <c r="A11" s="8" t="inlineStr">
        <is>
          <t>Balance Sheet</t>
        </is>
      </c>
      <c r="B11" s="8" t="inlineStr">
        <is>
          <t>Property Plant and Equipment</t>
        </is>
      </c>
      <c r="C11" s="12" t="n">
        <v>21066</v>
      </c>
      <c r="D11" s="13" t="n">
        <v>26039</v>
      </c>
      <c r="E11" s="14">
        <f>IF(ISERROR((C11-D11)/ABS(D11)),"",(C11-D11)/ABS(D11))</f>
        <v>-0.19098275663427935</v>
      </c>
      <c r="F11" s="11" t="inlineStr">
        <is>
          <t>PDF p.57 (印刷頁 56)</t>
        </is>
      </c>
      <c r="G11" s="11" t="inlineStr">
        <is>
          <t>Property, plant and equipment 16 21,066 26,039</t>
        </is>
      </c>
    </row>
    <row r="12">
      <c r="A12" s="8" t="inlineStr">
        <is>
          <t>Balance Sheet</t>
        </is>
      </c>
      <c r="B12" s="8" t="inlineStr">
        <is>
          <t>Trade Receivables</t>
        </is>
      </c>
      <c r="C12" s="12" t="n">
        <v>47116</v>
      </c>
      <c r="D12" s="13" t="n">
        <v>44827</v>
      </c>
      <c r="E12" s="14">
        <f>IF(ISERROR((C12-D12)/ABS(D12)),"",(C12-D12)/ABS(D12))</f>
        <v>0.051062975438909586</v>
      </c>
      <c r="F12" s="11" t="inlineStr">
        <is>
          <t>PDF p.57 (印刷頁 56)</t>
        </is>
      </c>
      <c r="G12" s="11" t="inlineStr">
        <is>
          <t>Trade and other receivables 20 47,116 44,827</t>
        </is>
      </c>
    </row>
    <row r="13">
      <c r="A13" s="8" t="inlineStr">
        <is>
          <t>Balance Sheet</t>
        </is>
      </c>
      <c r="B13" s="8" t="inlineStr">
        <is>
          <t>Cash and Equivalents</t>
        </is>
      </c>
      <c r="C13" s="12" t="n">
        <v>17268</v>
      </c>
      <c r="D13" s="13" t="n">
        <v>9123</v>
      </c>
      <c r="E13" s="14">
        <f>IF(ISERROR((C13-D13)/ABS(D13)),"",(C13-D13)/ABS(D13))</f>
        <v>0.8927984215718514</v>
      </c>
      <c r="F13" s="11" t="inlineStr">
        <is>
          <t>PDF p.57 (印刷頁 56)</t>
        </is>
      </c>
      <c r="G13" s="11" t="inlineStr">
        <is>
          <t>Cash and cash equivalents 21 17,268 9,123</t>
        </is>
      </c>
    </row>
    <row r="14">
      <c r="A14" s="8" t="inlineStr">
        <is>
          <t>Balance Sheet</t>
        </is>
      </c>
      <c r="B14" s="8" t="inlineStr">
        <is>
          <t>Total Equity</t>
        </is>
      </c>
      <c r="C14" s="12" t="n">
        <v>31873</v>
      </c>
      <c r="D14" s="13" t="n">
        <v>32971</v>
      </c>
      <c r="E14" s="14">
        <f>IF(ISERROR((C14-D14)/ABS(D14)),"",(C14-D14)/ABS(D14))</f>
        <v>-0.03330199266021655</v>
      </c>
      <c r="F14" s="11" t="inlineStr">
        <is>
          <t>PDF p.58 (印刷頁 57)</t>
        </is>
      </c>
      <c r="G14" s="11" t="inlineStr">
        <is>
          <t>TOTAL EQUITY ATTRIBUTABLE TO EQUITY HOLDERS … OF THE COMPANY 31,873 32,971</t>
        </is>
      </c>
    </row>
    <row r="15">
      <c r="A15" s="8" t="inlineStr">
        <is>
          <t>Balance Sheet</t>
        </is>
      </c>
      <c r="B15" s="8" t="inlineStr">
        <is>
          <t>Total Current Assets</t>
        </is>
      </c>
      <c r="C15" s="12" t="n">
        <v>69620</v>
      </c>
      <c r="D15" s="13" t="n">
        <v>59167</v>
      </c>
      <c r="E15" s="14">
        <f>IF(ISERROR((C15-D15)/ABS(D15)),"",(C15-D15)/ABS(D15))</f>
        <v>0.17666942721449458</v>
      </c>
      <c r="F15" s="11" t="inlineStr">
        <is>
          <t>PDF p.57 (印刷頁 56)</t>
        </is>
      </c>
      <c r="G15" s="11" t="inlineStr">
        <is>
          <t>[current assets 區段小計] 69,620 59,167</t>
        </is>
      </c>
    </row>
    <row r="16">
      <c r="A16" s="8" t="inlineStr">
        <is>
          <t>Balance Sheet</t>
        </is>
      </c>
      <c r="B16" s="8" t="inlineStr">
        <is>
          <t>Total Current Liabilities</t>
        </is>
      </c>
      <c r="C16" s="12" t="n">
        <v>70516</v>
      </c>
      <c r="D16" s="13" t="n">
        <v>58150</v>
      </c>
      <c r="E16" s="14">
        <f>IF(ISERROR((C16-D16)/ABS(D16)),"",(C16-D16)/ABS(D16))</f>
        <v>0.21265692175408427</v>
      </c>
      <c r="F16" s="11" t="inlineStr">
        <is>
          <t>PDF p.57 (印刷頁 56)</t>
        </is>
      </c>
      <c r="G16" s="11" t="inlineStr">
        <is>
          <t>[current liabilities 區段小計] 70,516 58,150</t>
        </is>
      </c>
    </row>
    <row r="17">
      <c r="A17" s="8" t="inlineStr">
        <is>
          <t>Cash Flow</t>
        </is>
      </c>
      <c r="B17" s="8" t="inlineStr">
        <is>
          <t>Operating Cash Flow</t>
        </is>
      </c>
      <c r="C17" s="12" t="n">
        <v>11253</v>
      </c>
      <c r="D17" s="13" t="n">
        <v>9713</v>
      </c>
      <c r="E17" s="14">
        <f>IF(ISERROR((C17-D17)/ABS(D17)),"",(C17-D17)/ABS(D17))</f>
        <v>0.15855039637599094</v>
      </c>
      <c r="F17" s="11" t="inlineStr">
        <is>
          <t>PDF p.60 (印刷頁 59)</t>
        </is>
      </c>
      <c r="G17" s="11" t="inlineStr">
        <is>
          <t>NET CASH FROM OPERATING ACTIVITIES 11,253 9,713</t>
        </is>
      </c>
    </row>
    <row r="18">
      <c r="A18" s="8" t="inlineStr">
        <is>
          <t>Cash Flow</t>
        </is>
      </c>
      <c r="B18" s="8" t="inlineStr">
        <is>
          <t>Capital Expenditure</t>
        </is>
      </c>
      <c r="C18" s="12" t="n">
        <v>-997</v>
      </c>
      <c r="D18" s="13" t="n">
        <v>-1754</v>
      </c>
      <c r="E18" s="14">
        <f>IF(ISERROR((C18-D18)/ABS(D18)),"",(C18-D18)/ABS(D18))</f>
        <v>0.4315849486887115</v>
      </c>
      <c r="F18" s="11" t="inlineStr">
        <is>
          <t>PDF p.60 (印刷頁 59)</t>
        </is>
      </c>
      <c r="G18" s="11" t="inlineStr">
        <is>
          <t>Purchase of property, plant and equipment (997) (1,754)</t>
        </is>
      </c>
    </row>
    <row r="19">
      <c r="A19" s="8" t="inlineStr">
        <is>
          <t>Cash Flow</t>
        </is>
      </c>
      <c r="B19" s="8" t="inlineStr">
        <is>
          <t>Financing Cash Flow</t>
        </is>
      </c>
      <c r="C19" s="12" t="n">
        <v>-8</v>
      </c>
      <c r="D19" s="13" t="n">
        <v>-12129</v>
      </c>
      <c r="E19" s="14">
        <f>IF(ISERROR((C19-D19)/ABS(D19)),"",(C19-D19)/ABS(D19))</f>
        <v>0.9993404237777228</v>
      </c>
      <c r="F19" s="11" t="inlineStr">
        <is>
          <t>PDF p.61 (印刷頁 60)</t>
        </is>
      </c>
      <c r="G19" s="11" t="inlineStr">
        <is>
          <t>NET CASH USED IN FINANCING ACTIVITIES (8) (12,129)</t>
        </is>
      </c>
    </row>
    <row r="21">
      <c r="A21" s="2" t="inlineStr">
        <is>
          <t>藍色 = 從 PDF 原文擷取的數值(硬輸入);黑色 = 公式計算。單位依原報表所示(通常為千元或百萬元),請對照來源頁確認。</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pane ySplit="4" topLeftCell="A5" activePane="bottomLeft" state="frozen"/>
      <selection pane="bottomLeft" activeCell="A1" sqref="A1"/>
    </sheetView>
  </sheetViews>
  <sheetFormatPr baseColWidth="8" defaultRowHeight="15"/>
  <cols>
    <col width="30" customWidth="1" min="1" max="1"/>
    <col width="16" customWidth="1" min="2" max="2"/>
    <col width="16" customWidth="1" min="3" max="3"/>
    <col width="48" customWidth="1" min="4" max="4"/>
  </cols>
  <sheetData>
    <row r="1">
      <c r="A1" s="1" t="inlineStr">
        <is>
          <t>衍生比率 — 全部以公式連結至 Financials 分頁</t>
        </is>
      </c>
    </row>
    <row r="2">
      <c r="A2" s="2" t="inlineStr">
        <is>
          <t>改動 Financials 分頁的數字,本頁會自動重算。</t>
        </is>
      </c>
    </row>
    <row r="4">
      <c r="A4" s="7" t="inlineStr">
        <is>
          <t>比率 Ratio</t>
        </is>
      </c>
      <c r="B4" s="7" t="inlineStr">
        <is>
          <t>本年 Current</t>
        </is>
      </c>
      <c r="C4" s="7" t="inlineStr">
        <is>
          <t>上年 Prior</t>
        </is>
      </c>
      <c r="D4" s="7" t="inlineStr">
        <is>
          <t>說明</t>
        </is>
      </c>
    </row>
    <row r="5">
      <c r="A5" s="4" t="inlineStr">
        <is>
          <t>Gross Margin 毛利率</t>
        </is>
      </c>
      <c r="B5" s="15" t="str">
        <f>IF(ISERROR(INDEX('Financials 財務數據'!$C$5:$C$19,MATCH("Gross Profit",'Financials 財務數據'!$B$5:$B$19,0))/INDEX('Financials 財務數據'!$C$5:$C$19,MATCH("Revenue",'Financials 財務數據'!$B$5:$B$19,0))),"n/a",INDEX('Financials 財務數據'!$C$5:$C$19,MATCH("Gross Profit",'Financials 財務數據'!$B$5:$B$19,0))/INDEX('Financials 財務數據'!$C$5:$C$19,MATCH("Revenue",'Financials 財務數據'!$B$5:$B$19,0)))</f>
        <v>n/a</v>
      </c>
      <c r="C5" s="15" t="str">
        <f>IF(ISERROR(INDEX('Financials 財務數據'!$D$5:$D$19,MATCH("Gross Profit",'Financials 財務數據'!$B$5:$B$19,0))/INDEX('Financials 財務數據'!$D$5:$D$19,MATCH("Revenue",'Financials 財務數據'!$B$5:$B$19,0))),"n/a",INDEX('Financials 財務數據'!$D$5:$D$19,MATCH("Gross Profit",'Financials 財務數據'!$B$5:$B$19,0))/INDEX('Financials 財務數據'!$D$5:$D$19,MATCH("Revenue",'Financials 財務數據'!$B$5:$B$19,0)))</f>
        <v>n/a</v>
      </c>
      <c r="D5" s="2" t="inlineStr">
        <is>
          <t>毛利 ÷ 收入</t>
        </is>
      </c>
    </row>
    <row r="6">
      <c r="A6" s="4" t="inlineStr">
        <is>
          <t>Net Margin 淨利率</t>
        </is>
      </c>
      <c r="B6" s="15">
        <f>IF(ISERROR(INDEX('Financials 財務數據'!$C$5:$C$19,MATCH("Profit for the Year",'Financials 財務數據'!$B$5:$B$19,0))/INDEX('Financials 財務數據'!$C$5:$C$19,MATCH("Revenue",'Financials 財務數據'!$B$5:$B$19,0))),"n/a",INDEX('Financials 財務數據'!$C$5:$C$19,MATCH("Profit for the Year",'Financials 財務數據'!$B$5:$B$19,0))/INDEX('Financials 財務數據'!$C$5:$C$19,MATCH("Revenue",'Financials 財務數據'!$B$5:$B$19,0)))</f>
        <v>-0.0033874201591171955</v>
      </c>
      <c r="C6" s="15">
        <f>IF(ISERROR(INDEX('Financials 財務數據'!$D$5:$D$19,MATCH("Profit for the Year",'Financials 財務數據'!$B$5:$B$19,0))/INDEX('Financials 財務數據'!$D$5:$D$19,MATCH("Revenue",'Financials 財務數據'!$B$5:$B$19,0))),"n/a",INDEX('Financials 財務數據'!$D$5:$D$19,MATCH("Profit for the Year",'Financials 財務數據'!$B$5:$B$19,0))/INDEX('Financials 財務數據'!$D$5:$D$19,MATCH("Revenue",'Financials 財務數據'!$B$5:$B$19,0)))</f>
        <v>-0.01018059566398</v>
      </c>
      <c r="D6" s="2" t="inlineStr">
        <is>
          <t>年內溢利 ÷ 收入</t>
        </is>
      </c>
    </row>
    <row r="7">
      <c r="A7" s="4" t="inlineStr">
        <is>
          <t>Current Ratio 流動比率</t>
        </is>
      </c>
      <c r="B7" s="16">
        <f>IF(ISERROR(INDEX('Financials 財務數據'!$C$5:$C$19,MATCH("Total Current Assets",'Financials 財務數據'!$B$5:$B$19,0))/INDEX('Financials 財務數據'!$C$5:$C$19,MATCH("Total Current Liabilities",'Financials 財務數據'!$B$5:$B$19,0))),"n/a",INDEX('Financials 財務數據'!$C$5:$C$19,MATCH("Total Current Assets",'Financials 財務數據'!$B$5:$B$19,0))/INDEX('Financials 財務數據'!$C$5:$C$19,MATCH("Total Current Liabilities",'Financials 財務數據'!$B$5:$B$19,0)))</f>
        <v>0.9872936638493391</v>
      </c>
      <c r="C7" s="16">
        <f>IF(ISERROR(INDEX('Financials 財務數據'!$D$5:$D$19,MATCH("Total Current Assets",'Financials 財務數據'!$B$5:$B$19,0))/INDEX('Financials 財務數據'!$D$5:$D$19,MATCH("Total Current Liabilities",'Financials 財務數據'!$B$5:$B$19,0))),"n/a",INDEX('Financials 財務數據'!$D$5:$D$19,MATCH("Total Current Assets",'Financials 財務數據'!$B$5:$B$19,0))/INDEX('Financials 財務數據'!$D$5:$D$19,MATCH("Total Current Liabilities",'Financials 財務數據'!$B$5:$B$19,0)))</f>
        <v>1.0174892519346517</v>
      </c>
      <c r="D7" s="2" t="inlineStr">
        <is>
          <t>流動資產 ÷ 流動負債</t>
        </is>
      </c>
    </row>
    <row r="8">
      <c r="A8" s="4" t="inlineStr">
        <is>
          <t>Debt / Equity 負債權益比</t>
        </is>
      </c>
      <c r="B8" s="16" t="str">
        <f>IF(ISERROR(INDEX('Financials 財務數據'!$C$5:$C$19,MATCH("Total Liabilities",'Financials 財務數據'!$B$5:$B$19,0))/INDEX('Financials 財務數據'!$C$5:$C$19,MATCH("Total Equity",'Financials 財務數據'!$B$5:$B$19,0))),"n/a",INDEX('Financials 財務數據'!$C$5:$C$19,MATCH("Total Liabilities",'Financials 財務數據'!$B$5:$B$19,0))/INDEX('Financials 財務數據'!$C$5:$C$19,MATCH("Total Equity",'Financials 財務數據'!$B$5:$B$19,0)))</f>
        <v>n/a</v>
      </c>
      <c r="C8" s="16" t="str">
        <f>IF(ISERROR(INDEX('Financials 財務數據'!$D$5:$D$19,MATCH("Total Liabilities",'Financials 財務數據'!$B$5:$B$19,0))/INDEX('Financials 財務數據'!$D$5:$D$19,MATCH("Total Equity",'Financials 財務數據'!$B$5:$B$19,0))),"n/a",INDEX('Financials 財務數據'!$D$5:$D$19,MATCH("Total Liabilities",'Financials 財務數據'!$B$5:$B$19,0))/INDEX('Financials 財務數據'!$D$5:$D$19,MATCH("Total Equity",'Financials 財務數據'!$B$5:$B$19,0)))</f>
        <v>n/a</v>
      </c>
      <c r="D8" s="2" t="inlineStr">
        <is>
          <t>總負債 ÷ 總權益</t>
        </is>
      </c>
    </row>
    <row r="9">
      <c r="A9" s="4" t="inlineStr">
        <is>
          <t>Goodwill / Total Assets</t>
        </is>
      </c>
      <c r="B9" s="15" t="str">
        <f>IF(ISERROR(INDEX('Financials 財務數據'!$C$5:$C$19,MATCH("Goodwill",'Financials 財務數據'!$B$5:$B$19,0))/INDEX('Financials 財務數據'!$C$5:$C$19,MATCH("Total Assets",'Financials 財務數據'!$B$5:$B$19,0))),"n/a",INDEX('Financials 財務數據'!$C$5:$C$19,MATCH("Goodwill",'Financials 財務數據'!$B$5:$B$19,0))/INDEX('Financials 財務數據'!$C$5:$C$19,MATCH("Total Assets",'Financials 財務數據'!$B$5:$B$19,0)))</f>
        <v>n/a</v>
      </c>
      <c r="C9" s="15" t="str">
        <f>IF(ISERROR(INDEX('Financials 財務數據'!$D$5:$D$19,MATCH("Goodwill",'Financials 財務數據'!$B$5:$B$19,0))/INDEX('Financials 財務數據'!$D$5:$D$19,MATCH("Total Assets",'Financials 財務數據'!$B$5:$B$19,0))),"n/a",INDEX('Financials 財務數據'!$D$5:$D$19,MATCH("Goodwill",'Financials 財務數據'!$B$5:$B$19,0))/INDEX('Financials 財務數據'!$D$5:$D$19,MATCH("Total Assets",'Financials 財務數據'!$B$5:$B$19,0)))</f>
        <v>n/a</v>
      </c>
      <c r="D9" s="2" t="inlineStr">
        <is>
          <t>商譽佔總資產比重 — 減值風險指標</t>
        </is>
      </c>
    </row>
    <row r="10">
      <c r="A10" s="4" t="inlineStr">
        <is>
          <t>Intangibles / Total Assets</t>
        </is>
      </c>
      <c r="B10" s="15" t="str">
        <f>IF(ISERROR(INDEX('Financials 財務數據'!$C$5:$C$19,MATCH("Intangible Assets",'Financials 財務數據'!$B$5:$B$19,0))/INDEX('Financials 財務數據'!$C$5:$C$19,MATCH("Total Assets",'Financials 財務數據'!$B$5:$B$19,0))),"n/a",INDEX('Financials 財務數據'!$C$5:$C$19,MATCH("Intangible Assets",'Financials 財務數據'!$B$5:$B$19,0))/INDEX('Financials 財務數據'!$C$5:$C$19,MATCH("Total Assets",'Financials 財務數據'!$B$5:$B$19,0)))</f>
        <v>n/a</v>
      </c>
      <c r="C10" s="15" t="str">
        <f>IF(ISERROR(INDEX('Financials 財務數據'!$D$5:$D$19,MATCH("Intangible Assets",'Financials 財務數據'!$B$5:$B$19,0))/INDEX('Financials 財務數據'!$D$5:$D$19,MATCH("Total Assets",'Financials 財務數據'!$B$5:$B$19,0))),"n/a",INDEX('Financials 財務數據'!$D$5:$D$19,MATCH("Intangible Assets",'Financials 財務數據'!$B$5:$B$19,0))/INDEX('Financials 財務數據'!$D$5:$D$19,MATCH("Total Assets",'Financials 財務數據'!$B$5:$B$19,0)))</f>
        <v>n/a</v>
      </c>
      <c r="D10" s="2" t="inlineStr">
        <is>
          <t>無形資產佔比</t>
        </is>
      </c>
    </row>
    <row r="11">
      <c r="A11" s="4" t="inlineStr">
        <is>
          <t>ROE 股本回報率</t>
        </is>
      </c>
      <c r="B11" s="15">
        <f>IF(ISERROR(INDEX('Financials 財務數據'!$C$5:$C$19,MATCH("Profit for the Year",'Financials 財務數據'!$B$5:$B$19,0))/INDEX('Financials 財務數據'!$C$5:$C$19,MATCH("Total Equity",'Financials 財務數據'!$B$5:$B$19,0))),"n/a",INDEX('Financials 財務數據'!$C$5:$C$19,MATCH("Profit for the Year",'Financials 財務數據'!$B$5:$B$19,0))/INDEX('Financials 財務數據'!$C$5:$C$19,MATCH("Total Equity",'Financials 財務數據'!$B$5:$B$19,0)))</f>
        <v>-0.034825714554638725</v>
      </c>
      <c r="C11" s="15">
        <f>IF(ISERROR(INDEX('Financials 財務數據'!$D$5:$D$19,MATCH("Profit for the Year",'Financials 財務數據'!$B$5:$B$19,0))/INDEX('Financials 財務數據'!$D$5:$D$19,MATCH("Total Equity",'Financials 財務數據'!$B$5:$B$19,0))),"n/a",INDEX('Financials 財務數據'!$D$5:$D$19,MATCH("Profit for the Year",'Financials 財務數據'!$B$5:$B$19,0))/INDEX('Financials 財務數據'!$D$5:$D$19,MATCH("Total Equity",'Financials 財務數據'!$B$5:$B$19,0)))</f>
        <v>-0.10745806921233811</v>
      </c>
      <c r="D11" s="2" t="inlineStr">
        <is>
          <t>年內溢利 ÷ 總權益</t>
        </is>
      </c>
    </row>
    <row r="13">
      <c r="A13" s="2" t="inlineStr">
        <is>
          <t>顯示 "n/a" 表示該科目未在文件中成功擷取,需人手補入。</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inlineStr">
        <is>
          <t>本年 vs 上年 — 主要科目比較</t>
        </is>
      </c>
    </row>
    <row r="2">
      <c r="A2" s="2" t="inlineStr">
        <is>
          <t>港交所主板及 GEM 自 2024 年起均無強制季度報告,故以年度 / 中期數據作趨勢比較較符合披露實況。</t>
        </is>
      </c>
    </row>
    <row r="4">
      <c r="A4" s="17" t="inlineStr">
        <is>
          <t>Item</t>
        </is>
      </c>
      <c r="B4" s="17" t="inlineStr">
        <is>
          <t>Prior</t>
        </is>
      </c>
      <c r="C4" s="17" t="inlineStr">
        <is>
          <t>Current</t>
        </is>
      </c>
    </row>
    <row r="5">
      <c r="A5" s="4" t="inlineStr">
        <is>
          <t>Revenue</t>
        </is>
      </c>
      <c r="B5" s="18" t="n">
        <v>348015</v>
      </c>
      <c r="C5" s="18" t="n">
        <v>327683</v>
      </c>
    </row>
    <row r="6">
      <c r="A6" s="4" t="inlineStr">
        <is>
          <t>Profit Before Tax</t>
        </is>
      </c>
      <c r="B6" s="18" t="n">
        <v>-4100</v>
      </c>
      <c r="C6" s="18" t="n">
        <v>-566</v>
      </c>
    </row>
    <row r="7">
      <c r="A7" s="4" t="inlineStr">
        <is>
          <t>Profit for the Year</t>
        </is>
      </c>
      <c r="B7" s="18" t="n">
        <v>-3543</v>
      </c>
      <c r="C7" s="18" t="n">
        <v>-1110</v>
      </c>
    </row>
    <row r="8">
      <c r="A8" s="4" t="inlineStr">
        <is>
          <t>Total Equity</t>
        </is>
      </c>
      <c r="B8" s="18" t="n">
        <v>32971</v>
      </c>
      <c r="C8" s="18" t="n">
        <v>31873</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F38"/>
  <sheetViews>
    <sheetView workbookViewId="0">
      <pane ySplit="3" topLeftCell="A4" activePane="bottomLeft" state="frozen"/>
      <selection pane="bottomLeft" activeCell="A1" sqref="A1"/>
    </sheetView>
  </sheetViews>
  <sheetFormatPr baseColWidth="8" defaultRowHeight="15"/>
  <cols>
    <col width="28" customWidth="1" min="1" max="1"/>
    <col width="20" customWidth="1" min="2" max="2"/>
    <col width="10" customWidth="1" min="3" max="3"/>
    <col width="20" customWidth="1" min="4" max="4"/>
    <col width="20" customWidth="1" min="5" max="5"/>
    <col width="100" customWidth="1" min="6" max="6"/>
  </cols>
  <sheetData>
    <row r="1">
      <c r="A1" s="1" t="inlineStr">
        <is>
          <t>主題式段落擷取 — 供估值師快速定位原文</t>
        </is>
      </c>
    </row>
    <row r="3">
      <c r="A3" s="7" t="inlineStr">
        <is>
          <t>主題 Topic</t>
        </is>
      </c>
      <c r="B3" s="7" t="inlineStr">
        <is>
          <t>中文</t>
        </is>
      </c>
      <c r="C3" s="7" t="inlineStr">
        <is>
          <t>優先</t>
        </is>
      </c>
      <c r="D3" s="7" t="inlineStr">
        <is>
          <t>命中詞</t>
        </is>
      </c>
      <c r="E3" s="7" t="inlineStr">
        <is>
          <t>來源頁</t>
        </is>
      </c>
      <c r="F3" s="7" t="inlineStr">
        <is>
          <t>段落 Snippet</t>
        </is>
      </c>
    </row>
    <row r="4">
      <c r="A4" s="8" t="inlineStr">
        <is>
          <t>Fair Value Measurement</t>
        </is>
      </c>
      <c r="B4" s="8" t="inlineStr">
        <is>
          <t>公允價值計量</t>
        </is>
      </c>
      <c r="C4" s="19" t="inlineStr">
        <is>
          <t>high</t>
        </is>
      </c>
      <c r="D4" s="11" t="inlineStr">
        <is>
          <t>fair value hierarchy</t>
        </is>
      </c>
      <c r="E4" s="11" t="inlineStr">
        <is>
          <t>PDF p.125 (印刷頁 124)</t>
        </is>
      </c>
      <c r="F4" s="11" t="inlineStr">
        <is>
          <t>ting the fair value, the Group uses market-observable data to the extent it is available. Fair values are categorised into different fair value hierarchy based on the inputs used in the valuation techniques as follows: Level 1 — fair value measurements are those derived from quoted prices (unadjusted) in active markets for identical assets and liabilities. Level 2 — fair value measurements are those derived from inputs other than quoted prices included within Level 1 that are observable for the asset or liabilities, either dire</t>
        </is>
      </c>
    </row>
    <row r="5">
      <c r="A5" s="8" t="inlineStr">
        <is>
          <t>Impairment Testing</t>
        </is>
      </c>
      <c r="B5" s="8" t="inlineStr">
        <is>
          <t>減值測試</t>
        </is>
      </c>
      <c r="C5" s="19" t="inlineStr">
        <is>
          <t>high</t>
        </is>
      </c>
      <c r="D5" s="11" t="inlineStr">
        <is>
          <t>impairment loss</t>
        </is>
      </c>
      <c r="E5" s="11" t="inlineStr">
        <is>
          <t>PDF p.51 (印刷頁 50)</t>
        </is>
      </c>
      <c r="F5" s="11" t="inlineStr">
        <is>
          <t>he management estimates the ECL allowance involvement of significant management judgements in for trade receivables; determining the impairment loss under the expected credit loss (“ECL”) model for the Group’s trade • Testing the integrity of information used by receivables. management to develop the grouping in collective basis, including trade receivables aging analysis As disclosed in Note 20 to the consolidated financial as at 31 March 2026, on a sample basis, by statements, the Group’s net trade receivables comparing indiv</t>
        </is>
      </c>
    </row>
    <row r="6">
      <c r="A6" s="8" t="inlineStr">
        <is>
          <t>Impairment Testing</t>
        </is>
      </c>
      <c r="B6" s="8" t="inlineStr">
        <is>
          <t>減值測試</t>
        </is>
      </c>
      <c r="C6" s="19" t="inlineStr">
        <is>
          <t>high</t>
        </is>
      </c>
      <c r="D6" s="11" t="inlineStr">
        <is>
          <t>recoverable amount</t>
        </is>
      </c>
      <c r="E6" s="11" t="inlineStr">
        <is>
          <t>PDF p.52 (印刷頁 51)</t>
        </is>
      </c>
      <c r="F6" s="11" t="inlineStr">
        <is>
          <t>ght-of-use assets key audit matter due to the significant management included: judgements and estimation involved in determining the recoverable amounts of property, plant and equipment • Obtaining an understanding of the key controls and right-of-use assets. on how the management performs the impairment assessment of property, plant and equipment and As at 31 March 2026, management of the Group right-of-use assets; performed an impairment assessment for property, plant and equipment and right-of-use assets due to the • Evaluat</t>
        </is>
      </c>
    </row>
    <row r="7">
      <c r="A7" s="8" t="inlineStr">
        <is>
          <t>Impairment Testing</t>
        </is>
      </c>
      <c r="B7" s="8" t="inlineStr">
        <is>
          <t>減值測試</t>
        </is>
      </c>
      <c r="C7" s="19" t="inlineStr">
        <is>
          <t>high</t>
        </is>
      </c>
      <c r="D7" s="11" t="inlineStr">
        <is>
          <t>impairment loss</t>
        </is>
      </c>
      <c r="E7" s="11" t="inlineStr">
        <is>
          <t>PDF p.56 (印刷頁 55)</t>
        </is>
      </c>
      <c r="F7" s="11" t="inlineStr">
        <is>
          <t>48) Dispatch labour costs (105,072) (124,778) Transportation costs (133,883) (134,012) Warehousing operating costs (22,092) (28,113) Impairment losses under expected credit loss model, net (3) (45) Depreciation of property, plant and equipment 16 (5,314) (6,127) Depreciation of right-of-use assets 17 (9,127) (7,211) Other expenses (6,266) (5,493) Finance costs 9 (2,154) (2,064) Share of results of an associate (6) (13) Loss before tax (566) (4,100) Income tax (expense) credit 10 (544) 557 Loss for the year attributable to equit</t>
        </is>
      </c>
    </row>
    <row r="8">
      <c r="A8" s="8" t="inlineStr">
        <is>
          <t>Impairment Testing</t>
        </is>
      </c>
      <c r="B8" s="8" t="inlineStr">
        <is>
          <t>減值測試</t>
        </is>
      </c>
      <c r="C8" s="19" t="inlineStr">
        <is>
          <t>high</t>
        </is>
      </c>
      <c r="D8" s="11" t="inlineStr">
        <is>
          <t>impairment loss</t>
        </is>
      </c>
      <c r="E8" s="11" t="inlineStr">
        <is>
          <t>PDF p.60 (印刷頁 59)</t>
        </is>
      </c>
      <c r="F8" s="11" t="inlineStr">
        <is>
          <t>ts 9,127 7,211 Finance costs 2,154 2,064 Dividend income from financial assets at fair value through profit or loss (“FVTPL”) — (29) Impairment loss under expected credit loss model, net 3 45 Loss (gain) on change in fair value of financial assets at FVTPL, net 552 (356) Loss on disposal of property, plant and equipment 1,271 179 Net gain on termination of lease — (23) Share of results of an associate 6 13 Operating cash flows before movements in working capital 17,644 10,871 Increase in trade and other receivables (7,815) (1,1</t>
        </is>
      </c>
    </row>
    <row r="9">
      <c r="A9" s="8" t="inlineStr">
        <is>
          <t>Impairment Testing</t>
        </is>
      </c>
      <c r="B9" s="8" t="inlineStr">
        <is>
          <t>減值測試</t>
        </is>
      </c>
      <c r="C9" s="19" t="inlineStr">
        <is>
          <t>high</t>
        </is>
      </c>
      <c r="D9" s="11" t="inlineStr">
        <is>
          <t>impairment loss</t>
        </is>
      </c>
      <c r="E9" s="11" t="inlineStr">
        <is>
          <t>PDF p.66 (印刷頁 65)</t>
        </is>
      </c>
      <c r="F9" s="11" t="inlineStr">
        <is>
          <t>set by comparing its recoverable amount (higher of value in use and fair value less costs of disposal) with its carrying amount. Any impairment loss recognised is not allocated to any asset, including goodwill, that forms part of the carrying amount of the investment. Any reversal of that impairment loss is recognised in accordance with HKAS 36 to the extent that the recoverable amount of the investment subsequently increases. When the Group ceases to have significant influence over an associate, it is accounted for as a dispos</t>
        </is>
      </c>
    </row>
    <row r="10">
      <c r="A10" s="8" t="inlineStr">
        <is>
          <t>Impairment Testing</t>
        </is>
      </c>
      <c r="B10" s="8" t="inlineStr">
        <is>
          <t>減值測試</t>
        </is>
      </c>
      <c r="C10" s="19" t="inlineStr">
        <is>
          <t>high</t>
        </is>
      </c>
      <c r="D10" s="11" t="inlineStr">
        <is>
          <t>impairment loss</t>
        </is>
      </c>
      <c r="E10" s="11" t="inlineStr">
        <is>
          <t>PDF p.67 (印刷頁 66)</t>
        </is>
      </c>
      <c r="F10" s="11" t="inlineStr">
        <is>
          <t>n required by the terms and conditions of the lease. Right-of-use assets are measured at cost, less any accumulated depreciation and impairment losses, and adjusted for any remeasurement of lease liabilities. Right-of-use assets in which the Group is reasonably certain to obtain ownership of the underlying leased assets at the end of the lease term are depreciated from commencement date to the end of the useful life. Otherwise, right-of-use assets are depreciated on a straight-line basis over the shorter of its estimated useful</t>
        </is>
      </c>
    </row>
    <row r="11">
      <c r="A11" s="8" t="inlineStr">
        <is>
          <t>Impairment Testing</t>
        </is>
      </c>
      <c r="B11" s="8" t="inlineStr">
        <is>
          <t>減值測試</t>
        </is>
      </c>
      <c r="C11" s="19" t="inlineStr">
        <is>
          <t>high</t>
        </is>
      </c>
      <c r="D11" s="11" t="inlineStr">
        <is>
          <t>impairment loss</t>
        </is>
      </c>
      <c r="E11" s="11" t="inlineStr">
        <is>
          <t>PDF p.68 (印刷頁 67)</t>
        </is>
      </c>
      <c r="F11" s="11" t="inlineStr">
        <is>
          <t>se term, upon exercising purchase options, the cost of the relevant right-of-use assets and the related accumulated depreciation and impairment loss are transferred to property, plant and equipment. The Group presents right-of-use assets (other than a commercial unit for own use which is included in the Group’s property, plant and equipment) as a separate line item on the consolidated statement of financial position. Refundable rental deposits Refundable rental deposits paid are accounted under HKFRS 9 and initially measured at</t>
        </is>
      </c>
    </row>
    <row r="12">
      <c r="A12" s="8" t="inlineStr">
        <is>
          <t>Impairment Testing</t>
        </is>
      </c>
      <c r="B12" s="8" t="inlineStr">
        <is>
          <t>減值測試</t>
        </is>
      </c>
      <c r="C12" s="19" t="inlineStr">
        <is>
          <t>high</t>
        </is>
      </c>
      <c r="D12" s="11" t="inlineStr">
        <is>
          <t>impairment loss</t>
        </is>
      </c>
      <c r="E12" s="11" t="inlineStr">
        <is>
          <t>PDF p.75 (印刷頁 74)</t>
        </is>
      </c>
      <c r="F12" s="11" t="inlineStr">
        <is>
          <t>ted in the consolidated statements of financial position at cost less subsequent accumulated depreciation and subsequent accumulated impairment losses, if any. When the Group makes payments for ownership interests of properties which includes both leasehold land and building elements, the entire consideration is allocated between the leasehold land and the building elements in proportion to the relative fair values at initial recognition. To the extent the allocation of the relevant payments can be made reliably, interest in le</t>
        </is>
      </c>
    </row>
    <row r="13">
      <c r="A13" s="8" t="inlineStr">
        <is>
          <t>Impairment Testing</t>
        </is>
      </c>
      <c r="B13" s="8" t="inlineStr">
        <is>
          <t>減值測試</t>
        </is>
      </c>
      <c r="C13" s="19" t="inlineStr">
        <is>
          <t>high</t>
        </is>
      </c>
      <c r="D13" s="11" t="inlineStr">
        <is>
          <t>impairment loss</t>
        </is>
      </c>
      <c r="E13" s="11" t="inlineStr">
        <is>
          <t>PDF p.76 (印刷頁 75)</t>
        </is>
      </c>
      <c r="F13" s="11" t="inlineStr">
        <is>
          <t>ocated to that group of cash-generating units, with the recoverable amount of the group of cashgenerating units. In allocating the impairment loss, the impairment loss is allocated first to reduce the carrying amount of any goodwill (if applicable) and then to the other assets on a pro-rata basis based on the carrying amount of each asset in the unit or the group of cash-generating units. The carrying amount of an asset is not reduced below the highest of its fair value less costs of disposal (if measurable), its value in use</t>
        </is>
      </c>
    </row>
    <row r="14">
      <c r="A14" s="8" t="inlineStr">
        <is>
          <t>Impairment Testing</t>
        </is>
      </c>
      <c r="B14" s="8" t="inlineStr">
        <is>
          <t>減值測試</t>
        </is>
      </c>
      <c r="C14" s="19" t="inlineStr">
        <is>
          <t>high</t>
        </is>
      </c>
      <c r="D14" s="11" t="inlineStr">
        <is>
          <t>recoverable amount</t>
        </is>
      </c>
      <c r="E14" s="11" t="inlineStr">
        <is>
          <t>PDF p.86 (印刷頁 85)</t>
        </is>
      </c>
      <c r="F14" s="11" t="inlineStr">
        <is>
          <t>xercise judgement and make estimation, particularly in assessing whether an event has occurred or any indicators that may affect the recoverable amount of the assets. During the year ended 31 March 2026, the Group incurred net loss during the year and management of the Group concluded there was indication for impairment and conducted impairment assessment on recoverable amounts of the property, plant and equipment and right-of-use assets with carrying amounts of HK$21,066,000 and HK$53,538,000, as set out in Notes 16 and 17, re</t>
        </is>
      </c>
    </row>
    <row r="15">
      <c r="A15" s="8" t="inlineStr">
        <is>
          <t>Impairment Testing</t>
        </is>
      </c>
      <c r="B15" s="8" t="inlineStr">
        <is>
          <t>減值測試</t>
        </is>
      </c>
      <c r="C15" s="19" t="inlineStr">
        <is>
          <t>high</t>
        </is>
      </c>
      <c r="D15" s="11" t="inlineStr">
        <is>
          <t>impairment loss</t>
        </is>
      </c>
      <c r="E15" s="11" t="inlineStr">
        <is>
          <t>PDF p.87 (印刷頁 86)</t>
        </is>
      </c>
      <c r="F15" s="11" t="inlineStr">
        <is>
          <t>to impairment assessment were HK$21,066,000 and HK$53,538,000 (2025: HK$26,039,000 and HK$15,035,000) respectively, and there is no impairment loss identified during the year ended 31 March 2026. Details of property, plant and equipment and right-of-use assets are disclosed in Notes 16 and 17, respectively. Provision of ECL for trade receivables Trade receivables with significant balances and credit-impaired are assessed for ECL individually. In addition, the Group uses practical expedient in estimating ECL on trade receivable</t>
        </is>
      </c>
    </row>
    <row r="16">
      <c r="A16" s="8" t="inlineStr">
        <is>
          <t>Impairment Testing</t>
        </is>
      </c>
      <c r="B16" s="8" t="inlineStr">
        <is>
          <t>減值測試</t>
        </is>
      </c>
      <c r="C16" s="19" t="inlineStr">
        <is>
          <t>high</t>
        </is>
      </c>
      <c r="D16" s="11" t="inlineStr">
        <is>
          <t>recoverable amount</t>
        </is>
      </c>
      <c r="E16" s="11" t="inlineStr">
        <is>
          <t>PDF p.98 (印刷頁 97)</t>
        </is>
      </c>
      <c r="F16" s="11" t="inlineStr">
        <is>
          <t>ss during the year. The management of the Group concluded there was indication for impairment and conducted impairment assessment on recoverable amounts of the property, plant and equipment and right-of-use assets with carrying amounts of HK$21,066,000 and HK$53,538,000 (Note 17), respectively (2025: HK$26,039,000 and HK$15,035,000). The recoverable amounts of the property, plant and equipment and right-of-use assets are determined based on the value in use calculation of the cash-generating unit to which the assets belong. The</t>
        </is>
      </c>
    </row>
    <row r="17">
      <c r="A17" s="8" t="inlineStr">
        <is>
          <t>Impairment Testing</t>
        </is>
      </c>
      <c r="B17" s="8" t="inlineStr">
        <is>
          <t>減值測試</t>
        </is>
      </c>
      <c r="C17" s="19" t="inlineStr">
        <is>
          <t>high</t>
        </is>
      </c>
      <c r="D17" s="11" t="inlineStr">
        <is>
          <t>impairment loss</t>
        </is>
      </c>
      <c r="E17" s="11" t="inlineStr">
        <is>
          <t>PDF p.99 (印刷頁 98)</t>
        </is>
      </c>
      <c r="F17" s="11" t="inlineStr">
        <is>
          <t>management of the Group determined that the recoverable amounts of the cash-generating unit are higher than its carrying amounts. No impairment losses have been recognised for both years. If there is a significant adverse change in the key assumptions, it may be necessary to have an impairment charge to the consolidated statement of profit or loss and other comprehensive income. With all other variables held constant, if the revenue derived is 1.5% (2025: 1.5%) less than management’s expectation throughout the operating period,</t>
        </is>
      </c>
    </row>
    <row r="18">
      <c r="A18" s="8" t="inlineStr">
        <is>
          <t>Impairment Testing</t>
        </is>
      </c>
      <c r="B18" s="8" t="inlineStr">
        <is>
          <t>減值測試</t>
        </is>
      </c>
      <c r="C18" s="19" t="inlineStr">
        <is>
          <t>high</t>
        </is>
      </c>
      <c r="D18" s="11" t="inlineStr">
        <is>
          <t>impairment test</t>
        </is>
      </c>
      <c r="E18" s="11" t="inlineStr">
        <is>
          <t>PDF p.100 (印刷頁 99)</t>
        </is>
      </c>
      <c r="F18" s="11" t="inlineStr">
        <is>
          <t>e motor vehicles, which is estimated to be ten years based on the experience of the Group with similar assets. Particulars regarding impairment testing of right-of-use assets are set out in Note 16. Motor Office vehicles premises Warehouses Machinery Total HK$’000 HK$’000 HK$’000 HK$’000 HK$’000 As at 31 March 2026 Carrying amount 8,501 3,171 41,866 — 53,538 As at 31 March 2025 Carrying amount 8,908 4,967 1,160 — 15,035 For the year ended 31 March 2026 Depreciation charge 1,249 1,828 6,050 — 9,127 For the year ended 31 March 20</t>
        </is>
      </c>
    </row>
    <row r="19">
      <c r="A19" s="8" t="inlineStr">
        <is>
          <t>Impairment Testing</t>
        </is>
      </c>
      <c r="B19" s="8" t="inlineStr">
        <is>
          <t>減值測試</t>
        </is>
      </c>
      <c r="C19" s="19" t="inlineStr">
        <is>
          <t>high</t>
        </is>
      </c>
      <c r="D19" s="11" t="inlineStr">
        <is>
          <t>impairment loss</t>
        </is>
      </c>
      <c r="E19" s="11" t="inlineStr">
        <is>
          <t>PDF p.120 (印刷頁 119)</t>
        </is>
      </c>
      <c r="F19" s="11" t="inlineStr">
        <is>
          <t>t 1 April 2024 448 464 912 Changes due to financial instruments recognise as at 1 April 2024 — Transfer to credit-impaired (3) 3 — — Impairment losses reversed (445) (150) (595) — Write-offs — (274) (274) New financial assets originated or purchased 333 107 440 As at 31 March 2025 333 150 483 Changes due to financial instruments recognise as at 1 April 2025 — Transfer to credit-impaired (30) 30 — — Impairment losses reversed (303) — (303) — Write-offs — (30) (30) New financial assets originated or purchased 303 3 306 As at 31 M</t>
        </is>
      </c>
    </row>
    <row r="20">
      <c r="A20" s="8" t="inlineStr">
        <is>
          <t>Intangible Assets &amp; Goodwill</t>
        </is>
      </c>
      <c r="B20" s="8" t="inlineStr">
        <is>
          <t>無形資產及商譽</t>
        </is>
      </c>
      <c r="C20" s="19" t="inlineStr">
        <is>
          <t>high</t>
        </is>
      </c>
      <c r="D20" s="11" t="inlineStr">
        <is>
          <t>customer relationship</t>
        </is>
      </c>
      <c r="E20" s="11" t="inlineStr">
        <is>
          <t>PDF p.6 (印刷頁 5)</t>
        </is>
      </c>
      <c r="F20" s="11" t="inlineStr">
        <is>
          <t>stics infrastructure provided further opportunities for logistics service providers with strong execution capability and established customer relationships. In response to these challenges and opportunities, the Group remained focused on operational excellence, customer satisfaction and cost discipline. We continued to enhance our operating efficiency, optimise manpower and transportation arrangements, and maintain close communication with our customers and service providers. By leveraging our experience in air cargo ground han</t>
        </is>
      </c>
    </row>
    <row r="21">
      <c r="A21" s="8" t="inlineStr">
        <is>
          <t>Intangible Assets &amp; Goodwill</t>
        </is>
      </c>
      <c r="B21" s="8" t="inlineStr">
        <is>
          <t>無形資產及商譽</t>
        </is>
      </c>
      <c r="C21" s="19" t="inlineStr">
        <is>
          <t>high</t>
        </is>
      </c>
      <c r="D21" s="11" t="inlineStr">
        <is>
          <t>customer relationship</t>
        </is>
      </c>
      <c r="E21" s="11" t="inlineStr">
        <is>
          <t>PDF p.8 (印刷頁 7)</t>
        </is>
      </c>
      <c r="F21" s="11" t="inlineStr">
        <is>
          <t>ing services, warehousing and logistics operations, the Group will remain focused on enhancing operational efficiency, strengthening customer relationships and adapting to changing market dynamics in order to support its long-term development and create sustainable value for shareholders. FINANCIAL REVIEW Our Group’s revenue was principally generated from (i) air cargo terminal operation services; (ii) transportation services; and (iii) warehousing and value-added services. We provide our services to (i) express carriers; (ii)</t>
        </is>
      </c>
    </row>
    <row r="22">
      <c r="A22" s="8" t="inlineStr">
        <is>
          <t>Intangible Assets &amp; Goodwill</t>
        </is>
      </c>
      <c r="B22" s="8" t="inlineStr">
        <is>
          <t>無形資產及商譽</t>
        </is>
      </c>
      <c r="C22" s="19" t="inlineStr">
        <is>
          <t>high</t>
        </is>
      </c>
      <c r="D22" s="11" t="inlineStr">
        <is>
          <t>goodwill</t>
        </is>
      </c>
      <c r="E22" s="11" t="inlineStr">
        <is>
          <t>PDF p.65 (印刷頁 64)</t>
        </is>
      </c>
      <c r="F22" s="11" t="inlineStr">
        <is>
          <t>investment over the Group’s share of the net fair value of the identifiable assets and liabilities of the investee is recognised as goodwill, which is included within the carrying amount of the investment. Any excess of the Group’s share of the net fair value of the identifiable assets and liabilities over the cost of the investment, after reassessment, is recognised immediately in profit or loss in the period in which the investment is acquired. 64 Asia-express Logistics Holdings Limited Annual Report 2026</t>
        </is>
      </c>
    </row>
    <row r="23">
      <c r="A23" s="8" t="inlineStr">
        <is>
          <t>Intangible Assets &amp; Goodwill</t>
        </is>
      </c>
      <c r="B23" s="8" t="inlineStr">
        <is>
          <t>無形資產及商譽</t>
        </is>
      </c>
      <c r="C23" s="19" t="inlineStr">
        <is>
          <t>high</t>
        </is>
      </c>
      <c r="D23" s="11" t="inlineStr">
        <is>
          <t>goodwill</t>
        </is>
      </c>
      <c r="E23" s="11" t="inlineStr">
        <is>
          <t>PDF p.66 (印刷頁 65)</t>
        </is>
      </c>
      <c r="F23" s="11" t="inlineStr">
        <is>
          <t>nterest in an associate may be impaired. When any objective evidence exists, the entire carrying amount of the investment (including goodwill) is tested for impairment in accordance with HKAS 36 as a single asset by comparing its recoverable amount (higher of value in use and fair value less costs of disposal) with its carrying amount. Any impairment loss recognised is not allocated to any asset, including goodwill, that forms part of the carrying amount of the investment. Any reversal of that impairment loss is recognised in a</t>
        </is>
      </c>
    </row>
    <row r="24">
      <c r="A24" s="8" t="inlineStr">
        <is>
          <t>Intangible Assets &amp; Goodwill</t>
        </is>
      </c>
      <c r="B24" s="8" t="inlineStr">
        <is>
          <t>無形資產及商譽</t>
        </is>
      </c>
      <c r="C24" s="19" t="inlineStr">
        <is>
          <t>high</t>
        </is>
      </c>
      <c r="D24" s="11" t="inlineStr">
        <is>
          <t>useful life</t>
        </is>
      </c>
      <c r="E24" s="11" t="inlineStr">
        <is>
          <t>PDF p.67 (印刷頁 66)</t>
        </is>
      </c>
      <c r="F24" s="11" t="inlineStr">
        <is>
          <t>tain ownership of the underlying leased assets at the end of the lease term are depreciated from commencement date to the end of the useful life. Otherwise, right-of-use assets are depreciated on a straight-line basis over the shorter of its estimated useful life and the lease term. 66 Asia-express Logistics Holdings Limited Annual Report 2026</t>
        </is>
      </c>
    </row>
    <row r="25">
      <c r="A25" s="8" t="inlineStr">
        <is>
          <t>Intangible Assets &amp; Goodwill</t>
        </is>
      </c>
      <c r="B25" s="8" t="inlineStr">
        <is>
          <t>無形資產及商譽</t>
        </is>
      </c>
      <c r="C25" s="19" t="inlineStr">
        <is>
          <t>high</t>
        </is>
      </c>
      <c r="D25" s="11" t="inlineStr">
        <is>
          <t>goodwill</t>
        </is>
      </c>
      <c r="E25" s="11" t="inlineStr">
        <is>
          <t>PDF p.76 (印刷頁 75)</t>
        </is>
      </c>
      <c r="F25" s="11" t="inlineStr">
        <is>
          <t>shgenerating units. In allocating the impairment loss, the impairment loss is allocated first to reduce the carrying amount of any goodwill (if applicable) and then to the other assets on a pro-rata basis based on the carrying amount of each asset in the unit or the group of cash-generating units. The carrying amount of an asset is not reduced below the highest of its fair value less costs of disposal (if measurable), its value in use (if determinable) and zero. The amount of the impairment loss that would otherwise have been</t>
        </is>
      </c>
    </row>
    <row r="26">
      <c r="A26" s="8" t="inlineStr">
        <is>
          <t>Intangible Assets &amp; Goodwill</t>
        </is>
      </c>
      <c r="B26" s="8" t="inlineStr">
        <is>
          <t>無形資產及商譽</t>
        </is>
      </c>
      <c r="C26" s="19" t="inlineStr">
        <is>
          <t>high</t>
        </is>
      </c>
      <c r="D26" s="11" t="inlineStr">
        <is>
          <t>useful life</t>
        </is>
      </c>
      <c r="E26" s="11" t="inlineStr">
        <is>
          <t>PDF p.100 (印刷頁 99)</t>
        </is>
      </c>
      <c r="F26" s="11" t="inlineStr">
        <is>
          <t>exercised at the end of the lease terms, the Group depreciates the right-of-use assets from the commencement date to the end of the useful life of the motor vehicles, which is estimated to be ten years based on the experience of the Group with similar assets. Particulars regarding impairment testing of right-of-use assets are set out in Note 16. Motor Office vehicles premises Warehouses Machinery Total HK$’000 HK$’000 HK$’000 HK$’000 HK$’000 As at 31 March 2026 Carrying amount 8,501 3,171 41,866 — 53,538 As at 31 March 2025 Ca</t>
        </is>
      </c>
    </row>
    <row r="27">
      <c r="A27" s="8" t="inlineStr">
        <is>
          <t>Intangible Assets &amp; Goodwill</t>
        </is>
      </c>
      <c r="B27" s="8" t="inlineStr">
        <is>
          <t>無形資產及商譽</t>
        </is>
      </c>
      <c r="C27" s="19" t="inlineStr">
        <is>
          <t>high</t>
        </is>
      </c>
      <c r="D27" s="11" t="inlineStr">
        <is>
          <t>useful life</t>
        </is>
      </c>
      <c r="E27" s="11" t="inlineStr">
        <is>
          <t>PDF p.101 (印刷頁 100)</t>
        </is>
      </c>
      <c r="F27" s="11" t="inlineStr">
        <is>
          <t>property, plant and equipment 923 6,179 The above right-of-use assets are depreciated on a straight-line basis over their estimated useful life or lease term as follows: Motor vehicles 8 to 10 years Office premises and warehouses Over the lease terms of 2 to 6 years Machinery Over the lease terms of nineteen months to 2 years Restrictions or covenants on leases In addition, lease liabilities of HK$49,650,000 (2025: HK$14,448,000) were recognised with related right-of-use assets of HK$53,538,000 (2025: HK$15,035,000) as at 31 M</t>
        </is>
      </c>
    </row>
    <row r="28">
      <c r="A28" s="8" t="inlineStr">
        <is>
          <t>Investment Properties</t>
        </is>
      </c>
      <c r="B28" s="8" t="inlineStr">
        <is>
          <t>投資物業</t>
        </is>
      </c>
      <c r="C28" s="19" t="inlineStr">
        <is>
          <t>high</t>
        </is>
      </c>
      <c r="D28" s="11" t="inlineStr">
        <is>
          <t>market rent</t>
        </is>
      </c>
      <c r="E28" s="11" t="inlineStr">
        <is>
          <t>PDF p.69 (印刷頁 68)</t>
        </is>
      </c>
      <c r="F28" s="11" t="inlineStr">
        <is>
          <t>the revised lease payments using a revised discount rate at the date of reassessment. • the lease payments change due to changes in market rental rates following a market rent review/ expected payment under a guaranteed residual value, in which cases the related lease liability is remeasured by discounting the revised lease payments using the initial discount rate. • a lease contract is modified and the lease modification is not accounted for as a separate lease (see below for the accounting policy for “lease modifications”).</t>
        </is>
      </c>
    </row>
    <row r="29">
      <c r="A29" s="8" t="inlineStr">
        <is>
          <t>ESG Data</t>
        </is>
      </c>
      <c r="B29" s="8" t="inlineStr">
        <is>
          <t>環境社會及管治數據</t>
        </is>
      </c>
      <c r="C29" s="8" t="inlineStr">
        <is>
          <t>medium</t>
        </is>
      </c>
      <c r="D29" s="11" t="inlineStr">
        <is>
          <t>sustainability</t>
        </is>
      </c>
      <c r="E29" s="11" t="inlineStr">
        <is>
          <t>PDF p.8 (印刷頁 7)</t>
        </is>
      </c>
      <c r="F29" s="11" t="inlineStr">
        <is>
          <t>to a temporary easing of trade tensions, the global trading environment remains uncertain and subject to rapid changes. The pace and sustainability of any recovery in the logistics sector will continue to depend on a number of factors, including global economic conditions, tariff policies, supply chain adjustments and international trade flows. Such uncertainties may continue to affect investor confidence, supply chain strategies and overall market demand. Despite the volatile operating environment, the Group remains cautiously</t>
        </is>
      </c>
    </row>
    <row r="30">
      <c r="A30" s="8" t="inlineStr">
        <is>
          <t>ESG Data</t>
        </is>
      </c>
      <c r="B30" s="8" t="inlineStr">
        <is>
          <t>環境社會及管治數據</t>
        </is>
      </c>
      <c r="C30" s="8" t="inlineStr">
        <is>
          <t>medium</t>
        </is>
      </c>
      <c r="D30" s="11" t="inlineStr">
        <is>
          <t>energy consumption</t>
        </is>
      </c>
      <c r="E30" s="11" t="inlineStr">
        <is>
          <t>PDF p.49 (印刷頁 48)</t>
        </is>
      </c>
      <c r="F30" s="11" t="inlineStr">
        <is>
          <t>e consumption of energy and natural resources. These practices include the use of energy-saving lightings and recycled paper, reduce energy consumption by switching off idle lightings, computers and electrical appliances and the use of environmentally friendly products whenever possible. AUDITOR Moore CPA Limited has resigned as the auditor of the Company on 17 December 2025 and Wilson &amp; Partners CPA Limited was appointed as the auditor on 17 December 2025. The consolidated financial statements of the Group for the year ended 3</t>
        </is>
      </c>
    </row>
    <row r="31">
      <c r="A31" s="8" t="inlineStr">
        <is>
          <t>Segment Information</t>
        </is>
      </c>
      <c r="B31" s="8" t="inlineStr">
        <is>
          <t>分部資料</t>
        </is>
      </c>
      <c r="C31" s="8" t="inlineStr">
        <is>
          <t>medium</t>
        </is>
      </c>
      <c r="D31" s="11" t="inlineStr">
        <is>
          <t>geographical</t>
        </is>
      </c>
      <c r="E31" s="11" t="inlineStr">
        <is>
          <t>PDF p.88 (印刷頁 87)</t>
        </is>
      </c>
      <c r="F31" s="11" t="inlineStr">
        <is>
          <t>ry delivery 36,997 30,718 Transportation services 131,505 96,554 Warehousing and value-added services 64,524 125,195 327,683 348,015 Geographical markets Hong Kong 317,353 340,266 The PRC 10,330 7,749 327,683 348,015 Timing of revenue recognition Over time 327,683 348,015 (ii) Performance obligations for contracts with customers and revenue recognition policies Income from air cargo terminal operation services, transportation services and warehousing and other value-added services The Group provides air cargo terminal operation</t>
        </is>
      </c>
    </row>
    <row r="32">
      <c r="A32" s="8" t="inlineStr">
        <is>
          <t>Segment Information</t>
        </is>
      </c>
      <c r="B32" s="8" t="inlineStr">
        <is>
          <t>分部資料</t>
        </is>
      </c>
      <c r="C32" s="8" t="inlineStr">
        <is>
          <t>medium</t>
        </is>
      </c>
      <c r="D32" s="11" t="inlineStr">
        <is>
          <t>operating segment</t>
        </is>
      </c>
      <c r="E32" s="11" t="inlineStr">
        <is>
          <t>PDF p.89 (印刷頁 88)</t>
        </is>
      </c>
      <c r="F32" s="11" t="inlineStr">
        <is>
          <t>NOTES TO THE CONSOLIDATED FINANCIAL STATEMENTS (Continued) For the year ended 31 March 2026 6. OPERATING SEGMENTS Information reported to the executive directors, being the chief operating decision maker (“CODM”), for the purposes of resource allocation and assessment focuses on revenue analysis by services. For management purpose, the Group operates in one business unit based on its services and its sole operating segment is the provision of air-cargo terminal operation services, transport</t>
        </is>
      </c>
    </row>
    <row r="33">
      <c r="A33" s="8" t="inlineStr">
        <is>
          <t>Share-based Payment</t>
        </is>
      </c>
      <c r="B33" s="8" t="inlineStr">
        <is>
          <t>以股份為基礎的付款</t>
        </is>
      </c>
      <c r="C33" s="8" t="inlineStr">
        <is>
          <t>medium</t>
        </is>
      </c>
      <c r="D33" s="11" t="inlineStr">
        <is>
          <t>share option</t>
        </is>
      </c>
      <c r="E33" s="11" t="inlineStr">
        <is>
          <t>PDF p.39 (印刷頁 38)</t>
        </is>
      </c>
      <c r="F33" s="11" t="inlineStr">
        <is>
          <t>f the Company. SHARE CAPITAL Details of the Company’s share capital are set out in note 27 to the consolidated financial statements. SHARE OPTION SCHEME The share option scheme of the Company (the “Scheme”) is a share incentive scheme prepared in accordance with Chapter 23 of the GEM Listing Rules and is established to recognise and acknowledge the contribution of the Directors and other employees and other eligible parties who have made valuable contribution to the Group. The Scheme was adopted on 27 March 2020 (the “Adoption</t>
        </is>
      </c>
    </row>
    <row r="34">
      <c r="A34" s="8" t="inlineStr">
        <is>
          <t>Share-based Payment</t>
        </is>
      </c>
      <c r="B34" s="8" t="inlineStr">
        <is>
          <t>以股份為基礎的付款</t>
        </is>
      </c>
      <c r="C34" s="8" t="inlineStr">
        <is>
          <t>medium</t>
        </is>
      </c>
      <c r="D34" s="11" t="inlineStr">
        <is>
          <t>share option</t>
        </is>
      </c>
      <c r="E34" s="11" t="inlineStr">
        <is>
          <t>PDF p.40 (印刷頁 39)</t>
        </is>
      </c>
      <c r="F34" s="11" t="inlineStr">
        <is>
          <t>nt venture, business alliance or other business arrangement to the development and growth of the Group, and, for the purposes of the Share Option Scheme, the options may be granted to any company wholly owned by one or more Eligible Participants. (c) Maximum number of Shares available for issuance (i) The maximum number of Shares which may be allotted and issued upon exercise of all outstanding options granted and yet to be exercised under the Share Option Scheme and any other share scheme(s) adopted by the Group shall not exce</t>
        </is>
      </c>
    </row>
    <row r="35">
      <c r="A35" s="8" t="inlineStr">
        <is>
          <t>Share-based Payment</t>
        </is>
      </c>
      <c r="B35" s="8" t="inlineStr">
        <is>
          <t>以股份為基礎的付款</t>
        </is>
      </c>
      <c r="C35" s="8" t="inlineStr">
        <is>
          <t>medium</t>
        </is>
      </c>
      <c r="D35" s="11" t="inlineStr">
        <is>
          <t>share option</t>
        </is>
      </c>
      <c r="E35" s="11" t="inlineStr">
        <is>
          <t>PDF p.41 (印刷頁 40)</t>
        </is>
      </c>
      <c r="F35" s="11" t="inlineStr">
        <is>
          <t>and issued upon exercise of all options (excluding, for this purpose, options which have lapsed in accordance with the terms of the Share Option Scheme and any other share option scheme of the Group) to be granted under the Share Option Scheme and any other share scheme(s) of the Group must not in aggregate exceed 10% of the Shares in issue on the day on which dealings in the Shares first commence on the Stock Exchange (i.e. not exceeding 48,000,000 Shares), representing approximately 9.1% of the issued share capital of the Co</t>
        </is>
      </c>
    </row>
    <row r="36">
      <c r="A36" s="8" t="inlineStr">
        <is>
          <t>Share-based Payment</t>
        </is>
      </c>
      <c r="B36" s="8" t="inlineStr">
        <is>
          <t>以股份為基礎的付款</t>
        </is>
      </c>
      <c r="C36" s="8" t="inlineStr">
        <is>
          <t>medium</t>
        </is>
      </c>
      <c r="D36" s="11" t="inlineStr">
        <is>
          <t>share option</t>
        </is>
      </c>
      <c r="E36" s="11" t="inlineStr">
        <is>
          <t>PDF p.42 (印刷頁 41)</t>
        </is>
      </c>
      <c r="F36" s="11" t="inlineStr">
        <is>
          <t>Report of the Directors (Continued) (f) Time of exercise of option and duration of the share option scheme An option may be exercised in accordance with the terms of the Share Option Scheme at any time during a period to be determined and notified by the Directors to each grantee, which period may commence on the date on which the offer for the grant of option is made but shall end in any event not later than 10 years from the date on which the offer for the grant of option is made</t>
        </is>
      </c>
    </row>
    <row r="37">
      <c r="A37" s="8" t="inlineStr">
        <is>
          <t>Related Party Transactions</t>
        </is>
      </c>
      <c r="B37" s="8" t="inlineStr">
        <is>
          <t>關聯方交易</t>
        </is>
      </c>
      <c r="C37" s="8" t="inlineStr">
        <is>
          <t>low</t>
        </is>
      </c>
      <c r="D37" s="11" t="inlineStr">
        <is>
          <t>related party</t>
        </is>
      </c>
      <c r="E37" s="11" t="inlineStr">
        <is>
          <t>PDF p.48 (印刷頁 47)</t>
        </is>
      </c>
      <c r="F37" s="11" t="inlineStr">
        <is>
          <t>periences, duties and responsibilities of that Director within the Group. CONNECTED TRANSACTION AND CONTINUING CONNECTED TRANSACTION Related party transactions entered into by the Group during the year ended 31 March 2026 are set out in note 31 to the consolidated financial statements. The Directors consider that these related party transactions disclosed in note 31 to the consolidated financial statements did not fall under the definition of “connected transactions” or “continuing connected transactions” (as the case may be) u</t>
        </is>
      </c>
    </row>
    <row r="38">
      <c r="A38" s="8" t="inlineStr">
        <is>
          <t>Related Party Transactions</t>
        </is>
      </c>
      <c r="B38" s="8" t="inlineStr">
        <is>
          <t>關聯方交易</t>
        </is>
      </c>
      <c r="C38" s="8" t="inlineStr">
        <is>
          <t>low</t>
        </is>
      </c>
      <c r="D38" s="11" t="inlineStr">
        <is>
          <t>related party</t>
        </is>
      </c>
      <c r="E38" s="11" t="inlineStr">
        <is>
          <t>PDF p.126 (印刷頁 125)</t>
        </is>
      </c>
      <c r="F38" s="11" t="inlineStr">
        <is>
          <t>NOTES TO THE CONSOLIDATED FINANCIAL STATEMENTS (Continued) For the year ended 31 March 2026 31. RELATED PARTY DISCLOSURES (a) Related party transactions Other than as disclosed elsewhere in these consolidated financial statements, the Group has following transactions and balances with related parties: Relationships Nature of transactions 2026 2025 HK$’000 HK$’000 Shareholder Finance costs 45 — (b) Compensation of key management personnel of the Company 2026 2025 HK$’000 HK$’000 Fees 360 360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7"/>
  <sheetViews>
    <sheetView workbookViewId="0">
      <pane ySplit="26" topLeftCell="A27" activePane="bottomLeft" state="frozen"/>
      <selection pane="bottomLeft" activeCell="A1" sqref="A1"/>
    </sheetView>
  </sheetViews>
  <sheetFormatPr baseColWidth="8" defaultRowHeight="15"/>
  <cols>
    <col width="16" customWidth="1" min="1" max="1"/>
    <col width="40" customWidth="1" min="2" max="2"/>
  </cols>
  <sheetData>
    <row r="1">
      <c r="A1" s="1" t="inlineStr">
        <is>
          <t>需要人手處理的項目</t>
        </is>
      </c>
    </row>
    <row r="2">
      <c r="A2" s="2" t="inlineStr">
        <is>
          <t>工具沒抓到的東西會列在這裡,不會靜靜消失 —— 請人手翻閱原文補入。</t>
        </is>
      </c>
    </row>
    <row r="4">
      <c r="A4" s="5" t="inlineStr">
        <is>
          <t>一、未擷取到的財務科目</t>
        </is>
      </c>
    </row>
    <row r="5">
      <c r="A5" s="2" t="inlineStr">
        <is>
          <t>可能原因:該公司未單獨揭露此科目 / 用了工具不認得的措辭 / 位於跨頁或附註中。措辭問題可在 config.py 補上別名。</t>
        </is>
      </c>
    </row>
    <row r="7">
      <c r="A7" s="7" t="inlineStr">
        <is>
          <t>報表 Statement</t>
        </is>
      </c>
      <c r="B7" s="7" t="inlineStr">
        <is>
          <t>未擷取科目 Missing item</t>
        </is>
      </c>
    </row>
    <row r="8">
      <c r="A8" s="8" t="inlineStr">
        <is>
          <t>Income Statement</t>
        </is>
      </c>
      <c r="B8" s="8" t="inlineStr">
        <is>
          <t>Cost of Sales</t>
        </is>
      </c>
    </row>
    <row r="9">
      <c r="A9" s="8" t="inlineStr">
        <is>
          <t>Income Statement</t>
        </is>
      </c>
      <c r="B9" s="8" t="inlineStr">
        <is>
          <t>Gross Profit</t>
        </is>
      </c>
    </row>
    <row r="10">
      <c r="A10" s="8" t="inlineStr">
        <is>
          <t>Income Statement</t>
        </is>
      </c>
      <c r="B10" s="8" t="inlineStr">
        <is>
          <t>Operating Profit</t>
        </is>
      </c>
    </row>
    <row r="11">
      <c r="A11" s="8" t="inlineStr">
        <is>
          <t>Income Statement</t>
        </is>
      </c>
      <c r="B11" s="8" t="inlineStr">
        <is>
          <t>R&amp;D Expenses</t>
        </is>
      </c>
    </row>
    <row r="12">
      <c r="A12" s="8" t="inlineStr">
        <is>
          <t>Income Statement</t>
        </is>
      </c>
      <c r="B12" s="8" t="inlineStr">
        <is>
          <t>Amortisation</t>
        </is>
      </c>
    </row>
    <row r="13">
      <c r="A13" s="8" t="inlineStr">
        <is>
          <t>Balance Sheet</t>
        </is>
      </c>
      <c r="B13" s="8" t="inlineStr">
        <is>
          <t>Total Assets</t>
        </is>
      </c>
    </row>
    <row r="14">
      <c r="A14" s="8" t="inlineStr">
        <is>
          <t>Balance Sheet</t>
        </is>
      </c>
      <c r="B14" s="8" t="inlineStr">
        <is>
          <t>Inventories</t>
        </is>
      </c>
    </row>
    <row r="15">
      <c r="A15" s="8" t="inlineStr">
        <is>
          <t>Balance Sheet</t>
        </is>
      </c>
      <c r="B15" s="8" t="inlineStr">
        <is>
          <t>Goodwill</t>
        </is>
      </c>
    </row>
    <row r="16">
      <c r="A16" s="8" t="inlineStr">
        <is>
          <t>Balance Sheet</t>
        </is>
      </c>
      <c r="B16" s="8" t="inlineStr">
        <is>
          <t>Intangible Assets</t>
        </is>
      </c>
    </row>
    <row r="17">
      <c r="A17" s="8" t="inlineStr">
        <is>
          <t>Balance Sheet</t>
        </is>
      </c>
      <c r="B17" s="8" t="inlineStr">
        <is>
          <t>Investment Properties</t>
        </is>
      </c>
    </row>
    <row r="18">
      <c r="A18" s="8" t="inlineStr">
        <is>
          <t>Balance Sheet</t>
        </is>
      </c>
      <c r="B18" s="8" t="inlineStr">
        <is>
          <t>Total Liabilities</t>
        </is>
      </c>
    </row>
    <row r="19">
      <c r="A19" s="8" t="inlineStr">
        <is>
          <t>Balance Sheet</t>
        </is>
      </c>
      <c r="B19" s="8" t="inlineStr">
        <is>
          <t>Borrowings</t>
        </is>
      </c>
    </row>
    <row r="20">
      <c r="A20" s="8" t="inlineStr">
        <is>
          <t>Cash Flow</t>
        </is>
      </c>
      <c r="B20" s="8" t="inlineStr">
        <is>
          <t>Investing Cash Flow</t>
        </is>
      </c>
    </row>
    <row r="23">
      <c r="A23" s="5" t="inlineStr">
        <is>
          <t>二、文字量過低的頁面(疑似掃描頁)</t>
        </is>
      </c>
    </row>
    <row r="24">
      <c r="A24" s="2" t="inlineStr">
        <is>
          <t>這些頁面幾乎抓不到文字,通常是掃描件或純圖表,建議人手翻閱或另行 OCR。</t>
        </is>
      </c>
    </row>
    <row r="26">
      <c r="A26" s="7" t="inlineStr">
        <is>
          <t>PDF 頁碼</t>
        </is>
      </c>
      <c r="B26" s="7" t="inlineStr">
        <is>
          <t>狀態</t>
        </is>
      </c>
    </row>
    <row r="27">
      <c r="A27" s="4" t="inlineStr">
        <is>
          <t>無 — 全份文件均成功擷取文字</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2026-08-30T14:16:09Z</dcterms:created>
  <dcterms:modified xsi:type="dcterms:W3CDTF">2026-08-30T14:16:09Z</dcterms:modified>
</cp:coreProperties>
</file>
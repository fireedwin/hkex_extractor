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03321_ZHONGKE_GROUP_20260730.pdf</t>
        </is>
      </c>
    </row>
    <row r="5">
      <c r="A5" s="3" t="inlineStr">
        <is>
          <t>產生時間 Generated</t>
        </is>
      </c>
      <c r="B5" s="4" t="inlineStr">
        <is>
          <t>2026-08-30 22:15</t>
        </is>
      </c>
    </row>
    <row r="6">
      <c r="A6" s="4" t="inlineStr"/>
      <c r="B6" s="4" t="inlineStr"/>
    </row>
    <row r="7">
      <c r="A7" s="3" t="inlineStr">
        <is>
          <t>總頁數 Total pages</t>
        </is>
      </c>
      <c r="B7" s="4" t="n">
        <v>121</v>
      </c>
    </row>
    <row r="8">
      <c r="A8" s="3" t="inlineStr">
        <is>
          <t>已擷取字元 Characters extracted</t>
        </is>
      </c>
      <c r="B8" s="4" t="n">
        <v>324147</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9</v>
      </c>
    </row>
    <row r="14">
      <c r="A14" s="3" t="inlineStr">
        <is>
          <t>主題段落擷取筆數 Topic extracts</t>
        </is>
      </c>
      <c r="B14" s="4" t="n">
        <v>71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137,826 − 236,282 = -98,456</t>
        </is>
      </c>
    </row>
    <row r="20">
      <c r="A20" s="6" t="inlineStr">
        <is>
          <t>✓ 除稅前溢利 ± 稅項 = 年內溢利</t>
        </is>
      </c>
      <c r="B20" s="4" t="inlineStr">
        <is>
          <t>-43,985 + 0 = -43,985 vs -43,985</t>
        </is>
      </c>
    </row>
    <row r="21">
      <c r="A21" s="6" t="inlineStr">
        <is>
          <t>✓ 三大報表應相鄰</t>
        </is>
      </c>
      <c r="B21" s="4" t="inlineStr">
        <is>
          <t>Income Statement: p.63、Balance Sheet: p.64、Cash Flow: p.66(相距 3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11.2</v>
      </c>
      <c r="D5" s="10" t="n">
        <v>11.2</v>
      </c>
      <c r="E5" s="11" t="inlineStr">
        <is>
          <t>11.2%</t>
        </is>
      </c>
      <c r="F5" s="11" t="inlineStr">
        <is>
          <t>High</t>
        </is>
      </c>
      <c r="G5" s="11" t="inlineStr">
        <is>
          <t>PDF p.8 (印刷頁 7)</t>
        </is>
      </c>
      <c r="H5" s="11" t="inlineStr">
        <is>
          <t xml:space="preserve">mately MOP4.8 million for the year ended 31 December 2024. The Group recorded a gross profit margin of approximately 11.2% for the Reporting Period, compared to a gross loss margin of 54.1% for the previous year. The period-to-period improvement from a gross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2024; Balance Sheet: 2026 / 2024; Cash Flow: 2026 / 2024</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30961</v>
      </c>
      <c r="D5" s="13" t="n">
        <v>8830</v>
      </c>
      <c r="E5" s="14">
        <f>IF(ISERROR((C5-D5)/ABS(D5)),"",(C5-D5)/ABS(D5))</f>
        <v>2.5063420158550396</v>
      </c>
      <c r="F5" s="11" t="inlineStr">
        <is>
          <t>PDF p.63 (印刷頁 62)</t>
        </is>
      </c>
      <c r="G5" s="11" t="inlineStr">
        <is>
          <t>Revenue 5 30,961 8,830</t>
        </is>
      </c>
    </row>
    <row r="6">
      <c r="A6" s="8" t="inlineStr">
        <is>
          <t>Income Statement</t>
        </is>
      </c>
      <c r="B6" s="8" t="inlineStr">
        <is>
          <t>Gross Profit</t>
        </is>
      </c>
      <c r="C6" s="12" t="n">
        <v>3475</v>
      </c>
      <c r="D6" s="13" t="n">
        <v>-4780</v>
      </c>
      <c r="E6" s="14">
        <f>IF(ISERROR((C6-D6)/ABS(D6)),"",(C6-D6)/ABS(D6))</f>
        <v>1.7269874476987448</v>
      </c>
      <c r="F6" s="11" t="inlineStr">
        <is>
          <t>PDF p.63 (印刷頁 62)</t>
        </is>
      </c>
      <c r="G6" s="11" t="inlineStr">
        <is>
          <t>Gross profit/(loss) 3,475 (4,780)</t>
        </is>
      </c>
    </row>
    <row r="7">
      <c r="A7" s="8" t="inlineStr">
        <is>
          <t>Income Statement</t>
        </is>
      </c>
      <c r="B7" s="8" t="inlineStr">
        <is>
          <t>Finance Costs</t>
        </is>
      </c>
      <c r="C7" s="12" t="n">
        <v>-6733</v>
      </c>
      <c r="D7" s="13" t="n">
        <v>-7668</v>
      </c>
      <c r="E7" s="14">
        <f>IF(ISERROR((C7-D7)/ABS(D7)),"",(C7-D7)/ABS(D7))</f>
        <v>0.12193531559728743</v>
      </c>
      <c r="F7" s="11" t="inlineStr">
        <is>
          <t>PDF p.63 (印刷頁 62)</t>
        </is>
      </c>
      <c r="G7" s="11" t="inlineStr">
        <is>
          <t>Finance costs 8 (6,733) (7,668)</t>
        </is>
      </c>
    </row>
    <row r="8">
      <c r="A8" s="8" t="inlineStr">
        <is>
          <t>Income Statement</t>
        </is>
      </c>
      <c r="B8" s="8" t="inlineStr">
        <is>
          <t>Profit Before Tax</t>
        </is>
      </c>
      <c r="C8" s="12" t="n">
        <v>-43985</v>
      </c>
      <c r="D8" s="13" t="n">
        <v>-48923</v>
      </c>
      <c r="E8" s="14">
        <f>IF(ISERROR((C8-D8)/ABS(D8)),"",(C8-D8)/ABS(D8))</f>
        <v>0.100934120965599</v>
      </c>
      <c r="F8" s="11" t="inlineStr">
        <is>
          <t>PDF p.63 (印刷頁 62)</t>
        </is>
      </c>
      <c r="G8" s="11" t="inlineStr">
        <is>
          <t>Loss before taxation 9 (43,985) (48,923)</t>
        </is>
      </c>
    </row>
    <row r="9">
      <c r="A9" s="8" t="inlineStr">
        <is>
          <t>Income Statement</t>
        </is>
      </c>
      <c r="B9" s="8" t="inlineStr">
        <is>
          <t>Income Tax</t>
        </is>
      </c>
      <c r="C9" s="12" t="n">
        <v>0</v>
      </c>
      <c r="D9" s="13" t="n">
        <v>0</v>
      </c>
      <c r="E9" s="14" t="str">
        <f>IF(ISERROR((C9-D9)/ABS(D9)),"",(C9-D9)/ABS(D9))</f>
        <v/>
      </c>
      <c r="F9" s="11" t="inlineStr">
        <is>
          <t>PDF p.63 (印刷頁 62)</t>
        </is>
      </c>
      <c r="G9" s="11" t="inlineStr">
        <is>
          <t>Income tax expense 10 – –</t>
        </is>
      </c>
    </row>
    <row r="10">
      <c r="A10" s="8" t="inlineStr">
        <is>
          <t>Income Statement</t>
        </is>
      </c>
      <c r="B10" s="8" t="inlineStr">
        <is>
          <t>Profit for the Year</t>
        </is>
      </c>
      <c r="C10" s="12" t="n">
        <v>-43985</v>
      </c>
      <c r="D10" s="13" t="n">
        <v>-48923</v>
      </c>
      <c r="E10" s="14">
        <f>IF(ISERROR((C10-D10)/ABS(D10)),"",(C10-D10)/ABS(D10))</f>
        <v>0.100934120965599</v>
      </c>
      <c r="F10" s="11" t="inlineStr">
        <is>
          <t>PDF p.63 (印刷頁 62)</t>
        </is>
      </c>
      <c r="G10" s="11" t="inlineStr">
        <is>
          <t>Loss for the period/year (43,985) (48,923)</t>
        </is>
      </c>
    </row>
    <row r="11">
      <c r="A11" s="8" t="inlineStr">
        <is>
          <t>Balance Sheet</t>
        </is>
      </c>
      <c r="B11" s="8" t="inlineStr">
        <is>
          <t>Trade Receivables</t>
        </is>
      </c>
      <c r="C11" s="12" t="n">
        <v>80365</v>
      </c>
      <c r="D11" s="13" t="n">
        <v>78850</v>
      </c>
      <c r="E11" s="14">
        <f>IF(ISERROR((C11-D11)/ABS(D11)),"",(C11-D11)/ABS(D11))</f>
        <v>0.019213696892834496</v>
      </c>
      <c r="F11" s="11" t="inlineStr">
        <is>
          <t>PDF p.64 (印刷頁 63)</t>
        </is>
      </c>
      <c r="G11" s="11" t="inlineStr">
        <is>
          <t>Trade receivables 16 80,365 78,850</t>
        </is>
      </c>
    </row>
    <row r="12">
      <c r="A12" s="8" t="inlineStr">
        <is>
          <t>Balance Sheet</t>
        </is>
      </c>
      <c r="B12" s="8" t="inlineStr">
        <is>
          <t>Total Current Assets</t>
        </is>
      </c>
      <c r="C12" s="12" t="n">
        <v>137826</v>
      </c>
      <c r="D12" s="13" t="n">
        <v>136658</v>
      </c>
      <c r="E12" s="14">
        <f>IF(ISERROR((C12-D12)/ABS(D12)),"",(C12-D12)/ABS(D12))</f>
        <v>0.0085468834609024</v>
      </c>
      <c r="F12" s="11" t="inlineStr">
        <is>
          <t>PDF p.64 (印刷頁 63)</t>
        </is>
      </c>
      <c r="G12" s="11" t="inlineStr">
        <is>
          <t>[current assets 區段小計] 137,826 136,658</t>
        </is>
      </c>
    </row>
    <row r="13">
      <c r="A13" s="8" t="inlineStr">
        <is>
          <t>Balance Sheet</t>
        </is>
      </c>
      <c r="B13" s="8" t="inlineStr">
        <is>
          <t>Total Current Liabilities</t>
        </is>
      </c>
      <c r="C13" s="12" t="n">
        <v>236282</v>
      </c>
      <c r="D13" s="13" t="n">
        <v>202297</v>
      </c>
      <c r="E13" s="14">
        <f>IF(ISERROR((C13-D13)/ABS(D13)),"",(C13-D13)/ABS(D13))</f>
        <v>0.16799557086857442</v>
      </c>
      <c r="F13" s="11" t="inlineStr">
        <is>
          <t>PDF p.64 (印刷頁 63)</t>
        </is>
      </c>
      <c r="G13" s="11" t="inlineStr">
        <is>
          <t>[current liabilities 區段小計] 236,282 202,297</t>
        </is>
      </c>
    </row>
    <row r="15">
      <c r="A1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財務數據'!$C$5:$C$13,MATCH("Gross Profit",'Financials 財務數據'!$B$5:$B$13,0))/INDEX('Financials 財務數據'!$C$5:$C$13,MATCH("Revenue",'Financials 財務數據'!$B$5:$B$13,0))),"n/a",INDEX('Financials 財務數據'!$C$5:$C$13,MATCH("Gross Profit",'Financials 財務數據'!$B$5:$B$13,0))/INDEX('Financials 財務數據'!$C$5:$C$13,MATCH("Revenue",'Financials 財務數據'!$B$5:$B$13,0)))</f>
        <v>0.11223797680953458</v>
      </c>
      <c r="C5" s="15">
        <f>IF(ISERROR(INDEX('Financials 財務數據'!$D$5:$D$13,MATCH("Gross Profit",'Financials 財務數據'!$B$5:$B$13,0))/INDEX('Financials 財務數據'!$D$5:$D$13,MATCH("Revenue",'Financials 財務數據'!$B$5:$B$13,0))),"n/a",INDEX('Financials 財務數據'!$D$5:$D$13,MATCH("Gross Profit",'Financials 財務數據'!$B$5:$B$13,0))/INDEX('Financials 財務數據'!$D$5:$D$13,MATCH("Revenue",'Financials 財務數據'!$B$5:$B$13,0)))</f>
        <v>-0.5413363533408834</v>
      </c>
      <c r="D5" s="2" t="inlineStr">
        <is>
          <t>毛利 ÷ 收入</t>
        </is>
      </c>
    </row>
    <row r="6">
      <c r="A6" s="4" t="inlineStr">
        <is>
          <t>Net Margin 淨利率</t>
        </is>
      </c>
      <c r="B6" s="15">
        <f>IF(ISERROR(INDEX('Financials 財務數據'!$C$5:$C$13,MATCH("Profit for the Year",'Financials 財務數據'!$B$5:$B$13,0))/INDEX('Financials 財務數據'!$C$5:$C$13,MATCH("Revenue",'Financials 財務數據'!$B$5:$B$13,0))),"n/a",INDEX('Financials 財務數據'!$C$5:$C$13,MATCH("Profit for the Year",'Financials 財務數據'!$B$5:$B$13,0))/INDEX('Financials 財務數據'!$C$5:$C$13,MATCH("Revenue",'Financials 財務數據'!$B$5:$B$13,0)))</f>
        <v>-1.4206582474726268</v>
      </c>
      <c r="C6" s="15">
        <f>IF(ISERROR(INDEX('Financials 財務數據'!$D$5:$D$13,MATCH("Profit for the Year",'Financials 財務數據'!$B$5:$B$13,0))/INDEX('Financials 財務數據'!$D$5:$D$13,MATCH("Revenue",'Financials 財務數據'!$B$5:$B$13,0))),"n/a",INDEX('Financials 財務數據'!$D$5:$D$13,MATCH("Profit for the Year",'Financials 財務數據'!$B$5:$B$13,0))/INDEX('Financials 財務數據'!$D$5:$D$13,MATCH("Revenue",'Financials 財務數據'!$B$5:$B$13,0)))</f>
        <v>-5.540543601359003</v>
      </c>
      <c r="D6" s="2" t="inlineStr">
        <is>
          <t>年內溢利 ÷ 收入</t>
        </is>
      </c>
    </row>
    <row r="7">
      <c r="A7" s="4" t="inlineStr">
        <is>
          <t>Current Ratio 流動比率</t>
        </is>
      </c>
      <c r="B7" s="16">
        <f>IF(ISERROR(INDEX('Financials 財務數據'!$C$5:$C$13,MATCH("Total Current Assets",'Financials 財務數據'!$B$5:$B$13,0))/INDEX('Financials 財務數據'!$C$5:$C$13,MATCH("Total Current Liabilities",'Financials 財務數據'!$B$5:$B$13,0))),"n/a",INDEX('Financials 財務數據'!$C$5:$C$13,MATCH("Total Current Assets",'Financials 財務數據'!$B$5:$B$13,0))/INDEX('Financials 財務數據'!$C$5:$C$13,MATCH("Total Current Liabilities",'Financials 財務數據'!$B$5:$B$13,0)))</f>
        <v>0.5833114668066124</v>
      </c>
      <c r="C7" s="16">
        <f>IF(ISERROR(INDEX('Financials 財務數據'!$D$5:$D$13,MATCH("Total Current Assets",'Financials 財務數據'!$B$5:$B$13,0))/INDEX('Financials 財務數據'!$D$5:$D$13,MATCH("Total Current Liabilities",'Financials 財務數據'!$B$5:$B$13,0))),"n/a",INDEX('Financials 財務數據'!$D$5:$D$13,MATCH("Total Current Assets",'Financials 財務數據'!$B$5:$B$13,0))/INDEX('Financials 財務數據'!$D$5:$D$13,MATCH("Total Current Liabilities",'Financials 財務數據'!$B$5:$B$13,0)))</f>
        <v>0.6755315204872044</v>
      </c>
      <c r="D7" s="2" t="inlineStr">
        <is>
          <t>流動資產 ÷ 流動負債</t>
        </is>
      </c>
    </row>
    <row r="8">
      <c r="A8" s="4" t="inlineStr">
        <is>
          <t>Debt / Equity 負債權益比</t>
        </is>
      </c>
      <c r="B8" s="16" t="str">
        <f>IF(ISERROR(INDEX('Financials 財務數據'!$C$5:$C$13,MATCH("Total Liabilities",'Financials 財務數據'!$B$5:$B$13,0))/INDEX('Financials 財務數據'!$C$5:$C$13,MATCH("Total Equity",'Financials 財務數據'!$B$5:$B$13,0))),"n/a",INDEX('Financials 財務數據'!$C$5:$C$13,MATCH("Total Liabilities",'Financials 財務數據'!$B$5:$B$13,0))/INDEX('Financials 財務數據'!$C$5:$C$13,MATCH("Total Equity",'Financials 財務數據'!$B$5:$B$13,0)))</f>
        <v>n/a</v>
      </c>
      <c r="C8" s="16" t="str">
        <f>IF(ISERROR(INDEX('Financials 財務數據'!$D$5:$D$13,MATCH("Total Liabilities",'Financials 財務數據'!$B$5:$B$13,0))/INDEX('Financials 財務數據'!$D$5:$D$13,MATCH("Total Equity",'Financials 財務數據'!$B$5:$B$13,0))),"n/a",INDEX('Financials 財務數據'!$D$5:$D$13,MATCH("Total Liabilities",'Financials 財務數據'!$B$5:$B$13,0))/INDEX('Financials 財務數據'!$D$5:$D$13,MATCH("Total Equity",'Financials 財務數據'!$B$5:$B$13,0)))</f>
        <v>n/a</v>
      </c>
      <c r="D8" s="2" t="inlineStr">
        <is>
          <t>總負債 ÷ 總權益</t>
        </is>
      </c>
    </row>
    <row r="9">
      <c r="A9" s="4" t="inlineStr">
        <is>
          <t>Goodwill / Total Assets</t>
        </is>
      </c>
      <c r="B9" s="15" t="str">
        <f>IF(ISERROR(INDEX('Financials 財務數據'!$C$5:$C$13,MATCH("Goodwill",'Financials 財務數據'!$B$5:$B$13,0))/INDEX('Financials 財務數據'!$C$5:$C$13,MATCH("Total Assets",'Financials 財務數據'!$B$5:$B$13,0))),"n/a",INDEX('Financials 財務數據'!$C$5:$C$13,MATCH("Goodwill",'Financials 財務數據'!$B$5:$B$13,0))/INDEX('Financials 財務數據'!$C$5:$C$13,MATCH("Total Assets",'Financials 財務數據'!$B$5:$B$13,0)))</f>
        <v>n/a</v>
      </c>
      <c r="C9" s="15" t="str">
        <f>IF(ISERROR(INDEX('Financials 財務數據'!$D$5:$D$13,MATCH("Goodwill",'Financials 財務數據'!$B$5:$B$13,0))/INDEX('Financials 財務數據'!$D$5:$D$13,MATCH("Total Assets",'Financials 財務數據'!$B$5:$B$13,0))),"n/a",INDEX('Financials 財務數據'!$D$5:$D$13,MATCH("Goodwill",'Financials 財務數據'!$B$5:$B$13,0))/INDEX('Financials 財務數據'!$D$5:$D$13,MATCH("Total Assets",'Financials 財務數據'!$B$5:$B$13,0)))</f>
        <v>n/a</v>
      </c>
      <c r="D9" s="2" t="inlineStr">
        <is>
          <t>商譽佔總資產比重 — 減值風險指標</t>
        </is>
      </c>
    </row>
    <row r="10">
      <c r="A10" s="4" t="inlineStr">
        <is>
          <t>Intangibles / Total Assets</t>
        </is>
      </c>
      <c r="B10" s="15" t="str">
        <f>IF(ISERROR(INDEX('Financials 財務數據'!$C$5:$C$13,MATCH("Intangible Assets",'Financials 財務數據'!$B$5:$B$13,0))/INDEX('Financials 財務數據'!$C$5:$C$13,MATCH("Total Assets",'Financials 財務數據'!$B$5:$B$13,0))),"n/a",INDEX('Financials 財務數據'!$C$5:$C$13,MATCH("Intangible Assets",'Financials 財務數據'!$B$5:$B$13,0))/INDEX('Financials 財務數據'!$C$5:$C$13,MATCH("Total Assets",'Financials 財務數據'!$B$5:$B$13,0)))</f>
        <v>n/a</v>
      </c>
      <c r="C10" s="15" t="str">
        <f>IF(ISERROR(INDEX('Financials 財務數據'!$D$5:$D$13,MATCH("Intangible Assets",'Financials 財務數據'!$B$5:$B$13,0))/INDEX('Financials 財務數據'!$D$5:$D$13,MATCH("Total Assets",'Financials 財務數據'!$B$5:$B$13,0))),"n/a",INDEX('Financials 財務數據'!$D$5:$D$13,MATCH("Intangible Assets",'Financials 財務數據'!$B$5:$B$13,0))/INDEX('Financials 財務數據'!$D$5:$D$13,MATCH("Total Assets",'Financials 財務數據'!$B$5:$B$13,0)))</f>
        <v>n/a</v>
      </c>
      <c r="D10" s="2" t="inlineStr">
        <is>
          <t>無形資產佔比</t>
        </is>
      </c>
    </row>
    <row r="11">
      <c r="A11" s="4" t="inlineStr">
        <is>
          <t>ROE 股本回報率</t>
        </is>
      </c>
      <c r="B11" s="15" t="str">
        <f>IF(ISERROR(INDEX('Financials 財務數據'!$C$5:$C$13,MATCH("Profit for the Year",'Financials 財務數據'!$B$5:$B$13,0))/INDEX('Financials 財務數據'!$C$5:$C$13,MATCH("Total Equity",'Financials 財務數據'!$B$5:$B$13,0))),"n/a",INDEX('Financials 財務數據'!$C$5:$C$13,MATCH("Profit for the Year",'Financials 財務數據'!$B$5:$B$13,0))/INDEX('Financials 財務數據'!$C$5:$C$13,MATCH("Total Equity",'Financials 財務數據'!$B$5:$B$13,0)))</f>
        <v>n/a</v>
      </c>
      <c r="C11" s="15" t="str">
        <f>IF(ISERROR(INDEX('Financials 財務數據'!$D$5:$D$13,MATCH("Profit for the Year",'Financials 財務數據'!$B$5:$B$13,0))/INDEX('Financials 財務數據'!$D$5:$D$13,MATCH("Total Equity",'Financials 財務數據'!$B$5:$B$13,0))),"n/a",INDEX('Financials 財務數據'!$D$5:$D$13,MATCH("Profit for the Year",'Financials 財務數據'!$B$5:$B$13,0))/INDEX('Financials 財務數據'!$D$5:$D$13,MATCH("Total Equity",'Financials 財務數據'!$B$5:$B$13,0)))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8830</v>
      </c>
      <c r="C5" s="18" t="n">
        <v>30961</v>
      </c>
    </row>
    <row r="6">
      <c r="A6" s="4" t="inlineStr">
        <is>
          <t>Gross Profit</t>
        </is>
      </c>
      <c r="B6" s="18" t="n">
        <v>-4780</v>
      </c>
      <c r="C6" s="18" t="n">
        <v>3475</v>
      </c>
    </row>
    <row r="7">
      <c r="A7" s="4" t="inlineStr">
        <is>
          <t>Profit Before Tax</t>
        </is>
      </c>
      <c r="B7" s="18" t="n">
        <v>-48923</v>
      </c>
      <c r="C7" s="18" t="n">
        <v>-43985</v>
      </c>
    </row>
    <row r="8">
      <c r="A8" s="4" t="inlineStr">
        <is>
          <t>Profit for the Year</t>
        </is>
      </c>
      <c r="B8" s="18" t="n">
        <v>-48923</v>
      </c>
      <c r="C8" s="18" t="n">
        <v>-43985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p.8 (印刷頁 7)</t>
        </is>
      </c>
      <c r="F4" s="11" t="inlineStr">
        <is>
          <t>rite off on property and equipment and there were no other income for the Reporting Period (Year ended 31 December 2024: MOP79,000). Impairment losses The total amount of impairment losses was approximately MOP16.07 million for the Reporting Period (Year ended 31 December 2024: MOP17.44 million), which generally reflected the decrease in impairment loss recognised in respect of trade receivables, other receivables, deposits and prepayment and contract assets. Administrative expenses Administrative expenses amounted to approxima</t>
        </is>
      </c>
    </row>
    <row r="5">
      <c r="A5" s="8" t="inlineStr">
        <is>
          <t>Impairment Testing</t>
        </is>
      </c>
      <c r="B5" s="8" t="inlineStr">
        <is>
          <t>減值測試</t>
        </is>
      </c>
      <c r="C5" s="19" t="inlineStr">
        <is>
          <t>high</t>
        </is>
      </c>
      <c r="D5" s="11" t="inlineStr">
        <is>
          <t>recoverable amount</t>
        </is>
      </c>
      <c r="E5" s="11" t="inlineStr">
        <is>
          <t>PDF p.23 (印刷頁 22)</t>
        </is>
      </c>
      <c r="F5" s="11" t="inlineStr">
        <is>
          <t>o operate as a going concern, and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The effects of these adjustments have not been reflected in these consolidated financial statements. The Management’s Position, View and Assessment on the Disclaimer of Opinion In view of the uncertainties relating</t>
        </is>
      </c>
    </row>
    <row r="6">
      <c r="A6" s="8" t="inlineStr">
        <is>
          <t>Impairment Testing</t>
        </is>
      </c>
      <c r="B6" s="8" t="inlineStr">
        <is>
          <t>減值測試</t>
        </is>
      </c>
      <c r="C6" s="19" t="inlineStr">
        <is>
          <t>high</t>
        </is>
      </c>
      <c r="D6" s="11" t="inlineStr">
        <is>
          <t>recoverable amount</t>
        </is>
      </c>
      <c r="E6" s="11" t="inlineStr">
        <is>
          <t>PDF p.24 (印刷頁 23)</t>
        </is>
      </c>
      <c r="F6" s="11" t="inlineStr">
        <is>
          <t>o operate as a going concern, and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respectively. The effects of these adjustments have not been reflected in these consolidated financial statements. Audit Committee’s View on the Disclaimer of Opinion The Audit Committee had critically reviewed th</t>
        </is>
      </c>
    </row>
    <row r="7">
      <c r="A7" s="8" t="inlineStr">
        <is>
          <t>Impairment Testing</t>
        </is>
      </c>
      <c r="B7" s="8" t="inlineStr">
        <is>
          <t>減值測試</t>
        </is>
      </c>
      <c r="C7" s="19" t="inlineStr">
        <is>
          <t>high</t>
        </is>
      </c>
      <c r="D7" s="11" t="inlineStr">
        <is>
          <t>recoverable amount</t>
        </is>
      </c>
      <c r="E7" s="11" t="inlineStr">
        <is>
          <t>PDF p.61 (印刷頁 60)</t>
        </is>
      </c>
      <c r="F7" s="11" t="inlineStr">
        <is>
          <t>and noncurrent liabilities as current assets and current liabilities respectively, and to write down the values of assets to their recoverable amounts and to provide for any further liabilities which may arise. The consolidated financial statements do not include any such adjustments. However, material uncertainties exist in relation to the Group’s ability to continue as a going concern in view of the Group’s future cash flow. We consider that appropriate disclosures have been made in the consolidated financial statements con</t>
        </is>
      </c>
    </row>
    <row r="8">
      <c r="A8" s="8" t="inlineStr">
        <is>
          <t>Impairment Testing</t>
        </is>
      </c>
      <c r="B8" s="8" t="inlineStr">
        <is>
          <t>減值測試</t>
        </is>
      </c>
      <c r="C8" s="19" t="inlineStr">
        <is>
          <t>high</t>
        </is>
      </c>
      <c r="D8" s="11" t="inlineStr">
        <is>
          <t>impairment loss</t>
        </is>
      </c>
      <c r="E8" s="11" t="inlineStr">
        <is>
          <t>PDF p.63 (印刷頁 62)</t>
        </is>
      </c>
      <c r="F8" s="11" t="inlineStr">
        <is>
          <t>0 Revenue 5 30,961 8,830 Direct costs (27,486) (13,610) Gross profit/(loss) 3,475 (4,780) Other income and other losses 7 (1,081) 79 Impairment loss recognised in respect of trade receivables, net (12,362) (54,064) Impairment loss (recognised)/reversed in respect of other receivables, deposits and prepayments, net (3,207) 7,638 Impairment loss (recognised)/reversed in respect of contract assets, net (502) 28,986 Administrative expenses (23,575) (19,114) Finance costs 8 (6,733) (7,668) Loss before taxation 9 (43,985) (48,923) In</t>
        </is>
      </c>
    </row>
    <row r="9">
      <c r="A9" s="8" t="inlineStr">
        <is>
          <t>Impairment Testing</t>
        </is>
      </c>
      <c r="B9" s="8" t="inlineStr">
        <is>
          <t>減值測試</t>
        </is>
      </c>
      <c r="C9" s="19" t="inlineStr">
        <is>
          <t>high</t>
        </is>
      </c>
      <c r="D9" s="11" t="inlineStr">
        <is>
          <t>impairment loss</t>
        </is>
      </c>
      <c r="E9" s="11" t="inlineStr">
        <is>
          <t>PDF p.66 (印刷頁 65)</t>
        </is>
      </c>
      <c r="F9" s="11" t="inlineStr">
        <is>
          <t>ation on property and equipment 1 248 Depreciation of right-of-use assets 702 95 Share award expenses 25 – Finance costs 6,733 7,668 Impairment loss recognised in respect of trade receivables, net 12,362 54,064 Impairment loss recognised/(reversed) in respect of other receivables, deposits and prepayments, net 3,207 (7,638) Impairment loss recognised/(reversed) in respect of contract assets, net 502 (28,986) Interest income – (2) Write-off on property and equipment 1,159 – Operating cash flows before movements in working capita</t>
        </is>
      </c>
    </row>
    <row r="10">
      <c r="A10" s="8" t="inlineStr">
        <is>
          <t>Impairment Testing</t>
        </is>
      </c>
      <c r="B10" s="8" t="inlineStr">
        <is>
          <t>減值測試</t>
        </is>
      </c>
      <c r="C10" s="19" t="inlineStr">
        <is>
          <t>high</t>
        </is>
      </c>
      <c r="D10" s="11" t="inlineStr">
        <is>
          <t>recoverable amount</t>
        </is>
      </c>
      <c r="E10" s="11" t="inlineStr">
        <is>
          <t>PDF p.72 (印刷頁 71)</t>
        </is>
      </c>
      <c r="F10" s="11" t="inlineStr">
        <is>
          <t>o operate as a going concern, and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respectively. The effects of these adjustments have not been reflected in these consolidated financial statements. 3.3 Material accounting policies Basis of consolidation The consolidated financial statements inco</t>
        </is>
      </c>
    </row>
    <row r="11">
      <c r="A11" s="8" t="inlineStr">
        <is>
          <t>Impairment Testing</t>
        </is>
      </c>
      <c r="B11" s="8" t="inlineStr">
        <is>
          <t>減值測試</t>
        </is>
      </c>
      <c r="C11" s="19" t="inlineStr">
        <is>
          <t>high</t>
        </is>
      </c>
      <c r="D11" s="11" t="inlineStr">
        <is>
          <t>impairment loss</t>
        </is>
      </c>
      <c r="E11" s="11" t="inlineStr">
        <is>
          <t>PDF p.73 (印刷頁 72)</t>
        </is>
      </c>
      <c r="F11" s="11"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When the Group ceases to have significant influence over an associate, it is accounted for as a dispos</t>
        </is>
      </c>
    </row>
    <row r="12">
      <c r="A12" s="8" t="inlineStr">
        <is>
          <t>Impairment Testing</t>
        </is>
      </c>
      <c r="B12" s="8" t="inlineStr">
        <is>
          <t>減值測試</t>
        </is>
      </c>
      <c r="C12" s="19" t="inlineStr">
        <is>
          <t>high</t>
        </is>
      </c>
      <c r="D12" s="11" t="inlineStr">
        <is>
          <t>impairment loss</t>
        </is>
      </c>
      <c r="E12" s="11" t="inlineStr">
        <is>
          <t>PDF p.75 (印刷頁 74)</t>
        </is>
      </c>
      <c r="F12" s="11" t="inlineStr">
        <is>
          <t>ated in the consolidated statement of financial position at cost less subsequent accumulated depreciation and subsequent accumulated impairment losses, if any. Depreciation is recognised so as to write off the cost of assets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 basis. An item of prop</t>
        </is>
      </c>
    </row>
    <row r="13">
      <c r="A13" s="8" t="inlineStr">
        <is>
          <t>Impairment Testing</t>
        </is>
      </c>
      <c r="B13" s="8" t="inlineStr">
        <is>
          <t>減值測試</t>
        </is>
      </c>
      <c r="C13" s="19" t="inlineStr">
        <is>
          <t>high</t>
        </is>
      </c>
      <c r="D13" s="11" t="inlineStr">
        <is>
          <t>impairment loss</t>
        </is>
      </c>
      <c r="E13" s="11" t="inlineStr">
        <is>
          <t>PDF p.76 (印刷頁 75)</t>
        </is>
      </c>
      <c r="F13" s="11" t="inlineStr">
        <is>
          <t>n required by the terms and conditions of the lease. Right-of-use assets are measured at cost, less any accumulated depreciation and impairment losses, and adjusted for any remeasurement of lease liabilities.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t>
        </is>
      </c>
    </row>
    <row r="14">
      <c r="A14" s="8" t="inlineStr">
        <is>
          <t>Impairment Testing</t>
        </is>
      </c>
      <c r="B14" s="8" t="inlineStr">
        <is>
          <t>減值測試</t>
        </is>
      </c>
      <c r="C14" s="19" t="inlineStr">
        <is>
          <t>high</t>
        </is>
      </c>
      <c r="D14" s="11" t="inlineStr">
        <is>
          <t>impairment loss</t>
        </is>
      </c>
      <c r="E14" s="11" t="inlineStr">
        <is>
          <t>PDF p.78 (印刷頁 77)</t>
        </is>
      </c>
      <c r="F14" s="11" t="inlineStr">
        <is>
          <t>its property and equipment and rightof-use assets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and equipment and right-of-use assets are estimated individually. When it is not possible to estimate the recoverable amount individually, the Group estimates the recoverable amount of the cash</t>
        </is>
      </c>
    </row>
    <row r="15">
      <c r="A15" s="8" t="inlineStr">
        <is>
          <t>Impairment Testing</t>
        </is>
      </c>
      <c r="B15" s="8" t="inlineStr">
        <is>
          <t>減值測試</t>
        </is>
      </c>
      <c r="C15" s="19" t="inlineStr">
        <is>
          <t>high</t>
        </is>
      </c>
      <c r="D15" s="11" t="inlineStr">
        <is>
          <t>impairment loss</t>
        </is>
      </c>
      <c r="E15" s="11" t="inlineStr">
        <is>
          <t>PDF p.101 (印刷頁 100)</t>
        </is>
      </c>
      <c r="F15" s="11" t="inlineStr">
        <is>
          <t>0 0–30 days 14,474 176 31–60 days – 3,068 61–90 days 3,826 – 91–365 days – 38,478 Over 365 days 82,085 123,356 100,385 165,078 Less: Impairment loss allowance (20,020) (86,228) 80,365 78,850 As at 1 January 2024, trade receivables from contract with customers amounted to MOP95,098,000. Before accepting any new customer, the Group assesses the potential customer’s credit quality and defines credit limits by customer. Credit limits attributable to customers are reviewed regularly. Impairment assessment on trade receivables subjec</t>
        </is>
      </c>
    </row>
    <row r="16">
      <c r="A16" s="8" t="inlineStr">
        <is>
          <t>Impairment Testing</t>
        </is>
      </c>
      <c r="B16" s="8" t="inlineStr">
        <is>
          <t>減值測試</t>
        </is>
      </c>
      <c r="C16" s="19" t="inlineStr">
        <is>
          <t>high</t>
        </is>
      </c>
      <c r="D16" s="11" t="inlineStr">
        <is>
          <t>impairment loss</t>
        </is>
      </c>
      <c r="E16" s="11" t="inlineStr">
        <is>
          <t>PDF p.102 (印刷頁 101)</t>
        </is>
      </c>
      <c r="F16" s="11" t="inlineStr">
        <is>
          <t>VABLES (CONTINUED) Impairment assessment on trade receivables subject to ECL model (continued) As at 31 December 2024 Gross carrying Impairment loss Internal credit rating Average loss rate amount allowance MOP’000 MOP’000 Low risk 2.84% 176 5 Doubtful 9% 86,332 7,653 Loss 100% 78,570 78,570 165,078 86,228 The estimated loss rates are estimated based on historical observed default rates over the expected life of the debtors and study of other corporates’ default and recovery data from international credit-rating agencies, and a</t>
        </is>
      </c>
    </row>
    <row r="17">
      <c r="A17" s="8" t="inlineStr">
        <is>
          <t>Impairment Testing</t>
        </is>
      </c>
      <c r="B17" s="8" t="inlineStr">
        <is>
          <t>減值測試</t>
        </is>
      </c>
      <c r="C17" s="19" t="inlineStr">
        <is>
          <t>high</t>
        </is>
      </c>
      <c r="D17" s="11" t="inlineStr">
        <is>
          <t>impairment loss</t>
        </is>
      </c>
      <c r="E17" s="11" t="inlineStr">
        <is>
          <t>PDF p.103 (印刷頁 102)</t>
        </is>
      </c>
      <c r="F17" s="11" t="inlineStr">
        <is>
          <t>d for tenders 36,990 41,879 Prepayments to sub-contractors 972 930 Other receivables and prepayments 5,080 2,280 43,491 45,517 Less: Impairment losses allowance (4,415) (6,129) Total 39,076 39,388 Presented as non-current assets 23 23 Presented as current assets 39,053 39,365 Total 39,076 39,388 The financial assets included in the above balances were categorized in stage 1, 2 and 3 for the measurement of ECL, where applicable, an impairment analysis is performed at each reporting date by considering the probability of default</t>
        </is>
      </c>
    </row>
    <row r="18">
      <c r="A18" s="8" t="inlineStr">
        <is>
          <t>Impairment Testing</t>
        </is>
      </c>
      <c r="B18" s="8" t="inlineStr">
        <is>
          <t>減值測試</t>
        </is>
      </c>
      <c r="C18" s="19" t="inlineStr">
        <is>
          <t>high</t>
        </is>
      </c>
      <c r="D18" s="11" t="inlineStr">
        <is>
          <t>impairment loss</t>
        </is>
      </c>
      <c r="E18" s="11" t="inlineStr">
        <is>
          <t>PDF p.104 (印刷頁 103)</t>
        </is>
      </c>
      <c r="F18" s="11" t="inlineStr">
        <is>
          <t>LITIES As at As at 31 March 2026 31 December 2024 MOP’000 MOP’000 Contract assets Fitting-out services 2,318 2,318 2,318 2,318 Less: Impairment loss allowance (573) (71) 1,745 2,247 Contract liabilities Fitting-out services 26,758 26,758 As at 1 January 2024, contract assets and contract liabilities amounted to MOP20,409,000 and MOP14,182,000, respectively. The Group has rights to considerations from customers for the provision of fitting-out services. Contract assets arise when the Group has right to consideration for completi</t>
        </is>
      </c>
    </row>
    <row r="19">
      <c r="A19" s="8" t="inlineStr">
        <is>
          <t>Impairment Testing</t>
        </is>
      </c>
      <c r="B19" s="8" t="inlineStr">
        <is>
          <t>減值測試</t>
        </is>
      </c>
      <c r="C19" s="19" t="inlineStr">
        <is>
          <t>high</t>
        </is>
      </c>
      <c r="D19" s="11" t="inlineStr">
        <is>
          <t>impairment loss</t>
        </is>
      </c>
      <c r="E19" s="11" t="inlineStr">
        <is>
          <t>PDF p.105 (印刷頁 104)</t>
        </is>
      </c>
      <c r="F19" s="11" t="inlineStr">
        <is>
          <t>about the exposure to credit risk and ECL for contract assets at the end of the reporting period. As at 31 March 2026 Gross carrying Impairment loss Internal credit rating Average loss rate amount allowance MOP’000 MOP’000 Low risk 24.71% 2,318 573 Doubtful – – – Loss – – – 2,318 573 As at 31 December 2024 Gross carrying Impairment loss Internal credit rating Average loss rate amount allowance MOP’000 MOP’000 Low risk 3% 2,318 71 Doubtful – – – Loss – – – 2,318 71 104 Zhongke Group Holdings Limited | Annual Report 2025/26</t>
        </is>
      </c>
    </row>
    <row r="20">
      <c r="A20" s="8" t="inlineStr">
        <is>
          <t>Impairment Testing</t>
        </is>
      </c>
      <c r="B20" s="8" t="inlineStr">
        <is>
          <t>減值測試</t>
        </is>
      </c>
      <c r="C20" s="19" t="inlineStr">
        <is>
          <t>high</t>
        </is>
      </c>
      <c r="D20" s="11" t="inlineStr">
        <is>
          <t>impairment loss</t>
        </is>
      </c>
      <c r="E20" s="11" t="inlineStr">
        <is>
          <t>PDF p.106 (印刷頁 105)</t>
        </is>
      </c>
      <c r="F20" s="11" t="inlineStr">
        <is>
          <t>echniques or significant assumptions made during both period/year. During the fifteen months ended 31 March 2026, the Group provided impairment losses allowance of MOP502,000 (year ended 31 December 2024: provided reversal of impairment losses allowance of MOP28,986,000). The movement in the impairment loss allowance of contract assets during the period/year is as follows: Not credit- Credit-impaired impaired MOP’000 MOP’000 Balance at 1 January 2024 25,787 3,270 Impairment loss allowance recognised, net of reversal (25,787) (3</t>
        </is>
      </c>
    </row>
    <row r="21">
      <c r="A21" s="8" t="inlineStr">
        <is>
          <t>Impairment Testing</t>
        </is>
      </c>
      <c r="B21" s="8" t="inlineStr">
        <is>
          <t>減值測試</t>
        </is>
      </c>
      <c r="C21" s="19" t="inlineStr">
        <is>
          <t>high</t>
        </is>
      </c>
      <c r="D21" s="11" t="inlineStr">
        <is>
          <t>impairment loss</t>
        </is>
      </c>
      <c r="E21" s="11" t="inlineStr">
        <is>
          <t>PDF p.115 (印刷頁 114)</t>
        </is>
      </c>
      <c r="F21" s="11" t="inlineStr">
        <is>
          <t>up reviews the recoverable amount of each individual debt at the end of each reporting period to ensure that adequate provisions for impairment losses are made for irrecoverable amounts on trade receivable and contract assets. The Group applies simplified approach on trade receivables and contract assets to provide for ECL prescribed by HKFRS 9. To measure the ECL of trade receivables and contract assets, trade receivables and contract assets are assessed individually with details disclosed in notes 16 and 18, respectively. In</t>
        </is>
      </c>
    </row>
    <row r="22">
      <c r="A22" s="8" t="inlineStr">
        <is>
          <t>Intangible Assets &amp; Goodwill</t>
        </is>
      </c>
      <c r="B22" s="8" t="inlineStr">
        <is>
          <t>無形資產及商譽</t>
        </is>
      </c>
      <c r="C22" s="19" t="inlineStr">
        <is>
          <t>high</t>
        </is>
      </c>
      <c r="D22" s="11" t="inlineStr">
        <is>
          <t>goodwill</t>
        </is>
      </c>
      <c r="E22" s="11" t="inlineStr">
        <is>
          <t>PDF p.73 (印刷頁 72)</t>
        </is>
      </c>
      <c r="F22"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assesses whether there is an objective evidence that the interest in an</t>
        </is>
      </c>
    </row>
    <row r="23">
      <c r="A23" s="8" t="inlineStr">
        <is>
          <t>Intangible Assets &amp; Goodwill</t>
        </is>
      </c>
      <c r="B23" s="8" t="inlineStr">
        <is>
          <t>無形資產及商譽</t>
        </is>
      </c>
      <c r="C23" s="19" t="inlineStr">
        <is>
          <t>high</t>
        </is>
      </c>
      <c r="D23" s="11" t="inlineStr">
        <is>
          <t>useful life</t>
        </is>
      </c>
      <c r="E23" s="11" t="inlineStr">
        <is>
          <t>PDF p.76 (印刷頁 75)</t>
        </is>
      </c>
      <c r="F23" s="11" t="inlineStr">
        <is>
          <t>y remeasurement of lease liabilities.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HKFRS 9 and initially measured at fair value. Adjustments to fair value at initial recognition are considered as additional lease payments and included in the cost of right-</t>
        </is>
      </c>
    </row>
    <row r="24">
      <c r="A24" s="8" t="inlineStr">
        <is>
          <t>Intangible Assets &amp; Goodwill</t>
        </is>
      </c>
      <c r="B24" s="8" t="inlineStr">
        <is>
          <t>無形資產及商譽</t>
        </is>
      </c>
      <c r="C24" s="19" t="inlineStr">
        <is>
          <t>high</t>
        </is>
      </c>
      <c r="D24" s="11" t="inlineStr">
        <is>
          <t>goodwill</t>
        </is>
      </c>
      <c r="E24" s="11" t="inlineStr">
        <is>
          <t>PDF p.78 (印刷頁 77)</t>
        </is>
      </c>
      <c r="F24"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25">
      <c r="A25" s="8" t="inlineStr">
        <is>
          <t>Investment Properties</t>
        </is>
      </c>
      <c r="B25" s="8" t="inlineStr">
        <is>
          <t>投資物業</t>
        </is>
      </c>
      <c r="C25" s="19" t="inlineStr">
        <is>
          <t>high</t>
        </is>
      </c>
      <c r="D25" s="11" t="inlineStr">
        <is>
          <t>investment property</t>
        </is>
      </c>
      <c r="E25" s="11" t="inlineStr">
        <is>
          <t>PDF p.51 (印刷頁 50)</t>
        </is>
      </c>
      <c r="F25" s="11" t="inlineStr">
        <is>
          <t>e set out in note 13 to the consolidated financial statements. INVESTMENT PROPERTIES As at 31 March 2026, the Group did not hold any investment property. 50 Zhongke Group Holdings Limited | Annual Report 2025/26</t>
        </is>
      </c>
    </row>
    <row r="26">
      <c r="A26" s="8" t="inlineStr">
        <is>
          <t>ESG Data</t>
        </is>
      </c>
      <c r="B26" s="8" t="inlineStr">
        <is>
          <t>環境社會及管治數據</t>
        </is>
      </c>
      <c r="C26" s="8" t="inlineStr">
        <is>
          <t>medium</t>
        </is>
      </c>
      <c r="D26" s="11" t="inlineStr">
        <is>
          <t>ESG</t>
        </is>
      </c>
      <c r="E26" s="11" t="inlineStr">
        <is>
          <t>PDF p.21 (印刷頁 20)</t>
        </is>
      </c>
      <c r="F26" s="11" t="inlineStr">
        <is>
          <t>f this annual report, the Board and the Audit Committee reviewed the Group’s financial reporting procedures, audit planning process, ESG reporting timetable, cash flow planning for reporting-related expenses and the escalation mechanism for unresolved audit issues. The Board noted that the Company had experienced delays in the publication of its annual results and annual report for the previous financial year and in laying its annual financial statements before shareholders at the annual general meeting. The Board and the Audit</t>
        </is>
      </c>
    </row>
    <row r="27">
      <c r="A27" s="8" t="inlineStr">
        <is>
          <t>ESG Data</t>
        </is>
      </c>
      <c r="B27" s="8" t="inlineStr">
        <is>
          <t>環境社會及管治數據</t>
        </is>
      </c>
      <c r="C27" s="8" t="inlineStr">
        <is>
          <t>medium</t>
        </is>
      </c>
      <c r="D27" s="11" t="inlineStr">
        <is>
          <t>ESG</t>
        </is>
      </c>
      <c r="E27" s="11" t="inlineStr">
        <is>
          <t>PDF p.22 (印刷頁 21)</t>
        </is>
      </c>
      <c r="F27" s="11" t="inlineStr">
        <is>
          <t>CORPORATE GOVERNANCE REPORT (iv) the Company has designated responsible personnel to coordinate with the auditor, valuer, ESG consultant, printer and other professional parties, and has implemented a backup arrangement to ensure continuity of the reporting process when key personnel are unavailable; (v) the Company has enhanced its cash flow planning procedures to reserve sufficient funds for audit, ESG reporting, printing and other financial reporting expenses, and the payment status of such expenses will be monitor</t>
        </is>
      </c>
    </row>
    <row r="28">
      <c r="A28" s="8" t="inlineStr">
        <is>
          <t>ESG Data</t>
        </is>
      </c>
      <c r="B28" s="8" t="inlineStr">
        <is>
          <t>環境社會及管治數據</t>
        </is>
      </c>
      <c r="C28" s="8" t="inlineStr">
        <is>
          <t>medium</t>
        </is>
      </c>
      <c r="D28" s="11" t="inlineStr">
        <is>
          <t>ESG</t>
        </is>
      </c>
      <c r="E28" s="11" t="inlineStr">
        <is>
          <t>PDF p.27 (印刷頁 26)</t>
        </is>
      </c>
      <c r="F28" s="11" t="inlineStr">
        <is>
          <t>rnance Report (the “Report”) presents the management approach, sustainability strategies, and environmental, social and governance (“ESG”) performance of Zhongke Group Holdings Limited and its subsidiaries (the “Group”). This ESG Report has been prepared in accordance with the Environmental, Social and Governance Reporting Code (the “ESG Code”) set out in Appendix C2 to the Rules Governing the Listing of Securities on The Stock Exchange of Hong Kong Limited (the “Listing Rules”), and complies with the “comply or explain” provis</t>
        </is>
      </c>
    </row>
    <row r="29">
      <c r="A29" s="8" t="inlineStr">
        <is>
          <t>ESG Data</t>
        </is>
      </c>
      <c r="B29" s="8" t="inlineStr">
        <is>
          <t>環境社會及管治數據</t>
        </is>
      </c>
      <c r="C29" s="8" t="inlineStr">
        <is>
          <t>medium</t>
        </is>
      </c>
      <c r="D29" s="11" t="inlineStr">
        <is>
          <t>ESG</t>
        </is>
      </c>
      <c r="E29" s="11" t="inlineStr">
        <is>
          <t>PDF p.28 (印刷頁 27)</t>
        </is>
      </c>
      <c r="F29" s="11" t="inlineStr">
        <is>
          <t>ce. STATEMENT OF THE BOARD OF DIRECTORS Dear Stakeholders, The Board of Directors (the “Board”) holds overall responsibility for our ESG strategy, risk management, and reporting. Over the past 15-month Reporting Period, we faced significant operational and corporate governance challenges. In response, we prioritized rebuilding stakeholder trust by actively strengthening our internal controls, business ethics, and compliance frameworks. We recognize that robust corporate governance is the absolute foundation of sustainable busin</t>
        </is>
      </c>
    </row>
    <row r="30">
      <c r="A30" s="8" t="inlineStr">
        <is>
          <t>ESG Data</t>
        </is>
      </c>
      <c r="B30" s="8" t="inlineStr">
        <is>
          <t>環境社會及管治數據</t>
        </is>
      </c>
      <c r="C30" s="8" t="inlineStr">
        <is>
          <t>medium</t>
        </is>
      </c>
      <c r="D30" s="11" t="inlineStr">
        <is>
          <t>greenhouse gas</t>
        </is>
      </c>
      <c r="E30" s="11" t="inlineStr">
        <is>
          <t>PDF p.29 (印刷頁 28)</t>
        </is>
      </c>
      <c r="F30" s="11" t="inlineStr">
        <is>
          <t>ues and their relative importance: Aspect Materiality Topics Importance Environmental 1. Energy Consumption and Efficiency Medium 2. Greenhouse gas (“GHG”) Emissions Medium 3. Site Waste and Effluent Management Medium 4. Noise and Dust Control Mitigation Medium 5. Climate Change High 28 Zhongke Group Holdings Limited | Annual Report 2025/26</t>
        </is>
      </c>
    </row>
    <row r="31">
      <c r="A31" s="8" t="inlineStr">
        <is>
          <t>ESG Data</t>
        </is>
      </c>
      <c r="B31" s="8" t="inlineStr">
        <is>
          <t>環境社會及管治數據</t>
        </is>
      </c>
      <c r="C31" s="8" t="inlineStr">
        <is>
          <t>medium</t>
        </is>
      </c>
      <c r="D31" s="11" t="inlineStr">
        <is>
          <t>ESG</t>
        </is>
      </c>
      <c r="E31" s="11" t="inlineStr">
        <is>
          <t>PDF p.30 (印刷頁 29)</t>
        </is>
      </c>
      <c r="F31" s="11" t="inlineStr">
        <is>
          <t>nd Fraud High During the Reporting Period, the Board confirmed that appropriate management policies and internal control systems for ESG issues were in place, taking into account the ongoing governance remediation efforts previously disclosed. The Board confirms the information disclosed in this report meets the requirements of the ESG Code. ETHICS AND INTEGRITY The Group strictly prohibits all forms of corruption, bribery, and extortion. To protect our reputation and maintain stakeholder confidence, we have adopted a “zero-tol</t>
        </is>
      </c>
    </row>
    <row r="32">
      <c r="A32" s="8" t="inlineStr">
        <is>
          <t>ESG Data</t>
        </is>
      </c>
      <c r="B32" s="8" t="inlineStr">
        <is>
          <t>環境社會及管治數據</t>
        </is>
      </c>
      <c r="C32" s="8" t="inlineStr">
        <is>
          <t>medium</t>
        </is>
      </c>
      <c r="D32" s="11" t="inlineStr">
        <is>
          <t>carbon</t>
        </is>
      </c>
      <c r="E32" s="11" t="inlineStr">
        <is>
          <t>PDF p.31 (印刷頁 30)</t>
        </is>
      </c>
      <c r="F32" s="11" t="inlineStr">
        <is>
          <t>Control Ordinance, and Waste Disposal Ordinance in Hong Kong. Emissions Management The Group aims to minimize energy consumption and carbon emissions by exploring operational models that reduce our environmental footprint. We integrate environmental considerations into every stage of our business processes, from project design and material procurement to on-site execution. Given the nature of our fitting-out and maintenance services, our operations may involve the use of chemical substances and the generation of air pollutants,</t>
        </is>
      </c>
    </row>
    <row r="33">
      <c r="A33" s="8" t="inlineStr">
        <is>
          <t>ESG Data</t>
        </is>
      </c>
      <c r="B33" s="8" t="inlineStr">
        <is>
          <t>環境社會及管治數據</t>
        </is>
      </c>
      <c r="C33" s="8" t="inlineStr">
        <is>
          <t>medium</t>
        </is>
      </c>
      <c r="D33" s="11" t="inlineStr">
        <is>
          <t>carbon</t>
        </is>
      </c>
      <c r="E33" s="11" t="inlineStr">
        <is>
          <t>PDF p.32 (印刷頁 31)</t>
        </is>
      </c>
      <c r="F33" s="11" t="inlineStr">
        <is>
          <t>15-month transitional period, direct comparisons with prior 12-month figures may not be perfectly aligned. To effectively manage our carbon footprint, the Group implements practical energy-saving measures across our office operations. We enforce policies such as shutting down air-conditioning systems after hours, maintaining summer office temperatures at 25ºC, and prioritizing the use of energy-efficient LED lighting. To cultivate a culture of sustainability, we regularly issue internal environmental memorandums and display pro</t>
        </is>
      </c>
    </row>
    <row r="34">
      <c r="A34" s="8" t="inlineStr">
        <is>
          <t>ESG Data</t>
        </is>
      </c>
      <c r="B34" s="8" t="inlineStr">
        <is>
          <t>環境社會及管治數據</t>
        </is>
      </c>
      <c r="C34" s="8" t="inlineStr">
        <is>
          <t>medium</t>
        </is>
      </c>
      <c r="D34" s="11" t="inlineStr">
        <is>
          <t>GHG emission</t>
        </is>
      </c>
      <c r="E34" s="11" t="inlineStr">
        <is>
          <t>PDF p.33 (印刷頁 32)</t>
        </is>
      </c>
      <c r="F34" s="11" t="inlineStr">
        <is>
          <t>primary sources of energy consumption are purchased electricity for our offices and petrol for company vehicles. As detailed in our GHG Emission Management section, we have formulated comprehensive environmental policies to optimize energy use. Beyond our standard office energy-saving protocols, we actively encourage the use of telephone and video conferencing to minimize unnecessary business travel, thereby reducing our overall fuel consumption. We proactively foster a low-carbon corporate culture, continuously raising staff</t>
        </is>
      </c>
    </row>
    <row r="35">
      <c r="A35" s="8" t="inlineStr">
        <is>
          <t>ESG Data</t>
        </is>
      </c>
      <c r="B35" s="8" t="inlineStr">
        <is>
          <t>環境社會及管治數據</t>
        </is>
      </c>
      <c r="C35" s="8" t="inlineStr">
        <is>
          <t>medium</t>
        </is>
      </c>
      <c r="D35" s="11" t="inlineStr">
        <is>
          <t>ESG</t>
        </is>
      </c>
      <c r="E35" s="11" t="inlineStr">
        <is>
          <t>PDF p.34 (印刷頁 33)</t>
        </is>
      </c>
      <c r="F35" s="11" t="inlineStr">
        <is>
          <t>s, supply chain stability, and site safety. In accordance with the climaterelated disclosure requirements under Part D of the HKEX ESG Reporting Code, the Group structures its climate response across four core pillars: Governance, Strategy, Risk Management, and Metrics and Targets. Governance Climate-related oversight is fully integrated into the Group’s overall ESG governance framework. The Board of Directors holds ultimate responsibility for evaluating how climate risks and opportunities affect the Group’s strategic project</t>
        </is>
      </c>
    </row>
    <row r="36">
      <c r="A36" s="8" t="inlineStr">
        <is>
          <t>ESG Data</t>
        </is>
      </c>
      <c r="B36" s="8" t="inlineStr">
        <is>
          <t>環境社會及管治數據</t>
        </is>
      </c>
      <c r="C36" s="8" t="inlineStr">
        <is>
          <t>medium</t>
        </is>
      </c>
      <c r="D36" s="11" t="inlineStr">
        <is>
          <t>carbon</t>
        </is>
      </c>
      <c r="E36" s="11" t="inlineStr">
        <is>
          <t>PDF p.35 (印刷頁 34)</t>
        </is>
      </c>
      <c r="F36" s="11" t="inlineStr">
        <is>
          <t>years). Given our business nature as a service-oriented contractor, and noting that Hong Kong does not currently impose a mandatory carbon tax or carbon emission cap on our sector, the Group has not yet implemented internal carbon pricing or climate-linked remuneration. Instead, our current strategy focuses on progressively enhancing project-level data collection to better evaluate the carbon footprint of our procurement choices and site operations. Risk Management The Group actively monitors regional regulatory developments,</t>
        </is>
      </c>
    </row>
    <row r="37">
      <c r="A37" s="8" t="inlineStr">
        <is>
          <t>ESG Data</t>
        </is>
      </c>
      <c r="B37" s="8" t="inlineStr">
        <is>
          <t>環境社會及管治數據</t>
        </is>
      </c>
      <c r="C37" s="8" t="inlineStr">
        <is>
          <t>medium</t>
        </is>
      </c>
      <c r="D37" s="11" t="inlineStr">
        <is>
          <t>greenhouse gas</t>
        </is>
      </c>
      <c r="E37" s="11" t="inlineStr">
        <is>
          <t>PDF p.36 (印刷頁 35)</t>
        </is>
      </c>
      <c r="F37" s="11" t="inlineStr">
        <is>
          <t>y metrics across our operations, focusing on areas most relevant to the fitting-out industry. The detailed quantitative data for our greenhouse gas (GHG) emissions, energy usage, water consumption, and waste generation are presented in the data tables below. GHG Emissions4 Unit 2025/2026 2024 Direct GHG emission (Scope 1) – petrol consumption (Motor vehicle) Tonnes of CO2-e 2.98 1.88 – gas consumption (Dormitory) Tonnes of CO2-e 0.07 0.07 Indirect GHG emission (Scope 2)5 – electricity consumption Tonnes of CO2-e 14.01 9.59 Othe</t>
        </is>
      </c>
    </row>
    <row r="38">
      <c r="A38" s="8" t="inlineStr">
        <is>
          <t>ESG Data</t>
        </is>
      </c>
      <c r="B38" s="8" t="inlineStr">
        <is>
          <t>環境社會及管治數據</t>
        </is>
      </c>
      <c r="C38" s="8" t="inlineStr">
        <is>
          <t>medium</t>
        </is>
      </c>
      <c r="D38" s="11" t="inlineStr">
        <is>
          <t>ESG</t>
        </is>
      </c>
      <c r="E38" s="11" t="inlineStr">
        <is>
          <t>PDF p.39 (印刷頁 38)</t>
        </is>
      </c>
      <c r="F38" s="11" t="inlineStr">
        <is>
          <t>ness, and delivery timelines. To effectively manage environmental and social risks along the supply chain, the Group also integrates ESG criteria into this selection process, prioritizing suppliers who demonstrate strong compliance with local labor laws, occupational safety standards, and environmental regulations. The procurement process is highly structured: the procurement department coordinates with project managers to select suitable vendors from the approved list. Proposed purchase orders are reviewed and approved by the</t>
        </is>
      </c>
    </row>
    <row r="39">
      <c r="A39" s="8" t="inlineStr">
        <is>
          <t>ESG Data</t>
        </is>
      </c>
      <c r="B39" s="8" t="inlineStr">
        <is>
          <t>環境社會及管治數據</t>
        </is>
      </c>
      <c r="C39" s="8" t="inlineStr">
        <is>
          <t>medium</t>
        </is>
      </c>
      <c r="D39" s="11" t="inlineStr">
        <is>
          <t>energy consumption</t>
        </is>
      </c>
      <c r="E39" s="11" t="inlineStr">
        <is>
          <t>PDF p.41 (印刷頁 40)</t>
        </is>
      </c>
      <c r="F39" s="11" t="inlineStr">
        <is>
          <t>set and steps taken to achieve them. Aspect A2: Use of General Disclosure Use of Resources Resources KPI A2.1 Direct and/or indirect energy consumption by type in total Use of Resources and intensity. KPI A2.2 Water consumption in total and intensity. Use of Resources KPI A2.3 Description of energy use efficiency target(s) set and steps Use of Resources taken to achieve them. KPI A2.4 Description of whether there is any issue in sourcing water Use of Resources that is fit for purpose, water efficiency target(s) set and steps ta</t>
        </is>
      </c>
    </row>
    <row r="40">
      <c r="A40" s="8" t="inlineStr">
        <is>
          <t>ESG Data</t>
        </is>
      </c>
      <c r="B40" s="8" t="inlineStr">
        <is>
          <t>環境社會及管治數據</t>
        </is>
      </c>
      <c r="C40" s="8" t="inlineStr">
        <is>
          <t>medium</t>
        </is>
      </c>
      <c r="D40" s="11" t="inlineStr">
        <is>
          <t>greenhouse gas</t>
        </is>
      </c>
      <c r="E40" s="11" t="inlineStr">
        <is>
          <t>PDF p.44 (印刷頁 43)</t>
        </is>
      </c>
      <c r="F40" s="11" t="inlineStr">
        <is>
          <t>limate-related risks and opportunities are integrated into and inform the issuer’s overall risk management process. (IV) Metrics and Greenhouse gas emissions Climate Change Targets Climate-related transition risks Climate Change Climate-related physical risks Climate Change Climate-related opportunities Climate Change Capital deployment Climate Change Internal carbon prices W e c u r r e n t l y d o n o t incorporate internal carbon prices into our decision making process. We will explore the use of internal carbon prices in th</t>
        </is>
      </c>
    </row>
    <row r="41">
      <c r="A41" s="8" t="inlineStr">
        <is>
          <t>Segment Information</t>
        </is>
      </c>
      <c r="B41" s="8" t="inlineStr">
        <is>
          <t>分部資料</t>
        </is>
      </c>
      <c r="C41" s="8" t="inlineStr">
        <is>
          <t>medium</t>
        </is>
      </c>
      <c r="D41" s="11" t="inlineStr">
        <is>
          <t>geographical</t>
        </is>
      </c>
      <c r="E41" s="11" t="inlineStr">
        <is>
          <t>PDF p.5 (印刷頁 4)</t>
        </is>
      </c>
      <c r="F41" s="11" t="inlineStr">
        <is>
          <t>into new market opportunities, which are essential for stabilizing our financial position. The Board believes that by expanding our geographical focus and project portfolio, the Group can not only mitigate the impacts associated with the incident abovementioned but also enhance its overall financial health. This approach is intended to restore the Group’s financial stability and pave the way for sustainable growth, we aim to capture emerging opportunities that can drive revenue and profitability soon. I would like to take this</t>
        </is>
      </c>
    </row>
    <row r="42">
      <c r="A42" s="8" t="inlineStr">
        <is>
          <t>Segment Information</t>
        </is>
      </c>
      <c r="B42" s="8" t="inlineStr">
        <is>
          <t>分部資料</t>
        </is>
      </c>
      <c r="C42" s="8" t="inlineStr">
        <is>
          <t>medium</t>
        </is>
      </c>
      <c r="D42" s="11" t="inlineStr">
        <is>
          <t>geographical</t>
        </is>
      </c>
      <c r="E42" s="11" t="inlineStr">
        <is>
          <t>PDF p.38 (印刷頁 37)</t>
        </is>
      </c>
      <c r="F42" s="11" t="inlineStr">
        <is>
          <t>OVERNANCE Turnover rate7 2025/2026 Gender male 60% female 33% Age below 25 0% 25–29 0% 30–39 50% 40–49 50% 50–59 67% 60 or above 40% Geographical region Macau 100% Hong Kong 44% China 0% 7. The employee turnover rate is calculated by dividing the number of employees who left the company by the average number of employees in a certain period in time. The Group’s staff handbook sets out policies relating to recruitment, promotion, discipline, diversity, equal opportunity, antidiscrimination, compensation and benefits, working h</t>
        </is>
      </c>
    </row>
    <row r="43">
      <c r="A43" s="8" t="inlineStr">
        <is>
          <t>Segment Information</t>
        </is>
      </c>
      <c r="B43" s="8" t="inlineStr">
        <is>
          <t>分部資料</t>
        </is>
      </c>
      <c r="C43" s="8" t="inlineStr">
        <is>
          <t>medium</t>
        </is>
      </c>
      <c r="D43" s="11" t="inlineStr">
        <is>
          <t>geographical</t>
        </is>
      </c>
      <c r="E43" s="11" t="inlineStr">
        <is>
          <t>PDF p.40 (印刷頁 39)</t>
        </is>
      </c>
      <c r="F43" s="11" t="inlineStr">
        <is>
          <t>is currently in the process of refining its procurement data collection systems to accurately categorize its approved vendor list by geographical region. Consequently, the quantitative breakdown of the number of suppliers by region is not disclosed in this Reporting Period. The Group will continue to enhance its data tracking capabilities with the aim of disclosing this information in future reports. Product Responsibility Quality and Safety of Services The Group places high attention on the quality and safety of its fitting-ou</t>
        </is>
      </c>
    </row>
    <row r="44">
      <c r="A44" s="8" t="inlineStr">
        <is>
          <t>Segment Information</t>
        </is>
      </c>
      <c r="B44" s="8" t="inlineStr">
        <is>
          <t>分部資料</t>
        </is>
      </c>
      <c r="C44" s="8" t="inlineStr">
        <is>
          <t>medium</t>
        </is>
      </c>
      <c r="D44" s="11" t="inlineStr">
        <is>
          <t>geographical</t>
        </is>
      </c>
      <c r="E44" s="11" t="inlineStr">
        <is>
          <t>PDF p.42 (印刷頁 41)</t>
        </is>
      </c>
      <c r="F44" s="11" t="inlineStr">
        <is>
          <t>CE Aspect B1: General Disclosure Employment Employment KPI B1.1 Total workforce by gender, employment type, age group Employment and geographical region. KPI B1.2 Employee turnover rate by gender, age group and Employment geographical region. Aspect B2: Health General Disclosure Health and Safety and Safety KPI B2.1 Number and rate of work-related fatalities occurred in each Health and Safety of the past three years including the reporting year. KPI B2.2 Lost days due to work injury. Health and Safety KPI B2.3 Description of oc</t>
        </is>
      </c>
    </row>
    <row r="45">
      <c r="A45" s="8" t="inlineStr">
        <is>
          <t>Segment Information</t>
        </is>
      </c>
      <c r="B45" s="8" t="inlineStr">
        <is>
          <t>分部資料</t>
        </is>
      </c>
      <c r="C45" s="8" t="inlineStr">
        <is>
          <t>medium</t>
        </is>
      </c>
      <c r="D45" s="11" t="inlineStr">
        <is>
          <t>segment information</t>
        </is>
      </c>
      <c r="E45" s="11" t="inlineStr">
        <is>
          <t>PDF p.88 (印刷頁 87)</t>
        </is>
      </c>
      <c r="F45" s="11" t="inlineStr">
        <is>
          <t>lable and is required to make certain entity-specific estimates (such as the subsidiary’s stand-alone credit rating). 5. REVENUE AND SEGMENT INFORMATION Revenue represents the fair value of amounts received and receivable from the provision of fitting-out and repair and maintenance service by the Group to external customers. The Group’s revenue is mainly derived from provision of fitting-out services and repair and maintenance services in Macau and Hong Kong. 87 Zhongke Group Holdings Limited | Annual Report 2025/26</t>
        </is>
      </c>
    </row>
    <row r="46">
      <c r="A46" s="8" t="inlineStr">
        <is>
          <t>Segment Information</t>
        </is>
      </c>
      <c r="B46" s="8" t="inlineStr">
        <is>
          <t>分部資料</t>
        </is>
      </c>
      <c r="C46" s="8" t="inlineStr">
        <is>
          <t>medium</t>
        </is>
      </c>
      <c r="D46" s="11" t="inlineStr">
        <is>
          <t>segment information</t>
        </is>
      </c>
      <c r="E46" s="11" t="inlineStr">
        <is>
          <t>PDF p.89 (印刷頁 88)</t>
        </is>
      </c>
      <c r="F46" s="11" t="inlineStr">
        <is>
          <t>NOTES TO THE CONSOLIDATED FINANCIAL STATEMENTS For the fifteen months ended 31 March 2026 5. REVENUE AND SEGMENT INFORMATION (CONTINUED) Revenue Timing of revenue recognition and category of revenue Fifteen months ended Year ended 31 March 2026 31 December 2024 MOP’000 MOP’000 Recognised over time and short-term contracts: – provision of fitting-out services 30,961 8,595 Recognised over time and long-term contracts: – provision of repair and maintenance services – 235 30,961 8,830 Geographical inform</t>
        </is>
      </c>
    </row>
    <row r="47">
      <c r="A47" s="8" t="inlineStr">
        <is>
          <t>Segment Information</t>
        </is>
      </c>
      <c r="B47" s="8" t="inlineStr">
        <is>
          <t>分部資料</t>
        </is>
      </c>
      <c r="C47" s="8" t="inlineStr">
        <is>
          <t>medium</t>
        </is>
      </c>
      <c r="D47" s="11" t="inlineStr">
        <is>
          <t>segment information</t>
        </is>
      </c>
      <c r="E47" s="11" t="inlineStr">
        <is>
          <t>PDF p.90 (印刷頁 89)</t>
        </is>
      </c>
      <c r="F47" s="11" t="inlineStr">
        <is>
          <t>NOTES TO THE CONSOLIDATED FINANCIAL STATEMENTS For the fifteen months ended 31 March 2026 5. REVENUE AND SEGMENT INFORMATION (CONTINUED) Revenue (continued) Transaction price allocated to the remaining performance obligations The following table shows the aggregate amount of the transaction price allocated to performance obligations that are unsatisfied (or partially unsatisfied) as at the end of each reporting period. Fifteen months ended Year ended 31 March 2026 31 December 2024 MOP’000 MOP’000 Pro</t>
        </is>
      </c>
    </row>
    <row r="48">
      <c r="A48" s="8" t="inlineStr">
        <is>
          <t>Segment Information</t>
        </is>
      </c>
      <c r="B48" s="8" t="inlineStr">
        <is>
          <t>分部資料</t>
        </is>
      </c>
      <c r="C48" s="8" t="inlineStr">
        <is>
          <t>medium</t>
        </is>
      </c>
      <c r="D48" s="11" t="inlineStr">
        <is>
          <t>segment information</t>
        </is>
      </c>
      <c r="E48" s="11" t="inlineStr">
        <is>
          <t>PDF p.91 (印刷頁 90)</t>
        </is>
      </c>
      <c r="F48" s="11" t="inlineStr">
        <is>
          <t>NOTES TO THE CONSOLIDATED FINANCIAL STATEMENTS For the fifteen months ended 31 March 2026 5. REVENUE AND SEGMENT INFORMATION (CONTINUED) Segment information (continued) Segment revenue and results Fifteen months ended 31 March 2026 Repair and Fitting-out maintenance services services Total MOP’000 MOP’000 MOP’000 Segment revenue 30,961 – 30,961 Segment results (12,596) – (12,596) Other income and other losses (1,081) Administrative expenses (23,575) Finance costs (6,733) Loss before taxation (43,985)</t>
        </is>
      </c>
    </row>
    <row r="49">
      <c r="A49" s="8" t="inlineStr">
        <is>
          <t>Segment Information</t>
        </is>
      </c>
      <c r="B49" s="8" t="inlineStr">
        <is>
          <t>分部資料</t>
        </is>
      </c>
      <c r="C49" s="8" t="inlineStr">
        <is>
          <t>medium</t>
        </is>
      </c>
      <c r="D49" s="11" t="inlineStr">
        <is>
          <t>segment information</t>
        </is>
      </c>
      <c r="E49" s="11" t="inlineStr">
        <is>
          <t>PDF p.92 (印刷頁 91)</t>
        </is>
      </c>
      <c r="F49" s="11" t="inlineStr">
        <is>
          <t>NOTES TO THE CONSOLIDATED FINANCIAL STATEMENTS For the fifteen months ended 31 March 2026 5. REVENUE AND SEGMENT INFORMATION (CONTINUED) Segment information (continued) Geographical information The Group’s operations are mainly carried out in Macau and Hong Kong. The Group’s revenue from external customers based on the location of projects are set out below: Fifteen months ended Year ended 31 March 2026 31 December 2024 MOP’000 MOP’000 Macau 3,324 8,527 Hong Kong 27,637 303 30,961 8,830 The Group’s n</t>
        </is>
      </c>
    </row>
    <row r="50">
      <c r="A50" s="8" t="inlineStr">
        <is>
          <t>Share-based Payment</t>
        </is>
      </c>
      <c r="B50" s="8" t="inlineStr">
        <is>
          <t>以股份為基礎的付款</t>
        </is>
      </c>
      <c r="C50" s="8" t="inlineStr">
        <is>
          <t>medium</t>
        </is>
      </c>
      <c r="D50" s="11" t="inlineStr">
        <is>
          <t>share option</t>
        </is>
      </c>
      <c r="E50" s="11" t="inlineStr">
        <is>
          <t>PDF p.11 (印刷頁 10)</t>
        </is>
      </c>
      <c r="F50" s="11" t="inlineStr">
        <is>
          <t>erformance of its employees, which forms the basis of determining salary raises, bonuses and promotions. The Group also operates the Share Option Scheme (defined hereafter), pursuant to which options to subscribe for Shares may be granted to the Directors and employees of the Group. The Group also provides various training to its employees and sponsors its employees to attend various training courses, such as those on occupational health and safety in relation to its work. Such training courses include its internal training as</t>
        </is>
      </c>
    </row>
    <row r="51">
      <c r="A51" s="8" t="inlineStr">
        <is>
          <t>Share-based Payment</t>
        </is>
      </c>
      <c r="B51" s="8" t="inlineStr">
        <is>
          <t>以股份為基礎的付款</t>
        </is>
      </c>
      <c r="C51" s="8" t="inlineStr">
        <is>
          <t>medium</t>
        </is>
      </c>
      <c r="D51" s="11" t="inlineStr">
        <is>
          <t>share option</t>
        </is>
      </c>
      <c r="E51" s="11" t="inlineStr">
        <is>
          <t>PDF p.20 (印刷頁 19)</t>
        </is>
      </c>
      <c r="F51" s="11" t="inlineStr">
        <is>
          <t>6 to the financial statements. During the Reporting Period, the Remuneration Committee reviewed and approved the grant of 50,000,000 share options to certain Directors, the Chief Financial Officer and other employees of the Group. Details of the material matters reviewed, including the performance targets and clawback arrangements and the factors considered by the Remuneration Committee, are set out in the section headed “Share Option Scheme” in the Report of the Directors on pages 53 to 55 of this annual report. Nomination Com</t>
        </is>
      </c>
    </row>
    <row r="52">
      <c r="A52" s="8" t="inlineStr">
        <is>
          <t>Share-based Payment</t>
        </is>
      </c>
      <c r="B52" s="8" t="inlineStr">
        <is>
          <t>以股份為基礎的付款</t>
        </is>
      </c>
      <c r="C52" s="8" t="inlineStr">
        <is>
          <t>medium</t>
        </is>
      </c>
      <c r="D52" s="11" t="inlineStr">
        <is>
          <t>share option</t>
        </is>
      </c>
      <c r="E52" s="11" t="inlineStr">
        <is>
          <t>PDF p.52 (印刷頁 51)</t>
        </is>
      </c>
      <c r="F52" s="11" t="inlineStr">
        <is>
          <t>note 24 to the consolidated financial statements. EQUITY-LINKED AGREEMENTS Save as disclosed in this annual report relating to the “Share Option Scheme”, no equity-linked agreements were entered into during the Reporting Period or subsisted at the end of the year. PERMITTED INDEMNITY PROVISION Pursuant to article 164 of the Articles of Association, subject to relevant laws, every Director shall be entitled to be indemnified and secured harmless out of the assets and profits of the Company against all actions, costs, charges, l</t>
        </is>
      </c>
    </row>
    <row r="53">
      <c r="A53" s="8" t="inlineStr">
        <is>
          <t>Share-based Payment</t>
        </is>
      </c>
      <c r="B53" s="8" t="inlineStr">
        <is>
          <t>以股份為基礎的付款</t>
        </is>
      </c>
      <c r="C53" s="8" t="inlineStr">
        <is>
          <t>medium</t>
        </is>
      </c>
      <c r="D53" s="11" t="inlineStr">
        <is>
          <t>share option</t>
        </is>
      </c>
      <c r="E53" s="11" t="inlineStr">
        <is>
          <t>PDF p.53 (印刷頁 52)</t>
        </is>
      </c>
      <c r="F53" s="11" t="inlineStr">
        <is>
          <t>opious Astute”). Copious Astute is held as to 100% by Mr. Li. (3) These represented the interests in underlying shares in respect of share options granted by the Company, details of which are disclosed in paragraph headed “Share Option Scheme” above. (4) Mr. Cheung Tai Chi is the Chief Financial Officer of the Company. 52 Zhongke Group Holdings Limited | Annual Report 2025/26</t>
        </is>
      </c>
    </row>
    <row r="54">
      <c r="A54" s="8" t="inlineStr">
        <is>
          <t>Share-based Payment</t>
        </is>
      </c>
      <c r="B54" s="8" t="inlineStr">
        <is>
          <t>以股份為基礎的付款</t>
        </is>
      </c>
      <c r="C54" s="8" t="inlineStr">
        <is>
          <t>medium</t>
        </is>
      </c>
      <c r="D54" s="11" t="inlineStr">
        <is>
          <t>share option</t>
        </is>
      </c>
      <c r="E54" s="11" t="inlineStr">
        <is>
          <t>PDF p.54 (印刷頁 53)</t>
        </is>
      </c>
      <c r="F54" s="11" t="inlineStr">
        <is>
          <t>he Stock Exchange pursuant to the Model Code. ARRANGEMENTS TO PURCHASE SHARES OR DEBENTURES Save as disclosed in the section headed “Share Option Scheme”, at no time during the Reporting Period was the Company, its holding company, or its subsidiaries a party to any arrangements to enable the Directors (including their spouse and children under 18 years of age) to acquire benefits by means of the acquisition of Shares in, or debentures of, the Company or any other body corporate. SHARE OPTION SCHEME On 18 March 2019, a share op</t>
        </is>
      </c>
    </row>
    <row r="55">
      <c r="A55" s="8" t="inlineStr">
        <is>
          <t>Share-based Payment</t>
        </is>
      </c>
      <c r="B55" s="8" t="inlineStr">
        <is>
          <t>以股份為基礎的付款</t>
        </is>
      </c>
      <c r="C55" s="8" t="inlineStr">
        <is>
          <t>medium</t>
        </is>
      </c>
      <c r="D55" s="11" t="inlineStr">
        <is>
          <t>share option</t>
        </is>
      </c>
      <c r="E55" s="11" t="inlineStr">
        <is>
          <t>PDF p.55 (印刷頁 54)</t>
        </is>
      </c>
      <c r="F55" s="11" t="inlineStr">
        <is>
          <t>he total number of Shares which may be issued upon exercise of all Options to be granted under the Share Option Scheme and any other share option schemes of the Company under the Scheme Mandate Limit as refreshed must not exceed 10% of the Shares in issue (excluding treasury shares) as at the date of such Shareholders’ approval provided that Options previously granted under the Share Option Scheme and any other share option schemes of the Company (including those outstanding, cancelled, exercised or lapsed in accordance with th</t>
        </is>
      </c>
    </row>
    <row r="56">
      <c r="A56" s="8" t="inlineStr">
        <is>
          <t>Share-based Payment</t>
        </is>
      </c>
      <c r="B56" s="8" t="inlineStr">
        <is>
          <t>以股份為基礎的付款</t>
        </is>
      </c>
      <c r="C56" s="8" t="inlineStr">
        <is>
          <t>medium</t>
        </is>
      </c>
      <c r="D56" s="11" t="inlineStr">
        <is>
          <t>share option</t>
        </is>
      </c>
      <c r="E56" s="11" t="inlineStr">
        <is>
          <t>PDF p.56 (印刷頁 55)</t>
        </is>
      </c>
      <c r="F56" s="11" t="inlineStr">
        <is>
          <t>awback mechanism but shall lapse and/or be cancelled (to an extent not already exercised) under various scenarios provided under the Share Option Scheme. The remuneration committee of the Company considers that a specific clawback mechanism is not necessary, having considered that the lapse and cancellation of the Options upon the Grantee(s) ceasing to be an eligible person under the Share Option Scheme is in line with the purpose of the Share Option Scheme and in the interests of the Company. In recommending the grant of share</t>
        </is>
      </c>
    </row>
    <row r="57">
      <c r="A57" s="8" t="inlineStr">
        <is>
          <t>Share-based Payment</t>
        </is>
      </c>
      <c r="B57" s="8" t="inlineStr">
        <is>
          <t>以股份為基礎的付款</t>
        </is>
      </c>
      <c r="C57" s="8" t="inlineStr">
        <is>
          <t>medium</t>
        </is>
      </c>
      <c r="D57" s="11" t="inlineStr">
        <is>
          <t>share-based payment</t>
        </is>
      </c>
      <c r="E57" s="11" t="inlineStr">
        <is>
          <t>PDF p.65 (印刷頁 64)</t>
        </is>
      </c>
      <c r="F57" s="11" t="inlineStr">
        <is>
          <t>u) and 1% by Mr. Li; (ii) the transfer of 5% equity of WHHE (Macau) by Mr. Li to the then employee of the Group upon the issuance of share-based payments of WHHE (Macau) resulting a surplus of MOP1,671,000 crediting to other reserve; (iii) the acquisition of 5% WHHE (Macau) and 30% of YKDE from a non-controlling shareholder of these entities during the year ended 31 December 2018, resulting a credit of MOP932,000 crediting to other reserve; (iv) the difference between the aggregate amount of consideration payable to Mr. Li upon</t>
        </is>
      </c>
    </row>
    <row r="58">
      <c r="A58" s="8" t="inlineStr">
        <is>
          <t>Share-based Payment</t>
        </is>
      </c>
      <c r="B58" s="8" t="inlineStr">
        <is>
          <t>以股份為基礎的付款</t>
        </is>
      </c>
      <c r="C58" s="8" t="inlineStr">
        <is>
          <t>medium</t>
        </is>
      </c>
      <c r="D58" s="11" t="inlineStr">
        <is>
          <t>share-based payment</t>
        </is>
      </c>
      <c r="E58" s="11" t="inlineStr">
        <is>
          <t>PDF p.80 (印刷頁 79)</t>
        </is>
      </c>
      <c r="F58" s="11" t="inlineStr">
        <is>
          <t>ANCIAL STATEMENTS AND MATERIAL ACCOUNTING POLICY INFORMATION (CONTINUED) 3.3 Material accounting policies (continued) Equity-settled share-based payment transactions Share awards/Share options granted to employee Equity-settled share-based payments to employees and others providing similar services are measured at the fair value of the equity instruments at the grant date. The fair value of the equity-settled share-based payments determined at the grant date without taking into consideration all non-market vesting conditions is</t>
        </is>
      </c>
    </row>
    <row r="59">
      <c r="A59" s="8" t="inlineStr">
        <is>
          <t>Share-based Payment</t>
        </is>
      </c>
      <c r="B59" s="8" t="inlineStr">
        <is>
          <t>以股份為基礎的付款</t>
        </is>
      </c>
      <c r="C59" s="8" t="inlineStr">
        <is>
          <t>medium</t>
        </is>
      </c>
      <c r="D59" s="11" t="inlineStr">
        <is>
          <t>share option</t>
        </is>
      </c>
      <c r="E59" s="11" t="inlineStr">
        <is>
          <t>PDF p.93 (印刷頁 92)</t>
        </is>
      </c>
      <c r="F59" s="11" t="inlineStr">
        <is>
          <t>sed pursuant to the applicable Listing Rules and Hong Kong Companies Ordinance, is set out below: Retirement Equity-settled benefits share option Salaries and schemes Total Fees expense other benefits contributions emoluments MOP’000 MOP’000 MOP’000 MOP’000 MOP’000 Fifteen months ended 31 March 2026 Executive Directors Mr. Yau Yik Ming Leao (Chief Executive Officer) – 3 309 9 321 Mr. Li Kam Hung (suspension of duties since 19 August 2024) – – 103 – 103 Mr. Yu Ming Ho (suspension of duties since 19 August 2024) – – 1,032 23 1,05</t>
        </is>
      </c>
    </row>
    <row r="60">
      <c r="A60" s="8" t="inlineStr">
        <is>
          <t>Share-based Payment</t>
        </is>
      </c>
      <c r="B60" s="8" t="inlineStr">
        <is>
          <t>以股份為基礎的付款</t>
        </is>
      </c>
      <c r="C60" s="8" t="inlineStr">
        <is>
          <t>medium</t>
        </is>
      </c>
      <c r="D60" s="11" t="inlineStr">
        <is>
          <t>share option</t>
        </is>
      </c>
      <c r="E60" s="11" t="inlineStr">
        <is>
          <t>PDF p.94 (印刷頁 93)</t>
        </is>
      </c>
      <c r="F60" s="11" t="inlineStr">
        <is>
          <t>AND EMPLOYEES’ EMOLUMENTS (CONTINUED) (a) Directors’ and chief executive’s emoluments (continued) Retirement Equity-settled benefits share option Salaries and schemes Total Fees expense other benefits contributions emoluments MOP’000 MOP’000 MOP’000 MOP’000 MOP’000 Year ended 31 December 2024 Executive Directors Mr. Yau Yik Ming Leao (Chief Executive Officer) – – 41 – 41 Mr. Li Kam Hung (suspension of duties since 19 August 2024) – – – – – Mr. Yu Ming Ho (suspension of duties since 19 August 2024) – – 1,167 37 1,204 Ms. Bohra S</t>
        </is>
      </c>
    </row>
    <row r="61">
      <c r="A61" s="8" t="inlineStr">
        <is>
          <t>Share-based Payment</t>
        </is>
      </c>
      <c r="B61" s="8" t="inlineStr">
        <is>
          <t>以股份為基礎的付款</t>
        </is>
      </c>
      <c r="C61" s="8" t="inlineStr">
        <is>
          <t>medium</t>
        </is>
      </c>
      <c r="D61" s="11" t="inlineStr">
        <is>
          <t>share option</t>
        </is>
      </c>
      <c r="E61" s="11" t="inlineStr">
        <is>
          <t>PDF p.98 (印刷頁 97)</t>
        </is>
      </c>
      <c r="F61" s="11" t="inlineStr">
        <is>
          <t>ion of diluted loss per share for the fifteen months ended 31 March 2026 does not assume the conversion of the Company’s outstanding share options since their exercise would result in a decrease in loss per share. There were no potential ordinary shares in issue during the year ended 31 December 2024. 97 Zhongke Group Holdings Limited | Annual Report 2025/26</t>
        </is>
      </c>
    </row>
    <row r="62">
      <c r="A62" s="8" t="inlineStr">
        <is>
          <t>Share-based Payment</t>
        </is>
      </c>
      <c r="B62" s="8" t="inlineStr">
        <is>
          <t>以股份為基礎的付款</t>
        </is>
      </c>
      <c r="C62" s="8" t="inlineStr">
        <is>
          <t>medium</t>
        </is>
      </c>
      <c r="D62" s="11" t="inlineStr">
        <is>
          <t>share-based payment</t>
        </is>
      </c>
      <c r="E62" s="11" t="inlineStr">
        <is>
          <t>PDF p.110 (印刷頁 109)</t>
        </is>
      </c>
      <c r="F62" s="11" t="inlineStr">
        <is>
          <t>tributions to the retirement benefits schemes of the Group during both period/year are disclosed in notes 6 and 9, respectively. 26. SHARE-BASED PAYMENT TRANSACTIONS The Company adopted a share option scheme (the “Scheme”) on 18 March 2019, which aims to provide incentive to directors and eligible participants who contribute to the Group. Under the Scheme, options may be granted to eligible participants (as defined in the Share Option Scheme) to subscribe for shares of the Company. The total number of shares in respect of which</t>
        </is>
      </c>
    </row>
    <row r="63">
      <c r="A63" s="8" t="inlineStr">
        <is>
          <t>Share-based Payment</t>
        </is>
      </c>
      <c r="B63" s="8" t="inlineStr">
        <is>
          <t>以股份為基礎的付款</t>
        </is>
      </c>
      <c r="C63" s="8" t="inlineStr">
        <is>
          <t>medium</t>
        </is>
      </c>
      <c r="D63" s="11" t="inlineStr">
        <is>
          <t>share-based payment</t>
        </is>
      </c>
      <c r="E63" s="11" t="inlineStr">
        <is>
          <t>PDF p.111 (印刷頁 110)</t>
        </is>
      </c>
      <c r="F63" s="11" t="inlineStr">
        <is>
          <t>NOTES TO THE CONSOLIDATED FINANCIAL STATEMENTS Fifteen months ended 31 March 2026 26. SHARE-BASED PAYMENT TRANSACTIONS (CONTINUED) Options Granted During the Fifteen Months During the fifteen months ended 31 March 2026, the Company granted options under the Scheme. Details of the grant are as follows: Date of grant 20 March 2026 Number of share options granted 50,000,000 Exercise price HK$0.049 per share Closing price of shares on date of grant HK$0.047 per share Vesting date First</t>
        </is>
      </c>
    </row>
    <row r="64">
      <c r="A64" s="8" t="inlineStr">
        <is>
          <t>Share-based Payment</t>
        </is>
      </c>
      <c r="B64" s="8" t="inlineStr">
        <is>
          <t>以股份為基礎的付款</t>
        </is>
      </c>
      <c r="C64" s="8" t="inlineStr">
        <is>
          <t>medium</t>
        </is>
      </c>
      <c r="D64" s="11" t="inlineStr">
        <is>
          <t>share-based payment</t>
        </is>
      </c>
      <c r="E64" s="11" t="inlineStr">
        <is>
          <t>PDF p.112 (印刷頁 111)</t>
        </is>
      </c>
      <c r="F64" s="11" t="inlineStr">
        <is>
          <t>NOTES TO THE CONSOLIDATED FINANCIAL STATEMENTS Fifteen months ended 31 March 2026 26. SHARE-BASED PAYMENT TRANSACTIONS (CONTINUED) Plan Mandate Limit Following the above grant, no further shares are available for future grants under the Scheme’s existing mandate limit. Fair Value Measurement The fair value was calculated using the Black-Scholes pricing model. The inputs into the model were as follows: 2026 Weighted average share price HK$0.049 Exercise price HK$0.049 Expected volat</t>
        </is>
      </c>
    </row>
    <row r="65">
      <c r="A65" s="8" t="inlineStr">
        <is>
          <t>Share-based Payment</t>
        </is>
      </c>
      <c r="B65" s="8" t="inlineStr">
        <is>
          <t>以股份為基礎的付款</t>
        </is>
      </c>
      <c r="C65" s="8" t="inlineStr">
        <is>
          <t>medium</t>
        </is>
      </c>
      <c r="D65" s="11" t="inlineStr">
        <is>
          <t>share option</t>
        </is>
      </c>
      <c r="E65" s="11" t="inlineStr">
        <is>
          <t>PDF p.120 (印刷頁 119)</t>
        </is>
      </c>
      <c r="F65" s="11" t="inlineStr">
        <is>
          <t>(238,474) (238,474) Issue of shares 3,618 – – 3,618 Transaction costs attributable to issue of shares (392) – – (392) Equity-settled share option arrangements – 25 – 25 At 31 March 2026 268,910 25 (284,645) (15,710) 33. EVENTS AFTER THE REPORTING PERIOD (a) Redesignation of a Director The Board of Directors announced that Mr. Song Yanyang, an executive director of the Company, has been redesignated as the vice chairman of the Board of the Company with effect from 1 April 2026. (b) Share Consolidation On 22 April 2026, the Compa</t>
        </is>
      </c>
    </row>
    <row r="66">
      <c r="A66" s="8" t="inlineStr">
        <is>
          <t>Related Party Transactions</t>
        </is>
      </c>
      <c r="B66" s="8" t="inlineStr">
        <is>
          <t>關聯方交易</t>
        </is>
      </c>
      <c r="C66" s="8" t="inlineStr">
        <is>
          <t>low</t>
        </is>
      </c>
      <c r="D66" s="11" t="inlineStr">
        <is>
          <t>related party</t>
        </is>
      </c>
      <c r="E66" s="11" t="inlineStr">
        <is>
          <t>PDF p.58 (印刷頁 57)</t>
        </is>
      </c>
      <c r="F66" s="11" t="inlineStr">
        <is>
          <t>Divisions 2 and 3 of Part XV of the SFO. DIRECTORS’ INTERESTS IN TRANSACTIONS, ARRANGEMENTS OR CONTRACTS OF SIGNIFICANCE Save as the related party transactions as disclosed in note 30 to the consolidated financial statements, there were no other transactions, arrangements or contracts that are significant in relation to the business of the Group to which the Company or any of its subsidiary was a party and in which a Director or his/her connected entity had a material interest, whether directly or indirectly, subsisted at any t</t>
        </is>
      </c>
    </row>
    <row r="67">
      <c r="A67" s="8" t="inlineStr">
        <is>
          <t>Related Party Transactions</t>
        </is>
      </c>
      <c r="B67" s="8" t="inlineStr">
        <is>
          <t>關聯方交易</t>
        </is>
      </c>
      <c r="C67" s="8" t="inlineStr">
        <is>
          <t>low</t>
        </is>
      </c>
      <c r="D67" s="11" t="inlineStr">
        <is>
          <t>connected transaction</t>
        </is>
      </c>
      <c r="E67" s="11" t="inlineStr">
        <is>
          <t>PDF p.59 (印刷頁 58)</t>
        </is>
      </c>
      <c r="F67" s="11" t="inlineStr">
        <is>
          <t>are of any tax relief and exemption available to shareholders of the Company by reason of their holding of the Company’s securities. CONNECTED TRANSACTION During the Reporting Period, the Group had not entered into any connected transaction which is required to be disclosed under Chapter 14A of the Listing Rules. CORPORATE GOVERNANCE REPORT The corporate governance report of the Group during the Reporting Period is set out in the sections headed “Corporate Governance Report” on pages 12 to 25 of this annual report. MAJOR CUSTOM</t>
        </is>
      </c>
    </row>
    <row r="68">
      <c r="A68" s="8" t="inlineStr">
        <is>
          <t>Related Party Transactions</t>
        </is>
      </c>
      <c r="B68" s="8" t="inlineStr">
        <is>
          <t>關聯方交易</t>
        </is>
      </c>
      <c r="C68" s="8" t="inlineStr">
        <is>
          <t>low</t>
        </is>
      </c>
      <c r="D68" s="11" t="inlineStr">
        <is>
          <t>related party</t>
        </is>
      </c>
      <c r="E68" s="11" t="inlineStr">
        <is>
          <t>PDF p.64 (印刷頁 63)</t>
        </is>
      </c>
      <c r="F68" s="11" t="inlineStr">
        <is>
          <t>ables 16 80,365 78,850 Other receivables, deposits and prepayments 17 39,053 39,365 Contract assets 18 1,745 2,247 Amount due from a related party 21 – 23 Pledged bank deposits 19 15,340 15,340 Bank balances and cash 19 1,323 833 137,826 136,658 Current liabilities Trade and other payables and accruals 20 108,093 93,456 Contract liabilities 18 26,758 26,758 Tax payable 24,437 24,437 Bank and other borrowings 22 69,976 51,707 Bank overdrafts 19 6,589 5,939 Lease liabilities 23 429 – 236,282 202,297 Net current liabilities (98,45</t>
        </is>
      </c>
    </row>
    <row r="69">
      <c r="A69" s="8" t="inlineStr">
        <is>
          <t>Related Party Transactions</t>
        </is>
      </c>
      <c r="B69" s="8" t="inlineStr">
        <is>
          <t>關聯方交易</t>
        </is>
      </c>
      <c r="C69" s="8" t="inlineStr">
        <is>
          <t>low</t>
        </is>
      </c>
      <c r="D69" s="11" t="inlineStr">
        <is>
          <t>related party</t>
        </is>
      </c>
      <c r="E69" s="11" t="inlineStr">
        <is>
          <t>PDF p.66 (印刷頁 65)</t>
        </is>
      </c>
      <c r="F69" s="11" t="inlineStr">
        <is>
          <t>vables, deposits and prepayments (3,058) (1,727) Decrease in contract assets/liabilities, net – 59,724 Decrease in amount due from a related party 23 – Increase in trade and other payables and accruals 14,623 3,353 NET CASH (USED IN)/GENERATED FROM OPERATING ACTIVITIES (21,583) 60 INVESTING ACTIVITIES Bank interest received – 2 Purchases of property and equipment (60) – NET CASH (USED IN)/GENERATED FROM INVESTING ACTIVITIES (60) 2 65 Zhongke Group Holdings Limited | Annual Report 2025/26</t>
        </is>
      </c>
    </row>
    <row r="70">
      <c r="A70" s="8" t="inlineStr">
        <is>
          <t>Related Party Transactions</t>
        </is>
      </c>
      <c r="B70" s="8" t="inlineStr">
        <is>
          <t>關聯方交易</t>
        </is>
      </c>
      <c r="C70" s="8" t="inlineStr">
        <is>
          <t>low</t>
        </is>
      </c>
      <c r="D70" s="11" t="inlineStr">
        <is>
          <t>related party</t>
        </is>
      </c>
      <c r="E70" s="11" t="inlineStr">
        <is>
          <t>PDF p.83 (印刷頁 82)</t>
        </is>
      </c>
      <c r="F70" s="11" t="inlineStr">
        <is>
          <t>expected credit loss (“ECL”) model on financial assets (including trade receivables, other receivables, deposits, amount due from a related party, pledged bank deposits and bank balances and cash) and contract assets which are subject to impairment assessment under HKFRS 9. The amount of ECL is updated at each reporting date to reflect changes in credit risk since initial recognition. Lifetime ECL represents the ECL that will result from all possible default events over the expected life of the relevant instrument. In contrast</t>
        </is>
      </c>
    </row>
    <row r="71">
      <c r="A71" s="8" t="inlineStr">
        <is>
          <t>Related Party Transactions</t>
        </is>
      </c>
      <c r="B71" s="8" t="inlineStr">
        <is>
          <t>關聯方交易</t>
        </is>
      </c>
      <c r="C71" s="8" t="inlineStr">
        <is>
          <t>low</t>
        </is>
      </c>
      <c r="D71" s="11" t="inlineStr">
        <is>
          <t>related party</t>
        </is>
      </c>
      <c r="E71" s="11" t="inlineStr">
        <is>
          <t>PDF p.108 (印刷頁 107)</t>
        </is>
      </c>
      <c r="F71" s="11" t="inlineStr">
        <is>
          <t>NOTES TO THE CONSOLIDATED FINANCIAL STATEMENTS Fifteen months ended 31 March 2026 21. AMOUNTS DUE FROM A RELATED PARTY Details of amounts due from a related party is stated as follows: Maximum amount outstanding during during the As at As at As at the fifteen year ended 31 March 31 December 1 January months ended 31 December 2026 2024 2024 31 March 2026 2024 MOP’000 MOP’000 MOP’000 MOP’000 MOP’000 Ms. Ng Suk Fun (“Ms. Ng”) (Note) – 23 23 23 23 Notes: The balance represents the rental deposit for Hong</t>
        </is>
      </c>
    </row>
    <row r="72">
      <c r="A72" s="8" t="inlineStr">
        <is>
          <t>Related Party Transactions</t>
        </is>
      </c>
      <c r="B72" s="8" t="inlineStr">
        <is>
          <t>關聯方交易</t>
        </is>
      </c>
      <c r="C72" s="8" t="inlineStr">
        <is>
          <t>low</t>
        </is>
      </c>
      <c r="D72" s="11" t="inlineStr">
        <is>
          <t>related party</t>
        </is>
      </c>
      <c r="E72" s="11" t="inlineStr">
        <is>
          <t>PDF p.113 (印刷頁 112)</t>
        </is>
      </c>
      <c r="F72" s="11" t="inlineStr">
        <is>
          <t>other receivables, deposits, pledged bank deposits, bank balances and cash, trade and other payables and accruals, amount due from a related party, bank borrowings and bank overdrafts. Details of these financial instruments are disclosed in respective notes. The risks associated with these financial instruments and the policies on how to mitigate these risks are set out below. The management of the Group manages and monitors these exposures to ensure appropriate measures are implemented on a timely and effective manner. Currenc</t>
        </is>
      </c>
    </row>
    <row r="73">
      <c r="A73" s="8" t="inlineStr">
        <is>
          <t>Related Party Transactions</t>
        </is>
      </c>
      <c r="B73" s="8" t="inlineStr">
        <is>
          <t>關聯方交易</t>
        </is>
      </c>
      <c r="C73" s="8" t="inlineStr">
        <is>
          <t>low</t>
        </is>
      </c>
      <c r="D73" s="11" t="inlineStr">
        <is>
          <t>related party</t>
        </is>
      </c>
      <c r="E73" s="11" t="inlineStr">
        <is>
          <t>PDF p.115 (印刷頁 114)</t>
        </is>
      </c>
      <c r="F73" s="11" t="inlineStr">
        <is>
          <t>Group’s credit risk is primarily attributable to trade receivables, contract assets, other receivables, deposits, amount due from a related party, pledged bank deposits and bank balances. The Group’s maximum exposure to credit risk which will cause a financial loss to the Group due to failure to discharge the obligations by counterparties is arising from the carrying amount of the respective recognised financial assets as stated in the consolidated statement of financial position at the end of each reporting period. The manage</t>
        </is>
      </c>
    </row>
    <row r="74">
      <c r="A74" s="8" t="inlineStr">
        <is>
          <t>Related Party Transactions</t>
        </is>
      </c>
      <c r="B74" s="8" t="inlineStr">
        <is>
          <t>關聯方交易</t>
        </is>
      </c>
      <c r="C74" s="8" t="inlineStr">
        <is>
          <t>low</t>
        </is>
      </c>
      <c r="D74" s="11" t="inlineStr">
        <is>
          <t>related party</t>
        </is>
      </c>
      <c r="E74" s="11" t="inlineStr">
        <is>
          <t>PDF p.117 (印刷頁 116)</t>
        </is>
      </c>
      <c r="F74" s="11" t="inlineStr">
        <is>
          <t>cing cash flows represented the net amount of new bank and other borrowings raised and repaid, and payment of lease liabilities. 30. RELATED PARTY TRANSACTIONS Save as disclosed elsewhere in the consolidated financial statements, the Group had the following transactions with its related party during both period/year: Fifteen months ended Year ended 31 March 2026 31 December 2024 MOP’000 MOP’000 Rental expense of office to Ms. Ng under short-term lease – 204 Finance costs on promissory note due to Mr. Song Yanyang 345 – Details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pane ySplit="32" topLeftCell="A3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Inventories</t>
        </is>
      </c>
    </row>
    <row r="16">
      <c r="A16" s="8" t="inlineStr">
        <is>
          <t>Balance Sheet</t>
        </is>
      </c>
      <c r="B16" s="8" t="inlineStr">
        <is>
          <t>Goodwill</t>
        </is>
      </c>
    </row>
    <row r="17">
      <c r="A17" s="8" t="inlineStr">
        <is>
          <t>Balance Sheet</t>
        </is>
      </c>
      <c r="B17" s="8" t="inlineStr">
        <is>
          <t>Intangible Assets</t>
        </is>
      </c>
    </row>
    <row r="18">
      <c r="A18" s="8" t="inlineStr">
        <is>
          <t>Balance Sheet</t>
        </is>
      </c>
      <c r="B18" s="8" t="inlineStr">
        <is>
          <t>Investment Properties</t>
        </is>
      </c>
    </row>
    <row r="19">
      <c r="A19" s="8" t="inlineStr">
        <is>
          <t>Balance Sheet</t>
        </is>
      </c>
      <c r="B19" s="8" t="inlineStr">
        <is>
          <t>Property Plant and Equipment</t>
        </is>
      </c>
    </row>
    <row r="20">
      <c r="A20" s="8" t="inlineStr">
        <is>
          <t>Balance Sheet</t>
        </is>
      </c>
      <c r="B20" s="8" t="inlineStr">
        <is>
          <t>Total Liabilities</t>
        </is>
      </c>
    </row>
    <row r="21">
      <c r="A21" s="8" t="inlineStr">
        <is>
          <t>Balance Sheet</t>
        </is>
      </c>
      <c r="B21" s="8" t="inlineStr">
        <is>
          <t>Borrowings</t>
        </is>
      </c>
    </row>
    <row r="22">
      <c r="A22" s="8" t="inlineStr">
        <is>
          <t>Balance Sheet</t>
        </is>
      </c>
      <c r="B22" s="8" t="inlineStr">
        <is>
          <t>Total Equity</t>
        </is>
      </c>
    </row>
    <row r="23">
      <c r="A23" s="8" t="inlineStr">
        <is>
          <t>Cash Flow</t>
        </is>
      </c>
      <c r="B23" s="8" t="inlineStr">
        <is>
          <t>Operating Cash Flow</t>
        </is>
      </c>
    </row>
    <row r="24">
      <c r="A24" s="8" t="inlineStr">
        <is>
          <t>Cash Flow</t>
        </is>
      </c>
      <c r="B24" s="8" t="inlineStr">
        <is>
          <t>Investing Cash Flow</t>
        </is>
      </c>
    </row>
    <row r="25">
      <c r="A25" s="8" t="inlineStr">
        <is>
          <t>Cash Flow</t>
        </is>
      </c>
      <c r="B25" s="8" t="inlineStr">
        <is>
          <t>Financing Cash Flow</t>
        </is>
      </c>
    </row>
    <row r="26">
      <c r="A26" s="8" t="inlineStr">
        <is>
          <t>Cash Flow</t>
        </is>
      </c>
      <c r="B26" s="8" t="inlineStr">
        <is>
          <t>Capital Expenditure</t>
        </is>
      </c>
    </row>
    <row r="29">
      <c r="A29" s="5" t="inlineStr">
        <is>
          <t>二、文字量過低的頁面(疑似掃描頁)</t>
        </is>
      </c>
    </row>
    <row r="30">
      <c r="A30" s="2" t="inlineStr">
        <is>
          <t>這些頁面幾乎抓不到文字,通常是掃描件或純圖表,建議人手翻閱或另行 OCR。</t>
        </is>
      </c>
    </row>
    <row r="32">
      <c r="A32" s="7" t="inlineStr">
        <is>
          <t>PDF 頁碼</t>
        </is>
      </c>
      <c r="B32" s="7" t="inlineStr">
        <is>
          <t>狀態</t>
        </is>
      </c>
    </row>
    <row r="33">
      <c r="A33"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2026-08-30T14:15:57Z</dcterms:created>
  <dcterms:modified xsi:type="dcterms:W3CDTF">2026-08-30T14:15:57Z</dcterms:modified>
</cp:coreProperties>
</file>
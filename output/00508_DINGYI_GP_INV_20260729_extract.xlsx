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drawings/drawing1.xml" ContentType="application/vnd.openxmlformats-officedocument.drawing+xml"/>
  <Override PartName="/xl/worksheets/sheet6.xml" ContentType="application/vnd.openxmlformats-officedocument.spreadsheetml.worksheet+xml"/>
  <Override PartName="/xl/worksheets/sheet7.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摘要" sheetId="1" state="visible" r:id="rId1"/>
    <sheet name="Valuation Params 估值參數" sheetId="2" state="visible" r:id="rId2"/>
    <sheet name="Financials 財務數據" sheetId="3" state="visible" r:id="rId3"/>
    <sheet name="Ratios 財務比率" sheetId="4" state="visible" r:id="rId4"/>
    <sheet name="Chart 趨勢圖" sheetId="5" state="visible" r:id="rId5"/>
    <sheet name="Extracts 主題段落" sheetId="6" state="visible" r:id="rId6"/>
    <sheet name="Review Queue 待覆核" sheetId="7" state="visible" r:id="rId7"/>
  </sheets>
  <definedNames/>
  <calcPr calcId="124519" fullCalcOnLoad="1"/>
</workbook>
</file>

<file path=xl/styles.xml><?xml version="1.0" encoding="utf-8"?>
<styleSheet xmlns="http://schemas.openxmlformats.org/spreadsheetml/2006/main">
  <numFmts count="2">
    <numFmt numFmtId="164" formatCode="#,##0;(#,##0);-"/>
    <numFmt numFmtId="165" formatCode="0.0%"/>
  </numFmts>
  <fonts count="9">
    <font>
      <name val="Calibri"/>
      <family val="2"/>
      <color theme="1"/>
      <sz val="11"/>
      <scheme val="minor"/>
    </font>
    <font>
      <name val="Arial"/>
      <b val="1"/>
      <color rgb="001F4E5F"/>
      <sz val="14"/>
    </font>
    <font>
      <name val="Arial"/>
      <i val="1"/>
      <color rgb="00808080"/>
      <sz val="9"/>
    </font>
    <font>
      <name val="Arial"/>
      <b val="1"/>
      <sz val="10"/>
    </font>
    <font>
      <name val="Arial"/>
      <sz val="10"/>
    </font>
    <font>
      <name val="Arial"/>
      <b val="1"/>
      <sz val="11"/>
    </font>
    <font>
      <name val="Arial"/>
      <color rgb="00006100"/>
      <sz val="10"/>
    </font>
    <font>
      <name val="Arial"/>
      <b val="1"/>
      <color rgb="00FFFFFF"/>
      <sz val="10"/>
    </font>
    <font>
      <name val="Arial"/>
      <color rgb="000000FF"/>
      <sz val="10"/>
    </font>
  </fonts>
  <fills count="4">
    <fill>
      <patternFill/>
    </fill>
    <fill>
      <patternFill patternType="gray125"/>
    </fill>
    <fill>
      <patternFill patternType="solid">
        <fgColor rgb="001F4E5F"/>
      </patternFill>
    </fill>
    <fill>
      <patternFill patternType="solid">
        <fgColor rgb="00E2EFDA"/>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20">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6" fillId="0" borderId="0" pivotButton="0" quotePrefix="0" xfId="0"/>
    <xf numFmtId="0" fontId="7" fillId="2" borderId="0" applyAlignment="1" pivotButton="0" quotePrefix="0" xfId="0">
      <alignment vertical="center" wrapText="1"/>
    </xf>
    <xf numFmtId="0" fontId="4" fillId="0" borderId="1" applyAlignment="1" pivotButton="0" quotePrefix="0" xfId="0">
      <alignment vertical="top"/>
    </xf>
    <xf numFmtId="2" fontId="4" fillId="0" borderId="1" applyAlignment="1" pivotButton="0" quotePrefix="0" xfId="0">
      <alignment vertical="top"/>
    </xf>
    <xf numFmtId="2" fontId="4" fillId="0" borderId="1" applyAlignment="1" pivotButton="0" quotePrefix="0" xfId="0">
      <alignment vertical="top" wrapText="1"/>
    </xf>
    <xf numFmtId="0" fontId="4" fillId="0" borderId="1" applyAlignment="1" pivotButton="0" quotePrefix="0" xfId="0">
      <alignment vertical="top" wrapText="1"/>
    </xf>
    <xf numFmtId="164" fontId="4" fillId="0" borderId="1" applyAlignment="1" pivotButton="0" quotePrefix="0" xfId="0">
      <alignment vertical="top"/>
    </xf>
    <xf numFmtId="164" fontId="4" fillId="0" borderId="1" applyAlignment="1" pivotButton="0" quotePrefix="0" xfId="0">
      <alignment vertical="top" wrapText="1"/>
    </xf>
    <xf numFmtId="165" fontId="4" fillId="0" borderId="1" applyAlignment="1" pivotButton="0" quotePrefix="0" xfId="0">
      <alignment vertical="top" wrapText="1"/>
    </xf>
    <xf numFmtId="165" fontId="4" fillId="0" borderId="0" pivotButton="0" quotePrefix="0" xfId="0"/>
    <xf numFmtId="2" fontId="4" fillId="0" borderId="0" pivotButton="0" quotePrefix="0" xfId="0"/>
    <xf numFmtId="0" fontId="7" fillId="2" borderId="0" pivotButton="0" quotePrefix="0" xfId="0"/>
    <xf numFmtId="164" fontId="0" fillId="0" borderId="0" pivotButton="0" quotePrefix="0" xfId="0"/>
    <xf numFmtId="0" fontId="4" fillId="3"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charts/chart1.xml><?xml version="1.0" encoding="utf-8"?>
<chartSpace xmlns:a="http://schemas.openxmlformats.org/drawingml/2006/main" xmlns="http://schemas.openxmlformats.org/drawingml/2006/chart">
  <style val="10"/>
  <chart>
    <title>
      <tx>
        <rich>
          <a:bodyPr/>
          <a:p>
            <a:pPr>
              <a:defRPr/>
            </a:pPr>
            <a:r>
              <a:t>Key Financials — Prior vs Current</a:t>
            </a:r>
          </a:p>
        </rich>
      </tx>
    </title>
    <plotArea>
      <barChart>
        <barDir val="col"/>
        <grouping val="clustered"/>
        <ser>
          <idx val="0"/>
          <order val="0"/>
          <tx>
            <strRef>
              <f>'Chart 趨勢圖'!B4</f>
            </strRef>
          </tx>
          <spPr>
            <a:ln>
              <a:prstDash val="solid"/>
            </a:ln>
          </spPr>
          <cat>
            <numRef>
              <f>'Chart 趨勢圖'!$A$5:$A$9</f>
            </numRef>
          </cat>
          <val>
            <numRef>
              <f>'Chart 趨勢圖'!$B$5:$B$9</f>
            </numRef>
          </val>
        </ser>
        <ser>
          <idx val="1"/>
          <order val="1"/>
          <tx>
            <strRef>
              <f>'Chart 趨勢圖'!C4</f>
            </strRef>
          </tx>
          <spPr>
            <a:ln>
              <a:prstDash val="solid"/>
            </a:ln>
          </spPr>
          <cat>
            <numRef>
              <f>'Chart 趨勢圖'!$A$5:$A$9</f>
            </numRef>
          </cat>
          <val>
            <numRef>
              <f>'Chart 趨勢圖'!$C$5:$C$9</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Amount (as reported)</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4</col>
      <colOff>0</colOff>
      <row>3</row>
      <rowOff>0</rowOff>
    </from>
    <ext cx="7920000" cy="3960000"/>
    <graphicFrame>
      <nvGraphicFramePr>
        <cNvPr id="1" name="Chart 1"/>
        <cNvGraphicFramePr/>
      </nvGraphicFramePr>
      <xfrm/>
      <a:graphic>
        <a:graphicData uri="http://schemas.openxmlformats.org/drawingml/2006/chart">
          <c:chart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B29"/>
  <sheetViews>
    <sheetView workbookViewId="0">
      <selection activeCell="A1" sqref="A1"/>
    </sheetView>
  </sheetViews>
  <sheetFormatPr baseColWidth="8" defaultRowHeight="15"/>
  <cols>
    <col width="42" customWidth="1" min="1" max="1"/>
    <col width="60" customWidth="1" min="2" max="2"/>
  </cols>
  <sheetData>
    <row r="1">
      <c r="A1" s="1" t="inlineStr">
        <is>
          <t>HKEX 文件資料萃取報告</t>
        </is>
      </c>
    </row>
    <row r="2">
      <c r="A2" s="2" t="inlineStr">
        <is>
          <t>Automated Extraction Report — Business Valuation Support</t>
        </is>
      </c>
    </row>
    <row r="4">
      <c r="A4" s="3" t="inlineStr">
        <is>
          <t>來源文件 Source file</t>
        </is>
      </c>
      <c r="B4" s="4" t="inlineStr">
        <is>
          <t>00508_DINGYI_GP_INV_20260729.pdf</t>
        </is>
      </c>
    </row>
    <row r="5">
      <c r="A5" s="3" t="inlineStr">
        <is>
          <t>產生時間 Generated</t>
        </is>
      </c>
      <c r="B5" s="4" t="inlineStr">
        <is>
          <t>2026-08-30 22:16</t>
        </is>
      </c>
    </row>
    <row r="6">
      <c r="A6" s="4" t="inlineStr"/>
      <c r="B6" s="4" t="inlineStr"/>
    </row>
    <row r="7">
      <c r="A7" s="3" t="inlineStr">
        <is>
          <t>總頁數 Total pages</t>
        </is>
      </c>
      <c r="B7" s="4" t="n">
        <v>214</v>
      </c>
    </row>
    <row r="8">
      <c r="A8" s="3" t="inlineStr">
        <is>
          <t>已擷取字元 Characters extracted</t>
        </is>
      </c>
      <c r="B8" s="4" t="n">
        <v>425930</v>
      </c>
    </row>
    <row r="9">
      <c r="A9" s="3" t="inlineStr">
        <is>
          <t>含表格頁數 Pages with tables</t>
        </is>
      </c>
      <c r="B9" s="4" t="n">
        <v>0</v>
      </c>
    </row>
    <row r="10">
      <c r="A10" s="3" t="inlineStr">
        <is>
          <t>需人手/OCR 頁數 Pages needing OCR</t>
        </is>
      </c>
      <c r="B10" s="4" t="n">
        <v>2</v>
      </c>
    </row>
    <row r="11">
      <c r="A11" s="4" t="inlineStr"/>
      <c r="B11" s="4" t="inlineStr"/>
    </row>
    <row r="12">
      <c r="A12" s="3" t="inlineStr">
        <is>
          <t>估值參數擷取筆數 Valuation parameters</t>
        </is>
      </c>
      <c r="B12" s="4" t="n">
        <v>4</v>
      </c>
    </row>
    <row r="13">
      <c r="A13" s="3" t="inlineStr">
        <is>
          <t>財務科目擷取筆數 Financial line items</t>
        </is>
      </c>
      <c r="B13" s="4" t="n">
        <v>15</v>
      </c>
    </row>
    <row r="14">
      <c r="A14" s="3" t="inlineStr">
        <is>
          <t>主題段落擷取筆數 Topic extracts</t>
        </is>
      </c>
      <c r="B14" s="4" t="n">
        <v>139</v>
      </c>
    </row>
    <row r="15">
      <c r="A15" s="3" t="inlineStr">
        <is>
          <t>AI 複核筆數 AI-verified findings</t>
        </is>
      </c>
      <c r="B15" s="4" t="n">
        <v>0</v>
      </c>
    </row>
    <row r="17">
      <c r="A17" s="5" t="inlineStr">
        <is>
          <t>資料完整性檢查 Integrity checks</t>
        </is>
      </c>
    </row>
    <row r="18">
      <c r="A18" s="2" t="inlineStr">
        <is>
          <t>用會計恆等式交叉驗證擷取結果 —— 數字之間本來就該對得上,對不上代表某欄可能抓錯,請翻回來源頁核對。</t>
        </is>
      </c>
    </row>
    <row r="19">
      <c r="A19" s="6" t="inlineStr">
        <is>
          <t>✓ 流動資產 − 流動負債 = 淨流動資產</t>
        </is>
      </c>
      <c r="B19" s="4" t="inlineStr">
        <is>
          <t>2,146,230 − 460,386 = 1,685,844</t>
        </is>
      </c>
    </row>
    <row r="20">
      <c r="A20" s="6" t="inlineStr">
        <is>
          <t>✓ 收入 − 銷售成本 = 毛利</t>
        </is>
      </c>
      <c r="B20" s="4" t="inlineStr">
        <is>
          <t>331,121 − 498,858 = -167,737 vs 毛利 -167,737</t>
        </is>
      </c>
    </row>
    <row r="21">
      <c r="A21" s="6" t="inlineStr">
        <is>
          <t>✓ 三大報表應相鄰</t>
        </is>
      </c>
      <c r="B21" s="4" t="inlineStr">
        <is>
          <t>Income Statement: p.98、Balance Sheet: p.99、Cash Flow: p.104(相距 6 頁)</t>
        </is>
      </c>
    </row>
    <row r="23">
      <c r="A23" s="5" t="inlineStr">
        <is>
          <t>方法論 Methodology</t>
        </is>
      </c>
    </row>
    <row r="24">
      <c r="A24" s="4" t="inlineStr">
        <is>
          <t>1. 逐頁擷取文字,全程保留 PDF 頁碼與年報印刷頁碼(可追溯性)。</t>
        </is>
      </c>
    </row>
    <row r="25">
      <c r="A25" s="4" t="inlineStr">
        <is>
          <t>2. 規則層(正則/關鍵字)先把全份文件縮減為少數相關頁面 —— 解決「文件太大」。</t>
        </is>
      </c>
    </row>
    <row r="26">
      <c r="A26" s="4" t="inlineStr">
        <is>
          <t>3. 數字由正則精確擷取並做合理性檢查,不由語言模型生成 —— 解決「準確度」。</t>
        </is>
      </c>
    </row>
    <row r="27">
      <c r="A27" s="4" t="inlineStr">
        <is>
          <t>4. AI 僅在縮減後的頁面上做語意判斷,且輸出頁碼須通過驗證才保留。</t>
        </is>
      </c>
    </row>
    <row r="28">
      <c r="A28" s="4" t="inlineStr">
        <is>
          <t>5. 所有結果附來源頁碼與原文行,供估值師覆核。信心度為 Low 者建議人手確認。</t>
        </is>
      </c>
    </row>
    <row r="29">
      <c r="A29" s="4" t="inlineStr">
        <is>
          <t>6. 支援中英對照年報、破折號(nil)、Profit/(loss) 等港股常見排版。</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8"/>
  <sheetViews>
    <sheetView workbookViewId="0">
      <pane ySplit="4" topLeftCell="A5" activePane="bottomLeft" state="frozen"/>
      <selection pane="bottomLeft" activeCell="A1" sqref="A1"/>
    </sheetView>
  </sheetViews>
  <sheetFormatPr baseColWidth="8" defaultRowHeight="15"/>
  <cols>
    <col width="24" customWidth="1" min="1" max="1"/>
    <col width="18" customWidth="1" min="2" max="2"/>
    <col width="12" customWidth="1" min="3" max="3"/>
    <col width="12" customWidth="1" min="4" max="4"/>
    <col width="14" customWidth="1" min="5" max="5"/>
    <col width="10" customWidth="1" min="6" max="6"/>
    <col width="22" customWidth="1" min="7" max="7"/>
    <col width="90" customWidth="1" min="8" max="8"/>
  </cols>
  <sheetData>
    <row r="1">
      <c r="A1" s="1" t="inlineStr">
        <is>
          <t>估值參數 Benchmark — 可直接併入行內參數資料庫</t>
        </is>
      </c>
    </row>
    <row r="2">
      <c r="A2" s="2" t="inlineStr">
        <is>
          <t>數字由正則式從原文精確擷取,並經合理範圍檢查;非由 AI 生成。</t>
        </is>
      </c>
    </row>
    <row r="4">
      <c r="A4" s="7" t="inlineStr">
        <is>
          <t>參數 Parameter</t>
        </is>
      </c>
      <c r="B4" s="7" t="inlineStr">
        <is>
          <t>中文</t>
        </is>
      </c>
      <c r="C4" s="7" t="inlineStr">
        <is>
          <t>下限 Low (%)</t>
        </is>
      </c>
      <c r="D4" s="7" t="inlineStr">
        <is>
          <t>上限 High (%)</t>
        </is>
      </c>
      <c r="E4" s="7" t="inlineStr">
        <is>
          <t>原文數值</t>
        </is>
      </c>
      <c r="F4" s="7" t="inlineStr">
        <is>
          <t>信心度</t>
        </is>
      </c>
      <c r="G4" s="7" t="inlineStr">
        <is>
          <t>來源頁 Source Page</t>
        </is>
      </c>
      <c r="H4" s="7" t="inlineStr">
        <is>
          <t>上下文 Context</t>
        </is>
      </c>
    </row>
    <row r="5">
      <c r="A5" s="8" t="inlineStr">
        <is>
          <t>Expected Volatility</t>
        </is>
      </c>
      <c r="B5" s="8" t="inlineStr">
        <is>
          <t>預期波幅</t>
        </is>
      </c>
      <c r="C5" s="9" t="n">
        <v>76.27</v>
      </c>
      <c r="D5" s="10" t="n">
        <v>76.27</v>
      </c>
      <c r="E5" s="11" t="inlineStr">
        <is>
          <t>76.27%</t>
        </is>
      </c>
      <c r="F5" s="11" t="inlineStr">
        <is>
          <t>High</t>
        </is>
      </c>
      <c r="G5" s="11" t="inlineStr">
        <is>
          <t>PDF p.200</t>
        </is>
      </c>
      <c r="H5" s="11" t="inlineStr">
        <is>
          <t xml:space="preserve">nt date 於授出日期之股價 HK$0.35 港幣0.35元 Exercise price per share 每股行使價 HK$0.35 港幣0.35元 Expected volatility 預期波動幅度 76.27% Expected life of options 預期購股權年期 4 years 4年 Expected dividend yield 預期派息率 0% Annual risk-free interest rate 無風險年利率 2.17% Expected volatility was </t>
        </is>
      </c>
    </row>
    <row r="6">
      <c r="A6" s="8" t="inlineStr">
        <is>
          <t>Terminal Growth Rate</t>
        </is>
      </c>
      <c r="B6" s="8" t="inlineStr">
        <is>
          <t>永續增長率</t>
        </is>
      </c>
      <c r="C6" s="9" t="n">
        <v>2</v>
      </c>
      <c r="D6" s="10" t="n">
        <v>2</v>
      </c>
      <c r="E6" s="11" t="inlineStr">
        <is>
          <t>2%</t>
        </is>
      </c>
      <c r="F6" s="11" t="inlineStr">
        <is>
          <t>Medium</t>
        </is>
      </c>
      <c r="G6" s="11" t="inlineStr">
        <is>
          <t>PDF p.163</t>
        </is>
      </c>
      <c r="H6" s="11" t="inlineStr">
        <is>
          <t xml:space="preserve">五年期的現金流量已 rate within the forecast period was 2% and the cash flows beyond 使用2%的長期增長率進行推斷。該增長率基 the 5-year period were extrapolated using a 2% long-term growth 於相關行業增長預測，且不超過相關行業的 rate. This growth rate was based on the relevant industry growth </t>
        </is>
      </c>
    </row>
    <row r="7">
      <c r="A7" s="8" t="inlineStr">
        <is>
          <t>Terminal Growth Rate</t>
        </is>
      </c>
      <c r="B7" s="8" t="inlineStr">
        <is>
          <t>永續增長率</t>
        </is>
      </c>
      <c r="C7" s="9" t="n">
        <v>2</v>
      </c>
      <c r="D7" s="10" t="n">
        <v>2</v>
      </c>
      <c r="E7" s="11" t="inlineStr">
        <is>
          <t>2%</t>
        </is>
      </c>
      <c r="F7" s="11" t="inlineStr">
        <is>
          <t>Medium</t>
        </is>
      </c>
      <c r="G7" s="11" t="inlineStr">
        <is>
          <t>PDF p.164</t>
        </is>
      </c>
      <c r="H7" s="11" t="inlineStr">
        <is>
          <t>h flows beyond the 5-year period were extrapolated 增長率進行推斷。該增長率基於相關行 using a 2% long-term growth rate. This growth rate was 業增長預測，且不超過相關行業的平均 based on the relevant industry growth forecasts and did not 長期增長率。 exceed the average long-term growth rate for the rel</t>
        </is>
      </c>
    </row>
    <row r="8">
      <c r="A8" s="8" t="inlineStr">
        <is>
          <t>Terminal Growth Rate</t>
        </is>
      </c>
      <c r="B8" s="8" t="inlineStr">
        <is>
          <t>永續增長率</t>
        </is>
      </c>
      <c r="C8" s="9" t="n">
        <v>2</v>
      </c>
      <c r="D8" s="10" t="n">
        <v>2</v>
      </c>
      <c r="E8" s="11" t="inlineStr">
        <is>
          <t>2%</t>
        </is>
      </c>
      <c r="F8" s="11" t="inlineStr">
        <is>
          <t>Medium</t>
        </is>
      </c>
      <c r="G8" s="11" t="inlineStr">
        <is>
          <t>PDF p.168</t>
        </is>
      </c>
      <c r="H8" s="11" t="inlineStr">
        <is>
          <t>flows beyond the 5-year period were extrapolated 該增長率基於相關行業增長預測，且不超過 using a 2% long-term growth rate. This growth rate was based 相關行業的平均長期增長率。 on the relevant industry growth forecasts and did not exceed the average long-term growth rate for the relevant indus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1"/>
  <sheetViews>
    <sheetView workbookViewId="0">
      <pane ySplit="4" topLeftCell="A5" activePane="bottomLeft" state="frozen"/>
      <selection pane="bottomLeft" activeCell="A1" sqref="A1"/>
    </sheetView>
  </sheetViews>
  <sheetFormatPr baseColWidth="8" defaultRowHeight="15"/>
  <cols>
    <col width="20" customWidth="1" min="1" max="1"/>
    <col width="28" customWidth="1" min="2" max="2"/>
    <col width="16" customWidth="1" min="3" max="3"/>
    <col width="16" customWidth="1" min="4" max="4"/>
    <col width="12" customWidth="1" min="5" max="5"/>
    <col width="20" customWidth="1" min="6" max="6"/>
    <col width="70" customWidth="1" min="7" max="7"/>
  </cols>
  <sheetData>
    <row r="1">
      <c r="A1" s="1" t="inlineStr">
        <is>
          <t>三大報表擷取結果</t>
        </is>
      </c>
    </row>
    <row r="2">
      <c r="A2" s="2" t="inlineStr">
        <is>
          <t>偵測到的年度欄位 — Income Statement: 2026 / 2025; Balance Sheet: 2026 / 2025; Cash Flow: 2026 / 2025</t>
        </is>
      </c>
    </row>
    <row r="4">
      <c r="A4" s="7" t="inlineStr">
        <is>
          <t>報表 Statement</t>
        </is>
      </c>
      <c r="B4" s="7" t="inlineStr">
        <is>
          <t>科目 Item</t>
        </is>
      </c>
      <c r="C4" s="7" t="inlineStr">
        <is>
          <t>本年 Current</t>
        </is>
      </c>
      <c r="D4" s="7" t="inlineStr">
        <is>
          <t>上年 Prior</t>
        </is>
      </c>
      <c r="E4" s="7" t="inlineStr">
        <is>
          <t>變動 YoY %</t>
        </is>
      </c>
      <c r="F4" s="7" t="inlineStr">
        <is>
          <t>來源頁</t>
        </is>
      </c>
      <c r="G4" s="7" t="inlineStr">
        <is>
          <t>原文行 Source line</t>
        </is>
      </c>
    </row>
    <row r="5">
      <c r="A5" s="8" t="inlineStr">
        <is>
          <t>Income Statement</t>
        </is>
      </c>
      <c r="B5" s="8" t="inlineStr">
        <is>
          <t>Revenue</t>
        </is>
      </c>
      <c r="C5" s="12" t="n">
        <v>331121</v>
      </c>
      <c r="D5" s="13" t="n">
        <v>279708</v>
      </c>
      <c r="E5" s="14">
        <f>IF(ISERROR((C5-D5)/ABS(D5)),"",(C5-D5)/ABS(D5))</f>
        <v>0.1838095442389921</v>
      </c>
      <c r="F5" s="11" t="inlineStr">
        <is>
          <t>PDF p.98</t>
        </is>
      </c>
      <c r="G5" s="11" t="inlineStr">
        <is>
          <t>Revenue 收入 6 331,121 279,708</t>
        </is>
      </c>
    </row>
    <row r="6">
      <c r="A6" s="8" t="inlineStr">
        <is>
          <t>Income Statement</t>
        </is>
      </c>
      <c r="B6" s="8" t="inlineStr">
        <is>
          <t>Cost of Sales</t>
        </is>
      </c>
      <c r="C6" s="12" t="n">
        <v>-498858</v>
      </c>
      <c r="D6" s="13" t="n">
        <v>-219761</v>
      </c>
      <c r="E6" s="14">
        <f>IF(ISERROR((C6-D6)/ABS(D6)),"",(C6-D6)/ABS(D6))</f>
        <v>-1.2700024117109041</v>
      </c>
      <c r="F6" s="11" t="inlineStr">
        <is>
          <t>PDF p.98</t>
        </is>
      </c>
      <c r="G6" s="11" t="inlineStr">
        <is>
          <t>Cost of sales 銷售成本 (498,858) (219,761)</t>
        </is>
      </c>
    </row>
    <row r="7">
      <c r="A7" s="8" t="inlineStr">
        <is>
          <t>Income Statement</t>
        </is>
      </c>
      <c r="B7" s="8" t="inlineStr">
        <is>
          <t>Gross Profit</t>
        </is>
      </c>
      <c r="C7" s="12" t="n">
        <v>-167737</v>
      </c>
      <c r="D7" s="13" t="n">
        <v>59947</v>
      </c>
      <c r="E7" s="14">
        <f>IF(ISERROR((C7-D7)/ABS(D7)),"",(C7-D7)/ABS(D7))</f>
        <v>-3.7980883113416852</v>
      </c>
      <c r="F7" s="11" t="inlineStr">
        <is>
          <t>PDF p.98</t>
        </is>
      </c>
      <c r="G7" s="11" t="inlineStr">
        <is>
          <t>Gross (loss)/profit （毛損）╱毛利 (167,737) 59,947</t>
        </is>
      </c>
    </row>
    <row r="8">
      <c r="A8" s="8" t="inlineStr">
        <is>
          <t>Income Statement</t>
        </is>
      </c>
      <c r="B8" s="8" t="inlineStr">
        <is>
          <t>Finance Costs</t>
        </is>
      </c>
      <c r="C8" s="12" t="n">
        <v>-37139</v>
      </c>
      <c r="D8" s="13" t="n">
        <v>-106</v>
      </c>
      <c r="E8" s="14">
        <f>IF(ISERROR((C8-D8)/ABS(D8)),"",(C8-D8)/ABS(D8))</f>
        <v>-349.3679245283019</v>
      </c>
      <c r="F8" s="11" t="inlineStr">
        <is>
          <t>PDF p.98</t>
        </is>
      </c>
      <c r="G8" s="11" t="inlineStr">
        <is>
          <t>Finance costs 融資成本 9 (37,139) (106)</t>
        </is>
      </c>
    </row>
    <row r="9">
      <c r="A9" s="8" t="inlineStr">
        <is>
          <t>Income Statement</t>
        </is>
      </c>
      <c r="B9" s="8" t="inlineStr">
        <is>
          <t>Profit Before Tax</t>
        </is>
      </c>
      <c r="C9" s="12" t="n">
        <v>-400638</v>
      </c>
      <c r="D9" s="13" t="n">
        <v>-127354</v>
      </c>
      <c r="E9" s="14">
        <f>IF(ISERROR((C9-D9)/ABS(D9)),"",(C9-D9)/ABS(D9))</f>
        <v>-2.145861142955855</v>
      </c>
      <c r="F9" s="11" t="inlineStr">
        <is>
          <t>PDF p.98</t>
        </is>
      </c>
      <c r="G9" s="11" t="inlineStr">
        <is>
          <t>Loss before tax 除稅前虧損 10 (400,638) (127,354)</t>
        </is>
      </c>
    </row>
    <row r="10">
      <c r="A10" s="8" t="inlineStr">
        <is>
          <t>Income Statement</t>
        </is>
      </c>
      <c r="B10" s="8" t="inlineStr">
        <is>
          <t>Profit for the Year</t>
        </is>
      </c>
      <c r="C10" s="12" t="n">
        <v>-424302</v>
      </c>
      <c r="D10" s="13" t="n">
        <v>-138195</v>
      </c>
      <c r="E10" s="14">
        <f>IF(ISERROR((C10-D10)/ABS(D10)),"",(C10-D10)/ABS(D10))</f>
        <v>-2.070313687181157</v>
      </c>
      <c r="F10" s="11" t="inlineStr">
        <is>
          <t>PDF p.98</t>
        </is>
      </c>
      <c r="G10" s="11" t="inlineStr">
        <is>
          <t>Loss for the year attributable to the owners of 本公司擁有人應佔年度虧損 … the Company (424,302) (138,195)</t>
        </is>
      </c>
    </row>
    <row r="11">
      <c r="A11" s="8" t="inlineStr">
        <is>
          <t>Balance Sheet</t>
        </is>
      </c>
      <c r="B11" s="8" t="inlineStr">
        <is>
          <t>Investment Properties</t>
        </is>
      </c>
      <c r="C11" s="12" t="n">
        <v>10933</v>
      </c>
      <c r="D11" s="13" t="n">
        <v>38280</v>
      </c>
      <c r="E11" s="14">
        <f>IF(ISERROR((C11-D11)/ABS(D11)),"",(C11-D11)/ABS(D11))</f>
        <v>-0.7143939393939394</v>
      </c>
      <c r="F11" s="11" t="inlineStr">
        <is>
          <t>PDF p.99</t>
        </is>
      </c>
      <c r="G11" s="11" t="inlineStr">
        <is>
          <t>Investment properties 投資物業 15 10,933 38,280</t>
        </is>
      </c>
    </row>
    <row r="12">
      <c r="A12" s="8" t="inlineStr">
        <is>
          <t>Balance Sheet</t>
        </is>
      </c>
      <c r="B12" s="8" t="inlineStr">
        <is>
          <t>Property Plant and Equipment</t>
        </is>
      </c>
      <c r="C12" s="12" t="n">
        <v>21474</v>
      </c>
      <c r="D12" s="13" t="n">
        <v>28310</v>
      </c>
      <c r="E12" s="14">
        <f>IF(ISERROR((C12-D12)/ABS(D12)),"",(C12-D12)/ABS(D12))</f>
        <v>-0.24146944542564464</v>
      </c>
      <c r="F12" s="11" t="inlineStr">
        <is>
          <t>PDF p.99</t>
        </is>
      </c>
      <c r="G12" s="11" t="inlineStr">
        <is>
          <t>Property, plant and equipment 物業、廠房及設備 16 21,474 28,310</t>
        </is>
      </c>
    </row>
    <row r="13">
      <c r="A13" s="8" t="inlineStr">
        <is>
          <t>Balance Sheet</t>
        </is>
      </c>
      <c r="B13" s="8" t="inlineStr">
        <is>
          <t>Goodwill</t>
        </is>
      </c>
      <c r="C13" s="12" t="n">
        <v>0</v>
      </c>
      <c r="D13" s="13" t="n">
        <v>0</v>
      </c>
      <c r="E13" s="14" t="str">
        <f>IF(ISERROR((C13-D13)/ABS(D13)),"",(C13-D13)/ABS(D13))</f>
        <v/>
      </c>
      <c r="F13" s="11" t="inlineStr">
        <is>
          <t>PDF p.99</t>
        </is>
      </c>
      <c r="G13" s="11" t="inlineStr">
        <is>
          <t>Goodwill 商譽 18 – –</t>
        </is>
      </c>
    </row>
    <row r="14">
      <c r="A14" s="8" t="inlineStr">
        <is>
          <t>Balance Sheet</t>
        </is>
      </c>
      <c r="B14" s="8" t="inlineStr">
        <is>
          <t>Inventories</t>
        </is>
      </c>
      <c r="C14" s="12" t="n">
        <v>11545</v>
      </c>
      <c r="D14" s="13" t="n">
        <v>12364</v>
      </c>
      <c r="E14" s="14">
        <f>IF(ISERROR((C14-D14)/ABS(D14)),"",(C14-D14)/ABS(D14))</f>
        <v>-0.06624069880297638</v>
      </c>
      <c r="F14" s="11" t="inlineStr">
        <is>
          <t>PDF p.99</t>
        </is>
      </c>
      <c r="G14" s="11" t="inlineStr">
        <is>
          <t>Inventories 存貨 21 11,545 12,364</t>
        </is>
      </c>
    </row>
    <row r="15">
      <c r="A15" s="8" t="inlineStr">
        <is>
          <t>Balance Sheet</t>
        </is>
      </c>
      <c r="B15" s="8" t="inlineStr">
        <is>
          <t>Trade Receivables</t>
        </is>
      </c>
      <c r="C15" s="12" t="n">
        <v>99684</v>
      </c>
      <c r="D15" s="13" t="n">
        <v>1024</v>
      </c>
      <c r="E15" s="14">
        <f>IF(ISERROR((C15-D15)/ABS(D15)),"",(C15-D15)/ABS(D15))</f>
        <v>96.34765625</v>
      </c>
      <c r="F15" s="11" t="inlineStr">
        <is>
          <t>PDF p.99</t>
        </is>
      </c>
      <c r="G15" s="11" t="inlineStr">
        <is>
          <t>Trade receivables 貿易應收賬款 22 99,684 1,024</t>
        </is>
      </c>
    </row>
    <row r="16">
      <c r="A16" s="8" t="inlineStr">
        <is>
          <t>Balance Sheet</t>
        </is>
      </c>
      <c r="B16" s="8" t="inlineStr">
        <is>
          <t>Cash and Equivalents</t>
        </is>
      </c>
      <c r="C16" s="12" t="n">
        <v>71237</v>
      </c>
      <c r="D16" s="13" t="n">
        <v>51473</v>
      </c>
      <c r="E16" s="14">
        <f>IF(ISERROR((C16-D16)/ABS(D16)),"",(C16-D16)/ABS(D16))</f>
        <v>0.38396829405707844</v>
      </c>
      <c r="F16" s="11" t="inlineStr">
        <is>
          <t>PDF p.99</t>
        </is>
      </c>
      <c r="G16" s="11" t="inlineStr">
        <is>
          <t>Cash and cash equivalents 現金及現金等價物 26 71,237 51,473</t>
        </is>
      </c>
    </row>
    <row r="17">
      <c r="A17" s="8" t="inlineStr">
        <is>
          <t>Balance Sheet</t>
        </is>
      </c>
      <c r="B17" s="8" t="inlineStr">
        <is>
          <t>Total Equity</t>
        </is>
      </c>
      <c r="C17" s="12" t="n">
        <v>928281</v>
      </c>
      <c r="D17" s="13" t="n">
        <v>1063909</v>
      </c>
      <c r="E17" s="14">
        <f>IF(ISERROR((C17-D17)/ABS(D17)),"",(C17-D17)/ABS(D17))</f>
        <v>-0.12748082777756367</v>
      </c>
      <c r="F17" s="11" t="inlineStr">
        <is>
          <t>PDF p.100</t>
        </is>
      </c>
      <c r="G17" s="11" t="inlineStr">
        <is>
          <t>Total equity 總權益 928,281 1,063,909</t>
        </is>
      </c>
    </row>
    <row r="18">
      <c r="A18" s="8" t="inlineStr">
        <is>
          <t>Balance Sheet</t>
        </is>
      </c>
      <c r="B18" s="8" t="inlineStr">
        <is>
          <t>Total Current Assets</t>
        </is>
      </c>
      <c r="C18" s="12" t="n">
        <v>2146230</v>
      </c>
      <c r="D18" s="13" t="n">
        <v>2273094</v>
      </c>
      <c r="E18" s="14">
        <f>IF(ISERROR((C18-D18)/ABS(D18)),"",(C18-D18)/ABS(D18))</f>
        <v>-0.05581115431214019</v>
      </c>
      <c r="F18" s="11" t="inlineStr">
        <is>
          <t>PDF p.99</t>
        </is>
      </c>
      <c r="G18" s="11" t="inlineStr">
        <is>
          <t>[current assets 區段小計] 2,146,230 2,273,094</t>
        </is>
      </c>
    </row>
    <row r="19">
      <c r="A19" s="8" t="inlineStr">
        <is>
          <t>Balance Sheet</t>
        </is>
      </c>
      <c r="B19" s="8" t="inlineStr">
        <is>
          <t>Total Current Liabilities</t>
        </is>
      </c>
      <c r="C19" s="12" t="n">
        <v>460386</v>
      </c>
      <c r="D19" s="13" t="n">
        <v>1315450</v>
      </c>
      <c r="E19" s="14">
        <f>IF(ISERROR((C19-D19)/ABS(D19)),"",(C19-D19)/ABS(D19))</f>
        <v>-0.650016344216808</v>
      </c>
      <c r="F19" s="11" t="inlineStr">
        <is>
          <t>PDF p.99</t>
        </is>
      </c>
      <c r="G19" s="11" t="inlineStr">
        <is>
          <t>[current liabilities 區段小計] 460,386 1,315,450</t>
        </is>
      </c>
    </row>
    <row r="21">
      <c r="A21" s="2" t="inlineStr">
        <is>
          <t>藍色 = 從 PDF 原文擷取的數值(硬輸入);黑色 = 公式計算。單位依原報表所示(通常為千元或百萬元),請對照來源頁確認。</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3"/>
  <sheetViews>
    <sheetView workbookViewId="0">
      <pane ySplit="4" topLeftCell="A5" activePane="bottomLeft" state="frozen"/>
      <selection pane="bottomLeft" activeCell="A1" sqref="A1"/>
    </sheetView>
  </sheetViews>
  <sheetFormatPr baseColWidth="8" defaultRowHeight="15"/>
  <cols>
    <col width="30" customWidth="1" min="1" max="1"/>
    <col width="16" customWidth="1" min="2" max="2"/>
    <col width="16" customWidth="1" min="3" max="3"/>
    <col width="48" customWidth="1" min="4" max="4"/>
  </cols>
  <sheetData>
    <row r="1">
      <c r="A1" s="1" t="inlineStr">
        <is>
          <t>衍生比率 — 全部以公式連結至 Financials 分頁</t>
        </is>
      </c>
    </row>
    <row r="2">
      <c r="A2" s="2" t="inlineStr">
        <is>
          <t>改動 Financials 分頁的數字,本頁會自動重算。</t>
        </is>
      </c>
    </row>
    <row r="4">
      <c r="A4" s="7" t="inlineStr">
        <is>
          <t>比率 Ratio</t>
        </is>
      </c>
      <c r="B4" s="7" t="inlineStr">
        <is>
          <t>本年 Current</t>
        </is>
      </c>
      <c r="C4" s="7" t="inlineStr">
        <is>
          <t>上年 Prior</t>
        </is>
      </c>
      <c r="D4" s="7" t="inlineStr">
        <is>
          <t>說明</t>
        </is>
      </c>
    </row>
    <row r="5">
      <c r="A5" s="4" t="inlineStr">
        <is>
          <t>Gross Margin 毛利率</t>
        </is>
      </c>
      <c r="B5" s="15">
        <f>IF(ISERROR(INDEX('Financials 財務數據'!$C$5:$C$19,MATCH("Gross Profit",'Financials 財務數據'!$B$5:$B$19,0))/INDEX('Financials 財務數據'!$C$5:$C$19,MATCH("Revenue",'Financials 財務數據'!$B$5:$B$19,0))),"n/a",INDEX('Financials 財務數據'!$C$5:$C$19,MATCH("Gross Profit",'Financials 財務數據'!$B$5:$B$19,0))/INDEX('Financials 財務數據'!$C$5:$C$19,MATCH("Revenue",'Financials 財務數據'!$B$5:$B$19,0)))</f>
        <v>-0.5065731258361746</v>
      </c>
      <c r="C5" s="15">
        <f>IF(ISERROR(INDEX('Financials 財務數據'!$D$5:$D$19,MATCH("Gross Profit",'Financials 財務數據'!$B$5:$B$19,0))/INDEX('Financials 財務數據'!$D$5:$D$19,MATCH("Revenue",'Financials 財務數據'!$B$5:$B$19,0))),"n/a",INDEX('Financials 財務數據'!$D$5:$D$19,MATCH("Gross Profit",'Financials 財務數據'!$B$5:$B$19,0))/INDEX('Financials 財務數據'!$D$5:$D$19,MATCH("Revenue",'Financials 財務數據'!$B$5:$B$19,0)))</f>
        <v>0.21431993364508703</v>
      </c>
      <c r="D5" s="2" t="inlineStr">
        <is>
          <t>毛利 ÷ 收入</t>
        </is>
      </c>
    </row>
    <row r="6">
      <c r="A6" s="4" t="inlineStr">
        <is>
          <t>Net Margin 淨利率</t>
        </is>
      </c>
      <c r="B6" s="15">
        <f>IF(ISERROR(INDEX('Financials 財務數據'!$C$5:$C$19,MATCH("Profit for the Year",'Financials 財務數據'!$B$5:$B$19,0))/INDEX('Financials 財務數據'!$C$5:$C$19,MATCH("Revenue",'Financials 財務數據'!$B$5:$B$19,0))),"n/a",INDEX('Financials 財務數據'!$C$5:$C$19,MATCH("Profit for the Year",'Financials 財務數據'!$B$5:$B$19,0))/INDEX('Financials 財務數據'!$C$5:$C$19,MATCH("Revenue",'Financials 財務數據'!$B$5:$B$19,0)))</f>
        <v>-1.281410722968341</v>
      </c>
      <c r="C6" s="15">
        <f>IF(ISERROR(INDEX('Financials 財務數據'!$D$5:$D$19,MATCH("Profit for the Year",'Financials 財務數據'!$B$5:$B$19,0))/INDEX('Financials 財務數據'!$D$5:$D$19,MATCH("Revenue",'Financials 財務數據'!$B$5:$B$19,0))),"n/a",INDEX('Financials 財務數據'!$D$5:$D$19,MATCH("Profit for the Year",'Financials 財務數據'!$B$5:$B$19,0))/INDEX('Financials 財務數據'!$D$5:$D$19,MATCH("Revenue",'Financials 財務數據'!$B$5:$B$19,0)))</f>
        <v>-0.49406881462096186</v>
      </c>
      <c r="D6" s="2" t="inlineStr">
        <is>
          <t>年內溢利 ÷ 收入</t>
        </is>
      </c>
    </row>
    <row r="7">
      <c r="A7" s="4" t="inlineStr">
        <is>
          <t>Current Ratio 流動比率</t>
        </is>
      </c>
      <c r="B7" s="16">
        <f>IF(ISERROR(INDEX('Financials 財務數據'!$C$5:$C$19,MATCH("Total Current Assets",'Financials 財務數據'!$B$5:$B$19,0))/INDEX('Financials 財務數據'!$C$5:$C$19,MATCH("Total Current Liabilities",'Financials 財務數據'!$B$5:$B$19,0))),"n/a",INDEX('Financials 財務數據'!$C$5:$C$19,MATCH("Total Current Assets",'Financials 財務數據'!$B$5:$B$19,0))/INDEX('Financials 財務數據'!$C$5:$C$19,MATCH("Total Current Liabilities",'Financials 財務數據'!$B$5:$B$19,0)))</f>
        <v>4.661805528404426</v>
      </c>
      <c r="C7" s="16">
        <f>IF(ISERROR(INDEX('Financials 財務數據'!$D$5:$D$19,MATCH("Total Current Assets",'Financials 財務數據'!$B$5:$B$19,0))/INDEX('Financials 財務數據'!$D$5:$D$19,MATCH("Total Current Liabilities",'Financials 財務數據'!$B$5:$B$19,0))),"n/a",INDEX('Financials 財務數據'!$D$5:$D$19,MATCH("Total Current Assets",'Financials 財務數據'!$B$5:$B$19,0))/INDEX('Financials 財務數據'!$D$5:$D$19,MATCH("Total Current Liabilities",'Financials 財務數據'!$B$5:$B$19,0)))</f>
        <v>1.7279972632939298</v>
      </c>
      <c r="D7" s="2" t="inlineStr">
        <is>
          <t>流動資產 ÷ 流動負債</t>
        </is>
      </c>
    </row>
    <row r="8">
      <c r="A8" s="4" t="inlineStr">
        <is>
          <t>Debt / Equity 負債權益比</t>
        </is>
      </c>
      <c r="B8" s="16" t="str">
        <f>IF(ISERROR(INDEX('Financials 財務數據'!$C$5:$C$19,MATCH("Total Liabilities",'Financials 財務數據'!$B$5:$B$19,0))/INDEX('Financials 財務數據'!$C$5:$C$19,MATCH("Total Equity",'Financials 財務數據'!$B$5:$B$19,0))),"n/a",INDEX('Financials 財務數據'!$C$5:$C$19,MATCH("Total Liabilities",'Financials 財務數據'!$B$5:$B$19,0))/INDEX('Financials 財務數據'!$C$5:$C$19,MATCH("Total Equity",'Financials 財務數據'!$B$5:$B$19,0)))</f>
        <v>n/a</v>
      </c>
      <c r="C8" s="16" t="str">
        <f>IF(ISERROR(INDEX('Financials 財務數據'!$D$5:$D$19,MATCH("Total Liabilities",'Financials 財務數據'!$B$5:$B$19,0))/INDEX('Financials 財務數據'!$D$5:$D$19,MATCH("Total Equity",'Financials 財務數據'!$B$5:$B$19,0))),"n/a",INDEX('Financials 財務數據'!$D$5:$D$19,MATCH("Total Liabilities",'Financials 財務數據'!$B$5:$B$19,0))/INDEX('Financials 財務數據'!$D$5:$D$19,MATCH("Total Equity",'Financials 財務數據'!$B$5:$B$19,0)))</f>
        <v>n/a</v>
      </c>
      <c r="D8" s="2" t="inlineStr">
        <is>
          <t>總負債 ÷ 總權益</t>
        </is>
      </c>
    </row>
    <row r="9">
      <c r="A9" s="4" t="inlineStr">
        <is>
          <t>Goodwill / Total Assets</t>
        </is>
      </c>
      <c r="B9" s="15" t="str">
        <f>IF(ISERROR(INDEX('Financials 財務數據'!$C$5:$C$19,MATCH("Goodwill",'Financials 財務數據'!$B$5:$B$19,0))/INDEX('Financials 財務數據'!$C$5:$C$19,MATCH("Total Assets",'Financials 財務數據'!$B$5:$B$19,0))),"n/a",INDEX('Financials 財務數據'!$C$5:$C$19,MATCH("Goodwill",'Financials 財務數據'!$B$5:$B$19,0))/INDEX('Financials 財務數據'!$C$5:$C$19,MATCH("Total Assets",'Financials 財務數據'!$B$5:$B$19,0)))</f>
        <v>n/a</v>
      </c>
      <c r="C9" s="15" t="str">
        <f>IF(ISERROR(INDEX('Financials 財務數據'!$D$5:$D$19,MATCH("Goodwill",'Financials 財務數據'!$B$5:$B$19,0))/INDEX('Financials 財務數據'!$D$5:$D$19,MATCH("Total Assets",'Financials 財務數據'!$B$5:$B$19,0))),"n/a",INDEX('Financials 財務數據'!$D$5:$D$19,MATCH("Goodwill",'Financials 財務數據'!$B$5:$B$19,0))/INDEX('Financials 財務數據'!$D$5:$D$19,MATCH("Total Assets",'Financials 財務數據'!$B$5:$B$19,0)))</f>
        <v>n/a</v>
      </c>
      <c r="D9" s="2" t="inlineStr">
        <is>
          <t>商譽佔總資產比重 — 減值風險指標</t>
        </is>
      </c>
    </row>
    <row r="10">
      <c r="A10" s="4" t="inlineStr">
        <is>
          <t>Intangibles / Total Assets</t>
        </is>
      </c>
      <c r="B10" s="15" t="str">
        <f>IF(ISERROR(INDEX('Financials 財務數據'!$C$5:$C$19,MATCH("Intangible Assets",'Financials 財務數據'!$B$5:$B$19,0))/INDEX('Financials 財務數據'!$C$5:$C$19,MATCH("Total Assets",'Financials 財務數據'!$B$5:$B$19,0))),"n/a",INDEX('Financials 財務數據'!$C$5:$C$19,MATCH("Intangible Assets",'Financials 財務數據'!$B$5:$B$19,0))/INDEX('Financials 財務數據'!$C$5:$C$19,MATCH("Total Assets",'Financials 財務數據'!$B$5:$B$19,0)))</f>
        <v>n/a</v>
      </c>
      <c r="C10" s="15" t="str">
        <f>IF(ISERROR(INDEX('Financials 財務數據'!$D$5:$D$19,MATCH("Intangible Assets",'Financials 財務數據'!$B$5:$B$19,0))/INDEX('Financials 財務數據'!$D$5:$D$19,MATCH("Total Assets",'Financials 財務數據'!$B$5:$B$19,0))),"n/a",INDEX('Financials 財務數據'!$D$5:$D$19,MATCH("Intangible Assets",'Financials 財務數據'!$B$5:$B$19,0))/INDEX('Financials 財務數據'!$D$5:$D$19,MATCH("Total Assets",'Financials 財務數據'!$B$5:$B$19,0)))</f>
        <v>n/a</v>
      </c>
      <c r="D10" s="2" t="inlineStr">
        <is>
          <t>無形資產佔比</t>
        </is>
      </c>
    </row>
    <row r="11">
      <c r="A11" s="4" t="inlineStr">
        <is>
          <t>ROE 股本回報率</t>
        </is>
      </c>
      <c r="B11" s="15">
        <f>IF(ISERROR(INDEX('Financials 財務數據'!$C$5:$C$19,MATCH("Profit for the Year",'Financials 財務數據'!$B$5:$B$19,0))/INDEX('Financials 財務數據'!$C$5:$C$19,MATCH("Total Equity",'Financials 財務數據'!$B$5:$B$19,0))),"n/a",INDEX('Financials 財務數據'!$C$5:$C$19,MATCH("Profit for the Year",'Financials 財務數據'!$B$5:$B$19,0))/INDEX('Financials 財務數據'!$C$5:$C$19,MATCH("Total Equity",'Financials 財務數據'!$B$5:$B$19,0)))</f>
        <v>-0.45708357706341074</v>
      </c>
      <c r="C11" s="15">
        <f>IF(ISERROR(INDEX('Financials 財務數據'!$D$5:$D$19,MATCH("Profit for the Year",'Financials 財務數據'!$B$5:$B$19,0))/INDEX('Financials 財務數據'!$D$5:$D$19,MATCH("Total Equity",'Financials 財務數據'!$B$5:$B$19,0))),"n/a",INDEX('Financials 財務數據'!$D$5:$D$19,MATCH("Profit for the Year",'Financials 財務數據'!$B$5:$B$19,0))/INDEX('Financials 財務數據'!$D$5:$D$19,MATCH("Total Equity",'Financials 財務數據'!$B$5:$B$19,0)))</f>
        <v>-0.12989362812045016</v>
      </c>
      <c r="D11" s="2" t="inlineStr">
        <is>
          <t>年內溢利 ÷ 總權益</t>
        </is>
      </c>
    </row>
    <row r="13">
      <c r="A13" s="2" t="inlineStr">
        <is>
          <t>顯示 "n/a" 表示該科目未在文件中成功擷取,需人手補入。</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inlineStr">
        <is>
          <t>本年 vs 上年 — 主要科目比較</t>
        </is>
      </c>
    </row>
    <row r="2">
      <c r="A2" s="2" t="inlineStr">
        <is>
          <t>港交所主板及 GEM 自 2024 年起均無強制季度報告,故以年度 / 中期數據作趨勢比較較符合披露實況。</t>
        </is>
      </c>
    </row>
    <row r="4">
      <c r="A4" s="17" t="inlineStr">
        <is>
          <t>Item</t>
        </is>
      </c>
      <c r="B4" s="17" t="inlineStr">
        <is>
          <t>Prior</t>
        </is>
      </c>
      <c r="C4" s="17" t="inlineStr">
        <is>
          <t>Current</t>
        </is>
      </c>
    </row>
    <row r="5">
      <c r="A5" s="4" t="inlineStr">
        <is>
          <t>Revenue</t>
        </is>
      </c>
      <c r="B5" s="18" t="n">
        <v>279708</v>
      </c>
      <c r="C5" s="18" t="n">
        <v>331121</v>
      </c>
    </row>
    <row r="6">
      <c r="A6" s="4" t="inlineStr">
        <is>
          <t>Gross Profit</t>
        </is>
      </c>
      <c r="B6" s="18" t="n">
        <v>59947</v>
      </c>
      <c r="C6" s="18" t="n">
        <v>-167737</v>
      </c>
    </row>
    <row r="7">
      <c r="A7" s="4" t="inlineStr">
        <is>
          <t>Profit Before Tax</t>
        </is>
      </c>
      <c r="B7" s="18" t="n">
        <v>-127354</v>
      </c>
      <c r="C7" s="18" t="n">
        <v>-400638</v>
      </c>
    </row>
    <row r="8">
      <c r="A8" s="4" t="inlineStr">
        <is>
          <t>Profit for the Year</t>
        </is>
      </c>
      <c r="B8" s="18" t="n">
        <v>-138195</v>
      </c>
      <c r="C8" s="18" t="n">
        <v>-424302</v>
      </c>
    </row>
    <row r="9">
      <c r="A9" s="4" t="inlineStr">
        <is>
          <t>Total Equity</t>
        </is>
      </c>
      <c r="B9" s="18" t="n">
        <v>1063909</v>
      </c>
      <c r="C9" s="18" t="n">
        <v>928281</v>
      </c>
    </row>
  </sheetData>
  <pageMargins left="0.75" right="0.75" top="1" bottom="1" header="0.5" footer="0.5"/>
  <drawing xmlns:r="http://schemas.openxmlformats.org/officeDocument/2006/relationships" r:id="rId1"/>
</worksheet>
</file>

<file path=xl/worksheets/sheet6.xml><?xml version="1.0" encoding="utf-8"?>
<worksheet xmlns="http://schemas.openxmlformats.org/spreadsheetml/2006/main">
  <sheetPr>
    <outlinePr summaryBelow="1" summaryRight="1"/>
    <pageSetUpPr/>
  </sheetPr>
  <dimension ref="A1:F142"/>
  <sheetViews>
    <sheetView workbookViewId="0">
      <pane ySplit="3" topLeftCell="A4" activePane="bottomLeft" state="frozen"/>
      <selection pane="bottomLeft" activeCell="A1" sqref="A1"/>
    </sheetView>
  </sheetViews>
  <sheetFormatPr baseColWidth="8" defaultRowHeight="15"/>
  <cols>
    <col width="28" customWidth="1" min="1" max="1"/>
    <col width="20" customWidth="1" min="2" max="2"/>
    <col width="10" customWidth="1" min="3" max="3"/>
    <col width="20" customWidth="1" min="4" max="4"/>
    <col width="20" customWidth="1" min="5" max="5"/>
    <col width="100" customWidth="1" min="6" max="6"/>
  </cols>
  <sheetData>
    <row r="1">
      <c r="A1" s="1" t="inlineStr">
        <is>
          <t>主題式段落擷取 — 供估值師快速定位原文</t>
        </is>
      </c>
    </row>
    <row r="3">
      <c r="A3" s="7" t="inlineStr">
        <is>
          <t>主題 Topic</t>
        </is>
      </c>
      <c r="B3" s="7" t="inlineStr">
        <is>
          <t>中文</t>
        </is>
      </c>
      <c r="C3" s="7" t="inlineStr">
        <is>
          <t>優先</t>
        </is>
      </c>
      <c r="D3" s="7" t="inlineStr">
        <is>
          <t>命中詞</t>
        </is>
      </c>
      <c r="E3" s="7" t="inlineStr">
        <is>
          <t>來源頁</t>
        </is>
      </c>
      <c r="F3" s="7" t="inlineStr">
        <is>
          <t>段落 Snippet</t>
        </is>
      </c>
    </row>
    <row r="4">
      <c r="A4" s="8" t="inlineStr">
        <is>
          <t>Fair Value Measurement</t>
        </is>
      </c>
      <c r="B4" s="8" t="inlineStr">
        <is>
          <t>公允價值計量</t>
        </is>
      </c>
      <c r="C4" s="19" t="inlineStr">
        <is>
          <t>high</t>
        </is>
      </c>
      <c r="D4" s="11" t="inlineStr">
        <is>
          <t>獨立估值師</t>
        </is>
      </c>
      <c r="E4" s="11" t="inlineStr">
        <is>
          <t>PDF p.159</t>
        </is>
      </c>
      <c r="F4" s="11" t="inlineStr">
        <is>
          <t>ch 2026, the fair value has been 年：約港幣48,221,000元）。於二零二六年三 arrived at based on a valuation carried out by an independent 月三十一日，公允值乃基於獨立估值師澋鋒 valuer, Peak Vision Appraisals Limited (“Peak Vision”) (2025: 評估有限公司（「澋鋒」） （二零二五年：澋鋒） Peak Vision). 進行的估值計算得出。 158 DINGYI GROUP INVESTMENT LIMITED ANNUAL REPORT 2026</t>
        </is>
      </c>
    </row>
    <row r="5">
      <c r="A5" s="8" t="inlineStr">
        <is>
          <t>Fair Value Measurement</t>
        </is>
      </c>
      <c r="B5" s="8" t="inlineStr">
        <is>
          <t>公允價值計量</t>
        </is>
      </c>
      <c r="C5" s="19" t="inlineStr">
        <is>
          <t>high</t>
        </is>
      </c>
      <c r="D5" s="11" t="inlineStr">
        <is>
          <t>fair value hierarchy</t>
        </is>
      </c>
      <c r="E5" s="11" t="inlineStr">
        <is>
          <t>PDF p.160</t>
        </is>
      </c>
      <c r="F5" s="11" t="inlineStr">
        <is>
          <t>y is their current use. 業之最高及最佳用途為彼等目前用途。 Details of the Group’s investment properties and information 本集團於報告期末的投資物業詳情及有關公 about the fair value hierarchy as at the end of the reporting period 允值等級的資料如下： are as followings: Fair value at level 3 Carrying as at Amount 31 March 2026 於二零二六年 三月三十一日 於第3級之 賬面值 公允值 HK$’000 HK$’000 港幣千元 港幣千元 Kindergarten located in the PRC 位於中國之幼兒園 10,933 19,821 159 鼎億集團投資有限公司 二零二六年年報</t>
        </is>
      </c>
    </row>
    <row r="6">
      <c r="A6" s="8" t="inlineStr">
        <is>
          <t>Fair Value Measurement</t>
        </is>
      </c>
      <c r="B6" s="8" t="inlineStr">
        <is>
          <t>公允價值計量</t>
        </is>
      </c>
      <c r="C6" s="19" t="inlineStr">
        <is>
          <t>high</t>
        </is>
      </c>
      <c r="D6" s="11" t="inlineStr">
        <is>
          <t>level 3</t>
        </is>
      </c>
      <c r="E6" s="11" t="inlineStr">
        <is>
          <t>PDF p.161</t>
        </is>
      </c>
      <c r="F6" s="11" t="inlineStr">
        <is>
          <t>atements 合併財務報表附註 For the year ended 31 March 2026 截至二零二六年三月三十一日止年度 15. INVESTMENT PROPERTIES 15. 投資物業（續） (Continued) Fair value at level 3 Carrying as at Amount 31 March 2025 於二零二五年 三月三十一日 於第3級之 賬面值 公允值 HK$’000 HK$’000 港幣千元 港幣千元 Kindergarten located in the PRC 位於中國之幼兒園 11,255 20,047 Shops located in the PRC 位於中國之商舖 27,025 28,174 The above investment properties are depreciated on a straight- 上述投資物業以直線法按20年租期計提折 line basis over the term of lease of 20 years. 舊。 160 DINGYI GROUP INVESTMENT LIMITED ANNUAL REPORT 2026</t>
        </is>
      </c>
    </row>
    <row r="7">
      <c r="A7" s="8" t="inlineStr">
        <is>
          <t>Fair Value Measurement</t>
        </is>
      </c>
      <c r="B7" s="8" t="inlineStr">
        <is>
          <t>公允價值計量</t>
        </is>
      </c>
      <c r="C7" s="19" t="inlineStr">
        <is>
          <t>high</t>
        </is>
      </c>
      <c r="D7" s="11" t="inlineStr">
        <is>
          <t>independent valuer</t>
        </is>
      </c>
      <c r="E7" s="11" t="inlineStr">
        <is>
          <t>PDF p.167</t>
        </is>
      </c>
      <c r="F7" s="11" t="inlineStr">
        <is>
          <t>ending 三月三十一日止年度之經審核綜合純利總額 31 March 2026 and 31 March 2027 exceed RMB4.8 million. 超過人民幣480萬元時方予支付。 The Group engaged Peak Vision an independent valuer to 本集團委聘獨立估值師澋鋒對Savor集團進行 perform a purchase price allocation analysis of Savor Group. The 收購價格分配分析。於截至二零二六年三月 projected aggregate consolidated net profits does not meet the 三十一日及二零二七年三月三十一日止年度 threshold of guaranteed aggregate consolidated net profits for 之預測綜合純利總額不能達到保證綜合純利 years ending 31 March 2026 and 31 March 2027. Hence, the 總額門檻。因此，基於最佳估計，本集團確 Group determines that there</t>
        </is>
      </c>
    </row>
    <row r="8">
      <c r="A8" s="8" t="inlineStr">
        <is>
          <t>Fair Value Measurement</t>
        </is>
      </c>
      <c r="B8" s="8" t="inlineStr">
        <is>
          <t>公允價值計量</t>
        </is>
      </c>
      <c r="C8" s="19" t="inlineStr">
        <is>
          <t>high</t>
        </is>
      </c>
      <c r="D8" s="11" t="inlineStr">
        <is>
          <t>independent valuer</t>
        </is>
      </c>
      <c r="E8" s="11" t="inlineStr">
        <is>
          <t>PDF p.182</t>
        </is>
      </c>
      <c r="F8" s="11" t="inlineStr">
        <is>
          <t>ed 新可換股債券的認購已於二零二五年九月 on 29 September 2025. 二十九日完成。 The fair value of the New Convertible Bonds was valued by an 新可換股債券的公允值已由獨立估值師澋鋒 independent valuer, Peak Vision Appraisals Limited as at issue 評估有限公司於發行日期進行估值。新可換 date. The fair value of the New Convertible Bonds was valued 股債券的公允值採用克蘭克－尼科爾森有限 by using the Crank-Nicolson finite difference method. The 差分法進行估值。餘額代表本公司享有的權 residual amount, representing the value of the equity conversion 益轉換部分及提前贖回部分的價值，並計入 component and early redemption component as entitled by the 本公司擁有人應佔權益項下的</t>
        </is>
      </c>
    </row>
    <row r="9">
      <c r="A9" s="8" t="inlineStr">
        <is>
          <t>Fair Value Measurement</t>
        </is>
      </c>
      <c r="B9" s="8" t="inlineStr">
        <is>
          <t>公允價值計量</t>
        </is>
      </c>
      <c r="C9" s="19" t="inlineStr">
        <is>
          <t>high</t>
        </is>
      </c>
      <c r="D9" s="11" t="inlineStr">
        <is>
          <t>fair value hierarchy</t>
        </is>
      </c>
      <c r="E9" s="11" t="inlineStr">
        <is>
          <t>PDF p.195</t>
        </is>
      </c>
      <c r="F9" s="11" t="inlineStr">
        <is>
          <t>千元 Financial assets at FVTPL 於損益賬按公允值處理之金融 資產 Listed equity investments 上市股本投資 7,958 40,665 There were no transfers between level of fair value hierarchy 於本年度及過往年度，各公允值級別間 in current and prior years. 並無轉撥。 The directors of the Company consider that the carrying 本公司董事認為，由於短期到期性質， amounts of other current financial assets and liabilities 於合併財務報表內以攤銷成本記錄之其 recorded at amortised cost in the consolidated financial 他流動金融資產及負債之賬面值與其相 statements approximate to their corresponding fair values 應之公允值相若。本公司董事認為，由 due to short-term maturiti</t>
        </is>
      </c>
    </row>
    <row r="10">
      <c r="A10" s="8" t="inlineStr">
        <is>
          <t>Impairment Testing</t>
        </is>
      </c>
      <c r="B10" s="8" t="inlineStr">
        <is>
          <t>減值測試</t>
        </is>
      </c>
      <c r="C10" s="19" t="inlineStr">
        <is>
          <t>high</t>
        </is>
      </c>
      <c r="D10" s="11" t="inlineStr">
        <is>
          <t>impairment loss</t>
        </is>
      </c>
      <c r="E10" s="11" t="inlineStr">
        <is>
          <t>PDF p.6</t>
        </is>
      </c>
      <c r="F10" s="11" t="inlineStr">
        <is>
          <t>的綜合影響：(1)於中國之物業 margin recognised for the properties development business in the PRC; 開發業務確認之毛利率減少；(2)應收貸款及利息減 (2) the provision for impairment loss on loan and interest receivables; 值虧損撥備；(3)發展中物業及持作出售物業撇減； (3) write-down of properties under development and properties held for (4)可換股債券融資費用；及(5)部分被出售金融資 sales; (4) finance charges on convertible bonds; and (5) being partially 產產生之收益所抵銷。 offset by the gain arising from the disposal of financial assets. 5 鼎億集團投資有限公司 二零二六年年報</t>
        </is>
      </c>
    </row>
    <row r="11">
      <c r="A11" s="8" t="inlineStr">
        <is>
          <t>Impairment Testing</t>
        </is>
      </c>
      <c r="B11" s="8" t="inlineStr">
        <is>
          <t>減值測試</t>
        </is>
      </c>
      <c r="C11" s="19" t="inlineStr">
        <is>
          <t>high</t>
        </is>
      </c>
      <c r="D11" s="11" t="inlineStr">
        <is>
          <t>impairment loss</t>
        </is>
      </c>
      <c r="E11" s="11" t="inlineStr">
        <is>
          <t>PDF p.9</t>
        </is>
      </c>
      <c r="F11" s="11" t="inlineStr">
        <is>
          <t>少；(2)應收貸款及利息之減值 margin recognised for the properties development business in the PRC; 虧損撥備；(3)撇減發展中物業及持作出售的物業； (2) the provision for impairment loss on loan and interest receivables; 及(4)可換股債券之財務變更；及(5)部分被出售金 (3) write-down of properties under development and properties held 融資產產生之收益所抵銷。 for sale; and (4) finance charges on convertible bonds; and (5) being partially offset by the gain arising from the disposals of financial assets. The basic and diluted loss per share was HK49.88 cents as compared 每股基本及攤薄虧損為49.88港仙，而去年則為每 with</t>
        </is>
      </c>
    </row>
    <row r="12">
      <c r="A12" s="8" t="inlineStr">
        <is>
          <t>Impairment Testing</t>
        </is>
      </c>
      <c r="B12" s="8" t="inlineStr">
        <is>
          <t>減值測試</t>
        </is>
      </c>
      <c r="C12" s="19" t="inlineStr">
        <is>
          <t>high</t>
        </is>
      </c>
      <c r="D12" s="11" t="inlineStr">
        <is>
          <t>減值虧損</t>
        </is>
      </c>
      <c r="E12" s="11" t="inlineStr">
        <is>
          <t>PDF p.15</t>
        </is>
      </c>
      <c r="F12" s="11" t="inlineStr">
        <is>
          <t>ausing the cost of sales to 根據最新市場狀況及估值結果，就發展中物業及持 exceed the related sales proceeds. In addition, the Group recognised a 作出售的已竣工物業確認減值虧損。 write-down of properties under development and completed properties held for sale based on the latest market conditions and valuation results. The Group believes that the losses arising from the disposal of these 本集團認為出售該等非核心資產所產生的虧損，其 non-core assets are largely non-recurring in nature. The Group has 性質主要屬非經常性。本集團已完成公園一號第三 completed the construction of Phase III of the One Parkview project</t>
        </is>
      </c>
    </row>
    <row r="13">
      <c r="A13" s="8" t="inlineStr">
        <is>
          <t>Impairment Testing</t>
        </is>
      </c>
      <c r="B13" s="8" t="inlineStr">
        <is>
          <t>減值測試</t>
        </is>
      </c>
      <c r="C13" s="19" t="inlineStr">
        <is>
          <t>high</t>
        </is>
      </c>
      <c r="D13" s="11" t="inlineStr">
        <is>
          <t>可收回金額</t>
        </is>
      </c>
      <c r="E13" s="11" t="inlineStr">
        <is>
          <t>PDF p.93</t>
        </is>
      </c>
      <c r="F13" s="11" t="inlineStr">
        <is>
          <t>development and completed properties － 倘相關物業項目的賬面值低於可變現淨值，則檢查管 held for sales as a key audit matter because the assessment 理層對相關物業項目可收回金額作出的調整；及 requires management judgement and estimates. The assessment of net realisable value of properties under – Evaluating the competence, capabilities and objectivity development and properties held for sale is considered of the independent external valuer taking into account relatively higher due to high degree of management its experience and qualifications. judgement. － 評估獨立外部估值師的適任性、能力</t>
        </is>
      </c>
    </row>
    <row r="14">
      <c r="A14" s="8" t="inlineStr">
        <is>
          <t>Impairment Testing</t>
        </is>
      </c>
      <c r="B14" s="8" t="inlineStr">
        <is>
          <t>減值測試</t>
        </is>
      </c>
      <c r="C14" s="19" t="inlineStr">
        <is>
          <t>high</t>
        </is>
      </c>
      <c r="D14" s="11" t="inlineStr">
        <is>
          <t>impairment loss</t>
        </is>
      </c>
      <c r="E14" s="11" t="inlineStr">
        <is>
          <t>PDF p.98</t>
        </is>
      </c>
      <c r="F14" s="11" t="inlineStr">
        <is>
          <t>) (12,581) Write-down of properties under development 發展中物業及持作出售的已 and completed properties held for sale 竣工物業之撇減 (51,080) (139,521) Impairment loss on goodwill 商譽之減值虧損 – (63) Selling and distribution costs 銷售及分銷成本 (62,655) (45,505) General and administrative expenses 一般及行政費用 (50,734) (21,688) Finance costs 融資成本 9 (37,139) (106) Loss before tax 除稅前虧損 10 (400,638) (127,354) Taxation 稅項 12 (23,664) (10,841) Loss for the year attributable to the owners of 本公司擁有人應佔年度虧損 the Company (424,302) (138,195) Other comprehensive income/(exp</t>
        </is>
      </c>
    </row>
    <row r="15">
      <c r="A15" s="8" t="inlineStr">
        <is>
          <t>Impairment Testing</t>
        </is>
      </c>
      <c r="B15" s="8" t="inlineStr">
        <is>
          <t>減值測試</t>
        </is>
      </c>
      <c r="C15" s="19" t="inlineStr">
        <is>
          <t>high</t>
        </is>
      </c>
      <c r="D15" s="11" t="inlineStr">
        <is>
          <t>impairment loss</t>
        </is>
      </c>
      <c r="E15" s="11" t="inlineStr">
        <is>
          <t>PDF p.104</t>
        </is>
      </c>
      <c r="F15" s="11" t="inlineStr">
        <is>
          <t>quipment 206 8 Write-down of properties under development 發展中物業及持作出售的 and completed properties held for sale 已竣工物業之撇減 51,080 139,521 Impairment loss on goodwill 商譽之減值虧損 18 – 63 Operating cash flows before movements 營運資金變動前之經營現金流量 in working capital (250,379) (1,521) Decrease in properties under development 發展中物業減少 – 75,731 Decrease in completed properties held for 持作出售已竣工物業減少 sale 463,713 62,040 Increase in trade receivables 貿易應收賬款增加 (82,277) – Decrease in inventories 存貨減少 1,023 – (Increase)/decrease in other receivables, 其他應收賬</t>
        </is>
      </c>
    </row>
    <row r="16">
      <c r="A16" s="8" t="inlineStr">
        <is>
          <t>Impairment Testing</t>
        </is>
      </c>
      <c r="B16" s="8" t="inlineStr">
        <is>
          <t>減值測試</t>
        </is>
      </c>
      <c r="C16" s="19" t="inlineStr">
        <is>
          <t>high</t>
        </is>
      </c>
      <c r="D16" s="11" t="inlineStr">
        <is>
          <t>減值虧損</t>
        </is>
      </c>
      <c r="E16" s="11" t="inlineStr">
        <is>
          <t>PDF p.112</t>
        </is>
      </c>
      <c r="F16" s="11" t="inlineStr">
        <is>
          <t>nditure. Subsequent to initial 應佔開支）計量。於初步確認後，投資物業按 recognition, investment property is stated at cost less subsequent 成本減其後累計折舊及任何累計減值虧損列 accumulated depreciation and any accumulated impairment 賬。折舊乃按投資物業的估計可使用年期並 losses. Depreciation is recognised so as to write off the cost of 考慮其估計剩餘價值後以直線法撇銷其成本 investment property over the estimated useful live and after taking 進行確認。 into account of the estimated residual value, using the straight-line method. An investment property is derecognised upon disposal or 於投資物業出售或永久停止使用或預計不會 when</t>
        </is>
      </c>
    </row>
    <row r="17">
      <c r="A17" s="8" t="inlineStr">
        <is>
          <t>Impairment Testing</t>
        </is>
      </c>
      <c r="B17" s="8" t="inlineStr">
        <is>
          <t>減值測試</t>
        </is>
      </c>
      <c r="C17" s="19" t="inlineStr">
        <is>
          <t>high</t>
        </is>
      </c>
      <c r="D17" s="11" t="inlineStr">
        <is>
          <t>impairment loss</t>
        </is>
      </c>
      <c r="E17" s="11" t="inlineStr">
        <is>
          <t>PDF p.113</t>
        </is>
      </c>
      <c r="F17" s="11" t="inlineStr">
        <is>
          <t>olidated statement of financial 舊及其後累計減值虧損（如有）於合併財務狀 position at cost less subsequent accumulated depreciation and 況表列賬。 accumulated impairment losses, if any. Depreciation is recognised so as to write off the cost of items 折舊乃按撇銷物業、廠房及設備項目成本減 of property, plant and equipment less their residual values over 估計可使用年期剩餘價值，以直線法確認。 their estimated useful lives, using the straight-line method. The 估計可使用年期、剩餘價值及折舊方法乃於 estimated useful lives, residual values and depreciation method 各報告期末檢討，任何估計變動之影響按預 are reviewed at the end of each re</t>
        </is>
      </c>
    </row>
    <row r="18">
      <c r="A18" s="8" t="inlineStr">
        <is>
          <t>Impairment Testing</t>
        </is>
      </c>
      <c r="B18" s="8" t="inlineStr">
        <is>
          <t>減值測試</t>
        </is>
      </c>
      <c r="C18" s="19" t="inlineStr">
        <is>
          <t>high</t>
        </is>
      </c>
      <c r="D18" s="11" t="inlineStr">
        <is>
          <t>impairment loss</t>
        </is>
      </c>
      <c r="E18" s="11" t="inlineStr">
        <is>
          <t>PDF p.114</t>
        </is>
      </c>
      <c r="F18" s="11" t="inlineStr">
        <is>
          <t>useful life to 權資產之賬面值，以釐定有否跡象顯示該等 determine whether there is any indication that these assets have 資產出現減值虧損。倘出現任何有關跡象， suffered an impairment loss. If any such indication exists, the 則會估計相關資產之可收回金額，以釐定減 recoverable amount of the relevant asset is estimated in order to 值虧損（如有）之程度。 determine the extent of the impairment loss (if any). The recoverable amount of property, plant and equipment, 物業、廠房及設備、投資物業以及使用權資 investment properties and right-of-use assets are estimated 產的可收回金額乃個別估計。倘無法個別估 individually. When it is not possible t</t>
        </is>
      </c>
    </row>
    <row r="19">
      <c r="A19" s="8" t="inlineStr">
        <is>
          <t>Impairment Testing</t>
        </is>
      </c>
      <c r="B19" s="8" t="inlineStr">
        <is>
          <t>減值測試</t>
        </is>
      </c>
      <c r="C19" s="19" t="inlineStr">
        <is>
          <t>high</t>
        </is>
      </c>
      <c r="D19" s="11" t="inlineStr">
        <is>
          <t>impairment loss</t>
        </is>
      </c>
      <c r="E19" s="11" t="inlineStr">
        <is>
          <t>PDF p.115</t>
        </is>
      </c>
      <c r="F19" s="11" t="inlineStr">
        <is>
          <t>units, with the 減值虧損時，減值虧損首先被分配以減少任 recoverable amount of the group of cash-generating units. In 何商譽（如適用）的賬面值，隨後根據該單位 allocating the impairment loss, the impairment loss is allocated 各項資產或一組現金產生單位的賬面值按比 first to reduce the carrying amount of any goodwill (if applicable) 例分配至其他資產。資產的賬面值不低於其 and then to the other assets on a pro-rata basis based on 公允值減出售成本（如可計量），其使用價值 the carrying amount of each asset in the unit or the group of （如可釐定）與零之中的最高值。原應分配至 cash-generating units. The carrying amount of an asset is not 資產的減值虧損金額按比例分配至該單位</t>
        </is>
      </c>
    </row>
    <row r="20">
      <c r="A20" s="8" t="inlineStr">
        <is>
          <t>Impairment Testing</t>
        </is>
      </c>
      <c r="B20" s="8" t="inlineStr">
        <is>
          <t>減值測試</t>
        </is>
      </c>
      <c r="C20" s="19" t="inlineStr">
        <is>
          <t>high</t>
        </is>
      </c>
      <c r="D20" s="11" t="inlineStr">
        <is>
          <t>impairment test</t>
        </is>
      </c>
      <c r="E20" s="11" t="inlineStr">
        <is>
          <t>PDF p.117</t>
        </is>
      </c>
      <c r="F20" s="11" t="inlineStr">
        <is>
          <t>件或情況變化顯示賬面值可能出現減值， circumstances indicate that the carrying value may be impaired. 則進行更為頻密之測試。本集團對於十二月 The Group performs its annual impairment test of goodwill as at 三十一日的商譽進行年度減值測試。就進行 31 December. For the purpose of impairment testing, goodwill 減值測試而言，業務合併中購入之商譽由收 acquired in a business combination is, from the acquisition date, 購日期起分配至預期將從合併之協同效應中 allocated to each of the Group’s cash-generating units, or groups 受益之本集團各現金產生單位或現金產生單 of cash-generating units, that are expected to benefit from the 位組別，而不論本集團之其他資產或負債是 synergies</t>
        </is>
      </c>
    </row>
    <row r="21">
      <c r="A21" s="8" t="inlineStr">
        <is>
          <t>Impairment Testing</t>
        </is>
      </c>
      <c r="B21" s="8" t="inlineStr">
        <is>
          <t>減值測試</t>
        </is>
      </c>
      <c r="C21" s="19" t="inlineStr">
        <is>
          <t>high</t>
        </is>
      </c>
      <c r="D21" s="11" t="inlineStr">
        <is>
          <t>impairment loss</t>
        </is>
      </c>
      <c r="E21" s="11" t="inlineStr">
        <is>
          <t>PDF p.133</t>
        </is>
      </c>
      <c r="F21" s="11" t="inlineStr">
        <is>
          <t>and conditions 本。 of the lease. Right-of-use assets are measured at cost, less any accumulated 使用權資產按成本減去任何累計折舊及減值 depreciation and impairment losses, and adjusted for any 虧損計量，並就租賃負債的任何重新計量作 remeasurement of lease liabilities. 出調整。 Right-of-use assets in which the Group is reasonably certain to 倘本集團合理確信在租賃期屆滿時取得相關 obtain ownership of the underlying leased assets at the end of the 租賃資產的擁有權，則使用權資產於開始日 lease term are depreciated from commencement date to the end 期起至可使用年期屆滿期間折舊。否則，使 of the useful life. Otherwise, right-of-use ass</t>
        </is>
      </c>
    </row>
    <row r="22">
      <c r="A22" s="8" t="inlineStr">
        <is>
          <t>Impairment Testing</t>
        </is>
      </c>
      <c r="B22" s="8" t="inlineStr">
        <is>
          <t>減值測試</t>
        </is>
      </c>
      <c r="C22" s="19" t="inlineStr">
        <is>
          <t>high</t>
        </is>
      </c>
      <c r="D22" s="11" t="inlineStr">
        <is>
          <t>impairment loss</t>
        </is>
      </c>
      <c r="E22" s="11" t="inlineStr">
        <is>
          <t>PDF p.145</t>
        </is>
      </c>
      <c r="F22" s="11" t="inlineStr">
        <is>
          <t>– (111,303) Bank interest income 銀行利息收入 107 Unallocated corporate income 未分配公司收入 744 Unallocated corporate expenses 未分配公司開支 (16,733) Impairment loss on goodwill 商譽之減值虧損 (63) Finance costs 融資成本 (106) Loss before tax 除稅前虧損 (127,354) The accounting policies of the operating segments are the same 經營分類之會計政策與附註4所述之本集團 as the Group’s accounting policies described in Note 4. Segment 之會計政策相同。分類盈利╱（虧損）指各分 profit/(loss) represents the profit/(loss) earned/(suffered) by each 類賺取╱（蒙受）之盈利╱（虧損），而並無分 segment without allocation of bank interest</t>
        </is>
      </c>
    </row>
    <row r="23">
      <c r="A23" s="8" t="inlineStr">
        <is>
          <t>Impairment Testing</t>
        </is>
      </c>
      <c r="B23" s="8" t="inlineStr">
        <is>
          <t>減值測試</t>
        </is>
      </c>
      <c r="C23" s="19" t="inlineStr">
        <is>
          <t>high</t>
        </is>
      </c>
      <c r="D23" s="11" t="inlineStr">
        <is>
          <t>recoverable amount</t>
        </is>
      </c>
      <c r="E23" s="11" t="inlineStr">
        <is>
          <t>PDF p.163</t>
        </is>
      </c>
      <c r="F23" s="11" t="inlineStr">
        <is>
          <t>ry growth 平均長期增長率。 forecasts and did not exceed the average long-term growth rate for the relevant industry. The Group estimates the recoverable amounts of the property, 本集團按公允值減出售成本與使用價值兩者 plant and equipment based on higher of fair value less costs 中之較高者估計物業、廠房及設備之可收回 of disposal and value in use. The carrying amount of the 金額。根據Savor集團現金產生單位之使用價 property, plant and equipment does not exceed the recoverable 值計算，物業、廠房及設備之賬面值並無超 amount based on the value in use of Savor Group CGU and no 過其可收回金額，故並無確認減值。 impairment has been reco</t>
        </is>
      </c>
    </row>
    <row r="24">
      <c r="A24" s="8" t="inlineStr">
        <is>
          <t>Impairment Testing</t>
        </is>
      </c>
      <c r="B24" s="8" t="inlineStr">
        <is>
          <t>減值測試</t>
        </is>
      </c>
      <c r="C24" s="19" t="inlineStr">
        <is>
          <t>high</t>
        </is>
      </c>
      <c r="D24" s="11" t="inlineStr">
        <is>
          <t>CGU</t>
        </is>
      </c>
      <c r="E24" s="11" t="inlineStr">
        <is>
          <t>PDF p.164</t>
        </is>
      </c>
      <c r="F24" s="11" t="inlineStr">
        <is>
          <t>: 2 to 5 years). 介乎2至4年（二零二五年：2至5年）。 As at 31 March 2026, the Group assessed the recoverable 於二零二六年三月三十一日，本集團根 amount of Savor Group CGU based on value-in-use 據澋鋒使用貼現現金流量法計算之使用 calculation using discounted cash flow method performed 價值評估Savor集團現金產生單位的可 by Peak Vision. The calculation used cash flow projection 收回金額。計算方法採用基於五年期財 based on financial budgets covering a 5-year period with 務預算的現金流量預測，並參考選定的 reference to the financial information of the selected PRC 中國上市可資比較公司的財務資料，該 listed comparable companies, whose principal busines</t>
        </is>
      </c>
    </row>
    <row r="25">
      <c r="A25" s="8" t="inlineStr">
        <is>
          <t>Impairment Testing</t>
        </is>
      </c>
      <c r="B25" s="8" t="inlineStr">
        <is>
          <t>減值測試</t>
        </is>
      </c>
      <c r="C25" s="19" t="inlineStr">
        <is>
          <t>high</t>
        </is>
      </c>
      <c r="D25" s="11" t="inlineStr">
        <is>
          <t>recoverable amount</t>
        </is>
      </c>
      <c r="E25" s="11" t="inlineStr">
        <is>
          <t>PDF p.165</t>
        </is>
      </c>
      <c r="F25" s="11" t="inlineStr">
        <is>
          <t>ASSETS AND LEASE 17. 使用權資產及租賃負債（續） LIABILITIES (Continued) (a) Right-of-use assets (Continued) (a) 使用權資產（續） The Group estimates the recoverable amounts of the right- 本集團按公允值減出售成本與使用價值 of-use assets based on higher of fair value less costs of 兩者中之較高者估計使用權資產之可收 disposal and value in use. The carrying amount of the right- 回金額。根據Savor集團現金產生單位 of-use assets does not exceed the recoverable amount 之使用價值計算，使用權資產之賬面值 based on the value in use of Savor Group CGU and no 並無超過其可收回金額，故並無確認減 impairment has been recognised. 值。 (b) Lease liabi</t>
        </is>
      </c>
    </row>
    <row r="26">
      <c r="A26" s="8" t="inlineStr">
        <is>
          <t>Impairment Testing</t>
        </is>
      </c>
      <c r="B26" s="8" t="inlineStr">
        <is>
          <t>減值測試</t>
        </is>
      </c>
      <c r="C26" s="19" t="inlineStr">
        <is>
          <t>high</t>
        </is>
      </c>
      <c r="D26" s="11" t="inlineStr">
        <is>
          <t>impairment loss</t>
        </is>
      </c>
      <c r="E26" s="11" t="inlineStr">
        <is>
          <t>PDF p.167</t>
        </is>
      </c>
      <c r="F26" s="11" t="inlineStr">
        <is>
          <t>t 31 March 2025, 1 April 2025 and 31 March 2026 於二零二五年三月三十一日、二零二五年 四月一日及二零二六年三月三十一日 63 IMPAIRMENT 減值 As at 1 April 2024 於二零二四年四月一日 – Impairment loss recognised in the year 年內確認減值虧損 63 As at 31 March 2025, 1 April 2025 and 31 March 2026 於二零二五年三月三十一日、二零二五年 四月一日及二零二六年三月三十一日 63 CARRYING VALUES 賬面值 As at 31 March 2026 於二零二六年三月三十一日 – As at 31 March 2025 於二零二五年三月三十一日 – On 31 March 2025, the Group acquired 100% equity interest 於二零二五年三月三十一日，本集團收 in Savor Dining Collective Limited (“Savor Dining”) and its 購Savor Dining Collective Limited</t>
        </is>
      </c>
    </row>
    <row r="27">
      <c r="A27" s="8" t="inlineStr">
        <is>
          <t>Impairment Testing</t>
        </is>
      </c>
      <c r="B27" s="8" t="inlineStr">
        <is>
          <t>減值測試</t>
        </is>
      </c>
      <c r="C27" s="19" t="inlineStr">
        <is>
          <t>high</t>
        </is>
      </c>
      <c r="D27" s="11" t="inlineStr">
        <is>
          <t>impairment loss</t>
        </is>
      </c>
      <c r="E27" s="11" t="inlineStr">
        <is>
          <t>PDF p.168</t>
        </is>
      </c>
      <c r="F27" s="11" t="inlineStr">
        <is>
          <t>位的可收回金額估計低於其賬 than its carrying amount, the carrying amount of the CGU is 面值，則將現金產生單位的賬面值減至其可 reduced to its recoverable amount. The impairment loss will be 收回金額，並將於損益中確認減值虧損。於 recognised in profit or loss. As at 31 March 2025, the recoverable 二零二五年三月三十一日，Savor集團現金 amount of Savor Group CGU is approximately HK$21,937,000 產生單位的可收回金額約為港幣21,937,000 and the carrying amount of the Savor CGU is approximately 元，Savor集團現金產生單位的賬面值約為 HK$22,000,000. An impairment loss of approximately HK$63,000 港幣22,000,000元。截至二零二五年三月 is recognised for th</t>
        </is>
      </c>
    </row>
    <row r="28">
      <c r="A28" s="8" t="inlineStr">
        <is>
          <t>Intangible Assets &amp; Goodwill</t>
        </is>
      </c>
      <c r="B28" s="8" t="inlineStr">
        <is>
          <t>無形資產及商譽</t>
        </is>
      </c>
      <c r="C28" s="19" t="inlineStr">
        <is>
          <t>high</t>
        </is>
      </c>
      <c r="D28" s="11" t="inlineStr">
        <is>
          <t>customer relationship</t>
        </is>
      </c>
      <c r="E28" s="11" t="inlineStr">
        <is>
          <t>PDF p.52</t>
        </is>
      </c>
      <c r="F28" s="11" t="inlineStr">
        <is>
          <t>供應商╱服務提供者 密切溝通 會議 – Order/contract execution – Email and telephone communications 履行指令╱合約 電郵及電話通訊 – Product quality 產品質素 Customers – Customer relationship – Customer hotlines 客戶 客戶關係 客戶熱線 – Responsible investment – Suggestion box 負責任投資 意見箱 – Risk management – Email and telephone communications 風險管理 電郵及電話通訊 – Food safety and hygiene 食品安全及衛生 Employees – Long-term career development – Meetings 僱員 長期職業發展 會議 – Health and safety – Email and telephone communications 健康與安全 電郵及電話通訊 – Remuneration and benefits 薪酬及福利 – Staff training 員工培訓</t>
        </is>
      </c>
    </row>
    <row r="29">
      <c r="A29" s="8" t="inlineStr">
        <is>
          <t>Intangible Assets &amp; Goodwill</t>
        </is>
      </c>
      <c r="B29" s="8" t="inlineStr">
        <is>
          <t>無形資產及商譽</t>
        </is>
      </c>
      <c r="C29" s="19" t="inlineStr">
        <is>
          <t>high</t>
        </is>
      </c>
      <c r="D29" s="11" t="inlineStr">
        <is>
          <t>客戶關係</t>
        </is>
      </c>
      <c r="E29" s="11" t="inlineStr">
        <is>
          <t>PDF p.76</t>
        </is>
      </c>
      <c r="F29" s="11" t="inlineStr">
        <is>
          <t>ur mission is to provide the 向我們的客戶提供最優質服務，而本集團正持續尋 finest services to our customers and the Group is constantly looking 求途徑以透過強化服務提升客戶關係。就證券買賣 for ways to improve customer relations through enhanced services. 及貸款融資業務而言，本集團並無主要供應商，而 Regarding the securities trading and loan financing businesses, 就其他主要業務而言，本集團一直與供應商維持良 the Group has no major suppliers. Whereas regarding the other 好關係以確保彼等於可預見將來對本集團之持續支 principal businesses, the Group has maintained good relationships 持。 with the suppliers to ensure their continued support to the</t>
        </is>
      </c>
    </row>
    <row r="30">
      <c r="A30" s="8" t="inlineStr">
        <is>
          <t>Intangible Assets &amp; Goodwill</t>
        </is>
      </c>
      <c r="B30" s="8" t="inlineStr">
        <is>
          <t>無形資產及商譽</t>
        </is>
      </c>
      <c r="C30" s="19" t="inlineStr">
        <is>
          <t>high</t>
        </is>
      </c>
      <c r="D30" s="11" t="inlineStr">
        <is>
          <t>goodwill</t>
        </is>
      </c>
      <c r="E30" s="11" t="inlineStr">
        <is>
          <t>PDF p.98</t>
        </is>
      </c>
      <c r="F30" s="11" t="inlineStr">
        <is>
          <t>wn of properties under development 發展中物業及持作出售的已 and completed properties held for sale 竣工物業之撇減 (51,080) (139,521) Impairment loss on goodwill 商譽之減值虧損 – (63) Selling and distribution costs 銷售及分銷成本 (62,655) (45,505) General and administrative expenses 一般及行政費用 (50,734) (21,688) Finance costs 融資成本 9 (37,139) (106) Loss before tax 除稅前虧損 10 (400,638) (127,354) Taxation 稅項 12 (23,664) (10,841) Loss for the year attributable to the owners of 本公司擁有人應佔年度虧損 the Company (424,302) (138,195) Other comprehensive income/(expenses) 年度其他綜合收益╱（支出</t>
        </is>
      </c>
    </row>
    <row r="31">
      <c r="A31" s="8" t="inlineStr">
        <is>
          <t>Intangible Assets &amp; Goodwill</t>
        </is>
      </c>
      <c r="B31" s="8" t="inlineStr">
        <is>
          <t>無形資產及商譽</t>
        </is>
      </c>
      <c r="C31" s="19" t="inlineStr">
        <is>
          <t>high</t>
        </is>
      </c>
      <c r="D31" s="11" t="inlineStr">
        <is>
          <t>goodwill</t>
        </is>
      </c>
      <c r="E31" s="11" t="inlineStr">
        <is>
          <t>PDF p.99</t>
        </is>
      </c>
      <c r="F31" s="11" t="inlineStr">
        <is>
          <t>operties 投資物業 15 10,933 38,280 Property, plant and equipment 物業、廠房及設備 16 21,474 28,310 Right-of-use assets 使用權資產 17(a) 31,336 43,086 Goodwill 商譽 18 – – Deposits 按金 23 1,570 1,436 Deferred tax assets 遞延稅項資產 33 31,134 24,073 96,447 135,185 Current assets 流動資產 Properties under development 發展中物業 19 164,618 156,038 Completed properties held for sale 持作出售的已竣工物業 20 395,542 893,361 Inventories 存貨 21 11,545 12,364 Trade receivables 貿易應收賬款 22 99,684 1,024 Other receivables, prepayments 其他應收賬款、預付款項及 and deposits 按金 23 286,160 266,473 Loan</t>
        </is>
      </c>
    </row>
    <row r="32">
      <c r="A32" s="8" t="inlineStr">
        <is>
          <t>Intangible Assets &amp; Goodwill</t>
        </is>
      </c>
      <c r="B32" s="8" t="inlineStr">
        <is>
          <t>無形資產及商譽</t>
        </is>
      </c>
      <c r="C32" s="19" t="inlineStr">
        <is>
          <t>high</t>
        </is>
      </c>
      <c r="D32" s="11" t="inlineStr">
        <is>
          <t>goodwill</t>
        </is>
      </c>
      <c r="E32" s="11" t="inlineStr">
        <is>
          <t>PDF p.104</t>
        </is>
      </c>
      <c r="F32" s="11" t="inlineStr">
        <is>
          <t>e-down of properties under development 發展中物業及持作出售的 and completed properties held for sale 已竣工物業之撇減 51,080 139,521 Impairment loss on goodwill 商譽之減值虧損 18 – 63 Operating cash flows before movements 營運資金變動前之經營現金流量 in working capital (250,379) (1,521) Decrease in properties under development 發展中物業減少 – 75,731 Decrease in completed properties held for 持作出售已竣工物業減少 sale 463,713 62,040 Increase in trade receivables 貿易應收賬款增加 (82,277) – Decrease in inventories 存貨減少 1,023 – (Increase)/decrease in other receivables, 其他應收賬款、預付款項及 prepayments</t>
        </is>
      </c>
    </row>
    <row r="33">
      <c r="A33" s="8" t="inlineStr">
        <is>
          <t>Intangible Assets &amp; Goodwill</t>
        </is>
      </c>
      <c r="B33" s="8" t="inlineStr">
        <is>
          <t>無形資產及商譽</t>
        </is>
      </c>
      <c r="C33" s="19" t="inlineStr">
        <is>
          <t>high</t>
        </is>
      </c>
      <c r="D33" s="11" t="inlineStr">
        <is>
          <t>可使用年期</t>
        </is>
      </c>
      <c r="E33" s="11" t="inlineStr">
        <is>
          <t>PDF p.112</t>
        </is>
      </c>
      <c r="F33" s="11" t="inlineStr">
        <is>
          <t>property is stated at cost less subsequent 成本減其後累計折舊及任何累計減值虧損列 accumulated depreciation and any accumulated impairment 賬。折舊乃按投資物業的估計可使用年期並 losses. Depreciation is recognised so as to write off the cost of 考慮其估計剩餘價值後以直線法撇銷其成本 investment property over the estimated useful live and after taking 進行確認。 into account of the estimated residual value, using the straight-line method. An investment property is derecognised upon disposal or 於投資物業出售或永久停止使用或預計不會 when the investment property is permanently withdrawn from 從出售該物業中獲得未來經濟收益時，投資</t>
        </is>
      </c>
    </row>
    <row r="34">
      <c r="A34" s="8" t="inlineStr">
        <is>
          <t>Intangible Assets &amp; Goodwill</t>
        </is>
      </c>
      <c r="B34" s="8" t="inlineStr">
        <is>
          <t>無形資產及商譽</t>
        </is>
      </c>
      <c r="C34" s="19" t="inlineStr">
        <is>
          <t>high</t>
        </is>
      </c>
      <c r="D34" s="11" t="inlineStr">
        <is>
          <t>可使用年期</t>
        </is>
      </c>
      <c r="E34" s="11" t="inlineStr">
        <is>
          <t>PDF p.113</t>
        </is>
      </c>
      <c r="F34" s="11" t="inlineStr">
        <is>
          <t>cognised so as to write off the cost of items 折舊乃按撇銷物業、廠房及設備項目成本減 of property, plant and equipment less their residual values over 估計可使用年期剩餘價值，以直線法確認。 their estimated useful lives, using the straight-line method. The 估計可使用年期、剩餘價值及折舊方法乃於 estimated useful lives, residual values and depreciation method 各報告期末檢討，任何估計變動之影響按預 are reviewed at the end of each reporting period, with the effect 先計提之基準入賬。估計可使用年期載列如 of any changes in estimate accounted for on a prospective basis. 下： The estimated useful lives are as follows: Buildings 20 ye</t>
        </is>
      </c>
    </row>
    <row r="35">
      <c r="A35" s="8" t="inlineStr">
        <is>
          <t>Intangible Assets &amp; Goodwill</t>
        </is>
      </c>
      <c r="B35" s="8" t="inlineStr">
        <is>
          <t>無形資產及商譽</t>
        </is>
      </c>
      <c r="C35" s="19" t="inlineStr">
        <is>
          <t>high</t>
        </is>
      </c>
      <c r="D35" s="11" t="inlineStr">
        <is>
          <t>goodwill</t>
        </is>
      </c>
      <c r="E35" s="11" t="inlineStr">
        <is>
          <t>PDF p.114</t>
        </is>
      </c>
      <c r="F35" s="11" t="inlineStr">
        <is>
          <t>airment on property and plant and 物業、廠房及設備、投資物業以及 equipment, investment properties and right-of- 使用權資產（商譽除外）減值 use assets other than goodwill At the end of each reporting period, the Group reviews the 於各報告期末，本集團檢討其物業、廠房及 carrying amounts of its property, plant and equipment, investment 設備、投資物業以及有限定使用年限的使用 properties and right-of-use assets with finite useful life to 權資產之賬面值，以釐定有否跡象顯示該等 determine whether there is any indication that these assets have 資產出現減值虧損。倘出現任何有關跡象， suffered an impairment loss. If any such indication exists,</t>
        </is>
      </c>
    </row>
    <row r="36">
      <c r="A36" s="8" t="inlineStr">
        <is>
          <t>Intangible Assets &amp; Goodwill</t>
        </is>
      </c>
      <c r="B36" s="8" t="inlineStr">
        <is>
          <t>無形資產及商譽</t>
        </is>
      </c>
      <c r="C36" s="19" t="inlineStr">
        <is>
          <t>high</t>
        </is>
      </c>
      <c r="D36" s="11" t="inlineStr">
        <is>
          <t>goodwill</t>
        </is>
      </c>
      <c r="E36" s="11" t="inlineStr">
        <is>
          <t>PDF p.115</t>
        </is>
      </c>
      <c r="F36" s="11" t="inlineStr">
        <is>
          <t>ment on property and plant and 物業、廠房及設備、投資物業以及 equipment, investment properties and right-of- 使用權資產（商譽除外）減值（續） use assets other than goodwill (Continued) Recoverable amount is the higher of fair value less costs of 可收回金額為公允值減銷售成本與使用價值 disposal and value in use. In assessing value in use, the estimated 兩者中之較高者。於評估使用價值時，估計 future cash flows are discounted to their present value using a 未來現金流以稅前貼現率貼現至現值，稅前 pre-tax discount rate that reflects current market assessments of 貼現率反映貨幣時間價值之現時市場評估及 the time value of money and the risks sp</t>
        </is>
      </c>
    </row>
    <row r="37">
      <c r="A37" s="8" t="inlineStr">
        <is>
          <t>Intangible Assets &amp; Goodwill</t>
        </is>
      </c>
      <c r="B37" s="8" t="inlineStr">
        <is>
          <t>無形資產及商譽</t>
        </is>
      </c>
      <c r="C37" s="19" t="inlineStr">
        <is>
          <t>high</t>
        </is>
      </c>
      <c r="D37" s="11" t="inlineStr">
        <is>
          <t>goodwill</t>
        </is>
      </c>
      <c r="E37" s="11" t="inlineStr">
        <is>
          <t>PDF p.116</t>
        </is>
      </c>
      <c r="F37" s="11" t="inlineStr">
        <is>
          <t>ended 31 March 2026 截至二零二六年三月三十一日止年度 4. MATERIAL ACCOUNTING POLICY 4. 重大會計政策資料（續） INFORMATION (Continued) Business combinations and goodwill 業務合併及商譽 Business combinations are accounted for using the acquisition 業務合併乃以收購法入賬。轉讓之代價乃以 method. The consideration transferred is measured at the 收購日期公允值計量，該公允值為本集團所 acquisition date fair value which is the sum of the acquisition date 轉讓資產於收購日期之公允值、本集團向被 fair values of assets transferred by the Group, liabilities assumed 收購方前擁有人承擔的負債及本集團發行以 by the Group to the former owners of the acquir</t>
        </is>
      </c>
    </row>
    <row r="38">
      <c r="A38" s="8" t="inlineStr">
        <is>
          <t>Intangible Assets &amp; Goodwill</t>
        </is>
      </c>
      <c r="B38" s="8" t="inlineStr">
        <is>
          <t>無形資產及商譽</t>
        </is>
      </c>
      <c r="C38" s="19" t="inlineStr">
        <is>
          <t>high</t>
        </is>
      </c>
      <c r="D38" s="11" t="inlineStr">
        <is>
          <t>goodwill</t>
        </is>
      </c>
      <c r="E38" s="11" t="inlineStr">
        <is>
          <t>PDF p.117</t>
        </is>
      </c>
      <c r="F38" s="11" t="inlineStr">
        <is>
          <t>ended 31 March 2026 截至二零二六年三月三十一日止年度 4. MATERIAL ACCOUNTING POLICY 4. 重大會計政策資料（續） INFORMATION (Continued) Business combinations and goodwill (Continued) 業務合併及商譽（續） Goodwill is initially measured at cost, being the excess of 商譽初步按成本計量，即已轉讓代價、非控 the aggregate of the consideration transferred, the amount 股權益之已確認金額及本集團先前所持於 recognised for non-controlling interests and any fair value of the 被收購方之股本權益之任何公允值之總額超 Group’s previously held equity interests in the acquiree over the 出所收購可識別資產淨值及所承擔負債之差 identifiable net assets acquired and</t>
        </is>
      </c>
    </row>
    <row r="39">
      <c r="A39" s="8" t="inlineStr">
        <is>
          <t>Intangible Assets &amp; Goodwill</t>
        </is>
      </c>
      <c r="B39" s="8" t="inlineStr">
        <is>
          <t>無形資產及商譽</t>
        </is>
      </c>
      <c r="C39" s="19" t="inlineStr">
        <is>
          <t>high</t>
        </is>
      </c>
      <c r="D39" s="11" t="inlineStr">
        <is>
          <t>攤銷</t>
        </is>
      </c>
      <c r="E39" s="11" t="inlineStr">
        <is>
          <t>PDF p.120</t>
        </is>
      </c>
      <c r="F39" s="11" t="inlineStr">
        <is>
          <t>ion and subsequent measurement of 金融資產分類及其後計量 financial assets Financial assets that meet the following conditions are 符合以下條件的金融資產其後按攤銷成本計 subsequently measured at amortised cost: 量： • the financial asset is held within a business model whose • 以收取合約現金流量為目的之業務模式 objective is to collect contractual cash flows; and 下持有之金融資產；及 • the contractual terms give rise on specified dates to cash • 合約條款於指定日期產生之現金流量純 flows that are solely payments of principal and interest on 粹為支付本金及未償還本金之利息。 the principal amount outstanding. Amortised cost</t>
        </is>
      </c>
    </row>
    <row r="40">
      <c r="A40" s="8" t="inlineStr">
        <is>
          <t>Intangible Assets &amp; Goodwill</t>
        </is>
      </c>
      <c r="B40" s="8" t="inlineStr">
        <is>
          <t>無形資產及商譽</t>
        </is>
      </c>
      <c r="C40" s="19" t="inlineStr">
        <is>
          <t>high</t>
        </is>
      </c>
      <c r="D40" s="11" t="inlineStr">
        <is>
          <t>攤銷</t>
        </is>
      </c>
      <c r="E40" s="11" t="inlineStr">
        <is>
          <t>PDF p.121</t>
        </is>
      </c>
      <c r="F40" s="11" t="inlineStr">
        <is>
          <t>(Continued) 金融資產（續） Financial assets at FVTPL 於損益賬按公允值處理的金融資產 Financial assets that do not meet the criteria for being measured 不符合按攤銷成本或於其他綜合收益賬按公 at amortised cost or fair value through other comprehensive 允值處理計量的標準的金融資產乃於損益賬 income are measured at FVTPL. 按公允值處理計量。 Financial assets at FVTPL are measured at fair value at the end 於損益賬按公允值處理的金融資產於各報告 of each reporting period, with any fair value gains or losses 期末按公允值計量，任何公允值收益或虧損 recognised in profit or loss. The net gain or loss recognised in 於損益中確認。已於損益中確認之收益或虧 profit or los</t>
        </is>
      </c>
    </row>
    <row r="41">
      <c r="A41" s="8" t="inlineStr">
        <is>
          <t>Intangible Assets &amp; Goodwill</t>
        </is>
      </c>
      <c r="B41" s="8" t="inlineStr">
        <is>
          <t>無形資產及商譽</t>
        </is>
      </c>
      <c r="C41" s="19" t="inlineStr">
        <is>
          <t>high</t>
        </is>
      </c>
      <c r="D41" s="11" t="inlineStr">
        <is>
          <t>攤銷</t>
        </is>
      </c>
      <c r="E41" s="11" t="inlineStr">
        <is>
          <t>PDF p.122</t>
        </is>
      </c>
      <c r="F41" s="11" t="inlineStr">
        <is>
          <t>it spread, the credit default swap prices for the 信用違約掉期價格或金融資產的公允值 debtor, or the length of time or the extent to which the fair 低於其攤銷成本的時間長或幅度； value of a financial asset has been less than its amortised cost; – existing or forecast adverse changes in business, financial － 業務、財務或經濟條件出現或預期出現 or economic conditions that are expected to cause a 不利變動，可能導致債務人償債能力大 significant decrease in the debtor’s ability to meet its debt 幅下降； obligations; – an actual or expected significant deterioration in the － 債務人經營業績出現實際或預期出現顯 operating re</t>
        </is>
      </c>
    </row>
    <row r="42">
      <c r="A42" s="8" t="inlineStr">
        <is>
          <t>Intangible Assets &amp; Goodwill</t>
        </is>
      </c>
      <c r="B42" s="8" t="inlineStr">
        <is>
          <t>無形資產及商譽</t>
        </is>
      </c>
      <c r="C42" s="19" t="inlineStr">
        <is>
          <t>high</t>
        </is>
      </c>
      <c r="D42" s="11" t="inlineStr">
        <is>
          <t>攤銷</t>
        </is>
      </c>
      <c r="E42" s="11" t="inlineStr">
        <is>
          <t>PDF p.126</t>
        </is>
      </c>
      <c r="F42" s="11" t="inlineStr">
        <is>
          <t>rewards of ownership of the asset to another entity. 金融資產。 On derecognition of a financial asset measured at amortised cost, 在終止確認一項按攤銷成本計量的金融資產 the difference between the asset’s carrying amount and the sum 時，該資產的賬面值與已收取及應收代價總 of the consideration received and receivable is recognised in profit 和之間的差額已於損益內確認。 or loss. Financial liabilities and equity 金融負債及權益 Classification as debt or equity 分類為債項或權益 Debt and equity instruments issued by a group entity are classified 由集團實體發行之債務及權益工具乃根據合 as either financial liabilities or as equ</t>
        </is>
      </c>
    </row>
    <row r="43">
      <c r="A43" s="8" t="inlineStr">
        <is>
          <t>Intangible Assets &amp; Goodwill</t>
        </is>
      </c>
      <c r="B43" s="8" t="inlineStr">
        <is>
          <t>無形資產及商譽</t>
        </is>
      </c>
      <c r="C43" s="19" t="inlineStr">
        <is>
          <t>high</t>
        </is>
      </c>
      <c r="D43" s="11" t="inlineStr">
        <is>
          <t>攤銷</t>
        </is>
      </c>
      <c r="E43" s="11" t="inlineStr">
        <is>
          <t>PDF p.127</t>
        </is>
      </c>
      <c r="F43" s="11" t="inlineStr">
        <is>
          <t>the liability component are included 負債部分的賬面值，並採用實際利率法於可 in the carrying amount of the liability portion and amortised over 換股債券存續期間內攤銷。 the period of the convertible bonds using the effective interest method. 126 DINGYI GROUP INVESTMENT LIMITED ANNUAL REPORT 2026</t>
        </is>
      </c>
    </row>
    <row r="44">
      <c r="A44" s="8" t="inlineStr">
        <is>
          <t>Intangible Assets &amp; Goodwill</t>
        </is>
      </c>
      <c r="B44" s="8" t="inlineStr">
        <is>
          <t>無形資產及商譽</t>
        </is>
      </c>
      <c r="C44" s="19" t="inlineStr">
        <is>
          <t>high</t>
        </is>
      </c>
      <c r="D44" s="11" t="inlineStr">
        <is>
          <t>useful life</t>
        </is>
      </c>
      <c r="E44" s="11" t="inlineStr">
        <is>
          <t>PDF p.133</t>
        </is>
      </c>
      <c r="F44" s="11" t="inlineStr">
        <is>
          <t>assets at the end of the 租賃資產的擁有權，則使用權資產於開始日 lease term are depreciated from commencement date to the end 期起至可使用年期屆滿期間折舊。否則，使 of the useful life. Otherwise, right-of-use assets are depreciated 用權資產按其估計可使用年期及租賃期兩者 on a straight-line basis over the shorter of its estimated useful life 中的較短者以直綫法折舊。 and the lease term. The Group presents right-of-use assets as a separate line item on 本集團於合併財務狀況表中將使用權資產列 the consolidated statement of financial position. 為單獨項目。 132 DINGYI GROUP INVESTMENT LIMITED ANNUAL REPORT 2026</t>
        </is>
      </c>
    </row>
    <row r="45">
      <c r="A45" s="8" t="inlineStr">
        <is>
          <t>Intangible Assets &amp; Goodwill</t>
        </is>
      </c>
      <c r="B45" s="8" t="inlineStr">
        <is>
          <t>無形資產及商譽</t>
        </is>
      </c>
      <c r="C45" s="19" t="inlineStr">
        <is>
          <t>high</t>
        </is>
      </c>
      <c r="D45" s="11" t="inlineStr">
        <is>
          <t>intangible asset</t>
        </is>
      </c>
      <c r="E45" s="11" t="inlineStr">
        <is>
          <t>PDF p.142</t>
        </is>
      </c>
      <c r="F45" s="11" t="inlineStr">
        <is>
          <t>Group to 企業合併，其要求本集團根據收購日期 allocate the purchase price to the assets acquired, liabilities 的估計公允值將收購價格分配至所收購 assumed, and identified intangible assets (if any), based on 資產、所承擔負債及已識別無形資產 their estimated fair values at the date of acquisition. The （如有）。所收購資產、所承擔負債及已 fair values of the assets acquired, liabilities assumed and 識別無形資產（如有）的公允值採用貼現 identified intangible assets (if any) were determined using 現金流量法確定，並涉及多項主要假設 the discounted cash flow approach and involved various 及估計。改變假設及估計，包括現金流 key assumptions and estimates. Changi</t>
        </is>
      </c>
    </row>
    <row r="46">
      <c r="A46" s="8" t="inlineStr">
        <is>
          <t>Intangible Assets &amp; Goodwill</t>
        </is>
      </c>
      <c r="B46" s="8" t="inlineStr">
        <is>
          <t>無形資產及商譽</t>
        </is>
      </c>
      <c r="C46" s="19" t="inlineStr">
        <is>
          <t>high</t>
        </is>
      </c>
      <c r="D46" s="11" t="inlineStr">
        <is>
          <t>goodwill</t>
        </is>
      </c>
      <c r="E46" s="11" t="inlineStr">
        <is>
          <t>PDF p.145</t>
        </is>
      </c>
      <c r="F46" s="11" t="inlineStr">
        <is>
          <t>terest income 銀行利息收入 107 Unallocated corporate income 未分配公司收入 744 Unallocated corporate expenses 未分配公司開支 (16,733) Impairment loss on goodwill 商譽之減值虧損 (63) Finance costs 融資成本 (106) Loss before tax 除稅前虧損 (127,354) The accounting policies of the operating segments are the same 經營分類之會計政策與附註4所述之本集團 as the Group’s accounting policies described in Note 4. Segment 之會計政策相同。分類盈利╱（虧損）指各分 profit/(loss) represents the profit/(loss) earned/(suffered) by each 類賺取╱（蒙受）之盈利╱（虧損），而並無分 segment without allocation of bank interest income, certain ot</t>
        </is>
      </c>
    </row>
    <row r="47">
      <c r="A47" s="8" t="inlineStr">
        <is>
          <t>Intangible Assets &amp; Goodwill</t>
        </is>
      </c>
      <c r="B47" s="8" t="inlineStr">
        <is>
          <t>無形資產及商譽</t>
        </is>
      </c>
      <c r="C47" s="19" t="inlineStr">
        <is>
          <t>high</t>
        </is>
      </c>
      <c r="D47" s="11" t="inlineStr">
        <is>
          <t>goodwill</t>
        </is>
      </c>
      <c r="E47" s="11" t="inlineStr">
        <is>
          <t>PDF p.167</t>
        </is>
      </c>
      <c r="F47" s="11" t="inlineStr">
        <is>
          <t>Notes to the Consolidated Financial Statements 合併財務報表附註 For the year ended 31 March 2026 截至二零二六年三月三十一日止年度 18. GOODWILL 18. 商譽 HK$’000 港幣千元 COST 成本 As at 1 April 2024 於二零二四年四月一日 – Arising on acquisition of subsidiaries (Note 42) 收購附屬公司產生（附註42） 63 As at 31 March 2025, 1 April 2025 and 31 March 2026 於二零二五年三月三十一日、二零二五年 四月一日及二零二六年三月三十一日 63 IMPAIRMENT 減值 As at 1 April 2024 於二零二四年四月一日 – Impairment loss recognised in the year 年內確認減值虧損 63 As at 31 March 2025, 1 April 2025 and 31 March 2026 於二零二五年三月三十一日、二零二五年 四月一日及</t>
        </is>
      </c>
    </row>
    <row r="48">
      <c r="A48" s="8" t="inlineStr">
        <is>
          <t>Intangible Assets &amp; Goodwill</t>
        </is>
      </c>
      <c r="B48" s="8" t="inlineStr">
        <is>
          <t>無形資產及商譽</t>
        </is>
      </c>
      <c r="C48" s="19" t="inlineStr">
        <is>
          <t>high</t>
        </is>
      </c>
      <c r="D48" s="11" t="inlineStr">
        <is>
          <t>goodwill</t>
        </is>
      </c>
      <c r="E48" s="11" t="inlineStr">
        <is>
          <t>PDF p.168</t>
        </is>
      </c>
      <c r="F48" s="11" t="inlineStr">
        <is>
          <t>Notes to the Consolidated Financial Statements 合併財務報表附註 For the year ended 31 March 2026 截至二零二六年三月三十一日止年度 18. GOODWILL 18. 商譽（續） (Continued) On the other hand, the excess of the base consideration, i.e. 另一方面，基本代價（即港幣22,000,000 HK$22,000,000 over the acquisition date-fair values of the 元）超出所收購可辨認資產及所承擔負債於 identifiable assets acquired and the liabilities assumed, i.e. net 收購日的公允值（即已識別淨資產約港幣 assets identified of approximately HK$21,937,000 amounted to 21,937,000元）之部分約為港幣63,000元， approximately HK$63,000 and w</t>
        </is>
      </c>
    </row>
    <row r="49">
      <c r="A49" s="8" t="inlineStr">
        <is>
          <t>Intangible Assets &amp; Goodwill</t>
        </is>
      </c>
      <c r="B49" s="8" t="inlineStr">
        <is>
          <t>無形資產及商譽</t>
        </is>
      </c>
      <c r="C49" s="19" t="inlineStr">
        <is>
          <t>high</t>
        </is>
      </c>
      <c r="D49" s="11" t="inlineStr">
        <is>
          <t>攤銷</t>
        </is>
      </c>
      <c r="E49" s="11" t="inlineStr">
        <is>
          <t>PDF p.179</t>
        </is>
      </c>
      <c r="F49" s="11" t="inlineStr">
        <is>
          <t>h 2026 截至二零二六年三月三十一日止年度 30. OTHER BORROWINGS 30. 其他借款 2026 2025 二零二六年 二零二五年 HK$’000 HK$’000 港幣千元 港幣千元 At amortised cost, unsecured 按攤銷成本列賬，無抵押 31,060 – The carrying amounts of the above other borrowings are analysed 上述其他借款的賬面值按合約還款日期分析 based on contractual repayment date as follows: 如下： 2026 2025 二零二六年 二零二五年 HK$’000 HK$’000 港幣千元 港幣千元 The carrying amounts of the borrowings are 借款的賬面值須於以下期間償還： repayable: Within one year 一年內 31,060 – Other borrowings were unsecured and bore a fixed interest rate 截至二零二六年三月三十一日止年度，其他 ranging from 6</t>
        </is>
      </c>
    </row>
    <row r="50">
      <c r="A50" s="8" t="inlineStr">
        <is>
          <t>Intangible Assets &amp; Goodwill</t>
        </is>
      </c>
      <c r="B50" s="8" t="inlineStr">
        <is>
          <t>無形資產及商譽</t>
        </is>
      </c>
      <c r="C50" s="19" t="inlineStr">
        <is>
          <t>high</t>
        </is>
      </c>
      <c r="D50" s="11" t="inlineStr">
        <is>
          <t>攤銷</t>
        </is>
      </c>
      <c r="E50" s="11" t="inlineStr">
        <is>
          <t>PDF p.185</t>
        </is>
      </c>
      <c r="F50" s="11" t="inlineStr">
        <is>
          <t>HK$’000 港幣千元 港幣千元 Financial assets 金融資產 Financial assets at FVTPL 於損益賬按公允值處理之 金融資產 7,958 40,665 Financial assets at amortised cost 按攤銷成本計量之金融資產 1,294,637 912,864 1,302,595 953,529 Financial liabilities 金融負債 Financial liabilities at amortised cost 按攤銷成本入賬之金融負債 978,844 1,121,782 (b) Financial risk management objectives and (b) 金融風險管理目的及政策 policies The Group’s major financial instruments include other 本集團的主要金融工具包括其他應收賬 receivables and deposits, loan and interest receivables, 款及按金、應收貸款及利息、於損益賬 financial assets at FVTPL, cash and c</t>
        </is>
      </c>
    </row>
    <row r="51">
      <c r="A51" s="8" t="inlineStr">
        <is>
          <t>Intangible Assets &amp; Goodwill</t>
        </is>
      </c>
      <c r="B51" s="8" t="inlineStr">
        <is>
          <t>無形資產及商譽</t>
        </is>
      </c>
      <c r="C51" s="19" t="inlineStr">
        <is>
          <t>high</t>
        </is>
      </c>
      <c r="D51" s="11" t="inlineStr">
        <is>
          <t>攤銷</t>
        </is>
      </c>
      <c r="E51" s="11" t="inlineStr">
        <is>
          <t>PDF p.195</t>
        </is>
      </c>
      <c r="F51" s="11" t="inlineStr">
        <is>
          <t>ctors of the Company consider that the carrying 本公司董事認為，由於短期到期性質， amounts of other current financial assets and liabilities 於合併財務報表內以攤銷成本記錄之其 recorded at amortised cost in the consolidated financial 他流動金融資產及負債之賬面值與其相 statements approximate to their corresponding fair values 應之公允值相若。本公司董事認為，由 due to short-term maturities. The directors of the Company 於非流動資產貼現之影響並不重大及非 consider that carrying amounts of other non-current 流動負債乃按市場利率攤銷，故其他非 financial assets and liabilities approximate to their fair value 流動金融資產及負債賬面值與其公允值 as the imp</t>
        </is>
      </c>
    </row>
    <row r="52">
      <c r="A52" s="8" t="inlineStr">
        <is>
          <t>Intangible Assets &amp; Goodwill</t>
        </is>
      </c>
      <c r="B52" s="8" t="inlineStr">
        <is>
          <t>無形資產及商譽</t>
        </is>
      </c>
      <c r="C52" s="19" t="inlineStr">
        <is>
          <t>high</t>
        </is>
      </c>
      <c r="D52" s="11" t="inlineStr">
        <is>
          <t>goodwill</t>
        </is>
      </c>
      <c r="E52" s="11" t="inlineStr">
        <is>
          <t>PDF p.210</t>
        </is>
      </c>
      <c r="F52" s="11" t="inlineStr">
        <is>
          <t>liabilities 貿易及其他應付賬款及合約負債 (17,596) Lease liabilities 租賃負債 (39,271) Total identified net assets at fair value 按公允值計量的已識別淨資產總額 21,937 Goodwill arising from the acquisition 收購產生的商譽 Consideration 代價 22,000 Less: total identified net assets at fair value 減：按公允值計量的已識別淨資產總額 (21,937) Goodwill on acquisition 因收購而得的商譽 63 Had the acquisition been completed on 1 April 2024, total 倘收購事項已於二零二四年四月一日完成， Group revenue for the year would have been approximately 年內集團收益總額應約為港幣325,271,000 HK$325,271,000, and loss for the year would have been 元，而年內</t>
        </is>
      </c>
    </row>
    <row r="53">
      <c r="A53" s="8" t="inlineStr">
        <is>
          <t>Investment Properties</t>
        </is>
      </c>
      <c r="B53" s="8" t="inlineStr">
        <is>
          <t>投資物業</t>
        </is>
      </c>
      <c r="C53" s="19" t="inlineStr">
        <is>
          <t>high</t>
        </is>
      </c>
      <c r="D53" s="11" t="inlineStr">
        <is>
          <t>投資物業</t>
        </is>
      </c>
      <c r="E53" s="11" t="inlineStr">
        <is>
          <t>PDF p.98</t>
        </is>
      </c>
      <c r="F53" s="11" t="inlineStr">
        <is>
          <t>financial assets at 出售於損益賬按公允值處理之 fair value through profit or loss 金融資產之已變現收益 16,787 – Loss on disposal of investment properties 出售投資物業之虧損 (13,092) – Allowance for impairment of trade receivables, 貿易應收賬款、其他應收賬款 other receivables and deposits 及按金之減值撥備 (10,624) – Allowance for impairment of loan and 應收貸款及利息之減值撥備 interest receivables (28,244) (12,581) Write-down of properties under development 發展中物業及持作出售的已 and completed properties held for sale 竣工物業之撇減 (51,080) (139,521) Impairment loss on goodwill 商譽之減值虧損 – (63) Selling and dis</t>
        </is>
      </c>
    </row>
    <row r="54">
      <c r="A54" s="8" t="inlineStr">
        <is>
          <t>Investment Properties</t>
        </is>
      </c>
      <c r="B54" s="8" t="inlineStr">
        <is>
          <t>投資物業</t>
        </is>
      </c>
      <c r="C54" s="19" t="inlineStr">
        <is>
          <t>high</t>
        </is>
      </c>
      <c r="D54" s="11" t="inlineStr">
        <is>
          <t>投資物業</t>
        </is>
      </c>
      <c r="E54" s="11" t="inlineStr">
        <is>
          <t>PDF p.99</t>
        </is>
      </c>
      <c r="F54" s="11" t="inlineStr">
        <is>
          <t>31 March 2026 於二零二六年三月三十一日 2026 2025 二零二六年 二零二五年 NOTES HK$’000 HK$’000 附註 港幣千元 港幣千元 Non-current assets 非流動資產 Investment properties 投資物業 15 10,933 38,280 Property, plant and equipment 物業、廠房及設備 16 21,474 28,310 Right-of-use assets 使用權資產 17(a) 31,336 43,086 Goodwill 商譽 18 – – Deposits 按金 23 1,570 1,436 Deferred tax assets 遞延稅項資產 33 31,134 24,073 96,447 135,185 Current assets 流動資產 Properties under development 發展中物業 19 164,618 156,038 Completed properties held for sale 持作出售的已竣工物業 20 395,542 893,361 Inventories 存貨 21 11,545 12,364</t>
        </is>
      </c>
    </row>
    <row r="55">
      <c r="A55" s="8" t="inlineStr">
        <is>
          <t>Investment Properties</t>
        </is>
      </c>
      <c r="B55" s="8" t="inlineStr">
        <is>
          <t>投資物業</t>
        </is>
      </c>
      <c r="C55" s="19" t="inlineStr">
        <is>
          <t>high</t>
        </is>
      </c>
      <c r="D55" s="11" t="inlineStr">
        <is>
          <t>投資物業</t>
        </is>
      </c>
      <c r="E55" s="11" t="inlineStr">
        <is>
          <t>PDF p.104</t>
        </is>
      </c>
      <c r="F55" s="11" t="inlineStr">
        <is>
          <t>nance costs 融資成本 37,139 106 Depreciation of property, plant and 物業、廠房及設備折舊 equipment 8,677 957 Depreciation of investment properties 投資物業折舊 1,435 900 Depreciation of right-of-use assets 使用權資產折舊 11,908 3,116 Share-based payment expense 以股份為基礎之付款開支 8,742 – Gains arising from financial assets at 於損益賬按公允值處理之 fair value through profit or loss 金融資產產生之收益 (2,711) (31,312) Realised gain on disposal of financial assets 出售於損益賬按公允值處理之 at FVTPL 金融資產之已變現收益 (16,787) – Gain on termination of leases 終止租賃的收益 (1,362) – Loss on disposal of investm</t>
        </is>
      </c>
    </row>
    <row r="56">
      <c r="A56" s="8" t="inlineStr">
        <is>
          <t>Investment Properties</t>
        </is>
      </c>
      <c r="B56" s="8" t="inlineStr">
        <is>
          <t>投資物業</t>
        </is>
      </c>
      <c r="C56" s="19" t="inlineStr">
        <is>
          <t>high</t>
        </is>
      </c>
      <c r="D56" s="11" t="inlineStr">
        <is>
          <t>investment property</t>
        </is>
      </c>
      <c r="E56" s="11" t="inlineStr">
        <is>
          <t>PDF p.112</t>
        </is>
      </c>
      <c r="F56" s="11" t="inlineStr">
        <is>
          <t>cost, including 已擁有的投資物業初步按成本（包括任何直接 any directly attributable expenditure. Subsequent to initial 應佔開支）計量。於初步確認後，投資物業按 recognition, investment property is stated at cost less subsequent 成本減其後累計折舊及任何累計減值虧損列 accumulated depreciation and any accumulated impairment 賬。折舊乃按投資物業的估計可使用年期並 losses. Depreciation is recognised so as to write off the cost of 考慮其估計剩餘價值後以直線法撇銷其成本 investment property over the estimated useful live and after taking 進行確認。 into account of the estimated residual value, using the straight-line method. An investmen</t>
        </is>
      </c>
    </row>
    <row r="57">
      <c r="A57" s="8" t="inlineStr">
        <is>
          <t>Investment Properties</t>
        </is>
      </c>
      <c r="B57" s="8" t="inlineStr">
        <is>
          <t>投資物業</t>
        </is>
      </c>
      <c r="C57" s="19" t="inlineStr">
        <is>
          <t>high</t>
        </is>
      </c>
      <c r="D57" s="11" t="inlineStr">
        <is>
          <t>投資物業</t>
        </is>
      </c>
      <c r="E57" s="11" t="inlineStr">
        <is>
          <t>PDF p.114</t>
        </is>
      </c>
      <c r="F57" s="11" t="inlineStr">
        <is>
          <t>截至二零二六年三月三十一日止年度 4. MATERIAL ACCOUNTING POLICY 4. 重大會計政策資料（續） INFORMATION (Continued) Impairment on property and plant and 物業、廠房及設備、投資物業以及 equipment, investment properties and right-of- 使用權資產（商譽除外）減值 use assets other than goodwill At the end of each reporting period, the Group reviews the 於各報告期末，本集團檢討其物業、廠房及 carrying amounts of its property, plant and equipment, investment 設備、投資物業以及有限定使用年限的使用 properties and right-of-use assets with finite useful life to 權資產之賬面值，以釐定有否跡象顯示該等 determine whether there is any indication that these a</t>
        </is>
      </c>
    </row>
    <row r="58">
      <c r="A58" s="8" t="inlineStr">
        <is>
          <t>Investment Properties</t>
        </is>
      </c>
      <c r="B58" s="8" t="inlineStr">
        <is>
          <t>投資物業</t>
        </is>
      </c>
      <c r="C58" s="19" t="inlineStr">
        <is>
          <t>high</t>
        </is>
      </c>
      <c r="D58" s="11" t="inlineStr">
        <is>
          <t>投資物業</t>
        </is>
      </c>
      <c r="E58" s="11" t="inlineStr">
        <is>
          <t>PDF p.115</t>
        </is>
      </c>
      <c r="F58" s="11" t="inlineStr">
        <is>
          <t>截至二零二六年三月三十一日止年度 4. MATERIAL ACCOUNTING POLICY 4. 重大會計政策資料（續） INFORMATION (Continued) Impairment on property and plant and 物業、廠房及設備、投資物業以及 equipment, investment properties and right-of- 使用權資產（商譽除外）減值（續） use assets other than goodwill (Continued) Recoverable amount is the higher of fair value less costs of 可收回金額為公允值減銷售成本與使用價值 disposal and value in use. In assessing value in use, the estimated 兩者中之較高者。於評估使用價值時，估計 future cash flows are discounted to their present value using a 未來現金流以稅前貼現率貼現至現值，稅前 pre-tax discount rate that reflec</t>
        </is>
      </c>
    </row>
    <row r="59">
      <c r="A59" s="8" t="inlineStr">
        <is>
          <t>Investment Properties</t>
        </is>
      </c>
      <c r="B59" s="8" t="inlineStr">
        <is>
          <t>投資物業</t>
        </is>
      </c>
      <c r="C59" s="19" t="inlineStr">
        <is>
          <t>high</t>
        </is>
      </c>
      <c r="D59" s="11" t="inlineStr">
        <is>
          <t>投資物業</t>
        </is>
      </c>
      <c r="E59" s="11" t="inlineStr">
        <is>
          <t>PDF p.132</t>
        </is>
      </c>
      <c r="F59" s="11" t="inlineStr">
        <is>
          <t>d in negotiating and arranging an operating 所引致之首次直接成本則計入已出租資產之 lease are added to the carrying amount of the leased asset, and 賬面值，除投資物業按公允值模式計量外， such costs are recognised as an expense on a straight-line basis 該成本於租期內按直線法確認為開支。 over the lease term except for investment properties measured under fair value model. Variable lease payments that do not depend on an index or a rate 不會視乎指數或比率而定的可變租賃付款於 are recognised as income when they arise. 其產生時確認為收入。 131 鼎億集團投資有限公司 二零二六年年報</t>
        </is>
      </c>
    </row>
    <row r="60">
      <c r="A60" s="8" t="inlineStr">
        <is>
          <t>Investment Properties</t>
        </is>
      </c>
      <c r="B60" s="8" t="inlineStr">
        <is>
          <t>投資物業</t>
        </is>
      </c>
      <c r="C60" s="19" t="inlineStr">
        <is>
          <t>high</t>
        </is>
      </c>
      <c r="D60" s="11" t="inlineStr">
        <is>
          <t>投資物業</t>
        </is>
      </c>
      <c r="E60" s="11" t="inlineStr">
        <is>
          <t>PDF p.144</t>
        </is>
      </c>
      <c r="F60" s="11" t="inlineStr">
        <is>
          <t>Realised gain on disposal of financial 出售於損益賬按公允值處理之 assets at FVTPL 金融資產之已變現收益 16,787 – – – 16,787 Loss on disposal of investment 出售投資物業之虧損 properties – – (13,092) – (13,092) Allowance for impairment of trade 貿易應收賬款、其他應收賬款 receivables, other receivables and 及按金之減值撥備 deposits – – (10,415) (209) (10,624) Allowance for impairment of loan and 應收貸款及利息之減值撥備 interest receivables – (28,244) – – (28,244) Write-down of properties under 撇減開發中物業及持作出售 development and completed 的已竣工物業 properties held for sale – – (51,080) – (51,080) Segment</t>
        </is>
      </c>
    </row>
    <row r="61">
      <c r="A61" s="8" t="inlineStr">
        <is>
          <t>Investment Properties</t>
        </is>
      </c>
      <c r="B61" s="8" t="inlineStr">
        <is>
          <t>投資物業</t>
        </is>
      </c>
      <c r="C61" s="19" t="inlineStr">
        <is>
          <t>high</t>
        </is>
      </c>
      <c r="D61" s="11" t="inlineStr">
        <is>
          <t>投資物業</t>
        </is>
      </c>
      <c r="E61" s="11" t="inlineStr">
        <is>
          <t>PDF p.147</t>
        </is>
      </c>
      <c r="F61" s="11" t="inlineStr">
        <is>
          <t>– – 92 652 4,348 5,092 Depreciation of property, plant 物業、廠房及設備 and equipment 折舊 – – 1,267 7,410 – 8,677 Depreciation of investment 投資物業折舊 properties – – 1,435 – – 1,435 Depreciation of right-of-use 使用權資產折舊 assets – – – 9,675 2,233 11,908 * Including additions to property, plant and equipment and right-of-use * 包括物業、廠房及設備以及使用權資產之添 assets. 置。 146 DINGYI GROUP INVESTMENT LIMITED ANNUAL REPORT 2026</t>
        </is>
      </c>
    </row>
    <row r="62">
      <c r="A62" s="8" t="inlineStr">
        <is>
          <t>Investment Properties</t>
        </is>
      </c>
      <c r="B62" s="8" t="inlineStr">
        <is>
          <t>投資物業</t>
        </is>
      </c>
      <c r="C62" s="19" t="inlineStr">
        <is>
          <t>high</t>
        </is>
      </c>
      <c r="D62" s="11" t="inlineStr">
        <is>
          <t>投資物業</t>
        </is>
      </c>
      <c r="E62" s="11" t="inlineStr">
        <is>
          <t>PDF p.148</t>
        </is>
      </c>
      <c r="F62" s="11" t="inlineStr">
        <is>
          <t>資產外） assets) – – – – 1,263 1,263 Depreciation of property, plant 物業、廠房及設備折舊 and equipment – – 957 – – 957 Depreciation of investment 投資物業折舊 properties – – 900 – – 900 Depreciation of right-of-use 使用權資產折舊 assets – – – – 3,116 3,116 * Including additions to property, plant and equipment and right-of-use * 包括物業、廠房及設備以及使用權資產之添 assets. 置。 147 鼎億集團投資有限公司 二零二六年年報</t>
        </is>
      </c>
    </row>
    <row r="63">
      <c r="A63" s="8" t="inlineStr">
        <is>
          <t>Investment Properties</t>
        </is>
      </c>
      <c r="B63" s="8" t="inlineStr">
        <is>
          <t>投資物業</t>
        </is>
      </c>
      <c r="C63" s="19" t="inlineStr">
        <is>
          <t>high</t>
        </is>
      </c>
      <c r="D63" s="11" t="inlineStr">
        <is>
          <t>投資物業</t>
        </is>
      </c>
      <c r="E63" s="11" t="inlineStr">
        <is>
          <t>PDF p.151</t>
        </is>
      </c>
      <c r="F63" s="11" t="inlineStr">
        <is>
          <t>penses 廣告宣傳費 32,759 43,172 Depreciation of property, plant and equipment 物業、廠房及設備之折舊 8,677 957 Depreciation of investment properties 投資物業折舊 1,435 900 Depreciation of right-of-use assets 使用權資產折舊 11,908 3,116 Legal and professional fees 法律和專業費用 3,446 2,221 Gain on termination of leases 終止租賃的收益 (1,392) – Loss on disposal of property, plant and 出售物業、廠房及設備之虧損 equipment 206 8 150 DINGYI GROUP INVESTMENT LIMITED ANNUAL REPORT 2026</t>
        </is>
      </c>
    </row>
    <row r="64">
      <c r="A64" s="8" t="inlineStr">
        <is>
          <t>Investment Properties</t>
        </is>
      </c>
      <c r="B64" s="8" t="inlineStr">
        <is>
          <t>投資物業</t>
        </is>
      </c>
      <c r="C64" s="19" t="inlineStr">
        <is>
          <t>high</t>
        </is>
      </c>
      <c r="D64" s="11" t="inlineStr">
        <is>
          <t>投資物業</t>
        </is>
      </c>
      <c r="E64" s="11" t="inlineStr">
        <is>
          <t>PDF p.159</t>
        </is>
      </c>
      <c r="F64" s="11" t="inlineStr">
        <is>
          <t>s to the Consolidated Financial Statements 合併財務報表附註 For the year ended 31 March 2026 截至二零二六年三月三十一日止年度 15. INVESTMENT PROPERTIES 15. 投資物業 Investment properties 投資物業 HK$’000 港幣千元 COST 成本 As at 1 April 2024 於二零二四年四月一日 20,212 Transfer from completed properties held for sale 轉撥自持作出售的已竣工物業 25,244 Exchange difference 匯兌差額 (552) At 31 March 2025 and 1 April 2025 於二零二五年三月三十一日及二零二五年 四月一日 44,904 Disposal 出售 (27,720) Exchange difference 匯兌差額 1,300 As at 31 March 2026 於二零二六年三月三十一日 18,484 ACCUMULATED DEPRECIATION 累計折舊 At 1 April 2024 於二零二四年</t>
        </is>
      </c>
    </row>
    <row r="65">
      <c r="A65" s="8" t="inlineStr">
        <is>
          <t>Investment Properties</t>
        </is>
      </c>
      <c r="B65" s="8" t="inlineStr">
        <is>
          <t>投資物業</t>
        </is>
      </c>
      <c r="C65" s="19" t="inlineStr">
        <is>
          <t>high</t>
        </is>
      </c>
      <c r="D65" s="11" t="inlineStr">
        <is>
          <t>投資物業</t>
        </is>
      </c>
      <c r="E65" s="11" t="inlineStr">
        <is>
          <t>PDF p.160</t>
        </is>
      </c>
      <c r="F65" s="11" t="inlineStr">
        <is>
          <t>s to the Consolidated Financial Statements 合併財務報表附註 For the year ended 31 March 2026 截至二零二六年三月三十一日止年度 15. INVESTMENT PROPERTIES 15. 投資物業（續） (Continued) As certain of significant inputs used in the determination of fair 由於若干用於釐定投資物業的公允值的重大 value of investment properties are arrived at by reference to 輸入數據乃參考若干重大不可觀察市場數據 certain significant unobservable market data, the fair value of all 達致，故本集團所有投資物業的公允值被列 investment properties of the Group are included in Level 3 of the 為公允值計量層級的第三級。 fair value measurement hierarchy. The Group</t>
        </is>
      </c>
    </row>
    <row r="66">
      <c r="A66" s="8" t="inlineStr">
        <is>
          <t>Investment Properties</t>
        </is>
      </c>
      <c r="B66" s="8" t="inlineStr">
        <is>
          <t>投資物業</t>
        </is>
      </c>
      <c r="C66" s="19" t="inlineStr">
        <is>
          <t>high</t>
        </is>
      </c>
      <c r="D66" s="11" t="inlineStr">
        <is>
          <t>投資物業</t>
        </is>
      </c>
      <c r="E66" s="11" t="inlineStr">
        <is>
          <t>PDF p.161</t>
        </is>
      </c>
      <c r="F66" s="11" t="inlineStr">
        <is>
          <t>s to the Consolidated Financial Statements 合併財務報表附註 For the year ended 31 March 2026 截至二零二六年三月三十一日止年度 15. INVESTMENT PROPERTIES 15. 投資物業（續） (Continued) Fair value at level 3 Carrying as at Amount 31 March 2025 於二零二五年 三月三十一日 於第3級之 賬面值 公允值 HK$’000 HK$’000 港幣千元 港幣千元 Kindergarten located in the PRC 位於中國之幼兒園 11,255 20,047 Shops located in the PRC 位於中國之商舖 27,025 28,174 The above investment properties are depreciated on a straight- 上述投資物業以直線法按20年租期計提折 line basis over the term of lease of 20 years. 舊。 160 DINGYI GROUP INVESTMENT LIMIT</t>
        </is>
      </c>
    </row>
    <row r="67">
      <c r="A67" s="8" t="inlineStr">
        <is>
          <t>ESG Data</t>
        </is>
      </c>
      <c r="B67" s="8" t="inlineStr">
        <is>
          <t>環境社會及管治數據</t>
        </is>
      </c>
      <c r="C67" s="8" t="inlineStr">
        <is>
          <t>medium</t>
        </is>
      </c>
      <c r="D67" s="11" t="inlineStr">
        <is>
          <t>環境、社會及管治</t>
        </is>
      </c>
      <c r="E67" s="11" t="inlineStr">
        <is>
          <t>PDF p.2 (印刷頁 105)</t>
        </is>
      </c>
      <c r="F67" s="11" t="inlineStr">
        <is>
          <t>ctors and Senior Management Profile 董事及高級管理層簡介 20 Corporate Governance Report 企業管治報告書 26 Environmental, Social and Governance Report 環境、社會及管治報告 48 Report of the Directors 董事會報告書 73 Independent Auditor’s Report 獨立核數師報告 89 Consolidated Statement of Profit or Loss and 合併損益及其他綜合收益表 97 Other Comprehensive Income Consolidated Statement of Financial Position 合併財務狀況表 98 Consolidated Statement of Changes in Equity 合併權益變動表 100 Consolidated Statement of Cash Flows 合併現金流量表 103 Notes to the Consolidated Financial Statements 合併財務報表附註 105</t>
        </is>
      </c>
    </row>
    <row r="68">
      <c r="A68" s="8" t="inlineStr">
        <is>
          <t>ESG Data</t>
        </is>
      </c>
      <c r="B68" s="8" t="inlineStr">
        <is>
          <t>環境社會及管治數據</t>
        </is>
      </c>
      <c r="C68" s="8" t="inlineStr">
        <is>
          <t>medium</t>
        </is>
      </c>
      <c r="D68" s="11" t="inlineStr">
        <is>
          <t>可持續</t>
        </is>
      </c>
      <c r="E68" s="11" t="inlineStr">
        <is>
          <t>PDF p.11</t>
        </is>
      </c>
      <c r="F68" s="11" t="inlineStr">
        <is>
          <t>ject Risk Report presented by the 報告及項目風險報告。 Managers. To achieve a sustainable and balanced development of the Group’s 為實現本集團貸款融資業務的可持續均衡發展，貸 loan financing business, the core management of the loan financing 款融資業務的核心管理層具有全面的經驗及技能及 business possesses a comprehensive range of experience and skills 專業知識，涵蓋（其中包括）(i)風險管理；(ii)法律及 and expertise covering, inter alia, (i) risk management; (ii) legal and 合規；(iii)項目評估；及(iv)企業管理。本公司認為， compliance, (iii) project evaluation; and (iv) corporate management. The 貸款融資管理團隊的多元化能力足以以可持續的方 Company</t>
        </is>
      </c>
    </row>
    <row r="69">
      <c r="A69" s="8" t="inlineStr">
        <is>
          <t>ESG Data</t>
        </is>
      </c>
      <c r="B69" s="8" t="inlineStr">
        <is>
          <t>環境社會及管治數據</t>
        </is>
      </c>
      <c r="C69" s="8" t="inlineStr">
        <is>
          <t>medium</t>
        </is>
      </c>
      <c r="D69" s="11" t="inlineStr">
        <is>
          <t>ESG</t>
        </is>
      </c>
      <c r="E69" s="11" t="inlineStr">
        <is>
          <t>PDF p.34</t>
        </is>
      </c>
      <c r="F69" s="11" t="inlineStr">
        <is>
          <t>供 批准； (b) reviewed the Group’s internal control review report and the (b) 審閱本集團二零二四╱二零二五年的內部監 Environmental, Social and Governance (“ESG”) report of the 控審閱報告以及本集團環境、社會及管治 Group for the year 2024/2025; （「環境、社會及管治」）報告； (c) considered the independent auditor’s engagement and (c) 審議獨立核數師就本集團截至二零二五年三 remuneration in relation to the audited consolidated financial 月三十一日止年度之經審核合併財務報表之 statements of the Group for the year ended 31 March 2025; 聘用及薪酬； (d) reviewed the independent auditor’s independence and service (d) 審閱獨立核數師之獨立性及服務質量，並</t>
        </is>
      </c>
    </row>
    <row r="70">
      <c r="A70" s="8" t="inlineStr">
        <is>
          <t>ESG Data</t>
        </is>
      </c>
      <c r="B70" s="8" t="inlineStr">
        <is>
          <t>環境社會及管治數據</t>
        </is>
      </c>
      <c r="C70" s="8" t="inlineStr">
        <is>
          <t>medium</t>
        </is>
      </c>
      <c r="D70" s="11" t="inlineStr">
        <is>
          <t>可持續</t>
        </is>
      </c>
      <c r="E70" s="11" t="inlineStr">
        <is>
          <t>PDF p.35</t>
        </is>
      </c>
      <c r="F70" s="11" t="inlineStr">
        <is>
          <t>y of the Group aims to maintain an appropriate 本集團薪酬政策目標為維持本集團業務表現及長期 balance between business performance and long-term sustainable 可持續增長間的適當平衡。具體而言，概無個人董 growth of the Group. In particular, no individual Board member or any of 事會成員或彼之任何聯繫人可參與釐定彼自身之薪 his associates should participate in deciding his/her own remuneration. 酬。應付董事之薪金由董事會經參考薪酬委員會推 The emoluments payable to Directors are determined by the Board with 薦意見及董事表現、職責及責任及現行市場狀況釐 reference to the Remuneration Committee’s recommendation as well as 定。 the Directors’ performa</t>
        </is>
      </c>
    </row>
    <row r="71">
      <c r="A71" s="8" t="inlineStr">
        <is>
          <t>ESG Data</t>
        </is>
      </c>
      <c r="B71" s="8" t="inlineStr">
        <is>
          <t>環境社會及管治數據</t>
        </is>
      </c>
      <c r="C71" s="8" t="inlineStr">
        <is>
          <t>medium</t>
        </is>
      </c>
      <c r="D71" s="11" t="inlineStr">
        <is>
          <t>ESG</t>
        </is>
      </c>
      <c r="E71" s="11" t="inlineStr">
        <is>
          <t>PDF p.44</t>
        </is>
      </c>
      <c r="F71" s="11" t="inlineStr">
        <is>
          <t>risk management procedures for identification, evaluation 所面臨的重大風險（包括環境、社會及管治風險）。 and management of the significant risks (including ESG risks) faced by 有關系統乃設計為合理但非絕對地確保不會出現未 the Group. Such systems are designed to provide reasonable but not 能實現業務目標及重大錯誤陳述或損失的情況。 absolute assurance against failure to achieve business objectives and material misstatement or loss. INTERNAL AUDITORS 內部核數師 The Group’s internal audit (“IA”) function is performed by engaging 本集團的內部審核（「內部審核」）職能通過委聘獨立 an independent professional firm which is independ</t>
        </is>
      </c>
    </row>
    <row r="72">
      <c r="A72" s="8" t="inlineStr">
        <is>
          <t>ESG Data</t>
        </is>
      </c>
      <c r="B72" s="8" t="inlineStr">
        <is>
          <t>環境社會及管治數據</t>
        </is>
      </c>
      <c r="C72" s="8" t="inlineStr">
        <is>
          <t>medium</t>
        </is>
      </c>
      <c r="D72" s="11" t="inlineStr">
        <is>
          <t>ESG</t>
        </is>
      </c>
      <c r="E72" s="11" t="inlineStr">
        <is>
          <t>PDF p.45</t>
        </is>
      </c>
      <c r="F72" s="11" t="inlineStr">
        <is>
          <t>s accounting and financial reporting functions were adequate 為足夠。 and their training programmes and budget provided were sufficient. ESG COMPLIANCE AND GOVERNANCE 環境、社會及管治合規與治理 The Group recognises the importance of climate change avoidance 本集團深明避免氣候變化的重要性並已制定內部策 and has developed internal strategies which aim at creating sustainable 略，旨在為其持份者創造可持續價值及盡量減少其 value for its stakeholders and minimizing its negative impact on the 對環境的負面影響。為全面貫徹實行本集團的可持 environment. To carry out the Group’s sustainability strategy from 續性發展策略，董事會負有確保本</t>
        </is>
      </c>
    </row>
    <row r="73">
      <c r="A73" s="8" t="inlineStr">
        <is>
          <t>ESG Data</t>
        </is>
      </c>
      <c r="B73" s="8" t="inlineStr">
        <is>
          <t>環境社會及管治數據</t>
        </is>
      </c>
      <c r="C73" s="8" t="inlineStr">
        <is>
          <t>medium</t>
        </is>
      </c>
      <c r="D73" s="11" t="inlineStr">
        <is>
          <t>可持續</t>
        </is>
      </c>
      <c r="E73" s="11" t="inlineStr">
        <is>
          <t>PDF p.47</t>
        </is>
      </c>
      <c r="F73" s="11" t="inlineStr">
        <is>
          <t>nsiders it appropriate to 本公司認為，根據股息政策配合盈利而派發股息屬 align the dividend payments with profit and ensure that it is able to pay 合適，並確保其能夠以可持續及可承擔基準支付股 dividend on a sustainable and affordable basis. The Company may 息。本公司可於任何財政年度經考慮本公司之財 declare dividend in any financial year after taking into consideration the 務狀況、流動資金及現金流量、未來增長之資金需 Company’s financial position, liquidity and cash flow, capital requirement 求、經濟狀況及董事所考慮之任何其他因素後宣派 for future growth, economic conditions and any other factors to be 股息。本公司將於若干情況下從保留盈利中宣派股 considered by t</t>
        </is>
      </c>
    </row>
    <row r="74">
      <c r="A74" s="8" t="inlineStr">
        <is>
          <t>ESG Data</t>
        </is>
      </c>
      <c r="B74" s="8" t="inlineStr">
        <is>
          <t>環境社會及管治數據</t>
        </is>
      </c>
      <c r="C74" s="8" t="inlineStr">
        <is>
          <t>medium</t>
        </is>
      </c>
      <c r="D74" s="11" t="inlineStr">
        <is>
          <t>ESG</t>
        </is>
      </c>
      <c r="E74" s="11" t="inlineStr">
        <is>
          <t>PDF p.49</t>
        </is>
      </c>
      <c r="F74" s="11" t="inlineStr">
        <is>
          <t>diaries (collectively, the “Group”), is pleased to present （統稱「本集團」）欣然提呈本環境、社會及管治（「環 this Environmental, Social and Governance (the “ESG”) Report (the 境、社會及管治」）報告（「報告」），總結本集團對影 “Report”) to provide an overview of the Group’s management of 響運營的重大問題的管理包括環境、社會及管治的 significant issues affecting its operation, including environmental, social 問題。 and governance issues. The objective of this Report is to highlight the Group’s ESG performance 本報告目的強調本集團的環境、社會及管治表現， for the purpose of assisting all stakeholders in understanding the 旨在協助所</t>
        </is>
      </c>
    </row>
    <row r="75">
      <c r="A75" s="8" t="inlineStr">
        <is>
          <t>ESG Data</t>
        </is>
      </c>
      <c r="B75" s="8" t="inlineStr">
        <is>
          <t>環境社會及管治數據</t>
        </is>
      </c>
      <c r="C75" s="8" t="inlineStr">
        <is>
          <t>medium</t>
        </is>
      </c>
      <c r="D75" s="11" t="inlineStr">
        <is>
          <t>ESG</t>
        </is>
      </c>
      <c r="E75" s="11" t="inlineStr">
        <is>
          <t>PDF p.50</t>
        </is>
      </c>
      <c r="F75" s="11" t="inlineStr">
        <is>
          <t>Environmental, Social and Governance Report 環境、社會及管治報告 Quality ESG governance is inextricably linked to the sustainable 良好的環境、社會及管治與業務的可持續發展密不 development of business. The Board assumes the ESG management 可分。董事會承擔本集團的環境、社會及管治的管 responsibility of the Group. It is responsible for monitoring the 理責任。其負責監督環境、社會及管治政策的制定 formulation and report of the ESG policy and identifying and controlling 和匯報工作，以及識別和控制於環境、社會及管治 the risks related to ESG to ensure appropriate ESG</t>
        </is>
      </c>
    </row>
    <row r="76">
      <c r="A76" s="8" t="inlineStr">
        <is>
          <t>ESG Data</t>
        </is>
      </c>
      <c r="B76" s="8" t="inlineStr">
        <is>
          <t>環境社會及管治數據</t>
        </is>
      </c>
      <c r="C76" s="8" t="inlineStr">
        <is>
          <t>medium</t>
        </is>
      </c>
      <c r="D76" s="11" t="inlineStr">
        <is>
          <t>ESG</t>
        </is>
      </c>
      <c r="E76" s="11" t="inlineStr">
        <is>
          <t>PDF p.51</t>
        </is>
      </c>
      <c r="F76" s="11" t="inlineStr">
        <is>
          <t>參與及重大性評估 ASSESSMENT The Group values the opinions of our stakeholders have significant 本集團重視持份者的意見，其對提升環境、社會及 value in improving the ESG performances. Therefore, we are committed 管治方面的表現有重大價值。因此，我們致力透過 to effective communication with different stakeholders through a variety 多種溝通渠道與不同持份者進行有效溝通，聆聽並 of communication channels to listen and respond to the expectations 回應持份者的期望與要求。 and requirements of the stakeholders. The Group acknowledges the importance of intelligence gained from 本集團認同自持份者對本集團業務活動之見解、查 the stakeholders’ insights,</t>
        </is>
      </c>
    </row>
    <row r="77">
      <c r="A77" s="8" t="inlineStr">
        <is>
          <t>ESG Data</t>
        </is>
      </c>
      <c r="B77" s="8" t="inlineStr">
        <is>
          <t>環境社會及管治數據</t>
        </is>
      </c>
      <c r="C77" s="8" t="inlineStr">
        <is>
          <t>medium</t>
        </is>
      </c>
      <c r="D77" s="11" t="inlineStr">
        <is>
          <t>ESG</t>
        </is>
      </c>
      <c r="E77" s="11" t="inlineStr">
        <is>
          <t>PDF p.52</t>
        </is>
      </c>
      <c r="F77" s="11" t="inlineStr">
        <is>
          <t>，且更好地評估及管理由此產生的影 and to better assess and manage the resulting impact. 響。 The Group have adopted the principle of materiality in the ESG reporting 本集團通過了解對本集團業務而言屬重要的關鍵環 by understanding the key ESG issues that are important to the business 境、社會及管治事宜，於環境、社會及管治報告中 of the Group. 採用重大性原則。 51 鼎億集團投資有限公司 二零二六年年報</t>
        </is>
      </c>
    </row>
    <row r="78">
      <c r="A78" s="8" t="inlineStr">
        <is>
          <t>ESG Data</t>
        </is>
      </c>
      <c r="B78" s="8" t="inlineStr">
        <is>
          <t>環境社會及管治數據</t>
        </is>
      </c>
      <c r="C78" s="8" t="inlineStr">
        <is>
          <t>medium</t>
        </is>
      </c>
      <c r="D78" s="11" t="inlineStr">
        <is>
          <t>ESG</t>
        </is>
      </c>
      <c r="E78" s="11" t="inlineStr">
        <is>
          <t>PDF p.53</t>
        </is>
      </c>
      <c r="F78" s="11" t="inlineStr">
        <is>
          <t>Environmental, Social and Governance Report 環境、社會及管治報告 The Group has evaluated the materiality and importance of ESG aspects 本集團已透過以下步驟評估環境、社會及管治方面 through the following steps: 的重大性及重要性： Step 1: Identification – Industry Benchmarking 步驟一：識別－行業基準 • Relevant ESG areas were identified through the review of relevant • 透過審查當地及國際同業的相關環境、社會 ESG reports of the local and international industry peers. 及管治報告，確定相關的環境、社會及管治 範疇。 • The materiality of each ESG area was determined based on • 根據各個環境、社會及管治範疇對本集團的 the importanc</t>
        </is>
      </c>
    </row>
    <row r="79">
      <c r="A79" s="8" t="inlineStr">
        <is>
          <t>ESG Data</t>
        </is>
      </c>
      <c r="B79" s="8" t="inlineStr">
        <is>
          <t>環境社會及管治數據</t>
        </is>
      </c>
      <c r="C79" s="8" t="inlineStr">
        <is>
          <t>medium</t>
        </is>
      </c>
      <c r="D79" s="11" t="inlineStr">
        <is>
          <t>greenhouse gas</t>
        </is>
      </c>
      <c r="E79" s="11" t="inlineStr">
        <is>
          <t>PDF p.54</t>
        </is>
      </c>
      <c r="F79" s="11" t="inlineStr">
        <is>
          <t>relevant laws and 廢棄物之相關法律及法規而對本集團產生重 regulations that had a significant impact on the Group related to 大影響之情況。另外，本集團定期了解適用 air and greenhouse gas emissions, discharges into water and 於環境保護的法律及法規的最新發展。 land, and generation of hazardous and non-hazardous waste. The Group also regularly update with the latest development of the applicable laws and regulations on environmental protection. A1. Emissions A1. 排放 Our principal source of air emissions originates from the 空氣排放物的主要來源為餐飲業務營運 direct energy consumption within our operation</t>
        </is>
      </c>
    </row>
    <row r="80">
      <c r="A80" s="8" t="inlineStr">
        <is>
          <t>ESG Data</t>
        </is>
      </c>
      <c r="B80" s="8" t="inlineStr">
        <is>
          <t>環境社會及管治數據</t>
        </is>
      </c>
      <c r="C80" s="8" t="inlineStr">
        <is>
          <t>medium</t>
        </is>
      </c>
      <c r="D80" s="11" t="inlineStr">
        <is>
          <t>環境、社會及管治</t>
        </is>
      </c>
      <c r="E80" s="11" t="inlineStr">
        <is>
          <t>PDF p.55</t>
        </is>
      </c>
      <c r="F80" s="11" t="inlineStr">
        <is>
          <t>Environmental, Social and Governance Report 環境、社會及管治報告 Sewage Discharge 污水排放 In our catering operations, the Group recognises that 在餐飲營運方面，本集團深知對廢水的 the responsible management of wastewater is a critical 負責任管理是環境管理的重要環節。本 aspect of environmental stewardship. Our primary 集團的主要廢水來源來自廚房活動，包 source of wastewater is from kitchen activities, including 括食物準備、烹飪及清潔。此類廢水的 food preparation, cooking, and cleaning. This effluent 主要特徵是含有食物殘渣，而最顯著的 is ch</t>
        </is>
      </c>
    </row>
    <row r="81">
      <c r="A81" s="8" t="inlineStr">
        <is>
          <t>ESG Data</t>
        </is>
      </c>
      <c r="B81" s="8" t="inlineStr">
        <is>
          <t>環境社會及管治數據</t>
        </is>
      </c>
      <c r="C81" s="8" t="inlineStr">
        <is>
          <t>medium</t>
        </is>
      </c>
      <c r="D81" s="11" t="inlineStr">
        <is>
          <t>carbon</t>
        </is>
      </c>
      <c r="E81" s="11" t="inlineStr">
        <is>
          <t>PDF p.56</t>
        </is>
      </c>
      <c r="F81" s="11" t="inlineStr">
        <is>
          <t>e environmental friendliness. 保。在整個本集團內，我們已採取以下 Throughout the Group, the following actions have been 措施來減少碳足跡及能源足跡： taken to reduce carbon and energy footprints: – maintain the indoor temperature at an optimal － 室內溫度保持於最合適溫度； temperature; – adopt low-emissivity glass to block ultraviolet, which － 採用低輻射玻璃阻隔紫外線，從 in turn reduces the power consumption of the air 而減少空調系統耗電量； conditioning system; – choosing environmentally friendly materials and － 選擇環保材料及節能燈具和電 energy-saving lightings and electrical appliances; 器； – switch off idle</t>
        </is>
      </c>
    </row>
    <row r="82">
      <c r="A82" s="8" t="inlineStr">
        <is>
          <t>ESG Data</t>
        </is>
      </c>
      <c r="B82" s="8" t="inlineStr">
        <is>
          <t>環境社會及管治數據</t>
        </is>
      </c>
      <c r="C82" s="8" t="inlineStr">
        <is>
          <t>medium</t>
        </is>
      </c>
      <c r="D82" s="11" t="inlineStr">
        <is>
          <t>環境、社會及管治</t>
        </is>
      </c>
      <c r="E82" s="11" t="inlineStr">
        <is>
          <t>PDF p.57</t>
        </is>
      </c>
      <c r="F82" s="11" t="inlineStr">
        <is>
          <t>Environmental, Social and Governance Report 環境、社會及管治報告 Water Consumption 耗水 Water is an important natural resource. The business of 食水是珍貴的天然資源。本集團於租賃 the Group is operated in leased office premises where the 辦公場所經營業務，供水僅受樓宇管理 water supply is solely controlled and centrally managed 公司控制及集中管理。在此情況下，我 by the building management company. In this case, it is 們無法提供耗水數據，原因是每個辦公 not feasible for us to provide water consumption data as 單位並無單獨設置水錶以記錄</t>
        </is>
      </c>
    </row>
    <row r="83">
      <c r="A83" s="8" t="inlineStr">
        <is>
          <t>ESG Data</t>
        </is>
      </c>
      <c r="B83" s="8" t="inlineStr">
        <is>
          <t>環境社會及管治數據</t>
        </is>
      </c>
      <c r="C83" s="8" t="inlineStr">
        <is>
          <t>medium</t>
        </is>
      </c>
      <c r="D83" s="11" t="inlineStr">
        <is>
          <t>GHG emission</t>
        </is>
      </c>
      <c r="E83" s="11" t="inlineStr">
        <is>
          <t>PDF p.58</t>
        </is>
      </c>
      <c r="F83" s="11" t="inlineStr">
        <is>
          <t>ow: Unit 2026 2025 單位 二零二六年 二零二五年 Emissions 排放 Air emission 空氣排放 Nitrogen oxides g 3,311 Nil無 氮氧化物 克 Sulphur oxides g 17 Nil無 硫氧化物 克 GHG emission 溫室氣體排放 Scope 1 – fuel combustion tCO2e 1,788 Nil無 範疇1－燃料燃燒 噸二氧化碳當量 Scope 2 – Purchased electricity tCO2e 951 49.5 範疇2－購電 噸二氧化碳當量 Total GHG emission tCO2e 2,739 49.5 溫室氣體總排放量 噸二氧化碳當量 GHG emission intensity tCO2e/million dollar of revenue 8.3 0.2 溫室氣體排放強度 噸二氧化碳當量╱港幣百萬元收入 Wastes production 廢棄物產生 Non-hazardous waste Kg 6,258.0 250 無害廢棄物 公斤 Non-hazardous waste intensity Kg/million dollar o</t>
        </is>
      </c>
    </row>
    <row r="84">
      <c r="A84" s="8" t="inlineStr">
        <is>
          <t>ESG Data</t>
        </is>
      </c>
      <c r="B84" s="8" t="inlineStr">
        <is>
          <t>環境社會及管治數據</t>
        </is>
      </c>
      <c r="C84" s="8" t="inlineStr">
        <is>
          <t>medium</t>
        </is>
      </c>
      <c r="D84" s="11" t="inlineStr">
        <is>
          <t>greenhouse gas</t>
        </is>
      </c>
      <c r="E84" s="11" t="inlineStr">
        <is>
          <t>PDF p.59</t>
        </is>
      </c>
      <c r="F84" s="11" t="inlineStr">
        <is>
          <t>nsumption. The combustion of natural 消耗。用於烹飪的天然氣燃燒是我們直 gas for cooking is the main source of our direct (Scope 接（範疇1）溫室氣體排放的主要來源。 1) greenhouse gas (GHG) emissions. The consumption 用於製冷、照明和通風的電力消耗，則 of electricity for refrigeration, lighting, and ventilation 導致間接（範疇2）溫室氣體排放。該等 contributes to our indirect (Scope 2) GHG emissions. These 排放物加劇了氣候變化。 emissions contribute to climate change. We have invested in energy-efficient kitchen equipment 我們已投資購置耗電量較低的節能廚房 that consume less power, implemented standard operating 設備，並實施以節能為重點的標準</t>
        </is>
      </c>
    </row>
    <row r="85">
      <c r="A85" s="8" t="inlineStr">
        <is>
          <t>ESG Data</t>
        </is>
      </c>
      <c r="B85" s="8" t="inlineStr">
        <is>
          <t>環境社會及管治數據</t>
        </is>
      </c>
      <c r="C85" s="8" t="inlineStr">
        <is>
          <t>medium</t>
        </is>
      </c>
      <c r="D85" s="11" t="inlineStr">
        <is>
          <t>ESG</t>
        </is>
      </c>
      <c r="E85" s="11" t="inlineStr">
        <is>
          <t>PDF p.60</t>
        </is>
      </c>
      <c r="F85" s="11" t="inlineStr">
        <is>
          <t>strategy and risk management 險管理流程。 processes. The Board holds the ultimate responsibility for 董事會對監督本集團的環境、社 overseeing the Group’s ESG and climate change 會及管治及氣候變化策略負有最 strategy. The Board ensures that our approach to 終責任。董事會確保本集團應對 climate change is aligned with the Group’s overall 氣候變化的方針，與本集團的整 business objectives and risk appetite. 體業務目標及風險承受能力保持 一致。 59 鼎億集團投資有限公司 二零二六年年報</t>
        </is>
      </c>
    </row>
    <row r="86">
      <c r="A86" s="8" t="inlineStr">
        <is>
          <t>ESG Data</t>
        </is>
      </c>
      <c r="B86" s="8" t="inlineStr">
        <is>
          <t>環境社會及管治數據</t>
        </is>
      </c>
      <c r="C86" s="8" t="inlineStr">
        <is>
          <t>medium</t>
        </is>
      </c>
      <c r="D86" s="11" t="inlineStr">
        <is>
          <t>ESG</t>
        </is>
      </c>
      <c r="E86" s="11" t="inlineStr">
        <is>
          <t>PDF p.61</t>
        </is>
      </c>
      <c r="F86" s="11" t="inlineStr">
        <is>
          <t>climate-related risks and 估相關的氣候相關風險及其潛在 their potential financial impacts. To ensure clarity 財務影響。為確保清晰度與問責 and accountability, our ESG risks and opportunities 制，我們將環境、社會及管治風 are defined across short-, medium-, and long-term 險及機遇界定為短期、中期及長 horizons. Each period has a distinct purpose on our 期時間框架。在創造持久價值的 path to creating lasting value. 道路上，每個時間框架皆有其明 確的目標。 • Short-Term (1 to 2 years): These are our • 短期（1至2年）：該等目標 immediate priorities, focused on operational 為我們的當務之急，重點 efficiency, compliance, and establishing the data 在於營運效率</t>
        </is>
      </c>
    </row>
    <row r="87">
      <c r="A87" s="8" t="inlineStr">
        <is>
          <t>ESG Data</t>
        </is>
      </c>
      <c r="B87" s="8" t="inlineStr">
        <is>
          <t>環境社會及管治數據</t>
        </is>
      </c>
      <c r="C87" s="8" t="inlineStr">
        <is>
          <t>medium</t>
        </is>
      </c>
      <c r="D87" s="11" t="inlineStr">
        <is>
          <t>carbon</t>
        </is>
      </c>
      <c r="E87" s="11" t="inlineStr">
        <is>
          <t>PDF p.62</t>
        </is>
      </c>
      <c r="F87" s="11" t="inlineStr">
        <is>
          <t>ive packaging and increase compliance costs. • 更嚴格的廢棄物法規，特別是禁止一次性 塑膠製品以及強制實施食物廢棄物回收╱ 徵收相關費用，將需要投資於替代包裝， 並增加合規成本。 • Implementation of carbon taxes or emissions trading schemes would increase the cost of natural gas (used for cooking) and electricity, directly impacting our operating expenses. • 實施碳稅或排放交易機制將推高天然氣（用 於烹飪）及電力的成本，直接影響我們的營 運支出。 Short to medium Market Changes in • T h e i n c r e a s e i n t h e d e m a n d f o r term 市場 customer environmental-friendly and low-carbon 短至中期 behaviour menu options leads to a reduction in</t>
        </is>
      </c>
    </row>
    <row r="88">
      <c r="A88" s="8" t="inlineStr">
        <is>
          <t>ESG Data</t>
        </is>
      </c>
      <c r="B88" s="8" t="inlineStr">
        <is>
          <t>環境社會及管治數據</t>
        </is>
      </c>
      <c r="C88" s="8" t="inlineStr">
        <is>
          <t>medium</t>
        </is>
      </c>
      <c r="D88" s="11" t="inlineStr">
        <is>
          <t>energy consumption</t>
        </is>
      </c>
      <c r="E88" s="11" t="inlineStr">
        <is>
          <t>PDF p.63</t>
        </is>
      </c>
      <c r="F88" s="11" t="inlineStr">
        <is>
          <t>能導致建築物受損，並產 生相應的維修費用。 Long term Chronic risks Rise in average • The temperature rise will increase the 長期 慢性風險 temperature burden on energy consumption, resulting 平均氣溫上升 in an increase in the costs of operation. • 溫度升高將增加能源消耗的負擔，導致運 營成本增加。 By identifying risks and opportunities bought by 透過識別氣候變化帶來的風險及 climate change, and expanding strategies into 機遇，並將相關策略融入營運及 our operations and decision making, the Group 決策中，本集團展現了善用新興 demonstrates our commitment to capitalising on 趨勢與國家政策的承諾。然而， emerging trends and national policies. Howeve</t>
        </is>
      </c>
    </row>
    <row r="89">
      <c r="A89" s="8" t="inlineStr">
        <is>
          <t>ESG Data</t>
        </is>
      </c>
      <c r="B89" s="8" t="inlineStr">
        <is>
          <t>環境社會及管治數據</t>
        </is>
      </c>
      <c r="C89" s="8" t="inlineStr">
        <is>
          <t>medium</t>
        </is>
      </c>
      <c r="D89" s="11" t="inlineStr">
        <is>
          <t>carbon</t>
        </is>
      </c>
      <c r="E89" s="11" t="inlineStr">
        <is>
          <t>PDF p.64</t>
        </is>
      </c>
      <c r="F89" s="11" t="inlineStr">
        <is>
          <t>he Board. The 已識別風險通過董事會監控。消 identified opportunity of growing consumer demand 費者對可持續發展、以植物為 for sustainable, plant-forward, and low-carbon menu 主及低碳菜單選項的需求日益增 options further supports continued business relevance 長，這項已識別商機進一步鞏固 in a low-carbon economy transition.” 本集團在低碳經濟轉型過程中的 持續業務相關性。 B. SOCIAL ASPECTS B. 社會層面 Employment and Labour Practices 僱傭及勞工常規 B1. Employment B1. 僱傭 All labour-related issues in terms of compensation, 所有與勞工有關的事宜，如薪酬、工作 working hours, rest periods, recruitment and promotion, 時間、休息時間、招聘及晉升、解僱程 dismissal p</t>
        </is>
      </c>
    </row>
    <row r="90">
      <c r="A90" s="8" t="inlineStr">
        <is>
          <t>ESG Data</t>
        </is>
      </c>
      <c r="B90" s="8" t="inlineStr">
        <is>
          <t>環境社會及管治數據</t>
        </is>
      </c>
      <c r="C90" s="8" t="inlineStr">
        <is>
          <t>medium</t>
        </is>
      </c>
      <c r="D90" s="11" t="inlineStr">
        <is>
          <t>環境、社會及管治</t>
        </is>
      </c>
      <c r="E90" s="11" t="inlineStr">
        <is>
          <t>PDF p.65</t>
        </is>
      </c>
      <c r="F90" s="11" t="inlineStr">
        <is>
          <t>Environmental, Social and Governance Report 環境、社會及管治報告 The Group strives to maintain the employee turnover rate 本集團致力將員工流失率保持於可接受 at an acceptable level so as to facilitate the accumulation 水平，以促進專業技能及經驗的積累。 of professional skills and experience. During the Reporting 在報告期內，本集團概無發現任何與薪 Period, the Group did not become aware of any material 酬及解僱、招聘及晉升、工作時間、休 non-compliance relating to compensation and dismissal, 息時間、平等機會、多樣性及歧視有關 recruitment</t>
        </is>
      </c>
    </row>
    <row r="91">
      <c r="A91" s="8" t="inlineStr">
        <is>
          <t>ESG Data</t>
        </is>
      </c>
      <c r="B91" s="8" t="inlineStr">
        <is>
          <t>環境社會及管治數據</t>
        </is>
      </c>
      <c r="C91" s="8" t="inlineStr">
        <is>
          <t>medium</t>
        </is>
      </c>
      <c r="D91" s="11" t="inlineStr">
        <is>
          <t>環境、社會及管治</t>
        </is>
      </c>
      <c r="E91" s="11" t="inlineStr">
        <is>
          <t>PDF p.66</t>
        </is>
      </c>
      <c r="F91" s="11" t="inlineStr">
        <is>
          <t>Environmental, Social and Governance Report 環境、社會及管治報告 The employee turnover rate was 18.4% during the Reporting 於報告期間，僱員流失率為18.4%。於 Period. The employee turnover rates by gender, age group 報告期間，按性別、年齡組別及地理區 and geographical region during the Reporting Period were as 域劃分的僱員流失率如下： follows: Turnover rate Employment category 僱傭類別 流失率 By gender 按性別 Male 男性 14.5% Female 女性 23.5% By age 按年齡 Aged below 30 30歲以下 16.9% Aged 30–50 30至50歲 24.3% Aged 5</t>
        </is>
      </c>
    </row>
    <row r="92">
      <c r="A92" s="8" t="inlineStr">
        <is>
          <t>ESG Data</t>
        </is>
      </c>
      <c r="B92" s="8" t="inlineStr">
        <is>
          <t>環境社會及管治數據</t>
        </is>
      </c>
      <c r="C92" s="8" t="inlineStr">
        <is>
          <t>medium</t>
        </is>
      </c>
      <c r="D92" s="11" t="inlineStr">
        <is>
          <t>環境、社會及管治</t>
        </is>
      </c>
      <c r="E92" s="11" t="inlineStr">
        <is>
          <t>PDF p.67</t>
        </is>
      </c>
      <c r="F92" s="11" t="inlineStr">
        <is>
          <t>Environmental, Social and Governance Report 環境、社會及管治報告 Compliance with Laws and Regulations 遵守法律法規 The Group has established and stringently implemented its 於報告期間，本集團根據相關法律法規 internal safety and health policies in line with the relevant 制定並嚴格執行內部安全與健康政策， laws and regulations during the Reporting Period, including 包括但不限於： but not limited to: PRC Production Safety Law 中國 《安全生產法》 Law on Prevention and Control of Occupational Diseases 《職業病防治法》</t>
        </is>
      </c>
    </row>
    <row r="93">
      <c r="A93" s="8" t="inlineStr">
        <is>
          <t>ESG Data</t>
        </is>
      </c>
      <c r="B93" s="8" t="inlineStr">
        <is>
          <t>環境社會及管治數據</t>
        </is>
      </c>
      <c r="C93" s="8" t="inlineStr">
        <is>
          <t>medium</t>
        </is>
      </c>
      <c r="D93" s="11" t="inlineStr">
        <is>
          <t>環境、社會及管治</t>
        </is>
      </c>
      <c r="E93" s="11" t="inlineStr">
        <is>
          <t>PDF p.68</t>
        </is>
      </c>
      <c r="F93" s="11" t="inlineStr">
        <is>
          <t>Environmental, Social and Governance Report 環境、社會及管治報告 B3. Development and Training B3. 發展及培訓 The Group encourages employees to participate in 本集團鼓勵僱員參與在職培訓及持續進 on-the-job training and continuing education to create 修，為職業發展創造機會。在職培訓專 opportunity for career development. On-the-job training 為我們的工作場所而設計，令參與員工 is tailored to equip our workplace with the necessary 能夠具備所需知識及相關工作技能。除 knowledge and skills relevant to work. Other than providing 了為僱員</t>
        </is>
      </c>
    </row>
    <row r="94">
      <c r="A94" s="8" t="inlineStr">
        <is>
          <t>ESG Data</t>
        </is>
      </c>
      <c r="B94" s="8" t="inlineStr">
        <is>
          <t>環境社會及管治數據</t>
        </is>
      </c>
      <c r="C94" s="8" t="inlineStr">
        <is>
          <t>medium</t>
        </is>
      </c>
      <c r="D94" s="11" t="inlineStr">
        <is>
          <t>環境、社會及管治</t>
        </is>
      </c>
      <c r="E94" s="11" t="inlineStr">
        <is>
          <t>PDF p.69</t>
        </is>
      </c>
      <c r="F94" s="11" t="inlineStr">
        <is>
          <t>Environmental, Social and Governance Report 環境、社會及管治報告 B4. Labour Standards B4. 勞工準則 The operations of the Group require sophisticated 本集團的營運要求高階金融業培訓及房 training in the field of finance and the planning of property 地產開發策劃，故本集團並不依賴勞工 development. Hence the Group does not rely on labour or 或涉及任何勞工密集工作。因此，管理 involve in any labour-intensive work. As such, management 層確定本集團不會涉及聘用童工或強制 is certain that the Group would not be involved in child 勞工。此</t>
        </is>
      </c>
    </row>
    <row r="95">
      <c r="A95" s="8" t="inlineStr">
        <is>
          <t>ESG Data</t>
        </is>
      </c>
      <c r="B95" s="8" t="inlineStr">
        <is>
          <t>環境社會及管治數據</t>
        </is>
      </c>
      <c r="C95" s="8" t="inlineStr">
        <is>
          <t>medium</t>
        </is>
      </c>
      <c r="D95" s="11" t="inlineStr">
        <is>
          <t>環境、社會及管治</t>
        </is>
      </c>
      <c r="E95" s="11" t="inlineStr">
        <is>
          <t>PDF p.70</t>
        </is>
      </c>
      <c r="F95" s="11" t="inlineStr">
        <is>
          <t>Environmental, Social and Governance Report 環境、社會及管治報告 B6. Product Responsibility B6. 產品責任 The Group strives to create maximum value for our 本集團努力為客戶創造最大價值，以取 customers to gain their trust and support. The Group 得他們的信任及支持。本集團已將房地 has outsourced the construction works in property 產開發項目的建築工程外包予獨立建築 development projects to independent construction firms. 公司。因此，全面的供應鏈管理對於提 Thus, a comprehensive supply chain management is of 供高質量物業乃至關重要，足以確保客 gr</t>
        </is>
      </c>
    </row>
    <row r="96">
      <c r="A96" s="8" t="inlineStr">
        <is>
          <t>ESG Data</t>
        </is>
      </c>
      <c r="B96" s="8" t="inlineStr">
        <is>
          <t>環境社會及管治數據</t>
        </is>
      </c>
      <c r="C96" s="8" t="inlineStr">
        <is>
          <t>medium</t>
        </is>
      </c>
      <c r="D96" s="11" t="inlineStr">
        <is>
          <t>環境、社會及管治</t>
        </is>
      </c>
      <c r="E96" s="11" t="inlineStr">
        <is>
          <t>PDF p.71</t>
        </is>
      </c>
      <c r="F96" s="11" t="inlineStr">
        <is>
          <t>Environmental, Social and Governance Report 環境、社會及管治報告 Customer Satisfaction 客戶滿意度 The Group has earned trusted relationships with its broad 通過提供盡心的客戶服務，本集團得以 customer base through providing dedicated customer 與廣大客戶群建立信任關係。為提供優 services. In order to provide quality service to our clients, the 質服務予客戶，本集團在項目開始前與 Group communicates with our customers and confirms their 客戶進行溝通，確認客戶的期望及方 expectation and direction prior to project commencement 向，</t>
        </is>
      </c>
    </row>
    <row r="97">
      <c r="A97" s="8" t="inlineStr">
        <is>
          <t>ESG Data</t>
        </is>
      </c>
      <c r="B97" s="8" t="inlineStr">
        <is>
          <t>環境社會及管治數據</t>
        </is>
      </c>
      <c r="C97" s="8" t="inlineStr">
        <is>
          <t>medium</t>
        </is>
      </c>
      <c r="D97" s="11" t="inlineStr">
        <is>
          <t>環境、社會及管治</t>
        </is>
      </c>
      <c r="E97" s="11" t="inlineStr">
        <is>
          <t>PDF p.72</t>
        </is>
      </c>
      <c r="F97" s="11" t="inlineStr">
        <is>
          <t>Environmental, Social and Governance Report 環境、社會及管治報告 B7. Anti-corruption B7. 反貪污 It is the unwavering principle of the Group to combat 抵制貪污腐敗、倡導廉潔自律是本集團 corruption and advocate integrity and self-discipline. The 一貫的原則。本集團繼續嚴格遵守與防 Group continues to strictly comply with the laws and 止賄賂、勒索、欺詐及洗黑錢相關的法 regulations relating to bribery prevention, extortion, fraud 律法規，如《防止賄賂條例》。 and money laundering, such as the Prevention of Bribery Ordinance</t>
        </is>
      </c>
    </row>
    <row r="98">
      <c r="A98" s="8" t="inlineStr">
        <is>
          <t>ESG Data</t>
        </is>
      </c>
      <c r="B98" s="8" t="inlineStr">
        <is>
          <t>環境社會及管治數據</t>
        </is>
      </c>
      <c r="C98" s="8" t="inlineStr">
        <is>
          <t>medium</t>
        </is>
      </c>
      <c r="D98" s="11" t="inlineStr">
        <is>
          <t>環境、社會及管治</t>
        </is>
      </c>
      <c r="E98" s="11" t="inlineStr">
        <is>
          <t>PDF p.73</t>
        </is>
      </c>
      <c r="F98" s="11" t="inlineStr">
        <is>
          <t>Environmental, Social and Governance Report 環境、社會及管治報告 During the Reporting Period, The Group did not become 在報告期內，本集團概無發現在香港及 aware of any non-compliances of laws and regulations 中國有任何不遵守有關貪污、欺詐、洗 relating to corruption, fraud, money laundering and bribery 黑錢及賄賂的法律法規的情況。 in Hong Kong and China. Community 社區 B8. Community Investment B8. 社區投資 As a socially responsible company, the Group is committed 作為一家對社會負責的公司，本集團致 to understanding the nee</t>
        </is>
      </c>
    </row>
    <row r="99">
      <c r="A99" s="8" t="inlineStr">
        <is>
          <t>ESG Data</t>
        </is>
      </c>
      <c r="B99" s="8" t="inlineStr">
        <is>
          <t>環境社會及管治數據</t>
        </is>
      </c>
      <c r="C99" s="8" t="inlineStr">
        <is>
          <t>medium</t>
        </is>
      </c>
      <c r="D99" s="11" t="inlineStr">
        <is>
          <t>greenhouse gas</t>
        </is>
      </c>
      <c r="E99" s="11" t="inlineStr">
        <is>
          <t>PDF p.88</t>
        </is>
      </c>
      <c r="F99" s="11" t="inlineStr">
        <is>
          <t>e a balance between 率與減少溫室氣體排放及環境惡化之間達致平衡。 the quality and efficiency of our services and the minimization of 因此，本集團已採取積極措施，透過電話、電郵及 greenhouse gas emissions and environmental degradation. Accordingly, 會議或其他高效且環保之通訊方式進行內部及外部 the Group has taken a proactive approach to internal and external 交流。此外，本集團可減少差旅及印刷。 communication by means of telephone, emails and conferences or such other communication means which are efficient yet environmentally friendly. Also, the Group is able to minimize travelling and printing. Detailed informati</t>
        </is>
      </c>
    </row>
    <row r="100">
      <c r="A100" s="8" t="inlineStr">
        <is>
          <t>Segment Information</t>
        </is>
      </c>
      <c r="B100" s="8" t="inlineStr">
        <is>
          <t>分部資料</t>
        </is>
      </c>
      <c r="C100" s="8" t="inlineStr">
        <is>
          <t>medium</t>
        </is>
      </c>
      <c r="D100" s="11" t="inlineStr">
        <is>
          <t>geographical</t>
        </is>
      </c>
      <c r="E100" s="11" t="inlineStr">
        <is>
          <t>PDF p.3</t>
        </is>
      </c>
      <c r="F100" s="11" t="inlineStr">
        <is>
          <t>Financial Summary 財務概要 SEGMENT REVENUE BY GEOGRAPHICAL MARKET 按地區市場劃分之分類收入 Revenue from external customers 來自外部客戶之收入 2026 2025 二零二六年 二零二五年 HK$’000 HK$’000 港幣千元 港幣千元 Mainland China 中國內地 331,121 279,708 The following is a summary of the total assets, total liabilities, total 下列為鼎億集團投資有限公司（「本公司」）及其附屬 equity, share capital, results and other financial information of DINGYI 公司（統稱「本集團」）於過往五年截至三月三十一日 GROUP INVESTMENT LIMITED (the “Company”) and</t>
        </is>
      </c>
    </row>
    <row r="101">
      <c r="A101" s="8" t="inlineStr">
        <is>
          <t>Segment Information</t>
        </is>
      </c>
      <c r="B101" s="8" t="inlineStr">
        <is>
          <t>分部資料</t>
        </is>
      </c>
      <c r="C101" s="8" t="inlineStr">
        <is>
          <t>medium</t>
        </is>
      </c>
      <c r="D101" s="11" t="inlineStr">
        <is>
          <t>geographical</t>
        </is>
      </c>
      <c r="E101" s="11" t="inlineStr">
        <is>
          <t>PDF p.65</t>
        </is>
      </c>
      <c r="F101" s="11" t="inlineStr">
        <is>
          <t>diversity, discriminations. As at 31 March 2026, the employee compositions by 於二零二六年三月三十一日，按性別、 gender, employee type, age group and geographical region 僱員類別、年齡組別及地理區域劃分的 were as follows: 僱員組成如下： 2026 2025 Employee structure 僱員結構 二零二六年 二零二五年 By gender 按性別 Male 男性 110 159 Female 女性 78 105 By age 按年齡 Aged below 30 30歲以下 104 138 Aged 30–50 30至50歲 52 92 Aged 51 or above 51歲或以上 32 34 By employment type 按僱員類型 Full time 全職 188 252 Part time 兼職 – 12 By geographical region 按地理區域 PRC 中國 174 248 Hong Kong 香港 13 15 Others 其他 1 1 64 DINGYI</t>
        </is>
      </c>
    </row>
    <row r="102">
      <c r="A102" s="8" t="inlineStr">
        <is>
          <t>Segment Information</t>
        </is>
      </c>
      <c r="B102" s="8" t="inlineStr">
        <is>
          <t>分部資料</t>
        </is>
      </c>
      <c r="C102" s="8" t="inlineStr">
        <is>
          <t>medium</t>
        </is>
      </c>
      <c r="D102" s="11" t="inlineStr">
        <is>
          <t>geographical</t>
        </is>
      </c>
      <c r="E102" s="11" t="inlineStr">
        <is>
          <t>PDF p.66</t>
        </is>
      </c>
      <c r="F102" s="11" t="inlineStr">
        <is>
          <t>te was 18.4% during the Reporting 於報告期間，僱員流失率為18.4%。於 Period. The employee turnover rates by gender, age group 報告期間，按性別、年齡組別及地理區 and geographical region during the Reporting Period were as 域劃分的僱員流失率如下： follows: Turnover rate Employment category 僱傭類別 流失率 By gender 按性別 Male 男性 14.5% Female 女性 23.5% By age 按年齡 Aged below 30 30歲以下 16.9% Aged 30–50 30至50歲 24.3% Aged 51 or above 51歲或以上 9.1% By geographical region 按地理區域 PRC 中國 19.0% Hong Kong 香港 7.1% Others 其他 / B2. Health and Safety B2. 健康與安全 Work safety is the key to the sustainable</t>
        </is>
      </c>
    </row>
    <row r="103">
      <c r="A103" s="8" t="inlineStr">
        <is>
          <t>Segment Information</t>
        </is>
      </c>
      <c r="B103" s="8" t="inlineStr">
        <is>
          <t>分部資料</t>
        </is>
      </c>
      <c r="C103" s="8" t="inlineStr">
        <is>
          <t>medium</t>
        </is>
      </c>
      <c r="D103" s="11" t="inlineStr">
        <is>
          <t>reportable segment</t>
        </is>
      </c>
      <c r="E103" s="11" t="inlineStr">
        <is>
          <t>PDF p.74</t>
        </is>
      </c>
      <c r="F103" s="11" t="inlineStr">
        <is>
          <t>nsolidated financial statements. The Group’s revenue and results for the year ended 31 March 本集團於截至二零二六年三月三十一日止年度按須 2026 analysed by reportable segment are set out in Note 7 to the 予呈報分類之收入及業績分析載於合併財務報表附 consolidated financial statements. 註7內。 BUSINESS REVIEW 業務回顧 The business review of the Group for the year ended 31 March 2026 is 本集團於截至二零二六年三月三十一日止年度之業 provided in the Chairman’s Statement and Management Discussion and 務回顧載於本年報之主席報告及管理層討論及分析 Analysis of this annual report. An analysis of the Group’s performance 內。本集團採用財務關鍵表現指標</t>
        </is>
      </c>
    </row>
    <row r="104">
      <c r="A104" s="8" t="inlineStr">
        <is>
          <t>Segment Information</t>
        </is>
      </c>
      <c r="B104" s="8" t="inlineStr">
        <is>
          <t>分部資料</t>
        </is>
      </c>
      <c r="C104" s="8" t="inlineStr">
        <is>
          <t>medium</t>
        </is>
      </c>
      <c r="D104" s="11" t="inlineStr">
        <is>
          <t>segment information</t>
        </is>
      </c>
      <c r="E104" s="11" t="inlineStr">
        <is>
          <t>PDF p.143</t>
        </is>
      </c>
      <c r="F104" s="11" t="inlineStr">
        <is>
          <t>disclosure requirement in respect 約義務之交易價格之披露規定而作出。 of the transaction price allocated to the remaining performance obligations. 7. SEGMENT INFORMATION 7. 分類資料 Information reported to the board of directors, being the chief 向董事會（即主要營運決策者「主要營運決策 operating decision maker (“CODM”), for the purpose of resources 者」）呈報之資料乃就資源分配及評估分類表 allocation and assessment of segment performance focuses on 現而作出，側重於所交付貨物或所提供服務 types of goods delivered or service rendered. 之類別。 The Group has four reportable and operating segments (i) 本集團有四個可呈報及營運分類</t>
        </is>
      </c>
    </row>
    <row r="105">
      <c r="A105" s="8" t="inlineStr">
        <is>
          <t>Segment Information</t>
        </is>
      </c>
      <c r="B105" s="8" t="inlineStr">
        <is>
          <t>分部資料</t>
        </is>
      </c>
      <c r="C105" s="8" t="inlineStr">
        <is>
          <t>medium</t>
        </is>
      </c>
      <c r="D105" s="11" t="inlineStr">
        <is>
          <t>segment information</t>
        </is>
      </c>
      <c r="E105" s="11" t="inlineStr">
        <is>
          <t>PDF p.144</t>
        </is>
      </c>
      <c r="F105" s="11" t="inlineStr">
        <is>
          <t>Notes to the Consolidated Financial Statements 合併財務報表附註 For the year ended 31 March 2026 截至二零二六年三月三十一日止年度 7. SEGMENT INFORMATION 7. 分類資料（續） (Continued) Segment revenue and results 分類收入及業績 The following is an analysis of the Group’s revenue and results by 本集團按須予呈報及經營分類劃分之收入及 reportable and operating segment: 業績分析如下： Year ended 31 March 2026 截至二零二六年三月三十一日止年度 Food and beverage Securities Loan Properties catering trading financing development service business business business business Total 證券買賣 貸款融資 物業發展 餐</t>
        </is>
      </c>
    </row>
    <row r="106">
      <c r="A106" s="8" t="inlineStr">
        <is>
          <t>Segment Information</t>
        </is>
      </c>
      <c r="B106" s="8" t="inlineStr">
        <is>
          <t>分部資料</t>
        </is>
      </c>
      <c r="C106" s="8" t="inlineStr">
        <is>
          <t>medium</t>
        </is>
      </c>
      <c r="D106" s="11" t="inlineStr">
        <is>
          <t>segment information</t>
        </is>
      </c>
      <c r="E106" s="11" t="inlineStr">
        <is>
          <t>PDF p.145</t>
        </is>
      </c>
      <c r="F106" s="11" t="inlineStr">
        <is>
          <t>Notes to the Consolidated Financial Statements 合併財務報表附註 For the year ended 31 March 2026 截至二零二六年三月三十一日止年度 7. SEGMENT INFORMATION 7. 分類資料（續） (Continued) Segment revenue and results (Continued) 分類收入及業績（續） Year ended 31 March 2025 截至二零二五年三月三十一日止年度 Food and beverage Securities Loan Properties catering trading financing development service business business business business Total 證券買賣 貸款融資 物業發展 餐飲服務 業務 業務 業務 業務 總額 HK$’000 HK$’000 HK$’000 HK$’000 HK$’000 港幣千元 港幣千元 港幣千元 港幣千元 港幣千元 Revenue 收入 External revenue 外部</t>
        </is>
      </c>
    </row>
    <row r="107">
      <c r="A107" s="8" t="inlineStr">
        <is>
          <t>Segment Information</t>
        </is>
      </c>
      <c r="B107" s="8" t="inlineStr">
        <is>
          <t>分部資料</t>
        </is>
      </c>
      <c r="C107" s="8" t="inlineStr">
        <is>
          <t>medium</t>
        </is>
      </c>
      <c r="D107" s="11" t="inlineStr">
        <is>
          <t>segment information</t>
        </is>
      </c>
      <c r="E107" s="11" t="inlineStr">
        <is>
          <t>PDF p.146</t>
        </is>
      </c>
      <c r="F107" s="11" t="inlineStr">
        <is>
          <t>Notes to the Consolidated Financial Statements 合併財務報表附註 For the year ended 31 March 2026 截至二零二六年三月三十一日止年度 7. SEGMENT INFORMATION 7. 分類資料（續） (Continued) Segment assets and liabilities 分類資產及負債 The following is an analysis of the Group’s assets and liabilities by 本集團按須予呈報及經營分類劃分之資產及 reportable and operating segment: 負債分析如下： 2026 2025 二零二六年 二零二五年 HK$’000 HK$’000 港幣千元 港幣千元 Segment assets 分類資產 Securities trading business 證券買賣業務 7,958 40,665 Loan financing business 貸款融資業務 1,109,487 851,696 Properties developmen</t>
        </is>
      </c>
    </row>
    <row r="108">
      <c r="A108" s="8" t="inlineStr">
        <is>
          <t>Segment Information</t>
        </is>
      </c>
      <c r="B108" s="8" t="inlineStr">
        <is>
          <t>分部資料</t>
        </is>
      </c>
      <c r="C108" s="8" t="inlineStr">
        <is>
          <t>medium</t>
        </is>
      </c>
      <c r="D108" s="11" t="inlineStr">
        <is>
          <t>segment information</t>
        </is>
      </c>
      <c r="E108" s="11" t="inlineStr">
        <is>
          <t>PDF p.147</t>
        </is>
      </c>
      <c r="F108" s="11" t="inlineStr">
        <is>
          <t>Notes to the Consolidated Financial Statements 合併財務報表附註 For the year ended 31 March 2026 截至二零二六年三月三十一日止年度 7. SEGMENT INFORMATION 7. 分類資料（續） (Continued) Segment assets and liabilities (Continued) 分類資產及負債（續） • all liabilities are allocated to operating segments other • 所有負債已分配至經營分類（若干其他 than certain other payables, tax payables, amounts due to 應付賬款、應付稅項、應付關連公司款 related companies, other loan and lease liabilities. 項、其他貸款及租賃負債除外）。 Other segment information 其他分類資料 For the year ended 31 March 2026 截至二零二六年三月三十一</t>
        </is>
      </c>
    </row>
    <row r="109">
      <c r="A109" s="8" t="inlineStr">
        <is>
          <t>Segment Information</t>
        </is>
      </c>
      <c r="B109" s="8" t="inlineStr">
        <is>
          <t>分部資料</t>
        </is>
      </c>
      <c r="C109" s="8" t="inlineStr">
        <is>
          <t>medium</t>
        </is>
      </c>
      <c r="D109" s="11" t="inlineStr">
        <is>
          <t>segment information</t>
        </is>
      </c>
      <c r="E109" s="11" t="inlineStr">
        <is>
          <t>PDF p.148</t>
        </is>
      </c>
      <c r="F109" s="11" t="inlineStr">
        <is>
          <t>Notes to the Consolidated Financial Statements 合併財務報表附註 For the year ended 31 March 2026 截至二零二六年三月三十一日止年度 7. SEGMENT INFORMATION 7. 分類資料（續） (Continued) Other segment information (Continued) 其他分類資料（續） For the year ended 31 March 2025 截至二零二五年三月三十一日止年度 Food and beverage Securities Loan Properties catering trading financing development service business business business business Unallocated Total 證券買賣業務 貸款融資業務 物業發展業務 餐飲服務業務 未分配 總額 HK$’000 HK$’000 HK$’000 HK$’000 HK$’000 HK$’000 港幣千元 港幣千元 港幣千元 港幣千元 港幣千元 港幣千元</t>
        </is>
      </c>
    </row>
    <row r="110">
      <c r="A110" s="8" t="inlineStr">
        <is>
          <t>Segment Information</t>
        </is>
      </c>
      <c r="B110" s="8" t="inlineStr">
        <is>
          <t>分部資料</t>
        </is>
      </c>
      <c r="C110" s="8" t="inlineStr">
        <is>
          <t>medium</t>
        </is>
      </c>
      <c r="D110" s="11" t="inlineStr">
        <is>
          <t>segment information</t>
        </is>
      </c>
      <c r="E110" s="11" t="inlineStr">
        <is>
          <t>PDF p.149</t>
        </is>
      </c>
      <c r="F110" s="11" t="inlineStr">
        <is>
          <t>Notes to the Consolidated Financial Statements 合併財務報表附註 For the year ended 31 March 2026 截至二零二六年三月三十一日止年度 7. SEGMENT INFORMATION 7. 分類資料（續） (Continued) Geographical information 地區資料 The Group’s operations are all located in the PRC. No 本集團之營運全部位於中國。由於本集團僅 geographical information about the Group’s revenue from external 從中國產生收入，故並無按照地點呈列本集 customers based on location is presented as the Group’s revenue 團外部客戶收入的地理資料。 is located only in the PRC. Information about the Group’s revenue from external customers</t>
        </is>
      </c>
    </row>
    <row r="111">
      <c r="A111" s="8" t="inlineStr">
        <is>
          <t>Segment Information</t>
        </is>
      </c>
      <c r="B111" s="8" t="inlineStr">
        <is>
          <t>分部資料</t>
        </is>
      </c>
      <c r="C111" s="8" t="inlineStr">
        <is>
          <t>medium</t>
        </is>
      </c>
      <c r="D111" s="11" t="inlineStr">
        <is>
          <t>geographical</t>
        </is>
      </c>
      <c r="E111" s="11" t="inlineStr">
        <is>
          <t>PDF p.191</t>
        </is>
      </c>
      <c r="F111" s="11" t="inlineStr">
        <is>
          <t>t objectives and (b) 金融風險管理目的及政策（續） policies (Continued) Credit risk (Continued) 信貸風險（續） The Group’s concentration of credit risk by geographical 本集團按地區劃分之應收貸款及利息之 locations for loan and interest receivables is in the PRC, 信貸風險集中於中國，佔於二零二六 which accounted for 100% (2025: 100%) of loan and 年三月三十一日之應收貸款及利息之 interest receivables as at 31 March 2026. 100%（二零二五年：100%）。 The credit risk on liquid funds is limited because the 流動資金之信貸風險有限，乃由於對手 counterparties are banks with high credit ratings assigned 方為獲得國際信貸評級機構指定之良好 by international</t>
        </is>
      </c>
    </row>
    <row r="112">
      <c r="A112" s="8" t="inlineStr">
        <is>
          <t>Share-based Payment</t>
        </is>
      </c>
      <c r="B112" s="8" t="inlineStr">
        <is>
          <t>以股份為基礎的付款</t>
        </is>
      </c>
      <c r="C112" s="8" t="inlineStr">
        <is>
          <t>medium</t>
        </is>
      </c>
      <c r="D112" s="11" t="inlineStr">
        <is>
          <t>share option</t>
        </is>
      </c>
      <c r="E112" s="11" t="inlineStr">
        <is>
          <t>PDF p.35</t>
        </is>
      </c>
      <c r="F112" s="11" t="inlineStr">
        <is>
          <t>任董事的薪酬待遇，並就此向董事會提出建 management of the Company and the newly appointed Director; 議；及 and (b) recommended to the Board on the grant of share options to (b) 向本公司董事及員工授出購股權事宜向董事 Directors and employees of the Company. 會提出建議。 The Remuneration Committee held 3 meetings during the year ended 於截至二零二六年三月三十一日止年度內，薪酬委 31 March 2026. Individual attendance record of each member of the 員會已舉行3次會議。薪酬委員會各成員之個別出 Remuneration Committee is set out in the table on pages 39 and 40 of 席情況記錄載於本報告第39及40頁之表格內。 this report. 34 DINGYI GROUP INVESTMENT LIM</t>
        </is>
      </c>
    </row>
    <row r="113">
      <c r="A113" s="8" t="inlineStr">
        <is>
          <t>Share-based Payment</t>
        </is>
      </c>
      <c r="B113" s="8" t="inlineStr">
        <is>
          <t>以股份為基礎的付款</t>
        </is>
      </c>
      <c r="C113" s="8" t="inlineStr">
        <is>
          <t>medium</t>
        </is>
      </c>
      <c r="D113" s="11" t="inlineStr">
        <is>
          <t>share option</t>
        </is>
      </c>
      <c r="E113" s="11" t="inlineStr">
        <is>
          <t>PDF p.75</t>
        </is>
      </c>
      <c r="F113" s="11" t="inlineStr">
        <is>
          <t>benefits include 作性質、市場趨勢、公司業績及個別員工之表現而 bonuses rewarded on a discretionary basis, retirement schemes and 定期作出檢討。其他員工福利包括酌情發放花紅獎 the share option scheme of the Company. 賞、退休計劃及本公司購股權計劃。 PRE-EMPTIVE RIGHTS 優先購買權 There is no provision for pre-emptive rights under the Bye-Laws of the 本公司之公司細則並無優先購買權之規定，雖然根 Company although there are no restrictions against such rights under 據本公司之註冊地百慕達之法例，對此權利並無作 the laws in Bermuda where the Company is incorporated. 出任何限制。 74 DINGYI GROUP INVESTMENT LIMITED ANNUAL REPORT 2026</t>
        </is>
      </c>
    </row>
    <row r="114">
      <c r="A114" s="8" t="inlineStr">
        <is>
          <t>Share-based Payment</t>
        </is>
      </c>
      <c r="B114" s="8" t="inlineStr">
        <is>
          <t>以股份為基礎的付款</t>
        </is>
      </c>
      <c r="C114" s="8" t="inlineStr">
        <is>
          <t>medium</t>
        </is>
      </c>
      <c r="D114" s="11" t="inlineStr">
        <is>
          <t>share option</t>
        </is>
      </c>
      <c r="E114" s="11" t="inlineStr">
        <is>
          <t>PDF p.76</t>
        </is>
      </c>
      <c r="F114" s="11" t="inlineStr">
        <is>
          <t>，並提供其他額外福利、強制性公積金及購股 individual performance of employees. Other fringe benefits, mandatory 權以挽留忠誠僱員，旨在組成一支可為本集團帶來 provident fund and share options are provided to retain loyal employees 不同層面成功之專業員工及管理隊伍。 with the aim to form a professional staff and management team that can bring different levels of success to the Group. RELATIONSHIPS WITH CUSTOMERS AND 與客戶及供應商之關係 SUPPLIERS The Directors believe that maintaining good relationships with 董事認為，維持與客戶之良好關係一直為本集團成 customers has been one of the critical factors for the Group’s 功之至關重要因</t>
        </is>
      </c>
    </row>
    <row r="115">
      <c r="A115" s="8" t="inlineStr">
        <is>
          <t>Share-based Payment</t>
        </is>
      </c>
      <c r="B115" s="8" t="inlineStr">
        <is>
          <t>以股份為基礎的付款</t>
        </is>
      </c>
      <c r="C115" s="8" t="inlineStr">
        <is>
          <t>medium</t>
        </is>
      </c>
      <c r="D115" s="11" t="inlineStr">
        <is>
          <t>share option</t>
        </is>
      </c>
      <c r="E115" s="11" t="inlineStr">
        <is>
          <t>PDF p.79</t>
        </is>
      </c>
      <c r="F115" s="11" t="inlineStr">
        <is>
          <t>inary shares of the Company in issue as at 31 1. 按本公司於二零二六年三月三十一日已發行之 March 2026. 850,678,301股普通股計算。 2. These underlying shares were share options granted by the Company on 11 2. 相關股份為本公司於二零二五年八月十一日根據本公 August 2025 under the share option scheme adopted by the Company on 3 司於二零二三年十一月三日所採納的購股權計劃以行 November 2023 at the exercise price of HK$0.35 per share. 使價每股港幣0.35元授出的購股權。 78 DINGYI GROUP INVESTMENT LIMITED ANNUAL REPORT 2026</t>
        </is>
      </c>
    </row>
    <row r="116">
      <c r="A116" s="8" t="inlineStr">
        <is>
          <t>Share-based Payment</t>
        </is>
      </c>
      <c r="B116" s="8" t="inlineStr">
        <is>
          <t>以股份為基礎的付款</t>
        </is>
      </c>
      <c r="C116" s="8" t="inlineStr">
        <is>
          <t>medium</t>
        </is>
      </c>
      <c r="D116" s="11" t="inlineStr">
        <is>
          <t>share option</t>
        </is>
      </c>
      <c r="E116" s="11" t="inlineStr">
        <is>
          <t>PDF p.81</t>
        </is>
      </c>
      <c r="F116" s="11" t="inlineStr">
        <is>
          <t>ny class of share capital carrying rights 會上投票之權利之任何類別股本面值5%或以上權 to vote in all circumstances at general meetings of the Company. 益。 SHARE OPTION SCHEME 購股權計劃 On 3 November 2023, the Company adopted a share option scheme 於二零二三年十一月三日，本公司採納了一項購股 (the “Share Option Scheme”) for a term of 10 years. Under the 權計劃（「購股權計劃」），期限為10年。根據購股 Share Option Scheme, the Board shall be entitled to grant options to 權計劃，董事會有權向董事會可能全權酌情選擇的 any eligible participant (as defined hereinafter) as the Board may in its 任何合資格參與者（定義見下文）授予購股權。 absolute discr</t>
        </is>
      </c>
    </row>
    <row r="117">
      <c r="A117" s="8" t="inlineStr">
        <is>
          <t>Share-based Payment</t>
        </is>
      </c>
      <c r="B117" s="8" t="inlineStr">
        <is>
          <t>以股份為基礎的付款</t>
        </is>
      </c>
      <c r="C117" s="8" t="inlineStr">
        <is>
          <t>medium</t>
        </is>
      </c>
      <c r="D117" s="11" t="inlineStr">
        <is>
          <t>share option</t>
        </is>
      </c>
      <c r="E117" s="11" t="inlineStr">
        <is>
          <t>PDF p.82</t>
        </is>
      </c>
      <c r="F117" s="11" t="inlineStr">
        <is>
          <t>Report of the Directors 董事會報告書 Summary of the Share Option Scheme disclosed in accordance with 根據上市規則披露的購股權計劃概要載列如下： the Listing Rules are set out below: (1) Purpose of the Share Option Scheme (1) 購股權計劃的目的 The purpose of the Share Option Scheme is to enable the Board 購股權計劃的目的為讓董事會可授出購股權 to grant share options to the eligible participants (as defined 予合資格參與者（定義見下文），以作為彼等 hereinafter) as incentives or rewards for their contribution or 對本集團所作出或將</t>
        </is>
      </c>
    </row>
    <row r="118">
      <c r="A118" s="8" t="inlineStr">
        <is>
          <t>Share-based Payment</t>
        </is>
      </c>
      <c r="B118" s="8" t="inlineStr">
        <is>
          <t>以股份為基礎的付款</t>
        </is>
      </c>
      <c r="C118" s="8" t="inlineStr">
        <is>
          <t>medium</t>
        </is>
      </c>
      <c r="D118" s="11" t="inlineStr">
        <is>
          <t>share option</t>
        </is>
      </c>
      <c r="E118" s="11" t="inlineStr">
        <is>
          <t>PDF p.83</t>
        </is>
      </c>
      <c r="F118" s="11" t="inlineStr">
        <is>
          <t>Report of the Directors 董事會報告書 The total number of shares which may be allotted and issued in 於二零二五年四月一日及於二零二六年三月 respect of all share options or share awards available for grant 三十一日，就根據購股權計劃以及本公司任 to Service Providers under the Share Option Scheme and any 何其他購股權計劃或股份獎勵計劃向服務提 other share option scheme(s) or share award scheme(s) of the 供者可供授出的所有購股權或股份獎勵而可 Company (the “Service Provider Sublimit”) as at 1 April 2025 能配發及發行的股份總數（「服務提供者分項 and as at 31 March 2026 were both 7,356,783, representing 限額」）均為7,356,783股，佔本公司已發行普 appr</t>
        </is>
      </c>
    </row>
    <row r="119">
      <c r="A119" s="8" t="inlineStr">
        <is>
          <t>Share-based Payment</t>
        </is>
      </c>
      <c r="B119" s="8" t="inlineStr">
        <is>
          <t>以股份為基礎的付款</t>
        </is>
      </c>
      <c r="C119" s="8" t="inlineStr">
        <is>
          <t>medium</t>
        </is>
      </c>
      <c r="D119" s="11" t="inlineStr">
        <is>
          <t>share option</t>
        </is>
      </c>
      <c r="E119" s="11" t="inlineStr">
        <is>
          <t>PDF p.84</t>
        </is>
      </c>
      <c r="F119" s="11" t="inlineStr">
        <is>
          <t>Report of the Directors 董事會報告書 (6) The vesting period for options granted under the (6) 根據購股權計劃授予的購股權的歸 Share Option Scheme 屬期 The vesting period for share options granted under the 購股權計劃項下授出的購股權的歸屬期須不 Share Option Scheme must not be less than 12 months. Any 少於12個月。向僱員參與者授出的購股權的 shorter vesting period in respect of share options granted to 任何較短歸屬期須在董事酌情決定下經董事 Employee Participants must be approved by the Board and/or 會及╱或本公司薪酬委員會批准，惟有關承 the remuneration committee of the Company at the Directors’ 授人須</t>
        </is>
      </c>
    </row>
    <row r="120">
      <c r="A120" s="8" t="inlineStr">
        <is>
          <t>Share-based Payment</t>
        </is>
      </c>
      <c r="B120" s="8" t="inlineStr">
        <is>
          <t>以股份為基礎的付款</t>
        </is>
      </c>
      <c r="C120" s="8" t="inlineStr">
        <is>
          <t>medium</t>
        </is>
      </c>
      <c r="D120" s="11" t="inlineStr">
        <is>
          <t>share option</t>
        </is>
      </c>
      <c r="E120" s="11" t="inlineStr">
        <is>
          <t>PDF p.85</t>
        </is>
      </c>
      <c r="F120" s="11" t="inlineStr">
        <is>
          <t>Report of the Directors 董事會報告書 The movements in the share options granted during the year ended 31 於截至二零二六年三月三十一日止年度，根據購股 March 2026 and the outstanding share options as at 31 March 2026 權計劃已授出之購股權及於二零二六年三月三十一 under the Share Option Scheme are shown below: 日尚未行使之購股權之變動如下表所示： Number of share options 購股權數目 Granted Exercised Cancelled Lapsed Date of grant Exercise price Name or category of At during during the during the during At of share Exercise of</t>
        </is>
      </c>
    </row>
    <row r="121">
      <c r="A121" s="8" t="inlineStr">
        <is>
          <t>Share-based Payment</t>
        </is>
      </c>
      <c r="B121" s="8" t="inlineStr">
        <is>
          <t>以股份為基礎的付款</t>
        </is>
      </c>
      <c r="C121" s="8" t="inlineStr">
        <is>
          <t>medium</t>
        </is>
      </c>
      <c r="D121" s="11" t="inlineStr">
        <is>
          <t>share option</t>
        </is>
      </c>
      <c r="E121" s="11" t="inlineStr">
        <is>
          <t>PDF p.86</t>
        </is>
      </c>
      <c r="F121" s="11" t="inlineStr">
        <is>
          <t>Report of the Directors 董事會報告書 Notes: 附註： 1 The vesting period of the share options granted on 11 August 2025 is from 11 1 於二零二五年八月十一日所授出購股權的歸屬期為二 August 2025 to 10 August 2026. 零二五年八月十一日至二零二六年八月十日。 2 The exercise price for the share options granted on 11 August 2025 was the 2 於二零二五年八月十一日所授出購股權的行使價為股 closing price of the shares quoted on the Stock Exchange on the date of grant 份於授出日期在聯交所所報的收市價，亦為緊接授出 of the share options and also the average closing price of the sha</t>
        </is>
      </c>
    </row>
    <row r="122">
      <c r="A122" s="8" t="inlineStr">
        <is>
          <t>Share-based Payment</t>
        </is>
      </c>
      <c r="B122" s="8" t="inlineStr">
        <is>
          <t>以股份為基礎的付款</t>
        </is>
      </c>
      <c r="C122" s="8" t="inlineStr">
        <is>
          <t>medium</t>
        </is>
      </c>
      <c r="D122" s="11" t="inlineStr">
        <is>
          <t>share option</t>
        </is>
      </c>
      <c r="E122" s="11" t="inlineStr">
        <is>
          <t>PDF p.87</t>
        </is>
      </c>
      <c r="F122" s="11" t="inlineStr">
        <is>
          <t>d financial statements. 38內。 ARRANGEMENT FOR ACQUISITION OF SHARES 收購股份或債券之安排 OR DEBENTURES Save as disclosed in the section headed “SHARE OPTION SCHEME” 除於本報告第80至85頁「購股權計劃」一節所披露 on pages 80 to 85 of this report, at no time during the year ended 者外，於截至二零二六年三月三十一日止年度內任 31 March 2026 were rights to acquire benefits by means of the 何時間，概無向任何董事或彼等各自的配偶或未成 acquisition of shares in or debentures of the Company granted to 年子女授出權利以藉收購本公司股份或債權證的方 any Directors or their respective spouses or minor children, or were 式獲益，彼等亦無行使任何該等權利；或本公司或</t>
        </is>
      </c>
    </row>
    <row r="123">
      <c r="A123" s="8" t="inlineStr">
        <is>
          <t>Share-based Payment</t>
        </is>
      </c>
      <c r="B123" s="8" t="inlineStr">
        <is>
          <t>以股份為基礎的付款</t>
        </is>
      </c>
      <c r="C123" s="8" t="inlineStr">
        <is>
          <t>medium</t>
        </is>
      </c>
      <c r="D123" s="11" t="inlineStr">
        <is>
          <t>購股權</t>
        </is>
      </c>
      <c r="E123" s="11" t="inlineStr">
        <is>
          <t>PDF p.88</t>
        </is>
      </c>
      <c r="F123" s="11" t="inlineStr">
        <is>
          <t>ctives and policies”. EQUITY-LINKED AGREEMENTS 股票掛鈎協議 Save for disclosed in the section headed the section headed “SHARE 本報告第80至84頁之「購股權計劃」一節所披露者 OPTION SCHEME” on pages 80 to 84 of this report, the Company did 外，本公司於截至二零二六年三月三十一日止年度 not enter into any equity-linked agreements during the year ended 31 內並無訂立任何股票掛鈎協議。 March 2026. 87 鼎億集團投資有限公司 二零二六年年報</t>
        </is>
      </c>
    </row>
    <row r="124">
      <c r="A124" s="8" t="inlineStr">
        <is>
          <t>Share-based Payment</t>
        </is>
      </c>
      <c r="B124" s="8" t="inlineStr">
        <is>
          <t>以股份為基礎的付款</t>
        </is>
      </c>
      <c r="C124" s="8" t="inlineStr">
        <is>
          <t>medium</t>
        </is>
      </c>
      <c r="D124" s="11" t="inlineStr">
        <is>
          <t>share-based payment</t>
        </is>
      </c>
      <c r="E124" s="11" t="inlineStr">
        <is>
          <t>PDF p.101</t>
        </is>
      </c>
      <c r="F124" s="11" t="inlineStr">
        <is>
          <t>nsive 年內綜合收益╱（支出） income/(expenses) for the 總額 year – – – – – 108,811 – (424,302) (315,491) Recognition of equity-settled 確認權益結算以股份為 share-based payments 基礎之付款（附註37） (Note 37) – – – 8,742 – – – – 8,742 Issue of convertible bonds – 發行可換股債券－權益 equity-settled component 結算部分（附註32） (Note 32) – – – – – – 401,182 – 401,182 Deemed distribution from an 視作來自一名最終股東 ultimate shareholder (Note 32) 之分派（附註32） – – – – (230,061) – – – (230,061) As at 31 March 2026 於二零二六年三月 三十一日 85,068 3,355,522 14 8,742 (1,025,482) (164,983) 401,182 (1,731,782)</t>
        </is>
      </c>
    </row>
    <row r="125">
      <c r="A125" s="8" t="inlineStr">
        <is>
          <t>Share-based Payment</t>
        </is>
      </c>
      <c r="B125" s="8" t="inlineStr">
        <is>
          <t>以股份為基礎的付款</t>
        </is>
      </c>
      <c r="C125" s="8" t="inlineStr">
        <is>
          <t>medium</t>
        </is>
      </c>
      <c r="D125" s="11" t="inlineStr">
        <is>
          <t>share option</t>
        </is>
      </c>
      <c r="E125" s="11" t="inlineStr">
        <is>
          <t>PDF p.102</t>
        </is>
      </c>
      <c r="F125" s="11" t="inlineStr">
        <is>
          <t>) Issue of shares (Note 31) 發行股份（附註31） 11,500 42,550 – – – – – 54,050 Share issuing expenses 股份發行開支 – (736) – – – – – (736) Lapse of share options 購股權失效 – – – (129,180) – – 129,180 – As at 31 March 2025 於二零二五年三月三十一日 85,068 3,355,522 14 – (795,421) (273,794) (1,307,480) 1,063,909 101 鼎億集團投資有限公司 二零二六年年報</t>
        </is>
      </c>
    </row>
    <row r="126">
      <c r="A126" s="8" t="inlineStr">
        <is>
          <t>Share-based Payment</t>
        </is>
      </c>
      <c r="B126" s="8" t="inlineStr">
        <is>
          <t>以股份為基礎的付款</t>
        </is>
      </c>
      <c r="C126" s="8" t="inlineStr">
        <is>
          <t>medium</t>
        </is>
      </c>
      <c r="D126" s="11" t="inlineStr">
        <is>
          <t>share-based payment</t>
        </is>
      </c>
      <c r="E126" s="11" t="inlineStr">
        <is>
          <t>PDF p.103</t>
        </is>
      </c>
      <c r="F126" s="11" t="inlineStr">
        <is>
          <t>(iii) 購股權儲備指本公司根據合併財務報表附註4所載以 granted by the Company recognised in accordance with the accounting 股份為基礎的付款之會計政策已確認授出之尚未行使 policy of share-based payments set out in Note 4 to the consolidated financial 購股權之公允值。 statements. (iv) Other reserves represents: (iv) 其他儲備指： (a) The change in the Group’s ownership interests in existing subsidiaries (a) 本集團於現有附屬公司之擁有權權益之變動而 that do not result in loss of control over those subsidiaries; 並無導致本集團對附屬公司失去控制權； (b) The recognition of deemed contribution from Mr. Li Kwong Yuk under (b) 於二零一八年三月二</t>
        </is>
      </c>
    </row>
    <row r="127">
      <c r="A127" s="8" t="inlineStr">
        <is>
          <t>Share-based Payment</t>
        </is>
      </c>
      <c r="B127" s="8" t="inlineStr">
        <is>
          <t>以股份為基礎的付款</t>
        </is>
      </c>
      <c r="C127" s="8" t="inlineStr">
        <is>
          <t>medium</t>
        </is>
      </c>
      <c r="D127" s="11" t="inlineStr">
        <is>
          <t>share-based payment</t>
        </is>
      </c>
      <c r="E127" s="11" t="inlineStr">
        <is>
          <t>PDF p.104</t>
        </is>
      </c>
      <c r="F127" s="11" t="inlineStr">
        <is>
          <t>equipment 8,677 957 Depreciation of investment properties 投資物業折舊 1,435 900 Depreciation of right-of-use assets 使用權資產折舊 11,908 3,116 Share-based payment expense 以股份為基礎之付款開支 8,742 – Gains arising from financial assets at 於損益賬按公允值處理之 fair value through profit or loss 金融資產產生之收益 (2,711) (31,312) Realised gain on disposal of financial assets 出售於損益賬按公允值處理之 at FVTPL 金融資產之已變現收益 (16,787) – Gain on termination of leases 終止租賃的收益 (1,362) – Loss on disposal of investment properties 出售投資物業之虧損 13,092 – Allowance for impairment of trade 貿易應收賬款</t>
        </is>
      </c>
    </row>
    <row r="128">
      <c r="A128" s="8" t="inlineStr">
        <is>
          <t>Share-based Payment</t>
        </is>
      </c>
      <c r="B128" s="8" t="inlineStr">
        <is>
          <t>以股份為基礎的付款</t>
        </is>
      </c>
      <c r="C128" s="8" t="inlineStr">
        <is>
          <t>medium</t>
        </is>
      </c>
      <c r="D128" s="11" t="inlineStr">
        <is>
          <t>share-based payment</t>
        </is>
      </c>
      <c r="E128" s="11" t="inlineStr">
        <is>
          <t>PDF p.128</t>
        </is>
      </c>
      <c r="F128" s="11" t="inlineStr">
        <is>
          <t>nts 合併財務報表附註 For the year ended 31 March 2026 截至二零二六年三月三十一日止年度 4. MATERIAL ACCOUNTING POLICY 4. 重大會計政策資料（續） INFORMATION (Continued) Share-based payments 以股份為基礎之付款 Equity-settled share-based payments 權益結算以股份為基礎之付款交易 transactions Share options granted to employees 授予僱員之購股權 For share options that vest immediately at the date of grant, the 若購股權於授出日期即時歸屬，參考授出購 fair value of services received determined by reference to the fair 股權的公允值釐定之所接收服務之公允值即 value of the share options granted is expensed immediately to 時於損益支銷，股本（即購股權儲備）相應增 pro</t>
        </is>
      </c>
    </row>
    <row r="129">
      <c r="A129" s="8" t="inlineStr">
        <is>
          <t>Share-based Payment</t>
        </is>
      </c>
      <c r="B129" s="8" t="inlineStr">
        <is>
          <t>以股份為基礎的付款</t>
        </is>
      </c>
      <c r="C129" s="8" t="inlineStr">
        <is>
          <t>medium</t>
        </is>
      </c>
      <c r="D129" s="11" t="inlineStr">
        <is>
          <t>share-based payment</t>
        </is>
      </c>
      <c r="E129" s="11" t="inlineStr">
        <is>
          <t>PDF p.151</t>
        </is>
      </c>
      <c r="F129" s="11" t="inlineStr">
        <is>
          <t>Retirement benefit schemes contribution 退休福利計劃供款（不包括董事及 (excluding directors’ and chief executive’s 主要行政人員酬金） emoluments) 1,605 650 Share-based payment expense (excluding 以股份為基礎之付款開支（不包括 directors’ and chief executive’s portion) 董事及主要行政人員之部分） 4,805 – Total staff costs 員工成本總額 39,760 10,072 Costs of properties sold 已出售物業成本 498,858 219,761 Auditors’ remuneration 核數師酬金 – Audit services －審核服務 1,650 1,600 – Non-audit services －非審核服務 – – Advertising and promotion expenses 廣告宣傳費 32,759 43,172 Depreciation of property, plant and equipm</t>
        </is>
      </c>
    </row>
    <row r="130">
      <c r="A130" s="8" t="inlineStr">
        <is>
          <t>Share-based Payment</t>
        </is>
      </c>
      <c r="B130" s="8" t="inlineStr">
        <is>
          <t>以股份為基礎的付款</t>
        </is>
      </c>
      <c r="C130" s="8" t="inlineStr">
        <is>
          <t>medium</t>
        </is>
      </c>
      <c r="D130" s="11" t="inlineStr">
        <is>
          <t>share-based payment</t>
        </is>
      </c>
      <c r="E130" s="11" t="inlineStr">
        <is>
          <t>PDF p.154</t>
        </is>
      </c>
      <c r="F130" s="11" t="inlineStr">
        <is>
          <t>as 名（二零二五年：三名）最高薪人士之酬 follows: 金如下： 2026 2025 二零二六年 二零二五年 HK$’000 HK$’000 港幣千元 港幣千元 Salaries and other benefits 薪金及其他福利 1,950 3,056 Share-based payment expense 以股份為基礎之付款開支 860 – Retirement benefits scheme contribution 退休福利計劃供款 24 68 2,834 3,124 153 鼎億集團投資有限公司 二零二六年年報</t>
        </is>
      </c>
    </row>
    <row r="131">
      <c r="A131" s="8" t="inlineStr">
        <is>
          <t>Share-based Payment</t>
        </is>
      </c>
      <c r="B131" s="8" t="inlineStr">
        <is>
          <t>以股份為基礎的付款</t>
        </is>
      </c>
      <c r="C131" s="8" t="inlineStr">
        <is>
          <t>medium</t>
        </is>
      </c>
      <c r="D131" s="11" t="inlineStr">
        <is>
          <t>share option</t>
        </is>
      </c>
      <c r="E131" s="11" t="inlineStr">
        <is>
          <t>PDF p.158</t>
        </is>
      </c>
      <c r="F131" s="11" t="inlineStr">
        <is>
          <t>計算每股基本虧損之普通股加權 for the purpose of basic loss per share 平均數 850,678 810,665 Effect of dilutive potential ordinary shares: 潛在攤薄普通股之影響： Share options (Note) 購股權（附註） – – Convertible bonds (Note) 可換股債券（附註） – – Loss for the purpose of diluted loss per share 計算每股攤薄虧損之普通股加權平均 數 850,678 810,665 Note: The calculation of diluted loss per share for the year ended 31 March 附註： 截至二零二六年三月三十一日止年度，每股攤 2026 had not taken into consideration the assumed exercise of the 薄虧損之計算並無假設本公司尚未行使之購股 Company’s outstanding share options and the conversion of</t>
        </is>
      </c>
    </row>
    <row r="132">
      <c r="A132" s="8" t="inlineStr">
        <is>
          <t>Share-based Payment</t>
        </is>
      </c>
      <c r="B132" s="8" t="inlineStr">
        <is>
          <t>以股份為基礎的付款</t>
        </is>
      </c>
      <c r="C132" s="8" t="inlineStr">
        <is>
          <t>medium</t>
        </is>
      </c>
      <c r="D132" s="11" t="inlineStr">
        <is>
          <t>share-based payment</t>
        </is>
      </c>
      <c r="E132" s="11" t="inlineStr">
        <is>
          <t>PDF p.197</t>
        </is>
      </c>
      <c r="F132" s="11" t="inlineStr">
        <is>
          <t>Notes to the Consolidated Financial Statements 合併財務報表附註 For the year ended 31 March 2026 截至二零二六年三月三十一日止年度 37. SHARE-BASED PAYMENTS EXPENSES 37. 以股份為基礎之付款開支 New Share Option Scheme 新購股權計劃 The Company passed an ordinary resolution at the special general 本公司於二零二三年十一月三日舉行的股東 meeting held on 3 November 2023 approving the adoption of the 特別大會上通過普通決議案，以批准採納新 New Share Option Scheme which shall be valid and effective for a 購股權計劃，該計劃自採納日期起10年內有 period of 10 years from the adoption date. 效。 The purpose of the New S</t>
        </is>
      </c>
    </row>
    <row r="133">
      <c r="A133" s="8" t="inlineStr">
        <is>
          <t>Share-based Payment</t>
        </is>
      </c>
      <c r="B133" s="8" t="inlineStr">
        <is>
          <t>以股份為基礎的付款</t>
        </is>
      </c>
      <c r="C133" s="8" t="inlineStr">
        <is>
          <t>medium</t>
        </is>
      </c>
      <c r="D133" s="11" t="inlineStr">
        <is>
          <t>share-based payment</t>
        </is>
      </c>
      <c r="E133" s="11" t="inlineStr">
        <is>
          <t>PDF p.198</t>
        </is>
      </c>
      <c r="F133" s="11" t="inlineStr">
        <is>
          <t>Notes to the Consolidated Financial Statements 合併財務報表附註 For the year ended 31 March 2026 截至二零二六年三月三十一日止年度 37. SHARE-BASED PAYMENTS EXPENSES 37. 以股份為基礎之付款開支（續） (Continued) Old Share Option Scheme 舊購股權計劃 A share option scheme (the “Old Share Option Scheme”) was 股東根據二零一二年九月二十一日通過的決 adopted by the shareholders pursuant to a resolution passed 議案，採納了一項購股權計劃（「舊購股權計 on 21 September 2012 for the primary purpose of providing 劃」），其主要目的是向僱員、董事及其他選 incentives and rewards to its employees, the directors and other 定參與者提</t>
        </is>
      </c>
    </row>
    <row r="134">
      <c r="A134" s="8" t="inlineStr">
        <is>
          <t>Share-based Payment</t>
        </is>
      </c>
      <c r="B134" s="8" t="inlineStr">
        <is>
          <t>以股份為基礎的付款</t>
        </is>
      </c>
      <c r="C134" s="8" t="inlineStr">
        <is>
          <t>medium</t>
        </is>
      </c>
      <c r="D134" s="11" t="inlineStr">
        <is>
          <t>share-based payment</t>
        </is>
      </c>
      <c r="E134" s="11" t="inlineStr">
        <is>
          <t>PDF p.199</t>
        </is>
      </c>
      <c r="F134" s="11" t="inlineStr">
        <is>
          <t>Notes to the Consolidated Financial Statements 合併財務報表附註 For the year ended 31 March 2026 截至二零二六年三月三十一日止年度 37. SHARE-BASED PAYMENTS EXPENSES 37. 以股份為基礎之付款開支（續） (Continued) Old Share Option Scheme (Continued) 舊購股權計劃（續） The following table discloses movements of the Company’s share 下表披露於截至二零二六年三月三十一日止 options under the New Share Option Scheme held by directors 年度內董事及僱員於新購股權計劃下持有的 and employees during the year ended 31 March 2026: 本公司購股權變動情況： As at Granted Exercised Lapse/ As at 1 April during during Cancelle</t>
        </is>
      </c>
    </row>
    <row r="135">
      <c r="A135" s="8" t="inlineStr">
        <is>
          <t>Share-based Payment</t>
        </is>
      </c>
      <c r="B135" s="8" t="inlineStr">
        <is>
          <t>以股份為基礎的付款</t>
        </is>
      </c>
      <c r="C135" s="8" t="inlineStr">
        <is>
          <t>medium</t>
        </is>
      </c>
      <c r="D135" s="11" t="inlineStr">
        <is>
          <t>share-based payment</t>
        </is>
      </c>
      <c r="E135" s="11" t="inlineStr">
        <is>
          <t>PDF p.200</t>
        </is>
      </c>
      <c r="F135" s="11" t="inlineStr">
        <is>
          <t>Notes to the Consolidated Financial Statements 合併財務報表附註 For the year ended 31 March 2026 截至二零二六年三月三十一日止年度 37. SHARE-BASED PAYMENTS EXPENSES 37. 以股份為基礎之付款開支（續） (Continued) The estimated fair values of the options granted on 11 August 於二零二五年八月十一日授出的購股權估計 2025 are HK$8,742,000, which were recognised as share-based 公允值為港幣8,742,000元，已於截至二零 payment expense in profit or loss for the year ended 31 March 二六年三月三十一日止年度的損益內確認為 2026. 以股份為基礎之付款開支。 The significant inputs into the Binomial Model are as follows: 二項式模型的主要輸</t>
        </is>
      </c>
    </row>
    <row r="136">
      <c r="A136" s="8" t="inlineStr">
        <is>
          <t>Share-based Payment</t>
        </is>
      </c>
      <c r="B136" s="8" t="inlineStr">
        <is>
          <t>以股份為基礎的付款</t>
        </is>
      </c>
      <c r="C136" s="8" t="inlineStr">
        <is>
          <t>medium</t>
        </is>
      </c>
      <c r="D136" s="11" t="inlineStr">
        <is>
          <t>share-based payment</t>
        </is>
      </c>
      <c r="E136" s="11" t="inlineStr">
        <is>
          <t>PDF p.201</t>
        </is>
      </c>
      <c r="F136" s="11" t="inlineStr">
        <is>
          <t>Notes to the Consolidated Financial Statements 合併財務報表附註 For the year ended 31 March 2026 截至二零二六年三月三十一日止年度 37. SHARE-BASED PAYMENTS EXPENSES 37. 以股份為基礎之付款開支（續） (Continued) The following table discloses movements of the Company’s share 下表披露於截至二零二五年三月三十一日止 options under the Old Share Option Scheme held by employees 年度內僱員及董事於舊購股權計劃下持有的 and directors during the year ended 31 March 2025: 本公司購股權變動情況： As at Granted Exercised Lapse/ As at 1 April during during Cancelled 31 March Grantees Date of grant Exercise pri</t>
        </is>
      </c>
    </row>
    <row r="137">
      <c r="A137" s="8" t="inlineStr">
        <is>
          <t>Share-based Payment</t>
        </is>
      </c>
      <c r="B137" s="8" t="inlineStr">
        <is>
          <t>以股份為基礎的付款</t>
        </is>
      </c>
      <c r="C137" s="8" t="inlineStr">
        <is>
          <t>medium</t>
        </is>
      </c>
      <c r="D137" s="11" t="inlineStr">
        <is>
          <t>share-based payment</t>
        </is>
      </c>
      <c r="E137" s="11" t="inlineStr">
        <is>
          <t>PDF p.204</t>
        </is>
      </c>
      <c r="F137" s="11" t="inlineStr">
        <is>
          <t>and total comprehensive expenses 年內虧損及全面開支總額 for the year – – – – – – (58,528) (58,528) Recognition of equity-settled 確認權益結算以股份為基礎之 share-based payments (Note 37) 付款（附註37） – – – 8,742 – – – 8,742 Issue of convertible bonds – 發行可換股債券—權益結算部分 equity-settled component (Note 32) （附註32） – – – – – 401,182 – 401,182 Deemed distribution from an ultimate 視作來自最終股東之分派 shareholder (Note 32) （附註32） – – – – (230,061) – – (230,061) As at 31 March 2026 於二零二六年三月三十一日 3,355,522 55,215 14 8,742 (1,025,482) 401,182 (2,912,593) (117,400) 203 鼎億集團投資有</t>
        </is>
      </c>
    </row>
    <row r="138">
      <c r="A138" s="8" t="inlineStr">
        <is>
          <t>Share-based Payment</t>
        </is>
      </c>
      <c r="B138" s="8" t="inlineStr">
        <is>
          <t>以股份為基礎的付款</t>
        </is>
      </c>
      <c r="C138" s="8" t="inlineStr">
        <is>
          <t>medium</t>
        </is>
      </c>
      <c r="D138" s="11" t="inlineStr">
        <is>
          <t>share-based payment</t>
        </is>
      </c>
      <c r="E138" s="11" t="inlineStr">
        <is>
          <t>PDF p.205</t>
        </is>
      </c>
      <c r="F138" s="11" t="inlineStr">
        <is>
          <t>(iv) 購股權儲備指本公司所授出而尚未行使的購股 options granted by the Company recognised in accordance with the 權的公允值，乃根據綜合財務報表附註4所載 accounting policy of share-based payments set out in Note 4 to the 以股份為基礎的付款的會計政策確認。 consolidated financial statements. (v) Other reserves represents: (v) 其他儲備指： (a) The change in the Group’s ownership interests in existing (a) 本集團於現有附屬公司之擁有權權益之 subsidiaries that do not result in loss of control over those 變動並無導致本集團對附屬公司失去控 subsidiaries; and 制權；及 (b) The recognition of deemed contribution from Mr. Li under merger (b)</t>
        </is>
      </c>
    </row>
    <row r="139">
      <c r="A139" s="8" t="inlineStr">
        <is>
          <t>Related Party Transactions</t>
        </is>
      </c>
      <c r="B139" s="8" t="inlineStr">
        <is>
          <t>關聯方交易</t>
        </is>
      </c>
      <c r="C139" s="8" t="inlineStr">
        <is>
          <t>low</t>
        </is>
      </c>
      <c r="D139" s="11" t="inlineStr">
        <is>
          <t>related party</t>
        </is>
      </c>
      <c r="E139" s="11" t="inlineStr">
        <is>
          <t>PDF p.78</t>
        </is>
      </c>
      <c r="F139" s="11" t="inlineStr">
        <is>
          <t>n, other 下終止之服務合約。 than statutory compensation. DIRECTORS’ INTERESTS IN CONTRACTS 董事於合約內之權益 Save as disclosed in the section headed “Related Party Transactions” as 除合併財務報表附註39所載「有關連人士之交易」 set out in Note 39 to the consolidated financial statements, no contracts 一節所披露者外，於本年底或於截至二零二六年三 of significance relating to the business of the Group to which the 月三十一日止年度內任何時間，本公司或其任何附 Company or any of its subsidiaries was a party and in which a Director 屬公司並無簽訂任何董事直接或間接擁有重大權益 had a material interest, whether directly or indirectly, subsist</t>
        </is>
      </c>
    </row>
    <row r="140">
      <c r="A140" s="8" t="inlineStr">
        <is>
          <t>Related Party Transactions</t>
        </is>
      </c>
      <c r="B140" s="8" t="inlineStr">
        <is>
          <t>關聯方交易</t>
        </is>
      </c>
      <c r="C140" s="8" t="inlineStr">
        <is>
          <t>low</t>
        </is>
      </c>
      <c r="D140" s="11" t="inlineStr">
        <is>
          <t>connected transaction</t>
        </is>
      </c>
      <c r="E140" s="11" t="inlineStr">
        <is>
          <t>PDF p.86</t>
        </is>
      </c>
      <c r="F140" s="11" t="inlineStr">
        <is>
          <t>4 有關截至二零二六年三月三十一日止年度所授出購股 2026, please refer to Note 37 to the consolidated financial statements for 權的公平值詳情，請參閱綜合財務報表附註37。 details. CONNECTED TRANSACTION 關連交易 On 31 July 2025, the Company entered into the subscription agreement 於二零二五年七月三十一日，本公司與李光煜先生 (“Subscription Agreement”) with Mr. Li Kwong Yuk (“Mr. Li”) (being （「李先生」） （為本公司控股股東）訂立認購協議（「認 a controlling shareholder of the Company), pursuant to which the 購協議」），據此，本公司有條件同意根據特別授權 Company conditionally agreed to issue, and Mr. Li conditionally agreed （將會向本公司獨立股東尋求）發行而李先生有條件 to</t>
        </is>
      </c>
    </row>
    <row r="141">
      <c r="A141" s="8" t="inlineStr">
        <is>
          <t>Related Party Transactions</t>
        </is>
      </c>
      <c r="B141" s="8" t="inlineStr">
        <is>
          <t>關聯方交易</t>
        </is>
      </c>
      <c r="C141" s="8" t="inlineStr">
        <is>
          <t>low</t>
        </is>
      </c>
      <c r="D141" s="11" t="inlineStr">
        <is>
          <t>related party</t>
        </is>
      </c>
      <c r="E141" s="11" t="inlineStr">
        <is>
          <t>PDF p.87</t>
        </is>
      </c>
      <c r="F141" s="11" t="inlineStr">
        <is>
          <t>期為二 19 September 2025 and 29 September 2025 and the circular of the 零二五年九月一日的通函。 Company to its shareholders dated 1 September 2025. RELATED PARTY TRANSACTIONS 有關連人士之交易 Details of the related party transactions undertaken in the normal course 於本集團日常業務過程中進行的有關連人士之交易 of business of the Group are set out in Note 39 to the consolidated 詳情載於合併財務報表附註39。除於上文「關連交 financial statements. Save as disclosed in the above section headed 易」一節所披露者外，概無有關連人士之交易構成 “CONNECTED TRANSACTION”, none of the related party transactions 上市規則項下須予披露的不獲豁免關連交易或</t>
        </is>
      </c>
    </row>
    <row r="142">
      <c r="A142" s="8" t="inlineStr">
        <is>
          <t>Related Party Transactions</t>
        </is>
      </c>
      <c r="B142" s="8" t="inlineStr">
        <is>
          <t>關聯方交易</t>
        </is>
      </c>
      <c r="C142" s="8" t="inlineStr">
        <is>
          <t>low</t>
        </is>
      </c>
      <c r="D142" s="11" t="inlineStr">
        <is>
          <t>related party</t>
        </is>
      </c>
      <c r="E142" s="11" t="inlineStr">
        <is>
          <t>PDF p.202</t>
        </is>
      </c>
      <c r="F142" s="11" t="inlineStr">
        <is>
          <t>00元（二零二五年：約港幣438,000 or loss and other comprehensive income was approximately 元）。 HK$1,307,000 (2025: approximately HK$438,000). 39. RELATED PARTY TRANSACTIONS 39. 有關連人士之交易 Such as disclosed in elsewhere of the consolidated financial 除合併財務報表其他地方所披露者外，本集 statement, the Group had the following significant transactions 團已與其有關連人士進行下列重大交易： with its related parties: Compensation of key management personnel 主要管理人員之酬金 The emoluments of the directors and other key management 年內董事及本集團其他主要管理人員之酬金 personnel of the Group during the year wer</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28"/>
  <sheetViews>
    <sheetView workbookViewId="0">
      <pane ySplit="26" topLeftCell="A27" activePane="bottomLeft" state="frozen"/>
      <selection pane="bottomLeft" activeCell="A1" sqref="A1"/>
    </sheetView>
  </sheetViews>
  <sheetFormatPr baseColWidth="8" defaultRowHeight="15"/>
  <cols>
    <col width="16" customWidth="1" min="1" max="1"/>
    <col width="40" customWidth="1" min="2" max="2"/>
  </cols>
  <sheetData>
    <row r="1">
      <c r="A1" s="1" t="inlineStr">
        <is>
          <t>需要人手處理的項目</t>
        </is>
      </c>
    </row>
    <row r="2">
      <c r="A2" s="2" t="inlineStr">
        <is>
          <t>工具沒抓到的東西會列在這裡,不會靜靜消失 —— 請人手翻閱原文補入。</t>
        </is>
      </c>
    </row>
    <row r="4">
      <c r="A4" s="5" t="inlineStr">
        <is>
          <t>一、未擷取到的財務科目</t>
        </is>
      </c>
    </row>
    <row r="5">
      <c r="A5" s="2" t="inlineStr">
        <is>
          <t>可能原因:該公司未單獨揭露此科目 / 用了工具不認得的措辭 / 位於跨頁或附註中。措辭問題可在 config.py 補上別名。</t>
        </is>
      </c>
    </row>
    <row r="7">
      <c r="A7" s="7" t="inlineStr">
        <is>
          <t>報表 Statement</t>
        </is>
      </c>
      <c r="B7" s="7" t="inlineStr">
        <is>
          <t>未擷取科目 Missing item</t>
        </is>
      </c>
    </row>
    <row r="8">
      <c r="A8" s="8" t="inlineStr">
        <is>
          <t>Income Statement</t>
        </is>
      </c>
      <c r="B8" s="8" t="inlineStr">
        <is>
          <t>Operating Profit</t>
        </is>
      </c>
    </row>
    <row r="9">
      <c r="A9" s="8" t="inlineStr">
        <is>
          <t>Income Statement</t>
        </is>
      </c>
      <c r="B9" s="8" t="inlineStr">
        <is>
          <t>Income Tax</t>
        </is>
      </c>
    </row>
    <row r="10">
      <c r="A10" s="8" t="inlineStr">
        <is>
          <t>Income Statement</t>
        </is>
      </c>
      <c r="B10" s="8" t="inlineStr">
        <is>
          <t>R&amp;D Expenses</t>
        </is>
      </c>
    </row>
    <row r="11">
      <c r="A11" s="8" t="inlineStr">
        <is>
          <t>Income Statement</t>
        </is>
      </c>
      <c r="B11" s="8" t="inlineStr">
        <is>
          <t>Depreciation</t>
        </is>
      </c>
    </row>
    <row r="12">
      <c r="A12" s="8" t="inlineStr">
        <is>
          <t>Income Statement</t>
        </is>
      </c>
      <c r="B12" s="8" t="inlineStr">
        <is>
          <t>Amortisation</t>
        </is>
      </c>
    </row>
    <row r="13">
      <c r="A13" s="8" t="inlineStr">
        <is>
          <t>Balance Sheet</t>
        </is>
      </c>
      <c r="B13" s="8" t="inlineStr">
        <is>
          <t>Total Assets</t>
        </is>
      </c>
    </row>
    <row r="14">
      <c r="A14" s="8" t="inlineStr">
        <is>
          <t>Balance Sheet</t>
        </is>
      </c>
      <c r="B14" s="8" t="inlineStr">
        <is>
          <t>Intangible Assets</t>
        </is>
      </c>
    </row>
    <row r="15">
      <c r="A15" s="8" t="inlineStr">
        <is>
          <t>Balance Sheet</t>
        </is>
      </c>
      <c r="B15" s="8" t="inlineStr">
        <is>
          <t>Total Liabilities</t>
        </is>
      </c>
    </row>
    <row r="16">
      <c r="A16" s="8" t="inlineStr">
        <is>
          <t>Balance Sheet</t>
        </is>
      </c>
      <c r="B16" s="8" t="inlineStr">
        <is>
          <t>Borrowings</t>
        </is>
      </c>
    </row>
    <row r="17">
      <c r="A17" s="8" t="inlineStr">
        <is>
          <t>Cash Flow</t>
        </is>
      </c>
      <c r="B17" s="8" t="inlineStr">
        <is>
          <t>Operating Cash Flow</t>
        </is>
      </c>
    </row>
    <row r="18">
      <c r="A18" s="8" t="inlineStr">
        <is>
          <t>Cash Flow</t>
        </is>
      </c>
      <c r="B18" s="8" t="inlineStr">
        <is>
          <t>Investing Cash Flow</t>
        </is>
      </c>
    </row>
    <row r="19">
      <c r="A19" s="8" t="inlineStr">
        <is>
          <t>Cash Flow</t>
        </is>
      </c>
      <c r="B19" s="8" t="inlineStr">
        <is>
          <t>Financing Cash Flow</t>
        </is>
      </c>
    </row>
    <row r="20">
      <c r="A20" s="8" t="inlineStr">
        <is>
          <t>Cash Flow</t>
        </is>
      </c>
      <c r="B20" s="8" t="inlineStr">
        <is>
          <t>Capital Expenditure</t>
        </is>
      </c>
    </row>
    <row r="23">
      <c r="A23" s="5" t="inlineStr">
        <is>
          <t>二、文字量過低的頁面(疑似掃描頁)</t>
        </is>
      </c>
    </row>
    <row r="24">
      <c r="A24" s="2" t="inlineStr">
        <is>
          <t>這些頁面幾乎抓不到文字,通常是掃描件或純圖表,建議人手翻閱或另行 OCR。</t>
        </is>
      </c>
    </row>
    <row r="26">
      <c r="A26" s="7" t="inlineStr">
        <is>
          <t>PDF 頁碼</t>
        </is>
      </c>
      <c r="B26" s="7" t="inlineStr">
        <is>
          <t>狀態</t>
        </is>
      </c>
    </row>
    <row r="27">
      <c r="A27" s="8" t="n">
        <v>1</v>
      </c>
      <c r="B27" s="8" t="inlineStr">
        <is>
          <t>文字量過低 — 可能為掃描頁/圖表頁</t>
        </is>
      </c>
    </row>
    <row r="28">
      <c r="A28" s="8" t="n">
        <v>214</v>
      </c>
      <c r="B28" s="8" t="inlineStr">
        <is>
          <t>文字量過低 — 可能為掃描頁/圖表頁</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2026-08-30T14:16:37Z</dcterms:created>
  <dcterms:modified xsi:type="dcterms:W3CDTF">2026-08-30T14:16:37Z</dcterms:modified>
</cp:coreProperties>
</file>
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Extracts 主題段落" sheetId="5" state="visible" r:id="rId5"/>
    <sheet name="Review Queue 待覆核"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7">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b val="1"/>
      <color rgb="00FFFF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2" borderId="0" applyAlignment="1" pivotButton="0" quotePrefix="0" xfId="0">
      <alignment vertical="center" wrapText="1"/>
    </xf>
    <xf numFmtId="164" fontId="4" fillId="0" borderId="0" pivotButton="0" quotePrefix="0" xfId="0"/>
    <xf numFmtId="2" fontId="4" fillId="0" borderId="0" pivotButton="0" quotePrefix="0" xfId="0"/>
    <xf numFmtId="0" fontId="4" fillId="0" borderId="1" applyAlignment="1" pivotButton="0" quotePrefix="0" xfId="0">
      <alignment vertical="top"/>
    </xf>
    <xf numFmtId="0" fontId="4" fillId="3" borderId="1" applyAlignment="1" pivotButton="0" quotePrefix="0" xfId="0">
      <alignment vertical="top"/>
    </xf>
    <xf numFmtId="0"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03081_VALUEGOLD_ETF_20260731.pdf</t>
        </is>
      </c>
    </row>
    <row r="5">
      <c r="A5" s="3" t="inlineStr">
        <is>
          <t>產生時間 Generated</t>
        </is>
      </c>
      <c r="B5" s="4" t="inlineStr">
        <is>
          <t>2026-08-30 22:16</t>
        </is>
      </c>
    </row>
    <row r="6">
      <c r="A6" s="4" t="inlineStr"/>
      <c r="B6" s="4" t="inlineStr"/>
    </row>
    <row r="7">
      <c r="A7" s="3" t="inlineStr">
        <is>
          <t>總頁數 Total pages</t>
        </is>
      </c>
      <c r="B7" s="4" t="n">
        <v>46</v>
      </c>
    </row>
    <row r="8">
      <c r="A8" s="3" t="inlineStr">
        <is>
          <t>已擷取字元 Characters extracted</t>
        </is>
      </c>
      <c r="B8" s="4" t="n">
        <v>72266</v>
      </c>
    </row>
    <row r="9">
      <c r="A9" s="3" t="inlineStr">
        <is>
          <t>含表格頁數 Pages with tables</t>
        </is>
      </c>
      <c r="B9" s="4" t="n">
        <v>0</v>
      </c>
    </row>
    <row r="10">
      <c r="A10" s="3" t="inlineStr">
        <is>
          <t>需人手/OCR 頁數 Pages needing OCR</t>
        </is>
      </c>
      <c r="B10" s="4" t="n">
        <v>0</v>
      </c>
    </row>
    <row r="11">
      <c r="A11" s="4" t="inlineStr"/>
      <c r="B11" s="4" t="inlineStr"/>
    </row>
    <row r="12">
      <c r="A12" s="3" t="inlineStr">
        <is>
          <t>估值參數擷取筆數 Valuation parameters</t>
        </is>
      </c>
      <c r="B12" s="4" t="n">
        <v>0</v>
      </c>
    </row>
    <row r="13">
      <c r="A13" s="3" t="inlineStr">
        <is>
          <t>財務科目擷取筆數 Financial line items</t>
        </is>
      </c>
      <c r="B13" s="4" t="n">
        <v>0</v>
      </c>
    </row>
    <row r="14">
      <c r="A14" s="3" t="inlineStr">
        <is>
          <t>主題段落擷取筆數 Topic extracts</t>
        </is>
      </c>
      <c r="B14" s="4" t="n">
        <v>10</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4" t="inlineStr">
        <is>
          <t>擷取到的科目不足,無法進行交叉驗證</t>
        </is>
      </c>
    </row>
    <row r="21">
      <c r="A21" s="5" t="inlineStr">
        <is>
          <t>方法論 Methodology</t>
        </is>
      </c>
    </row>
    <row r="22">
      <c r="A22" s="4" t="inlineStr">
        <is>
          <t>1. 逐頁擷取文字,全程保留 PDF 頁碼與年報印刷頁碼(可追溯性)。</t>
        </is>
      </c>
    </row>
    <row r="23">
      <c r="A23" s="4" t="inlineStr">
        <is>
          <t>2. 規則層(正則/關鍵字)先把全份文件縮減為少數相關頁面 —— 解決「文件太大」。</t>
        </is>
      </c>
    </row>
    <row r="24">
      <c r="A24" s="4" t="inlineStr">
        <is>
          <t>3. 數字由正則精確擷取並做合理性檢查,不由語言模型生成 —— 解決「準確度」。</t>
        </is>
      </c>
    </row>
    <row r="25">
      <c r="A25" s="4" t="inlineStr">
        <is>
          <t>4. AI 僅在縮減後的頁面上做語意判斷,且輸出頁碼須通過驗證才保留。</t>
        </is>
      </c>
    </row>
    <row r="26">
      <c r="A26" s="4" t="inlineStr">
        <is>
          <t>5. 所有結果附來源頁碼與原文行,供估值師覆核。信心度為 Low 者建議人手確認。</t>
        </is>
      </c>
    </row>
    <row r="27">
      <c r="A27"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6" t="inlineStr">
        <is>
          <t>參數 Parameter</t>
        </is>
      </c>
      <c r="B4" s="6" t="inlineStr">
        <is>
          <t>中文</t>
        </is>
      </c>
      <c r="C4" s="6" t="inlineStr">
        <is>
          <t>下限 Low (%)</t>
        </is>
      </c>
      <c r="D4" s="6" t="inlineStr">
        <is>
          <t>上限 High (%)</t>
        </is>
      </c>
      <c r="E4" s="6" t="inlineStr">
        <is>
          <t>原文數值</t>
        </is>
      </c>
      <c r="F4" s="6" t="inlineStr">
        <is>
          <t>信心度</t>
        </is>
      </c>
      <c r="G4" s="6" t="inlineStr">
        <is>
          <t>來源頁 Source Page</t>
        </is>
      </c>
      <c r="H4" s="6" t="inlineStr">
        <is>
          <t>上下文 Context</t>
        </is>
      </c>
    </row>
    <row r="5"/>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t>
        </is>
      </c>
    </row>
    <row r="4">
      <c r="A4" s="6" t="inlineStr">
        <is>
          <t>報表 Statement</t>
        </is>
      </c>
      <c r="B4" s="6" t="inlineStr">
        <is>
          <t>科目 Item</t>
        </is>
      </c>
      <c r="C4" s="6" t="inlineStr">
        <is>
          <t>本年 Current</t>
        </is>
      </c>
      <c r="D4" s="6" t="inlineStr">
        <is>
          <t>上年 Prior</t>
        </is>
      </c>
      <c r="E4" s="6" t="inlineStr">
        <is>
          <t>變動 YoY %</t>
        </is>
      </c>
      <c r="F4" s="6" t="inlineStr">
        <is>
          <t>來源頁</t>
        </is>
      </c>
      <c r="G4" s="6" t="inlineStr">
        <is>
          <t>原文行 Source line</t>
        </is>
      </c>
    </row>
    <row r="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6" t="inlineStr">
        <is>
          <t>比率 Ratio</t>
        </is>
      </c>
      <c r="B4" s="6" t="inlineStr">
        <is>
          <t>本年 Current</t>
        </is>
      </c>
      <c r="C4" s="6" t="inlineStr">
        <is>
          <t>上年 Prior</t>
        </is>
      </c>
      <c r="D4" s="6" t="inlineStr">
        <is>
          <t>說明</t>
        </is>
      </c>
    </row>
    <row r="5">
      <c r="A5" s="4" t="inlineStr">
        <is>
          <t>Gross Margin 毛利率</t>
        </is>
      </c>
      <c r="B5" s="7" t="str">
        <f>IF(ISERROR(INDEX('Financials 財務數據'!$C$5:$C$5,MATCH("Gross Profit",'Financials 財務數據'!$B$5:$B$5,0))/INDEX('Financials 財務數據'!$C$5:$C$5,MATCH("Revenue",'Financials 財務數據'!$B$5:$B$5,0))),"n/a",INDEX('Financials 財務數據'!$C$5:$C$5,MATCH("Gross Profit",'Financials 財務數據'!$B$5:$B$5,0))/INDEX('Financials 財務數據'!$C$5:$C$5,MATCH("Revenue",'Financials 財務數據'!$B$5:$B$5,0)))</f>
        <v>n/a</v>
      </c>
      <c r="C5" s="7" t="str">
        <f>IF(ISERROR(INDEX('Financials 財務數據'!$D$5:$D$5,MATCH("Gross Profit",'Financials 財務數據'!$B$5:$B$5,0))/INDEX('Financials 財務數據'!$D$5:$D$5,MATCH("Revenue",'Financials 財務數據'!$B$5:$B$5,0))),"n/a",INDEX('Financials 財務數據'!$D$5:$D$5,MATCH("Gross Profit",'Financials 財務數據'!$B$5:$B$5,0))/INDEX('Financials 財務數據'!$D$5:$D$5,MATCH("Revenue",'Financials 財務數據'!$B$5:$B$5,0)))</f>
        <v>n/a</v>
      </c>
      <c r="D5" s="2" t="inlineStr">
        <is>
          <t>毛利 ÷ 收入</t>
        </is>
      </c>
    </row>
    <row r="6">
      <c r="A6" s="4" t="inlineStr">
        <is>
          <t>Net Margin 淨利率</t>
        </is>
      </c>
      <c r="B6" s="7" t="str">
        <f>IF(ISERROR(INDEX('Financials 財務數據'!$C$5:$C$5,MATCH("Profit for the Year",'Financials 財務數據'!$B$5:$B$5,0))/INDEX('Financials 財務數據'!$C$5:$C$5,MATCH("Revenue",'Financials 財務數據'!$B$5:$B$5,0))),"n/a",INDEX('Financials 財務數據'!$C$5:$C$5,MATCH("Profit for the Year",'Financials 財務數據'!$B$5:$B$5,0))/INDEX('Financials 財務數據'!$C$5:$C$5,MATCH("Revenue",'Financials 財務數據'!$B$5:$B$5,0)))</f>
        <v>n/a</v>
      </c>
      <c r="C6" s="7" t="str">
        <f>IF(ISERROR(INDEX('Financials 財務數據'!$D$5:$D$5,MATCH("Profit for the Year",'Financials 財務數據'!$B$5:$B$5,0))/INDEX('Financials 財務數據'!$D$5:$D$5,MATCH("Revenue",'Financials 財務數據'!$B$5:$B$5,0))),"n/a",INDEX('Financials 財務數據'!$D$5:$D$5,MATCH("Profit for the Year",'Financials 財務數據'!$B$5:$B$5,0))/INDEX('Financials 財務數據'!$D$5:$D$5,MATCH("Revenue",'Financials 財務數據'!$B$5:$B$5,0)))</f>
        <v>n/a</v>
      </c>
      <c r="D6" s="2" t="inlineStr">
        <is>
          <t>年內溢利 ÷ 收入</t>
        </is>
      </c>
    </row>
    <row r="7">
      <c r="A7" s="4" t="inlineStr">
        <is>
          <t>Current Ratio 流動比率</t>
        </is>
      </c>
      <c r="B7" s="8" t="str">
        <f>IF(ISERROR(INDEX('Financials 財務數據'!$C$5:$C$5,MATCH("Total Current Assets",'Financials 財務數據'!$B$5:$B$5,0))/INDEX('Financials 財務數據'!$C$5:$C$5,MATCH("Total Current Liabilities",'Financials 財務數據'!$B$5:$B$5,0))),"n/a",INDEX('Financials 財務數據'!$C$5:$C$5,MATCH("Total Current Assets",'Financials 財務數據'!$B$5:$B$5,0))/INDEX('Financials 財務數據'!$C$5:$C$5,MATCH("Total Current Liabilities",'Financials 財務數據'!$B$5:$B$5,0)))</f>
        <v>n/a</v>
      </c>
      <c r="C7" s="8" t="str">
        <f>IF(ISERROR(INDEX('Financials 財務數據'!$D$5:$D$5,MATCH("Total Current Assets",'Financials 財務數據'!$B$5:$B$5,0))/INDEX('Financials 財務數據'!$D$5:$D$5,MATCH("Total Current Liabilities",'Financials 財務數據'!$B$5:$B$5,0))),"n/a",INDEX('Financials 財務數據'!$D$5:$D$5,MATCH("Total Current Assets",'Financials 財務數據'!$B$5:$B$5,0))/INDEX('Financials 財務數據'!$D$5:$D$5,MATCH("Total Current Liabilities",'Financials 財務數據'!$B$5:$B$5,0)))</f>
        <v>n/a</v>
      </c>
      <c r="D7" s="2" t="inlineStr">
        <is>
          <t>流動資產 ÷ 流動負債</t>
        </is>
      </c>
    </row>
    <row r="8">
      <c r="A8" s="4" t="inlineStr">
        <is>
          <t>Debt / Equity 負債權益比</t>
        </is>
      </c>
      <c r="B8" s="8" t="str">
        <f>IF(ISERROR(INDEX('Financials 財務數據'!$C$5:$C$5,MATCH("Total Liabilities",'Financials 財務數據'!$B$5:$B$5,0))/INDEX('Financials 財務數據'!$C$5:$C$5,MATCH("Total Equity",'Financials 財務數據'!$B$5:$B$5,0))),"n/a",INDEX('Financials 財務數據'!$C$5:$C$5,MATCH("Total Liabilities",'Financials 財務數據'!$B$5:$B$5,0))/INDEX('Financials 財務數據'!$C$5:$C$5,MATCH("Total Equity",'Financials 財務數據'!$B$5:$B$5,0)))</f>
        <v>n/a</v>
      </c>
      <c r="C8" s="8" t="str">
        <f>IF(ISERROR(INDEX('Financials 財務數據'!$D$5:$D$5,MATCH("Total Liabilities",'Financials 財務數據'!$B$5:$B$5,0))/INDEX('Financials 財務數據'!$D$5:$D$5,MATCH("Total Equity",'Financials 財務數據'!$B$5:$B$5,0))),"n/a",INDEX('Financials 財務數據'!$D$5:$D$5,MATCH("Total Liabilities",'Financials 財務數據'!$B$5:$B$5,0))/INDEX('Financials 財務數據'!$D$5:$D$5,MATCH("Total Equity",'Financials 財務數據'!$B$5:$B$5,0)))</f>
        <v>n/a</v>
      </c>
      <c r="D8" s="2" t="inlineStr">
        <is>
          <t>總負債 ÷ 總權益</t>
        </is>
      </c>
    </row>
    <row r="9">
      <c r="A9" s="4" t="inlineStr">
        <is>
          <t>Goodwill / Total Assets</t>
        </is>
      </c>
      <c r="B9" s="7" t="str">
        <f>IF(ISERROR(INDEX('Financials 財務數據'!$C$5:$C$5,MATCH("Goodwill",'Financials 財務數據'!$B$5:$B$5,0))/INDEX('Financials 財務數據'!$C$5:$C$5,MATCH("Total Assets",'Financials 財務數據'!$B$5:$B$5,0))),"n/a",INDEX('Financials 財務數據'!$C$5:$C$5,MATCH("Goodwill",'Financials 財務數據'!$B$5:$B$5,0))/INDEX('Financials 財務數據'!$C$5:$C$5,MATCH("Total Assets",'Financials 財務數據'!$B$5:$B$5,0)))</f>
        <v>n/a</v>
      </c>
      <c r="C9" s="7" t="str">
        <f>IF(ISERROR(INDEX('Financials 財務數據'!$D$5:$D$5,MATCH("Goodwill",'Financials 財務數據'!$B$5:$B$5,0))/INDEX('Financials 財務數據'!$D$5:$D$5,MATCH("Total Assets",'Financials 財務數據'!$B$5:$B$5,0))),"n/a",INDEX('Financials 財務數據'!$D$5:$D$5,MATCH("Goodwill",'Financials 財務數據'!$B$5:$B$5,0))/INDEX('Financials 財務數據'!$D$5:$D$5,MATCH("Total Assets",'Financials 財務數據'!$B$5:$B$5,0)))</f>
        <v>n/a</v>
      </c>
      <c r="D9" s="2" t="inlineStr">
        <is>
          <t>商譽佔總資產比重 — 減值風險指標</t>
        </is>
      </c>
    </row>
    <row r="10">
      <c r="A10" s="4" t="inlineStr">
        <is>
          <t>Intangibles / Total Assets</t>
        </is>
      </c>
      <c r="B10" s="7" t="str">
        <f>IF(ISERROR(INDEX('Financials 財務數據'!$C$5:$C$5,MATCH("Intangible Assets",'Financials 財務數據'!$B$5:$B$5,0))/INDEX('Financials 財務數據'!$C$5:$C$5,MATCH("Total Assets",'Financials 財務數據'!$B$5:$B$5,0))),"n/a",INDEX('Financials 財務數據'!$C$5:$C$5,MATCH("Intangible Assets",'Financials 財務數據'!$B$5:$B$5,0))/INDEX('Financials 財務數據'!$C$5:$C$5,MATCH("Total Assets",'Financials 財務數據'!$B$5:$B$5,0)))</f>
        <v>n/a</v>
      </c>
      <c r="C10" s="7" t="str">
        <f>IF(ISERROR(INDEX('Financials 財務數據'!$D$5:$D$5,MATCH("Intangible Assets",'Financials 財務數據'!$B$5:$B$5,0))/INDEX('Financials 財務數據'!$D$5:$D$5,MATCH("Total Assets",'Financials 財務數據'!$B$5:$B$5,0))),"n/a",INDEX('Financials 財務數據'!$D$5:$D$5,MATCH("Intangible Assets",'Financials 財務數據'!$B$5:$B$5,0))/INDEX('Financials 財務數據'!$D$5:$D$5,MATCH("Total Assets",'Financials 財務數據'!$B$5:$B$5,0)))</f>
        <v>n/a</v>
      </c>
      <c r="D10" s="2" t="inlineStr">
        <is>
          <t>無形資產佔比</t>
        </is>
      </c>
    </row>
    <row r="11">
      <c r="A11" s="4" t="inlineStr">
        <is>
          <t>ROE 股本回報率</t>
        </is>
      </c>
      <c r="B11" s="7" t="str">
        <f>IF(ISERROR(INDEX('Financials 財務數據'!$C$5:$C$5,MATCH("Profit for the Year",'Financials 財務數據'!$B$5:$B$5,0))/INDEX('Financials 財務數據'!$C$5:$C$5,MATCH("Total Equity",'Financials 財務數據'!$B$5:$B$5,0))),"n/a",INDEX('Financials 財務數據'!$C$5:$C$5,MATCH("Profit for the Year",'Financials 財務數據'!$B$5:$B$5,0))/INDEX('Financials 財務數據'!$C$5:$C$5,MATCH("Total Equity",'Financials 財務數據'!$B$5:$B$5,0)))</f>
        <v>n/a</v>
      </c>
      <c r="C11" s="7" t="str">
        <f>IF(ISERROR(INDEX('Financials 財務數據'!$D$5:$D$5,MATCH("Profit for the Year",'Financials 財務數據'!$B$5:$B$5,0))/INDEX('Financials 財務數據'!$D$5:$D$5,MATCH("Total Equity",'Financials 財務數據'!$B$5:$B$5,0))),"n/a",INDEX('Financials 財務數據'!$D$5:$D$5,MATCH("Profit for the Year",'Financials 財務數據'!$B$5:$B$5,0))/INDEX('Financials 財務數據'!$D$5:$D$5,MATCH("Total Equity",'Financials 財務數據'!$B$5:$B$5,0)))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3"/>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6" t="inlineStr">
        <is>
          <t>主題 Topic</t>
        </is>
      </c>
      <c r="B3" s="6" t="inlineStr">
        <is>
          <t>中文</t>
        </is>
      </c>
      <c r="C3" s="6" t="inlineStr">
        <is>
          <t>優先</t>
        </is>
      </c>
      <c r="D3" s="6" t="inlineStr">
        <is>
          <t>命中詞</t>
        </is>
      </c>
      <c r="E3" s="6" t="inlineStr">
        <is>
          <t>來源頁</t>
        </is>
      </c>
      <c r="F3" s="6" t="inlineStr">
        <is>
          <t>段落 Snippet</t>
        </is>
      </c>
    </row>
    <row r="4">
      <c r="A4" s="9" t="inlineStr">
        <is>
          <t>Fair Value Measurement</t>
        </is>
      </c>
      <c r="B4" s="9" t="inlineStr">
        <is>
          <t>公允價值計量</t>
        </is>
      </c>
      <c r="C4" s="10" t="inlineStr">
        <is>
          <t>high</t>
        </is>
      </c>
      <c r="D4" s="11" t="inlineStr">
        <is>
          <t>unobservable input</t>
        </is>
      </c>
      <c r="E4" s="11" t="inlineStr">
        <is>
          <t>PDF p.22</t>
        </is>
      </c>
      <c r="F4" s="11" t="inlineStr">
        <is>
          <t>hich sufficient data are available to measure fair value, maximising the use of relevant observable inputs and minimising the use of unobservable inputs. 21 ANNUAL REPORT 2026 For the year ended 31 March 2026</t>
        </is>
      </c>
    </row>
    <row r="5">
      <c r="A5" s="9" t="inlineStr">
        <is>
          <t>Fair Value Measurement</t>
        </is>
      </c>
      <c r="B5" s="9" t="inlineStr">
        <is>
          <t>公允價值計量</t>
        </is>
      </c>
      <c r="C5" s="10" t="inlineStr">
        <is>
          <t>high</t>
        </is>
      </c>
      <c r="D5" s="11" t="inlineStr">
        <is>
          <t>fair value hierarchy</t>
        </is>
      </c>
      <c r="E5" s="11" t="inlineStr">
        <is>
          <t>PDF p.23</t>
        </is>
      </c>
      <c r="F5" s="11" t="inlineStr">
        <is>
          <t>ued) All assets and liabilities for which fair value is measured or disclosed in the financial statements are categorised within the fair value hierarchy, described as follows, based on the lowest level input that is significant to the fair value measurement as a whole: Level 1 – based on quoted prices (unadjusted) in active markets for identical assets or liabilities Level 2 – based on valuation techniques for which the lowest level input that is significant to the fair value measurement is observable, either directly or indir</t>
        </is>
      </c>
    </row>
    <row r="6">
      <c r="A6" s="9" t="inlineStr">
        <is>
          <t>Fair Value Measurement</t>
        </is>
      </c>
      <c r="B6" s="9" t="inlineStr">
        <is>
          <t>公允價值計量</t>
        </is>
      </c>
      <c r="C6" s="10" t="inlineStr">
        <is>
          <t>high</t>
        </is>
      </c>
      <c r="D6" s="11" t="inlineStr">
        <is>
          <t>fair value hierarchy</t>
        </is>
      </c>
      <c r="E6" s="11" t="inlineStr">
        <is>
          <t>PDF p.39</t>
        </is>
      </c>
      <c r="F6" s="11" t="inlineStr">
        <is>
          <t>lowing table presents the fair value of investments in commodities at the end of the reporting period across the three levels of the fair value hierarchy defined in IFRS 13, with the fair value of the investments categorised in its entirety based on the lowest level of input that is significant to that fair value measurement. The levels are defined in Note 2(d)(iv) to the financial statements. 2026 2025 HK$ HK$ Level 1 Investments in commodities – Gold bullion 4,609,796,847 3,099,655,962 During the years ended 31 March 2026 and</t>
        </is>
      </c>
    </row>
    <row r="7">
      <c r="A7" s="9" t="inlineStr">
        <is>
          <t>Impairment Testing</t>
        </is>
      </c>
      <c r="B7" s="9" t="inlineStr">
        <is>
          <t>減值測試</t>
        </is>
      </c>
      <c r="C7" s="10" t="inlineStr">
        <is>
          <t>high</t>
        </is>
      </c>
      <c r="D7" s="11" t="inlineStr">
        <is>
          <t>impairment loss</t>
        </is>
      </c>
      <c r="E7" s="11" t="inlineStr">
        <is>
          <t>PDF p.22</t>
        </is>
      </c>
      <c r="F7" s="11" t="inlineStr">
        <is>
          <t>s. Financial assets classified as loans and receivables are carried at amortised cost using the effective interest rate method, less impairment losses, if any. Financial liabilities are measured at amortised cost using the effective interest rate. (iv) Fair value measurement principles The Fund measures its investments at fair value at the end of each reporting period. Fair value is the price that would be received to sell an asset or paid to transfer a liability in an orderly transaction between market participants at the meas</t>
        </is>
      </c>
    </row>
    <row r="8">
      <c r="A8" s="9" t="inlineStr">
        <is>
          <t>ESG Data</t>
        </is>
      </c>
      <c r="B8" s="9" t="inlineStr">
        <is>
          <t>環境社會及管治數據</t>
        </is>
      </c>
      <c r="C8" s="9" t="inlineStr">
        <is>
          <t>medium</t>
        </is>
      </c>
      <c r="D8" s="11" t="inlineStr">
        <is>
          <t>ESG</t>
        </is>
      </c>
      <c r="E8" s="11" t="inlineStr">
        <is>
          <t>PDF p.30</t>
        </is>
      </c>
      <c r="F8" s="11" t="inlineStr">
        <is>
          <t>d) • Additional guidance on how the contractual cash flows for financial assets with environmental, social and corporate governance (ESG) and similar features should be assessed • Clarifications on what constitute ‘non-recourse features’ and what are the characteristics of contractually linked instruments • The introduction of disclosures for financial instruments with contingent features and additional disclosure requirements for equity instruments classified at fair value through other comprehensive income (OCI) The amendment</t>
        </is>
      </c>
    </row>
    <row r="9">
      <c r="A9" s="9" t="inlineStr">
        <is>
          <t>Segment Information</t>
        </is>
      </c>
      <c r="B9" s="9" t="inlineStr">
        <is>
          <t>分部資料</t>
        </is>
      </c>
      <c r="C9" s="9" t="inlineStr">
        <is>
          <t>medium</t>
        </is>
      </c>
      <c r="D9" s="11" t="inlineStr">
        <is>
          <t>operating segment</t>
        </is>
      </c>
      <c r="E9" s="11" t="inlineStr">
        <is>
          <t>PDF p.28</t>
        </is>
      </c>
      <c r="F9" s="11" t="inlineStr">
        <is>
          <t>of which it is a part, provides key management personnel services to the Fund or to the parent of the Fund. (q) Segment reporting An operating segment is a component of the Fund that engages in business activities from which it may earn revenues and incur expenses, including revenues and expenses that relate to transactions with any of the Fund’s other components, whose operating results are reviewed regularly by the chief operating decision maker to make decisions about resources allocated to the segment and assess its perform</t>
        </is>
      </c>
    </row>
    <row r="10">
      <c r="A10" s="9" t="inlineStr">
        <is>
          <t>Segment Information</t>
        </is>
      </c>
      <c r="B10" s="9" t="inlineStr">
        <is>
          <t>分部資料</t>
        </is>
      </c>
      <c r="C10" s="9" t="inlineStr">
        <is>
          <t>medium</t>
        </is>
      </c>
      <c r="D10" s="11" t="inlineStr">
        <is>
          <t>segment information</t>
        </is>
      </c>
      <c r="E10" s="11" t="inlineStr">
        <is>
          <t>PDF p.40</t>
        </is>
      </c>
      <c r="F10" s="11" t="inlineStr">
        <is>
          <t>ng segment which is investing in gold bullion with the objective as stated in the investment objective and policies of the Fund. The segment information provided to the Manager is the same as that disclosed in the statement of profit or loss and other comprehensive income and the statement of financial position. The Fund is established and domiciled in Hong Kong. The majority of the Fund’s investment income was derived from its investments domiciled in Hong Kong for the years ended 31 March 2026 and 2025. The Fund has no assets</t>
        </is>
      </c>
    </row>
    <row r="11">
      <c r="A11" s="9" t="inlineStr">
        <is>
          <t>Related Party Transactions</t>
        </is>
      </c>
      <c r="B11" s="9" t="inlineStr">
        <is>
          <t>關聯方交易</t>
        </is>
      </c>
      <c r="C11" s="9" t="inlineStr">
        <is>
          <t>low</t>
        </is>
      </c>
      <c r="D11" s="11" t="inlineStr">
        <is>
          <t>related party</t>
        </is>
      </c>
      <c r="E11" s="11" t="inlineStr">
        <is>
          <t>PDF p.36</t>
        </is>
      </c>
      <c r="F11" s="11" t="inlineStr">
        <is>
          <t>ial statements as the income of the Fund is exempt from taxation under Section 26A(1A) of the Hong Kong Inland Revenue Ordinance. 8. RELATED PARTY TRANSACTIONS/TRANSACTIONS WITH THE TRUSTEE, THE MANAGER AND THEIR CONNECTED PERSONS In addition to the transactions and balances disclosed elsewhere in these financial statements, the Fund entered into the following material related party transactions for the year. All such transactions were entered into in the ordinary course of business and on normal commercial terms. (a) Managemen</t>
        </is>
      </c>
    </row>
    <row r="12">
      <c r="A12" s="9" t="inlineStr">
        <is>
          <t>Related Party Transactions</t>
        </is>
      </c>
      <c r="B12" s="9" t="inlineStr">
        <is>
          <t>關聯方交易</t>
        </is>
      </c>
      <c r="C12" s="9" t="inlineStr">
        <is>
          <t>low</t>
        </is>
      </c>
      <c r="D12" s="11" t="inlineStr">
        <is>
          <t>related party</t>
        </is>
      </c>
      <c r="E12" s="11" t="inlineStr">
        <is>
          <t>PDF p.37</t>
        </is>
      </c>
      <c r="F12" s="11" t="inlineStr">
        <is>
          <t>VALUE GOLD ETF (A Hong Kong Unit Trust) NOTES TO THE FINANCIAL STATEMENTS (Continued) 31 MARCH 2026 8. RELATED PARTY TRANSACTIONS/TRANSACTIONS WITH THE TRUSTEE, THE MANAGER AND THEIR CONNECTED PERSONS (Continued) (a) Management fee (Continued) Single management fee arrangement (Continued) Fees and expenses under the single management fee arrangement include: 2026 2025 HK$ HK$ Trustee and registrar fees 2,463,789 2,628,425 Custodian fees 1,184,645 1,139,798 Auditor’s remuneration 148,625 132,000 Leg</t>
        </is>
      </c>
    </row>
    <row r="13">
      <c r="A13" s="9" t="inlineStr">
        <is>
          <t>Related Party Transactions</t>
        </is>
      </c>
      <c r="B13" s="9" t="inlineStr">
        <is>
          <t>關聯方交易</t>
        </is>
      </c>
      <c r="C13" s="9" t="inlineStr">
        <is>
          <t>low</t>
        </is>
      </c>
      <c r="D13" s="11" t="inlineStr">
        <is>
          <t>related party</t>
        </is>
      </c>
      <c r="E13" s="11" t="inlineStr">
        <is>
          <t>PDF p.38</t>
        </is>
      </c>
      <c r="F13" s="11" t="inlineStr">
        <is>
          <t>VALUE GOLD ETF (A Hong Kong Unit Trust) NOTES TO THE FINANCIAL STATEMENTS (Continued) 31 MARCH 2026 8. RELATED PARTY TRANSACTIONS/TRANSACTIONS WITH THE TRUSTEE, THE MANAGER AND THEIR CONNECTED PERSONS (Continued) (c) Manager’s and its related parties’ holdings in the Fund Units held by the related parties of the Manager and the Sub-Manager as at 31 March 2026 and 2025 are listed below: Number of units 2026 2025 Listed Class Value Partners Limitedii 8,669,570 7,197,500 Unlisted Class A HKD Acc Value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5"/>
  <sheetViews>
    <sheetView workbookViewId="0">
      <pane ySplit="24" topLeftCell="A25"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6" t="inlineStr">
        <is>
          <t>報表 Statement</t>
        </is>
      </c>
      <c r="B7" s="6" t="inlineStr">
        <is>
          <t>未擷取科目 Missing item</t>
        </is>
      </c>
    </row>
    <row r="8">
      <c r="A8" s="9" t="inlineStr">
        <is>
          <t>Income Statement</t>
        </is>
      </c>
      <c r="B8" s="9" t="inlineStr">
        <is>
          <t>Revenue</t>
        </is>
      </c>
    </row>
    <row r="9">
      <c r="A9" s="9" t="inlineStr">
        <is>
          <t>Income Statement</t>
        </is>
      </c>
      <c r="B9" s="9" t="inlineStr">
        <is>
          <t>Cost of Sales</t>
        </is>
      </c>
    </row>
    <row r="10">
      <c r="A10" s="9" t="inlineStr">
        <is>
          <t>Income Statement</t>
        </is>
      </c>
      <c r="B10" s="9" t="inlineStr">
        <is>
          <t>Gross Profit</t>
        </is>
      </c>
    </row>
    <row r="11">
      <c r="A11" s="9" t="inlineStr">
        <is>
          <t>Income Statement</t>
        </is>
      </c>
      <c r="B11" s="9" t="inlineStr">
        <is>
          <t>Operating Profit</t>
        </is>
      </c>
    </row>
    <row r="12">
      <c r="A12" s="9" t="inlineStr">
        <is>
          <t>Income Statement</t>
        </is>
      </c>
      <c r="B12" s="9" t="inlineStr">
        <is>
          <t>Finance Costs</t>
        </is>
      </c>
    </row>
    <row r="13">
      <c r="A13" s="9" t="inlineStr">
        <is>
          <t>Income Statement</t>
        </is>
      </c>
      <c r="B13" s="9" t="inlineStr">
        <is>
          <t>Profit Before Tax</t>
        </is>
      </c>
    </row>
    <row r="14">
      <c r="A14" s="9" t="inlineStr">
        <is>
          <t>Income Statement</t>
        </is>
      </c>
      <c r="B14" s="9" t="inlineStr">
        <is>
          <t>Income Tax</t>
        </is>
      </c>
    </row>
    <row r="15">
      <c r="A15" s="9" t="inlineStr">
        <is>
          <t>Income Statement</t>
        </is>
      </c>
      <c r="B15" s="9" t="inlineStr">
        <is>
          <t>Profit for the Year</t>
        </is>
      </c>
    </row>
    <row r="16">
      <c r="A16" s="9" t="inlineStr">
        <is>
          <t>Income Statement</t>
        </is>
      </c>
      <c r="B16" s="9" t="inlineStr">
        <is>
          <t>R&amp;D Expenses</t>
        </is>
      </c>
    </row>
    <row r="17">
      <c r="A17" s="9" t="inlineStr">
        <is>
          <t>Income Statement</t>
        </is>
      </c>
      <c r="B17" s="9" t="inlineStr">
        <is>
          <t>Depreciation</t>
        </is>
      </c>
    </row>
    <row r="18">
      <c r="A18" s="9" t="inlineStr">
        <is>
          <t>Income Statement</t>
        </is>
      </c>
      <c r="B18" s="9" t="inlineStr">
        <is>
          <t>Amortisation</t>
        </is>
      </c>
    </row>
    <row r="21">
      <c r="A21" s="5" t="inlineStr">
        <is>
          <t>二、文字量過低的頁面(疑似掃描頁)</t>
        </is>
      </c>
    </row>
    <row r="22">
      <c r="A22" s="2" t="inlineStr">
        <is>
          <t>這些頁面幾乎抓不到文字,通常是掃描件或純圖表,建議人手翻閱或另行 OCR。</t>
        </is>
      </c>
    </row>
    <row r="24">
      <c r="A24" s="6" t="inlineStr">
        <is>
          <t>PDF 頁碼</t>
        </is>
      </c>
      <c r="B24" s="6" t="inlineStr">
        <is>
          <t>狀態</t>
        </is>
      </c>
    </row>
    <row r="25">
      <c r="A25" s="4" t="inlineStr">
        <is>
          <t>無 — 全份文件均成功擷取文字</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2026-08-30T14:16:50Z</dcterms:created>
  <dcterms:modified xsi:type="dcterms:W3CDTF">2026-08-30T14:16:50Z</dcterms:modified>
</cp:coreProperties>
</file>
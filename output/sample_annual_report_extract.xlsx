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6"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sample_annual_report.pdf</t>
        </is>
      </c>
    </row>
    <row r="5">
      <c r="A5" s="3" t="inlineStr">
        <is>
          <t>產生時間 Generated</t>
        </is>
      </c>
      <c r="B5" s="4" t="inlineStr">
        <is>
          <t>2026-08-29 23:05</t>
        </is>
      </c>
    </row>
    <row r="6">
      <c r="A6" s="4" t="inlineStr"/>
      <c r="B6" s="4" t="inlineStr"/>
    </row>
    <row r="7">
      <c r="A7" s="3" t="inlineStr">
        <is>
          <t>總頁數 Total pages</t>
        </is>
      </c>
      <c r="B7" s="4" t="n">
        <v>12</v>
      </c>
    </row>
    <row r="8">
      <c r="A8" s="3" t="inlineStr">
        <is>
          <t>已擷取字元 Characters extracted</t>
        </is>
      </c>
      <c r="B8" s="4" t="n">
        <v>5873</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10</v>
      </c>
    </row>
    <row r="13">
      <c r="A13" s="3" t="inlineStr">
        <is>
          <t>財務科目擷取筆數 Financial line items</t>
        </is>
      </c>
      <c r="B13" s="4" t="n">
        <v>28</v>
      </c>
    </row>
    <row r="14">
      <c r="A14" s="3" t="inlineStr">
        <is>
          <t>主題段落擷取筆數 Topic extracts</t>
        </is>
      </c>
      <c r="B14" s="4" t="n">
        <v>14</v>
      </c>
    </row>
    <row r="15">
      <c r="A15" s="3" t="inlineStr">
        <is>
          <t>AI 複核筆數 AI-verified findings</t>
        </is>
      </c>
      <c r="B15" s="4" t="n">
        <v>0</v>
      </c>
    </row>
    <row r="17">
      <c r="A17" s="5" t="inlineStr">
        <is>
          <t>方法論 Methodology</t>
        </is>
      </c>
    </row>
    <row r="18">
      <c r="A18" s="4" t="inlineStr">
        <is>
          <t>1. 逐頁擷取文字,全程保留 PDF 頁碼與年報印刷頁碼(可追溯性)。</t>
        </is>
      </c>
    </row>
    <row r="19">
      <c r="A19" s="4" t="inlineStr">
        <is>
          <t>2. 規則層(正則/關鍵字)先把全份文件縮減為少數相關頁面 —— 解決「文件太大」。</t>
        </is>
      </c>
    </row>
    <row r="20">
      <c r="A20" s="4" t="inlineStr">
        <is>
          <t>3. 數字由正則精確擷取並做合理性檢查,不由語言模型生成 —— 解決「準確度」。</t>
        </is>
      </c>
    </row>
    <row r="21">
      <c r="A21" s="4" t="inlineStr">
        <is>
          <t>4. AI 僅在縮減後的頁面上做語意判斷,且輸出頁碼須通過驗證才保留。</t>
        </is>
      </c>
    </row>
    <row r="22">
      <c r="A22" s="4" t="inlineStr">
        <is>
          <t>5. 所有結果附來源頁碼,供估值師覆核。信心度為 Low 者建議人手確認。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c r="A5" s="7" t="inlineStr">
        <is>
          <t>Capitalisation Rate</t>
        </is>
      </c>
      <c r="B5" s="7" t="inlineStr">
        <is>
          <t>資本化率</t>
        </is>
      </c>
      <c r="C5" s="8" t="n">
        <v>3.8</v>
      </c>
      <c r="D5" s="9" t="n">
        <v>3.8</v>
      </c>
      <c r="E5" s="10" t="inlineStr">
        <is>
          <t>3.8%</t>
        </is>
      </c>
      <c r="F5" s="10" t="inlineStr">
        <is>
          <t>High</t>
        </is>
      </c>
      <c r="G5" s="10" t="inlineStr">
        <is>
          <t>PDF p.11 (印刷頁 64)</t>
        </is>
      </c>
      <c r="H5" s="10" t="inlineStr">
        <is>
          <t xml:space="preserve">e valuation was arrived at using the income capitalisation approach, adopting a capitalisation rate of 3.8% (2023: 4.0%) for the retail portion and a capitalisation rate of 4.5% for the office portion. The fair value measurement is categorised within Level 3 </t>
        </is>
      </c>
    </row>
    <row r="6">
      <c r="A6" s="7" t="inlineStr">
        <is>
          <t>Capitalisation Rate</t>
        </is>
      </c>
      <c r="B6" s="7" t="inlineStr">
        <is>
          <t>資本化率</t>
        </is>
      </c>
      <c r="C6" s="8" t="n">
        <v>4.5</v>
      </c>
      <c r="D6" s="9" t="n">
        <v>4.5</v>
      </c>
      <c r="E6" s="10" t="inlineStr">
        <is>
          <t>4.5%</t>
        </is>
      </c>
      <c r="F6" s="10" t="inlineStr">
        <is>
          <t>High</t>
        </is>
      </c>
      <c r="G6" s="10" t="inlineStr">
        <is>
          <t>PDF p.11 (印刷頁 64)</t>
        </is>
      </c>
      <c r="H6" s="10" t="inlineStr">
        <is>
          <t>dopting a capitalisation rate of 3.8% (2023: 4.0%) for the retail portion and a capitalisation rate of 4.5% for the office portion. The fair value measurement is categorised within Level 3 of the fair value hierarchy. Significant unobservable inputs include t</t>
        </is>
      </c>
    </row>
    <row r="7">
      <c r="A7" s="7" t="inlineStr">
        <is>
          <t>Discount Rate</t>
        </is>
      </c>
      <c r="B7" s="7" t="inlineStr">
        <is>
          <t>折現率</t>
        </is>
      </c>
      <c r="C7" s="8" t="n">
        <v>15.5</v>
      </c>
      <c r="D7" s="9" t="n">
        <v>15.5</v>
      </c>
      <c r="E7" s="10" t="inlineStr">
        <is>
          <t>15.5%</t>
        </is>
      </c>
      <c r="F7" s="10" t="inlineStr">
        <is>
          <t>High</t>
        </is>
      </c>
      <c r="G7" s="10" t="inlineStr">
        <is>
          <t>PDF p.9 (印刷頁 58)</t>
        </is>
      </c>
      <c r="H7" s="10" t="inlineStr">
        <is>
          <t>the Manufacturing CGU is 13.2% (2023: 12.8%). For the Technology CGU, a pre-tax discount rate of 15.5% was applied. Cash flows beyond the five-year period are extrapolated using a terminal growth rate of 2.5%, which does not exceed the long-term average</t>
        </is>
      </c>
    </row>
    <row r="8">
      <c r="A8" s="7" t="inlineStr">
        <is>
          <t>Discount Rate</t>
        </is>
      </c>
      <c r="B8" s="7" t="inlineStr">
        <is>
          <t>折現率</t>
        </is>
      </c>
      <c r="C8" s="8" t="n">
        <v>13.2</v>
      </c>
      <c r="D8" s="9" t="n">
        <v>13.2</v>
      </c>
      <c r="E8" s="10" t="inlineStr">
        <is>
          <t>13.2%</t>
        </is>
      </c>
      <c r="F8" s="10" t="inlineStr">
        <is>
          <t>Medium</t>
        </is>
      </c>
      <c r="G8" s="10" t="inlineStr">
        <is>
          <t>PDF p.9 (印刷頁 58)</t>
        </is>
      </c>
      <c r="H8" s="10" t="inlineStr">
        <is>
          <t>low projections covering a five-year period approved by management. The pre-tax discount rate applied to the cash flow projections of the Manufacturing CGU is 13.2% (2023: 12.8%). For the Technology CGU, a pre-tax discount rate of 15.5% was applied. Cas</t>
        </is>
      </c>
    </row>
    <row r="9">
      <c r="A9" s="7" t="inlineStr">
        <is>
          <t>Discount Rate</t>
        </is>
      </c>
      <c r="B9" s="7" t="inlineStr">
        <is>
          <t>折現率</t>
        </is>
      </c>
      <c r="C9" s="8" t="n">
        <v>14</v>
      </c>
      <c r="D9" s="9" t="n">
        <v>14</v>
      </c>
      <c r="E9" s="10" t="inlineStr">
        <is>
          <t>14.0%</t>
        </is>
      </c>
      <c r="F9" s="10" t="inlineStr">
        <is>
          <t>High</t>
        </is>
      </c>
      <c r="G9" s="10" t="inlineStr">
        <is>
          <t>PDF p.10 (印刷頁 61)</t>
        </is>
      </c>
      <c r="H9" s="10" t="inlineStr">
        <is>
          <t>he recoverable amount was determined using the relief-fromroyalty method with a discount rate of 14.0% and a notional royalty rate of 3.0% of revenue. 61</t>
        </is>
      </c>
    </row>
    <row r="10">
      <c r="A10" s="7" t="inlineStr">
        <is>
          <t>Expected Volatility</t>
        </is>
      </c>
      <c r="B10" s="7" t="inlineStr">
        <is>
          <t>預期波幅</t>
        </is>
      </c>
      <c r="C10" s="8" t="n">
        <v>42</v>
      </c>
      <c r="D10" s="9" t="n">
        <v>42</v>
      </c>
      <c r="E10" s="10" t="inlineStr">
        <is>
          <t>42.0%</t>
        </is>
      </c>
      <c r="F10" s="10" t="inlineStr">
        <is>
          <t>High</t>
        </is>
      </c>
      <c r="G10" s="10" t="inlineStr">
        <is>
          <t>PDF p.12 (印刷頁 70)</t>
        </is>
      </c>
      <c r="H10" s="10" t="inlineStr">
        <is>
          <t>he year was determined using the binomial model, with the following key inputs: Expected volatility of 42.0% Risk-free rate of 3.6% Expected dividend yield of 1.8% Expected option life of 6 years 30. RELATED PARTY TRANSACTIONS During the year the Group entere</t>
        </is>
      </c>
    </row>
    <row r="11">
      <c r="A11" s="7" t="inlineStr">
        <is>
          <t>Gross Margin</t>
        </is>
      </c>
      <c r="B11" s="7" t="inlineStr">
        <is>
          <t>毛利率</t>
        </is>
      </c>
      <c r="C11" s="8" t="n">
        <v>38.5</v>
      </c>
      <c r="D11" s="9" t="n">
        <v>38.5</v>
      </c>
      <c r="E11" s="10" t="inlineStr">
        <is>
          <t>38.5%</t>
        </is>
      </c>
      <c r="F11" s="10" t="inlineStr">
        <is>
          <t>High</t>
        </is>
      </c>
      <c r="G11" s="10" t="inlineStr">
        <is>
          <t>PDF p.3 (印刷頁 1)</t>
        </is>
      </c>
      <c r="H11" s="10" t="inlineStr">
        <is>
          <t>of HK$1,284,500,000, representing an increase of 12.4% over the prior year. The gross profit margin was 38.5% (2023: 36.2%), driven by an improved product mix. The Company holds a 51% equity interest in Sample Technology Limited, which remains its principal o</t>
        </is>
      </c>
    </row>
    <row r="12">
      <c r="A12" s="7" t="inlineStr">
        <is>
          <t>Risk-free Rate</t>
        </is>
      </c>
      <c r="B12" s="7" t="inlineStr">
        <is>
          <t>無風險利率</t>
        </is>
      </c>
      <c r="C12" s="8" t="n">
        <v>3.6</v>
      </c>
      <c r="D12" s="9" t="n">
        <v>3.6</v>
      </c>
      <c r="E12" s="10" t="inlineStr">
        <is>
          <t>3.6%</t>
        </is>
      </c>
      <c r="F12" s="10" t="inlineStr">
        <is>
          <t>High</t>
        </is>
      </c>
      <c r="G12" s="10" t="inlineStr">
        <is>
          <t>PDF p.12 (印刷頁 70)</t>
        </is>
      </c>
      <c r="H12" s="10" t="inlineStr">
        <is>
          <t>the binomial model, with the following key inputs: Expected volatility of 42.0% Risk-free rate of 3.6% Expected dividend yield of 1.8% Expected option life of 6 years 30. RELATED PARTY TRANSACTIONS During the year the Group entered into connected transac</t>
        </is>
      </c>
    </row>
    <row r="13">
      <c r="A13" s="7" t="inlineStr">
        <is>
          <t>Terminal Growth Rate</t>
        </is>
      </c>
      <c r="B13" s="7" t="inlineStr">
        <is>
          <t>永續增長率</t>
        </is>
      </c>
      <c r="C13" s="8" t="n">
        <v>2.5</v>
      </c>
      <c r="D13" s="9" t="n">
        <v>2.5</v>
      </c>
      <c r="E13" s="10" t="inlineStr">
        <is>
          <t>2.5%</t>
        </is>
      </c>
      <c r="F13" s="10" t="inlineStr">
        <is>
          <t>High</t>
        </is>
      </c>
      <c r="G13" s="10" t="inlineStr">
        <is>
          <t>PDF p.9 (印刷頁 58)</t>
        </is>
      </c>
      <c r="H13" s="10" t="inlineStr">
        <is>
          <t xml:space="preserve">5% was applied. Cash flows beyond the five-year period are extrapolated using a terminal growth rate of 2.5%, which does not exceed the long-term average growth rate of the industry in which each CGU operates. The weighted average cost of capital used in </t>
        </is>
      </c>
    </row>
    <row r="14">
      <c r="A14" s="7" t="inlineStr">
        <is>
          <t>WACC</t>
        </is>
      </c>
      <c r="B14" s="7" t="inlineStr">
        <is>
          <t>加權平均資本成本</t>
        </is>
      </c>
      <c r="C14" s="8" t="n">
        <v>11.8</v>
      </c>
      <c r="D14" s="9" t="n">
        <v>11.8</v>
      </c>
      <c r="E14" s="10" t="inlineStr">
        <is>
          <t>11.8%</t>
        </is>
      </c>
      <c r="F14" s="10" t="inlineStr">
        <is>
          <t>High</t>
        </is>
      </c>
      <c r="G14" s="10" t="inlineStr">
        <is>
          <t>PDF p.9 (印刷頁 58)</t>
        </is>
      </c>
      <c r="H14" s="10" t="inlineStr">
        <is>
          <t>e long-term average growth rate of the industry in which each CGU operates. The weighted average cost of capital used in the assessment was 11.8%. Management determined that a reasonably possible change in the discount rate of 100 basis points would not result in an impai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2024 / 2023; Balance Sheet: 2024 / 2023; Cash Flow: 2024 / 2023</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c r="A5" s="7" t="inlineStr">
        <is>
          <t>Income Statement</t>
        </is>
      </c>
      <c r="B5" s="7" t="inlineStr">
        <is>
          <t>Revenue</t>
        </is>
      </c>
      <c r="C5" s="11" t="n">
        <v>1284500</v>
      </c>
      <c r="D5" s="12" t="n">
        <v>1142800</v>
      </c>
      <c r="E5" s="13">
        <f>IFERROR(IF(D5=0,"",(C5-D5)/ABS(D5)),"")</f>
        <v/>
      </c>
      <c r="F5" s="10" t="inlineStr">
        <is>
          <t>PDF p.6 (印刷頁 20)</t>
        </is>
      </c>
      <c r="G5" s="10" t="inlineStr">
        <is>
          <t>Revenue 5 1,284,500 1,142,800</t>
        </is>
      </c>
    </row>
    <row r="6">
      <c r="A6" s="7" t="inlineStr">
        <is>
          <t>Income Statement</t>
        </is>
      </c>
      <c r="B6" s="7" t="inlineStr">
        <is>
          <t>Cost of Sales</t>
        </is>
      </c>
      <c r="C6" s="11" t="n">
        <v>-789967</v>
      </c>
      <c r="D6" s="12" t="n">
        <v>-729105</v>
      </c>
      <c r="E6" s="13">
        <f>IFERROR(IF(D6=0,"",(C6-D6)/ABS(D6)),"")</f>
        <v/>
      </c>
      <c r="F6" s="10" t="inlineStr">
        <is>
          <t>PDF p.6 (印刷頁 20)</t>
        </is>
      </c>
      <c r="G6" s="10" t="inlineStr">
        <is>
          <t>Cost of sales (789,967) (729,105)</t>
        </is>
      </c>
    </row>
    <row r="7">
      <c r="A7" s="7" t="inlineStr">
        <is>
          <t>Income Statement</t>
        </is>
      </c>
      <c r="B7" s="7" t="inlineStr">
        <is>
          <t>Gross Profit</t>
        </is>
      </c>
      <c r="C7" s="11" t="n">
        <v>494533</v>
      </c>
      <c r="D7" s="12" t="n">
        <v>413695</v>
      </c>
      <c r="E7" s="13">
        <f>IFERROR(IF(D7=0,"",(C7-D7)/ABS(D7)),"")</f>
        <v/>
      </c>
      <c r="F7" s="10" t="inlineStr">
        <is>
          <t>PDF p.6 (印刷頁 20)</t>
        </is>
      </c>
      <c r="G7" s="10" t="inlineStr">
        <is>
          <t>Gross profit 494,533 413,695</t>
        </is>
      </c>
    </row>
    <row r="8">
      <c r="A8" s="7" t="inlineStr">
        <is>
          <t>Income Statement</t>
        </is>
      </c>
      <c r="B8" s="7" t="inlineStr">
        <is>
          <t>R&amp;D Expenses</t>
        </is>
      </c>
      <c r="C8" s="11" t="n">
        <v>-96340</v>
      </c>
      <c r="D8" s="12" t="n">
        <v>-78110</v>
      </c>
      <c r="E8" s="13">
        <f>IFERROR(IF(D8=0,"",(C8-D8)/ABS(D8)),"")</f>
        <v/>
      </c>
      <c r="F8" s="10" t="inlineStr">
        <is>
          <t>PDF p.6 (印刷頁 20)</t>
        </is>
      </c>
      <c r="G8" s="10" t="inlineStr">
        <is>
          <t>Research and development expenses 7 (96,340) (78,110)</t>
        </is>
      </c>
    </row>
    <row r="9">
      <c r="A9" s="7" t="inlineStr">
        <is>
          <t>Income Statement</t>
        </is>
      </c>
      <c r="B9" s="7" t="inlineStr">
        <is>
          <t>Operating Profit</t>
        </is>
      </c>
      <c r="C9" s="11" t="n">
        <v>85183</v>
      </c>
      <c r="D9" s="12" t="n">
        <v>51905</v>
      </c>
      <c r="E9" s="13">
        <f>IFERROR(IF(D9=0,"",(C9-D9)/ABS(D9)),"")</f>
        <v/>
      </c>
      <c r="F9" s="10" t="inlineStr">
        <is>
          <t>PDF p.6 (印刷頁 20)</t>
        </is>
      </c>
      <c r="G9" s="10" t="inlineStr">
        <is>
          <t>Operating profit 85,183 51,905</t>
        </is>
      </c>
    </row>
    <row r="10">
      <c r="A10" s="7" t="inlineStr">
        <is>
          <t>Income Statement</t>
        </is>
      </c>
      <c r="B10" s="7" t="inlineStr">
        <is>
          <t>Finance Costs</t>
        </is>
      </c>
      <c r="C10" s="11" t="n">
        <v>-18940</v>
      </c>
      <c r="D10" s="12" t="n">
        <v>-21330</v>
      </c>
      <c r="E10" s="13">
        <f>IFERROR(IF(D10=0,"",(C10-D10)/ABS(D10)),"")</f>
        <v/>
      </c>
      <c r="F10" s="10" t="inlineStr">
        <is>
          <t>PDF p.6 (印刷頁 20)</t>
        </is>
      </c>
      <c r="G10" s="10" t="inlineStr">
        <is>
          <t>Finance costs 8 (18,940) (21,330)</t>
        </is>
      </c>
    </row>
    <row r="11">
      <c r="A11" s="7" t="inlineStr">
        <is>
          <t>Income Statement</t>
        </is>
      </c>
      <c r="B11" s="7" t="inlineStr">
        <is>
          <t>Profit Before Tax</t>
        </is>
      </c>
      <c r="C11" s="11" t="n">
        <v>66243</v>
      </c>
      <c r="D11" s="12" t="n">
        <v>30575</v>
      </c>
      <c r="E11" s="13">
        <f>IFERROR(IF(D11=0,"",(C11-D11)/ABS(D11)),"")</f>
        <v/>
      </c>
      <c r="F11" s="10" t="inlineStr">
        <is>
          <t>PDF p.6 (印刷頁 20)</t>
        </is>
      </c>
      <c r="G11" s="10" t="inlineStr">
        <is>
          <t>Profit before tax 66,243 30,575</t>
        </is>
      </c>
    </row>
    <row r="12">
      <c r="A12" s="7" t="inlineStr">
        <is>
          <t>Income Statement</t>
        </is>
      </c>
      <c r="B12" s="7" t="inlineStr">
        <is>
          <t>Income Tax</t>
        </is>
      </c>
      <c r="C12" s="11" t="n">
        <v>-14120</v>
      </c>
      <c r="D12" s="12" t="n">
        <v>-6880</v>
      </c>
      <c r="E12" s="13">
        <f>IFERROR(IF(D12=0,"",(C12-D12)/ABS(D12)),"")</f>
        <v/>
      </c>
      <c r="F12" s="10" t="inlineStr">
        <is>
          <t>PDF p.6 (印刷頁 20)</t>
        </is>
      </c>
      <c r="G12" s="10" t="inlineStr">
        <is>
          <t>Income tax expense 9 (14,120) (6,880)</t>
        </is>
      </c>
    </row>
    <row r="13">
      <c r="A13" s="7" t="inlineStr">
        <is>
          <t>Income Statement</t>
        </is>
      </c>
      <c r="B13" s="7" t="inlineStr">
        <is>
          <t>Profit for the Year</t>
        </is>
      </c>
      <c r="C13" s="11" t="n">
        <v>52123</v>
      </c>
      <c r="D13" s="12" t="n">
        <v>23695</v>
      </c>
      <c r="E13" s="13">
        <f>IFERROR(IF(D13=0,"",(C13-D13)/ABS(D13)),"")</f>
        <v/>
      </c>
      <c r="F13" s="10" t="inlineStr">
        <is>
          <t>PDF p.6 (印刷頁 20)</t>
        </is>
      </c>
      <c r="G13" s="10" t="inlineStr">
        <is>
          <t>Profit for the year 52,123 23,695</t>
        </is>
      </c>
    </row>
    <row r="14">
      <c r="A14" s="7" t="inlineStr">
        <is>
          <t>Income Statement</t>
        </is>
      </c>
      <c r="B14" s="7" t="inlineStr">
        <is>
          <t>Depreciation</t>
        </is>
      </c>
      <c r="C14" s="11" t="n">
        <v>64210</v>
      </c>
      <c r="D14" s="12" t="n">
        <v>58940</v>
      </c>
      <c r="E14" s="13">
        <f>IFERROR(IF(D14=0,"",(C14-D14)/ABS(D14)),"")</f>
        <v/>
      </c>
      <c r="F14" s="10" t="inlineStr">
        <is>
          <t>PDF p.6 (印刷頁 20)</t>
        </is>
      </c>
      <c r="G14" s="10" t="inlineStr">
        <is>
          <t>Depreciation 64,210 58,940</t>
        </is>
      </c>
    </row>
    <row r="15">
      <c r="A15" s="7" t="inlineStr">
        <is>
          <t>Income Statement</t>
        </is>
      </c>
      <c r="B15" s="7" t="inlineStr">
        <is>
          <t>Amortisation</t>
        </is>
      </c>
      <c r="C15" s="11" t="n">
        <v>19880</v>
      </c>
      <c r="D15" s="12" t="n">
        <v>16220</v>
      </c>
      <c r="E15" s="13">
        <f>IFERROR(IF(D15=0,"",(C15-D15)/ABS(D15)),"")</f>
        <v/>
      </c>
      <c r="F15" s="10" t="inlineStr">
        <is>
          <t>PDF p.6 (印刷頁 20)</t>
        </is>
      </c>
      <c r="G15" s="10" t="inlineStr">
        <is>
          <t>Amortisation 19,880 16,220</t>
        </is>
      </c>
    </row>
    <row r="16">
      <c r="A16" s="7" t="inlineStr">
        <is>
          <t>Balance Sheet</t>
        </is>
      </c>
      <c r="B16" s="7" t="inlineStr">
        <is>
          <t>Property Plant and Equipment</t>
        </is>
      </c>
      <c r="C16" s="11" t="n">
        <v>618440</v>
      </c>
      <c r="D16" s="12" t="n">
        <v>591220</v>
      </c>
      <c r="E16" s="13">
        <f>IFERROR(IF(D16=0,"",(C16-D16)/ABS(D16)),"")</f>
        <v/>
      </c>
      <c r="F16" s="10" t="inlineStr">
        <is>
          <t>PDF p.7 (印刷頁 22)</t>
        </is>
      </c>
      <c r="G16" s="10" t="inlineStr">
        <is>
          <t>Property, plant and equipment 12 618,440 591,220</t>
        </is>
      </c>
    </row>
    <row r="17">
      <c r="A17" s="7" t="inlineStr">
        <is>
          <t>Balance Sheet</t>
        </is>
      </c>
      <c r="B17" s="7" t="inlineStr">
        <is>
          <t>Investment Properties</t>
        </is>
      </c>
      <c r="C17" s="11" t="n">
        <v>284000</v>
      </c>
      <c r="D17" s="12" t="n">
        <v>262000</v>
      </c>
      <c r="E17" s="13">
        <f>IFERROR(IF(D17=0,"",(C17-D17)/ABS(D17)),"")</f>
        <v/>
      </c>
      <c r="F17" s="10" t="inlineStr">
        <is>
          <t>PDF p.7 (印刷頁 22)</t>
        </is>
      </c>
      <c r="G17" s="10" t="inlineStr">
        <is>
          <t>Investment properties 13 284,000 262,000</t>
        </is>
      </c>
    </row>
    <row r="18">
      <c r="A18" s="7" t="inlineStr">
        <is>
          <t>Balance Sheet</t>
        </is>
      </c>
      <c r="B18" s="7" t="inlineStr">
        <is>
          <t>Goodwill</t>
        </is>
      </c>
      <c r="C18" s="11" t="n">
        <v>196750</v>
      </c>
      <c r="D18" s="12" t="n">
        <v>196750</v>
      </c>
      <c r="E18" s="13">
        <f>IFERROR(IF(D18=0,"",(C18-D18)/ABS(D18)),"")</f>
        <v/>
      </c>
      <c r="F18" s="10" t="inlineStr">
        <is>
          <t>PDF p.7 (印刷頁 22)</t>
        </is>
      </c>
      <c r="G18" s="10" t="inlineStr">
        <is>
          <t>Goodwill 14 196,750 196,750</t>
        </is>
      </c>
    </row>
    <row r="19">
      <c r="A19" s="7" t="inlineStr">
        <is>
          <t>Balance Sheet</t>
        </is>
      </c>
      <c r="B19" s="7" t="inlineStr">
        <is>
          <t>Intangible Assets</t>
        </is>
      </c>
      <c r="C19" s="11" t="n">
        <v>142880</v>
      </c>
      <c r="D19" s="12" t="n">
        <v>131400</v>
      </c>
      <c r="E19" s="13">
        <f>IFERROR(IF(D19=0,"",(C19-D19)/ABS(D19)),"")</f>
        <v/>
      </c>
      <c r="F19" s="10" t="inlineStr">
        <is>
          <t>PDF p.7 (印刷頁 22)</t>
        </is>
      </c>
      <c r="G19" s="10" t="inlineStr">
        <is>
          <t>Intangible assets 15 142,880 131,400</t>
        </is>
      </c>
    </row>
    <row r="20">
      <c r="A20" s="7" t="inlineStr">
        <is>
          <t>Balance Sheet</t>
        </is>
      </c>
      <c r="B20" s="7" t="inlineStr">
        <is>
          <t>Inventories</t>
        </is>
      </c>
      <c r="C20" s="11" t="n">
        <v>218340</v>
      </c>
      <c r="D20" s="12" t="n">
        <v>241880</v>
      </c>
      <c r="E20" s="13">
        <f>IFERROR(IF(D20=0,"",(C20-D20)/ABS(D20)),"")</f>
        <v/>
      </c>
      <c r="F20" s="10" t="inlineStr">
        <is>
          <t>PDF p.7 (印刷頁 22)</t>
        </is>
      </c>
      <c r="G20" s="10" t="inlineStr">
        <is>
          <t>Inventories 16 218,340 241,880</t>
        </is>
      </c>
    </row>
    <row r="21">
      <c r="A21" s="7" t="inlineStr">
        <is>
          <t>Balance Sheet</t>
        </is>
      </c>
      <c r="B21" s="7" t="inlineStr">
        <is>
          <t>Trade Receivables</t>
        </is>
      </c>
      <c r="C21" s="11" t="n">
        <v>312660</v>
      </c>
      <c r="D21" s="12" t="n">
        <v>288420</v>
      </c>
      <c r="E21" s="13">
        <f>IFERROR(IF(D21=0,"",(C21-D21)/ABS(D21)),"")</f>
        <v/>
      </c>
      <c r="F21" s="10" t="inlineStr">
        <is>
          <t>PDF p.7 (印刷頁 22)</t>
        </is>
      </c>
      <c r="G21" s="10" t="inlineStr">
        <is>
          <t>Trade and other receivables 17 312,660 288,420</t>
        </is>
      </c>
    </row>
    <row r="22">
      <c r="A22" s="7" t="inlineStr">
        <is>
          <t>Balance Sheet</t>
        </is>
      </c>
      <c r="B22" s="7" t="inlineStr">
        <is>
          <t>Cash and Equivalents</t>
        </is>
      </c>
      <c r="C22" s="11" t="n">
        <v>184920</v>
      </c>
      <c r="D22" s="12" t="n">
        <v>142310</v>
      </c>
      <c r="E22" s="13">
        <f>IFERROR(IF(D22=0,"",(C22-D22)/ABS(D22)),"")</f>
        <v/>
      </c>
      <c r="F22" s="10" t="inlineStr">
        <is>
          <t>PDF p.7 (印刷頁 22)</t>
        </is>
      </c>
      <c r="G22" s="10" t="inlineStr">
        <is>
          <t>Cash and cash equivalents 18 184,920 142,310</t>
        </is>
      </c>
    </row>
    <row r="23">
      <c r="A23" s="7" t="inlineStr">
        <is>
          <t>Balance Sheet</t>
        </is>
      </c>
      <c r="B23" s="7" t="inlineStr">
        <is>
          <t>Total Current Assets</t>
        </is>
      </c>
      <c r="C23" s="11" t="n">
        <v>715920</v>
      </c>
      <c r="D23" s="12" t="n">
        <v>672610</v>
      </c>
      <c r="E23" s="13">
        <f>IFERROR(IF(D23=0,"",(C23-D23)/ABS(D23)),"")</f>
        <v/>
      </c>
      <c r="F23" s="10" t="inlineStr">
        <is>
          <t>PDF p.7 (印刷頁 22)</t>
        </is>
      </c>
      <c r="G23" s="10" t="inlineStr">
        <is>
          <t>Total current assets 715,920 672,610</t>
        </is>
      </c>
    </row>
    <row r="24">
      <c r="A24" s="7" t="inlineStr">
        <is>
          <t>Balance Sheet</t>
        </is>
      </c>
      <c r="B24" s="7" t="inlineStr">
        <is>
          <t>Total Assets</t>
        </is>
      </c>
      <c r="C24" s="11" t="n">
        <v>1957990</v>
      </c>
      <c r="D24" s="12" t="n">
        <v>1853980</v>
      </c>
      <c r="E24" s="13">
        <f>IFERROR(IF(D24=0,"",(C24-D24)/ABS(D24)),"")</f>
        <v/>
      </c>
      <c r="F24" s="10" t="inlineStr">
        <is>
          <t>PDF p.7 (印刷頁 22)</t>
        </is>
      </c>
      <c r="G24" s="10" t="inlineStr">
        <is>
          <t>Total assets 1,957,990 1,853,980</t>
        </is>
      </c>
    </row>
    <row r="25">
      <c r="A25" s="7" t="inlineStr">
        <is>
          <t>Balance Sheet</t>
        </is>
      </c>
      <c r="B25" s="7" t="inlineStr">
        <is>
          <t>Borrowings</t>
        </is>
      </c>
      <c r="C25" s="11" t="n">
        <v>196000</v>
      </c>
      <c r="D25" s="12" t="n">
        <v>224000</v>
      </c>
      <c r="E25" s="13">
        <f>IFERROR(IF(D25=0,"",(C25-D25)/ABS(D25)),"")</f>
        <v/>
      </c>
      <c r="F25" s="10" t="inlineStr">
        <is>
          <t>PDF p.7 (印刷頁 22)</t>
        </is>
      </c>
      <c r="G25" s="10" t="inlineStr">
        <is>
          <t>Bank borrowings 20 196,000 224,000</t>
        </is>
      </c>
    </row>
    <row r="26">
      <c r="A26" s="7" t="inlineStr">
        <is>
          <t>Balance Sheet</t>
        </is>
      </c>
      <c r="B26" s="7" t="inlineStr">
        <is>
          <t>Total Current Liabilities</t>
        </is>
      </c>
      <c r="C26" s="11" t="n">
        <v>444110</v>
      </c>
      <c r="D26" s="12" t="n">
        <v>486440</v>
      </c>
      <c r="E26" s="13">
        <f>IFERROR(IF(D26=0,"",(C26-D26)/ABS(D26)),"")</f>
        <v/>
      </c>
      <c r="F26" s="10" t="inlineStr">
        <is>
          <t>PDF p.7 (印刷頁 22)</t>
        </is>
      </c>
      <c r="G26" s="10" t="inlineStr">
        <is>
          <t>Total current liabilities 444,110 486,440</t>
        </is>
      </c>
    </row>
    <row r="27">
      <c r="A27" s="7" t="inlineStr">
        <is>
          <t>Balance Sheet</t>
        </is>
      </c>
      <c r="B27" s="7" t="inlineStr">
        <is>
          <t>Total Liabilities</t>
        </is>
      </c>
      <c r="C27" s="11" t="n">
        <v>812660</v>
      </c>
      <c r="D27" s="12" t="n">
        <v>889220</v>
      </c>
      <c r="E27" s="13">
        <f>IFERROR(IF(D27=0,"",(C27-D27)/ABS(D27)),"")</f>
        <v/>
      </c>
      <c r="F27" s="10" t="inlineStr">
        <is>
          <t>PDF p.7 (印刷頁 22)</t>
        </is>
      </c>
      <c r="G27" s="10" t="inlineStr">
        <is>
          <t>Total liabilities 812,660 889,220</t>
        </is>
      </c>
    </row>
    <row r="28">
      <c r="A28" s="7" t="inlineStr">
        <is>
          <t>Balance Sheet</t>
        </is>
      </c>
      <c r="B28" s="7" t="inlineStr">
        <is>
          <t>Total Equity</t>
        </is>
      </c>
      <c r="C28" s="11" t="n">
        <v>1145330</v>
      </c>
      <c r="D28" s="12" t="n">
        <v>964760</v>
      </c>
      <c r="E28" s="13">
        <f>IFERROR(IF(D28=0,"",(C28-D28)/ABS(D28)),"")</f>
        <v/>
      </c>
      <c r="F28" s="10" t="inlineStr">
        <is>
          <t>PDF p.7 (印刷頁 22)</t>
        </is>
      </c>
      <c r="G28" s="10" t="inlineStr">
        <is>
          <t>Total equity 1,145,330 964,760</t>
        </is>
      </c>
    </row>
    <row r="29">
      <c r="A29" s="7" t="inlineStr">
        <is>
          <t>Cash Flow</t>
        </is>
      </c>
      <c r="B29" s="7" t="inlineStr">
        <is>
          <t>Operating Cash Flow</t>
        </is>
      </c>
      <c r="C29" s="11" t="n">
        <v>168420</v>
      </c>
      <c r="D29" s="12" t="n">
        <v>121880</v>
      </c>
      <c r="E29" s="13">
        <f>IFERROR(IF(D29=0,"",(C29-D29)/ABS(D29)),"")</f>
        <v/>
      </c>
      <c r="F29" s="10" t="inlineStr">
        <is>
          <t>PDF p.8 (印刷頁 24)</t>
        </is>
      </c>
      <c r="G29" s="10" t="inlineStr">
        <is>
          <t>Net cash generated from operating activities 168,420 121,880</t>
        </is>
      </c>
    </row>
    <row r="30">
      <c r="A30" s="7" t="inlineStr">
        <is>
          <t>Cash Flow</t>
        </is>
      </c>
      <c r="B30" s="7" t="inlineStr">
        <is>
          <t>Capital Expenditure</t>
        </is>
      </c>
      <c r="C30" s="11" t="n">
        <v>-91340</v>
      </c>
      <c r="D30" s="12" t="n">
        <v>-84220</v>
      </c>
      <c r="E30" s="13">
        <f>IFERROR(IF(D30=0,"",(C30-D30)/ABS(D30)),"")</f>
        <v/>
      </c>
      <c r="F30" s="10" t="inlineStr">
        <is>
          <t>PDF p.8 (印刷頁 24)</t>
        </is>
      </c>
      <c r="G30" s="10" t="inlineStr">
        <is>
          <t>Purchase of property, plant and equipment (91,340) (84,220)</t>
        </is>
      </c>
    </row>
    <row r="31">
      <c r="A31" s="7" t="inlineStr">
        <is>
          <t>Cash Flow</t>
        </is>
      </c>
      <c r="B31" s="7" t="inlineStr">
        <is>
          <t>Investing Cash Flow</t>
        </is>
      </c>
      <c r="C31" s="11" t="n">
        <v>-113760</v>
      </c>
      <c r="D31" s="12" t="n">
        <v>-102540</v>
      </c>
      <c r="E31" s="13">
        <f>IFERROR(IF(D31=0,"",(C31-D31)/ABS(D31)),"")</f>
        <v/>
      </c>
      <c r="F31" s="10" t="inlineStr">
        <is>
          <t>PDF p.8 (印刷頁 24)</t>
        </is>
      </c>
      <c r="G31" s="10" t="inlineStr">
        <is>
          <t>Net cash used in investing activities (113,760) (102,540)</t>
        </is>
      </c>
    </row>
    <row r="32">
      <c r="A32" s="7" t="inlineStr">
        <is>
          <t>Cash Flow</t>
        </is>
      </c>
      <c r="B32" s="7" t="inlineStr">
        <is>
          <t>Financing Cash Flow</t>
        </is>
      </c>
      <c r="C32" s="11" t="n">
        <v>-12050</v>
      </c>
      <c r="D32" s="12" t="n">
        <v>-34610</v>
      </c>
      <c r="E32" s="13">
        <f>IFERROR(IF(D32=0,"",(C32-D32)/ABS(D32)),"")</f>
        <v/>
      </c>
      <c r="F32" s="10" t="inlineStr">
        <is>
          <t>PDF p.8 (印刷頁 24)</t>
        </is>
      </c>
      <c r="G32" s="10" t="inlineStr">
        <is>
          <t>Net cash used in financing activities (12,050) (34,610)</t>
        </is>
      </c>
    </row>
    <row r="34">
      <c r="A3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14">
        <f>IFERROR(IFERROR(INDEX('Financials 財務數據'!$C$5:$C$32,MATCH("Gross Profit",'Financials 財務數據'!$B$5:$B$32,0)),"")/IFERROR(INDEX('Financials 財務數據'!$C$5:$C$32,MATCH("Revenue",'Financials 財務數據'!$B$5:$B$32,0)),""),"n/a")</f>
        <v/>
      </c>
      <c r="C5" s="14">
        <f>IFERROR(IFERROR(INDEX('Financials 財務數據'!$D$5:$D$32,MATCH("Gross Profit",'Financials 財務數據'!$B$5:$B$32,0)),"")/IFERROR(INDEX('Financials 財務數據'!$D$5:$D$32,MATCH("Revenue",'Financials 財務數據'!$B$5:$B$32,0)),""),"n/a")</f>
        <v/>
      </c>
      <c r="D5" s="2" t="inlineStr">
        <is>
          <t>毛利 ÷ 收入</t>
        </is>
      </c>
    </row>
    <row r="6">
      <c r="A6" s="4" t="inlineStr">
        <is>
          <t>Net Margin 淨利率</t>
        </is>
      </c>
      <c r="B6" s="14">
        <f>IFERROR(IFERROR(INDEX('Financials 財務數據'!$C$5:$C$32,MATCH("Profit for the Year",'Financials 財務數據'!$B$5:$B$32,0)),"")/IFERROR(INDEX('Financials 財務數據'!$C$5:$C$32,MATCH("Revenue",'Financials 財務數據'!$B$5:$B$32,0)),""),"n/a")</f>
        <v/>
      </c>
      <c r="C6" s="14">
        <f>IFERROR(IFERROR(INDEX('Financials 財務數據'!$D$5:$D$32,MATCH("Profit for the Year",'Financials 財務數據'!$B$5:$B$32,0)),"")/IFERROR(INDEX('Financials 財務數據'!$D$5:$D$32,MATCH("Revenue",'Financials 財務數據'!$B$5:$B$32,0)),""),"n/a")</f>
        <v/>
      </c>
      <c r="D6" s="2" t="inlineStr">
        <is>
          <t>年內溢利 ÷ 收入</t>
        </is>
      </c>
    </row>
    <row r="7">
      <c r="A7" s="4" t="inlineStr">
        <is>
          <t>Current Ratio 流動比率</t>
        </is>
      </c>
      <c r="B7" s="15">
        <f>IFERROR(IFERROR(INDEX('Financials 財務數據'!$C$5:$C$32,MATCH("Total Current Assets",'Financials 財務數據'!$B$5:$B$32,0)),"")/IFERROR(INDEX('Financials 財務數據'!$C$5:$C$32,MATCH("Total Current Liabilities",'Financials 財務數據'!$B$5:$B$32,0)),""),"n/a")</f>
        <v/>
      </c>
      <c r="C7" s="15">
        <f>IFERROR(IFERROR(INDEX('Financials 財務數據'!$D$5:$D$32,MATCH("Total Current Assets",'Financials 財務數據'!$B$5:$B$32,0)),"")/IFERROR(INDEX('Financials 財務數據'!$D$5:$D$32,MATCH("Total Current Liabilities",'Financials 財務數據'!$B$5:$B$32,0)),""),"n/a")</f>
        <v/>
      </c>
      <c r="D7" s="2" t="inlineStr">
        <is>
          <t>流動資產 ÷ 流動負債</t>
        </is>
      </c>
    </row>
    <row r="8">
      <c r="A8" s="4" t="inlineStr">
        <is>
          <t>Debt / Equity 負債權益比</t>
        </is>
      </c>
      <c r="B8" s="15">
        <f>IFERROR(IFERROR(INDEX('Financials 財務數據'!$C$5:$C$32,MATCH("Total Liabilities",'Financials 財務數據'!$B$5:$B$32,0)),"")/IFERROR(INDEX('Financials 財務數據'!$C$5:$C$32,MATCH("Total Equity",'Financials 財務數據'!$B$5:$B$32,0)),""),"n/a")</f>
        <v/>
      </c>
      <c r="C8" s="15">
        <f>IFERROR(IFERROR(INDEX('Financials 財務數據'!$D$5:$D$32,MATCH("Total Liabilities",'Financials 財務數據'!$B$5:$B$32,0)),"")/IFERROR(INDEX('Financials 財務數據'!$D$5:$D$32,MATCH("Total Equity",'Financials 財務數據'!$B$5:$B$32,0)),""),"n/a")</f>
        <v/>
      </c>
      <c r="D8" s="2" t="inlineStr">
        <is>
          <t>總負債 ÷ 總權益</t>
        </is>
      </c>
    </row>
    <row r="9">
      <c r="A9" s="4" t="inlineStr">
        <is>
          <t>Goodwill / Total Assets</t>
        </is>
      </c>
      <c r="B9" s="14">
        <f>IFERROR(IFERROR(INDEX('Financials 財務數據'!$C$5:$C$32,MATCH("Goodwill",'Financials 財務數據'!$B$5:$B$32,0)),"")/IFERROR(INDEX('Financials 財務數據'!$C$5:$C$32,MATCH("Total Assets",'Financials 財務數據'!$B$5:$B$32,0)),""),"n/a")</f>
        <v/>
      </c>
      <c r="C9" s="14">
        <f>IFERROR(IFERROR(INDEX('Financials 財務數據'!$D$5:$D$32,MATCH("Goodwill",'Financials 財務數據'!$B$5:$B$32,0)),"")/IFERROR(INDEX('Financials 財務數據'!$D$5:$D$32,MATCH("Total Assets",'Financials 財務數據'!$B$5:$B$32,0)),""),"n/a")</f>
        <v/>
      </c>
      <c r="D9" s="2" t="inlineStr">
        <is>
          <t>商譽佔總資產比重 — 減值風險指標</t>
        </is>
      </c>
    </row>
    <row r="10">
      <c r="A10" s="4" t="inlineStr">
        <is>
          <t>Intangibles / Total Assets</t>
        </is>
      </c>
      <c r="B10" s="14">
        <f>IFERROR(IFERROR(INDEX('Financials 財務數據'!$C$5:$C$32,MATCH("Intangible Assets",'Financials 財務數據'!$B$5:$B$32,0)),"")/IFERROR(INDEX('Financials 財務數據'!$C$5:$C$32,MATCH("Total Assets",'Financials 財務數據'!$B$5:$B$32,0)),""),"n/a")</f>
        <v/>
      </c>
      <c r="C10" s="14">
        <f>IFERROR(IFERROR(INDEX('Financials 財務數據'!$D$5:$D$32,MATCH("Intangible Assets",'Financials 財務數據'!$B$5:$B$32,0)),"")/IFERROR(INDEX('Financials 財務數據'!$D$5:$D$32,MATCH("Total Assets",'Financials 財務數據'!$B$5:$B$32,0)),""),"n/a")</f>
        <v/>
      </c>
      <c r="D10" s="2" t="inlineStr">
        <is>
          <t>無形資產佔比</t>
        </is>
      </c>
    </row>
    <row r="11">
      <c r="A11" s="4" t="inlineStr">
        <is>
          <t>ROE 股本回報率</t>
        </is>
      </c>
      <c r="B11" s="14">
        <f>IFERROR(IFERROR(INDEX('Financials 財務數據'!$C$5:$C$32,MATCH("Profit for the Year",'Financials 財務數據'!$B$5:$B$32,0)),"")/IFERROR(INDEX('Financials 財務數據'!$C$5:$C$32,MATCH("Total Equity",'Financials 財務數據'!$B$5:$B$32,0)),""),"n/a")</f>
        <v/>
      </c>
      <c r="C11" s="14">
        <f>IFERROR(IFERROR(INDEX('Financials 財務數據'!$D$5:$D$32,MATCH("Profit for the Year",'Financials 財務數據'!$B$5:$B$32,0)),"")/IFERROR(INDEX('Financials 財務數據'!$D$5:$D$32,MATCH("Total Equity",'Financials 財務數據'!$B$5:$B$32,0)),""),"n/a")</f>
        <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6" t="inlineStr">
        <is>
          <t>Item</t>
        </is>
      </c>
      <c r="B4" s="16" t="inlineStr">
        <is>
          <t>Prior</t>
        </is>
      </c>
      <c r="C4" s="16" t="inlineStr">
        <is>
          <t>Current</t>
        </is>
      </c>
    </row>
    <row r="5">
      <c r="A5" s="4" t="inlineStr">
        <is>
          <t>Revenue</t>
        </is>
      </c>
      <c r="B5" s="17" t="n">
        <v>1142800</v>
      </c>
      <c r="C5" s="17" t="n">
        <v>1284500</v>
      </c>
    </row>
    <row r="6">
      <c r="A6" s="4" t="inlineStr">
        <is>
          <t>Gross Profit</t>
        </is>
      </c>
      <c r="B6" s="17" t="n">
        <v>413695</v>
      </c>
      <c r="C6" s="17" t="n">
        <v>494533</v>
      </c>
    </row>
    <row r="7">
      <c r="A7" s="4" t="inlineStr">
        <is>
          <t>Profit Before Tax</t>
        </is>
      </c>
      <c r="B7" s="17" t="n">
        <v>30575</v>
      </c>
      <c r="C7" s="17" t="n">
        <v>66243</v>
      </c>
    </row>
    <row r="8">
      <c r="A8" s="4" t="inlineStr">
        <is>
          <t>Profit for the Year</t>
        </is>
      </c>
      <c r="B8" s="17" t="n">
        <v>23695</v>
      </c>
      <c r="C8" s="17" t="n">
        <v>52123</v>
      </c>
    </row>
    <row r="9">
      <c r="A9" s="4" t="inlineStr">
        <is>
          <t>Total Assets</t>
        </is>
      </c>
      <c r="B9" s="17" t="n">
        <v>1853980</v>
      </c>
      <c r="C9" s="17" t="n">
        <v>1957990</v>
      </c>
    </row>
    <row r="10">
      <c r="A10" s="4" t="inlineStr">
        <is>
          <t>Total Equity</t>
        </is>
      </c>
      <c r="B10" s="17" t="n">
        <v>964760</v>
      </c>
      <c r="C10" s="17" t="n">
        <v>1145330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7" t="inlineStr">
        <is>
          <t>Fair Value Measurement</t>
        </is>
      </c>
      <c r="B4" s="7" t="inlineStr">
        <is>
          <t>公允價值計量</t>
        </is>
      </c>
      <c r="C4" s="18" t="inlineStr">
        <is>
          <t>high</t>
        </is>
      </c>
      <c r="D4" s="10" t="inlineStr">
        <is>
          <t>level 3</t>
        </is>
      </c>
      <c r="E4" s="10" t="inlineStr">
        <is>
          <t>PDF p.11 (印刷頁 64)</t>
        </is>
      </c>
      <c r="F4" s="10" t="inlineStr">
        <is>
          <t>%) for the retail portion and a capitalisation rate of 4.5% for the office portion. The fair value measurement is categorised within Level 3 of the fair value hierarchy. Significant unobservable inputs include the market rent of HK$52 per square foot per month and the capitalisation rate. The total gross floor area of the investment properties is 128,400 square feet. 64</t>
        </is>
      </c>
    </row>
    <row r="5">
      <c r="A5" s="7" t="inlineStr">
        <is>
          <t>Impairment Testing</t>
        </is>
      </c>
      <c r="B5" s="7" t="inlineStr">
        <is>
          <t>減值測試</t>
        </is>
      </c>
      <c r="C5" s="18" t="inlineStr">
        <is>
          <t>high</t>
        </is>
      </c>
      <c r="D5" s="10" t="inlineStr">
        <is>
          <t>impairment test</t>
        </is>
      </c>
      <c r="E5" s="10" t="inlineStr">
        <is>
          <t>PDF p.9 (印刷頁 58)</t>
        </is>
      </c>
      <c r="F5" s="10" t="inlineStr">
        <is>
          <t>L STATEMENTS 14. GOODWILL Goodwill acquired through business combinations has been allocated to two cash-generating units (CGUs) for impairment testing. The recoverable amount of each CGU has been determined based on a value in use calculation using cash flow projections covering a five-year period approved by management. The pre-tax discount rate applied to the cash flow projections of the Manufacturing CGU is 13.2% (2023: 12.8%). For the Technology CGU, a pre-tax discount rate of 15.5% was applied. Cash flows beyond the five-</t>
        </is>
      </c>
    </row>
    <row r="6">
      <c r="A6" s="7" t="inlineStr">
        <is>
          <t>Impairment Testing</t>
        </is>
      </c>
      <c r="B6" s="7" t="inlineStr">
        <is>
          <t>減值測試</t>
        </is>
      </c>
      <c r="C6" s="18" t="inlineStr">
        <is>
          <t>high</t>
        </is>
      </c>
      <c r="D6" s="10" t="inlineStr">
        <is>
          <t>recoverable amount</t>
        </is>
      </c>
      <c r="E6" s="10" t="inlineStr">
        <is>
          <t>PDF p.10 (印刷頁 61)</t>
        </is>
      </c>
      <c r="F6" s="10" t="inlineStr">
        <is>
          <t>pment costs 5 years Trademarks Indefinite useful life Trademarks with indefinite useful life are tested for impairment annually. The recoverable amount was determined using the relief-fromroyalty method with a discount rate of 14.0% and a notional royalty rate of 3.0% of revenue. 61</t>
        </is>
      </c>
    </row>
    <row r="7">
      <c r="A7" s="7" t="inlineStr">
        <is>
          <t>Intangible Assets &amp; Goodwill</t>
        </is>
      </c>
      <c r="B7" s="7" t="inlineStr">
        <is>
          <t>無形資產及商譽</t>
        </is>
      </c>
      <c r="C7" s="18" t="inlineStr">
        <is>
          <t>high</t>
        </is>
      </c>
      <c r="D7" s="10" t="inlineStr">
        <is>
          <t>intangible asset</t>
        </is>
      </c>
      <c r="E7" s="10" t="inlineStr">
        <is>
          <t>PDF p.3 (印刷頁 1)</t>
        </is>
      </c>
      <c r="F7" s="10" t="inlineStr">
        <is>
          <t>HK$96,340,000 (2023: HK$78,110,000), representing 7.5% of revenue. Capitalised development costs of HK$22,400,000 were recognised as intangible assets during the year. 1</t>
        </is>
      </c>
    </row>
    <row r="8">
      <c r="A8" s="7" t="inlineStr">
        <is>
          <t>Intangible Assets &amp; Goodwill</t>
        </is>
      </c>
      <c r="B8" s="7" t="inlineStr">
        <is>
          <t>無形資產及商譽</t>
        </is>
      </c>
      <c r="C8" s="18" t="inlineStr">
        <is>
          <t>high</t>
        </is>
      </c>
      <c r="D8" s="10" t="inlineStr">
        <is>
          <t>amortisation</t>
        </is>
      </c>
      <c r="E8" s="10" t="inlineStr">
        <is>
          <t>PDF p.6 (印刷頁 20)</t>
        </is>
      </c>
      <c r="F8" s="10" t="inlineStr">
        <is>
          <t>) Profit before tax 66,243 30,575 Income tax expense 9 (14,120) (6,880) Profit for the year 52,123 23,695 Depreciation 64,210 58,940 Amortisation 19,880 16,220 20</t>
        </is>
      </c>
    </row>
    <row r="9">
      <c r="A9" s="7" t="inlineStr">
        <is>
          <t>Intangible Assets &amp; Goodwill</t>
        </is>
      </c>
      <c r="B9" s="7" t="inlineStr">
        <is>
          <t>無形資產及商譽</t>
        </is>
      </c>
      <c r="C9" s="18" t="inlineStr">
        <is>
          <t>high</t>
        </is>
      </c>
      <c r="D9" s="10" t="inlineStr">
        <is>
          <t>intangible asset</t>
        </is>
      </c>
      <c r="E9" s="10" t="inlineStr">
        <is>
          <t>PDF p.7 (印刷頁 22)</t>
        </is>
      </c>
      <c r="F9" s="10" t="inlineStr">
        <is>
          <t>current assets Property, plant and equipment 12 618,440 591,220 Investment properties 13 284,000 262,000 Goodwill 14 196,750 196,750 Intangible assets 15 142,880 131,400 Total non-current assets 1,242,070 1,181,370 Current assets Inventories 16 218,340 241,880 Trade and other receivables 17 312,660 288,420 Cash and cash equivalents 18 184,920 142,310 Total current assets 715,920 672,610 Total assets 1,957,990 1,853,980 Current liabilities Trade and other payables 19 248,110 262,440 Bank borrowings 20 196,000 224,000 Total curre</t>
        </is>
      </c>
    </row>
    <row r="10">
      <c r="A10" s="7" t="inlineStr">
        <is>
          <t>Intangible Assets &amp; Goodwill</t>
        </is>
      </c>
      <c r="B10" s="7" t="inlineStr">
        <is>
          <t>無形資產及商譽</t>
        </is>
      </c>
      <c r="C10" s="18" t="inlineStr">
        <is>
          <t>high</t>
        </is>
      </c>
      <c r="D10" s="10" t="inlineStr">
        <is>
          <t>goodwill</t>
        </is>
      </c>
      <c r="E10" s="10" t="inlineStr">
        <is>
          <t>PDF p.9 (印刷頁 58)</t>
        </is>
      </c>
      <c r="F10" s="10" t="inlineStr">
        <is>
          <t>NOTES TO THE CONSOLIDATED FINANCIAL STATEMENTS 14. GOODWILL Goodwill acquired through business combinations has been allocated to two cash-generating units (CGUs) for impairment testing. The recoverable amount of each CGU has been determined based on a value in use calculation using cash flow projections covering a five-year period approved by management. The pre-tax discount rate applied to the cash flow projections of the Manufacturing CGU is 13</t>
        </is>
      </c>
    </row>
    <row r="11">
      <c r="A11" s="7" t="inlineStr">
        <is>
          <t>Intangible Assets &amp; Goodwill</t>
        </is>
      </c>
      <c r="B11" s="7" t="inlineStr">
        <is>
          <t>無形資產及商譽</t>
        </is>
      </c>
      <c r="C11" s="18" t="inlineStr">
        <is>
          <t>high</t>
        </is>
      </c>
      <c r="D11" s="10" t="inlineStr">
        <is>
          <t>intangible asset</t>
        </is>
      </c>
      <c r="E11" s="10" t="inlineStr">
        <is>
          <t>PDF p.10 (印刷頁 61)</t>
        </is>
      </c>
      <c r="F11" s="10" t="inlineStr">
        <is>
          <t>15. INTANGIBLE ASSETS Customer Development Relationships Costs Trademarks HK$'000 HK$'000 HK$'000 Cost at 1 January 84,200 112,600 41,500 Additions - 22,400 - Cost at 31 December 84,200 135,000 41,500 The useful lives of intangible assets are as follows: Customer relationships 10 years, amortised on a straight-line basis Development costs 5 years Trademarks Indefinite useful life Trademarks with indef</t>
        </is>
      </c>
    </row>
    <row r="12">
      <c r="A12" s="7" t="inlineStr">
        <is>
          <t>Investment Properties</t>
        </is>
      </c>
      <c r="B12" s="7" t="inlineStr">
        <is>
          <t>投資物業</t>
        </is>
      </c>
      <c r="C12" s="18" t="inlineStr">
        <is>
          <t>high</t>
        </is>
      </c>
      <c r="D12" s="10" t="inlineStr">
        <is>
          <t>capitalisation rate</t>
        </is>
      </c>
      <c r="E12" s="10" t="inlineStr">
        <is>
          <t>PDF p.11 (印刷頁 64)</t>
        </is>
      </c>
      <c r="F12" s="10" t="inlineStr">
        <is>
          <t>t professional valuer, on the basis of fair value. The valuation was arrived at using the income capitalisation approach, adopting a capitalisation rate of 3.8% (2023: 4.0%) for the retail portion and a capitalisation rate of 4.5% for the office portion. The fair value measurement is categorised within Level 3 of the fair value hierarchy. Significant unobservable inputs include the market rent of HK$52 per square foot per month and the capitalisation rate. The total gross floor area of the investment properties is 128,400 squar</t>
        </is>
      </c>
    </row>
    <row r="13">
      <c r="A13" s="7" t="inlineStr">
        <is>
          <t>ESG Data</t>
        </is>
      </c>
      <c r="B13" s="7" t="inlineStr">
        <is>
          <t>環境社會及管治數據</t>
        </is>
      </c>
      <c r="C13" s="7" t="inlineStr">
        <is>
          <t>medium</t>
        </is>
      </c>
      <c r="D13" s="10" t="inlineStr">
        <is>
          <t>greenhouse gas</t>
        </is>
      </c>
      <c r="E13" s="10" t="inlineStr">
        <is>
          <t>PDF p.4 (印刷頁 2)</t>
        </is>
      </c>
      <c r="F13" s="10" t="inlineStr">
        <is>
          <t>ENVIRONMENTAL, SOCIAL AND GOVERNANCE REPORT Emissions Scope 1 greenhouse gas emissions 12,480 tCO2e Scope 2 greenhouse gas emissions 34,910 tCO2e Total GHG emissions 47,390 tCO2e Emission intensity 0.037 tCO2e per HK$'000 revenue Energy Total energy consumption 68,220 MWh Renewable energy accounted for 18.0% of total consumption. The Group targets a 25% reduction in carbon intensity by 2030. 2</t>
        </is>
      </c>
    </row>
    <row r="14">
      <c r="A14" s="7" t="inlineStr">
        <is>
          <t>R&amp;D Expenditure</t>
        </is>
      </c>
      <c r="B14" s="7" t="inlineStr">
        <is>
          <t>研發開支</t>
        </is>
      </c>
      <c r="C14" s="7" t="inlineStr">
        <is>
          <t>medium</t>
        </is>
      </c>
      <c r="D14" s="10" t="inlineStr">
        <is>
          <t>research and development</t>
        </is>
      </c>
      <c r="E14" s="10" t="inlineStr">
        <is>
          <t>PDF p.3 (印刷頁 1)</t>
        </is>
      </c>
      <c r="F14" s="10" t="inlineStr">
        <is>
          <t>product mix. The Company holds a 51% equity interest in Sample Technology Limited, which remains its principal operating subsidiary. Research and Development Research and development expenditure for the year amounted to HK$96,340,000 (2023: HK$78,110,000), representing 7.5% of revenue. Capitalised development costs of HK$22,400,000 were recognised as intangible assets during the year. 1</t>
        </is>
      </c>
    </row>
    <row r="15">
      <c r="A15" s="7" t="inlineStr">
        <is>
          <t>R&amp;D Expenditure</t>
        </is>
      </c>
      <c r="B15" s="7" t="inlineStr">
        <is>
          <t>研發開支</t>
        </is>
      </c>
      <c r="C15" s="7" t="inlineStr">
        <is>
          <t>medium</t>
        </is>
      </c>
      <c r="D15" s="10" t="inlineStr">
        <is>
          <t>research and development</t>
        </is>
      </c>
      <c r="E15" s="10" t="inlineStr">
        <is>
          <t>PDF p.6 (印刷頁 20)</t>
        </is>
      </c>
      <c r="F15" s="10" t="inlineStr">
        <is>
          <t>3,695 Other income 6 18,220 15,940 Selling and distribution expenses (142,880) (128,400) Administrative expenses (188,450) (171,220) Research and development expenses 7 (96,340) (78,110) Operating profit 85,183 51,905 Finance costs 8 (18,940) (21,330) Profit before tax 66,243 30,575 Income tax expense 9 (14,120) (6,880) Profit for the year 52,123 23,695 Depreciation 64,210 58,940 Amortisation 19,880 16,220 20</t>
        </is>
      </c>
    </row>
    <row r="16">
      <c r="A16" s="7" t="inlineStr">
        <is>
          <t>Share-based Payment</t>
        </is>
      </c>
      <c r="B16" s="7" t="inlineStr">
        <is>
          <t>以股份為基礎的付款</t>
        </is>
      </c>
      <c r="C16" s="7" t="inlineStr">
        <is>
          <t>medium</t>
        </is>
      </c>
      <c r="D16" s="10" t="inlineStr">
        <is>
          <t>share-based payment</t>
        </is>
      </c>
      <c r="E16" s="10" t="inlineStr">
        <is>
          <t>PDF p.12 (印刷頁 70)</t>
        </is>
      </c>
      <c r="F16" s="10" t="inlineStr">
        <is>
          <t>28. SHARE-BASED PAYMENT The fair value of share options granted during the year was determined using the binomial model, with the following key inputs: Expected volatility of 42.0% Risk-free rate of 3.6% Expected dividend yield of 1.8% Expected option life of 6 years 30. RELATED PARTY TRANSACTIONS During the year the Group entered into connected transactions with a company controlled by a director amo</t>
        </is>
      </c>
    </row>
    <row r="17">
      <c r="A17" s="7" t="inlineStr">
        <is>
          <t>Related Party Transactions</t>
        </is>
      </c>
      <c r="B17" s="7" t="inlineStr">
        <is>
          <t>關聯方交易</t>
        </is>
      </c>
      <c r="C17" s="7" t="inlineStr">
        <is>
          <t>low</t>
        </is>
      </c>
      <c r="D17" s="10" t="inlineStr">
        <is>
          <t>related party</t>
        </is>
      </c>
      <c r="E17" s="10" t="inlineStr">
        <is>
          <t>PDF p.12 (印刷頁 70)</t>
        </is>
      </c>
      <c r="F17" s="10" t="inlineStr">
        <is>
          <t>key inputs: Expected volatility of 42.0% Risk-free rate of 3.6% Expected dividend yield of 1.8% Expected option life of 6 years 30. RELATED PARTY TRANSACTIONS During the year the Group entered into connected transactions with a company controlled by a director amounting to HK$8,420,000. 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pane ySplit="4" topLeftCell="A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需要人手處理的頁面</t>
        </is>
      </c>
    </row>
    <row r="2">
      <c r="A2" s="2" t="inlineStr">
        <is>
          <t>這些頁面幾乎抓不到文字,通常是掃描件或純圖表,建議人手翻閱或另行 OCR。</t>
        </is>
      </c>
    </row>
    <row r="4">
      <c r="A4" s="6" t="inlineStr">
        <is>
          <t>PDF 頁碼</t>
        </is>
      </c>
      <c r="B4" s="6" t="inlineStr">
        <is>
          <t>狀態</t>
        </is>
      </c>
    </row>
    <row r="5">
      <c r="A5" s="4" t="n">
        <v>5</v>
      </c>
      <c r="B5" s="4"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2026-08-29T15:05:05Z</dcterms:created>
  <dcterms:modified xsi:type="dcterms:W3CDTF">2026-08-29T15:05:06Z</dcterms:modified>
</cp:coreProperties>
</file>
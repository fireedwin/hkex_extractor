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00252_SE_ASIA_PPT_20260729.pdf</t>
        </is>
      </c>
    </row>
    <row r="5">
      <c r="A5" s="3" t="inlineStr">
        <is>
          <t>產生時間 Generated</t>
        </is>
      </c>
      <c r="B5" s="4" t="inlineStr">
        <is>
          <t>2026-08-30 22:16</t>
        </is>
      </c>
    </row>
    <row r="6">
      <c r="A6" s="4" t="inlineStr"/>
      <c r="B6" s="4" t="inlineStr"/>
    </row>
    <row r="7">
      <c r="A7" s="3" t="inlineStr">
        <is>
          <t>總頁數 Total pages</t>
        </is>
      </c>
      <c r="B7" s="4" t="n">
        <v>193</v>
      </c>
    </row>
    <row r="8">
      <c r="A8" s="3" t="inlineStr">
        <is>
          <t>已擷取字元 Characters extracted</t>
        </is>
      </c>
      <c r="B8" s="4" t="n">
        <v>365102</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2</v>
      </c>
    </row>
    <row r="13">
      <c r="A13" s="3" t="inlineStr">
        <is>
          <t>財務科目擷取筆數 Financial line items</t>
        </is>
      </c>
      <c r="B13" s="4" t="n">
        <v>18</v>
      </c>
    </row>
    <row r="14">
      <c r="A14" s="3" t="inlineStr">
        <is>
          <t>主題段落擷取筆數 Topic extracts</t>
        </is>
      </c>
      <c r="B14" s="4" t="n">
        <v>95</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260,363,957 − 167,522,621 = 92,841,336</t>
        </is>
      </c>
    </row>
    <row r="20">
      <c r="A20" s="6" t="inlineStr">
        <is>
          <t>✓ 收入 − 銷售成本 = 毛利</t>
        </is>
      </c>
      <c r="B20" s="4" t="inlineStr">
        <is>
          <t>228,533,157 − 163,872,294 = 64,660,863 vs 毛利 64,660,863</t>
        </is>
      </c>
    </row>
    <row r="21">
      <c r="A21" s="6" t="inlineStr">
        <is>
          <t>✓ 除稅前溢利 ± 稅項 = 年內溢利</t>
        </is>
      </c>
      <c r="B21" s="4" t="inlineStr">
        <is>
          <t>-38,569,958 + 3,778,699 = -42,348,657 vs -42,348,657</t>
        </is>
      </c>
    </row>
    <row r="22">
      <c r="A22" s="6" t="inlineStr">
        <is>
          <t>✓ 三大報表應相鄰</t>
        </is>
      </c>
      <c r="B22" s="4" t="inlineStr">
        <is>
          <t>Income Statement: p.83、Balance Sheet: p.85、Cash Flow: p.88(相距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13</v>
      </c>
      <c r="D5" s="10" t="n">
        <v>13</v>
      </c>
      <c r="E5" s="11" t="inlineStr">
        <is>
          <t>13%</t>
        </is>
      </c>
      <c r="F5" s="11" t="inlineStr">
        <is>
          <t>Medium</t>
        </is>
      </c>
      <c r="G5" s="11" t="inlineStr">
        <is>
          <t>PDF p.152 (印刷頁 151)</t>
        </is>
      </c>
      <c r="H5" s="11" t="inlineStr">
        <is>
          <t>g a five-year period with a growth rate of 0% (2025: 1%) per annum. The pre-tax discount rate applied to the cash flow projections was 13% (2025: 13%). A key assumption for the value in use calculation is the budgeted growth rate, which is determined ba</t>
        </is>
      </c>
    </row>
    <row r="6">
      <c r="A6" s="8" t="inlineStr">
        <is>
          <t>Discount Rate</t>
        </is>
      </c>
      <c r="B6" s="8" t="inlineStr">
        <is>
          <t>折現率</t>
        </is>
      </c>
      <c r="C6" s="9" t="n">
        <v>2.03</v>
      </c>
      <c r="D6" s="10" t="n">
        <v>2.03</v>
      </c>
      <c r="E6" s="11" t="inlineStr">
        <is>
          <t>2.03%</t>
        </is>
      </c>
      <c r="F6" s="11" t="inlineStr">
        <is>
          <t>High</t>
        </is>
      </c>
      <c r="G6" s="11" t="inlineStr">
        <is>
          <t>PDF p.167 (印刷頁 166)</t>
        </is>
      </c>
      <c r="H6" s="11" t="inlineStr">
        <is>
          <t xml:space="preserve"> assumptions for the determination of LSP obligations are as follows: 2026 2025 Discount rate 2.03% 3.45% Salary growth rate (average) 3.00% 2.02% Turnover rate (average) 6.24% 6.24% These assumptions were developed by the management. Discount factors 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228533157</v>
      </c>
      <c r="D5" s="13" t="n">
        <v>232260459</v>
      </c>
      <c r="E5" s="14">
        <f>IF(ISERROR((C5-D5)/ABS(D5)),"",(C5-D5)/ABS(D5))</f>
        <v>-0.0160479403857546</v>
      </c>
      <c r="F5" s="11" t="inlineStr">
        <is>
          <t>PDF p.83 (印刷頁 82)</t>
        </is>
      </c>
      <c r="G5" s="11" t="inlineStr">
        <is>
          <t>Revenue 6 228,533,157 232,260,459</t>
        </is>
      </c>
    </row>
    <row r="6">
      <c r="A6" s="8" t="inlineStr">
        <is>
          <t>Income Statement</t>
        </is>
      </c>
      <c r="B6" s="8" t="inlineStr">
        <is>
          <t>Cost of Sales</t>
        </is>
      </c>
      <c r="C6" s="12" t="n">
        <v>-163872294</v>
      </c>
      <c r="D6" s="13" t="n">
        <v>-160538684</v>
      </c>
      <c r="E6" s="14">
        <f>IF(ISERROR((C6-D6)/ABS(D6)),"",(C6-D6)/ABS(D6))</f>
        <v>-0.02076515090904819</v>
      </c>
      <c r="F6" s="11" t="inlineStr">
        <is>
          <t>PDF p.83 (印刷頁 82)</t>
        </is>
      </c>
      <c r="G6" s="11" t="inlineStr">
        <is>
          <t>Cost of sales and services (163,872,294) (160,538,684)</t>
        </is>
      </c>
    </row>
    <row r="7">
      <c r="A7" s="8" t="inlineStr">
        <is>
          <t>Income Statement</t>
        </is>
      </c>
      <c r="B7" s="8" t="inlineStr">
        <is>
          <t>Gross Profit</t>
        </is>
      </c>
      <c r="C7" s="12" t="n">
        <v>64660863</v>
      </c>
      <c r="D7" s="13" t="n">
        <v>71721775</v>
      </c>
      <c r="E7" s="14">
        <f>IF(ISERROR((C7-D7)/ABS(D7)),"",(C7-D7)/ABS(D7))</f>
        <v>-0.09844865105471803</v>
      </c>
      <c r="F7" s="11" t="inlineStr">
        <is>
          <t>PDF p.83 (印刷頁 82)</t>
        </is>
      </c>
      <c r="G7" s="11" t="inlineStr">
        <is>
          <t>Gross profit 64,660,863 71,721,775</t>
        </is>
      </c>
    </row>
    <row r="8">
      <c r="A8" s="8" t="inlineStr">
        <is>
          <t>Income Statement</t>
        </is>
      </c>
      <c r="B8" s="8" t="inlineStr">
        <is>
          <t>Finance Costs</t>
        </is>
      </c>
      <c r="C8" s="12" t="n">
        <v>-19950415</v>
      </c>
      <c r="D8" s="13" t="n">
        <v>-18770984</v>
      </c>
      <c r="E8" s="14">
        <f>IF(ISERROR((C8-D8)/ABS(D8)),"",(C8-D8)/ABS(D8))</f>
        <v>-0.06283266769605685</v>
      </c>
      <c r="F8" s="11" t="inlineStr">
        <is>
          <t>PDF p.83 (印刷頁 82)</t>
        </is>
      </c>
      <c r="G8" s="11" t="inlineStr">
        <is>
          <t>Finance costs 8 (19,950,415) (18,770,984)</t>
        </is>
      </c>
    </row>
    <row r="9">
      <c r="A9" s="8" t="inlineStr">
        <is>
          <t>Income Statement</t>
        </is>
      </c>
      <c r="B9" s="8" t="inlineStr">
        <is>
          <t>Profit Before Tax</t>
        </is>
      </c>
      <c r="C9" s="12" t="n">
        <v>-38569958</v>
      </c>
      <c r="D9" s="13" t="n">
        <v>-21475852</v>
      </c>
      <c r="E9" s="14">
        <f>IF(ISERROR((C9-D9)/ABS(D9)),"",(C9-D9)/ABS(D9))</f>
        <v>-0.795968700100932</v>
      </c>
      <c r="F9" s="11" t="inlineStr">
        <is>
          <t>PDF p.83 (印刷頁 82)</t>
        </is>
      </c>
      <c r="G9" s="11" t="inlineStr">
        <is>
          <t>Loss before income tax (38,569,958) (21,475,852)</t>
        </is>
      </c>
    </row>
    <row r="10">
      <c r="A10" s="8" t="inlineStr">
        <is>
          <t>Income Statement</t>
        </is>
      </c>
      <c r="B10" s="8" t="inlineStr">
        <is>
          <t>Income Tax</t>
        </is>
      </c>
      <c r="C10" s="12" t="n">
        <v>-3778699</v>
      </c>
      <c r="D10" s="13" t="n">
        <v>-4345315</v>
      </c>
      <c r="E10" s="14">
        <f>IF(ISERROR((C10-D10)/ABS(D10)),"",(C10-D10)/ABS(D10))</f>
        <v>0.13039699078202616</v>
      </c>
      <c r="F10" s="11" t="inlineStr">
        <is>
          <t>PDF p.83 (印刷頁 82)</t>
        </is>
      </c>
      <c r="G10" s="11" t="inlineStr">
        <is>
          <t>Income tax expenses 9 (3,778,699) (4,345,315)</t>
        </is>
      </c>
    </row>
    <row r="11">
      <c r="A11" s="8" t="inlineStr">
        <is>
          <t>Income Statement</t>
        </is>
      </c>
      <c r="B11" s="8" t="inlineStr">
        <is>
          <t>Profit for the Year</t>
        </is>
      </c>
      <c r="C11" s="12" t="n">
        <v>-42348657</v>
      </c>
      <c r="D11" s="13" t="n">
        <v>-25821167</v>
      </c>
      <c r="E11" s="14">
        <f>IF(ISERROR((C11-D11)/ABS(D11)),"",(C11-D11)/ABS(D11))</f>
        <v>-0.6400752529891465</v>
      </c>
      <c r="F11" s="11" t="inlineStr">
        <is>
          <t>PDF p.83 (印刷頁 82)</t>
        </is>
      </c>
      <c r="G11" s="11" t="inlineStr">
        <is>
          <t>Loss for the year 10 (42,348,657) (25,821,167)</t>
        </is>
      </c>
    </row>
    <row r="12">
      <c r="A12" s="8" t="inlineStr">
        <is>
          <t>Balance Sheet</t>
        </is>
      </c>
      <c r="B12" s="8" t="inlineStr">
        <is>
          <t>Property Plant and Equipment</t>
        </is>
      </c>
      <c r="C12" s="12" t="n">
        <v>317322651</v>
      </c>
      <c r="D12" s="13" t="n">
        <v>292052569</v>
      </c>
      <c r="E12" s="14">
        <f>IF(ISERROR((C12-D12)/ABS(D12)),"",(C12-D12)/ABS(D12))</f>
        <v>0.08652579940154541</v>
      </c>
      <c r="F12" s="11" t="inlineStr">
        <is>
          <t>PDF p.85 (印刷頁 84)</t>
        </is>
      </c>
      <c r="G12" s="11" t="inlineStr">
        <is>
          <t>Property, plant and equipment 16 317,322,651 292,052,569</t>
        </is>
      </c>
    </row>
    <row r="13">
      <c r="A13" s="8" t="inlineStr">
        <is>
          <t>Balance Sheet</t>
        </is>
      </c>
      <c r="B13" s="8" t="inlineStr">
        <is>
          <t>Investment Properties</t>
        </is>
      </c>
      <c r="C13" s="12" t="n">
        <v>744004007</v>
      </c>
      <c r="D13" s="13" t="n">
        <v>669251758</v>
      </c>
      <c r="E13" s="14">
        <f>IF(ISERROR((C13-D13)/ABS(D13)),"",(C13-D13)/ABS(D13))</f>
        <v>0.11169525982776723</v>
      </c>
      <c r="F13" s="11" t="inlineStr">
        <is>
          <t>PDF p.85 (印刷頁 84)</t>
        </is>
      </c>
      <c r="G13" s="11" t="inlineStr">
        <is>
          <t>Investment properties 18 744,004,007 669,251,758</t>
        </is>
      </c>
    </row>
    <row r="14">
      <c r="A14" s="8" t="inlineStr">
        <is>
          <t>Balance Sheet</t>
        </is>
      </c>
      <c r="B14" s="8" t="inlineStr">
        <is>
          <t>Intangible Assets</t>
        </is>
      </c>
      <c r="C14" s="12" t="n">
        <v>981500</v>
      </c>
      <c r="D14" s="13" t="n">
        <v>3201501</v>
      </c>
      <c r="E14" s="14">
        <f>IF(ISERROR((C14-D14)/ABS(D14)),"",(C14-D14)/ABS(D14))</f>
        <v>-0.6934250528111657</v>
      </c>
      <c r="F14" s="11" t="inlineStr">
        <is>
          <t>PDF p.85 (印刷頁 84)</t>
        </is>
      </c>
      <c r="G14" s="11" t="inlineStr">
        <is>
          <t>Intangible assets 20 981,500 3,201,501</t>
        </is>
      </c>
    </row>
    <row r="15">
      <c r="A15" s="8" t="inlineStr">
        <is>
          <t>Balance Sheet</t>
        </is>
      </c>
      <c r="B15" s="8" t="inlineStr">
        <is>
          <t>Inventories</t>
        </is>
      </c>
      <c r="C15" s="12" t="n">
        <v>40506212</v>
      </c>
      <c r="D15" s="13" t="n">
        <v>44756941</v>
      </c>
      <c r="E15" s="14">
        <f>IF(ISERROR((C15-D15)/ABS(D15)),"",(C15-D15)/ABS(D15))</f>
        <v>-0.09497362654878491</v>
      </c>
      <c r="F15" s="11" t="inlineStr">
        <is>
          <t>PDF p.85 (印刷頁 84)</t>
        </is>
      </c>
      <c r="G15" s="11" t="inlineStr">
        <is>
          <t>Inventories 24 40,506,212 44,756,941</t>
        </is>
      </c>
    </row>
    <row r="16">
      <c r="A16" s="8" t="inlineStr">
        <is>
          <t>Balance Sheet</t>
        </is>
      </c>
      <c r="B16" s="8" t="inlineStr">
        <is>
          <t>Trade Receivables</t>
        </is>
      </c>
      <c r="C16" s="12" t="n">
        <v>51627437</v>
      </c>
      <c r="D16" s="13" t="n">
        <v>58287789</v>
      </c>
      <c r="E16" s="14">
        <f>IF(ISERROR((C16-D16)/ABS(D16)),"",(C16-D16)/ABS(D16))</f>
        <v>-0.11426667770843049</v>
      </c>
      <c r="F16" s="11" t="inlineStr">
        <is>
          <t>PDF p.85 (印刷頁 84)</t>
        </is>
      </c>
      <c r="G16" s="11" t="inlineStr">
        <is>
          <t>Trade and other receivables 25 51,627,437 58,287,789</t>
        </is>
      </c>
    </row>
    <row r="17">
      <c r="A17" s="8" t="inlineStr">
        <is>
          <t>Balance Sheet</t>
        </is>
      </c>
      <c r="B17" s="8" t="inlineStr">
        <is>
          <t>Cash and Equivalents</t>
        </is>
      </c>
      <c r="C17" s="12" t="n">
        <v>56106356</v>
      </c>
      <c r="D17" s="13" t="n">
        <v>74468842</v>
      </c>
      <c r="E17" s="14">
        <f>IF(ISERROR((C17-D17)/ABS(D17)),"",(C17-D17)/ABS(D17))</f>
        <v>-0.24657944862362705</v>
      </c>
      <c r="F17" s="11" t="inlineStr">
        <is>
          <t>PDF p.85 (印刷頁 84)</t>
        </is>
      </c>
      <c r="G17" s="11" t="inlineStr">
        <is>
          <t>Cash and cash equivalents 29 56,106,356 74,468,842</t>
        </is>
      </c>
    </row>
    <row r="18">
      <c r="A18" s="8" t="inlineStr">
        <is>
          <t>Balance Sheet</t>
        </is>
      </c>
      <c r="B18" s="8" t="inlineStr">
        <is>
          <t>Total Equity</t>
        </is>
      </c>
      <c r="C18" s="12" t="n">
        <v>1171001165</v>
      </c>
      <c r="D18" s="13" t="n">
        <v>1124119443</v>
      </c>
      <c r="E18" s="14">
        <f>IF(ISERROR((C18-D18)/ABS(D18)),"",(C18-D18)/ABS(D18))</f>
        <v>0.041705285227416886</v>
      </c>
      <c r="F18" s="11" t="inlineStr">
        <is>
          <t>PDF p.86 (印刷頁 85)</t>
        </is>
      </c>
      <c r="G18" s="11" t="inlineStr">
        <is>
          <t>Total equity 1,171,001,165 1,124,119,443</t>
        </is>
      </c>
    </row>
    <row r="19">
      <c r="A19" s="8" t="inlineStr">
        <is>
          <t>Balance Sheet</t>
        </is>
      </c>
      <c r="B19" s="8" t="inlineStr">
        <is>
          <t>Total Current Assets</t>
        </is>
      </c>
      <c r="C19" s="12" t="n">
        <v>260363957</v>
      </c>
      <c r="D19" s="13" t="n">
        <v>241950692</v>
      </c>
      <c r="E19" s="14">
        <f>IF(ISERROR((C19-D19)/ABS(D19)),"",(C19-D19)/ABS(D19))</f>
        <v>0.07610337812135706</v>
      </c>
      <c r="F19" s="11" t="inlineStr">
        <is>
          <t>PDF p.85 (印刷頁 84)</t>
        </is>
      </c>
      <c r="G19" s="11" t="inlineStr">
        <is>
          <t>[current assets 區段小計] 260,363,957 241,950,692</t>
        </is>
      </c>
    </row>
    <row r="20">
      <c r="A20" s="8" t="inlineStr">
        <is>
          <t>Balance Sheet</t>
        </is>
      </c>
      <c r="B20" s="8" t="inlineStr">
        <is>
          <t>Total Current Liabilities</t>
        </is>
      </c>
      <c r="C20" s="12" t="n">
        <v>167522621</v>
      </c>
      <c r="D20" s="13" t="n">
        <v>367953987</v>
      </c>
      <c r="E20" s="14">
        <f>IF(ISERROR((C20-D20)/ABS(D20)),"",(C20-D20)/ABS(D20))</f>
        <v>-0.5447185601497505</v>
      </c>
      <c r="F20" s="11" t="inlineStr">
        <is>
          <t>PDF p.85 (印刷頁 84)</t>
        </is>
      </c>
      <c r="G20" s="11" t="inlineStr">
        <is>
          <t>[current liabilities 區段小計] 167,522,621 367,953,987</t>
        </is>
      </c>
    </row>
    <row r="21">
      <c r="A21" s="8" t="inlineStr">
        <is>
          <t>Cash Flow</t>
        </is>
      </c>
      <c r="B21" s="8" t="inlineStr">
        <is>
          <t>Operating Cash Flow</t>
        </is>
      </c>
      <c r="C21" s="12" t="n">
        <v>31901247</v>
      </c>
      <c r="D21" s="13" t="n">
        <v>60372402</v>
      </c>
      <c r="E21" s="14">
        <f>IF(ISERROR((C21-D21)/ABS(D21)),"",(C21-D21)/ABS(D21))</f>
        <v>-0.4715922185769584</v>
      </c>
      <c r="F21" s="11" t="inlineStr">
        <is>
          <t>PDF p.88 (印刷頁 87)</t>
        </is>
      </c>
      <c r="G21" s="11" t="inlineStr">
        <is>
          <t>Net cash generated from operating activities 31,901,247 60,372,402</t>
        </is>
      </c>
    </row>
    <row r="22">
      <c r="A22" s="8" t="inlineStr">
        <is>
          <t>Cash Flow</t>
        </is>
      </c>
      <c r="B22" s="8" t="inlineStr">
        <is>
          <t>Investing Cash Flow</t>
        </is>
      </c>
      <c r="C22" s="12" t="n">
        <v>-39036834</v>
      </c>
      <c r="D22" s="13" t="n">
        <v>-43215995</v>
      </c>
      <c r="E22" s="14">
        <f>IF(ISERROR((C22-D22)/ABS(D22)),"",(C22-D22)/ABS(D22))</f>
        <v>0.09670403284709747</v>
      </c>
      <c r="F22" s="11" t="inlineStr">
        <is>
          <t>PDF p.88 (印刷頁 87)</t>
        </is>
      </c>
      <c r="G22" s="11" t="inlineStr">
        <is>
          <t>Net cash used in investing activities (39,036,834) (43,215,995)</t>
        </is>
      </c>
    </row>
    <row r="24">
      <c r="A2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財務數據'!$C$5:$C$22,MATCH("Gross Profit",'Financials 財務數據'!$B$5:$B$22,0))/INDEX('Financials 財務數據'!$C$5:$C$22,MATCH("Revenue",'Financials 財務數據'!$B$5:$B$22,0))),"n/a",INDEX('Financials 財務數據'!$C$5:$C$22,MATCH("Gross Profit",'Financials 財務數據'!$B$5:$B$22,0))/INDEX('Financials 財務數據'!$C$5:$C$22,MATCH("Revenue",'Financials 財務數據'!$B$5:$B$22,0)))</f>
        <v>0.2829386503421033</v>
      </c>
      <c r="C5" s="15">
        <f>IF(ISERROR(INDEX('Financials 財務數據'!$D$5:$D$22,MATCH("Gross Profit",'Financials 財務數據'!$B$5:$B$22,0))/INDEX('Financials 財務數據'!$D$5:$D$22,MATCH("Revenue",'Financials 財務數據'!$B$5:$B$22,0))),"n/a",INDEX('Financials 財務數據'!$D$5:$D$22,MATCH("Gross Profit",'Financials 財務數據'!$B$5:$B$22,0))/INDEX('Financials 財務數據'!$D$5:$D$22,MATCH("Revenue",'Financials 財務數據'!$B$5:$B$22,0)))</f>
        <v>0.3087989032175296</v>
      </c>
      <c r="D5" s="2" t="inlineStr">
        <is>
          <t>毛利 ÷ 收入</t>
        </is>
      </c>
    </row>
    <row r="6">
      <c r="A6" s="4" t="inlineStr">
        <is>
          <t>Net Margin 淨利率</t>
        </is>
      </c>
      <c r="B6" s="15">
        <f>IF(ISERROR(INDEX('Financials 財務數據'!$C$5:$C$22,MATCH("Profit for the Year",'Financials 財務數據'!$B$5:$B$22,0))/INDEX('Financials 財務數據'!$C$5:$C$22,MATCH("Revenue",'Financials 財務數據'!$B$5:$B$22,0))),"n/a",INDEX('Financials 財務數據'!$C$5:$C$22,MATCH("Profit for the Year",'Financials 財務數據'!$B$5:$B$22,0))/INDEX('Financials 財務數據'!$C$5:$C$22,MATCH("Revenue",'Financials 財務數據'!$B$5:$B$22,0)))</f>
        <v>-0.1853064017314564</v>
      </c>
      <c r="C6" s="15">
        <f>IF(ISERROR(INDEX('Financials 財務數據'!$D$5:$D$22,MATCH("Profit for the Year",'Financials 財務數據'!$B$5:$B$22,0))/INDEX('Financials 財務數據'!$D$5:$D$22,MATCH("Revenue",'Financials 財務數據'!$B$5:$B$22,0))),"n/a",INDEX('Financials 財務數據'!$D$5:$D$22,MATCH("Profit for the Year",'Financials 財務數據'!$B$5:$B$22,0))/INDEX('Financials 財務數據'!$D$5:$D$22,MATCH("Revenue",'Financials 財務數據'!$B$5:$B$22,0)))</f>
        <v>-0.11117332287714113</v>
      </c>
      <c r="D6" s="2" t="inlineStr">
        <is>
          <t>年內溢利 ÷ 收入</t>
        </is>
      </c>
    </row>
    <row r="7">
      <c r="A7" s="4" t="inlineStr">
        <is>
          <t>Current Ratio 流動比率</t>
        </is>
      </c>
      <c r="B7" s="16">
        <f>IF(ISERROR(INDEX('Financials 財務數據'!$C$5:$C$22,MATCH("Total Current Assets",'Financials 財務數據'!$B$5:$B$22,0))/INDEX('Financials 財務數據'!$C$5:$C$22,MATCH("Total Current Liabilities",'Financials 財務數據'!$B$5:$B$22,0))),"n/a",INDEX('Financials 財務數據'!$C$5:$C$22,MATCH("Total Current Assets",'Financials 財務數據'!$B$5:$B$22,0))/INDEX('Financials 財務數據'!$C$5:$C$22,MATCH("Total Current Liabilities",'Financials 財務數據'!$B$5:$B$22,0)))</f>
        <v>1.5542017874708396</v>
      </c>
      <c r="C7" s="16">
        <f>IF(ISERROR(INDEX('Financials 財務數據'!$D$5:$D$22,MATCH("Total Current Assets",'Financials 財務數據'!$B$5:$B$22,0))/INDEX('Financials 財務數據'!$D$5:$D$22,MATCH("Total Current Liabilities",'Financials 財務數據'!$B$5:$B$22,0))),"n/a",INDEX('Financials 財務數據'!$D$5:$D$22,MATCH("Total Current Assets",'Financials 財務數據'!$B$5:$B$22,0))/INDEX('Financials 財務數據'!$D$5:$D$22,MATCH("Total Current Liabilities",'Financials 財務數據'!$B$5:$B$22,0)))</f>
        <v>0.657556924366198</v>
      </c>
      <c r="D7" s="2" t="inlineStr">
        <is>
          <t>流動資產 ÷ 流動負債</t>
        </is>
      </c>
    </row>
    <row r="8">
      <c r="A8" s="4" t="inlineStr">
        <is>
          <t>Debt / Equity 負債權益比</t>
        </is>
      </c>
      <c r="B8" s="16" t="str">
        <f>IF(ISERROR(INDEX('Financials 財務數據'!$C$5:$C$22,MATCH("Total Liabilities",'Financials 財務數據'!$B$5:$B$22,0))/INDEX('Financials 財務數據'!$C$5:$C$22,MATCH("Total Equity",'Financials 財務數據'!$B$5:$B$22,0))),"n/a",INDEX('Financials 財務數據'!$C$5:$C$22,MATCH("Total Liabilities",'Financials 財務數據'!$B$5:$B$22,0))/INDEX('Financials 財務數據'!$C$5:$C$22,MATCH("Total Equity",'Financials 財務數據'!$B$5:$B$22,0)))</f>
        <v>n/a</v>
      </c>
      <c r="C8" s="16" t="str">
        <f>IF(ISERROR(INDEX('Financials 財務數據'!$D$5:$D$22,MATCH("Total Liabilities",'Financials 財務數據'!$B$5:$B$22,0))/INDEX('Financials 財務數據'!$D$5:$D$22,MATCH("Total Equity",'Financials 財務數據'!$B$5:$B$22,0))),"n/a",INDEX('Financials 財務數據'!$D$5:$D$22,MATCH("Total Liabilities",'Financials 財務數據'!$B$5:$B$22,0))/INDEX('Financials 財務數據'!$D$5:$D$22,MATCH("Total Equity",'Financials 財務數據'!$B$5:$B$22,0)))</f>
        <v>n/a</v>
      </c>
      <c r="D8" s="2" t="inlineStr">
        <is>
          <t>總負債 ÷ 總權益</t>
        </is>
      </c>
    </row>
    <row r="9">
      <c r="A9" s="4" t="inlineStr">
        <is>
          <t>Goodwill / Total Assets</t>
        </is>
      </c>
      <c r="B9" s="15" t="str">
        <f>IF(ISERROR(INDEX('Financials 財務數據'!$C$5:$C$22,MATCH("Goodwill",'Financials 財務數據'!$B$5:$B$22,0))/INDEX('Financials 財務數據'!$C$5:$C$22,MATCH("Total Assets",'Financials 財務數據'!$B$5:$B$22,0))),"n/a",INDEX('Financials 財務數據'!$C$5:$C$22,MATCH("Goodwill",'Financials 財務數據'!$B$5:$B$22,0))/INDEX('Financials 財務數據'!$C$5:$C$22,MATCH("Total Assets",'Financials 財務數據'!$B$5:$B$22,0)))</f>
        <v>n/a</v>
      </c>
      <c r="C9" s="15" t="str">
        <f>IF(ISERROR(INDEX('Financials 財務數據'!$D$5:$D$22,MATCH("Goodwill",'Financials 財務數據'!$B$5:$B$22,0))/INDEX('Financials 財務數據'!$D$5:$D$22,MATCH("Total Assets",'Financials 財務數據'!$B$5:$B$22,0))),"n/a",INDEX('Financials 財務數據'!$D$5:$D$22,MATCH("Goodwill",'Financials 財務數據'!$B$5:$B$22,0))/INDEX('Financials 財務數據'!$D$5:$D$22,MATCH("Total Assets",'Financials 財務數據'!$B$5:$B$22,0)))</f>
        <v>n/a</v>
      </c>
      <c r="D9" s="2" t="inlineStr">
        <is>
          <t>商譽佔總資產比重 — 減值風險指標</t>
        </is>
      </c>
    </row>
    <row r="10">
      <c r="A10" s="4" t="inlineStr">
        <is>
          <t>Intangibles / Total Assets</t>
        </is>
      </c>
      <c r="B10" s="15" t="str">
        <f>IF(ISERROR(INDEX('Financials 財務數據'!$C$5:$C$22,MATCH("Intangible Assets",'Financials 財務數據'!$B$5:$B$22,0))/INDEX('Financials 財務數據'!$C$5:$C$22,MATCH("Total Assets",'Financials 財務數據'!$B$5:$B$22,0))),"n/a",INDEX('Financials 財務數據'!$C$5:$C$22,MATCH("Intangible Assets",'Financials 財務數據'!$B$5:$B$22,0))/INDEX('Financials 財務數據'!$C$5:$C$22,MATCH("Total Assets",'Financials 財務數據'!$B$5:$B$22,0)))</f>
        <v>n/a</v>
      </c>
      <c r="C10" s="15" t="str">
        <f>IF(ISERROR(INDEX('Financials 財務數據'!$D$5:$D$22,MATCH("Intangible Assets",'Financials 財務數據'!$B$5:$B$22,0))/INDEX('Financials 財務數據'!$D$5:$D$22,MATCH("Total Assets",'Financials 財務數據'!$B$5:$B$22,0))),"n/a",INDEX('Financials 財務數據'!$D$5:$D$22,MATCH("Intangible Assets",'Financials 財務數據'!$B$5:$B$22,0))/INDEX('Financials 財務數據'!$D$5:$D$22,MATCH("Total Assets",'Financials 財務數據'!$B$5:$B$22,0)))</f>
        <v>n/a</v>
      </c>
      <c r="D10" s="2" t="inlineStr">
        <is>
          <t>無形資產佔比</t>
        </is>
      </c>
    </row>
    <row r="11">
      <c r="A11" s="4" t="inlineStr">
        <is>
          <t>ROE 股本回報率</t>
        </is>
      </c>
      <c r="B11" s="15">
        <f>IF(ISERROR(INDEX('Financials 財務數據'!$C$5:$C$22,MATCH("Profit for the Year",'Financials 財務數據'!$B$5:$B$22,0))/INDEX('Financials 財務數據'!$C$5:$C$22,MATCH("Total Equity",'Financials 財務數據'!$B$5:$B$22,0))),"n/a",INDEX('Financials 財務數據'!$C$5:$C$22,MATCH("Profit for the Year",'Financials 財務數據'!$B$5:$B$22,0))/INDEX('Financials 財務數據'!$C$5:$C$22,MATCH("Total Equity",'Financials 財務數據'!$B$5:$B$22,0)))</f>
        <v>-0.03616448750501457</v>
      </c>
      <c r="C11" s="15">
        <f>IF(ISERROR(INDEX('Financials 財務數據'!$D$5:$D$22,MATCH("Profit for the Year",'Financials 財務數據'!$B$5:$B$22,0))/INDEX('Financials 財務數據'!$D$5:$D$22,MATCH("Total Equity",'Financials 財務數據'!$B$5:$B$22,0))),"n/a",INDEX('Financials 財務數據'!$D$5:$D$22,MATCH("Profit for the Year",'Financials 財務數據'!$B$5:$B$22,0))/INDEX('Financials 財務數據'!$D$5:$D$22,MATCH("Total Equity",'Financials 財務數據'!$B$5:$B$22,0)))</f>
        <v>-0.02297012756143566</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232260459</v>
      </c>
      <c r="C5" s="18" t="n">
        <v>228533157</v>
      </c>
    </row>
    <row r="6">
      <c r="A6" s="4" t="inlineStr">
        <is>
          <t>Gross Profit</t>
        </is>
      </c>
      <c r="B6" s="18" t="n">
        <v>71721775</v>
      </c>
      <c r="C6" s="18" t="n">
        <v>64660863</v>
      </c>
    </row>
    <row r="7">
      <c r="A7" s="4" t="inlineStr">
        <is>
          <t>Profit Before Tax</t>
        </is>
      </c>
      <c r="B7" s="18" t="n">
        <v>-21475852</v>
      </c>
      <c r="C7" s="18" t="n">
        <v>-38569958</v>
      </c>
    </row>
    <row r="8">
      <c r="A8" s="4" t="inlineStr">
        <is>
          <t>Profit for the Year</t>
        </is>
      </c>
      <c r="B8" s="18" t="n">
        <v>-25821167</v>
      </c>
      <c r="C8" s="18" t="n">
        <v>-42348657</v>
      </c>
    </row>
    <row r="9">
      <c r="A9" s="4" t="inlineStr">
        <is>
          <t>Total Equity</t>
        </is>
      </c>
      <c r="B9" s="18" t="n">
        <v>1124119443</v>
      </c>
      <c r="C9" s="18" t="n">
        <v>1171001165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98"/>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unobservable input</t>
        </is>
      </c>
      <c r="E4" s="11" t="inlineStr">
        <is>
          <t>PDF p.77 (印刷頁 76)</t>
        </is>
      </c>
      <c r="F4" s="11" t="inlineStr">
        <is>
          <t>Group’s investment properties requires Valuers about the valuation methodologies, significant management estimation and significant unobservable inputs and critical judgement, taking into account the conditions judgement on key inputs and data used in and locations of the properties, as well as the valuations; the latest market transactions. The Group has engaged independent external valuers – assessing the reasonableness of valuation (“Valuers”) to perform valuations on the methodologies used by the Valuers; investment proper</t>
        </is>
      </c>
    </row>
    <row r="5">
      <c r="A5" s="8" t="inlineStr">
        <is>
          <t>Fair Value Measurement</t>
        </is>
      </c>
      <c r="B5" s="8" t="inlineStr">
        <is>
          <t>公允價值計量</t>
        </is>
      </c>
      <c r="C5" s="19" t="inlineStr">
        <is>
          <t>high</t>
        </is>
      </c>
      <c r="D5" s="11" t="inlineStr">
        <is>
          <t>unobservable input</t>
        </is>
      </c>
      <c r="E5" s="11" t="inlineStr">
        <is>
          <t>PDF p.79 (印刷頁 78)</t>
        </is>
      </c>
      <c r="F5" s="11" t="inlineStr">
        <is>
          <t>ning an understanding from the the Philippines associates is summarised below: Valuer about the valuation methodologies, significant unobservable inputs and critical • Valuation of investment properties – judgement on key inputs and data used in The investment properties held by the the valuations; Philippines associates represent parcels of land situated in the Philippines (the – assessing the reasonableness of valuation “Land”). As at 31 March 2026, the methodologies used by the Valuer; investment properties of the Philippine</t>
        </is>
      </c>
    </row>
    <row r="6">
      <c r="A6" s="8" t="inlineStr">
        <is>
          <t>Fair Value Measurement</t>
        </is>
      </c>
      <c r="B6" s="8" t="inlineStr">
        <is>
          <t>公允價值計量</t>
        </is>
      </c>
      <c r="C6" s="19" t="inlineStr">
        <is>
          <t>high</t>
        </is>
      </c>
      <c r="D6" s="11" t="inlineStr">
        <is>
          <t>fair value hierarchy</t>
        </is>
      </c>
      <c r="E6" s="11" t="inlineStr">
        <is>
          <t>PDF p.140 (印刷頁 139)</t>
        </is>
      </c>
      <c r="F6" s="11" t="inlineStr">
        <is>
          <t>s measured at fair value in the consolidated statement of financial position on a recurring basis, categorise into three levels of a fair value hierarchy. The levels are based on the observability and significance of inputs to the measurements, as follows: Level 1: quoted prices (unadjusted) in active markets for identical assets and liabilities. Level 2: inputs other than quoted prices included within Level 1 that are observable for the asset or liability, either directly or indirectly, and not using significant unobservable i</t>
        </is>
      </c>
    </row>
    <row r="7">
      <c r="A7" s="8" t="inlineStr">
        <is>
          <t>Fair Value Measurement</t>
        </is>
      </c>
      <c r="B7" s="8" t="inlineStr">
        <is>
          <t>公允價值計量</t>
        </is>
      </c>
      <c r="C7" s="19" t="inlineStr">
        <is>
          <t>high</t>
        </is>
      </c>
      <c r="D7" s="11" t="inlineStr">
        <is>
          <t>fair value hierarchy</t>
        </is>
      </c>
      <c r="E7" s="11" t="inlineStr">
        <is>
          <t>PDF p.141 (印刷頁 140)</t>
        </is>
      </c>
      <c r="F7" s="11" t="inlineStr">
        <is>
          <t>669,251,758 669,251,758 The fair values of the Group’s investment properties at 31 March 2026 and 2025 are categorised under Level 3 fair value hierarchy. There were no transfers into or out of Level 3 during both years. 140 SOUTHEAST ASIA PROPERTIES &amp; FINANCE LIMITED</t>
        </is>
      </c>
    </row>
    <row r="8">
      <c r="A8" s="8" t="inlineStr">
        <is>
          <t>Fair Value Measurement</t>
        </is>
      </c>
      <c r="B8" s="8" t="inlineStr">
        <is>
          <t>公允價值計量</t>
        </is>
      </c>
      <c r="C8" s="19" t="inlineStr">
        <is>
          <t>high</t>
        </is>
      </c>
      <c r="D8" s="11" t="inlineStr">
        <is>
          <t>fair value hierarchy</t>
        </is>
      </c>
      <c r="E8" s="11" t="inlineStr">
        <is>
          <t>PDF p.142 (印刷頁 141)</t>
        </is>
      </c>
      <c r="F8" s="11" t="inlineStr">
        <is>
          <t>statement of profit or loss. Set out below are information about the fair values of investment properties categorised under Level 3 fair value hierarchy: Significant Valuation techniques unobservable input Range Investment properties Income approach Expected monthly 2026: HK$62 to HK$91 located outside (note (a)) rental value per sqm (2025: HK$65 to Hong Kong HK$90 per sqm) Reversionary yield 2026: 1.6% to 6.5% (2025: 1.5% to 6.5%) Market comparison Discount/Premium on 2026: -46% to -15% approach (note (b)) characteristics of</t>
        </is>
      </c>
    </row>
    <row r="9">
      <c r="A9" s="8" t="inlineStr">
        <is>
          <t>Fair Value Measurement</t>
        </is>
      </c>
      <c r="B9" s="8" t="inlineStr">
        <is>
          <t>公允價值計量</t>
        </is>
      </c>
      <c r="C9" s="19" t="inlineStr">
        <is>
          <t>high</t>
        </is>
      </c>
      <c r="D9" s="11" t="inlineStr">
        <is>
          <t>unobservable input</t>
        </is>
      </c>
      <c r="E9" s="11" t="inlineStr">
        <is>
          <t>PDF p.143 (印刷頁 142)</t>
        </is>
      </c>
      <c r="F9" s="11" t="inlineStr">
        <is>
          <t>tes adjustments for factors specific to the properties, including plot size, location, encumbrances and current use. The significant unobservable input is the premium/discount on quality of the buildings. The extent and direction of the premium/discount depends on the number and characteristics of the observable market transactions in similar properties that are used as the starting point for valuation. Although this input is a subjective judgement, the management considers that the overall valuation would not be materially aff</t>
        </is>
      </c>
    </row>
    <row r="10">
      <c r="A10" s="8" t="inlineStr">
        <is>
          <t>Fair Value Measurement</t>
        </is>
      </c>
      <c r="B10" s="8" t="inlineStr">
        <is>
          <t>公允價值計量</t>
        </is>
      </c>
      <c r="C10" s="19" t="inlineStr">
        <is>
          <t>high</t>
        </is>
      </c>
      <c r="D10" s="11" t="inlineStr">
        <is>
          <t>fair value hierarchy</t>
        </is>
      </c>
      <c r="E10" s="11" t="inlineStr">
        <is>
          <t>PDF p.183 (印刷頁 182)</t>
        </is>
      </c>
      <c r="F10" s="11" t="inlineStr">
        <is>
          <t>assets and liabilities measured at fair value in the consolidated statement of financial position are grouped into three levels of a fair value hierarchy. The three levels are defined based on the observability and significance of inputs to the measurements, as follows: Level 1: quoted prices (unadjusted) in active markets for identical assets and liabilities. Level 2: inputs other than quoted prices included within Level 1 that are observable for the asset or liability, either directly or indirectly, and not using significant</t>
        </is>
      </c>
    </row>
    <row r="11">
      <c r="A11" s="8" t="inlineStr">
        <is>
          <t>Fair Value Measurement</t>
        </is>
      </c>
      <c r="B11" s="8" t="inlineStr">
        <is>
          <t>公允價值計量</t>
        </is>
      </c>
      <c r="C11" s="19" t="inlineStr">
        <is>
          <t>high</t>
        </is>
      </c>
      <c r="D11" s="11" t="inlineStr">
        <is>
          <t>fair value hierarchy</t>
        </is>
      </c>
      <c r="E11" s="11" t="inlineStr">
        <is>
          <t>PDF p.184 (印刷頁 183)</t>
        </is>
      </c>
      <c r="F11" s="11" t="inlineStr">
        <is>
          <t>and liabilities measured at fair value in the consolidated statement of financial position on a recurring basis are grouped into the fair value hierarchy as follows: Level 1 Level 2 Level 3 Total HK$ HK$ HK$ HK$ 2026 Financial assets Financial assets at FVTPL – Listed equity securities 36,743,500 – – 36,743,500 Financial assets at FVOCI (non-recycling) – Unlisted equity investments – – 110,664,827 110,664,827 36,743,500 – 110,664,827 147,408,327 2025 Financial assets Financial assets at FVTPL – Listed equity securities 27,052,0</t>
        </is>
      </c>
    </row>
    <row r="12">
      <c r="A12" s="8" t="inlineStr">
        <is>
          <t>Fair Value Measurement</t>
        </is>
      </c>
      <c r="B12" s="8" t="inlineStr">
        <is>
          <t>公允價值計量</t>
        </is>
      </c>
      <c r="C12" s="19" t="inlineStr">
        <is>
          <t>high</t>
        </is>
      </c>
      <c r="D12" s="11" t="inlineStr">
        <is>
          <t>fair value hierarchy</t>
        </is>
      </c>
      <c r="E12" s="11" t="inlineStr">
        <is>
          <t>PDF p.185 (印刷頁 184)</t>
        </is>
      </c>
      <c r="F12" s="11" t="inlineStr">
        <is>
          <t>in Chinese Mainland The reconciliation of the carrying amounts of the Group’s financial instruments classified within Level 3 of the fair value hierarchy is as follows: 2026 2025 HK$ HK$ Fair value at 1 April 95,416,457 90,985,137 Fair value gain recognised in other comprehensive income 14,045,845 4,711,636 Exchange gain/(loss) 1,202,525 (280,316) Fair value at 31 March 110,664,827 95,416,457 Fair value gain on unlisted equity investments is recognised in other comprehensive income and included under “Fair value reserve (non-re</t>
        </is>
      </c>
    </row>
    <row r="13">
      <c r="A13" s="8" t="inlineStr">
        <is>
          <t>Impairment Testing</t>
        </is>
      </c>
      <c r="B13" s="8" t="inlineStr">
        <is>
          <t>減值測試</t>
        </is>
      </c>
      <c r="C13" s="19" t="inlineStr">
        <is>
          <t>high</t>
        </is>
      </c>
      <c r="D13" s="11" t="inlineStr">
        <is>
          <t>impairment loss</t>
        </is>
      </c>
      <c r="E13" s="11" t="inlineStr">
        <is>
          <t>PDF p.87 (印刷頁 86)</t>
        </is>
      </c>
      <c r="F13" s="11" t="inlineStr">
        <is>
          <t>erties reclassified from owner-occupied properties to investment properties. The accumulated increase in fair value in excess of any impairment losses recognised at the date of reclassification is included in property revaluation reserve, which will be transferred to retained profits upon retirement or disposal of the relevant property. * The reserves accounts comprise the Group’s reserves of HK$916,072,376 (2025: HK$869,311,831) in the consolidated statement of financial position. The notes on pages 88 to 188 are an integral p</t>
        </is>
      </c>
    </row>
    <row r="14">
      <c r="A14" s="8" t="inlineStr">
        <is>
          <t>Impairment Testing</t>
        </is>
      </c>
      <c r="B14" s="8" t="inlineStr">
        <is>
          <t>減值測試</t>
        </is>
      </c>
      <c r="C14" s="19" t="inlineStr">
        <is>
          <t>high</t>
        </is>
      </c>
      <c r="D14" s="11" t="inlineStr">
        <is>
          <t>impairment loss</t>
        </is>
      </c>
      <c r="E14" s="11" t="inlineStr">
        <is>
          <t>PDF p.91 (印刷頁 90)</t>
        </is>
      </c>
      <c r="F14" s="11" t="inlineStr">
        <is>
          <t>interests and the owners of the Company. In the Company’s statement of financial position, subsidiaries are carried at cost less any impairment loss unless the subsidiary is held for sale or included in a disposal group. Cost is adjusted to reflect changes in consideration arising from contingent consideration amendments. Cost also includes direct attributable costs of investment. The results of subsidiaries are accounted for by the Company on the basis of dividends received and receivable at the end of the reporting period. Al</t>
        </is>
      </c>
    </row>
    <row r="15">
      <c r="A15" s="8" t="inlineStr">
        <is>
          <t>Impairment Testing</t>
        </is>
      </c>
      <c r="B15" s="8" t="inlineStr">
        <is>
          <t>減值測試</t>
        </is>
      </c>
      <c r="C15" s="19" t="inlineStr">
        <is>
          <t>high</t>
        </is>
      </c>
      <c r="D15" s="11" t="inlineStr">
        <is>
          <t>impairment loss</t>
        </is>
      </c>
      <c r="E15" s="11" t="inlineStr">
        <is>
          <t>PDF p.92 (印刷頁 91)</t>
        </is>
      </c>
      <c r="F15" s="11" t="inlineStr">
        <is>
          <t>carried at cost and adjusted for the post-acquisition changes in the Group’s share of the associate’s net assets less any identified impairment loss, unless it is classified as held for sale (or included in a disposal group that is classified as held for sale). The profit or loss for the year includes the Group’s share of the post-acquisition, post-tax results of the associate for the year, including any impairment loss on the investment in associate recognised for the year. The Group’s other comprehensive income for the year i</t>
        </is>
      </c>
    </row>
    <row r="16">
      <c r="A16" s="8" t="inlineStr">
        <is>
          <t>Impairment Testing</t>
        </is>
      </c>
      <c r="B16" s="8" t="inlineStr">
        <is>
          <t>減值測試</t>
        </is>
      </c>
      <c r="C16" s="19" t="inlineStr">
        <is>
          <t>high</t>
        </is>
      </c>
      <c r="D16" s="11" t="inlineStr">
        <is>
          <t>impairment loss</t>
        </is>
      </c>
      <c r="E16" s="11" t="inlineStr">
        <is>
          <t>PDF p.94 (印刷頁 93)</t>
        </is>
      </c>
      <c r="F16" s="11" t="inlineStr">
        <is>
          <t>n the manner intended by the Group’s management). They are subsequently stated at cost less accumulated depreciation and accumulated impairment losses, if any. Construction in progress are carried at cost, less any recognised impairment loss. They are classified to the appropriate categories of property, plant and equipment when completed and ready for intended use. Depreciation of these assets, on the same basis as other assets, commences when the assets are ready for their intended use. Depreciation is recognised so as to wri</t>
        </is>
      </c>
    </row>
    <row r="17">
      <c r="A17" s="8" t="inlineStr">
        <is>
          <t>Impairment Testing</t>
        </is>
      </c>
      <c r="B17" s="8" t="inlineStr">
        <is>
          <t>減值測試</t>
        </is>
      </c>
      <c r="C17" s="19" t="inlineStr">
        <is>
          <t>high</t>
        </is>
      </c>
      <c r="D17" s="11" t="inlineStr">
        <is>
          <t>impairment loss</t>
        </is>
      </c>
      <c r="E17" s="11" t="inlineStr">
        <is>
          <t>PDF p.95 (印刷頁 94)</t>
        </is>
      </c>
      <c r="F17" s="11" t="inlineStr">
        <is>
          <t>cost. After initial recognition, intangible assets with indefinite useful lives are carried at cost less any subsequent accumulated impairment losses. The assets’ amortisation methods and useful lives are reviewed, and adjusted if appropriate, at the end of each reporting period. Intangible assets with indefinite useful lives are tested for impairment as described below in note 2.18. 94 SOUTHEAST ASIA PROPERTIES &amp; FINANCE LIMITED</t>
        </is>
      </c>
    </row>
    <row r="18">
      <c r="A18" s="8" t="inlineStr">
        <is>
          <t>Impairment Testing</t>
        </is>
      </c>
      <c r="B18" s="8" t="inlineStr">
        <is>
          <t>減值測試</t>
        </is>
      </c>
      <c r="C18" s="19" t="inlineStr">
        <is>
          <t>high</t>
        </is>
      </c>
      <c r="D18" s="11" t="inlineStr">
        <is>
          <t>impairment test</t>
        </is>
      </c>
      <c r="E18" s="11" t="inlineStr">
        <is>
          <t>PDF p.108 (印刷頁 107)</t>
        </is>
      </c>
      <c r="F18" s="11" t="inlineStr">
        <is>
          <t>income” in the consolidated statement of profit or loss. 2.18 Impairment of non-financial assets The following assets are subject to impairment testing: • Intangible assets; • Property, plant and equipment; • Interests in associates; • Right-of-use assets; and • The Company’s interests in subsidiaries and associates Intangible assets with indefinite useful life or those not yet available for use are tested for impairment at least annually, irrespective of whether there is any indication that they are impaired. All other assets</t>
        </is>
      </c>
    </row>
    <row r="19">
      <c r="A19" s="8" t="inlineStr">
        <is>
          <t>Impairment Testing</t>
        </is>
      </c>
      <c r="B19" s="8" t="inlineStr">
        <is>
          <t>減值測試</t>
        </is>
      </c>
      <c r="C19" s="19" t="inlineStr">
        <is>
          <t>high</t>
        </is>
      </c>
      <c r="D19" s="11" t="inlineStr">
        <is>
          <t>impairment loss</t>
        </is>
      </c>
      <c r="E19" s="11" t="inlineStr">
        <is>
          <t>PDF p.109 (印刷頁 108)</t>
        </is>
      </c>
      <c r="F19" s="11" t="inlineStr">
        <is>
          <t>or the year ended 31 March 2026 2. SUMMARY OF MATERIAL ACCOUNTING POLICIES (Cont’d) 2.18 Impairment of non-financial assets (Cont’d) Impairment loss is charged pro rata to the assets in the cash generating unit, except that the carrying value of an asset will not be reduced below its individual fair value less cost of disposal, or value in use, if determinable. An impairment loss is reversed if there has been a favourable change in the estimates used to determine the asset’s recoverable amount and only to the extent that the as</t>
        </is>
      </c>
    </row>
    <row r="20">
      <c r="A20" s="8" t="inlineStr">
        <is>
          <t>Impairment Testing</t>
        </is>
      </c>
      <c r="B20" s="8" t="inlineStr">
        <is>
          <t>減值測試</t>
        </is>
      </c>
      <c r="C20" s="19" t="inlineStr">
        <is>
          <t>high</t>
        </is>
      </c>
      <c r="D20" s="11" t="inlineStr">
        <is>
          <t>impairment loss</t>
        </is>
      </c>
      <c r="E20" s="11" t="inlineStr">
        <is>
          <t>PDF p.120 (印刷頁 119)</t>
        </is>
      </c>
      <c r="F20" s="11" t="inlineStr">
        <is>
          <t>of appropriate discount rates. Future changes in financial performance and position of these entities would affect the estimation of impairment loss and cause adjustments to their carrying amounts. During the years ended 31 March 2026 and 2025, no impairment loss was provided for interests in associates. Annual Report 2025 / 26 119</t>
        </is>
      </c>
    </row>
    <row r="21">
      <c r="A21" s="8" t="inlineStr">
        <is>
          <t>Impairment Testing</t>
        </is>
      </c>
      <c r="B21" s="8" t="inlineStr">
        <is>
          <t>減值測試</t>
        </is>
      </c>
      <c r="C21" s="19" t="inlineStr">
        <is>
          <t>high</t>
        </is>
      </c>
      <c r="D21" s="11" t="inlineStr">
        <is>
          <t>impairment loss</t>
        </is>
      </c>
      <c r="E21" s="11" t="inlineStr">
        <is>
          <t>PDF p.123 (印刷頁 122)</t>
        </is>
      </c>
      <c r="F21" s="11" t="inlineStr">
        <is>
          <t>,298 162,055 190,616 21,769,863 8,215,896 Gain on disposal of intangible asset – – – – – – (5,000,000) – (5,000,000) – Provision for impairment loss on intangible asset – – – – – – 2,220,001 300,000 2,220,001 300,000 (Reversal of)/Provision for ECL allowance of trade and other receivables – – – – (1,225,193) 1,316,251 (25,656) 738,377 (1,250,849) 2,054,628 122 SOUTHEAST ASIA PROPERTIES &amp; FINANCE LIMITED</t>
        </is>
      </c>
    </row>
    <row r="22">
      <c r="A22" s="8" t="inlineStr">
        <is>
          <t>Impairment Testing</t>
        </is>
      </c>
      <c r="B22" s="8" t="inlineStr">
        <is>
          <t>減值測試</t>
        </is>
      </c>
      <c r="C22" s="19" t="inlineStr">
        <is>
          <t>high</t>
        </is>
      </c>
      <c r="D22" s="11" t="inlineStr">
        <is>
          <t>impairment loss</t>
        </is>
      </c>
      <c r="E22" s="11" t="inlineStr">
        <is>
          <t>PDF p.132 (印刷頁 131)</t>
        </is>
      </c>
      <c r="F22" s="11" t="inlineStr">
        <is>
          <t>Gain on disposal of investment properties (10,000) – Loss on deemed disposal of interest in an associate – 15,661,473 Provision for impairment loss on intangible asset 2,220,001 300,000 Exchange (gain)/loss, net (1,349,289) 1,055,468 Note: Depreciation of property, plant and equipment had been included in cost of sales and services and administrative expenses of HK$17,111,319 (2025: HK$3,238,846) and HK$4,658,544 (2025: HK$4,977,050), respectively. Annual Report 2025 / 26 131</t>
        </is>
      </c>
    </row>
    <row r="23">
      <c r="A23" s="8" t="inlineStr">
        <is>
          <t>Impairment Testing</t>
        </is>
      </c>
      <c r="B23" s="8" t="inlineStr">
        <is>
          <t>減值測試</t>
        </is>
      </c>
      <c r="C23" s="19" t="inlineStr">
        <is>
          <t>high</t>
        </is>
      </c>
      <c r="D23" s="11" t="inlineStr">
        <is>
          <t>impairment loss</t>
        </is>
      </c>
      <c r="E23" s="11" t="inlineStr">
        <is>
          <t>PDF p.143 (印刷頁 142)</t>
        </is>
      </c>
      <c r="F23" s="11" t="inlineStr">
        <is>
          <t>ost-acquisition profits and other comprehensive income (including reserves), net of dividends received 249,917,395 262,725,300 Less: impairment loss recognised on amounts due from associates (note (b)) (16,446,598) (16,446,598) 257,379,035 270,186,940 142 SOUTHEAST ASIA PROPERTIES &amp; FINANCE LIMITED</t>
        </is>
      </c>
    </row>
    <row r="24">
      <c r="A24" s="8" t="inlineStr">
        <is>
          <t>Impairment Testing</t>
        </is>
      </c>
      <c r="B24" s="8" t="inlineStr">
        <is>
          <t>減值測試</t>
        </is>
      </c>
      <c r="C24" s="19" t="inlineStr">
        <is>
          <t>high</t>
        </is>
      </c>
      <c r="D24" s="11" t="inlineStr">
        <is>
          <t>impairment loss</t>
        </is>
      </c>
      <c r="E24" s="11" t="inlineStr">
        <is>
          <t>PDF p.144 (印刷頁 143)</t>
        </is>
      </c>
      <c r="F24" s="11" t="inlineStr">
        <is>
          <t>n, forecast business development and future prospects of the associates. Based on these assessments, the directors concluded that no impairment loss was reversed (2025: HK$Nil). The following list contains only the particulars of associates, all of which are unlisted corporate entities whose quoted market prices are not available, which in the opinion of the directors principally affected the results or net assets of the Group as at 31 March 2026 and 2025. Proportion of ownership interest Country/Place of held by the Group inco</t>
        </is>
      </c>
    </row>
    <row r="25">
      <c r="A25" s="8" t="inlineStr">
        <is>
          <t>Impairment Testing</t>
        </is>
      </c>
      <c r="B25" s="8" t="inlineStr">
        <is>
          <t>減值測試</t>
        </is>
      </c>
      <c r="C25" s="19" t="inlineStr">
        <is>
          <t>high</t>
        </is>
      </c>
      <c r="D25" s="11" t="inlineStr">
        <is>
          <t>impairment test</t>
        </is>
      </c>
      <c r="E25" s="11" t="inlineStr">
        <is>
          <t>PDF p.151 (印刷頁 150)</t>
        </is>
      </c>
      <c r="F25" s="11" t="inlineStr">
        <is>
          <t>ermine whether events or circumstances continue to support the view of the indefinite useful life of the assets. The Group performed impairment test for the intangible assets by comparing its recoverable amounts to their carrying amounts at the end of the reporting period in accordance with HKAS 36. 150 SOUTHEAST ASIA PROPERTIES &amp; FINANCE LIMITED</t>
        </is>
      </c>
    </row>
    <row r="26">
      <c r="A26" s="8" t="inlineStr">
        <is>
          <t>Impairment Testing</t>
        </is>
      </c>
      <c r="B26" s="8" t="inlineStr">
        <is>
          <t>減值測試</t>
        </is>
      </c>
      <c r="C26" s="19" t="inlineStr">
        <is>
          <t>high</t>
        </is>
      </c>
      <c r="D26" s="11" t="inlineStr">
        <is>
          <t>impairment loss</t>
        </is>
      </c>
      <c r="E26" s="11" t="inlineStr">
        <is>
          <t>PDF p.152 (印刷頁 151)</t>
        </is>
      </c>
      <c r="F26" s="11" t="inlineStr">
        <is>
          <t>th rate, which is determined based on past performance and the management’s expectations for the market development in Hong Kong. An impairment loss of HK$2,220,001 was recognised as the recoverable amount of Hong Kong Stock Exchange trading rights was HK$Nil as at 31 March 2026. The recoverable amount of club membership is its fair values with reference to observable market price. No impairment is made for both years as the recoverable amount exceeded its carrying amount. 21. OTHER ASSETS 2026 2025 HK$ HK$ Contribution to the</t>
        </is>
      </c>
    </row>
    <row r="27">
      <c r="A27" s="8" t="inlineStr">
        <is>
          <t>Impairment Testing</t>
        </is>
      </c>
      <c r="B27" s="8" t="inlineStr">
        <is>
          <t>減值測試</t>
        </is>
      </c>
      <c r="C27" s="19" t="inlineStr">
        <is>
          <t>high</t>
        </is>
      </c>
      <c r="D27" s="11" t="inlineStr">
        <is>
          <t>impairment loss</t>
        </is>
      </c>
      <c r="E27" s="11" t="inlineStr">
        <is>
          <t>PDF p.171 (印刷頁 170)</t>
        </is>
      </c>
      <c r="F27" s="11" t="inlineStr">
        <is>
          <t>nstruments measured at amortised cost (189,277) – Bad debt written off – 8,341 Interest income (1,072,839) (1,376,028) Provision for impairment loss on intangible asset 2,220,001 300,000 Imputed interest income (9,139,723) (9,360,999) Finance costs 19,950,415 18,770,984 (Reversal of)/Provision for ECL allowance of trade and other receivables (1,250,849) 2,054,628 Depreciation of property, plant and equipment 21,769,863 8,215,896 Depreciation of right-of-use assets 1,607,573 1,847,701 Long service payment obligations: – expenses</t>
        </is>
      </c>
    </row>
    <row r="28">
      <c r="A28" s="8" t="inlineStr">
        <is>
          <t>Intangible Assets &amp; Goodwill</t>
        </is>
      </c>
      <c r="B28" s="8" t="inlineStr">
        <is>
          <t>無形資產及商譽</t>
        </is>
      </c>
      <c r="C28" s="19" t="inlineStr">
        <is>
          <t>high</t>
        </is>
      </c>
      <c r="D28" s="11" t="inlineStr">
        <is>
          <t>licence</t>
        </is>
      </c>
      <c r="E28" s="11" t="inlineStr">
        <is>
          <t>PDF p.5 (印刷頁 4)</t>
        </is>
      </c>
      <c r="F28" s="11" t="inlineStr">
        <is>
          <t>e (U.K.) and has become a Registered Professional Planner since 2005. Dr. Luk has also been a holder of an Estate Agent (Individual) Licence. He also became an Ordinary Member of the Hong Kong Institute of Real Estate Administrators (H.K.) in November 2011 and later became the Full Member of Hong Kong Institute of Certified Property Managers in 2017. In 2021, Dr. Luk has become a Registered Planner to practice in Qianhai Shenzhen Hongkong Modern Service Industry Cooperation Zone of Shenzhen. In 2022, he further became a Full Me</t>
        </is>
      </c>
    </row>
    <row r="29">
      <c r="A29" s="8" t="inlineStr">
        <is>
          <t>Intangible Assets &amp; Goodwill</t>
        </is>
      </c>
      <c r="B29" s="8" t="inlineStr">
        <is>
          <t>無形資產及商譽</t>
        </is>
      </c>
      <c r="C29" s="19" t="inlineStr">
        <is>
          <t>high</t>
        </is>
      </c>
      <c r="D29" s="11" t="inlineStr">
        <is>
          <t>brand name</t>
        </is>
      </c>
      <c r="E29" s="11" t="inlineStr">
        <is>
          <t>PDF p.41 (印刷頁 40)</t>
        </is>
      </c>
      <c r="F29" s="11" t="inlineStr">
        <is>
          <t>Kong, from 1 April 2025 to 31 March 2026 (the “Reporting Period”), unless otherwise stated. – the manufacturing operation under the brand name of “Nan Sing” in Chinese Mainland (hereafter “Nan Sing”); – the hotel operation under the brand name of “Hotel Benito” in Hong Kong (hereafter “Hotel Benito”) since 28 July 2025; – the operation of co-working space in Hong Kong (hereafter “Everglory Centre”); and – the headquarter in Hong Kong (hereafter the “Headquarter”). Nan Sing is located in Dongguan, the PRC; Hotel Benito is locat</t>
        </is>
      </c>
    </row>
    <row r="30">
      <c r="A30" s="8" t="inlineStr">
        <is>
          <t>Intangible Assets &amp; Goodwill</t>
        </is>
      </c>
      <c r="B30" s="8" t="inlineStr">
        <is>
          <t>無形資產及商譽</t>
        </is>
      </c>
      <c r="C30" s="19" t="inlineStr">
        <is>
          <t>high</t>
        </is>
      </c>
      <c r="D30" s="11" t="inlineStr">
        <is>
          <t>trademark</t>
        </is>
      </c>
      <c r="E30" s="11" t="inlineStr">
        <is>
          <t>PDF p.60 (印刷頁 59)</t>
        </is>
      </c>
      <c r="F30" s="11" t="inlineStr">
        <is>
          <t>ervers and constantly updated to prevent virus attack and external hacking. Intellectual Property The Group has constantly monitored trademarks (e.g. “Nan Sing” and “Hotel Benito”) and domain names, which were also renewed upon their expiration. To protect clients’ intellectual property rights, the Group signed a confidentiality agreement with clients when appropriate. No non-compliance with relevant laws and regulations that have a significant impact on the Group relating to intellectual property rights had been identified dur</t>
        </is>
      </c>
    </row>
    <row r="31">
      <c r="A31" s="8" t="inlineStr">
        <is>
          <t>Intangible Assets &amp; Goodwill</t>
        </is>
      </c>
      <c r="B31" s="8" t="inlineStr">
        <is>
          <t>無形資產及商譽</t>
        </is>
      </c>
      <c r="C31" s="19" t="inlineStr">
        <is>
          <t>high</t>
        </is>
      </c>
      <c r="D31" s="11" t="inlineStr">
        <is>
          <t>brand name</t>
        </is>
      </c>
      <c r="E31" s="11" t="inlineStr">
        <is>
          <t>PDF p.65 (印刷頁 64)</t>
        </is>
      </c>
      <c r="F31" s="11" t="inlineStr">
        <is>
          <t>amage the materials and or negative publicity environment can machinery. related to climate severely damage the strategy, may pose a brand name. material risk to investor sentiment and directly impact the share price and erode long-term shareholder value. Effects on Opportunities Time horizon business model Effects on value chain Responses Opportunities Long term Enhancing energy Reduced energy To embed energy of resource efficiency across the consumption directly efficiency into efficiency workplace operations lowers major wor</t>
        </is>
      </c>
    </row>
    <row r="32">
      <c r="A32" s="8" t="inlineStr">
        <is>
          <t>Intangible Assets &amp; Goodwill</t>
        </is>
      </c>
      <c r="B32" s="8" t="inlineStr">
        <is>
          <t>無形資產及商譽</t>
        </is>
      </c>
      <c r="C32" s="19" t="inlineStr">
        <is>
          <t>high</t>
        </is>
      </c>
      <c r="D32" s="11" t="inlineStr">
        <is>
          <t>intangible asset</t>
        </is>
      </c>
      <c r="E32" s="11" t="inlineStr">
        <is>
          <t>PDF p.85 (印刷頁 84)</t>
        </is>
      </c>
      <c r="F32" s="11" t="inlineStr">
        <is>
          <t>e assets 17 6,051,666 11,233,226 Investment properties 18 744,004,007 669,251,758 Interests in associates 19 257,379,035 270,186,940 Intangible assets 20 981,500 3,201,501 Other assets 21 2,700,000 2,700,000 Financial assets at FVOCI (non-recycling) 22 110,664,827 95,416,457 Loan receivables 23 30,532,416 28,750,351 Prepayment for acquisition of property, plant and equipment 26 1,153,979 1,354,363 Deferred tax assets 36 132,774 344,659 1,470,922,855 1,374,491,824 Current assets Inventories 24 40,506,212 44,756,941 Trade and oth</t>
        </is>
      </c>
    </row>
    <row r="33">
      <c r="A33" s="8" t="inlineStr">
        <is>
          <t>Intangible Assets &amp; Goodwill</t>
        </is>
      </c>
      <c r="B33" s="8" t="inlineStr">
        <is>
          <t>無形資產及商譽</t>
        </is>
      </c>
      <c r="C33" s="19" t="inlineStr">
        <is>
          <t>high</t>
        </is>
      </c>
      <c r="D33" s="11" t="inlineStr">
        <is>
          <t>intangible asset</t>
        </is>
      </c>
      <c r="E33" s="11" t="inlineStr">
        <is>
          <t>PDF p.88 (印刷頁 87)</t>
        </is>
      </c>
      <c r="F33" s="11" t="inlineStr">
        <is>
          <t>osal of property, plant and equipment – 36,817 Proceeds from disposal of investment properties 7,500,000 – Proceeds from disposal of intangible asset 5,000,000 – Purchase of investments in debt instruments measured at amortised cost (57,827,434) – Proceeds from disposal of Investments in debt instruments measured at amortised cost 23,863,877 – Increase in restricted bank balance (1,268,689) – Net cash used in investing activities (39,036,834) (43,215,995) Cash flows from financing activities Dividend paid (7,934,114) (6,762,601</t>
        </is>
      </c>
    </row>
    <row r="34">
      <c r="A34" s="8" t="inlineStr">
        <is>
          <t>Intangible Assets &amp; Goodwill</t>
        </is>
      </c>
      <c r="B34" s="8" t="inlineStr">
        <is>
          <t>無形資產及商譽</t>
        </is>
      </c>
      <c r="C34" s="19" t="inlineStr">
        <is>
          <t>high</t>
        </is>
      </c>
      <c r="D34" s="11" t="inlineStr">
        <is>
          <t>goodwill</t>
        </is>
      </c>
      <c r="E34" s="11" t="inlineStr">
        <is>
          <t>PDF p.91 (印刷頁 90)</t>
        </is>
      </c>
      <c r="F34" s="11" t="inlineStr">
        <is>
          <t>identifiable assets, liabilities and contingent liabilities of the associate recognised at the date of acquisition is recognised as goodwill. The goodwill is included within the carrying amount of the investment and is assessed for impairment as part of the investment. The cost of acquisition is measured at the aggregate of the fair values, at the date of exchange, of assets given, liabilities incurred or assumed and equity instruments issued by the Group, plus any costs directly attributable to the investment. Any excess of t</t>
        </is>
      </c>
    </row>
    <row r="35">
      <c r="A35" s="8" t="inlineStr">
        <is>
          <t>Intangible Assets &amp; Goodwill</t>
        </is>
      </c>
      <c r="B35" s="8" t="inlineStr">
        <is>
          <t>無形資產及商譽</t>
        </is>
      </c>
      <c r="C35" s="19" t="inlineStr">
        <is>
          <t>high</t>
        </is>
      </c>
      <c r="D35" s="11" t="inlineStr">
        <is>
          <t>useful life</t>
        </is>
      </c>
      <c r="E35" s="11" t="inlineStr">
        <is>
          <t>PDF p.94 (印刷頁 93)</t>
        </is>
      </c>
      <c r="F35" s="11" t="inlineStr">
        <is>
          <t>stimated useful lives, using the straight-line method, at the following rates per annum: Buildings Over the shorter of its estimated useful life or lease terms Hotel Over the shorter of its estimated useful life or lease terms Plant and machinery 10% Furniture, fixtures and equipment 10%–25% Motor vehicles 20% Accounting policy for depreciation of right-of-use assets is set out in note 2.13. Estimated residual values and useful lives are reviewed, and adjusted if appropriate, at the end of each reporting period. Gain or loss ar</t>
        </is>
      </c>
    </row>
    <row r="36">
      <c r="A36" s="8" t="inlineStr">
        <is>
          <t>Intangible Assets &amp; Goodwill</t>
        </is>
      </c>
      <c r="B36" s="8" t="inlineStr">
        <is>
          <t>無形資產及商譽</t>
        </is>
      </c>
      <c r="C36" s="19" t="inlineStr">
        <is>
          <t>high</t>
        </is>
      </c>
      <c r="D36" s="11" t="inlineStr">
        <is>
          <t>intangible asset</t>
        </is>
      </c>
      <c r="E36" s="11" t="inlineStr">
        <is>
          <t>PDF p.95 (印刷頁 94)</t>
        </is>
      </c>
      <c r="F36" s="11" t="inlineStr">
        <is>
          <t>rdance with HKAS 16 or HKFRS 16 and the fair value is accounted for in the same way as a revaluation in accordance with HKAS 16. 2.7 Intangible assets Acquired intangible assets are recognised initially at cost. After initial recognition, intangible assets with indefinite useful lives are carried at cost less any subsequent accumulated impairment losses. The assets’ amortisation methods and useful lives are reviewed, and adjusted if appropriate, at the end of each reporting period. Intangible assets with indefinite useful lives</t>
        </is>
      </c>
    </row>
    <row r="37">
      <c r="A37" s="8" t="inlineStr">
        <is>
          <t>Intangible Assets &amp; Goodwill</t>
        </is>
      </c>
      <c r="B37" s="8" t="inlineStr">
        <is>
          <t>無形資產及商譽</t>
        </is>
      </c>
      <c r="C37" s="19" t="inlineStr">
        <is>
          <t>high</t>
        </is>
      </c>
      <c r="D37" s="11" t="inlineStr">
        <is>
          <t>useful life</t>
        </is>
      </c>
      <c r="E37" s="11" t="inlineStr">
        <is>
          <t>PDF p.104 (印刷頁 103)</t>
        </is>
      </c>
      <c r="F37" s="11" t="inlineStr">
        <is>
          <t>Group depreciates the right-of-use assets on a straight-line basis from the lease commencement date to the earlier of the end of the useful life of the rightof-use asset or the end of the lease term unless the Group is reasonably certain to obtain ownership at the end of the lease term. The Group also assesses the rightof-use asset (except for those meeting the definition of investment properties) for impairment when such indicator exists. Those right-of-use assets meeting the definition of investment properties are subsequ</t>
        </is>
      </c>
    </row>
    <row r="38">
      <c r="A38" s="8" t="inlineStr">
        <is>
          <t>Intangible Assets &amp; Goodwill</t>
        </is>
      </c>
      <c r="B38" s="8" t="inlineStr">
        <is>
          <t>無形資產及商譽</t>
        </is>
      </c>
      <c r="C38" s="19" t="inlineStr">
        <is>
          <t>high</t>
        </is>
      </c>
      <c r="D38" s="11" t="inlineStr">
        <is>
          <t>intangible asset</t>
        </is>
      </c>
      <c r="E38" s="11" t="inlineStr">
        <is>
          <t>PDF p.108 (印刷頁 107)</t>
        </is>
      </c>
      <c r="F38" s="11" t="inlineStr">
        <is>
          <t>dated statement of profit or loss. 2.18 Impairment of non-financial assets The following assets are subject to impairment testing: • Intangible assets; • Property, plant and equipment; • Interests in associates; • Right-of-use assets; and • The Company’s interests in subsidiaries and associates Intangible assets with indefinite useful life or those not yet available for use are tested for impairment at least annually, irrespective of whether there is any indication that they are impaired. All other assets are tested for impairm</t>
        </is>
      </c>
    </row>
    <row r="39">
      <c r="A39" s="8" t="inlineStr">
        <is>
          <t>Intangible Assets &amp; Goodwill</t>
        </is>
      </c>
      <c r="B39" s="8" t="inlineStr">
        <is>
          <t>無形資產及商譽</t>
        </is>
      </c>
      <c r="C39" s="19" t="inlineStr">
        <is>
          <t>high</t>
        </is>
      </c>
      <c r="D39" s="11" t="inlineStr">
        <is>
          <t>amortisation</t>
        </is>
      </c>
      <c r="E39" s="11" t="inlineStr">
        <is>
          <t>PDF p.109 (印刷頁 108)</t>
        </is>
      </c>
      <c r="F39" s="11" t="inlineStr">
        <is>
          <t>extent that the asset’s carrying amount does not exceed the carrying amount that would have been determined, net of depreciation or amortisation, if no impairment loss had been recognised. 2.19 Employee benefits Retirement benefits Retirement benefits to employees are provided through defined contribution plans. In addition, the employees employed under the Hong Kong Employment Ordinance are also entitled to long service payment (“LSP”) if the eligibility criteria are met. The LSP are defined benefits plans. (a) Defined contri</t>
        </is>
      </c>
    </row>
    <row r="40">
      <c r="A40" s="8" t="inlineStr">
        <is>
          <t>Intangible Assets &amp; Goodwill</t>
        </is>
      </c>
      <c r="B40" s="8" t="inlineStr">
        <is>
          <t>無形資產及商譽</t>
        </is>
      </c>
      <c r="C40" s="19" t="inlineStr">
        <is>
          <t>high</t>
        </is>
      </c>
      <c r="D40" s="11" t="inlineStr">
        <is>
          <t>goodwill</t>
        </is>
      </c>
      <c r="E40" s="11" t="inlineStr">
        <is>
          <t>PDF p.112 (印刷頁 111)</t>
        </is>
      </c>
      <c r="F40" s="11" t="inlineStr">
        <is>
          <t>d unused tax credits can be utilised. Deferred tax assets and liabilities are not recognised if the temporary difference arises from goodwill or from initial recognition (other than in a business combination) of assets and liabilities in a transaction that affects neither taxable nor accounting profit or loss and does not give rise to equal taxable and deductible temporary differences. Deferred tax liabilities are recognised for taxable temporary differences arising on investments in subsidiaries and associates, except where th</t>
        </is>
      </c>
    </row>
    <row r="41">
      <c r="A41" s="8" t="inlineStr">
        <is>
          <t>Intangible Assets &amp; Goodwill</t>
        </is>
      </c>
      <c r="B41" s="8" t="inlineStr">
        <is>
          <t>無形資產及商譽</t>
        </is>
      </c>
      <c r="C41" s="19" t="inlineStr">
        <is>
          <t>high</t>
        </is>
      </c>
      <c r="D41" s="11" t="inlineStr">
        <is>
          <t>intangible asset</t>
        </is>
      </c>
      <c r="E41" s="11" t="inlineStr">
        <is>
          <t>PDF p.123 (印刷頁 122)</t>
        </is>
      </c>
      <c r="F41" s="11" t="inlineStr">
        <is>
          <t>6 21,769,863 8,215,896 Gain on disposal of intangible asset – – – – – – (5,000,000) – (5,000,000) – Provision for impairment loss on intangible asset – – – – – – 2,220,001 300,000 2,220,001 300,000 (Reversal of)/Provision for ECL allowance of trade and other receivables – – – – (1,225,193) 1,316,251 (25,656) 738,377 (1,250,849) 2,054,628 122 SOUTHEAST ASIA PROPERTIES &amp; FINANCE LIMITED</t>
        </is>
      </c>
    </row>
    <row r="42">
      <c r="A42" s="8" t="inlineStr">
        <is>
          <t>Intangible Assets &amp; Goodwill</t>
        </is>
      </c>
      <c r="B42" s="8" t="inlineStr">
        <is>
          <t>無形資產及商譽</t>
        </is>
      </c>
      <c r="C42" s="19" t="inlineStr">
        <is>
          <t>high</t>
        </is>
      </c>
      <c r="D42" s="11" t="inlineStr">
        <is>
          <t>intangible asset</t>
        </is>
      </c>
      <c r="E42" s="11" t="inlineStr">
        <is>
          <t>PDF p.125 (印刷頁 124)</t>
        </is>
      </c>
      <c r="F42" s="11" t="inlineStr">
        <is>
          <t>lant and equipment), right-of-use assets and investment properties, the location of operation to which they are allocated in case of intangible assets, and the location of operation in case of interests in associates. Revenue from external customers Non-current assets 2026 2025 2026 2025 HK$ HK$ HK$ HK$ Hong Kong (domicile) 71,481,483 48,320,195 886,489,790 906,478,104 Asia (exclude Chinese Mainland, Hong Kong and Philippines) 46,122,963 46,773,374 – – Oceania 33,689,162 44,206,874 – – Chinese Mainland 46,601,795 57,806,376 197</t>
        </is>
      </c>
    </row>
    <row r="43">
      <c r="A43" s="8" t="inlineStr">
        <is>
          <t>Intangible Assets &amp; Goodwill</t>
        </is>
      </c>
      <c r="B43" s="8" t="inlineStr">
        <is>
          <t>無形資產及商譽</t>
        </is>
      </c>
      <c r="C43" s="19" t="inlineStr">
        <is>
          <t>high</t>
        </is>
      </c>
      <c r="D43" s="11" t="inlineStr">
        <is>
          <t>intangible asset</t>
        </is>
      </c>
      <c r="E43" s="11" t="inlineStr">
        <is>
          <t>PDF p.129 (印刷頁 128)</t>
        </is>
      </c>
      <c r="F43" s="11" t="inlineStr">
        <is>
          <t>debt instruments measured at amortised cost 189,277 – Gain on disposal of property, plant and equipment – 36,817 Gain on disposal of intangible asset 5,000,000 – Gain on disposal of investment properties 10,000 – Government grants 19,689 23,160 Other income (note) 516,217 214,981 17,107,468 11,927,771 Note: Other income mainly represents transportation fee charged to customers and cash rebate from bank. 8. FINANCE COSTS 2026 2025 HK$ HK$ Interest expenses on: Bank loans 14,011,289 18,684,348 Other borrowings 46,750 93,565 Imput</t>
        </is>
      </c>
    </row>
    <row r="44">
      <c r="A44" s="8" t="inlineStr">
        <is>
          <t>Intangible Assets &amp; Goodwill</t>
        </is>
      </c>
      <c r="B44" s="8" t="inlineStr">
        <is>
          <t>無形資產及商譽</t>
        </is>
      </c>
      <c r="C44" s="19" t="inlineStr">
        <is>
          <t>high</t>
        </is>
      </c>
      <c r="D44" s="11" t="inlineStr">
        <is>
          <t>intangible asset</t>
        </is>
      </c>
      <c r="E44" s="11" t="inlineStr">
        <is>
          <t>PDF p.132 (印刷頁 131)</t>
        </is>
      </c>
      <c r="F44" s="11" t="inlineStr">
        <is>
          <t>Bad debt written off – 8,341 Loss/(Gain) on disposal/written off of property, plant and equipment 4,797 (36,817) Gain on disposal of intangible asset (5,000,000) – Gain on disposal of investment properties (10,000) – Loss on deemed disposal of interest in an associate – 15,661,473 Provision for impairment loss on intangible asset 2,220,001 300,000 Exchange (gain)/loss, net (1,349,289) 1,055,468 Note: Depreciation of property, plant and equipment had been included in cost of sales and services and administrative expenses of HK$1</t>
        </is>
      </c>
    </row>
    <row r="45">
      <c r="A45" s="8" t="inlineStr">
        <is>
          <t>Intangible Assets &amp; Goodwill</t>
        </is>
      </c>
      <c r="B45" s="8" t="inlineStr">
        <is>
          <t>無形資產及商譽</t>
        </is>
      </c>
      <c r="C45" s="19" t="inlineStr">
        <is>
          <t>high</t>
        </is>
      </c>
      <c r="D45" s="11" t="inlineStr">
        <is>
          <t>development cost</t>
        </is>
      </c>
      <c r="E45" s="11" t="inlineStr">
        <is>
          <t>PDF p.142 (印刷頁 141)</t>
        </is>
      </c>
      <c r="F45" s="11" t="inlineStr">
        <is>
          <t>ross development 2026: HK$8,356 per sq. ft. (note (c)) value per sq. ft. (2025: HK$9,280 per sq. ft.) Estimated 2026: HK$638,452,000 development cost (2025: HK$710,400,000) Developer’s profit 2026: 10% (2025: 15%) margin Market comparison Discount/Premium on 2026: -4% to 21% approach (note (b)) characteristics of the (2025: -16% to 5%) property Annual Report 2025 / 26 141</t>
        </is>
      </c>
    </row>
    <row r="46">
      <c r="A46" s="8" t="inlineStr">
        <is>
          <t>Intangible Assets &amp; Goodwill</t>
        </is>
      </c>
      <c r="B46" s="8" t="inlineStr">
        <is>
          <t>無形資產及商譽</t>
        </is>
      </c>
      <c r="C46" s="19" t="inlineStr">
        <is>
          <t>high</t>
        </is>
      </c>
      <c r="D46" s="11" t="inlineStr">
        <is>
          <t>development cost</t>
        </is>
      </c>
      <c r="E46" s="11" t="inlineStr">
        <is>
          <t>PDF p.143 (印刷頁 142)</t>
        </is>
      </c>
      <c r="F46" s="11" t="inlineStr">
        <is>
          <t>ties are estimated using a residual method. This method involves calculating the gross development value and deducting the estimated development costs and developer’s profit. An increase in the gross development value would result in a higher the fair value, and vice versa. An increase in the estimated development costs and developer’s profit margin would result in a lower the fair value, and vice versa. 19. INTERESTS IN ASSOCIATES 2026 2025 HK$ HK$ Cost of investments in associates 7,461,640 7,461,640 Amounts due from associat</t>
        </is>
      </c>
    </row>
    <row r="47">
      <c r="A47" s="8" t="inlineStr">
        <is>
          <t>Intangible Assets &amp; Goodwill</t>
        </is>
      </c>
      <c r="B47" s="8" t="inlineStr">
        <is>
          <t>無形資產及商譽</t>
        </is>
      </c>
      <c r="C47" s="19" t="inlineStr">
        <is>
          <t>high</t>
        </is>
      </c>
      <c r="D47" s="11" t="inlineStr">
        <is>
          <t>intangible asset</t>
        </is>
      </c>
      <c r="E47" s="11" t="inlineStr">
        <is>
          <t>PDF p.151 (印刷頁 150)</t>
        </is>
      </c>
      <c r="F47" s="11" t="inlineStr">
        <is>
          <t>NOTES TO THE CONSOLIDATED FINANCIAL STATEMENTS For the year ended 31 March 2026 20. INTANGIBLE ASSETS Membership of The Hong Kong Hong Kong Chinese Gold Stock Futures and Silver Exchange Exchange Exchange Club trading rights trading rights Society membership Total HK$ HK$ HK$ HK$ HK$ Cost At 1 April 2024, 31 March 2025 and 1 April 2025 5,030,001 201,205 1,475,000 981,500 7,687,706 Disposal – – (1,475,000) – (1,475,000) At 31 March 2026 5,030,001 201,205 – 981,500 6,212,706 Accumu</t>
        </is>
      </c>
    </row>
    <row r="48">
      <c r="A48" s="8" t="inlineStr">
        <is>
          <t>Intangible Assets &amp; Goodwill</t>
        </is>
      </c>
      <c r="B48" s="8" t="inlineStr">
        <is>
          <t>無形資產及商譽</t>
        </is>
      </c>
      <c r="C48" s="19" t="inlineStr">
        <is>
          <t>high</t>
        </is>
      </c>
      <c r="D48" s="11" t="inlineStr">
        <is>
          <t>intangible asset</t>
        </is>
      </c>
      <c r="E48" s="11" t="inlineStr">
        <is>
          <t>PDF p.152 (印刷頁 151)</t>
        </is>
      </c>
      <c r="F48" s="11" t="inlineStr">
        <is>
          <t>NOTES TO THE CONSOLIDATED FINANCIAL STATEMENTS For the year ended 31 March 2026 20. INTANGIBLE ASSETS (Cont’d) The recoverable amounts of Hong Kong Stock Exchange trading rights and Hong Kong Futures Exchange trading rights are determined based on a value in use calculation using cash flow projections based on financial budgets approved by the management covering a five-year period with a growth rate of 0% (2025: 1%) per annum. The pre-tax discount rate applied to the cash flow p</t>
        </is>
      </c>
    </row>
    <row r="49">
      <c r="A49" s="8" t="inlineStr">
        <is>
          <t>Intangible Assets &amp; Goodwill</t>
        </is>
      </c>
      <c r="B49" s="8" t="inlineStr">
        <is>
          <t>無形資產及商譽</t>
        </is>
      </c>
      <c r="C49" s="19" t="inlineStr">
        <is>
          <t>high</t>
        </is>
      </c>
      <c r="D49" s="11" t="inlineStr">
        <is>
          <t>intangible asset</t>
        </is>
      </c>
      <c r="E49" s="11" t="inlineStr">
        <is>
          <t>PDF p.171 (印刷頁 170)</t>
        </is>
      </c>
      <c r="F49" s="11" t="inlineStr">
        <is>
          <t>at amortised cost (189,277) – Bad debt written off – 8,341 Interest income (1,072,839) (1,376,028) Provision for impairment loss on intangible asset 2,220,001 300,000 Imputed interest income (9,139,723) (9,360,999) Finance costs 19,950,415 18,770,984 (Reversal of)/Provision for ECL allowance of trade and other receivables (1,250,849) 2,054,628 Depreciation of property, plant and equipment 21,769,863 8,215,896 Depreciation of right-of-use assets 1,607,573 1,847,701 Long service payment obligations: – expenses recognised in prof</t>
        </is>
      </c>
    </row>
    <row r="50">
      <c r="A50" s="8" t="inlineStr">
        <is>
          <t>Investment Properties</t>
        </is>
      </c>
      <c r="B50" s="8" t="inlineStr">
        <is>
          <t>投資物業</t>
        </is>
      </c>
      <c r="C50" s="19" t="inlineStr">
        <is>
          <t>high</t>
        </is>
      </c>
      <c r="D50" s="11" t="inlineStr">
        <is>
          <t>gross floor area</t>
        </is>
      </c>
      <c r="E50" s="11" t="inlineStr">
        <is>
          <t>PDF p.11 (印刷頁 10)</t>
        </is>
      </c>
      <c r="F50" s="11" t="inlineStr">
        <is>
          <t>ecember 2023 afterwards. It is proposed that the overall plot ratio of the redevelopment shall be approximately at 5.4 with domestic gross floor area of about 55,000 square meters and 1,100 additional housing units, and no less than 70% of the increased domestic gross floor area are set aside for public housing or Starter Homes development. We are now finalising the technical issues raised by the government for taking forward the required statutory and land administration procedures. Hotel Operation The hotel has successfully n</t>
        </is>
      </c>
    </row>
    <row r="51">
      <c r="A51" s="8" t="inlineStr">
        <is>
          <t>Investment Properties</t>
        </is>
      </c>
      <c r="B51" s="8" t="inlineStr">
        <is>
          <t>投資物業</t>
        </is>
      </c>
      <c r="C51" s="19" t="inlineStr">
        <is>
          <t>high</t>
        </is>
      </c>
      <c r="D51" s="11" t="inlineStr">
        <is>
          <t>investment property</t>
        </is>
      </c>
      <c r="E51" s="11" t="inlineStr">
        <is>
          <t>PDF p.95 (印刷頁 94)</t>
        </is>
      </c>
      <c r="F51" s="11" t="inlineStr">
        <is>
          <t>hese include land held for a currently undetermined future use and property that is being constructed or developed for future use as investment property. On initial recognition, investment property is measured at cost, and subsequently at fair value, unless fair value cannot be reliably determined at that time. Cost includes expenditure that is directly attributable to the acquisition of the investment property. The cost of self-constructed investment property includes the cost of materials and direct labour, any other costs di</t>
        </is>
      </c>
    </row>
    <row r="52">
      <c r="A52" s="8" t="inlineStr">
        <is>
          <t>Investment Properties</t>
        </is>
      </c>
      <c r="B52" s="8" t="inlineStr">
        <is>
          <t>投資物業</t>
        </is>
      </c>
      <c r="C52" s="19" t="inlineStr">
        <is>
          <t>high</t>
        </is>
      </c>
      <c r="D52" s="11" t="inlineStr">
        <is>
          <t>investment property</t>
        </is>
      </c>
      <c r="E52" s="11" t="inlineStr">
        <is>
          <t>PDF p.112 (印刷頁 111)</t>
        </is>
      </c>
      <c r="F52" s="11" t="inlineStr">
        <is>
          <t>ersal of the temporary differences and it is probable that the temporary differences will not reverse in the foreseeable future. For investment property measured using the fair value model in accordance with the accounting policy above, the measurement of the related deferred tax liability or asset reflects the tax consequences of recovering the carrying amount of the investment property entirely through sale, unless the investment property is depreciable and is held within a business model whose objective is to consume substan</t>
        </is>
      </c>
    </row>
    <row r="53">
      <c r="A53" s="8" t="inlineStr">
        <is>
          <t>Investment Properties</t>
        </is>
      </c>
      <c r="B53" s="8" t="inlineStr">
        <is>
          <t>投資物業</t>
        </is>
      </c>
      <c r="C53" s="19" t="inlineStr">
        <is>
          <t>high</t>
        </is>
      </c>
      <c r="D53" s="11" t="inlineStr">
        <is>
          <t>investment property</t>
        </is>
      </c>
      <c r="E53" s="11" t="inlineStr">
        <is>
          <t>PDF p.121 (印刷頁 120)</t>
        </is>
      </c>
      <c r="F53" s="11" t="inlineStr">
        <is>
          <t>sing from investment properties that are measured using the fair value model, the directors of the Company have reviewed the Group’s investment property portfolios and concluded that Group’s investment properties located in Hong Kong are not held under a business model whose objective is to consume substantially all of the economic benefits embodied in the investment properties over time. Therefore, in determining the Group’s deferred tax on investment properties located in Hong Kong, the directors of the Company have determine</t>
        </is>
      </c>
    </row>
    <row r="54">
      <c r="A54" s="8" t="inlineStr">
        <is>
          <t>Investment Properties</t>
        </is>
      </c>
      <c r="B54" s="8" t="inlineStr">
        <is>
          <t>投資物業</t>
        </is>
      </c>
      <c r="C54" s="19" t="inlineStr">
        <is>
          <t>high</t>
        </is>
      </c>
      <c r="D54" s="11" t="inlineStr">
        <is>
          <t>investment property</t>
        </is>
      </c>
      <c r="E54" s="11" t="inlineStr">
        <is>
          <t>PDF p.137 (印刷頁 136)</t>
        </is>
      </c>
      <c r="F54" s="11" t="inlineStr">
        <is>
          <t>9 1,708,332 1,828,942 165,548 51,771,093 Disposal and written off – – – – (7,446,738) (7,283,100) (125,361) (14,855,199) Transfer to investment property (note 18) (16,959,673) – – – – – – (16,959,673) Exchange alignments – (1,070,648) – – (242,338) (100,839) (5,607) (1,419,432) At 31 March 2025 and 1 April 2025 93,399,973 89,759,966 – 190,803,337 23,052,511 25,633,857 4,782,146 427,431,790 Additions 4,000,000 – – 38,696,720 504,070 3,379,915 – 46,580,705 Disposal and written off – – – – – (319,800) – (319,800) Transfer upon com</t>
        </is>
      </c>
    </row>
    <row r="55">
      <c r="A55" s="8" t="inlineStr">
        <is>
          <t>Investment Properties</t>
        </is>
      </c>
      <c r="B55" s="8" t="inlineStr">
        <is>
          <t>投資物業</t>
        </is>
      </c>
      <c r="C55" s="19" t="inlineStr">
        <is>
          <t>high</t>
        </is>
      </c>
      <c r="D55" s="11" t="inlineStr">
        <is>
          <t>investment property</t>
        </is>
      </c>
      <c r="E55" s="11" t="inlineStr">
        <is>
          <t>PDF p.138 (印刷頁 137)</t>
        </is>
      </c>
      <c r="F55" s="11" t="inlineStr">
        <is>
          <t>(1,847,701) Exchange alignments (115,385) – (115,385) At 31 March 2025 and 1 April 2025 10,187,352 1,045,874 11,233,226 Transfer to investment property (note 18) (5,173,735) – (5,173,735) Lease modification (note 44) – 1,352,791 1,352,791 Depreciation for the year (223,502) (1,384,071) (1,607,573) Exchange alignments 246,957 – 246,957 At 31 March 2026 5,037,072 1,014,594 6,051,666 Leasehold land and land use right are located outside Hong Kong. Annual Report 2025 / 26 137</t>
        </is>
      </c>
    </row>
    <row r="56">
      <c r="A56" s="8" t="inlineStr">
        <is>
          <t>Investment Properties</t>
        </is>
      </c>
      <c r="B56" s="8" t="inlineStr">
        <is>
          <t>投資物業</t>
        </is>
      </c>
      <c r="C56" s="19" t="inlineStr">
        <is>
          <t>high</t>
        </is>
      </c>
      <c r="D56" s="11" t="inlineStr">
        <is>
          <t>investment property</t>
        </is>
      </c>
      <c r="E56" s="11" t="inlineStr">
        <is>
          <t>PDF p.139 (印刷頁 138)</t>
        </is>
      </c>
      <c r="F56" s="11" t="inlineStr">
        <is>
          <t>,000) 225,900,000 – Transfer from property, plant and equipment (note 16) – 10,591,798 10,591,798 Increase in carrying amount of the investment property transferred from property, plant and equipment – 12,624,702 12,624,702 At 31 March 2025 and at 1 April 2025 105,000,000 564,251,758 669,251,758 Exchange alignments – 6,624,124 6,624,124 Additions – subsequent expenditures 299,500 – 299,500 Additions – acquisition – 4,250,000 4,250,000 Disposal – (7,490,000) (7,490,000) Loss arising from change in fair value (7,299,500) (38,413,</t>
        </is>
      </c>
    </row>
    <row r="57">
      <c r="A57" s="8" t="inlineStr">
        <is>
          <t>Investment Properties</t>
        </is>
      </c>
      <c r="B57" s="8" t="inlineStr">
        <is>
          <t>投資物業</t>
        </is>
      </c>
      <c r="C57" s="19" t="inlineStr">
        <is>
          <t>high</t>
        </is>
      </c>
      <c r="D57" s="11" t="inlineStr">
        <is>
          <t>reversionary</t>
        </is>
      </c>
      <c r="E57" s="11" t="inlineStr">
        <is>
          <t>PDF p.142 (印刷頁 141)</t>
        </is>
      </c>
      <c r="F57" s="11" t="inlineStr">
        <is>
          <t>roach Expected monthly 2026: HK$62 to HK$91 located outside (note (a)) rental value per sqm (2025: HK$65 to Hong Kong HK$90 per sqm) Reversionary yield 2026: 1.6% to 6.5% (2025: 1.5% to 6.5%) Market comparison Discount/Premium on 2026: -46% to -15% approach (note (b)) characteristics of the (2025: N/A) property Investment properties Income approach Expected monthly 2026: HK$39 to HK$335 located in Hong (note (a)) rental value per sq. ft. (2025: HK$36 to Kong HK$301 per sq. ft.) Reversionary yield 2026: 3.6% (2025: 3.4% to 4.1%)</t>
        </is>
      </c>
    </row>
    <row r="58">
      <c r="A58" s="8" t="inlineStr">
        <is>
          <t>Investment Properties</t>
        </is>
      </c>
      <c r="B58" s="8" t="inlineStr">
        <is>
          <t>投資物業</t>
        </is>
      </c>
      <c r="C58" s="19" t="inlineStr">
        <is>
          <t>high</t>
        </is>
      </c>
      <c r="D58" s="11" t="inlineStr">
        <is>
          <t>reversionary</t>
        </is>
      </c>
      <c r="E58" s="11" t="inlineStr">
        <is>
          <t>PDF p.143 (印刷頁 142)</t>
        </is>
      </c>
      <c r="F58" s="11" t="inlineStr">
        <is>
          <t>ation approach, the total rental income comprises a current passing rental income from the existing tenancies and a potential future reversionary rental income at the market level over the residual land use term. The most significant inputs, all of which are unobservable, are the estimated rental value and discount rate. The estimated fair value increases if the estimated rental value increases or if discount rate (market yields) decline. The overall valuations are sensitive to these two assumptions. Generally, a change in the</t>
        </is>
      </c>
    </row>
    <row r="59">
      <c r="A59" s="8" t="inlineStr">
        <is>
          <t>Investment Properties</t>
        </is>
      </c>
      <c r="B59" s="8" t="inlineStr">
        <is>
          <t>投資物業</t>
        </is>
      </c>
      <c r="C59" s="19" t="inlineStr">
        <is>
          <t>high</t>
        </is>
      </c>
      <c r="D59" s="11" t="inlineStr">
        <is>
          <t>investment property</t>
        </is>
      </c>
      <c r="E59" s="11" t="inlineStr">
        <is>
          <t>PDF p.169 (印刷頁 168)</t>
        </is>
      </c>
      <c r="F59" s="11" t="inlineStr">
        <is>
          <t>NANCIAL POSITION OF THE COMPANY 2026 2025 HK$ HK$ ASSETS AND LIABILITIES Non-current assets Property, plant and equipment 860 11,180 Investment property 6,763,408 7,266,126 Interests in subsidiaries 60,605,478 60,412,428 Interests in associates 4,568,160 4,568,160 71,937,906 72,257,894 Current assets Trade and other receivables 114,805 130,998 Deposits and prepayments 1,728,226 1,208,395 Amounts due from subsidiaries 879,701,418 860,023,430 Cash and cash equivalents 4,923,196 1,349,734 886,467,645 862,712,557 Current liabilitie</t>
        </is>
      </c>
    </row>
    <row r="60">
      <c r="A60" s="8" t="inlineStr">
        <is>
          <t>Investment Properties</t>
        </is>
      </c>
      <c r="B60" s="8" t="inlineStr">
        <is>
          <t>投資物業</t>
        </is>
      </c>
      <c r="C60" s="19" t="inlineStr">
        <is>
          <t>high</t>
        </is>
      </c>
      <c r="D60" s="11" t="inlineStr">
        <is>
          <t>investment property</t>
        </is>
      </c>
      <c r="E60" s="11" t="inlineStr">
        <is>
          <t>PDF p.185 (印刷頁 184)</t>
        </is>
      </c>
      <c r="F60" s="11" t="inlineStr">
        <is>
          <t>g assets and liabilities measured at fair value as reported by the general partners of the fund, with reference to inputs such as an investment property’s market value which is valued by an independent professional qualified valuer. The information about the fair value of unlisted equity investments under Level 3 fair value hierarchy are described below: Relationship of unobservable inputs Valuation technique Unobservable input to fair value 2026 and 2025 Unlisted equity Adjusted net assets Fair value of the The higher the fair</t>
        </is>
      </c>
    </row>
    <row r="61">
      <c r="A61" s="8" t="inlineStr">
        <is>
          <t>ESG Data</t>
        </is>
      </c>
      <c r="B61" s="8" t="inlineStr">
        <is>
          <t>環境社會及管治數據</t>
        </is>
      </c>
      <c r="C61" s="8" t="inlineStr">
        <is>
          <t>medium</t>
        </is>
      </c>
      <c r="D61" s="11" t="inlineStr">
        <is>
          <t>sustainability</t>
        </is>
      </c>
      <c r="E61" s="11" t="inlineStr">
        <is>
          <t>PDF p.14 (印刷頁 13)</t>
        </is>
      </c>
      <c r="F61" s="11" t="inlineStr">
        <is>
          <t>hareholders, while fosters an atmosphere where our employees can grow with the Company. At the same time, the Group pursue long-term sustainability with pragmatic manner in response to market changes and remains focused on development to foster long-term value creation for our stakeholders. The Board plays a pivotal role in cultivating a strong corporate culture that aligns seamlessly with the Group’s purpose, values and strategy, as defined and established by the Board. It also ensures the corporate governance system is both e</t>
        </is>
      </c>
    </row>
    <row r="62">
      <c r="A62" s="8" t="inlineStr">
        <is>
          <t>ESG Data</t>
        </is>
      </c>
      <c r="B62" s="8" t="inlineStr">
        <is>
          <t>環境社會及管治數據</t>
        </is>
      </c>
      <c r="C62" s="8" t="inlineStr">
        <is>
          <t>medium</t>
        </is>
      </c>
      <c r="D62" s="11" t="inlineStr">
        <is>
          <t>sustainability</t>
        </is>
      </c>
      <c r="E62" s="11" t="inlineStr">
        <is>
          <t>PDF p.23 (印刷頁 22)</t>
        </is>
      </c>
      <c r="F62" s="11" t="inlineStr">
        <is>
          <t>NTROLS AND RISK MANAGEMENT 1. The Purpose of Risk Management Effective management of risks is essential for the long-term growth and sustainability of the Group’s business; it blends seamlessly into strategic, operational and financial management in our Group’s holistic approach to management control. It is always a challenge to determinately identify and manage the pertinent risks so that they are treated, transferred, terminated or simply taken, where appropriate. To achieve this, the Board delegates to the Audit Committee to</t>
        </is>
      </c>
    </row>
    <row r="63">
      <c r="A63" s="8" t="inlineStr">
        <is>
          <t>ESG Data</t>
        </is>
      </c>
      <c r="B63" s="8" t="inlineStr">
        <is>
          <t>環境社會及管治數據</t>
        </is>
      </c>
      <c r="C63" s="8" t="inlineStr">
        <is>
          <t>medium</t>
        </is>
      </c>
      <c r="D63" s="11" t="inlineStr">
        <is>
          <t>ESG</t>
        </is>
      </c>
      <c r="E63" s="11" t="inlineStr">
        <is>
          <t>PDF p.41 (印刷頁 40)</t>
        </is>
      </c>
      <c r="F63" s="11" t="inlineStr">
        <is>
          <t>e “Company”, together with its subsidiaries referred to as the “Group”), highlighting its environmental, social and governance (the “ESG”) performance, with disclosure reference made to the Environmental, Social and Governance Reporting Code as described in Appendix C2 of the Rules Governing the Listing of Securities on The Stock Exchange of Hong Kong Limited (the “Listing Rules”). REPORTING BOUNDARY The Group is principally engaged in property investment, development and leasing, hotel operation, manufacturing and distribution</t>
        </is>
      </c>
    </row>
    <row r="64">
      <c r="A64" s="8" t="inlineStr">
        <is>
          <t>ESG Data</t>
        </is>
      </c>
      <c r="B64" s="8" t="inlineStr">
        <is>
          <t>環境社會及管治數據</t>
        </is>
      </c>
      <c r="C64" s="8" t="inlineStr">
        <is>
          <t>medium</t>
        </is>
      </c>
      <c r="D64" s="11" t="inlineStr">
        <is>
          <t>carbon</t>
        </is>
      </c>
      <c r="E64" s="11" t="inlineStr">
        <is>
          <t>PDF p.42 (印刷頁 41)</t>
        </is>
      </c>
      <c r="F64" s="11" t="inlineStr">
        <is>
          <t>s and suppliers. The Group reinforced several environmental protection policies including Environmental Health and Safety Policy and Carbon Emission Reduction Program, to further standardize environmental health and safety management and emission reduction practices. Annual Report 2025 / 26 41</t>
        </is>
      </c>
    </row>
    <row r="65">
      <c r="A65" s="8" t="inlineStr">
        <is>
          <t>ESG Data</t>
        </is>
      </c>
      <c r="B65" s="8" t="inlineStr">
        <is>
          <t>環境社會及管治數據</t>
        </is>
      </c>
      <c r="C65" s="8" t="inlineStr">
        <is>
          <t>medium</t>
        </is>
      </c>
      <c r="D65" s="11" t="inlineStr">
        <is>
          <t>ESG</t>
        </is>
      </c>
      <c r="E65" s="11" t="inlineStr">
        <is>
          <t>PDF p.43 (印刷頁 42)</t>
        </is>
      </c>
      <c r="F65" s="11" t="inlineStr">
        <is>
          <t>ENVIRONMENTAL, SOCIAL AND GOVERNANCE REPORT BOARD STATEMENT ON ESG GOVERNANCE The Board holds the overall responsibility on the ESG strategy and reporting. The ESG working group that is made up of the Group’s key management personnel is responsible for identifying material ESG issues, collecting relevant ESG data periodically and ensuring appropriate ESG risk management and internal control system has been established. The ESG working group is also responsibl</t>
        </is>
      </c>
    </row>
    <row r="66">
      <c r="A66" s="8" t="inlineStr">
        <is>
          <t>ESG Data</t>
        </is>
      </c>
      <c r="B66" s="8" t="inlineStr">
        <is>
          <t>環境社會及管治數據</t>
        </is>
      </c>
      <c r="C66" s="8" t="inlineStr">
        <is>
          <t>medium</t>
        </is>
      </c>
      <c r="D66" s="11" t="inlineStr">
        <is>
          <t>greenhouse gas</t>
        </is>
      </c>
      <c r="E66" s="11" t="inlineStr">
        <is>
          <t>PDF p.44 (印刷頁 43)</t>
        </is>
      </c>
      <c r="F66" s="11" t="inlineStr">
        <is>
          <t>ndly behaviors. No non-compliance with relevant laws and regulations that have a significant impact on the Group relating to air and greenhouse gas (GHG) emissions, discharges into water and land, and generation of hazardous and non-hazardous waste had been identified during the Reporting Period. Annual Report 2025 / 26 43</t>
        </is>
      </c>
    </row>
    <row r="67">
      <c r="A67" s="8" t="inlineStr">
        <is>
          <t>ESG Data</t>
        </is>
      </c>
      <c r="B67" s="8" t="inlineStr">
        <is>
          <t>環境社會及管治數據</t>
        </is>
      </c>
      <c r="C67" s="8" t="inlineStr">
        <is>
          <t>medium</t>
        </is>
      </c>
      <c r="D67" s="11" t="inlineStr">
        <is>
          <t>GHG emission</t>
        </is>
      </c>
      <c r="E67" s="11" t="inlineStr">
        <is>
          <t>PDF p.45 (印刷頁 44)</t>
        </is>
      </c>
      <c r="F67" s="11" t="inlineStr">
        <is>
          <t>rom the consumption of gasoline and diesel for group-owned vehicles and consumption of purchased town gas for Hotel Benito. Indirect GHG emissions, due to the Group’s activity but owned or controlled by another entity were also generated from the consumption of purchased electricity and town gas, and processing of freshwater and sewage. As Hotel Benito, Everglory Centre and the Headquarter did not generate major air emissions, no such data is presented in this Report. Vehicle Operation and Emissions Passenger cars operated on g</t>
        </is>
      </c>
    </row>
    <row r="68">
      <c r="A68" s="8" t="inlineStr">
        <is>
          <t>ESG Data</t>
        </is>
      </c>
      <c r="B68" s="8" t="inlineStr">
        <is>
          <t>環境社會及管治數據</t>
        </is>
      </c>
      <c r="C68" s="8" t="inlineStr">
        <is>
          <t>medium</t>
        </is>
      </c>
      <c r="D68" s="11" t="inlineStr">
        <is>
          <t>carbon</t>
        </is>
      </c>
      <c r="E68" s="11" t="inlineStr">
        <is>
          <t>PDF p.46 (印刷頁 45)</t>
        </is>
      </c>
      <c r="F68" s="11" t="inlineStr">
        <is>
          <t>ational Catalogue of Hazardous Wastes Hazardous waste name 2026 2025 (tonnes) (tonnes) HW12 Waste ink 0.27 0.37 HW49 Waste activated carbon 2.68 6.52 HW49 Waste cloth containing ink 0.47 0.55 For Hotel Benito, Everglory Centre and the Headquarter, their business operations did not involve generation of significant hazardous wastes, hence no such data is presented in this Report. A1.3 Non-hazardous Waste Major non-hazardous waste generated at Nan Sing mainly included: waste office paper, waste packaging materials, other non-offi</t>
        </is>
      </c>
    </row>
    <row r="69">
      <c r="A69" s="8" t="inlineStr">
        <is>
          <t>ESG Data</t>
        </is>
      </c>
      <c r="B69" s="8" t="inlineStr">
        <is>
          <t>環境社會及管治數據</t>
        </is>
      </c>
      <c r="C69" s="8" t="inlineStr">
        <is>
          <t>medium</t>
        </is>
      </c>
      <c r="D69" s="11" t="inlineStr">
        <is>
          <t>carbon</t>
        </is>
      </c>
      <c r="E69" s="11" t="inlineStr">
        <is>
          <t>PDF p.47 (印刷頁 46)</t>
        </is>
      </c>
      <c r="F69" s="11" t="inlineStr">
        <is>
          <t>direct emissions hence no information related to emission mitigation is presented. In alignment with the national goal of achieving carbon neutrality, the Group aims to reduce carbon emissions from its business operations gradually in Nan Sing of at least 3% as a 3-year target using financial year 2024/25 as baseline year. During the year, the carbon emissions dropped and will continue to reduce the carbon emission to achieve 3-year target. To effectively reduce its emission, the Group is dedicated to monitor and control its d</t>
        </is>
      </c>
    </row>
    <row r="70">
      <c r="A70" s="8" t="inlineStr">
        <is>
          <t>ESG Data</t>
        </is>
      </c>
      <c r="B70" s="8" t="inlineStr">
        <is>
          <t>環境社會及管治數據</t>
        </is>
      </c>
      <c r="C70" s="8" t="inlineStr">
        <is>
          <t>medium</t>
        </is>
      </c>
      <c r="D70" s="11" t="inlineStr">
        <is>
          <t>energy consumption</t>
        </is>
      </c>
      <c r="E70" s="11" t="inlineStr">
        <is>
          <t>PDF p.48 (印刷頁 47)</t>
        </is>
      </c>
      <c r="F70" s="11" t="inlineStr">
        <is>
          <t>ge and improve the waste management system, to further reduce waste generation and the burden to landfill. A2. Use of Resources A2.1 Energy Consumption Total electricity consumption by the Group was 9,557,560 Kilowatt-hour (kWh) (2025: 9,996,716 kWh) during the Reporting Period. Due to different operational nature, the intensity was calculated separately for each site. 2026 2025 Direct energy source (electricity) Consumption Intensity Consumption Intensity (kWh) (kWh/m2) (kWh) (kWh/m2) Nan Sing 8,486,500 1,697 9,781,540 1,956 H</t>
        </is>
      </c>
    </row>
    <row r="71">
      <c r="A71" s="8" t="inlineStr">
        <is>
          <t>ESG Data</t>
        </is>
      </c>
      <c r="B71" s="8" t="inlineStr">
        <is>
          <t>環境社會及管治數據</t>
        </is>
      </c>
      <c r="C71" s="8" t="inlineStr">
        <is>
          <t>medium</t>
        </is>
      </c>
      <c r="D71" s="11" t="inlineStr">
        <is>
          <t>greenhouse gas</t>
        </is>
      </c>
      <c r="E71" s="11" t="inlineStr">
        <is>
          <t>PDF p.49 (印刷頁 48)</t>
        </is>
      </c>
      <c r="F71" s="11" t="inlineStr">
        <is>
          <t>l 694,555 806,378 Note: Conversion factors were made reference to IEA Energy Statistics Manual and 2006 IPCC Guidelines for National Greenhouse Gas Inventories. A2.2 Water Consumption The Group did not consume a significant amount of water for its business activities. The total water consumption for the Group was 29,990 m3 (2025: 31,304 m3) during the Reporting Period. Water has been consumed for commercial and domestic purposes as the manufacturing processes in Nan Sing does not involve consumption of water. The water bill in</t>
        </is>
      </c>
    </row>
    <row r="72">
      <c r="A72" s="8" t="inlineStr">
        <is>
          <t>ESG Data</t>
        </is>
      </c>
      <c r="B72" s="8" t="inlineStr">
        <is>
          <t>環境社會及管治數據</t>
        </is>
      </c>
      <c r="C72" s="8" t="inlineStr">
        <is>
          <t>medium</t>
        </is>
      </c>
      <c r="D72" s="11" t="inlineStr">
        <is>
          <t>energy consumption</t>
        </is>
      </c>
      <c r="E72" s="11" t="inlineStr">
        <is>
          <t>PDF p.50 (印刷頁 49)</t>
        </is>
      </c>
      <c r="F72" s="11" t="inlineStr">
        <is>
          <t>re carried out according to the clean production audit plan, so that the total VOCs emissions per unit product and the comprehensive energy consumption per unit product were greatly reduced; and • old motors were replaced by energy-saving motors, resulting a reduction in energy consumption. For Hotel Benito, the following energy saving and efficiency schemes were implemented: • using energy efficient LED lighting systems for public areas; • using motion sensing lights for wardrobe in hotel rooms; • pre-setting room temperature</t>
        </is>
      </c>
    </row>
    <row r="73">
      <c r="A73" s="8" t="inlineStr">
        <is>
          <t>ESG Data</t>
        </is>
      </c>
      <c r="B73" s="8" t="inlineStr">
        <is>
          <t>環境社會及管治數據</t>
        </is>
      </c>
      <c r="C73" s="8" t="inlineStr">
        <is>
          <t>medium</t>
        </is>
      </c>
      <c r="D73" s="11" t="inlineStr">
        <is>
          <t>energy consumption</t>
        </is>
      </c>
      <c r="E73" s="11" t="inlineStr">
        <is>
          <t>PDF p.51 (印刷頁 50)</t>
        </is>
      </c>
      <c r="F73" s="11" t="inlineStr">
        <is>
          <t>up is actively planning to apply for the cleaner production certification, while strengthening environmental protection and reducing energy consumption. The Group’s water consumption and wastewater discharge have been managed properly to minimize impacts on the regional water body. Domestic wastewater has been treated at on-site septic tanks before discharging into the municipal wastewater pipelines. The Group’s production does not cause a major impact on the surrounding acoustic environment. Various machinery and cooling tower</t>
        </is>
      </c>
    </row>
    <row r="74">
      <c r="A74" s="8" t="inlineStr">
        <is>
          <t>ESG Data</t>
        </is>
      </c>
      <c r="B74" s="8" t="inlineStr">
        <is>
          <t>環境社會及管治數據</t>
        </is>
      </c>
      <c r="C74" s="8" t="inlineStr">
        <is>
          <t>medium</t>
        </is>
      </c>
      <c r="D74" s="11" t="inlineStr">
        <is>
          <t>ESG</t>
        </is>
      </c>
      <c r="E74" s="11" t="inlineStr">
        <is>
          <t>PDF p.62 (印刷頁 61)</t>
        </is>
      </c>
      <c r="F74" s="11" t="inlineStr">
        <is>
          <t>ENVIRONMENTAL, SOCIAL AND GOVERNANCE REPORT CLIMATE-RELATED DISCLOSURES In alignment with the recent enhancements to the ESG Reporting Guide under the Listing Rules, the Group is committed to enhancing its climate change preparedness and resilience. The following disclosures are structured around the four core pillars recommended by the Taskforce on Climaterelated Financial Disclosures (TCFD): Governance, Strategy, Risk Management, and Metrics and Targets. Governance Governance body Role description The Board – Ov</t>
        </is>
      </c>
    </row>
    <row r="75">
      <c r="A75" s="8" t="inlineStr">
        <is>
          <t>ESG Data</t>
        </is>
      </c>
      <c r="B75" s="8" t="inlineStr">
        <is>
          <t>環境社會及管治數據</t>
        </is>
      </c>
      <c r="C75" s="8" t="inlineStr">
        <is>
          <t>medium</t>
        </is>
      </c>
      <c r="D75" s="11" t="inlineStr">
        <is>
          <t>carbon</t>
        </is>
      </c>
      <c r="E75" s="11" t="inlineStr">
        <is>
          <t>PDF p.63 (印刷頁 62)</t>
        </is>
      </c>
      <c r="F75" s="11" t="inlineStr">
        <is>
          <t>climate requirements insurance. change will impose imposed on selection stricter requirements on of suppliers and Keep track of the carbon emissions, energy machinery. updates of the consumption and other regulatory reporting aspects of the Group’s obligation, policies operations, resulting in and regulations. higher operating and compliance cost. 62 SOUTHEAST ASIA PROPERTIES &amp; FINANCE LIMITED</t>
        </is>
      </c>
    </row>
    <row r="76">
      <c r="A76" s="8" t="inlineStr">
        <is>
          <t>ESG Data</t>
        </is>
      </c>
      <c r="B76" s="8" t="inlineStr">
        <is>
          <t>環境社會及管治數據</t>
        </is>
      </c>
      <c r="C76" s="8" t="inlineStr">
        <is>
          <t>medium</t>
        </is>
      </c>
      <c r="D76" s="11" t="inlineStr">
        <is>
          <t>ESG</t>
        </is>
      </c>
      <c r="E76" s="11" t="inlineStr">
        <is>
          <t>PDF p.65 (印刷頁 64)</t>
        </is>
      </c>
      <c r="F76" s="11" t="inlineStr">
        <is>
          <t>ts on Risks Time horizon business model Effects on value chain Responses Reputation risk Medium term Expectations regarding Negative ESG issues To provide investors climate performance are such as poor waste and regulators with rapidly escalating across management, clear, consistent, the Group’s stakeholder excessive water and comparable ecosystem. Regulators usage, or labor issues data on climate are implementing on construction sites risks, emissions, and stricter disclosure, directly impact guest mitigation strategies. inves</t>
        </is>
      </c>
    </row>
    <row r="77">
      <c r="A77" s="8" t="inlineStr">
        <is>
          <t>ESG Data</t>
        </is>
      </c>
      <c r="B77" s="8" t="inlineStr">
        <is>
          <t>環境社會及管治數據</t>
        </is>
      </c>
      <c r="C77" s="8" t="inlineStr">
        <is>
          <t>medium</t>
        </is>
      </c>
      <c r="D77" s="11" t="inlineStr">
        <is>
          <t>greenhouse gas</t>
        </is>
      </c>
      <c r="E77" s="11" t="inlineStr">
        <is>
          <t>PDF p.66 (印刷頁 65)</t>
        </is>
      </c>
      <c r="F77" s="11" t="inlineStr">
        <is>
          <t>emissions around 2050. Current Policies: Only currently implemented climate policies remain in place, leading to continued growth in Greenhouse gas (“GHG”) emissions. Global warming is projected to exceed 3°C, resulting in severe physical risks. Annual Report 2025 / 26 65</t>
        </is>
      </c>
    </row>
    <row r="78">
      <c r="A78" s="8" t="inlineStr">
        <is>
          <t>ESG Data</t>
        </is>
      </c>
      <c r="B78" s="8" t="inlineStr">
        <is>
          <t>環境社會及管治數據</t>
        </is>
      </c>
      <c r="C78" s="8" t="inlineStr">
        <is>
          <t>medium</t>
        </is>
      </c>
      <c r="D78" s="11" t="inlineStr">
        <is>
          <t>greenhouse gas</t>
        </is>
      </c>
      <c r="E78" s="11" t="inlineStr">
        <is>
          <t>PDF p.68 (印刷頁 67)</t>
        </is>
      </c>
      <c r="F78" s="11" t="inlineStr">
        <is>
          <t>EPORT Metrics and Targets In alignment with the Code and international climate-related disclosure standards, the Group discloses its Greenhouse Gas (“GHG”) emissions and related intensity metrics under the Metrics and Targets framework. The following table summarises Scope 1, Scope 2 and Scope 3 GHG emissions for the Reporting Period and last corresponding period: GHG Emission 2026 2025 (tonnes of (tonnes of CO2eq.) % CO2eq.) % Scope 1 Direct GHG emissions Gasoline and diesel1 180.70 3.7 211.80 4.0 Town gas (stationary) 1.00 Sc</t>
        </is>
      </c>
    </row>
    <row r="79">
      <c r="A79" s="8" t="inlineStr">
        <is>
          <t>ESG Data</t>
        </is>
      </c>
      <c r="B79" s="8" t="inlineStr">
        <is>
          <t>環境社會及管治數據</t>
        </is>
      </c>
      <c r="C79" s="8" t="inlineStr">
        <is>
          <t>medium</t>
        </is>
      </c>
      <c r="D79" s="11" t="inlineStr">
        <is>
          <t>GHG emission</t>
        </is>
      </c>
      <c r="E79" s="11" t="inlineStr">
        <is>
          <t>PDF p.69 (印刷頁 68)</t>
        </is>
      </c>
      <c r="F79" s="11" t="inlineStr">
        <is>
          <t>the Group’s operation during the Reporting Period. The GHG reported included the following activities and scopes: • Direct (scope 1) GHG emissions from the consumption of gasoline, diesel, and town gas; • Energy indirect (scope 2) GHG emissions from purchased electricity and town gas; and • Other indirect (scope 3) GHG emissions from municipal freshwater and sewage processing. Other indirect GHG emissions during the Reporting Period such as those from waste paper landfilling, mitigated GHG from paper recycling, and business air</t>
        </is>
      </c>
    </row>
    <row r="80">
      <c r="A80" s="8" t="inlineStr">
        <is>
          <t>ESG Data</t>
        </is>
      </c>
      <c r="B80" s="8" t="inlineStr">
        <is>
          <t>環境社會及管治數據</t>
        </is>
      </c>
      <c r="C80" s="8" t="inlineStr">
        <is>
          <t>medium</t>
        </is>
      </c>
      <c r="D80" s="11" t="inlineStr">
        <is>
          <t>greenhouse gas</t>
        </is>
      </c>
      <c r="E80" s="11" t="inlineStr">
        <is>
          <t>PDF p.70 (印刷頁 69)</t>
        </is>
      </c>
      <c r="F80" s="11" t="inlineStr">
        <is>
          <t>the policies; and (b) compliance with relevant laws and regulations that have a significant impact on the issuer relating to air and greenhouse gas emissions, discharges into water and land, and generation of hazardous and non-hazardous waste. KPI A1.1 The types of emissions and respective emissions data. • Emissions KPI A1.2 Repealed on 1 January 2025 • Repealed on 1 January 2025 KPI A1.3 Total hazardous waste produced (in tonnes) and, where • Emissions appropriate, intensity (e.g. per unit of production volume, per facility).</t>
        </is>
      </c>
    </row>
    <row r="81">
      <c r="A81" s="8" t="inlineStr">
        <is>
          <t>ESG Data</t>
        </is>
      </c>
      <c r="B81" s="8" t="inlineStr">
        <is>
          <t>環境社會及管治數據</t>
        </is>
      </c>
      <c r="C81" s="8" t="inlineStr">
        <is>
          <t>medium</t>
        </is>
      </c>
      <c r="D81" s="11" t="inlineStr">
        <is>
          <t>GHG emission</t>
        </is>
      </c>
      <c r="E81" s="11" t="inlineStr">
        <is>
          <t>PDF p.75 (印刷頁 74)</t>
        </is>
      </c>
      <c r="F81" s="11" t="inlineStr">
        <is>
          <t>e-related Disclosures (a) the metrics used to assess climate-related risks and opportunities (including Scope 1, Scope 2 and Scope 3 GHG emissions, resource consumption and intensity ratios); and (b) the targets set to manage climate-related risks and opportunities, and performance against these targets. 74 SOUTHEAST ASIA PROPERTIES &amp; FINANCE LIMITED</t>
        </is>
      </c>
    </row>
    <row r="82">
      <c r="A82" s="8" t="inlineStr">
        <is>
          <t>Segment Information</t>
        </is>
      </c>
      <c r="B82" s="8" t="inlineStr">
        <is>
          <t>分部資料</t>
        </is>
      </c>
      <c r="C82" s="8" t="inlineStr">
        <is>
          <t>medium</t>
        </is>
      </c>
      <c r="D82" s="11" t="inlineStr">
        <is>
          <t>operating segment</t>
        </is>
      </c>
      <c r="E82" s="11" t="inlineStr">
        <is>
          <t>PDF p.32 (印刷頁 31)</t>
        </is>
      </c>
      <c r="F82" s="11" t="inlineStr">
        <is>
          <t>subsidiaries are set out in note 48 to the consolidated financial statements. An analysis of the Group’s performance for the year by operating segment is set out in note 5 to the consolidated financial statements. RESULTS AND APPROPRIATIONS The results of the Group for the year ended 31 March 2026 are set out in the consolidated financial statements on pages 82 to 188 of this report. The Board has recommended the payment of a final dividend of HK3 cents per ordinary share (2025: HK3 cents per ordinary share), in respect of the</t>
        </is>
      </c>
    </row>
    <row r="83">
      <c r="A83" s="8" t="inlineStr">
        <is>
          <t>Segment Information</t>
        </is>
      </c>
      <c r="B83" s="8" t="inlineStr">
        <is>
          <t>分部資料</t>
        </is>
      </c>
      <c r="C83" s="8" t="inlineStr">
        <is>
          <t>medium</t>
        </is>
      </c>
      <c r="D83" s="11" t="inlineStr">
        <is>
          <t>geographical</t>
        </is>
      </c>
      <c r="E83" s="11" t="inlineStr">
        <is>
          <t>PDF p.58 (印刷頁 57)</t>
        </is>
      </c>
      <c r="F83" s="11" t="inlineStr">
        <is>
          <t>sole suppliers, we have two to three regular suppliers for each type of purchased material to ensure supply continuity. 2026 2025 By geographical region Chinese Mainland 32 35 Hong Kong 71 3 Others 2 2 B6. Product Responsibility Product Labelling, Health and Safety, and Advertising The Group ensures that any labelling information and marketing materials do not contain any misleading content. Specific standards have been followed such as GB 21660 (2008): The general requirement for environment protection, safety, identification</t>
        </is>
      </c>
    </row>
    <row r="84">
      <c r="A84" s="8" t="inlineStr">
        <is>
          <t>Segment Information</t>
        </is>
      </c>
      <c r="B84" s="8" t="inlineStr">
        <is>
          <t>分部資料</t>
        </is>
      </c>
      <c r="C84" s="8" t="inlineStr">
        <is>
          <t>medium</t>
        </is>
      </c>
      <c r="D84" s="11" t="inlineStr">
        <is>
          <t>geographical</t>
        </is>
      </c>
      <c r="E84" s="11" t="inlineStr">
        <is>
          <t>PDF p.71 (印刷頁 70)</t>
        </is>
      </c>
      <c r="F84" s="11" t="inlineStr">
        <is>
          <t>efits and welfare. KPI B1.1 Total workforce by gender, employment type (for example, • Employment full- or part-time), age group and geographical region. KPI B1.2 Employee turnover rate by gender, age group and geographical • Employment region. 70 SOUTHEAST ASIA PROPERTIES &amp; FINANCE LIMITED</t>
        </is>
      </c>
    </row>
    <row r="85">
      <c r="A85" s="8" t="inlineStr">
        <is>
          <t>Segment Information</t>
        </is>
      </c>
      <c r="B85" s="8" t="inlineStr">
        <is>
          <t>分部資料</t>
        </is>
      </c>
      <c r="C85" s="8" t="inlineStr">
        <is>
          <t>medium</t>
        </is>
      </c>
      <c r="D85" s="11" t="inlineStr">
        <is>
          <t>geographical</t>
        </is>
      </c>
      <c r="E85" s="11" t="inlineStr">
        <is>
          <t>PDF p.73 (印刷頁 72)</t>
        </is>
      </c>
      <c r="F85" s="11" t="inlineStr">
        <is>
          <t>on managing environmental and social risks of the • Supply Chain Disclosure supply chain. Management KPI B5.1 Number of suppliers by geographical region. • Supply Chain Management KPI B5.2 Description of practices relating to engaging suppliers, number • Supply Chain of suppliers where the practices are being implemented, and Management how they are implemented and monitored. KPI B5.3 Description of practices used to identify environmental • Supply Chain and social risks along the supply chain, and how they are Management imple</t>
        </is>
      </c>
    </row>
    <row r="86">
      <c r="A86" s="8" t="inlineStr">
        <is>
          <t>Segment Information</t>
        </is>
      </c>
      <c r="B86" s="8" t="inlineStr">
        <is>
          <t>分部資料</t>
        </is>
      </c>
      <c r="C86" s="8" t="inlineStr">
        <is>
          <t>medium</t>
        </is>
      </c>
      <c r="D86" s="11" t="inlineStr">
        <is>
          <t>segment information</t>
        </is>
      </c>
      <c r="E86" s="11" t="inlineStr">
        <is>
          <t>PDF p.114 (印刷頁 113)</t>
        </is>
      </c>
      <c r="F86" s="11" t="inlineStr">
        <is>
          <t>2026 2. SUMMARY OF MATERIAL ACCOUNTING POLICIES (Cont’d) 2.22 Segment reporting The Group identifies operating segments and prepares segment information based on the regular internal financial information reported to the executive directors for their decisions about resources allocation to the Group’s business components and for their review of the performance of those components. The business components in the internal financial information reported to the executive directors are determined following the Group’s major product</t>
        </is>
      </c>
    </row>
    <row r="87">
      <c r="A87" s="8" t="inlineStr">
        <is>
          <t>Segment Information</t>
        </is>
      </c>
      <c r="B87" s="8" t="inlineStr">
        <is>
          <t>分部資料</t>
        </is>
      </c>
      <c r="C87" s="8" t="inlineStr">
        <is>
          <t>medium</t>
        </is>
      </c>
      <c r="D87" s="11" t="inlineStr">
        <is>
          <t>segment information</t>
        </is>
      </c>
      <c r="E87" s="11" t="inlineStr">
        <is>
          <t>PDF p.122 (印刷頁 121)</t>
        </is>
      </c>
      <c r="F87" s="11" t="inlineStr">
        <is>
          <t>NOTES TO THE CONSOLIDATED FINANCIAL STATEMENTS For the year ended 31 March 2026 5. SEGMENT INFORMATION The executive directors of the Company, being the chief operating decision makers, have identified the following operating segments of the Group. Property investment, development Investing, developing and leasing properties in Hong and leasing Kong and Chinese Mainland Hotel operation Provision of hotel services in Hong Kong Manufacturing and distribution of Manufacturing and d</t>
        </is>
      </c>
    </row>
    <row r="88">
      <c r="A88" s="8" t="inlineStr">
        <is>
          <t>Segment Information</t>
        </is>
      </c>
      <c r="B88" s="8" t="inlineStr">
        <is>
          <t>分部資料</t>
        </is>
      </c>
      <c r="C88" s="8" t="inlineStr">
        <is>
          <t>medium</t>
        </is>
      </c>
      <c r="D88" s="11" t="inlineStr">
        <is>
          <t>segment information</t>
        </is>
      </c>
      <c r="E88" s="11" t="inlineStr">
        <is>
          <t>PDF p.123 (印刷頁 122)</t>
        </is>
      </c>
      <c r="F88" s="11" t="inlineStr">
        <is>
          <t>NOTES TO THE CONSOLIDATED FINANCIAL STATEMENTS For the year ended 31 March 2026 5. SEGMENT INFORMATION (Cont’d) 5.1 Segment revenue and results The following is an analysis of the Group’s revenue and results by reportable segment: Manufacturing and Property investment, distribution of plastic Broking and securities development and leasing Hotel operation packaging materials margin financing Consolidated 2026 2025 2026 2025 2026 2025 2026 2025 2026 2025 HK$ HK$ HK$ HK$ HK$ HK$ HK</t>
        </is>
      </c>
    </row>
    <row r="89">
      <c r="A89" s="8" t="inlineStr">
        <is>
          <t>Segment Information</t>
        </is>
      </c>
      <c r="B89" s="8" t="inlineStr">
        <is>
          <t>分部資料</t>
        </is>
      </c>
      <c r="C89" s="8" t="inlineStr">
        <is>
          <t>medium</t>
        </is>
      </c>
      <c r="D89" s="11" t="inlineStr">
        <is>
          <t>segment information</t>
        </is>
      </c>
      <c r="E89" s="11" t="inlineStr">
        <is>
          <t>PDF p.124 (印刷頁 123)</t>
        </is>
      </c>
      <c r="F89" s="11" t="inlineStr">
        <is>
          <t>NOTES TO THE CONSOLIDATED FINANCIAL STATEMENTS For the year ended 31 March 2026 5. SEGMENT INFORMATION (Cont’d) 5.2 Segment assets and liabilities Manufacturing and Property investment, distribution of plastic Broking and securities development and leasing Hotel operation packaging materials margin financing Consolidated 2026 2025 2026 2025 2026 2025 2026 2025 2026 2025 HK$ HK$ HK$ HK$ HK$ HK$ HK$ HK$ HK$ HK$ (Re-presented) (Re-presented) (Re-presented) Assets Reportable segment</t>
        </is>
      </c>
    </row>
    <row r="90">
      <c r="A90" s="8" t="inlineStr">
        <is>
          <t>Segment Information</t>
        </is>
      </c>
      <c r="B90" s="8" t="inlineStr">
        <is>
          <t>分部資料</t>
        </is>
      </c>
      <c r="C90" s="8" t="inlineStr">
        <is>
          <t>medium</t>
        </is>
      </c>
      <c r="D90" s="11" t="inlineStr">
        <is>
          <t>segment information</t>
        </is>
      </c>
      <c r="E90" s="11" t="inlineStr">
        <is>
          <t>PDF p.125 (印刷頁 124)</t>
        </is>
      </c>
      <c r="F90" s="11" t="inlineStr">
        <is>
          <t>NOTES TO THE CONSOLIDATED FINANCIAL STATEMENTS For the year ended 31 March 2026 5. SEGMENT INFORMATION (Cont’d) 5.3 Geographical segment The Group’s revenues from external customers and its non-current assets (other than financial instruments and deferred tax assets) are divided into the following geographical areas. The geographical location of customers is based on the location at which the services were provided or the goods delivered. The geographical location of the non-cur</t>
        </is>
      </c>
    </row>
    <row r="91">
      <c r="A91" s="8" t="inlineStr">
        <is>
          <t>Segment Information</t>
        </is>
      </c>
      <c r="B91" s="8" t="inlineStr">
        <is>
          <t>分部資料</t>
        </is>
      </c>
      <c r="C91" s="8" t="inlineStr">
        <is>
          <t>medium</t>
        </is>
      </c>
      <c r="D91" s="11" t="inlineStr">
        <is>
          <t>segment information</t>
        </is>
      </c>
      <c r="E91" s="11" t="inlineStr">
        <is>
          <t>PDF p.126 (印刷頁 125)</t>
        </is>
      </c>
      <c r="F91" s="11" t="inlineStr">
        <is>
          <t>NOTES TO THE CONSOLIDATED FINANCIAL STATEMENTS For the year ended 31 March 2026 5. SEGMENT INFORMATION (Cont’d) 5.4 Information about major customers Revenue from customers contributing over 10% of revenue of the Group is as follows: 2026 2025 HK$ HK$ Manufacturing and distribution of plastic packaging materials Customer A 43,566,860 43,637,880 Customer B 25,166,349 30,138,059 68,733,209 73,775,939 As at 31 March 2026, 6% (2025: 7%) of the Group’s trade receivables was due from</t>
        </is>
      </c>
    </row>
    <row r="92">
      <c r="A92" s="8" t="inlineStr">
        <is>
          <t>Segment Information</t>
        </is>
      </c>
      <c r="B92" s="8" t="inlineStr">
        <is>
          <t>分部資料</t>
        </is>
      </c>
      <c r="C92" s="8" t="inlineStr">
        <is>
          <t>medium</t>
        </is>
      </c>
      <c r="D92" s="11" t="inlineStr">
        <is>
          <t>geographical</t>
        </is>
      </c>
      <c r="E92" s="11" t="inlineStr">
        <is>
          <t>PDF p.128 (印刷頁 127)</t>
        </is>
      </c>
      <c r="F92" s="11" t="inlineStr">
        <is>
          <t>racts with customers within the scope of HKFRS 15 The Group derives revenue from the transfer of goods and services in the following geographical markets: 2026 2025 HK$ HK$ Geographical markets Hong Kong 47,387,378 28,096,880 Asia (exclude Chinese Mainland and Hong Kong) 46,122,963 46,773,374 Chinese Mainland 45,931,679 57,115,312 Oceania 33,689,162 44,206,874 North America 14,678,165 18,818,445 Europe 15,959,589 16,335,195 203,768,936 211,346,080 2026 2025 HK$ HK$ Timing of revenue recognition: At a point in time 180,653,119 2</t>
        </is>
      </c>
    </row>
    <row r="93">
      <c r="A93" s="8" t="inlineStr">
        <is>
          <t>Segment Information</t>
        </is>
      </c>
      <c r="B93" s="8" t="inlineStr">
        <is>
          <t>分部資料</t>
        </is>
      </c>
      <c r="C93" s="8" t="inlineStr">
        <is>
          <t>medium</t>
        </is>
      </c>
      <c r="D93" s="11" t="inlineStr">
        <is>
          <t>geographical</t>
        </is>
      </c>
      <c r="E93" s="11" t="inlineStr">
        <is>
          <t>PDF p.178 (印刷頁 177)</t>
        </is>
      </c>
      <c r="F93" s="11" t="inlineStr">
        <is>
          <t>ry. Trade receivables of the Group from other customers consist of a large number of customers, spread across diverse industries and geographical areas. The Group’s policy to manage credit risk is to deal only with credit worthy counterparties. In order to minimise the credit risk, the management of the Group has formulated a credit policy and, delegated a team responsible for determination of credit limits and credit approvals and other monitoring procedures to ensure that follow-up action is taken. Individual credit evaluatio</t>
        </is>
      </c>
    </row>
    <row r="94">
      <c r="A94" s="8" t="inlineStr">
        <is>
          <t>Share-based Payment</t>
        </is>
      </c>
      <c r="B94" s="8" t="inlineStr">
        <is>
          <t>以股份為基礎的付款</t>
        </is>
      </c>
      <c r="C94" s="8" t="inlineStr">
        <is>
          <t>medium</t>
        </is>
      </c>
      <c r="D94" s="11" t="inlineStr">
        <is>
          <t>share option</t>
        </is>
      </c>
      <c r="E94" s="11" t="inlineStr">
        <is>
          <t>PDF p.13 (印刷頁 12)</t>
        </is>
      </c>
      <c r="F94" s="11" t="inlineStr">
        <is>
          <t>f each investment represents 5% or more of the Group’s total assets. During the year ended 31 March 2025, a new investor exercised a share option to subscribe for new shares of Titan Dragon. With the new share issues of Titan Dragon, the Group’s interest in Titan Dragon was reduced from 28% as at 31 March 2024 to 24.5% as at 31 March 2025. These transactions have resulted in the deemed partial disposal of the Group’s investment in Titan Dragon, and resulted in a deemed disposal loss of HK$15.7 million mainly because of the decr</t>
        </is>
      </c>
    </row>
    <row r="95">
      <c r="A95" s="8" t="inlineStr">
        <is>
          <t>Related Party Transactions</t>
        </is>
      </c>
      <c r="B95" s="8" t="inlineStr">
        <is>
          <t>關聯方交易</t>
        </is>
      </c>
      <c r="C95" s="8" t="inlineStr">
        <is>
          <t>low</t>
        </is>
      </c>
      <c r="D95" s="11" t="inlineStr">
        <is>
          <t>connected transaction</t>
        </is>
      </c>
      <c r="E95" s="11" t="inlineStr">
        <is>
          <t>PDF p.28 (印刷頁 27)</t>
        </is>
      </c>
      <c r="F95" s="11" t="inlineStr">
        <is>
          <t>rict confidence or otherwise disseminated to the public in a timely manner in accordance with the applicable laws and regulations. – Connected Transactions Policy provides a clear guideline to employees for handling connected transaction in order to comply with the Listing Rules requirement. – Code of Conduct stipulates the Group policy on matter of personal conduct and relationships. – Approval Authority sets clear authority limits on business decision and daily operations. – Operational Policies and Procedures are set in each</t>
        </is>
      </c>
    </row>
    <row r="96">
      <c r="A96" s="8" t="inlineStr">
        <is>
          <t>Related Party Transactions</t>
        </is>
      </c>
      <c r="B96" s="8" t="inlineStr">
        <is>
          <t>關聯方交易</t>
        </is>
      </c>
      <c r="C96" s="8" t="inlineStr">
        <is>
          <t>low</t>
        </is>
      </c>
      <c r="D96" s="11" t="inlineStr">
        <is>
          <t>related party</t>
        </is>
      </c>
      <c r="E96" s="11" t="inlineStr">
        <is>
          <t>PDF p.37 (印刷頁 36)</t>
        </is>
      </c>
      <c r="F96" s="11" t="inlineStr">
        <is>
          <t>ce pursuant to Rule 3.13 of the Listing Rules. The Company considers all of the independent non-executive directors are independent. RELATED PARTY TRANSACTIONS The Group entered into certain transactions with parties regarded as “Related Parties” under applicable accounting principles. These mainly relate to transactions entered into by the Group in the ordinary course of business and on an arm’s length basis. Details are set out in note 43 to the consolidated financial statements. 36 SOUTHEAST ASIA PROPERTIES &amp; FINANCE LIMITED</t>
        </is>
      </c>
    </row>
    <row r="97">
      <c r="A97" s="8" t="inlineStr">
        <is>
          <t>Related Party Transactions</t>
        </is>
      </c>
      <c r="B97" s="8" t="inlineStr">
        <is>
          <t>關聯方交易</t>
        </is>
      </c>
      <c r="C97" s="8" t="inlineStr">
        <is>
          <t>low</t>
        </is>
      </c>
      <c r="D97" s="11" t="inlineStr">
        <is>
          <t>connected transaction</t>
        </is>
      </c>
      <c r="E97" s="11" t="inlineStr">
        <is>
          <t>PDF p.38 (印刷頁 37)</t>
        </is>
      </c>
      <c r="F97" s="11" t="inlineStr">
        <is>
          <t>lease payment by the Group during the year was HK$1,418,250 (2025: HK$1,431,000). The above transactions fall within the continuing connected transactions under the Rule 14A.33 of the Listing Rules and were exempted from the reporting, announcement and independent shareholders’ approval requirements. Save for contracts amongst the Group and the aforementioned transaction, no other significant transactions, arrangements and contracts to which the Company was a party and in which a director of the Company had a material interest</t>
        </is>
      </c>
    </row>
    <row r="98">
      <c r="A98" s="8" t="inlineStr">
        <is>
          <t>Related Party Transactions</t>
        </is>
      </c>
      <c r="B98" s="8" t="inlineStr">
        <is>
          <t>關聯方交易</t>
        </is>
      </c>
      <c r="C98" s="8" t="inlineStr">
        <is>
          <t>low</t>
        </is>
      </c>
      <c r="D98" s="11" t="inlineStr">
        <is>
          <t>related party</t>
        </is>
      </c>
      <c r="E98" s="11" t="inlineStr">
        <is>
          <t>PDF p.173 (印刷頁 172)</t>
        </is>
      </c>
      <c r="F98" s="11" t="inlineStr">
        <is>
          <t>NOTES TO THE CONSOLIDATED FINANCIAL STATEMENTS For the year ended 31 March 2026 43. RELATED PARTY TRANSACTIONS Save as disclosed elsewhere in the consolidated financial statements, the Group entered into the following material transactions with related parties at normal commercial terms: 2026 2025 HK$ HK$ Income received from key management personnel – Brokerage commission income 100,502 41,096 – Interest income received 299,325 605,043 Income received from associates – Accountin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pane ySplit="23" topLeftCell="A2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Goodwill</t>
        </is>
      </c>
    </row>
    <row r="14">
      <c r="A14" s="8" t="inlineStr">
        <is>
          <t>Balance Sheet</t>
        </is>
      </c>
      <c r="B14" s="8" t="inlineStr">
        <is>
          <t>Total Liabilities</t>
        </is>
      </c>
    </row>
    <row r="15">
      <c r="A15" s="8" t="inlineStr">
        <is>
          <t>Balance Sheet</t>
        </is>
      </c>
      <c r="B15" s="8" t="inlineStr">
        <is>
          <t>Borrowings</t>
        </is>
      </c>
    </row>
    <row r="16">
      <c r="A16" s="8" t="inlineStr">
        <is>
          <t>Cash Flow</t>
        </is>
      </c>
      <c r="B16" s="8" t="inlineStr">
        <is>
          <t>Financing Cash Flow</t>
        </is>
      </c>
    </row>
    <row r="17">
      <c r="A17" s="8" t="inlineStr">
        <is>
          <t>Cash Flow</t>
        </is>
      </c>
      <c r="B17" s="8" t="inlineStr">
        <is>
          <t>Capital Expenditure</t>
        </is>
      </c>
    </row>
    <row r="20">
      <c r="A20" s="5" t="inlineStr">
        <is>
          <t>二、文字量過低的頁面(疑似掃描頁)</t>
        </is>
      </c>
    </row>
    <row r="21">
      <c r="A21" s="2" t="inlineStr">
        <is>
          <t>這些頁面幾乎抓不到文字,通常是掃描件或純圖表,建議人手翻閱或另行 OCR。</t>
        </is>
      </c>
    </row>
    <row r="23">
      <c r="A23" s="7" t="inlineStr">
        <is>
          <t>PDF 頁碼</t>
        </is>
      </c>
      <c r="B23" s="7" t="inlineStr">
        <is>
          <t>狀態</t>
        </is>
      </c>
    </row>
    <row r="24">
      <c r="A24" s="8" t="n">
        <v>1</v>
      </c>
      <c r="B24"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2026-08-30T14:16:32Z</dcterms:created>
  <dcterms:modified xsi:type="dcterms:W3CDTF">2026-08-30T14:16:32Z</dcterms:modified>
</cp:coreProperties>
</file>
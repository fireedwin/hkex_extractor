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摘要" sheetId="1" state="visible" r:id="rId1"/>
    <sheet name="Valuation Params 估值參數" sheetId="2" state="visible" r:id="rId2"/>
    <sheet name="Financials 財務數據" sheetId="3" state="visible" r:id="rId3"/>
    <sheet name="Ratios 財務比率" sheetId="4" state="visible" r:id="rId4"/>
    <sheet name="Chart 趨勢圖" sheetId="5" state="visible" r:id="rId5"/>
    <sheet name="Extracts 主題段落" sheetId="6" state="visible" r:id="rId6"/>
    <sheet name="Review Queue 待覆核" sheetId="7" state="visible" r:id="rId7"/>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9">
    <font>
      <name val="Calibri"/>
      <family val="2"/>
      <color theme="1"/>
      <sz val="11"/>
      <scheme val="minor"/>
    </font>
    <font>
      <name val="Arial"/>
      <b val="1"/>
      <color rgb="001F4E5F"/>
      <sz val="14"/>
    </font>
    <font>
      <name val="Arial"/>
      <i val="1"/>
      <color rgb="00808080"/>
      <sz val="9"/>
    </font>
    <font>
      <name val="Arial"/>
      <b val="1"/>
      <sz val="10"/>
    </font>
    <font>
      <name val="Arial"/>
      <sz val="10"/>
    </font>
    <font>
      <name val="Arial"/>
      <b val="1"/>
      <sz val="11"/>
    </font>
    <font>
      <name val="Arial"/>
      <color rgb="00006100"/>
      <sz val="10"/>
    </font>
    <font>
      <name val="Arial"/>
      <b val="1"/>
      <color rgb="00FFFFFF"/>
      <sz val="10"/>
    </font>
    <font>
      <name val="Arial"/>
      <color rgb="000000FF"/>
      <sz val="10"/>
    </font>
  </fonts>
  <fills count="4">
    <fill>
      <patternFill/>
    </fill>
    <fill>
      <patternFill patternType="gray125"/>
    </fill>
    <fill>
      <patternFill patternType="solid">
        <fgColor rgb="001F4E5F"/>
      </patternFill>
    </fill>
    <fill>
      <patternFill patternType="solid">
        <fgColor rgb="00E2EFD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2" borderId="0" applyAlignment="1" pivotButton="0" quotePrefix="0" xfId="0">
      <alignment vertical="center" wrapText="1"/>
    </xf>
    <xf numFmtId="0" fontId="4" fillId="0" borderId="1" applyAlignment="1" pivotButton="0" quotePrefix="0" xfId="0">
      <alignment vertical="top"/>
    </xf>
    <xf numFmtId="2" fontId="4" fillId="0" borderId="1" applyAlignment="1" pivotButton="0" quotePrefix="0" xfId="0">
      <alignment vertical="top"/>
    </xf>
    <xf numFmtId="2" fontId="4" fillId="0" borderId="1" applyAlignment="1" pivotButton="0" quotePrefix="0" xfId="0">
      <alignment vertical="top" wrapText="1"/>
    </xf>
    <xf numFmtId="0" fontId="4" fillId="0" borderId="1" applyAlignment="1" pivotButton="0" quotePrefix="0" xfId="0">
      <alignment vertical="top" wrapText="1"/>
    </xf>
    <xf numFmtId="164" fontId="4" fillId="0" borderId="1" applyAlignment="1" pivotButton="0" quotePrefix="0" xfId="0">
      <alignment vertical="top"/>
    </xf>
    <xf numFmtId="164" fontId="4" fillId="0" borderId="1" applyAlignment="1" pivotButton="0" quotePrefix="0" xfId="0">
      <alignment vertical="top" wrapText="1"/>
    </xf>
    <xf numFmtId="165" fontId="4" fillId="0" borderId="1" applyAlignment="1" pivotButton="0" quotePrefix="0" xfId="0">
      <alignment vertical="top" wrapText="1"/>
    </xf>
    <xf numFmtId="165" fontId="4" fillId="0" borderId="0" pivotButton="0" quotePrefix="0" xfId="0"/>
    <xf numFmtId="2" fontId="4" fillId="0" borderId="0" pivotButton="0" quotePrefix="0" xfId="0"/>
    <xf numFmtId="0" fontId="7" fillId="2" borderId="0" pivotButton="0" quotePrefix="0" xfId="0"/>
    <xf numFmtId="164" fontId="0" fillId="0" borderId="0" pivotButton="0" quotePrefix="0" xfId="0"/>
    <xf numFmtId="0" fontId="4"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harts/chart1.xml><?xml version="1.0" encoding="utf-8"?>
<chartSpace xmlns:a="http://schemas.openxmlformats.org/drawingml/2006/main" xmlns="http://schemas.openxmlformats.org/drawingml/2006/chart">
  <style val="10"/>
  <chart>
    <title>
      <tx>
        <rich>
          <a:bodyPr/>
          <a:p>
            <a:pPr>
              <a:defRPr/>
            </a:pPr>
            <a:r>
              <a:t>Key Financials — Prior vs Current</a:t>
            </a:r>
          </a:p>
        </rich>
      </tx>
    </title>
    <plotArea>
      <barChart>
        <barDir val="col"/>
        <grouping val="clustered"/>
        <ser>
          <idx val="0"/>
          <order val="0"/>
          <tx>
            <strRef>
              <f>'Chart 趨勢圖'!B4</f>
            </strRef>
          </tx>
          <spPr>
            <a:ln>
              <a:prstDash val="solid"/>
            </a:ln>
          </spPr>
          <cat>
            <numRef>
              <f>'Chart 趨勢圖'!$A$5:$A$9</f>
            </numRef>
          </cat>
          <val>
            <numRef>
              <f>'Chart 趨勢圖'!$B$5:$B$9</f>
            </numRef>
          </val>
        </ser>
        <ser>
          <idx val="1"/>
          <order val="1"/>
          <tx>
            <strRef>
              <f>'Chart 趨勢圖'!C4</f>
            </strRef>
          </tx>
          <spPr>
            <a:ln>
              <a:prstDash val="solid"/>
            </a:ln>
          </spPr>
          <cat>
            <numRef>
              <f>'Chart 趨勢圖'!$A$5:$A$9</f>
            </numRef>
          </cat>
          <val>
            <numRef>
              <f>'Chart 趨勢圖'!$C$5:$C$9</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Amount (as reported)</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3</row>
      <rowOff>0</rowOff>
    </from>
    <ext cx="7920000" cy="396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42" customWidth="1" min="1" max="1"/>
    <col width="60" customWidth="1" min="2" max="2"/>
  </cols>
  <sheetData>
    <row r="1">
      <c r="A1" s="1" t="inlineStr">
        <is>
          <t>HKEX 文件資料萃取報告</t>
        </is>
      </c>
    </row>
    <row r="2">
      <c r="A2" s="2" t="inlineStr">
        <is>
          <t>Automated Extraction Report — Business Valuation Support</t>
        </is>
      </c>
    </row>
    <row r="4">
      <c r="A4" s="3" t="inlineStr">
        <is>
          <t>來源文件 Source file</t>
        </is>
      </c>
      <c r="B4" s="4" t="inlineStr">
        <is>
          <t>00160_HON_KWOK_LAND_20260729.pdf</t>
        </is>
      </c>
    </row>
    <row r="5">
      <c r="A5" s="3" t="inlineStr">
        <is>
          <t>產生時間 Generated</t>
        </is>
      </c>
      <c r="B5" s="4" t="inlineStr">
        <is>
          <t>2026-08-30 22:16</t>
        </is>
      </c>
    </row>
    <row r="6">
      <c r="A6" s="4" t="inlineStr"/>
      <c r="B6" s="4" t="inlineStr"/>
    </row>
    <row r="7">
      <c r="A7" s="3" t="inlineStr">
        <is>
          <t>總頁數 Total pages</t>
        </is>
      </c>
      <c r="B7" s="4" t="n">
        <v>169</v>
      </c>
    </row>
    <row r="8">
      <c r="A8" s="3" t="inlineStr">
        <is>
          <t>已擷取字元 Characters extracted</t>
        </is>
      </c>
      <c r="B8" s="4" t="n">
        <v>324470</v>
      </c>
    </row>
    <row r="9">
      <c r="A9" s="3" t="inlineStr">
        <is>
          <t>含表格頁數 Pages with tables</t>
        </is>
      </c>
      <c r="B9" s="4" t="n">
        <v>0</v>
      </c>
    </row>
    <row r="10">
      <c r="A10" s="3" t="inlineStr">
        <is>
          <t>需人手/OCR 頁數 Pages needing OCR</t>
        </is>
      </c>
      <c r="B10" s="4" t="n">
        <v>0</v>
      </c>
    </row>
    <row r="11">
      <c r="A11" s="4" t="inlineStr"/>
      <c r="B11" s="4" t="inlineStr"/>
    </row>
    <row r="12">
      <c r="A12" s="3" t="inlineStr">
        <is>
          <t>估值參數擷取筆數 Valuation parameters</t>
        </is>
      </c>
      <c r="B12" s="4" t="n">
        <v>1</v>
      </c>
    </row>
    <row r="13">
      <c r="A13" s="3" t="inlineStr">
        <is>
          <t>財務科目擷取筆數 Financial line items</t>
        </is>
      </c>
      <c r="B13" s="4" t="n">
        <v>16</v>
      </c>
    </row>
    <row r="14">
      <c r="A14" s="3" t="inlineStr">
        <is>
          <t>主題段落擷取筆數 Topic extracts</t>
        </is>
      </c>
      <c r="B14" s="4" t="n">
        <v>56</v>
      </c>
    </row>
    <row r="15">
      <c r="A15" s="3" t="inlineStr">
        <is>
          <t>AI 複核筆數 AI-verified findings</t>
        </is>
      </c>
      <c r="B15" s="4" t="n">
        <v>0</v>
      </c>
    </row>
    <row r="17">
      <c r="A17" s="5" t="inlineStr">
        <is>
          <t>資料完整性檢查 Integrity checks</t>
        </is>
      </c>
    </row>
    <row r="18">
      <c r="A18" s="2" t="inlineStr">
        <is>
          <t>用會計恆等式交叉驗證擷取結果 —— 數字之間本來就該對得上,對不上代表某欄可能抓錯,請翻回來源頁核對。</t>
        </is>
      </c>
    </row>
    <row r="19">
      <c r="A19" s="6" t="inlineStr">
        <is>
          <t>✓ 流動資產 − 流動負債 = 淨流動資產</t>
        </is>
      </c>
      <c r="B19" s="4" t="inlineStr">
        <is>
          <t>2,378,332 − 2,742,593 = -364,261</t>
        </is>
      </c>
    </row>
    <row r="20">
      <c r="A20" s="6" t="inlineStr">
        <is>
          <t>✓ 收入 − 銷售成本 = 毛利</t>
        </is>
      </c>
      <c r="B20" s="4" t="inlineStr">
        <is>
          <t>832,126 − 403,492 = 428,634 vs 毛利 428,634</t>
        </is>
      </c>
    </row>
    <row r="21">
      <c r="A21" s="6" t="inlineStr">
        <is>
          <t>✓ 除稅前溢利 ± 稅項 = 年內溢利</t>
        </is>
      </c>
      <c r="B21" s="4" t="inlineStr">
        <is>
          <t>-577,069 + 67,534 = -509,535 vs -509,535</t>
        </is>
      </c>
    </row>
    <row r="22">
      <c r="A22" s="6" t="inlineStr">
        <is>
          <t>✓ 三大報表應相鄰</t>
        </is>
      </c>
      <c r="B22" s="4" t="inlineStr">
        <is>
          <t>Income Statement: p.48、Balance Sheet: p.50、Cash Flow: p.53(相距 5 頁)</t>
        </is>
      </c>
    </row>
    <row r="24">
      <c r="A24" s="5" t="inlineStr">
        <is>
          <t>方法論 Methodology</t>
        </is>
      </c>
    </row>
    <row r="25">
      <c r="A25" s="4" t="inlineStr">
        <is>
          <t>1. 逐頁擷取文字,全程保留 PDF 頁碼與年報印刷頁碼(可追溯性)。</t>
        </is>
      </c>
    </row>
    <row r="26">
      <c r="A26" s="4" t="inlineStr">
        <is>
          <t>2. 規則層(正則/關鍵字)先把全份文件縮減為少數相關頁面 —— 解決「文件太大」。</t>
        </is>
      </c>
    </row>
    <row r="27">
      <c r="A27" s="4" t="inlineStr">
        <is>
          <t>3. 數字由正則精確擷取並做合理性檢查,不由語言模型生成 —— 解決「準確度」。</t>
        </is>
      </c>
    </row>
    <row r="28">
      <c r="A28" s="4" t="inlineStr">
        <is>
          <t>4. AI 僅在縮減後的頁面上做語意判斷,且輸出頁碼須通過驗證才保留。</t>
        </is>
      </c>
    </row>
    <row r="29">
      <c r="A29" s="4" t="inlineStr">
        <is>
          <t>5. 所有結果附來源頁碼與原文行,供估值師覆核。信心度為 Low 者建議人手確認。</t>
        </is>
      </c>
    </row>
    <row r="30">
      <c r="A30" s="4" t="inlineStr">
        <is>
          <t>6. 支援中英對照年報、破折號(nil)、Profit/(loss) 等港股常見排版。</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
  <sheetViews>
    <sheetView workbookViewId="0">
      <pane ySplit="4" topLeftCell="A5" activePane="bottomLeft" state="frozen"/>
      <selection pane="bottomLeft" activeCell="A1" sqref="A1"/>
    </sheetView>
  </sheetViews>
  <sheetFormatPr baseColWidth="8" defaultRowHeight="15"/>
  <cols>
    <col width="24" customWidth="1" min="1" max="1"/>
    <col width="18" customWidth="1" min="2" max="2"/>
    <col width="12" customWidth="1" min="3" max="3"/>
    <col width="12" customWidth="1" min="4" max="4"/>
    <col width="14" customWidth="1" min="5" max="5"/>
    <col width="10" customWidth="1" min="6" max="6"/>
    <col width="22" customWidth="1" min="7" max="7"/>
    <col width="90" customWidth="1" min="8" max="8"/>
  </cols>
  <sheetData>
    <row r="1">
      <c r="A1" s="1" t="inlineStr">
        <is>
          <t>估值參數 Benchmark — 可直接併入行內參數資料庫</t>
        </is>
      </c>
    </row>
    <row r="2">
      <c r="A2" s="2" t="inlineStr">
        <is>
          <t>數字由正則式從原文精確擷取,並經合理範圍檢查;非由 AI 生成。</t>
        </is>
      </c>
    </row>
    <row r="4">
      <c r="A4" s="7" t="inlineStr">
        <is>
          <t>參數 Parameter</t>
        </is>
      </c>
      <c r="B4" s="7" t="inlineStr">
        <is>
          <t>中文</t>
        </is>
      </c>
      <c r="C4" s="7" t="inlineStr">
        <is>
          <t>下限 Low (%)</t>
        </is>
      </c>
      <c r="D4" s="7" t="inlineStr">
        <is>
          <t>上限 High (%)</t>
        </is>
      </c>
      <c r="E4" s="7" t="inlineStr">
        <is>
          <t>原文數值</t>
        </is>
      </c>
      <c r="F4" s="7" t="inlineStr">
        <is>
          <t>信心度</t>
        </is>
      </c>
      <c r="G4" s="7" t="inlineStr">
        <is>
          <t>來源頁 Source Page</t>
        </is>
      </c>
      <c r="H4" s="7" t="inlineStr">
        <is>
          <t>上下文 Context</t>
        </is>
      </c>
    </row>
    <row r="5">
      <c r="A5" s="8" t="inlineStr">
        <is>
          <t>Capitalisation Rate</t>
        </is>
      </c>
      <c r="B5" s="8" t="inlineStr">
        <is>
          <t>資本化率</t>
        </is>
      </c>
      <c r="C5" s="9" t="n">
        <v>3.1</v>
      </c>
      <c r="D5" s="10" t="n">
        <v>6.5</v>
      </c>
      <c r="E5" s="11" t="inlineStr">
        <is>
          <t>3.1% to 6.5%</t>
        </is>
      </c>
      <c r="F5" s="11" t="inlineStr">
        <is>
          <t>High</t>
        </is>
      </c>
      <c r="G5" s="11" t="inlineStr">
        <is>
          <t>PDF p.116 (印刷頁 115)</t>
        </is>
      </c>
      <c r="H5" s="11" t="inlineStr">
        <is>
          <t xml:space="preserve"> 36 to 387 53 to 387 per hotel room price (JPY) 5,500 to 33,000 6,000 to 12,500 Capitalisation rate 3.1% to 6.5% 3. 2% to 6. 5% Direct comparison Unit price (HK$/unit) 1,800,000 2,000,000 approach Unit price (RMB/unit) 80,000 to 460,000 80,000 to 480,000 Pric</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2"/>
  <sheetViews>
    <sheetView workbookViewId="0">
      <pane ySplit="4" topLeftCell="A5" activePane="bottomLeft" state="frozen"/>
      <selection pane="bottomLeft" activeCell="A1" sqref="A1"/>
    </sheetView>
  </sheetViews>
  <sheetFormatPr baseColWidth="8" defaultRowHeight="15"/>
  <cols>
    <col width="20" customWidth="1" min="1" max="1"/>
    <col width="28" customWidth="1" min="2" max="2"/>
    <col width="16" customWidth="1" min="3" max="3"/>
    <col width="16" customWidth="1" min="4" max="4"/>
    <col width="12" customWidth="1" min="5" max="5"/>
    <col width="20" customWidth="1" min="6" max="6"/>
    <col width="70" customWidth="1" min="7" max="7"/>
  </cols>
  <sheetData>
    <row r="1">
      <c r="A1" s="1" t="inlineStr">
        <is>
          <t>三大報表擷取結果</t>
        </is>
      </c>
    </row>
    <row r="2">
      <c r="A2" s="2" t="inlineStr">
        <is>
          <t>偵測到的年度欄位 — Income Statement: 2026 / 2025; Balance Sheet: 2026 / 2025; Cash Flow: 2026 / 2025</t>
        </is>
      </c>
    </row>
    <row r="4">
      <c r="A4" s="7" t="inlineStr">
        <is>
          <t>報表 Statement</t>
        </is>
      </c>
      <c r="B4" s="7" t="inlineStr">
        <is>
          <t>科目 Item</t>
        </is>
      </c>
      <c r="C4" s="7" t="inlineStr">
        <is>
          <t>本年 Current</t>
        </is>
      </c>
      <c r="D4" s="7" t="inlineStr">
        <is>
          <t>上年 Prior</t>
        </is>
      </c>
      <c r="E4" s="7" t="inlineStr">
        <is>
          <t>變動 YoY %</t>
        </is>
      </c>
      <c r="F4" s="7" t="inlineStr">
        <is>
          <t>來源頁</t>
        </is>
      </c>
      <c r="G4" s="7" t="inlineStr">
        <is>
          <t>原文行 Source line</t>
        </is>
      </c>
    </row>
    <row r="5">
      <c r="A5" s="8" t="inlineStr">
        <is>
          <t>Income Statement</t>
        </is>
      </c>
      <c r="B5" s="8" t="inlineStr">
        <is>
          <t>Revenue</t>
        </is>
      </c>
      <c r="C5" s="12" t="n">
        <v>832126</v>
      </c>
      <c r="D5" s="13" t="n">
        <v>1012714</v>
      </c>
      <c r="E5" s="14">
        <f>IF(ISERROR((C5-D5)/ABS(D5)),"",(C5-D5)/ABS(D5))</f>
        <v>-0.1783208289803439</v>
      </c>
      <c r="F5" s="11" t="inlineStr">
        <is>
          <t>PDF p.48 (印刷頁 47)</t>
        </is>
      </c>
      <c r="G5" s="11" t="inlineStr">
        <is>
          <t>REVENUE 5 832,126 1,012,714</t>
        </is>
      </c>
    </row>
    <row r="6">
      <c r="A6" s="8" t="inlineStr">
        <is>
          <t>Income Statement</t>
        </is>
      </c>
      <c r="B6" s="8" t="inlineStr">
        <is>
          <t>Cost of Sales</t>
        </is>
      </c>
      <c r="C6" s="12" t="n">
        <v>-403492</v>
      </c>
      <c r="D6" s="13" t="n">
        <v>-485853</v>
      </c>
      <c r="E6" s="14">
        <f>IF(ISERROR((C6-D6)/ABS(D6)),"",(C6-D6)/ABS(D6))</f>
        <v>0.1695183522588108</v>
      </c>
      <c r="F6" s="11" t="inlineStr">
        <is>
          <t>PDF p.48 (印刷頁 47)</t>
        </is>
      </c>
      <c r="G6" s="11" t="inlineStr">
        <is>
          <t>Cost of sales (403,492) (485,853)</t>
        </is>
      </c>
    </row>
    <row r="7">
      <c r="A7" s="8" t="inlineStr">
        <is>
          <t>Income Statement</t>
        </is>
      </c>
      <c r="B7" s="8" t="inlineStr">
        <is>
          <t>Gross Profit</t>
        </is>
      </c>
      <c r="C7" s="12" t="n">
        <v>428634</v>
      </c>
      <c r="D7" s="13" t="n">
        <v>526861</v>
      </c>
      <c r="E7" s="14">
        <f>IF(ISERROR((C7-D7)/ABS(D7)),"",(C7-D7)/ABS(D7))</f>
        <v>-0.1864381687010426</v>
      </c>
      <c r="F7" s="11" t="inlineStr">
        <is>
          <t>PDF p.48 (印刷頁 47)</t>
        </is>
      </c>
      <c r="G7" s="11" t="inlineStr">
        <is>
          <t>Gross profit 428,634 526,861</t>
        </is>
      </c>
    </row>
    <row r="8">
      <c r="A8" s="8" t="inlineStr">
        <is>
          <t>Income Statement</t>
        </is>
      </c>
      <c r="B8" s="8" t="inlineStr">
        <is>
          <t>Finance Costs</t>
        </is>
      </c>
      <c r="C8" s="12" t="n">
        <v>-248622</v>
      </c>
      <c r="D8" s="13" t="n">
        <v>-291194</v>
      </c>
      <c r="E8" s="14">
        <f>IF(ISERROR((C8-D8)/ABS(D8)),"",(C8-D8)/ABS(D8))</f>
        <v>0.14619806726786952</v>
      </c>
      <c r="F8" s="11" t="inlineStr">
        <is>
          <t>PDF p.48 (印刷頁 47)</t>
        </is>
      </c>
      <c r="G8" s="11" t="inlineStr">
        <is>
          <t>Finance costs 6 (248,622) (291,194)</t>
        </is>
      </c>
    </row>
    <row r="9">
      <c r="A9" s="8" t="inlineStr">
        <is>
          <t>Income Statement</t>
        </is>
      </c>
      <c r="B9" s="8" t="inlineStr">
        <is>
          <t>Profit Before Tax</t>
        </is>
      </c>
      <c r="C9" s="12" t="n">
        <v>-577069</v>
      </c>
      <c r="D9" s="13" t="n">
        <v>-520322</v>
      </c>
      <c r="E9" s="14">
        <f>IF(ISERROR((C9-D9)/ABS(D9)),"",(C9-D9)/ABS(D9))</f>
        <v>-0.1090613120337022</v>
      </c>
      <c r="F9" s="11" t="inlineStr">
        <is>
          <t>PDF p.48 (印刷頁 47)</t>
        </is>
      </c>
      <c r="G9" s="11" t="inlineStr">
        <is>
          <t>LOSS BEFORE TAX 7 (577,069) (520,322)</t>
        </is>
      </c>
    </row>
    <row r="10">
      <c r="A10" s="8" t="inlineStr">
        <is>
          <t>Income Statement</t>
        </is>
      </c>
      <c r="B10" s="8" t="inlineStr">
        <is>
          <t>Income Tax</t>
        </is>
      </c>
      <c r="C10" s="12" t="n">
        <v>67534</v>
      </c>
      <c r="D10" s="13" t="n">
        <v>-88707</v>
      </c>
      <c r="E10" s="14">
        <f>IF(ISERROR((C10-D10)/ABS(D10)),"",(C10-D10)/ABS(D10))</f>
        <v>1.7613153415175804</v>
      </c>
      <c r="F10" s="11" t="inlineStr">
        <is>
          <t>PDF p.48 (印刷頁 47)</t>
        </is>
      </c>
      <c r="G10" s="11" t="inlineStr">
        <is>
          <t>Income tax credit/(expense) 10 67,534 (88,707)</t>
        </is>
      </c>
    </row>
    <row r="11">
      <c r="A11" s="8" t="inlineStr">
        <is>
          <t>Income Statement</t>
        </is>
      </c>
      <c r="B11" s="8" t="inlineStr">
        <is>
          <t>Profit for the Year</t>
        </is>
      </c>
      <c r="C11" s="12" t="n">
        <v>-509535</v>
      </c>
      <c r="D11" s="13" t="n">
        <v>-609029</v>
      </c>
      <c r="E11" s="14">
        <f>IF(ISERROR((C11-D11)/ABS(D11)),"",(C11-D11)/ABS(D11))</f>
        <v>0.16336496291638</v>
      </c>
      <c r="F11" s="11" t="inlineStr">
        <is>
          <t>PDF p.48 (印刷頁 47)</t>
        </is>
      </c>
      <c r="G11" s="11" t="inlineStr">
        <is>
          <t>LOSS FOR THE YEAR (509,535) (609,029)</t>
        </is>
      </c>
    </row>
    <row r="12">
      <c r="A12" s="8" t="inlineStr">
        <is>
          <t>Balance Sheet</t>
        </is>
      </c>
      <c r="B12" s="8" t="inlineStr">
        <is>
          <t>Property Plant and Equipment</t>
        </is>
      </c>
      <c r="C12" s="12" t="n">
        <v>229346</v>
      </c>
      <c r="D12" s="13" t="n">
        <v>232211</v>
      </c>
      <c r="E12" s="14">
        <f>IF(ISERROR((C12-D12)/ABS(D12)),"",(C12-D12)/ABS(D12))</f>
        <v>-0.012337916808419929</v>
      </c>
      <c r="F12" s="11" t="inlineStr">
        <is>
          <t>PDF p.50 (印刷頁 49)</t>
        </is>
      </c>
      <c r="G12" s="11" t="inlineStr">
        <is>
          <t>Property, plant and equipment 13 229,346 232,211</t>
        </is>
      </c>
    </row>
    <row r="13">
      <c r="A13" s="8" t="inlineStr">
        <is>
          <t>Balance Sheet</t>
        </is>
      </c>
      <c r="B13" s="8" t="inlineStr">
        <is>
          <t>Investment Properties</t>
        </is>
      </c>
      <c r="C13" s="12" t="n">
        <v>14406086</v>
      </c>
      <c r="D13" s="13" t="n">
        <v>14877026</v>
      </c>
      <c r="E13" s="14">
        <f>IF(ISERROR((C13-D13)/ABS(D13)),"",(C13-D13)/ABS(D13))</f>
        <v>-0.031655520397692385</v>
      </c>
      <c r="F13" s="11" t="inlineStr">
        <is>
          <t>PDF p.50 (印刷頁 49)</t>
        </is>
      </c>
      <c r="G13" s="11" t="inlineStr">
        <is>
          <t>Investment properties 14 14,406,086 14,877,026</t>
        </is>
      </c>
    </row>
    <row r="14">
      <c r="A14" s="8" t="inlineStr">
        <is>
          <t>Balance Sheet</t>
        </is>
      </c>
      <c r="B14" s="8" t="inlineStr">
        <is>
          <t>Trade Receivables</t>
        </is>
      </c>
      <c r="C14" s="12" t="n">
        <v>5431</v>
      </c>
      <c r="D14" s="13" t="n">
        <v>11047</v>
      </c>
      <c r="E14" s="14">
        <f>IF(ISERROR((C14-D14)/ABS(D14)),"",(C14-D14)/ABS(D14))</f>
        <v>-0.5083733140219064</v>
      </c>
      <c r="F14" s="11" t="inlineStr">
        <is>
          <t>PDF p.50 (印刷頁 49)</t>
        </is>
      </c>
      <c r="G14" s="11" t="inlineStr">
        <is>
          <t>Trade receivables 20 5,431 11,047</t>
        </is>
      </c>
    </row>
    <row r="15">
      <c r="A15" s="8" t="inlineStr">
        <is>
          <t>Balance Sheet</t>
        </is>
      </c>
      <c r="B15" s="8" t="inlineStr">
        <is>
          <t>Cash and Equivalents</t>
        </is>
      </c>
      <c r="C15" s="12" t="n">
        <v>764229</v>
      </c>
      <c r="D15" s="13" t="n">
        <v>1043470</v>
      </c>
      <c r="E15" s="14">
        <f>IF(ISERROR((C15-D15)/ABS(D15)),"",(C15-D15)/ABS(D15))</f>
        <v>-0.26760807689727545</v>
      </c>
      <c r="F15" s="11" t="inlineStr">
        <is>
          <t>PDF p.50 (印刷頁 49)</t>
        </is>
      </c>
      <c r="G15" s="11" t="inlineStr">
        <is>
          <t>Cash and cash equivalents 23 764,229 1,043,470</t>
        </is>
      </c>
    </row>
    <row r="16">
      <c r="A16" s="8" t="inlineStr">
        <is>
          <t>Balance Sheet</t>
        </is>
      </c>
      <c r="B16" s="8" t="inlineStr">
        <is>
          <t>Total Current Assets</t>
        </is>
      </c>
      <c r="C16" s="12" t="n">
        <v>2378332</v>
      </c>
      <c r="D16" s="13" t="n">
        <v>2618710</v>
      </c>
      <c r="E16" s="14">
        <f>IF(ISERROR((C16-D16)/ABS(D16)),"",(C16-D16)/ABS(D16))</f>
        <v>-0.0917925237998862</v>
      </c>
      <c r="F16" s="11" t="inlineStr">
        <is>
          <t>PDF p.50 (印刷頁 49)</t>
        </is>
      </c>
      <c r="G16" s="11" t="inlineStr">
        <is>
          <t>Total current assets 2,378,332 2,618,710</t>
        </is>
      </c>
    </row>
    <row r="17">
      <c r="A17" s="8" t="inlineStr">
        <is>
          <t>Balance Sheet</t>
        </is>
      </c>
      <c r="B17" s="8" t="inlineStr">
        <is>
          <t>Total Current Liabilities</t>
        </is>
      </c>
      <c r="C17" s="12" t="n">
        <v>2742593</v>
      </c>
      <c r="D17" s="13" t="n">
        <v>1035733</v>
      </c>
      <c r="E17" s="14">
        <f>IF(ISERROR((C17-D17)/ABS(D17)),"",(C17-D17)/ABS(D17))</f>
        <v>1.6479729814537145</v>
      </c>
      <c r="F17" s="11" t="inlineStr">
        <is>
          <t>PDF p.50 (印刷頁 49)</t>
        </is>
      </c>
      <c r="G17" s="11" t="inlineStr">
        <is>
          <t>Total current liabilities 2,742,593 1,035,733</t>
        </is>
      </c>
    </row>
    <row r="18">
      <c r="A18" s="8" t="inlineStr">
        <is>
          <t>Balance Sheet</t>
        </is>
      </c>
      <c r="B18" s="8" t="inlineStr">
        <is>
          <t>Total Equity</t>
        </is>
      </c>
      <c r="C18" s="12" t="n">
        <v>10734158</v>
      </c>
      <c r="D18" s="13" t="n">
        <v>10882658</v>
      </c>
      <c r="E18" s="14">
        <f>IF(ISERROR((C18-D18)/ABS(D18)),"",(C18-D18)/ABS(D18))</f>
        <v>-0.01364556342761116</v>
      </c>
      <c r="F18" s="11" t="inlineStr">
        <is>
          <t>PDF p.51 (印刷頁 50)</t>
        </is>
      </c>
      <c r="G18" s="11" t="inlineStr">
        <is>
          <t>Total equity 10,734,158 10,882,658</t>
        </is>
      </c>
    </row>
    <row r="19">
      <c r="A19" s="8" t="inlineStr">
        <is>
          <t>Cash Flow</t>
        </is>
      </c>
      <c r="B19" s="8" t="inlineStr">
        <is>
          <t>Operating Cash Flow</t>
        </is>
      </c>
      <c r="C19" s="12" t="n">
        <v>298935</v>
      </c>
      <c r="D19" s="13" t="n">
        <v>457149</v>
      </c>
      <c r="E19" s="14">
        <f>IF(ISERROR((C19-D19)/ABS(D19)),"",(C19-D19)/ABS(D19))</f>
        <v>-0.3460884744361248</v>
      </c>
      <c r="F19" s="11" t="inlineStr">
        <is>
          <t>PDF p.53 (印刷頁 52)</t>
        </is>
      </c>
      <c r="G19" s="11" t="inlineStr">
        <is>
          <t>Net cash flows from operating activities 298,935 457,149</t>
        </is>
      </c>
    </row>
    <row r="20">
      <c r="A20" s="8" t="inlineStr">
        <is>
          <t>Cash Flow</t>
        </is>
      </c>
      <c r="B20" s="8" t="inlineStr">
        <is>
          <t>Financing Cash Flow</t>
        </is>
      </c>
      <c r="C20" s="12" t="n">
        <v>-793006</v>
      </c>
      <c r="D20" s="13" t="n">
        <v>-611826</v>
      </c>
      <c r="E20" s="14">
        <f>IF(ISERROR((C20-D20)/ABS(D20)),"",(C20-D20)/ABS(D20))</f>
        <v>-0.29612994544200477</v>
      </c>
      <c r="F20" s="11" t="inlineStr">
        <is>
          <t>PDF p.54 (印刷頁 53)</t>
        </is>
      </c>
      <c r="G20" s="11" t="inlineStr">
        <is>
          <t>Net cash flows used in financing activities (793,006) (611,826)</t>
        </is>
      </c>
    </row>
    <row r="22">
      <c r="A22" s="2" t="inlineStr">
        <is>
          <t>藍色 = 從 PDF 原文擷取的數值(硬輸入);黑色 = 公式計算。單位依原報表所示(通常為千元或百萬元),請對照來源頁確認。</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3"/>
  <sheetViews>
    <sheetView workbookViewId="0">
      <pane ySplit="4" topLeftCell="A5" activePane="bottomLeft" state="frozen"/>
      <selection pane="bottomLeft" activeCell="A1" sqref="A1"/>
    </sheetView>
  </sheetViews>
  <sheetFormatPr baseColWidth="8" defaultRowHeight="15"/>
  <cols>
    <col width="30" customWidth="1" min="1" max="1"/>
    <col width="16" customWidth="1" min="2" max="2"/>
    <col width="16" customWidth="1" min="3" max="3"/>
    <col width="48" customWidth="1" min="4" max="4"/>
  </cols>
  <sheetData>
    <row r="1">
      <c r="A1" s="1" t="inlineStr">
        <is>
          <t>衍生比率 — 全部以公式連結至 Financials 分頁</t>
        </is>
      </c>
    </row>
    <row r="2">
      <c r="A2" s="2" t="inlineStr">
        <is>
          <t>改動 Financials 分頁的數字,本頁會自動重算。</t>
        </is>
      </c>
    </row>
    <row r="4">
      <c r="A4" s="7" t="inlineStr">
        <is>
          <t>比率 Ratio</t>
        </is>
      </c>
      <c r="B4" s="7" t="inlineStr">
        <is>
          <t>本年 Current</t>
        </is>
      </c>
      <c r="C4" s="7" t="inlineStr">
        <is>
          <t>上年 Prior</t>
        </is>
      </c>
      <c r="D4" s="7" t="inlineStr">
        <is>
          <t>說明</t>
        </is>
      </c>
    </row>
    <row r="5">
      <c r="A5" s="4" t="inlineStr">
        <is>
          <t>Gross Margin 毛利率</t>
        </is>
      </c>
      <c r="B5" s="15">
        <f>IF(ISERROR(INDEX('Financials 財務數據'!$C$5:$C$20,MATCH("Gross Profit",'Financials 財務數據'!$B$5:$B$20,0))/INDEX('Financials 財務數據'!$C$5:$C$20,MATCH("Revenue",'Financials 財務數據'!$B$5:$B$20,0))),"n/a",INDEX('Financials 財務數據'!$C$5:$C$20,MATCH("Gross Profit",'Financials 財務數據'!$B$5:$B$20,0))/INDEX('Financials 財務數據'!$C$5:$C$20,MATCH("Revenue",'Financials 財務數據'!$B$5:$B$20,0)))</f>
        <v>0.5151070871478598</v>
      </c>
      <c r="C5" s="15">
        <f>IF(ISERROR(INDEX('Financials 財務數據'!$D$5:$D$20,MATCH("Gross Profit",'Financials 財務數據'!$B$5:$B$20,0))/INDEX('Financials 財務數據'!$D$5:$D$20,MATCH("Revenue",'Financials 財務數據'!$B$5:$B$20,0))),"n/a",INDEX('Financials 財務數據'!$D$5:$D$20,MATCH("Gross Profit",'Financials 財務數據'!$B$5:$B$20,0))/INDEX('Financials 財務數據'!$D$5:$D$20,MATCH("Revenue",'Financials 財務數據'!$B$5:$B$20,0)))</f>
        <v>0.5202465849193356</v>
      </c>
      <c r="D5" s="2" t="inlineStr">
        <is>
          <t>毛利 ÷ 收入</t>
        </is>
      </c>
    </row>
    <row r="6">
      <c r="A6" s="4" t="inlineStr">
        <is>
          <t>Net Margin 淨利率</t>
        </is>
      </c>
      <c r="B6" s="15">
        <f>IF(ISERROR(INDEX('Financials 財務數據'!$C$5:$C$20,MATCH("Profit for the Year",'Financials 財務數據'!$B$5:$B$20,0))/INDEX('Financials 財務數據'!$C$5:$C$20,MATCH("Revenue",'Financials 財務數據'!$B$5:$B$20,0))),"n/a",INDEX('Financials 財務數據'!$C$5:$C$20,MATCH("Profit for the Year",'Financials 財務數據'!$B$5:$B$20,0))/INDEX('Financials 財務數據'!$C$5:$C$20,MATCH("Revenue",'Financials 財務數據'!$B$5:$B$20,0)))</f>
        <v>-0.6123291424615984</v>
      </c>
      <c r="C6" s="15">
        <f>IF(ISERROR(INDEX('Financials 財務數據'!$D$5:$D$20,MATCH("Profit for the Year",'Financials 財務數據'!$B$5:$B$20,0))/INDEX('Financials 財務數據'!$D$5:$D$20,MATCH("Revenue",'Financials 財務數據'!$B$5:$B$20,0))),"n/a",INDEX('Financials 財務數據'!$D$5:$D$20,MATCH("Profit for the Year",'Financials 財務數據'!$B$5:$B$20,0))/INDEX('Financials 財務數據'!$D$5:$D$20,MATCH("Revenue",'Financials 財務數據'!$B$5:$B$20,0)))</f>
        <v>-0.6013830163303756</v>
      </c>
      <c r="D6" s="2" t="inlineStr">
        <is>
          <t>年內溢利 ÷ 收入</t>
        </is>
      </c>
    </row>
    <row r="7">
      <c r="A7" s="4" t="inlineStr">
        <is>
          <t>Current Ratio 流動比率</t>
        </is>
      </c>
      <c r="B7" s="16">
        <f>IF(ISERROR(INDEX('Financials 財務數據'!$C$5:$C$20,MATCH("Total Current Assets",'Financials 財務數據'!$B$5:$B$20,0))/INDEX('Financials 財務數據'!$C$5:$C$20,MATCH("Total Current Liabilities",'Financials 財務數據'!$B$5:$B$20,0))),"n/a",INDEX('Financials 財務數據'!$C$5:$C$20,MATCH("Total Current Assets",'Financials 財務數據'!$B$5:$B$20,0))/INDEX('Financials 財務數據'!$C$5:$C$20,MATCH("Total Current Liabilities",'Financials 財務數據'!$B$5:$B$20,0)))</f>
        <v>0.8671837199321956</v>
      </c>
      <c r="C7" s="16">
        <f>IF(ISERROR(INDEX('Financials 財務數據'!$D$5:$D$20,MATCH("Total Current Assets",'Financials 財務數據'!$B$5:$B$20,0))/INDEX('Financials 財務數據'!$D$5:$D$20,MATCH("Total Current Liabilities",'Financials 財務數據'!$B$5:$B$20,0))),"n/a",INDEX('Financials 財務數據'!$D$5:$D$20,MATCH("Total Current Assets",'Financials 財務數據'!$B$5:$B$20,0))/INDEX('Financials 財務數據'!$D$5:$D$20,MATCH("Total Current Liabilities",'Financials 財務數據'!$B$5:$B$20,0)))</f>
        <v>2.52836397025102</v>
      </c>
      <c r="D7" s="2" t="inlineStr">
        <is>
          <t>流動資產 ÷ 流動負債</t>
        </is>
      </c>
    </row>
    <row r="8">
      <c r="A8" s="4" t="inlineStr">
        <is>
          <t>Debt / Equity 負債權益比</t>
        </is>
      </c>
      <c r="B8" s="16" t="str">
        <f>IF(ISERROR(INDEX('Financials 財務數據'!$C$5:$C$20,MATCH("Total Liabilities",'Financials 財務數據'!$B$5:$B$20,0))/INDEX('Financials 財務數據'!$C$5:$C$20,MATCH("Total Equity",'Financials 財務數據'!$B$5:$B$20,0))),"n/a",INDEX('Financials 財務數據'!$C$5:$C$20,MATCH("Total Liabilities",'Financials 財務數據'!$B$5:$B$20,0))/INDEX('Financials 財務數據'!$C$5:$C$20,MATCH("Total Equity",'Financials 財務數據'!$B$5:$B$20,0)))</f>
        <v>n/a</v>
      </c>
      <c r="C8" s="16" t="str">
        <f>IF(ISERROR(INDEX('Financials 財務數據'!$D$5:$D$20,MATCH("Total Liabilities",'Financials 財務數據'!$B$5:$B$20,0))/INDEX('Financials 財務數據'!$D$5:$D$20,MATCH("Total Equity",'Financials 財務數據'!$B$5:$B$20,0))),"n/a",INDEX('Financials 財務數據'!$D$5:$D$20,MATCH("Total Liabilities",'Financials 財務數據'!$B$5:$B$20,0))/INDEX('Financials 財務數據'!$D$5:$D$20,MATCH("Total Equity",'Financials 財務數據'!$B$5:$B$20,0)))</f>
        <v>n/a</v>
      </c>
      <c r="D8" s="2" t="inlineStr">
        <is>
          <t>總負債 ÷ 總權益</t>
        </is>
      </c>
    </row>
    <row r="9">
      <c r="A9" s="4" t="inlineStr">
        <is>
          <t>Goodwill / Total Assets</t>
        </is>
      </c>
      <c r="B9" s="15" t="str">
        <f>IF(ISERROR(INDEX('Financials 財務數據'!$C$5:$C$20,MATCH("Goodwill",'Financials 財務數據'!$B$5:$B$20,0))/INDEX('Financials 財務數據'!$C$5:$C$20,MATCH("Total Assets",'Financials 財務數據'!$B$5:$B$20,0))),"n/a",INDEX('Financials 財務數據'!$C$5:$C$20,MATCH("Goodwill",'Financials 財務數據'!$B$5:$B$20,0))/INDEX('Financials 財務數據'!$C$5:$C$20,MATCH("Total Assets",'Financials 財務數據'!$B$5:$B$20,0)))</f>
        <v>n/a</v>
      </c>
      <c r="C9" s="15" t="str">
        <f>IF(ISERROR(INDEX('Financials 財務數據'!$D$5:$D$20,MATCH("Goodwill",'Financials 財務數據'!$B$5:$B$20,0))/INDEX('Financials 財務數據'!$D$5:$D$20,MATCH("Total Assets",'Financials 財務數據'!$B$5:$B$20,0))),"n/a",INDEX('Financials 財務數據'!$D$5:$D$20,MATCH("Goodwill",'Financials 財務數據'!$B$5:$B$20,0))/INDEX('Financials 財務數據'!$D$5:$D$20,MATCH("Total Assets",'Financials 財務數據'!$B$5:$B$20,0)))</f>
        <v>n/a</v>
      </c>
      <c r="D9" s="2" t="inlineStr">
        <is>
          <t>商譽佔總資產比重 — 減值風險指標</t>
        </is>
      </c>
    </row>
    <row r="10">
      <c r="A10" s="4" t="inlineStr">
        <is>
          <t>Intangibles / Total Assets</t>
        </is>
      </c>
      <c r="B10" s="15" t="str">
        <f>IF(ISERROR(INDEX('Financials 財務數據'!$C$5:$C$20,MATCH("Intangible Assets",'Financials 財務數據'!$B$5:$B$20,0))/INDEX('Financials 財務數據'!$C$5:$C$20,MATCH("Total Assets",'Financials 財務數據'!$B$5:$B$20,0))),"n/a",INDEX('Financials 財務數據'!$C$5:$C$20,MATCH("Intangible Assets",'Financials 財務數據'!$B$5:$B$20,0))/INDEX('Financials 財務數據'!$C$5:$C$20,MATCH("Total Assets",'Financials 財務數據'!$B$5:$B$20,0)))</f>
        <v>n/a</v>
      </c>
      <c r="C10" s="15" t="str">
        <f>IF(ISERROR(INDEX('Financials 財務數據'!$D$5:$D$20,MATCH("Intangible Assets",'Financials 財務數據'!$B$5:$B$20,0))/INDEX('Financials 財務數據'!$D$5:$D$20,MATCH("Total Assets",'Financials 財務數據'!$B$5:$B$20,0))),"n/a",INDEX('Financials 財務數據'!$D$5:$D$20,MATCH("Intangible Assets",'Financials 財務數據'!$B$5:$B$20,0))/INDEX('Financials 財務數據'!$D$5:$D$20,MATCH("Total Assets",'Financials 財務數據'!$B$5:$B$20,0)))</f>
        <v>n/a</v>
      </c>
      <c r="D10" s="2" t="inlineStr">
        <is>
          <t>無形資產佔比</t>
        </is>
      </c>
    </row>
    <row r="11">
      <c r="A11" s="4" t="inlineStr">
        <is>
          <t>ROE 股本回報率</t>
        </is>
      </c>
      <c r="B11" s="15">
        <f>IF(ISERROR(INDEX('Financials 財務數據'!$C$5:$C$20,MATCH("Profit for the Year",'Financials 財務數據'!$B$5:$B$20,0))/INDEX('Financials 財務數據'!$C$5:$C$20,MATCH("Total Equity",'Financials 財務數據'!$B$5:$B$20,0))),"n/a",INDEX('Financials 財務數據'!$C$5:$C$20,MATCH("Profit for the Year",'Financials 財務數據'!$B$5:$B$20,0))/INDEX('Financials 財務數據'!$C$5:$C$20,MATCH("Total Equity",'Financials 財務數據'!$B$5:$B$20,0)))</f>
        <v>-0.04746855785055521</v>
      </c>
      <c r="C11" s="15">
        <f>IF(ISERROR(INDEX('Financials 財務數據'!$D$5:$D$20,MATCH("Profit for the Year",'Financials 財務數據'!$B$5:$B$20,0))/INDEX('Financials 財務數據'!$D$5:$D$20,MATCH("Total Equity",'Financials 財務數據'!$B$5:$B$20,0))),"n/a",INDEX('Financials 財務數據'!$D$5:$D$20,MATCH("Profit for the Year",'Financials 財務數據'!$B$5:$B$20,0))/INDEX('Financials 財務數據'!$D$5:$D$20,MATCH("Total Equity",'Financials 財務數據'!$B$5:$B$20,0)))</f>
        <v>-0.055963258240771696</v>
      </c>
      <c r="D11" s="2" t="inlineStr">
        <is>
          <t>年內溢利 ÷ 總權益</t>
        </is>
      </c>
    </row>
    <row r="13">
      <c r="A13" s="2" t="inlineStr">
        <is>
          <t>顯示 "n/a" 表示該科目未在文件中成功擷取,需人手補入。</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inlineStr">
        <is>
          <t>本年 vs 上年 — 主要科目比較</t>
        </is>
      </c>
    </row>
    <row r="2">
      <c r="A2" s="2" t="inlineStr">
        <is>
          <t>港交所主板及 GEM 自 2024 年起均無強制季度報告,故以年度 / 中期數據作趨勢比較較符合披露實況。</t>
        </is>
      </c>
    </row>
    <row r="4">
      <c r="A4" s="17" t="inlineStr">
        <is>
          <t>Item</t>
        </is>
      </c>
      <c r="B4" s="17" t="inlineStr">
        <is>
          <t>Prior</t>
        </is>
      </c>
      <c r="C4" s="17" t="inlineStr">
        <is>
          <t>Current</t>
        </is>
      </c>
    </row>
    <row r="5">
      <c r="A5" s="4" t="inlineStr">
        <is>
          <t>Revenue</t>
        </is>
      </c>
      <c r="B5" s="18" t="n">
        <v>1012714</v>
      </c>
      <c r="C5" s="18" t="n">
        <v>832126</v>
      </c>
    </row>
    <row r="6">
      <c r="A6" s="4" t="inlineStr">
        <is>
          <t>Gross Profit</t>
        </is>
      </c>
      <c r="B6" s="18" t="n">
        <v>526861</v>
      </c>
      <c r="C6" s="18" t="n">
        <v>428634</v>
      </c>
    </row>
    <row r="7">
      <c r="A7" s="4" t="inlineStr">
        <is>
          <t>Profit Before Tax</t>
        </is>
      </c>
      <c r="B7" s="18" t="n">
        <v>-520322</v>
      </c>
      <c r="C7" s="18" t="n">
        <v>-577069</v>
      </c>
    </row>
    <row r="8">
      <c r="A8" s="4" t="inlineStr">
        <is>
          <t>Profit for the Year</t>
        </is>
      </c>
      <c r="B8" s="18" t="n">
        <v>-609029</v>
      </c>
      <c r="C8" s="18" t="n">
        <v>-509535</v>
      </c>
    </row>
    <row r="9">
      <c r="A9" s="4" t="inlineStr">
        <is>
          <t>Total Equity</t>
        </is>
      </c>
      <c r="B9" s="18" t="n">
        <v>10882658</v>
      </c>
      <c r="C9" s="18" t="n">
        <v>10734158</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F59"/>
  <sheetViews>
    <sheetView workbookViewId="0">
      <pane ySplit="3" topLeftCell="A4" activePane="bottomLeft" state="frozen"/>
      <selection pane="bottomLeft" activeCell="A1" sqref="A1"/>
    </sheetView>
  </sheetViews>
  <sheetFormatPr baseColWidth="8" defaultRowHeight="15"/>
  <cols>
    <col width="28" customWidth="1" min="1" max="1"/>
    <col width="20" customWidth="1" min="2" max="2"/>
    <col width="10" customWidth="1" min="3" max="3"/>
    <col width="20" customWidth="1" min="4" max="4"/>
    <col width="20" customWidth="1" min="5" max="5"/>
    <col width="100" customWidth="1" min="6" max="6"/>
  </cols>
  <sheetData>
    <row r="1">
      <c r="A1" s="1" t="inlineStr">
        <is>
          <t>主題式段落擷取 — 供估值師快速定位原文</t>
        </is>
      </c>
    </row>
    <row r="3">
      <c r="A3" s="7" t="inlineStr">
        <is>
          <t>主題 Topic</t>
        </is>
      </c>
      <c r="B3" s="7" t="inlineStr">
        <is>
          <t>中文</t>
        </is>
      </c>
      <c r="C3" s="7" t="inlineStr">
        <is>
          <t>優先</t>
        </is>
      </c>
      <c r="D3" s="7" t="inlineStr">
        <is>
          <t>命中詞</t>
        </is>
      </c>
      <c r="E3" s="7" t="inlineStr">
        <is>
          <t>來源頁</t>
        </is>
      </c>
      <c r="F3" s="7" t="inlineStr">
        <is>
          <t>段落 Snippet</t>
        </is>
      </c>
    </row>
    <row r="4">
      <c r="A4" s="8" t="inlineStr">
        <is>
          <t>Fair Value Measurement</t>
        </is>
      </c>
      <c r="B4" s="8" t="inlineStr">
        <is>
          <t>公允價值計量</t>
        </is>
      </c>
      <c r="C4" s="19" t="inlineStr">
        <is>
          <t>high</t>
        </is>
      </c>
      <c r="D4" s="11" t="inlineStr">
        <is>
          <t>independent valuer</t>
        </is>
      </c>
      <c r="E4" s="11" t="inlineStr">
        <is>
          <t>PDF p.16 (印刷頁 15)</t>
        </is>
      </c>
      <c r="F4" s="11" t="inlineStr">
        <is>
          <t>approximately HK$9,360 million and the Hong Kong portfolio of approximately HK$4,667 million. These properties were appraised by an independent valuer, Savills Valuation and Professional Services Limited, as of the same date. A revaluation loss of approximately HK$641 million was recorded for the year (2025: HK$679 million). The Chinese Mainland portfolio recorded a revaluation loss of approximately HK$594 million, representing less than 6. 4% of the portfolio value as of 31 March 2025. The Hong Kong portfolio had a revaluatio</t>
        </is>
      </c>
    </row>
    <row r="5">
      <c r="A5" s="8" t="inlineStr">
        <is>
          <t>Fair Value Measurement</t>
        </is>
      </c>
      <c r="B5" s="8" t="inlineStr">
        <is>
          <t>公允價值計量</t>
        </is>
      </c>
      <c r="C5" s="19" t="inlineStr">
        <is>
          <t>high</t>
        </is>
      </c>
      <c r="D5" s="11" t="inlineStr">
        <is>
          <t>fair value hierarchy</t>
        </is>
      </c>
      <c r="E5" s="11" t="inlineStr">
        <is>
          <t>PDF p.69 (印刷頁 68)</t>
        </is>
      </c>
      <c r="F5" s="11" t="inlineStr">
        <is>
          <t>uts. All assets and liabilities for which fair value is measured or disclosed in the financial statements are categorised within the fair value hierarchy, described as follows, based on the lowest level input that is significant to the fair value measurement as a whole: Level 1 – based on quoted prices (unadjusted) in active markets for identical assets or liabilities Level 2 – based on valuation techniques for which the lowest level input that is significant to the fair value measurement is observable, either directly or indir</t>
        </is>
      </c>
    </row>
    <row r="6">
      <c r="A6" s="8" t="inlineStr">
        <is>
          <t>Fair Value Measurement</t>
        </is>
      </c>
      <c r="B6" s="8" t="inlineStr">
        <is>
          <t>公允價值計量</t>
        </is>
      </c>
      <c r="C6" s="19" t="inlineStr">
        <is>
          <t>high</t>
        </is>
      </c>
      <c r="D6" s="11" t="inlineStr">
        <is>
          <t>fair value hierarchy</t>
        </is>
      </c>
      <c r="E6" s="11" t="inlineStr">
        <is>
          <t>PDF p.115 (印刷頁 114)</t>
        </is>
      </c>
      <c r="F6" s="11" t="inlineStr">
        <is>
          <t>NOTES TO THE FINANCIAL STATEMENTS (Continued) 31 March 2026 14. INVESTMENT PROPERTIES (Continued) Fair value hierarchy The following table illustrates the fair value measurement hierarchy of the Group’s investment properties at fair value: Fair value measurement as at 31 March 2026 using Quoted prices Significant Significant in active observable unobservable markets inputs inputs (Level 1) (Level 2) (Level 3) Total HK$’000 HK$’000 HK$’000 HK$’000 Recurring fair value measurement for: Commercia</t>
        </is>
      </c>
    </row>
    <row r="7">
      <c r="A7" s="8" t="inlineStr">
        <is>
          <t>Fair Value Measurement</t>
        </is>
      </c>
      <c r="B7" s="8" t="inlineStr">
        <is>
          <t>公允價值計量</t>
        </is>
      </c>
      <c r="C7" s="19" t="inlineStr">
        <is>
          <t>high</t>
        </is>
      </c>
      <c r="D7" s="11" t="inlineStr">
        <is>
          <t>fair value hierarchy</t>
        </is>
      </c>
      <c r="E7" s="11" t="inlineStr">
        <is>
          <t>PDF p.116 (印刷頁 115)</t>
        </is>
      </c>
      <c r="F7" s="11" t="inlineStr">
        <is>
          <t>NOTES TO THE FINANCIAL STATEMENTS (Continued) 31 March 2026 14. INVESTMENT PROPERTIES (Continued) Fair value hierarchy (Continued) During the year, there were no transfers of fair value measurements between Level 1 and Level 2 and no transfers into or out of Level 3 (2025: Nil). Reconciliation of fair value measurements categorised within Level 3 of the fair value hierarchy: HK$’000 Carrying amount at 1 April 2024 15,012,989 Additions 305,694 Net losses from fair value adjustments (678,919) Ex</t>
        </is>
      </c>
    </row>
    <row r="8">
      <c r="A8" s="8" t="inlineStr">
        <is>
          <t>Fair Value Measurement</t>
        </is>
      </c>
      <c r="B8" s="8" t="inlineStr">
        <is>
          <t>公允價值計量</t>
        </is>
      </c>
      <c r="C8" s="19" t="inlineStr">
        <is>
          <t>high</t>
        </is>
      </c>
      <c r="D8" s="11" t="inlineStr">
        <is>
          <t>fair value hierarchy</t>
        </is>
      </c>
      <c r="E8" s="11" t="inlineStr">
        <is>
          <t>PDF p.117 (印刷頁 116)</t>
        </is>
      </c>
      <c r="F8" s="11" t="inlineStr">
        <is>
          <t>NOTES TO THE FINANCIAL STATEMENTS (Continued) 31 March 2026 14. INVESTMENT PROPERTIES (Continued) Fair value hierarchy (Continued) Income capitalisation approach Under the income capitalisation approach, fair value is estimated on the basis of the capitalisation of existing rental income and reversionary market rental income. The market rentals of the investment properties are assessed and capitalised at market yield expected by investors for this type of property. The market rents are assesse</t>
        </is>
      </c>
    </row>
    <row r="9">
      <c r="A9" s="8" t="inlineStr">
        <is>
          <t>Fair Value Measurement</t>
        </is>
      </c>
      <c r="B9" s="8" t="inlineStr">
        <is>
          <t>公允價值計量</t>
        </is>
      </c>
      <c r="C9" s="19" t="inlineStr">
        <is>
          <t>high</t>
        </is>
      </c>
      <c r="D9" s="11" t="inlineStr">
        <is>
          <t>fair value hierarchy</t>
        </is>
      </c>
      <c r="E9" s="11" t="inlineStr">
        <is>
          <t>PDF p.144 (印刷頁 143)</t>
        </is>
      </c>
      <c r="F9" s="11" t="inlineStr">
        <is>
          <t>NOTES TO THE FINANCIAL STATEMENTS (Continued) 31 March 2026 40. FAIR VALUE AND FAIR VALUE HIERARCHY OF FINANCIAL INSTRUMENTS Management has assessed that the fair values of cash and cash equivalents, trade receivables, financial assets included in prepayments, deposits and other receivables, amount due from a joint venture, customer deposits, financial liabilities included in trade payables, other payables and accrued liabilities and current portion of interest-bearing bank</t>
        </is>
      </c>
    </row>
    <row r="10">
      <c r="A10" s="8" t="inlineStr">
        <is>
          <t>Fair Value Measurement</t>
        </is>
      </c>
      <c r="B10" s="8" t="inlineStr">
        <is>
          <t>公允價值計量</t>
        </is>
      </c>
      <c r="C10" s="19" t="inlineStr">
        <is>
          <t>high</t>
        </is>
      </c>
      <c r="D10" s="11" t="inlineStr">
        <is>
          <t>fair value hierarchy</t>
        </is>
      </c>
      <c r="E10" s="11" t="inlineStr">
        <is>
          <t>PDF p.145 (印刷頁 144)</t>
        </is>
      </c>
      <c r="F10" s="11" t="inlineStr">
        <is>
          <t>NOTES TO THE FINANCIAL STATEMENTS (Continued) 31 March 2026 40. FAIR VALUE AND FAIR VALUE HIERARCHY OF FINANCIAL INSTRUMENTS (Continued) Below is a summary of significant unobservable inputs to the valuation of financial instruments together with a quantitative sensitivity analysis as at 31 March 2026: Significant Sensitivity of Valuation unobservable fair value techniques inputs Value to the input Key management insurance N/A Account values HK$4,671,000 5% (2025: contracts</t>
        </is>
      </c>
    </row>
    <row r="11">
      <c r="A11" s="8" t="inlineStr">
        <is>
          <t>Fair Value Measurement</t>
        </is>
      </c>
      <c r="B11" s="8" t="inlineStr">
        <is>
          <t>公允價值計量</t>
        </is>
      </c>
      <c r="C11" s="19" t="inlineStr">
        <is>
          <t>high</t>
        </is>
      </c>
      <c r="D11" s="11" t="inlineStr">
        <is>
          <t>fair value hierarchy</t>
        </is>
      </c>
      <c r="E11" s="11" t="inlineStr">
        <is>
          <t>PDF p.146 (印刷頁 145)</t>
        </is>
      </c>
      <c r="F11" s="11" t="inlineStr">
        <is>
          <t>NOTES TO THE FINANCIAL STATEMENTS (Continued) 31 March 2026 40. FAIR VALUE AND FAIR VALUE HIERARCHY OF FINANCIAL INSTRUMENTS (Continued) Fair value hierarchy The following tables illustrate the fair value measurement hierarchy of the Group’s financial instruments: Assets measured at fair value As at 31 March 2026 Fair value measurement using Quoted prices Significant Significant in active observable unobservable markets inputs inputs (Level 1) (Level 2) (Level 3) Total HK$’0</t>
        </is>
      </c>
    </row>
    <row r="12">
      <c r="A12" s="8" t="inlineStr">
        <is>
          <t>Fair Value Measurement</t>
        </is>
      </c>
      <c r="B12" s="8" t="inlineStr">
        <is>
          <t>公允價值計量</t>
        </is>
      </c>
      <c r="C12" s="19" t="inlineStr">
        <is>
          <t>high</t>
        </is>
      </c>
      <c r="D12" s="11" t="inlineStr">
        <is>
          <t>fair value hierarchy</t>
        </is>
      </c>
      <c r="E12" s="11" t="inlineStr">
        <is>
          <t>PDF p.147 (印刷頁 146)</t>
        </is>
      </c>
      <c r="F12" s="11" t="inlineStr">
        <is>
          <t>NOTES TO THE FINANCIAL STATEMENTS (Continued) 31 March 2026 40. FAIR VALUE AND FAIR VALUE HIERARCHY OF FINANCIAL INSTRUMENTS (Continued) Fair value hierarchy (Continued) Liabilities measured at fair value As at 31 March 2025 Fair value measurement using Quoted prices Significant Significant in active observable unobservable markets inputs inputs (Level 1) (Level 2) (Level 3) Total HK$’000 HK$’000 HK$’000 HK$’000 Derivative financial instruments – 1,435 – 1,435 The movements</t>
        </is>
      </c>
    </row>
    <row r="13">
      <c r="A13" s="8" t="inlineStr">
        <is>
          <t>Impairment Testing</t>
        </is>
      </c>
      <c r="B13" s="8" t="inlineStr">
        <is>
          <t>減值測試</t>
        </is>
      </c>
      <c r="C13" s="19" t="inlineStr">
        <is>
          <t>high</t>
        </is>
      </c>
      <c r="D13" s="11" t="inlineStr">
        <is>
          <t>impairment loss</t>
        </is>
      </c>
      <c r="E13" s="11" t="inlineStr">
        <is>
          <t>PDF p.66 (印刷頁 65)</t>
        </is>
      </c>
      <c r="F13" s="11" t="inlineStr">
        <is>
          <t>the consolidated statement of financial position at the Group’s share of net assets under the equity method of accounting, less any impairment losses. The Group’s share of the post-acquisition results and other comprehensive income of associates and joint ventures is included in the consolidated statement of profit or loss and consolidated other comprehensive income, respectively. In addition, when there has been a change recognised directly in the equity of associates or joint venture, the Group recognises its share of any ch</t>
        </is>
      </c>
    </row>
    <row r="14">
      <c r="A14" s="8" t="inlineStr">
        <is>
          <t>Impairment Testing</t>
        </is>
      </c>
      <c r="B14" s="8" t="inlineStr">
        <is>
          <t>減值測試</t>
        </is>
      </c>
      <c r="C14" s="19" t="inlineStr">
        <is>
          <t>high</t>
        </is>
      </c>
      <c r="D14" s="11" t="inlineStr">
        <is>
          <t>impairment test</t>
        </is>
      </c>
      <c r="E14" s="11" t="inlineStr">
        <is>
          <t>PDF p.68 (印刷頁 67)</t>
        </is>
      </c>
      <c r="F14" s="11" t="inlineStr">
        <is>
          <t>ore frequently if events or changes in circumstances indicate that the carrying value may be impaired. The Group performs its annual impairment test of goodwill as at 31 March. For the purpose of impairment testing, goodwill acquired in a business combination is, from the acquisition date, allocated to each of the Group’s cash-generating units, or groups of cash-generating units, that are expected to benefit from the synergies of the combination, irrespective of whether other assets or liabilities of the Group are assigned to t</t>
        </is>
      </c>
    </row>
    <row r="15">
      <c r="A15" s="8" t="inlineStr">
        <is>
          <t>Impairment Testing</t>
        </is>
      </c>
      <c r="B15" s="8" t="inlineStr">
        <is>
          <t>減值測試</t>
        </is>
      </c>
      <c r="C15" s="19" t="inlineStr">
        <is>
          <t>high</t>
        </is>
      </c>
      <c r="D15" s="11" t="inlineStr">
        <is>
          <t>impairment test</t>
        </is>
      </c>
      <c r="E15" s="11" t="inlineStr">
        <is>
          <t>PDF p.69 (印刷頁 68)</t>
        </is>
      </c>
      <c r="F15" s="11" t="inlineStr">
        <is>
          <t>le) at the end of each reporting period. Impairment of non-financial assets Where an indication of impairment exists, or when annual impairment testing for an asset is required (other than financial assets, investment properties, properties held for sale under development and completed properties held for sale and assets held for sale), the asset’s recoverable amount is estimated. An asset’s recoverable amount is the higher of the asset’s or cash-generating unit’s value in use and its fair value less costs of disposal, and is d</t>
        </is>
      </c>
    </row>
    <row r="16">
      <c r="A16" s="8" t="inlineStr">
        <is>
          <t>Impairment Testing</t>
        </is>
      </c>
      <c r="B16" s="8" t="inlineStr">
        <is>
          <t>減值測試</t>
        </is>
      </c>
      <c r="C16" s="19" t="inlineStr">
        <is>
          <t>high</t>
        </is>
      </c>
      <c r="D16" s="11" t="inlineStr">
        <is>
          <t>impairment loss</t>
        </is>
      </c>
      <c r="E16" s="11" t="inlineStr">
        <is>
          <t>PDF p.70 (印刷頁 69)</t>
        </is>
      </c>
      <c r="F16" s="11" t="inlineStr">
        <is>
          <t>26 2. ACCOUNTING POLICIES (Continued) 2.4 MATERIAL ACCOUNTING POLICIES (Continued) Impairment of non-financial assets (Continued) An impairment loss is recognised only if the carrying amount of an asset exceeds its recoverable amount. In assessing value in use, the estimated future cash flows are discounted to their present value using a pre-tax discount rate that reflects current market assessments of the time value of money and the risks specific to the asset. An impairment loss is charged to profit or loss in the period in w</t>
        </is>
      </c>
    </row>
    <row r="17">
      <c r="A17" s="8" t="inlineStr">
        <is>
          <t>Impairment Testing</t>
        </is>
      </c>
      <c r="B17" s="8" t="inlineStr">
        <is>
          <t>減值測試</t>
        </is>
      </c>
      <c r="C17" s="19" t="inlineStr">
        <is>
          <t>high</t>
        </is>
      </c>
      <c r="D17" s="11" t="inlineStr">
        <is>
          <t>impairment loss</t>
        </is>
      </c>
      <c r="E17" s="11" t="inlineStr">
        <is>
          <t>PDF p.74 (印刷頁 73)</t>
        </is>
      </c>
      <c r="F17" s="11" t="inlineStr">
        <is>
          <t>date the underlying asset is available for use). Right-of-use assets are measured at cost, less any accumulated depreciation and any impairment losses, and adjusted for any remeasurement of lease liabilities. The cost of right-of-use assets includes the amount of lease liabilities recognised, initial direct costs incurred, and lease payments made at or before the commencement date less any lease incentives received. Right-of-use assets are depreciated on a straight-line basis over the shorter of the lease terms and the estimate</t>
        </is>
      </c>
    </row>
    <row r="18">
      <c r="A18" s="8" t="inlineStr">
        <is>
          <t>Intangible Assets &amp; Goodwill</t>
        </is>
      </c>
      <c r="B18" s="8" t="inlineStr">
        <is>
          <t>無形資產及商譽</t>
        </is>
      </c>
      <c r="C18" s="19" t="inlineStr">
        <is>
          <t>high</t>
        </is>
      </c>
      <c r="D18" s="11" t="inlineStr">
        <is>
          <t>goodwill</t>
        </is>
      </c>
      <c r="E18" s="11" t="inlineStr">
        <is>
          <t>PDF p.61 (印刷頁 60)</t>
        </is>
      </c>
      <c r="F18" s="11" t="inlineStr">
        <is>
          <t>accounted for as an equity transaction. If the Group loses control over a subsidiary, it derecognises the related assets (including goodwill), liabilities, any non-controlling interest and the exchange fluctuation reserve; and recognises the fair value of any investment retained and any resulting surplus or deficit in profit or loss. The Group’s share of components previously recognised in other comprehensive income is reclassified to profit or loss or retained profits, as appropriate, on the same basis as would be required if</t>
        </is>
      </c>
    </row>
    <row r="19">
      <c r="A19" s="8" t="inlineStr">
        <is>
          <t>Intangible Assets &amp; Goodwill</t>
        </is>
      </c>
      <c r="B19" s="8" t="inlineStr">
        <is>
          <t>無形資產及商譽</t>
        </is>
      </c>
      <c r="C19" s="19" t="inlineStr">
        <is>
          <t>high</t>
        </is>
      </c>
      <c r="D19" s="11" t="inlineStr">
        <is>
          <t>goodwill</t>
        </is>
      </c>
      <c r="E19" s="11" t="inlineStr">
        <is>
          <t>PDF p.66 (印刷頁 65)</t>
        </is>
      </c>
      <c r="F19" s="11" t="inlineStr">
        <is>
          <t>stments in associates or joint ventures, except where unrealised losses provide evidence of an impairment of the assets transferred. Goodwill arising from the acquisition of an associate or a joint venture is included as part of the Group’s investments in associates or joint ventures. If an investment in an associate becomes an investment in a joint venture or vice versa, the retained interest is not remeasured. Instead, the investment continues to be accounted for under the equity method. In all other cases, upon loss of signi</t>
        </is>
      </c>
    </row>
    <row r="20">
      <c r="A20" s="8" t="inlineStr">
        <is>
          <t>Intangible Assets &amp; Goodwill</t>
        </is>
      </c>
      <c r="B20" s="8" t="inlineStr">
        <is>
          <t>無形資產及商譽</t>
        </is>
      </c>
      <c r="C20" s="19" t="inlineStr">
        <is>
          <t>high</t>
        </is>
      </c>
      <c r="D20" s="11" t="inlineStr">
        <is>
          <t>goodwill</t>
        </is>
      </c>
      <c r="E20" s="11" t="inlineStr">
        <is>
          <t>PDF p.67 (印刷頁 66)</t>
        </is>
      </c>
      <c r="F20" s="11" t="inlineStr">
        <is>
          <t>(Continued) 31 March 2026 2. ACCOUNTING POLICIES (Continued) 2.4 MATERIAL ACCOUNTING POLICIES (Continued) Business combinations and goodwill Business combinations are accounted for using the acquisition method. The consideration transferred is measured at the acquisition date fair value which is the sum of the acquisition date fair values of assets transferred by the Group, liabilities assumed by the Group to the former owners of the acquiree and the equity interests issued by the Group in exchange for control of the acquiree.</t>
        </is>
      </c>
    </row>
    <row r="21">
      <c r="A21" s="8" t="inlineStr">
        <is>
          <t>Intangible Assets &amp; Goodwill</t>
        </is>
      </c>
      <c r="B21" s="8" t="inlineStr">
        <is>
          <t>無形資產及商譽</t>
        </is>
      </c>
      <c r="C21" s="19" t="inlineStr">
        <is>
          <t>high</t>
        </is>
      </c>
      <c r="D21" s="11" t="inlineStr">
        <is>
          <t>goodwill</t>
        </is>
      </c>
      <c r="E21" s="11" t="inlineStr">
        <is>
          <t>PDF p.68 (印刷頁 67)</t>
        </is>
      </c>
      <c r="F21" s="11" t="inlineStr">
        <is>
          <t>(Continued) 31 March 2026 2. ACCOUNTING POLICIES (Continued) 2.4 MATERIAL ACCOUNTING POLICIES (Continued) Business combinations and goodwill (Continued) After initial recognition, goodwill is measured at cost less any accumulated impairment losses. Goodwill is tested for impairment annually or more frequently if events or changes in circumstances indicate that the carrying value may be impaired. The Group performs its annual impairment test of goodwill as at 31 March. For the purpose of impairment testing, goodwill acquired in</t>
        </is>
      </c>
    </row>
    <row r="22">
      <c r="A22" s="8" t="inlineStr">
        <is>
          <t>Intangible Assets &amp; Goodwill</t>
        </is>
      </c>
      <c r="B22" s="8" t="inlineStr">
        <is>
          <t>無形資產及商譽</t>
        </is>
      </c>
      <c r="C22" s="19" t="inlineStr">
        <is>
          <t>high</t>
        </is>
      </c>
      <c r="D22" s="11" t="inlineStr">
        <is>
          <t>goodwill</t>
        </is>
      </c>
      <c r="E22" s="11" t="inlineStr">
        <is>
          <t>PDF p.70 (印刷頁 69)</t>
        </is>
      </c>
      <c r="F22" s="11" t="inlineStr">
        <is>
          <t>d. If such an indication exists, the recoverable amount is estimated. A previously recognised impairment loss of an asset other than goodwill is reversed only if there has been a change in the estimates used to determine the recoverable amount of that asset, but not to an amount higher than the carrying amount that would have been determined (net of any depreciation/amortisation) had no impairment loss been recognised for the asset in prior years. A reversal of such an impairment loss is credited to profit or loss in the period</t>
        </is>
      </c>
    </row>
    <row r="23">
      <c r="A23" s="8" t="inlineStr">
        <is>
          <t>Intangible Assets &amp; Goodwill</t>
        </is>
      </c>
      <c r="B23" s="8" t="inlineStr">
        <is>
          <t>無形資產及商譽</t>
        </is>
      </c>
      <c r="C23" s="19" t="inlineStr">
        <is>
          <t>high</t>
        </is>
      </c>
      <c r="D23" s="11" t="inlineStr">
        <is>
          <t>useful life</t>
        </is>
      </c>
      <c r="E23" s="11" t="inlineStr">
        <is>
          <t>PDF p.72 (印刷頁 71)</t>
        </is>
      </c>
      <c r="F23" s="11" t="inlineStr">
        <is>
          <t>the straight-line basis to write off the cost of each item of property, plant and equipment to its residual value over its estimated useful life. The principal annual rates used for this purpose are as follows: Buildings 5% or over the unexpired terms of the leases Leasehold improvements 20% Furniture and equipment 20% Motor vehicles 20% Where parts of an item of property, plant and equipment have different useful lives, the cost of that item is allocated on a reasonable basis among the parts and each part is depreciated separa</t>
        </is>
      </c>
    </row>
    <row r="24">
      <c r="A24" s="8" t="inlineStr">
        <is>
          <t>Intangible Assets &amp; Goodwill</t>
        </is>
      </c>
      <c r="B24" s="8" t="inlineStr">
        <is>
          <t>無形資產及商譽</t>
        </is>
      </c>
      <c r="C24" s="19" t="inlineStr">
        <is>
          <t>high</t>
        </is>
      </c>
      <c r="D24" s="11" t="inlineStr">
        <is>
          <t>amortisation</t>
        </is>
      </c>
      <c r="E24" s="11" t="inlineStr">
        <is>
          <t>PDF p.82 (印刷頁 81)</t>
        </is>
      </c>
      <c r="F24" s="11" t="inlineStr">
        <is>
          <t>ins and losses are recognised in profit or loss when the liabilities are derecognised as well as through the effective interest rate amortisation process. Amortised cost is calculated by taking into account any discount or premium on acquisition and fees or costs that are an integral part of the effective interest rate. The effective interest rate amortisation is included in finance costs in profit or loss. Financial guarantee contracts Financial guarantee contracts issued by the Group are those contracts that require a payment</t>
        </is>
      </c>
    </row>
    <row r="25">
      <c r="A25" s="8" t="inlineStr">
        <is>
          <t>Intangible Assets &amp; Goodwill</t>
        </is>
      </c>
      <c r="B25" s="8" t="inlineStr">
        <is>
          <t>無形資產及商譽</t>
        </is>
      </c>
      <c r="C25" s="19" t="inlineStr">
        <is>
          <t>high</t>
        </is>
      </c>
      <c r="D25" s="11" t="inlineStr">
        <is>
          <t>amortisation</t>
        </is>
      </c>
      <c r="E25" s="11" t="inlineStr">
        <is>
          <t>PDF p.95 (印刷頁 94)</t>
        </is>
      </c>
      <c r="F25" s="11" t="inlineStr">
        <is>
          <t>rom 30% to 60% on the appreciation of land value, being the proceeds from sales of properties less deductible expenditures including amortisation of land use rights, borrowing costs and all property development expenditures. The subsidiaries of the Group engaging in the property development business in the Chinese mainland are subject to LAT, which has been included in income tax. However, the implementation of Provisional Regulations on LAT varies amongst various the Chinese mainland cities and the Group has not finalised cert</t>
        </is>
      </c>
    </row>
    <row r="26">
      <c r="A26" s="8" t="inlineStr">
        <is>
          <t>Intangible Assets &amp; Goodwill</t>
        </is>
      </c>
      <c r="B26" s="8" t="inlineStr">
        <is>
          <t>無形資產及商譽</t>
        </is>
      </c>
      <c r="C26" s="19" t="inlineStr">
        <is>
          <t>high</t>
        </is>
      </c>
      <c r="D26" s="11" t="inlineStr">
        <is>
          <t>amortisation</t>
        </is>
      </c>
      <c r="E26" s="11" t="inlineStr">
        <is>
          <t>PDF p.104 (印刷頁 103)</t>
        </is>
      </c>
      <c r="F26" s="11" t="inlineStr">
        <is>
          <t>2 Depreciation of property, plant and equipment and right-of-use asset# 13 32,906 41,131 Impairment of right-of-use asset 13 2,437 – Amortisation of loan arrangement fee 19,544 17,567 Lease payments not included in the measurement of lease liabilities* 15(c) 227 699 Contract costs arising from the sale of properties** 24,608 43,078 Gain on lease modification 15(b) (79) (27) Auditor’s remuneration 3,024 3,358 Employee benefit expense (including directors’ remuneration (note 8)): Wages, salaries, allowances and benefits in kind 6</t>
        </is>
      </c>
    </row>
    <row r="27">
      <c r="A27" s="8" t="inlineStr">
        <is>
          <t>Intangible Assets &amp; Goodwill</t>
        </is>
      </c>
      <c r="B27" s="8" t="inlineStr">
        <is>
          <t>無形資產及商譽</t>
        </is>
      </c>
      <c r="C27" s="19" t="inlineStr">
        <is>
          <t>high</t>
        </is>
      </c>
      <c r="D27" s="11" t="inlineStr">
        <is>
          <t>amortisation</t>
        </is>
      </c>
      <c r="E27" s="11" t="inlineStr">
        <is>
          <t>PDF p.109 (印刷頁 108)</t>
        </is>
      </c>
      <c r="F27" s="11" t="inlineStr">
        <is>
          <t>30% to 60% on the appreciation of land value, being the proceeds from the sale of properties less deductible expenditures including amortisation of land use rights, borrowing costs and all property development expenditures. 2026 2025 HK$’000 HK$’000 Current – Elsewhere 39,559 72,564 LAT in the Chinese mainland 60,898 63,441 Deferred (note 29) (167,991) (47,298) Total tax charge/(credit) for the year (67,534) 88,707 A reconciliation of the tax expense/(credit) applicable to loss before tax at the statutory rates for the jurisdi</t>
        </is>
      </c>
    </row>
    <row r="28">
      <c r="A28" s="8" t="inlineStr">
        <is>
          <t>Intangible Assets &amp; Goodwill</t>
        </is>
      </c>
      <c r="B28" s="8" t="inlineStr">
        <is>
          <t>無形資產及商譽</t>
        </is>
      </c>
      <c r="C28" s="19" t="inlineStr">
        <is>
          <t>high</t>
        </is>
      </c>
      <c r="D28" s="11" t="inlineStr">
        <is>
          <t>goodwill</t>
        </is>
      </c>
      <c r="E28" s="11" t="inlineStr">
        <is>
          <t>PDF p.122 (印刷頁 121)</t>
        </is>
      </c>
      <c r="F28" s="11" t="inlineStr">
        <is>
          <t>NOTES TO THE FINANCIAL STATEMENTS (Continued) 31 March 2026 17. INVESTMENTS IN ASSOCIATES 2026 2025 HK$’000 HK$’000 Goodwill on acquisition 18,374 18,374 Share of net assets 786,531 757,457 Total 804,905 775,831 Particulars of associates are as follows: Percentage of Place of ownership interest Particulars of incorporation attributable to Name issued share capital and business the Group Principal activity Chinney Trading Company Limited HK$615,425,068 Hong Kong 20 Property development City Leader Limited JPY358</t>
        </is>
      </c>
    </row>
    <row r="29">
      <c r="A29" s="8" t="inlineStr">
        <is>
          <t>Investment Properties</t>
        </is>
      </c>
      <c r="B29" s="8" t="inlineStr">
        <is>
          <t>投資物業</t>
        </is>
      </c>
      <c r="C29" s="19" t="inlineStr">
        <is>
          <t>high</t>
        </is>
      </c>
      <c r="D29" s="11" t="inlineStr">
        <is>
          <t>gross floor area</t>
        </is>
      </c>
      <c r="E29" s="11" t="inlineStr">
        <is>
          <t>PDF p.4 (印刷頁 3)</t>
        </is>
      </c>
      <c r="F29" s="11" t="inlineStr">
        <is>
          <t>Hu District) City Suites (Luo Hu District) Enterprise Square (Nanshan District) PORTFOLIO FOR INVESTMENT PROPERTIES (BY REGION) (BY GROSS FLOOR AREA (SQ. FT.)) Hong Kong Japan 6% 2% Digital Realty Kin Chuen (HKG11) R Hotel Namba South Osaka (Kwai Chung) Private Villa Gushikumui The Bauhinia Hotel (Central)/ Okinawa The Bauhinia Serviced Apartment R Hotel Ave Tennoji Osaka Hon Kwok Jordan Centre R Hotel Namba Daikokucho (Tsim Sha Tsui ) Osaka R Hotel Kansai Airport Osaka Chinese Mainland 92% Chongqing Jinshan Shenzhen Enterpris</t>
        </is>
      </c>
    </row>
    <row r="30">
      <c r="A30" s="8" t="inlineStr">
        <is>
          <t>Investment Properties</t>
        </is>
      </c>
      <c r="B30" s="8" t="inlineStr">
        <is>
          <t>投資物業</t>
        </is>
      </c>
      <c r="C30" s="19" t="inlineStr">
        <is>
          <t>high</t>
        </is>
      </c>
      <c r="D30" s="11" t="inlineStr">
        <is>
          <t>gross floor area</t>
        </is>
      </c>
      <c r="E30" s="11" t="inlineStr">
        <is>
          <t>PDF p.11 (印刷頁 10)</t>
        </is>
      </c>
      <c r="F30" s="11" t="inlineStr">
        <is>
          <t>scale, premium eco-friendly business complex located in the Overseas Chinese Town area of Nanshan District of Shenzhen, with a total gross floor area of approximately 224,500 square meters. The project comprises 12 standalone buildings and integrates a diverse range of functions, including premium luxury residential Enterprise Square apartments, offices buildings and commercial mall. The unsold residential units are classified as properties held for sale, the office tower and commercial mall are recognized as investment propert</t>
        </is>
      </c>
    </row>
    <row r="31">
      <c r="A31" s="8" t="inlineStr">
        <is>
          <t>Investment Properties</t>
        </is>
      </c>
      <c r="B31" s="8" t="inlineStr">
        <is>
          <t>投資物業</t>
        </is>
      </c>
      <c r="C31" s="19" t="inlineStr">
        <is>
          <t>high</t>
        </is>
      </c>
      <c r="D31" s="11" t="inlineStr">
        <is>
          <t>gross floor area</t>
        </is>
      </c>
      <c r="E31" s="11" t="inlineStr">
        <is>
          <t>PDF p.12 (印刷頁 11)</t>
        </is>
      </c>
      <c r="F31" s="11" t="inlineStr">
        <is>
          <t>and Tung Hing Fong 漢國大廈及同慶坊, Guangzhou (100% owned by the Group) Hon Kwok Building is a 32-storey commercial and office tower with a gross floor area of approximately 31,300 square meters. Located at Beijing Road of Guangzhou and adjacent to The Riverside, the building sits within an area renowned for its rich historical character and ongoing urban revitalisation. The building has been awarded the Leadership in Energy and Environmental Design (LEED) Gold certification. Completed in late 2024, Hon Kwok Building has demonstrated</t>
        </is>
      </c>
    </row>
    <row r="32">
      <c r="A32" s="8" t="inlineStr">
        <is>
          <t>Investment Properties</t>
        </is>
      </c>
      <c r="B32" s="8" t="inlineStr">
        <is>
          <t>投資物業</t>
        </is>
      </c>
      <c r="C32" s="19" t="inlineStr">
        <is>
          <t>high</t>
        </is>
      </c>
      <c r="D32" s="11" t="inlineStr">
        <is>
          <t>gross floor area</t>
        </is>
      </c>
      <c r="E32" s="11" t="inlineStr">
        <is>
          <t>PDF p.13 (印刷頁 12)</t>
        </is>
      </c>
      <c r="F32" s="11" t="inlineStr">
        <is>
          <t>(2) Ganghui Dasha 港滙大廈, Guangzhou (100% owned by the Group) Ganghui Dasha is a 20-storey commercial and office building with a total gross floor area of approximately 13,000 square meters. As at the year-end date, Ganghui Dasha achieved an improvement in occupancy rate to 85% from 79% in the previous year. It is located along Beijing Road of Guangzhou in close proximity to The Riverside. Ganghui Dasha, Hon Kwok Building and Tung Hing Fong together form an integrated cluster of developments that create strong synergy in attracti</t>
        </is>
      </c>
    </row>
    <row r="33">
      <c r="A33" s="8" t="inlineStr">
        <is>
          <t>Investment Properties</t>
        </is>
      </c>
      <c r="B33" s="8" t="inlineStr">
        <is>
          <t>投資物業</t>
        </is>
      </c>
      <c r="C33" s="19" t="inlineStr">
        <is>
          <t>high</t>
        </is>
      </c>
      <c r="D33" s="11" t="inlineStr">
        <is>
          <t>gross floor area</t>
        </is>
      </c>
      <c r="E33" s="11" t="inlineStr">
        <is>
          <t>PDF p.14 (印刷頁 13)</t>
        </is>
      </c>
      <c r="F33" s="11" t="inlineStr">
        <is>
          <t>ing Hon Kwok Centre is a 25-storey twin-tower integrated office complex with a 4-storey retail and commercial podium, offers a total gross floor area of approximately 108,000 square meters. The building is located in Liangjiang New Area of Chongqing, the core of Chongqing’s northern CBD area, a key district earmarked for growth by the municipal government. As at the year-end date, Chongqing Hon Kwok Centre achieved an increase in occupancy rate to 67% from 65% in the previous year. Chongqing Hon Kwok Centre offers open-plan sha</t>
        </is>
      </c>
    </row>
    <row r="34">
      <c r="A34" s="8" t="inlineStr">
        <is>
          <t>Investment Properties</t>
        </is>
      </c>
      <c r="B34" s="8" t="inlineStr">
        <is>
          <t>投資物業</t>
        </is>
      </c>
      <c r="C34" s="19" t="inlineStr">
        <is>
          <t>high</t>
        </is>
      </c>
      <c r="D34" s="11" t="inlineStr">
        <is>
          <t>investment property</t>
        </is>
      </c>
      <c r="E34" s="11" t="inlineStr">
        <is>
          <t>PDF p.15 (印刷頁 14)</t>
        </is>
      </c>
      <c r="F34" s="11" t="inlineStr">
        <is>
          <t>y 2026 and is scheduled to reopen in October 2026. Supported by a full year of operations and a booming tourism market in Japan, the investment property portfolio posted higher rental income, with an average occupancy rate of 91% at the year-end date. (iii) Property Management and Other Business The Group provides property and car park management services in Hong Kong and continues to explore the catering business under the name Chef Kam Japanese Cuisine. During the year, property management and other businesses contributed app</t>
        </is>
      </c>
    </row>
    <row r="35">
      <c r="A35" s="8" t="inlineStr">
        <is>
          <t>Investment Properties</t>
        </is>
      </c>
      <c r="B35" s="8" t="inlineStr">
        <is>
          <t>投資物業</t>
        </is>
      </c>
      <c r="C35" s="19" t="inlineStr">
        <is>
          <t>high</t>
        </is>
      </c>
      <c r="D35" s="11" t="inlineStr">
        <is>
          <t>investment property</t>
        </is>
      </c>
      <c r="E35" s="11" t="inlineStr">
        <is>
          <t>PDF p.24 (印刷頁 23)</t>
        </is>
      </c>
      <c r="F35" s="11" t="inlineStr">
        <is>
          <t>isks Pertaining to the Property Market in DIVIDEND Hong Kong The proposed final dividend for the year ended A portion of the Group’s investment property 31 March 2026 is subject to the approval by the portfolio is located in Hong Kong, earning rental shareholders at the annual general meeting. and management income. Therefore, the Group For determining the entitlement to the proposed is susceptible to changes in economic conditions, final dividend, the register of members of the consumer consumption and the tourist market in Co</t>
        </is>
      </c>
    </row>
    <row r="36">
      <c r="A36" s="8" t="inlineStr">
        <is>
          <t>Investment Properties</t>
        </is>
      </c>
      <c r="B36" s="8" t="inlineStr">
        <is>
          <t>投資物業</t>
        </is>
      </c>
      <c r="C36" s="19" t="inlineStr">
        <is>
          <t>high</t>
        </is>
      </c>
      <c r="D36" s="11" t="inlineStr">
        <is>
          <t>investment property</t>
        </is>
      </c>
      <c r="E36" s="11" t="inlineStr">
        <is>
          <t>PDF p.73 (印刷頁 72)</t>
        </is>
      </c>
      <c r="F36" s="11" t="inlineStr">
        <is>
          <t>included in the statement of profit or loss in the year in which they arise. Any gains or losses on the retirement or disposal of an investment property are recognised in profit or loss in the year of the retirement or disposal. Properties held for sale under development and completed properties held for sale Completed properties held for sale Completed properties held for sale are stated at the lower of cost and net realisable value. Cost is determined by an apportionment of the total land and building costs attributable to un</t>
        </is>
      </c>
    </row>
    <row r="37">
      <c r="A37" s="8" t="inlineStr">
        <is>
          <t>Investment Properties</t>
        </is>
      </c>
      <c r="B37" s="8" t="inlineStr">
        <is>
          <t>投資物業</t>
        </is>
      </c>
      <c r="C37" s="19" t="inlineStr">
        <is>
          <t>high</t>
        </is>
      </c>
      <c r="D37" s="11" t="inlineStr">
        <is>
          <t>investment property</t>
        </is>
      </c>
      <c r="E37" s="11" t="inlineStr">
        <is>
          <t>PDF p.91 (印刷頁 90)</t>
        </is>
      </c>
      <c r="F37" s="11" t="inlineStr">
        <is>
          <t>financial statements: Property lease classification – Group as lessor The Group has entered into commercial property leases for its investment property portfolio. The Group has determined, based on an evaluation of the terms and conditions of the arrangements, such as the lease term not constituting a major part of the economic life of the commercial property and the present value of the minimum lease payments not amounting to substantially all the fair value of the commercial property, that it retains substantially all the si</t>
        </is>
      </c>
    </row>
    <row r="38">
      <c r="A38" s="8" t="inlineStr">
        <is>
          <t>Investment Properties</t>
        </is>
      </c>
      <c r="B38" s="8" t="inlineStr">
        <is>
          <t>投資物業</t>
        </is>
      </c>
      <c r="C38" s="19" t="inlineStr">
        <is>
          <t>high</t>
        </is>
      </c>
      <c r="D38" s="11" t="inlineStr">
        <is>
          <t>investment property</t>
        </is>
      </c>
      <c r="E38" s="11" t="inlineStr">
        <is>
          <t>PDF p.92 (印刷頁 91)</t>
        </is>
      </c>
      <c r="F38" s="11" t="inlineStr">
        <is>
          <t>d) Classification between investment properties and properties held for sale The Group determines whether a property qualifies as an investment property or a property held for sale, and has developed criteria in making that judgement. Investment property is a property held to earn rentals or for capital appreciation or both. Properties held for sale are properties held by the Group with the intention of sale in the Group’s ordinary course of business. Judgement is made on an individual property basis to determine whether leased</t>
        </is>
      </c>
    </row>
    <row r="39">
      <c r="A39" s="8" t="inlineStr">
        <is>
          <t>Investment Properties</t>
        </is>
      </c>
      <c r="B39" s="8" t="inlineStr">
        <is>
          <t>投資物業</t>
        </is>
      </c>
      <c r="C39" s="19" t="inlineStr">
        <is>
          <t>high</t>
        </is>
      </c>
      <c r="D39" s="11" t="inlineStr">
        <is>
          <t>market rent</t>
        </is>
      </c>
      <c r="E39" s="11" t="inlineStr">
        <is>
          <t>PDF p.94 (印刷頁 93)</t>
        </is>
      </c>
      <c r="F39" s="11" t="inlineStr">
        <is>
          <t>ash flows, supported by the terms of any existing lease and other contracts and (when possible) by external evidence such as current market rents for similar properties in the same location and condition, and using discount rates that reflect current market assessments of the uncertainty in the amount and timing of the cash flows. Further details, including the key assumptions used for fair value measurement, are given in note 14 to the financial statements. 93 HON KWOK LAND Annual Report 2025/26</t>
        </is>
      </c>
    </row>
    <row r="40">
      <c r="A40" s="8" t="inlineStr">
        <is>
          <t>Investment Properties</t>
        </is>
      </c>
      <c r="B40" s="8" t="inlineStr">
        <is>
          <t>投資物業</t>
        </is>
      </c>
      <c r="C40" s="19" t="inlineStr">
        <is>
          <t>high</t>
        </is>
      </c>
      <c r="D40" s="11" t="inlineStr">
        <is>
          <t>gross floor area</t>
        </is>
      </c>
      <c r="E40" s="11" t="inlineStr">
        <is>
          <t>PDF p.114 (印刷頁 113)</t>
        </is>
      </c>
      <c r="F40" s="11" t="inlineStr">
        <is>
          <t>a)(v) to the financial statements. Based on the property ownership certificates, a portion of the investment properties with a total gross floor area of approximately 3,023 sq. m. is designated as non-market commodity housing which is not freely transferable in the market. As at 31 March 2026, the market value of such portion was HK$72,727,000 (2025: HK$78,587,000). Further particulars of the Group’s investment properties are included in “Particulars of Properties” on pages 159 to 164. Investment properties included interest ex</t>
        </is>
      </c>
    </row>
    <row r="41">
      <c r="A41" s="8" t="inlineStr">
        <is>
          <t>Investment Properties</t>
        </is>
      </c>
      <c r="B41" s="8" t="inlineStr">
        <is>
          <t>投資物業</t>
        </is>
      </c>
      <c r="C41" s="19" t="inlineStr">
        <is>
          <t>high</t>
        </is>
      </c>
      <c r="D41" s="11" t="inlineStr">
        <is>
          <t>capitalisation rate</t>
        </is>
      </c>
      <c r="E41" s="11" t="inlineStr">
        <is>
          <t>PDF p.116 (印刷頁 115)</t>
        </is>
      </c>
      <c r="F41" s="11" t="inlineStr">
        <is>
          <t>th (HK$) 35 to 71 19 to 72 per sq. m. per month (RMB) 36 to 387 53 to 387 per hotel room price (JPY) 5,500 to 33,000 6,000 to 12,500 Capitalisation rate 3.1% to 6.5% 3. 2% to 6. 5% Direct comparison Unit price (HK$/unit) 1,800,000 2,000,000 approach Unit price (RMB/unit) 80,000 to 460,000 80,000 to 480,000 Price per sq. ft. (HK$) 7,800 to 8,800 8,500 to 9,900 115 HON KWOK LAND Annual Report 2025/26</t>
        </is>
      </c>
    </row>
    <row r="42">
      <c r="A42" s="8" t="inlineStr">
        <is>
          <t>Investment Properties</t>
        </is>
      </c>
      <c r="B42" s="8" t="inlineStr">
        <is>
          <t>投資物業</t>
        </is>
      </c>
      <c r="C42" s="19" t="inlineStr">
        <is>
          <t>high</t>
        </is>
      </c>
      <c r="D42" s="11" t="inlineStr">
        <is>
          <t>capitalisation rate</t>
        </is>
      </c>
      <c r="E42" s="11" t="inlineStr">
        <is>
          <t>PDF p.117 (印刷頁 116)</t>
        </is>
      </c>
      <c r="F42" s="11" t="inlineStr">
        <is>
          <t>ed in the investment properties as well as other lettings of similar properties in the neighbourhood. The market yield, which is the capitalisation rate adopted, is determined by reference to the yields derived from analysing the sales transactions of similar properties and adjusted to take account of the valuers’ knowledge of the market expectation from property investors to reflect factors specific to the Group’s investment properties. The key inputs were the market rent and the market yield. A significant increase/(decrease)</t>
        </is>
      </c>
    </row>
    <row r="43">
      <c r="A43" s="8" t="inlineStr">
        <is>
          <t>Investment Properties</t>
        </is>
      </c>
      <c r="B43" s="8" t="inlineStr">
        <is>
          <t>投資物業</t>
        </is>
      </c>
      <c r="C43" s="19" t="inlineStr">
        <is>
          <t>high</t>
        </is>
      </c>
      <c r="D43" s="11" t="inlineStr">
        <is>
          <t>investment property</t>
        </is>
      </c>
      <c r="E43" s="11" t="inlineStr">
        <is>
          <t>PDF p.128 (印刷頁 127)</t>
        </is>
      </c>
      <c r="F43" s="11" t="inlineStr">
        <is>
          <t>rey hotel building situated at 1-18-2, Bakuromachi, Chuo-ku, Osaka, Japan (the “Osaka Property”), which was previously classified as investment property. As at 31 March 2026, the disposal transaction was highly probable and the Osaka Hotel Property was available for immediate sale in its present condition. Accordingly, the Osaka Property was reclassified as assets held for sale. The disposal was completed on 22 May 2026. (b) In March 2026, the Group accepted the offer from an independent third party to dispose of its property c</t>
        </is>
      </c>
    </row>
    <row r="44">
      <c r="A44" s="8" t="inlineStr">
        <is>
          <t>Investment Properties</t>
        </is>
      </c>
      <c r="B44" s="8" t="inlineStr">
        <is>
          <t>投資物業</t>
        </is>
      </c>
      <c r="C44" s="19" t="inlineStr">
        <is>
          <t>high</t>
        </is>
      </c>
      <c r="D44" s="11" t="inlineStr">
        <is>
          <t>investment property</t>
        </is>
      </c>
      <c r="E44" s="11" t="inlineStr">
        <is>
          <t>PDF p.133 (印刷頁 132)</t>
        </is>
      </c>
      <c r="F44" s="11" t="inlineStr">
        <is>
          <t>Management Limited (collectively, the “Disposed Group”) for a cash consideration of HK$338,975,000. HK$’000 Net assets disposed of: Investment property 350,000 Cash and cash equivalents 1,399 Prepayments and other receivables 2,388 Accruals and other payables (1,076) 352,711 – Loss on disposal of subsidiaries (13,736) Total consideration 338,975 Satisfied by: Cash 338,975 132 HON KWOK LAND Annual Report 2025/26</t>
        </is>
      </c>
    </row>
    <row r="45">
      <c r="A45" s="8" t="inlineStr">
        <is>
          <t>Investment Properties</t>
        </is>
      </c>
      <c r="B45" s="8" t="inlineStr">
        <is>
          <t>投資物業</t>
        </is>
      </c>
      <c r="C45" s="19" t="inlineStr">
        <is>
          <t>high</t>
        </is>
      </c>
      <c r="D45" s="11" t="inlineStr">
        <is>
          <t>gross floor area</t>
        </is>
      </c>
      <c r="E45" s="11" t="inlineStr">
        <is>
          <t>PDF p.160 (印刷頁 159)</t>
        </is>
      </c>
      <c r="F45" s="11" t="inlineStr">
        <is>
          <t>GROUP I – PROPERTIES HELD FOR DEVELOPMENT Estimated Attributable Development progress completion interest of Location Use Site area Gross floor area (up to 29 June 2026) date the Group (sq.m./sq.ft.) (sq.m./sq.ft.) (%) HONG KONG 1. Rural Building Residential 21,173 sq. ft. 19,055 sq. ft. Foundation works in progress 2028 50 Lot No. 1203 South Bay Road, Repulse Bay 2. Lot 716 &amp; Others – 35,386 sq. ft. – Temporary open storage – 100 in DD111, Yuen Long New Territories For illustration purposes, sq.m. has been translated into sq.</t>
        </is>
      </c>
    </row>
    <row r="46">
      <c r="A46" s="8" t="inlineStr">
        <is>
          <t>ESG Data</t>
        </is>
      </c>
      <c r="B46" s="8" t="inlineStr">
        <is>
          <t>環境社會及管治數據</t>
        </is>
      </c>
      <c r="C46" s="8" t="inlineStr">
        <is>
          <t>medium</t>
        </is>
      </c>
      <c r="D46" s="11" t="inlineStr">
        <is>
          <t>ESG</t>
        </is>
      </c>
      <c r="E46" s="11" t="inlineStr">
        <is>
          <t>PDF p.7 (印刷頁 6)</t>
        </is>
      </c>
      <c r="F46" s="11" t="inlineStr">
        <is>
          <t>as been strong. We refurbished this asset with purpose, updating the image with a new design, solar-integrated curtain wall, genuine ESG credentials that aren’t just marketing. This is a flagship that will contribute in the coming year and grow our recurring income base for years to come. 6 HON KWOK LAND Annual Report 2025/26</t>
        </is>
      </c>
    </row>
    <row r="47">
      <c r="A47" s="8" t="inlineStr">
        <is>
          <t>ESG Data</t>
        </is>
      </c>
      <c r="B47" s="8" t="inlineStr">
        <is>
          <t>環境社會及管治數據</t>
        </is>
      </c>
      <c r="C47" s="8" t="inlineStr">
        <is>
          <t>medium</t>
        </is>
      </c>
      <c r="D47" s="11" t="inlineStr">
        <is>
          <t>sustainability</t>
        </is>
      </c>
      <c r="E47" s="11" t="inlineStr">
        <is>
          <t>PDF p.14 (印刷頁 13)</t>
        </is>
      </c>
      <c r="F47" s="11" t="inlineStr">
        <is>
          <t>rs open-plan shared spaces, enhanced by natural ventilation and daylighting systems to promote energy conservation and environmental sustainability. The design incorporates multi-layered vertical landscaping features, creating a green and engaging urban office environment. The office spaces are further enhanced by the provision of open-plan shared areas, fostering collaboration, flexibility and a dynamic workplace culture. Our full suite of self-developed leasing solutions including Hon • Link, Hon • Work and Hon • Cowork are f</t>
        </is>
      </c>
    </row>
    <row r="48">
      <c r="A48" s="8" t="inlineStr">
        <is>
          <t>ESG Data</t>
        </is>
      </c>
      <c r="B48" s="8" t="inlineStr">
        <is>
          <t>環境社會及管治數據</t>
        </is>
      </c>
      <c r="C48" s="8" t="inlineStr">
        <is>
          <t>medium</t>
        </is>
      </c>
      <c r="D48" s="11" t="inlineStr">
        <is>
          <t>carbon</t>
        </is>
      </c>
      <c r="E48" s="11" t="inlineStr">
        <is>
          <t>PDF p.15 (印刷頁 14)</t>
        </is>
      </c>
      <c r="F48" s="11" t="inlineStr">
        <is>
          <t>ed Photovoltaic (BIPV) system integrates solar panels directly into the building structure, improving energy efficiency and reducing carbon emissions. The Bauhinia Hotel (Central) is a four-star boutique hotel comprises 44 rooms, occupying the four podium floors of the building, of which 31 rooms were available for rent as at the year-end date. The Bauhinia Serviced Apartment comprises of 112 units located above the hotel, of which 48 units were available for leasing as at the year-end date. The complex of hotel and serviced ap</t>
        </is>
      </c>
    </row>
    <row r="49">
      <c r="A49" s="8" t="inlineStr">
        <is>
          <t>ESG Data</t>
        </is>
      </c>
      <c r="B49" s="8" t="inlineStr">
        <is>
          <t>環境社會及管治數據</t>
        </is>
      </c>
      <c r="C49" s="8" t="inlineStr">
        <is>
          <t>medium</t>
        </is>
      </c>
      <c r="D49" s="11" t="inlineStr">
        <is>
          <t>energy consumption</t>
        </is>
      </c>
      <c r="E49" s="11" t="inlineStr">
        <is>
          <t>PDF p.30 (印刷頁 29)</t>
        </is>
      </c>
      <c r="F49" s="11" t="inlineStr">
        <is>
          <t>al-friendly corporation with the aim to conserve natural resources. The Group has On behalf of the Board taken initiatives to reduce energy consumption Donald Yin-Shing Lam and encourage recycle of office supplies and Managing Director other materials. The Group will continue to review Hong Kong, 29 June 2026 and promote its environmental policies. For details regarding the environmental and social related policies and performance of the Group for the year ended 31 March 2026, please refer to the Company’s 2025/26 Environmental</t>
        </is>
      </c>
    </row>
    <row r="50">
      <c r="A50" s="8" t="inlineStr">
        <is>
          <t>ESG Data</t>
        </is>
      </c>
      <c r="B50" s="8" t="inlineStr">
        <is>
          <t>環境社會及管治數據</t>
        </is>
      </c>
      <c r="C50" s="8" t="inlineStr">
        <is>
          <t>medium</t>
        </is>
      </c>
      <c r="D50" s="11" t="inlineStr">
        <is>
          <t>ESG</t>
        </is>
      </c>
      <c r="E50" s="11" t="inlineStr">
        <is>
          <t>PDF p.167 (印刷頁 166)</t>
        </is>
      </c>
      <c r="F50" s="11" t="inlineStr">
        <is>
          <t>olicy adopted by the Company, as amended from time to time “Dr. Wong” Dr. James Sai-Wing Wong, the Founding Chairman of the Company “ESG” Environmental, Social and Governance “Gold Famous” Gold Famous Development Limited (金譽發展有限公司), a company incorporated in Hong Kong with limited liability and an indirect wholly-owned subsidiary of the Company “Group”/“Hon Kwok Group” the Company and its subsidiaries “HK$”/“HKD” Hong Kong dollar(s), the lawful currency of Hong Kong “Hong Kong” the Hong Kong Special Administrative Region of the</t>
        </is>
      </c>
    </row>
    <row r="51">
      <c r="A51" s="8" t="inlineStr">
        <is>
          <t>Segment Information</t>
        </is>
      </c>
      <c r="B51" s="8" t="inlineStr">
        <is>
          <t>分部資料</t>
        </is>
      </c>
      <c r="C51" s="8" t="inlineStr">
        <is>
          <t>medium</t>
        </is>
      </c>
      <c r="D51" s="11" t="inlineStr">
        <is>
          <t>segment information</t>
        </is>
      </c>
      <c r="E51" s="11" t="inlineStr">
        <is>
          <t>PDF p.96 (印刷頁 95)</t>
        </is>
      </c>
      <c r="F51" s="11" t="inlineStr">
        <is>
          <t>NOTES TO THE FINANCIAL STATEMENTS (Continued) 31 March 2026 4. OPERATING SEGMENT INFORMATION For management purposes, the Group is organised into business units based on their products and services and has three reportable operating segments as follows: (a) the property development segment develops properties for sale; (b) the property investment segment holds investment properties for development and the generation of rental income; and (c) the property, carpark manag</t>
        </is>
      </c>
    </row>
    <row r="52">
      <c r="A52" s="8" t="inlineStr">
        <is>
          <t>Segment Information</t>
        </is>
      </c>
      <c r="B52" s="8" t="inlineStr">
        <is>
          <t>分部資料</t>
        </is>
      </c>
      <c r="C52" s="8" t="inlineStr">
        <is>
          <t>medium</t>
        </is>
      </c>
      <c r="D52" s="11" t="inlineStr">
        <is>
          <t>segment information</t>
        </is>
      </c>
      <c r="E52" s="11" t="inlineStr">
        <is>
          <t>PDF p.97 (印刷頁 96)</t>
        </is>
      </c>
      <c r="F52" s="11" t="inlineStr">
        <is>
          <t>NOTES TO THE FINANCIAL STATEMENTS (Continued) 31 March 2026 4. OPERATING SEGMENT INFORMATION (Continued) Property, carpark Property Property management development investment and others Total 2026 2025 2026 2025 2026 2025 2026 2025 HK$’000 HK$’000 HK$’000 HK$’000 HK$’000 HK$’000 HK$’000 HK$’000 Segment revenue (note 5): Sales to external customers 336,886 528,210 460,280 438,068 34,960 46,436 832,126 1,012,714 Segment results 147,083 210,286 (386,610) (403,065) (4,453)</t>
        </is>
      </c>
    </row>
    <row r="53">
      <c r="A53" s="8" t="inlineStr">
        <is>
          <t>Segment Information</t>
        </is>
      </c>
      <c r="B53" s="8" t="inlineStr">
        <is>
          <t>分部資料</t>
        </is>
      </c>
      <c r="C53" s="8" t="inlineStr">
        <is>
          <t>medium</t>
        </is>
      </c>
      <c r="D53" s="11" t="inlineStr">
        <is>
          <t>segment information</t>
        </is>
      </c>
      <c r="E53" s="11" t="inlineStr">
        <is>
          <t>PDF p.98 (印刷頁 97)</t>
        </is>
      </c>
      <c r="F53" s="11" t="inlineStr">
        <is>
          <t>NOTES TO THE FINANCIAL STATEMENTS (Continued) 31 March 2026 4. OPERATING SEGMENT INFORMATION (Continued) Property, carpark Property Property management development investment and others Total 2026 2025 2026 2025 2026 2025 2026 2025 HK$’000 HK$’000 HK$’000 HK$’000 HK$’000 HK$’000 HK$’000 HK$’000 Other segment information: Fair value losses on investment properties, net – – 640,832 678,919 – – 640,832 678,919 Gain on disposal of items of property, plant and equipment (17</t>
        </is>
      </c>
    </row>
    <row r="54">
      <c r="A54" s="8" t="inlineStr">
        <is>
          <t>Segment Information</t>
        </is>
      </c>
      <c r="B54" s="8" t="inlineStr">
        <is>
          <t>分部資料</t>
        </is>
      </c>
      <c r="C54" s="8" t="inlineStr">
        <is>
          <t>medium</t>
        </is>
      </c>
      <c r="D54" s="11" t="inlineStr">
        <is>
          <t>segment information</t>
        </is>
      </c>
      <c r="E54" s="11" t="inlineStr">
        <is>
          <t>PDF p.99 (印刷頁 98)</t>
        </is>
      </c>
      <c r="F54" s="11" t="inlineStr">
        <is>
          <t>NOTES TO THE FINANCIAL STATEMENTS (Continued) 31 March 2026 4. OPERATING SEGMENT INFORMATION (Continued) Geographical information (Continued) (b) Non-current assets 2026 2025 HK$’000 HK$’000 Hong Kong 5,100,304 5,412,533 Chinese mainland 10,350,997 10,301,356 Japan 379,358 562,247 Other 199 199 Total 15,830,858 16,276,335 The non-current asset information above is based on the locations of the assets and excludes financial assets at fair value through other comprehensi</t>
        </is>
      </c>
    </row>
    <row r="55">
      <c r="A55" s="8" t="inlineStr">
        <is>
          <t>Segment Information</t>
        </is>
      </c>
      <c r="B55" s="8" t="inlineStr">
        <is>
          <t>分部資料</t>
        </is>
      </c>
      <c r="C55" s="8" t="inlineStr">
        <is>
          <t>medium</t>
        </is>
      </c>
      <c r="D55" s="11" t="inlineStr">
        <is>
          <t>geographical</t>
        </is>
      </c>
      <c r="E55" s="11" t="inlineStr">
        <is>
          <t>PDF p.100 (印刷頁 99)</t>
        </is>
      </c>
      <c r="F55" s="11" t="inlineStr">
        <is>
          <t>operty management services and others – 45,327 7,358 52,685 Total revenue from contracts with customers 336,886 45,327 7,358 389,571 Geographical markets Hong Kong – 2,936 7,358 10,294 Chinese mainland 336,886 42,391 – 379,277 Total revenue from contracts with customers 336,886 45,327 7,358 389,571 Timing of revenue recognition Goods transferred at a point in time 336,886 – – 336,886 Services transferred over time – 45,327 7,358 52,685 Total revenue from contracts with customers 336,886 45,327 7,358 389,571 99 HON KWOK LAND Ann</t>
        </is>
      </c>
    </row>
    <row r="56">
      <c r="A56" s="8" t="inlineStr">
        <is>
          <t>Segment Information</t>
        </is>
      </c>
      <c r="B56" s="8" t="inlineStr">
        <is>
          <t>分部資料</t>
        </is>
      </c>
      <c r="C56" s="8" t="inlineStr">
        <is>
          <t>medium</t>
        </is>
      </c>
      <c r="D56" s="11" t="inlineStr">
        <is>
          <t>geographical</t>
        </is>
      </c>
      <c r="E56" s="11" t="inlineStr">
        <is>
          <t>PDF p.101 (印刷頁 100)</t>
        </is>
      </c>
      <c r="F56" s="11" t="inlineStr">
        <is>
          <t>operty management services and others – 38,391 9,530 47,921 Total revenue from contracts with customers 528,210 38,391 9,530 576,131 Geographical markets Hong Kong – 2,686 9,530 12,216 Chinese mainland 528,210 35,705 – 563,915 Total revenue from contracts with customers 528,210 38,391 9,530 576,131 Timing of revenue recognition Goods transferred at a point in time 528,210 – – 528,210 Services transferred over time – 38,391 9,530 47,921 Total revenue from contracts with customers 528,210 38,391 9,530 576,131 100 HON KWOK LAND An</t>
        </is>
      </c>
    </row>
    <row r="57">
      <c r="A57" s="8" t="inlineStr">
        <is>
          <t>Related Party Transactions</t>
        </is>
      </c>
      <c r="B57" s="8" t="inlineStr">
        <is>
          <t>關聯方交易</t>
        </is>
      </c>
      <c r="C57" s="8" t="inlineStr">
        <is>
          <t>low</t>
        </is>
      </c>
      <c r="D57" s="11" t="inlineStr">
        <is>
          <t>connected transaction</t>
        </is>
      </c>
      <c r="E57" s="11" t="inlineStr">
        <is>
          <t>PDF p.28 (印刷頁 27)</t>
        </is>
      </c>
      <c r="F57" s="11" t="inlineStr">
        <is>
          <t>REPORT OF THE DIRECTORS (Continued) CONNECTED TRANSACTIONS EVENTS AFTER THE REPORTING PERIOD On 26 September 2022, Honour Well entered into On 4 March 2026, the Group entered into a sale a framework agreement with each of Chinney and purchase agreement with an independent Construction and Shun Cheong, pursuant to which, third party for the disposal of a hotel property in Chinney Construction was appointed by Honour Osaka, Japan, in</t>
        </is>
      </c>
    </row>
    <row r="58">
      <c r="A58" s="8" t="inlineStr">
        <is>
          <t>Related Party Transactions</t>
        </is>
      </c>
      <c r="B58" s="8" t="inlineStr">
        <is>
          <t>關聯方交易</t>
        </is>
      </c>
      <c r="C58" s="8" t="inlineStr">
        <is>
          <t>low</t>
        </is>
      </c>
      <c r="D58" s="11" t="inlineStr">
        <is>
          <t>related party</t>
        </is>
      </c>
      <c r="E58" s="11" t="inlineStr">
        <is>
          <t>PDF p.140 (印刷頁 139)</t>
        </is>
      </c>
      <c r="F58" s="11" t="inlineStr">
        <is>
          <t>NOTES TO THE FINANCIAL STATEMENTS (Continued) 31 March 2026 38. RELATED PARTY TRANSACTIONS (a) In addition to those transactions disclosed elsewhere in these financial statements, the Group had the following material related party transactions during the year: 2026 2025 Note HK$’000 HK$’000 Construction and repair costs paid to related companies (i) 4,057 150,583 Notes: (i) On 26 September 2022, Honour Well Development Limited (“Honour Well”), an indirect whol</t>
        </is>
      </c>
    </row>
    <row r="59">
      <c r="A59" s="8" t="inlineStr">
        <is>
          <t>Related Party Transactions</t>
        </is>
      </c>
      <c r="B59" s="8" t="inlineStr">
        <is>
          <t>關聯方交易</t>
        </is>
      </c>
      <c r="C59" s="8" t="inlineStr">
        <is>
          <t>low</t>
        </is>
      </c>
      <c r="D59" s="11" t="inlineStr">
        <is>
          <t>related party</t>
        </is>
      </c>
      <c r="E59" s="11" t="inlineStr">
        <is>
          <t>PDF p.141 (印刷頁 140)</t>
        </is>
      </c>
      <c r="F59" s="11" t="inlineStr">
        <is>
          <t>NOTES TO THE FINANCIAL STATEMENTS (Continued) 31 March 2026 38. RELATED PARTY TRANSACTIONS (Continued) (d) Compensation of key management personnel of the Group 2026 2025 HK$’000 HK$’000 Short term employee benefits 34,383 39,297 Post-employment benefits 1,233 1,497 35,616 40,794 Further details of directors’ emoluments are included in note 8 to the financial statements. 39. FINANCIAL INSTRUMENTS BY CATEGORY The carrying amounts of each category of financial i</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6"/>
  <sheetViews>
    <sheetView workbookViewId="0">
      <pane ySplit="25" topLeftCell="A26" activePane="bottomLeft" state="frozen"/>
      <selection pane="bottomLeft" activeCell="A1" sqref="A1"/>
    </sheetView>
  </sheetViews>
  <sheetFormatPr baseColWidth="8" defaultRowHeight="15"/>
  <cols>
    <col width="16" customWidth="1" min="1" max="1"/>
    <col width="40" customWidth="1" min="2" max="2"/>
  </cols>
  <sheetData>
    <row r="1">
      <c r="A1" s="1" t="inlineStr">
        <is>
          <t>需要人手處理的項目</t>
        </is>
      </c>
    </row>
    <row r="2">
      <c r="A2" s="2" t="inlineStr">
        <is>
          <t>工具沒抓到的東西會列在這裡,不會靜靜消失 —— 請人手翻閱原文補入。</t>
        </is>
      </c>
    </row>
    <row r="4">
      <c r="A4" s="5" t="inlineStr">
        <is>
          <t>一、未擷取到的財務科目</t>
        </is>
      </c>
    </row>
    <row r="5">
      <c r="A5" s="2" t="inlineStr">
        <is>
          <t>可能原因:該公司未單獨揭露此科目 / 用了工具不認得的措辭 / 位於跨頁或附註中。措辭問題可在 config.py 補上別名。</t>
        </is>
      </c>
    </row>
    <row r="7">
      <c r="A7" s="7" t="inlineStr">
        <is>
          <t>報表 Statement</t>
        </is>
      </c>
      <c r="B7" s="7" t="inlineStr">
        <is>
          <t>未擷取科目 Missing item</t>
        </is>
      </c>
    </row>
    <row r="8">
      <c r="A8" s="8" t="inlineStr">
        <is>
          <t>Income Statement</t>
        </is>
      </c>
      <c r="B8" s="8" t="inlineStr">
        <is>
          <t>Operating Profit</t>
        </is>
      </c>
    </row>
    <row r="9">
      <c r="A9" s="8" t="inlineStr">
        <is>
          <t>Income Statement</t>
        </is>
      </c>
      <c r="B9" s="8" t="inlineStr">
        <is>
          <t>R&amp;D Expenses</t>
        </is>
      </c>
    </row>
    <row r="10">
      <c r="A10" s="8" t="inlineStr">
        <is>
          <t>Income Statement</t>
        </is>
      </c>
      <c r="B10" s="8" t="inlineStr">
        <is>
          <t>Depreciation</t>
        </is>
      </c>
    </row>
    <row r="11">
      <c r="A11" s="8" t="inlineStr">
        <is>
          <t>Income Statement</t>
        </is>
      </c>
      <c r="B11" s="8" t="inlineStr">
        <is>
          <t>Amortisation</t>
        </is>
      </c>
    </row>
    <row r="12">
      <c r="A12" s="8" t="inlineStr">
        <is>
          <t>Balance Sheet</t>
        </is>
      </c>
      <c r="B12" s="8" t="inlineStr">
        <is>
          <t>Total Assets</t>
        </is>
      </c>
    </row>
    <row r="13">
      <c r="A13" s="8" t="inlineStr">
        <is>
          <t>Balance Sheet</t>
        </is>
      </c>
      <c r="B13" s="8" t="inlineStr">
        <is>
          <t>Inventories</t>
        </is>
      </c>
    </row>
    <row r="14">
      <c r="A14" s="8" t="inlineStr">
        <is>
          <t>Balance Sheet</t>
        </is>
      </c>
      <c r="B14" s="8" t="inlineStr">
        <is>
          <t>Goodwill</t>
        </is>
      </c>
    </row>
    <row r="15">
      <c r="A15" s="8" t="inlineStr">
        <is>
          <t>Balance Sheet</t>
        </is>
      </c>
      <c r="B15" s="8" t="inlineStr">
        <is>
          <t>Intangible Assets</t>
        </is>
      </c>
    </row>
    <row r="16">
      <c r="A16" s="8" t="inlineStr">
        <is>
          <t>Balance Sheet</t>
        </is>
      </c>
      <c r="B16" s="8" t="inlineStr">
        <is>
          <t>Total Liabilities</t>
        </is>
      </c>
    </row>
    <row r="17">
      <c r="A17" s="8" t="inlineStr">
        <is>
          <t>Balance Sheet</t>
        </is>
      </c>
      <c r="B17" s="8" t="inlineStr">
        <is>
          <t>Borrowings</t>
        </is>
      </c>
    </row>
    <row r="18">
      <c r="A18" s="8" t="inlineStr">
        <is>
          <t>Cash Flow</t>
        </is>
      </c>
      <c r="B18" s="8" t="inlineStr">
        <is>
          <t>Investing Cash Flow</t>
        </is>
      </c>
    </row>
    <row r="19">
      <c r="A19" s="8" t="inlineStr">
        <is>
          <t>Cash Flow</t>
        </is>
      </c>
      <c r="B19" s="8" t="inlineStr">
        <is>
          <t>Capital Expenditure</t>
        </is>
      </c>
    </row>
    <row r="22">
      <c r="A22" s="5" t="inlineStr">
        <is>
          <t>二、文字量過低的頁面(疑似掃描頁)</t>
        </is>
      </c>
    </row>
    <row r="23">
      <c r="A23" s="2" t="inlineStr">
        <is>
          <t>這些頁面幾乎抓不到文字,通常是掃描件或純圖表,建議人手翻閱或另行 OCR。</t>
        </is>
      </c>
    </row>
    <row r="25">
      <c r="A25" s="7" t="inlineStr">
        <is>
          <t>PDF 頁碼</t>
        </is>
      </c>
      <c r="B25" s="7" t="inlineStr">
        <is>
          <t>狀態</t>
        </is>
      </c>
    </row>
    <row r="26">
      <c r="A26" s="4" t="inlineStr">
        <is>
          <t>無 — 全份文件均成功擷取文字</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2026-08-30T14:16:32Z</dcterms:created>
  <dcterms:modified xsi:type="dcterms:W3CDTF">2026-08-30T14:16:32Z</dcterms:modified>
</cp:coreProperties>
</file>
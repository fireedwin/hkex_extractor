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趨勢圖'!$A$5:$A$6</f>
            </numRef>
          </cat>
          <val>
            <numRef>
              <f>'Chart 趨勢圖'!$B$5:$B$6</f>
            </numRef>
          </val>
        </ser>
        <ser>
          <idx val="1"/>
          <order val="1"/>
          <tx>
            <strRef>
              <f>'Chart 趨勢圖'!C4</f>
            </strRef>
          </tx>
          <spPr>
            <a:ln>
              <a:prstDash val="solid"/>
            </a:ln>
          </spPr>
          <cat>
            <numRef>
              <f>'Chart 趨勢圖'!$A$5:$A$6</f>
            </numRef>
          </cat>
          <val>
            <numRef>
              <f>'Chart 趨勢圖'!$C$5:$C$6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01489_GC_CONSTRUCTION_20260729.pdf</t>
        </is>
      </c>
    </row>
    <row r="5">
      <c r="A5" s="3" t="inlineStr">
        <is>
          <t>產生時間 Generated</t>
        </is>
      </c>
      <c r="B5" s="4" t="inlineStr">
        <is>
          <t>2026-08-30 22:16</t>
        </is>
      </c>
    </row>
    <row r="6">
      <c r="A6" s="4" t="inlineStr"/>
      <c r="B6" s="4" t="inlineStr"/>
    </row>
    <row r="7">
      <c r="A7" s="3" t="inlineStr">
        <is>
          <t>總頁數 Total pages</t>
        </is>
      </c>
      <c r="B7" s="4" t="n">
        <v>210</v>
      </c>
    </row>
    <row r="8">
      <c r="A8" s="3" t="inlineStr">
        <is>
          <t>已擷取字元 Characters extracted</t>
        </is>
      </c>
      <c r="B8" s="4" t="n">
        <v>442412</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2</v>
      </c>
    </row>
    <row r="13">
      <c r="A13" s="3" t="inlineStr">
        <is>
          <t>財務科目擷取筆數 Financial line items</t>
        </is>
      </c>
      <c r="B13" s="4" t="n">
        <v>9</v>
      </c>
    </row>
    <row r="14">
      <c r="A14" s="3" t="inlineStr">
        <is>
          <t>主題段落擷取筆數 Topic extracts</t>
        </is>
      </c>
      <c r="B14" s="4" t="n">
        <v>93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242,348 − 33,543 = 208,805</t>
        </is>
      </c>
    </row>
    <row r="20">
      <c r="A20" s="6" t="inlineStr">
        <is>
          <t>✓ 總資產 = 總負債 + 總權益</t>
        </is>
      </c>
      <c r="B20" s="4" t="inlineStr">
        <is>
          <t>247,648 vs 36,076 + 211,572 = 247,648</t>
        </is>
      </c>
    </row>
    <row r="21">
      <c r="A21" s="6" t="inlineStr">
        <is>
          <t>✓ 三大報表應相鄰</t>
        </is>
      </c>
      <c r="B21" s="4" t="inlineStr">
        <is>
          <t>Income Statement: p.134、Balance Sheet: p.125、Cash Flow: p.128(相距 9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1.6</v>
      </c>
      <c r="D5" s="10" t="n">
        <v>0.4</v>
      </c>
      <c r="E5" s="11" t="inlineStr">
        <is>
          <t>1.6% and 0.4%</t>
        </is>
      </c>
      <c r="F5" s="11" t="inlineStr">
        <is>
          <t>High</t>
        </is>
      </c>
      <c r="G5" s="11" t="inlineStr">
        <is>
          <t>PDF p.9 (印刷頁 8)</t>
        </is>
      </c>
      <c r="H5" s="11" t="inlineStr">
        <is>
          <t>he Group’s strategic 地選擇利潤率穩定的項目。 selection of projects with stable margin. The gross profit margin was approximately 1.6% and 0.4% for the 截至2026年及2025年3月31日止年度，毛利率 years ended 31 March 2026 and 2025, respectively. 分別約為1.6%及0.4%。 Other Income and Gain 其他收入及收</t>
        </is>
      </c>
    </row>
    <row r="6">
      <c r="A6" s="8" t="inlineStr">
        <is>
          <t>Gross Margin</t>
        </is>
      </c>
      <c r="B6" s="8" t="inlineStr">
        <is>
          <t>毛利率</t>
        </is>
      </c>
      <c r="C6" s="9" t="n">
        <v>1.6</v>
      </c>
      <c r="D6" s="10" t="n">
        <v>1.6</v>
      </c>
      <c r="E6" s="11" t="inlineStr">
        <is>
          <t>1.6%</t>
        </is>
      </c>
      <c r="F6" s="11" t="inlineStr">
        <is>
          <t>Medium</t>
        </is>
      </c>
      <c r="G6" s="11" t="inlineStr">
        <is>
          <t>PDF p.9 (印刷頁 8)</t>
        </is>
      </c>
      <c r="H6" s="11" t="inlineStr">
        <is>
          <t>oss profit margin was approximately 1.6% and 0.4% for the 截至2026年及2025年3月31日止年度，毛利率 years ended 31 March 2026 and 2025, respectively. 分別約為1.6%及0.4%。 Other Income and Gain 其他收入及收益 During the year ended 31 March 2026, other income represented 截至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Balance Sheet</t>
        </is>
      </c>
      <c r="B5" s="8" t="inlineStr">
        <is>
          <t>Trade Receivables</t>
        </is>
      </c>
      <c r="C5" s="12" t="n">
        <v>44940</v>
      </c>
      <c r="D5" s="13" t="n">
        <v>83759</v>
      </c>
      <c r="E5" s="14">
        <f>IF(ISERROR((C5-D5)/ABS(D5)),"",(C5-D5)/ABS(D5))</f>
        <v>-0.4634606430353753</v>
      </c>
      <c r="F5" s="11" t="inlineStr">
        <is>
          <t>PDF p.125 (印刷頁 124)</t>
        </is>
      </c>
      <c r="G5" s="11" t="inlineStr">
        <is>
          <t>Trade receivables 貿易應收款項 17(a) 44,940 83,759</t>
        </is>
      </c>
    </row>
    <row r="6">
      <c r="A6" s="8" t="inlineStr">
        <is>
          <t>Balance Sheet</t>
        </is>
      </c>
      <c r="B6" s="8" t="inlineStr">
        <is>
          <t>Cash and Equivalents</t>
        </is>
      </c>
      <c r="C6" s="12" t="n">
        <v>53538</v>
      </c>
      <c r="D6" s="13" t="n">
        <v>18762</v>
      </c>
      <c r="E6" s="14">
        <f>IF(ISERROR((C6-D6)/ABS(D6)),"",(C6-D6)/ABS(D6))</f>
        <v>1.8535337384074193</v>
      </c>
      <c r="F6" s="11" t="inlineStr">
        <is>
          <t>PDF p.125 (印刷頁 124)</t>
        </is>
      </c>
      <c r="G6" s="11" t="inlineStr">
        <is>
          <t>Cash and cash equivalents 現金及現金等價物 19 53,538 18,762</t>
        </is>
      </c>
    </row>
    <row r="7">
      <c r="A7" s="8" t="inlineStr">
        <is>
          <t>Balance Sheet</t>
        </is>
      </c>
      <c r="B7" s="8" t="inlineStr">
        <is>
          <t>Total Assets</t>
        </is>
      </c>
      <c r="C7" s="12" t="n">
        <v>247648</v>
      </c>
      <c r="D7" s="13" t="n">
        <v>321060</v>
      </c>
      <c r="E7" s="14">
        <f>IF(ISERROR((C7-D7)/ABS(D7)),"",(C7-D7)/ABS(D7))</f>
        <v>-0.22865508004734317</v>
      </c>
      <c r="F7" s="11" t="inlineStr">
        <is>
          <t>PDF p.125 (印刷頁 124)</t>
        </is>
      </c>
      <c r="G7" s="11" t="inlineStr">
        <is>
          <t>Total assets 資產總值 247,648 321,060</t>
        </is>
      </c>
    </row>
    <row r="8">
      <c r="A8" s="8" t="inlineStr">
        <is>
          <t>Balance Sheet</t>
        </is>
      </c>
      <c r="B8" s="8" t="inlineStr">
        <is>
          <t>Total Equity</t>
        </is>
      </c>
      <c r="C8" s="12" t="n">
        <v>211572</v>
      </c>
      <c r="D8" s="13" t="n">
        <v>272348</v>
      </c>
      <c r="E8" s="14">
        <f>IF(ISERROR((C8-D8)/ABS(D8)),"",(C8-D8)/ABS(D8))</f>
        <v>-0.2231556684829703</v>
      </c>
      <c r="F8" s="11" t="inlineStr">
        <is>
          <t>PDF p.125 (印刷頁 124)</t>
        </is>
      </c>
      <c r="G8" s="11" t="inlineStr">
        <is>
          <t>Total equity 權益總額 211,572 272,348</t>
        </is>
      </c>
    </row>
    <row r="9">
      <c r="A9" s="8" t="inlineStr">
        <is>
          <t>Balance Sheet</t>
        </is>
      </c>
      <c r="B9" s="8" t="inlineStr">
        <is>
          <t>Borrowings</t>
        </is>
      </c>
      <c r="C9" s="12" t="n">
        <v>10286</v>
      </c>
      <c r="D9" s="13" t="n">
        <v>8785</v>
      </c>
      <c r="E9" s="14">
        <f>IF(ISERROR((C9-D9)/ABS(D9)),"",(C9-D9)/ABS(D9))</f>
        <v>0.17085941946499716</v>
      </c>
      <c r="F9" s="11" t="inlineStr">
        <is>
          <t>PDF p.126 (印刷頁 125)</t>
        </is>
      </c>
      <c r="G9" s="11" t="inlineStr">
        <is>
          <t>Bank borrowings 銀行借款 21 10,286 8,785</t>
        </is>
      </c>
    </row>
    <row r="10">
      <c r="A10" s="8" t="inlineStr">
        <is>
          <t>Balance Sheet</t>
        </is>
      </c>
      <c r="B10" s="8" t="inlineStr">
        <is>
          <t>Total Liabilities</t>
        </is>
      </c>
      <c r="C10" s="12" t="n">
        <v>36076</v>
      </c>
      <c r="D10" s="13" t="n">
        <v>48712</v>
      </c>
      <c r="E10" s="14">
        <f>IF(ISERROR((C10-D10)/ABS(D10)),"",(C10-D10)/ABS(D10))</f>
        <v>-0.25940220068976844</v>
      </c>
      <c r="F10" s="11" t="inlineStr">
        <is>
          <t>PDF p.126 (印刷頁 125)</t>
        </is>
      </c>
      <c r="G10" s="11" t="inlineStr">
        <is>
          <t>Total liabilities 負債總額 36,076 48,712</t>
        </is>
      </c>
    </row>
    <row r="11">
      <c r="A11" s="8" t="inlineStr">
        <is>
          <t>Balance Sheet</t>
        </is>
      </c>
      <c r="B11" s="8" t="inlineStr">
        <is>
          <t>Total Current Assets</t>
        </is>
      </c>
      <c r="C11" s="12" t="n">
        <v>242348</v>
      </c>
      <c r="D11" s="13" t="n">
        <v>318336</v>
      </c>
      <c r="E11" s="14">
        <f>IF(ISERROR((C11-D11)/ABS(D11)),"",(C11-D11)/ABS(D11))</f>
        <v>-0.23870375954965822</v>
      </c>
      <c r="F11" s="11" t="inlineStr">
        <is>
          <t>PDF p.125 (印刷頁 124)</t>
        </is>
      </c>
      <c r="G11" s="11" t="inlineStr">
        <is>
          <t>[current assets 區段小計] 242,348 318,336</t>
        </is>
      </c>
    </row>
    <row r="12">
      <c r="A12" s="8" t="inlineStr">
        <is>
          <t>Balance Sheet</t>
        </is>
      </c>
      <c r="B12" s="8" t="inlineStr">
        <is>
          <t>Total Current Liabilities</t>
        </is>
      </c>
      <c r="C12" s="12" t="n">
        <v>33543</v>
      </c>
      <c r="D12" s="13" t="n">
        <v>48511</v>
      </c>
      <c r="E12" s="14">
        <f>IF(ISERROR((C12-D12)/ABS(D12)),"",(C12-D12)/ABS(D12))</f>
        <v>-0.30854857661149016</v>
      </c>
      <c r="F12" s="11" t="inlineStr">
        <is>
          <t>PDF p.126 (印刷頁 125)</t>
        </is>
      </c>
      <c r="G12" s="11" t="inlineStr">
        <is>
          <t>[current liabilities 區段小計] 33,543 48,511</t>
        </is>
      </c>
    </row>
    <row r="13">
      <c r="A13" s="8" t="inlineStr">
        <is>
          <t>Cash Flow</t>
        </is>
      </c>
      <c r="B13" s="8" t="inlineStr">
        <is>
          <t>Financing Cash Flow</t>
        </is>
      </c>
      <c r="C13" s="12" t="n">
        <v>-825</v>
      </c>
      <c r="D13" s="13" t="n">
        <v>-790</v>
      </c>
      <c r="E13" s="14">
        <f>IF(ISERROR((C13-D13)/ABS(D13)),"",(C13-D13)/ABS(D13))</f>
        <v>-0.04430379746835443</v>
      </c>
      <c r="F13" s="11" t="inlineStr">
        <is>
          <t>PDF p.128 (印刷頁 127)</t>
        </is>
      </c>
      <c r="G13" s="11" t="inlineStr">
        <is>
          <t>Net cash used in financing activities 融資活動所用現金淨額 (825) (790)</t>
        </is>
      </c>
    </row>
    <row r="15">
      <c r="A1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財務數據'!$C$5:$C$13,MATCH("Gross Profit",'Financials 財務數據'!$B$5:$B$13,0))/INDEX('Financials 財務數據'!$C$5:$C$13,MATCH("Revenue",'Financials 財務數據'!$B$5:$B$13,0))),"n/a",INDEX('Financials 財務數據'!$C$5:$C$13,MATCH("Gross Profit",'Financials 財務數據'!$B$5:$B$13,0))/INDEX('Financials 財務數據'!$C$5:$C$13,MATCH("Revenue",'Financials 財務數據'!$B$5:$B$13,0)))</f>
        <v>n/a</v>
      </c>
      <c r="C5" s="15" t="str">
        <f>IF(ISERROR(INDEX('Financials 財務數據'!$D$5:$D$13,MATCH("Gross Profit",'Financials 財務數據'!$B$5:$B$13,0))/INDEX('Financials 財務數據'!$D$5:$D$13,MATCH("Revenue",'Financials 財務數據'!$B$5:$B$13,0))),"n/a",INDEX('Financials 財務數據'!$D$5:$D$13,MATCH("Gross Profit",'Financials 財務數據'!$B$5:$B$13,0))/INDEX('Financials 財務數據'!$D$5:$D$13,MATCH("Revenue",'Financials 財務數據'!$B$5:$B$13,0)))</f>
        <v>n/a</v>
      </c>
      <c r="D5" s="2" t="inlineStr">
        <is>
          <t>毛利 ÷ 收入</t>
        </is>
      </c>
    </row>
    <row r="6">
      <c r="A6" s="4" t="inlineStr">
        <is>
          <t>Net Margin 淨利率</t>
        </is>
      </c>
      <c r="B6" s="15" t="str">
        <f>IF(ISERROR(INDEX('Financials 財務數據'!$C$5:$C$13,MATCH("Profit for the Year",'Financials 財務數據'!$B$5:$B$13,0))/INDEX('Financials 財務數據'!$C$5:$C$13,MATCH("Revenue",'Financials 財務數據'!$B$5:$B$13,0))),"n/a",INDEX('Financials 財務數據'!$C$5:$C$13,MATCH("Profit for the Year",'Financials 財務數據'!$B$5:$B$13,0))/INDEX('Financials 財務數據'!$C$5:$C$13,MATCH("Revenue",'Financials 財務數據'!$B$5:$B$13,0)))</f>
        <v>n/a</v>
      </c>
      <c r="C6" s="15" t="str">
        <f>IF(ISERROR(INDEX('Financials 財務數據'!$D$5:$D$13,MATCH("Profit for the Year",'Financials 財務數據'!$B$5:$B$13,0))/INDEX('Financials 財務數據'!$D$5:$D$13,MATCH("Revenue",'Financials 財務數據'!$B$5:$B$13,0))),"n/a",INDEX('Financials 財務數據'!$D$5:$D$13,MATCH("Profit for the Year",'Financials 財務數據'!$B$5:$B$13,0))/INDEX('Financials 財務數據'!$D$5:$D$13,MATCH("Revenue",'Financials 財務數據'!$B$5:$B$13,0)))</f>
        <v>n/a</v>
      </c>
      <c r="D6" s="2" t="inlineStr">
        <is>
          <t>年內溢利 ÷ 收入</t>
        </is>
      </c>
    </row>
    <row r="7">
      <c r="A7" s="4" t="inlineStr">
        <is>
          <t>Current Ratio 流動比率</t>
        </is>
      </c>
      <c r="B7" s="16">
        <f>IF(ISERROR(INDEX('Financials 財務數據'!$C$5:$C$13,MATCH("Total Current Assets",'Financials 財務數據'!$B$5:$B$13,0))/INDEX('Financials 財務數據'!$C$5:$C$13,MATCH("Total Current Liabilities",'Financials 財務數據'!$B$5:$B$13,0))),"n/a",INDEX('Financials 財務數據'!$C$5:$C$13,MATCH("Total Current Assets",'Financials 財務數據'!$B$5:$B$13,0))/INDEX('Financials 財務數據'!$C$5:$C$13,MATCH("Total Current Liabilities",'Financials 財務數據'!$B$5:$B$13,0)))</f>
        <v>7.224994782816087</v>
      </c>
      <c r="C7" s="16">
        <f>IF(ISERROR(INDEX('Financials 財務數據'!$D$5:$D$13,MATCH("Total Current Assets",'Financials 財務數據'!$B$5:$B$13,0))/INDEX('Financials 財務數據'!$D$5:$D$13,MATCH("Total Current Liabilities",'Financials 財務數據'!$B$5:$B$13,0))),"n/a",INDEX('Financials 財務數據'!$D$5:$D$13,MATCH("Total Current Assets",'Financials 財務數據'!$B$5:$B$13,0))/INDEX('Financials 財務數據'!$D$5:$D$13,MATCH("Total Current Liabilities",'Financials 財務數據'!$B$5:$B$13,0)))</f>
        <v>6.5621405454433015</v>
      </c>
      <c r="D7" s="2" t="inlineStr">
        <is>
          <t>流動資產 ÷ 流動負債</t>
        </is>
      </c>
    </row>
    <row r="8">
      <c r="A8" s="4" t="inlineStr">
        <is>
          <t>Debt / Equity 負債權益比</t>
        </is>
      </c>
      <c r="B8" s="16">
        <f>IF(ISERROR(INDEX('Financials 財務數據'!$C$5:$C$13,MATCH("Total Liabilities",'Financials 財務數據'!$B$5:$B$13,0))/INDEX('Financials 財務數據'!$C$5:$C$13,MATCH("Total Equity",'Financials 財務數據'!$B$5:$B$13,0))),"n/a",INDEX('Financials 財務數據'!$C$5:$C$13,MATCH("Total Liabilities",'Financials 財務數據'!$B$5:$B$13,0))/INDEX('Financials 財務數據'!$C$5:$C$13,MATCH("Total Equity",'Financials 財務數據'!$B$5:$B$13,0)))</f>
        <v>0.17051405668046812</v>
      </c>
      <c r="C8" s="16">
        <f>IF(ISERROR(INDEX('Financials 財務數據'!$D$5:$D$13,MATCH("Total Liabilities",'Financials 財務數據'!$B$5:$B$13,0))/INDEX('Financials 財務數據'!$D$5:$D$13,MATCH("Total Equity",'Financials 財務數據'!$B$5:$B$13,0))),"n/a",INDEX('Financials 財務數據'!$D$5:$D$13,MATCH("Total Liabilities",'Financials 財務數據'!$B$5:$B$13,0))/INDEX('Financials 財務數據'!$D$5:$D$13,MATCH("Total Equity",'Financials 財務數據'!$B$5:$B$13,0)))</f>
        <v>0.17885940047292434</v>
      </c>
      <c r="D8" s="2" t="inlineStr">
        <is>
          <t>總負債 ÷ 總權益</t>
        </is>
      </c>
    </row>
    <row r="9">
      <c r="A9" s="4" t="inlineStr">
        <is>
          <t>Goodwill / Total Assets</t>
        </is>
      </c>
      <c r="B9" s="15" t="str">
        <f>IF(ISERROR(INDEX('Financials 財務數據'!$C$5:$C$13,MATCH("Goodwill",'Financials 財務數據'!$B$5:$B$13,0))/INDEX('Financials 財務數據'!$C$5:$C$13,MATCH("Total Assets",'Financials 財務數據'!$B$5:$B$13,0))),"n/a",INDEX('Financials 財務數據'!$C$5:$C$13,MATCH("Goodwill",'Financials 財務數據'!$B$5:$B$13,0))/INDEX('Financials 財務數據'!$C$5:$C$13,MATCH("Total Assets",'Financials 財務數據'!$B$5:$B$13,0)))</f>
        <v>n/a</v>
      </c>
      <c r="C9" s="15" t="str">
        <f>IF(ISERROR(INDEX('Financials 財務數據'!$D$5:$D$13,MATCH("Goodwill",'Financials 財務數據'!$B$5:$B$13,0))/INDEX('Financials 財務數據'!$D$5:$D$13,MATCH("Total Assets",'Financials 財務數據'!$B$5:$B$13,0))),"n/a",INDEX('Financials 財務數據'!$D$5:$D$13,MATCH("Goodwill",'Financials 財務數據'!$B$5:$B$13,0))/INDEX('Financials 財務數據'!$D$5:$D$13,MATCH("Total Assets",'Financials 財務數據'!$B$5:$B$13,0)))</f>
        <v>n/a</v>
      </c>
      <c r="D9" s="2" t="inlineStr">
        <is>
          <t>商譽佔總資產比重 — 減值風險指標</t>
        </is>
      </c>
    </row>
    <row r="10">
      <c r="A10" s="4" t="inlineStr">
        <is>
          <t>Intangibles / Total Assets</t>
        </is>
      </c>
      <c r="B10" s="15" t="str">
        <f>IF(ISERROR(INDEX('Financials 財務數據'!$C$5:$C$13,MATCH("Intangible Assets",'Financials 財務數據'!$B$5:$B$13,0))/INDEX('Financials 財務數據'!$C$5:$C$13,MATCH("Total Assets",'Financials 財務數據'!$B$5:$B$13,0))),"n/a",INDEX('Financials 財務數據'!$C$5:$C$13,MATCH("Intangible Assets",'Financials 財務數據'!$B$5:$B$13,0))/INDEX('Financials 財務數據'!$C$5:$C$13,MATCH("Total Assets",'Financials 財務數據'!$B$5:$B$13,0)))</f>
        <v>n/a</v>
      </c>
      <c r="C10" s="15" t="str">
        <f>IF(ISERROR(INDEX('Financials 財務數據'!$D$5:$D$13,MATCH("Intangible Assets",'Financials 財務數據'!$B$5:$B$13,0))/INDEX('Financials 財務數據'!$D$5:$D$13,MATCH("Total Assets",'Financials 財務數據'!$B$5:$B$13,0))),"n/a",INDEX('Financials 財務數據'!$D$5:$D$13,MATCH("Intangible Assets",'Financials 財務數據'!$B$5:$B$13,0))/INDEX('Financials 財務數據'!$D$5:$D$13,MATCH("Total Assets",'Financials 財務數據'!$B$5:$B$13,0)))</f>
        <v>n/a</v>
      </c>
      <c r="D10" s="2" t="inlineStr">
        <is>
          <t>無形資產佔比</t>
        </is>
      </c>
    </row>
    <row r="11">
      <c r="A11" s="4" t="inlineStr">
        <is>
          <t>ROE 股本回報率</t>
        </is>
      </c>
      <c r="B11" s="15" t="str">
        <f>IF(ISERROR(INDEX('Financials 財務數據'!$C$5:$C$13,MATCH("Profit for the Year",'Financials 財務數據'!$B$5:$B$13,0))/INDEX('Financials 財務數據'!$C$5:$C$13,MATCH("Total Equity",'Financials 財務數據'!$B$5:$B$13,0))),"n/a",INDEX('Financials 財務數據'!$C$5:$C$13,MATCH("Profit for the Year",'Financials 財務數據'!$B$5:$B$13,0))/INDEX('Financials 財務數據'!$C$5:$C$13,MATCH("Total Equity",'Financials 財務數據'!$B$5:$B$13,0)))</f>
        <v>n/a</v>
      </c>
      <c r="C11" s="15" t="str">
        <f>IF(ISERROR(INDEX('Financials 財務數據'!$D$5:$D$13,MATCH("Profit for the Year",'Financials 財務數據'!$B$5:$B$13,0))/INDEX('Financials 財務數據'!$D$5:$D$13,MATCH("Total Equity",'Financials 財務數據'!$B$5:$B$13,0))),"n/a",INDEX('Financials 財務數據'!$D$5:$D$13,MATCH("Profit for the Year",'Financials 財務數據'!$B$5:$B$13,0))/INDEX('Financials 財務數據'!$D$5:$D$13,MATCH("Total Equity",'Financials 財務數據'!$B$5:$B$13,0)))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Total Assets</t>
        </is>
      </c>
      <c r="B5" s="18" t="n">
        <v>321060</v>
      </c>
      <c r="C5" s="18" t="n">
        <v>247648</v>
      </c>
    </row>
    <row r="6">
      <c r="A6" s="4" t="inlineStr">
        <is>
          <t>Total Equity</t>
        </is>
      </c>
      <c r="B6" s="18" t="n">
        <v>272348</v>
      </c>
      <c r="C6" s="18" t="n">
        <v>211572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p.132 (印刷頁 131)</t>
        </is>
      </c>
      <c r="F4" s="11" t="inlineStr">
        <is>
          <t>easurement date, 債將支付之價格，而不論該價格是否 regardless of whether that price is directly observable or 可直接觀察或使用其他估值方法作 estimated using another valuation technique. In estimating 出估計。於估計資產或負債之公平值 the fair value of an asset or a liability, the Group takes into 時，本集團會考慮該等市場參與者於 account the characteristics of the asset or liability if market 計量日期對資產或負債定價時所考慮 participants would take those characteristics into account 資產或負債之特點。在該等綜合財務 when pricing the asset or liability at the measurement date. 報表中計量及╱或披露的公平值均在 Fair value for measurement and/o</t>
        </is>
      </c>
    </row>
    <row r="5">
      <c r="A5" s="8" t="inlineStr">
        <is>
          <t>Fair Value Measurement</t>
        </is>
      </c>
      <c r="B5" s="8" t="inlineStr">
        <is>
          <t>公允價值計量</t>
        </is>
      </c>
      <c r="C5" s="19" t="inlineStr">
        <is>
          <t>high</t>
        </is>
      </c>
      <c r="D5" s="11" t="inlineStr">
        <is>
          <t>level 1</t>
        </is>
      </c>
      <c r="E5" s="11" t="inlineStr">
        <is>
          <t>PDF p.133 (印刷頁 132)</t>
        </is>
      </c>
      <c r="F5" s="11" t="inlineStr">
        <is>
          <t>statements (continued) In addition, for financial reporting purposes, fair value 此外，就財務報告而言，公平值計量 measurements are categorised into Level 1, 2 or 3 based 分為第一級、第二級或第三級，此等 on the degree to which the inputs to the fair value 級別之劃分乃根據公平值計量的輸入 measurements are observable and the significance of the 數據可觀察程度及輸入數據對公平值 inputs to the fair value measurement in its entirety, which 計量的整體重要性，詳述如下： are described as follows: • Level 1 inputs are quoted prices (unadjusted) in active • 第一級輸入數據乃實體於計量日 markets for identical assets or liabilities</t>
        </is>
      </c>
    </row>
    <row r="6">
      <c r="A6" s="8" t="inlineStr">
        <is>
          <t>Impairment Testing</t>
        </is>
      </c>
      <c r="B6" s="8" t="inlineStr">
        <is>
          <t>減值測試</t>
        </is>
      </c>
      <c r="C6" s="19" t="inlineStr">
        <is>
          <t>high</t>
        </is>
      </c>
      <c r="D6" s="11" t="inlineStr">
        <is>
          <t>impairment loss</t>
        </is>
      </c>
      <c r="E6" s="11" t="inlineStr">
        <is>
          <t>PDF p.10 (印刷頁 9)</t>
        </is>
      </c>
      <c r="F6" s="11" t="inlineStr">
        <is>
          <t>illion or 13.5%. Such decrease was mainly 13.5%。該減幅主要由於員工成本及酬酢開支 due to the decrease in staff cost and entertainment expenses. 減少所致。 Impairment Losses on Trade Receivables and 貿易應收款項及合約資產之減值虧損 Contract Assets The Group recorded impairment losses on trade receivables and 本集團於截至2026年3月31日止年度錄得貿易應 contract assets of approximately HK$45.4 million for the year ended 收款項及合約資產之減值虧損約45.4百萬港元， 31 March 2026 and approximately HK$33.6 million for the year 而截至2025年3月31日止年度則錄得約33.6百萬 ended 31 March 2025. Such increase was caused by the high</t>
        </is>
      </c>
    </row>
    <row r="7">
      <c r="A7" s="8" t="inlineStr">
        <is>
          <t>Impairment Testing</t>
        </is>
      </c>
      <c r="B7" s="8" t="inlineStr">
        <is>
          <t>減值測試</t>
        </is>
      </c>
      <c r="C7" s="19" t="inlineStr">
        <is>
          <t>high</t>
        </is>
      </c>
      <c r="D7" s="11" t="inlineStr">
        <is>
          <t>impairment loss</t>
        </is>
      </c>
      <c r="E7" s="11" t="inlineStr">
        <is>
          <t>PDF p.124 (印刷頁 123)</t>
        </is>
      </c>
      <c r="F7" s="11" t="inlineStr">
        <is>
          <t>(255,472) (528,535) Gross profit 毛利 4,114 2,122 Other income and gain 其他收入及收益 6 63 83 Administrative expenses 行政開支 (19,486) (22,519) Impairment losses on trade receivables 貿易應收款項及 and contract assets 合約資產減值虧損 29b(i) (45,425) (33,573) Operating loss 經營虧損 (60,734) (53,887) Finance income 財務收入 10 5 899 Finance costs 財務成本 10 (220) (254) Finance (costs)/income, net 財務（成本）╱收入淨額 (215) 645 Loss before income tax expense 除所得稅開支前虧損 7 (60,949) (53,242) Income tax credit/(expense) 所得稅抵免╱（開支） 11 173 (229) Loss and total comprehensive 本公司擁有人</t>
        </is>
      </c>
    </row>
    <row r="8">
      <c r="A8" s="8" t="inlineStr">
        <is>
          <t>Impairment Testing</t>
        </is>
      </c>
      <c r="B8" s="8" t="inlineStr">
        <is>
          <t>減值測試</t>
        </is>
      </c>
      <c r="C8" s="19" t="inlineStr">
        <is>
          <t>high</t>
        </is>
      </c>
      <c r="D8" s="11" t="inlineStr">
        <is>
          <t>value in use</t>
        </is>
      </c>
      <c r="E8" s="11" t="inlineStr">
        <is>
          <t>PDF p.132 (印刷頁 131)</t>
        </is>
      </c>
      <c r="F8" s="11" t="inlineStr">
        <is>
          <t>則第2號存 some similarities to fair value but are not fair value, such as 貨中的可變現淨值或香港會計準則第 net realisable value in HKAS 2 Inventories or value in use in 36號資產減值中的使用價值）除外。 HKAS 36 Impairment of Assets. 2025/26 年報 • GC CONSTRUCTION HOLDINGS LIMITED 131</t>
        </is>
      </c>
    </row>
    <row r="9">
      <c r="A9" s="8" t="inlineStr">
        <is>
          <t>Impairment Testing</t>
        </is>
      </c>
      <c r="B9" s="8" t="inlineStr">
        <is>
          <t>減值測試</t>
        </is>
      </c>
      <c r="C9" s="19" t="inlineStr">
        <is>
          <t>high</t>
        </is>
      </c>
      <c r="D9" s="11" t="inlineStr">
        <is>
          <t>impairment loss</t>
        </is>
      </c>
      <c r="E9" s="11" t="inlineStr">
        <is>
          <t>PDF p.135 (印刷頁 134)</t>
        </is>
      </c>
      <c r="F9" s="11" t="inlineStr">
        <is>
          <t>r administrative purpose. Plant 屬有形資產。廠房及設備乃按成 and equipment are stated at cost less accumulated 本值減累計折舊及任何減值虧損 depreciation and any impairment losses. Costs include 呈列。成本包括使資產達到能夠 any costs directly attributable to bringing the asset 按照管理層擬定的方式開展經營 to the location and condition necessary for it to be 所必要的位置及條件而直接產生 capable of operating in the manner intended by 的任何成本（包括測試相關資產 management, including costs of testing whether 是否正常運作的費用），及（就合 the related assets is functioning properly and, for 資格資產而言）根據本集團會計 qualifying assets, borr</t>
        </is>
      </c>
    </row>
    <row r="10">
      <c r="A10" s="8" t="inlineStr">
        <is>
          <t>Impairment Testing</t>
        </is>
      </c>
      <c r="B10" s="8" t="inlineStr">
        <is>
          <t>減值測試</t>
        </is>
      </c>
      <c r="C10" s="19" t="inlineStr">
        <is>
          <t>high</t>
        </is>
      </c>
      <c r="D10" s="11" t="inlineStr">
        <is>
          <t>impairment loss</t>
        </is>
      </c>
      <c r="E10" s="11" t="inlineStr">
        <is>
          <t>PDF p.137 (印刷頁 136)</t>
        </is>
      </c>
      <c r="F10" s="11" t="inlineStr">
        <is>
          <t>rms and conditions of the 的成本。 lease. Right-of-use assets are measured at cost, less any 使用權資產按成本減任何累計折 accumulated depreciation and impairment losses, and 舊及減值虧損進行計量，並根據 adjusted for any remeasurement of lease liabilities. 租賃負債的重新計量進行調整。 Right-of-use assets in which the Group is reasonably 本集團合理確定於租賃期完結時 certain to obtain ownership of the underlying leased 可獲得相關租賃資產擁有權之使 assets at the end of the lease term are depreciated 用權資產從開始日至可使用年期 from commencement date to the end of the useful 完結計算折舊。除此之外，使用 life. Otherwise, right-of-us</t>
        </is>
      </c>
    </row>
    <row r="11">
      <c r="A11" s="8" t="inlineStr">
        <is>
          <t>Impairment Testing</t>
        </is>
      </c>
      <c r="B11" s="8" t="inlineStr">
        <is>
          <t>減值測試</t>
        </is>
      </c>
      <c r="C11" s="19" t="inlineStr">
        <is>
          <t>high</t>
        </is>
      </c>
      <c r="D11" s="11" t="inlineStr">
        <is>
          <t>impairment loss</t>
        </is>
      </c>
      <c r="E11" s="11" t="inlineStr">
        <is>
          <t>PDF p.140 (印刷頁 139)</t>
        </is>
      </c>
      <c r="F11" s="11" t="inlineStr">
        <is>
          <t>th finite useful lives to determine 權資產的賬面值作出檢討，以釐 whether there is any indication that those assets have 定有否任何跡象顯示該等資產出 suffered an impairment loss. If any such indication 現減值虧損。倘存在任何此類跡 exists, the recoverable amount of the relevant asset 象，則會對相關資產的可收回金 is estimated in order to determine the extent of the 額作出估計，以確定減值虧損的 impairment loss, (if any). 程度，如有。 The recoverable amount of plant and equipment and 廠房及設備及使用權資產的可收 right-of-use assets are estimated individually. When 回金額乃個別估計。倘無法估計 it is not possible to estimate the recover</t>
        </is>
      </c>
    </row>
    <row r="12">
      <c r="A12" s="8" t="inlineStr">
        <is>
          <t>Impairment Testing</t>
        </is>
      </c>
      <c r="B12" s="8" t="inlineStr">
        <is>
          <t>減值測試</t>
        </is>
      </c>
      <c r="C12" s="19" t="inlineStr">
        <is>
          <t>high</t>
        </is>
      </c>
      <c r="D12" s="11" t="inlineStr">
        <is>
          <t>impairment loss</t>
        </is>
      </c>
      <c r="E12" s="11" t="inlineStr">
        <is>
          <t>PDF p.141 (印刷頁 140)</t>
        </is>
      </c>
      <c r="F12" s="11" t="inlineStr">
        <is>
          <t>less costs of disposal (if measurable), its value 者。原應分配至資產的減值虧損 in use (if determinable) and zero. The amount of the 金額按比例分配至單位或現金產 impairment loss that would otherwise have been 生單位組別的其他資產。減值虧 allocated to the asset is allocated pro rata to the other 損即時於損益中確認。 assets of the unit or the group of cash-generating units. An impairment loss is recognised immediately in profit or loss. Where an impairment loss subsequently reverses, 倘減值虧損其後予以撥回，則有 the carrying amount of the asset (or cash-generating 關資產（或現金產生單位或現金 unit or a group</t>
        </is>
      </c>
    </row>
    <row r="13">
      <c r="A13" s="8" t="inlineStr">
        <is>
          <t>Impairment Testing</t>
        </is>
      </c>
      <c r="B13" s="8" t="inlineStr">
        <is>
          <t>減值測試</t>
        </is>
      </c>
      <c r="C13" s="19" t="inlineStr">
        <is>
          <t>high</t>
        </is>
      </c>
      <c r="D13" s="11" t="inlineStr">
        <is>
          <t>impairment loss</t>
        </is>
      </c>
      <c r="E13" s="11" t="inlineStr">
        <is>
          <t>PDF p.180 (印刷頁 179)</t>
        </is>
      </c>
      <c r="F13" s="11" t="inlineStr">
        <is>
          <t>（2025年：2年）內使用相關租賃物業的 years (2025: 2 years). They are stated at cost less accumulated 權利。該等使用權資產乃按成本減累計折 depreciation and accumulated impairment losses. 舊及累計減值虧損列賬。 16 DEFERRED TAX LIABILITIES 16 遞延稅項負債 Deferred tax assets and liabilities are offset when there is a 當有法定可強制執行權利將可收回即期所 legally enforceable right to offset current income tax recoverable 得稅與即期所得稅負債抵銷及當遞延稅項 against current income tax liabilities and when the deferred 資產及負債與同一稅務機關就該應課稅實 tax assets and liabilities relate to income tax levied by the same 體或不同應課稅實體徵收的所得稅有</t>
        </is>
      </c>
    </row>
    <row r="14">
      <c r="A14" s="8" t="inlineStr">
        <is>
          <t>Impairment Testing</t>
        </is>
      </c>
      <c r="B14" s="8" t="inlineStr">
        <is>
          <t>減值測試</t>
        </is>
      </c>
      <c r="C14" s="19" t="inlineStr">
        <is>
          <t>high</t>
        </is>
      </c>
      <c r="D14" s="11" t="inlineStr">
        <is>
          <t>impairment loss</t>
        </is>
      </c>
      <c r="E14" s="11" t="inlineStr">
        <is>
          <t>PDF p.181 (印刷頁 180)</t>
        </is>
      </c>
      <c r="F14" s="11" t="inlineStr">
        <is>
          <t>eductible temporary 異73,034,000港元（2025年：25,214,000港 differences of HK$73,034,000 (2025: HK$25,214,000) related 元），該等差異與貿易應收款項及合約資 to impairment losses on trade receivables and contract assets. 產減值虧損以有關。由於不太可能產生可 No deferred tax asset has been recognised in relation to such 用於抵扣該等可抵扣暫時性差異的應納稅 deductible temporary difference as it is not probable that 額，因此未就該等可抵扣暫時性差異確認 taxable profit will be available against which the deductible 遞延稅項資產。本集團並無任何其他未於 temporary differences can be utilised. The Group has no 綜合財務報表內計提的重大遞延稅項，而 other</t>
        </is>
      </c>
    </row>
    <row r="15">
      <c r="A15" s="8" t="inlineStr">
        <is>
          <t>Impairment Testing</t>
        </is>
      </c>
      <c r="B15" s="8" t="inlineStr">
        <is>
          <t>減值測試</t>
        </is>
      </c>
      <c r="C15" s="19" t="inlineStr">
        <is>
          <t>high</t>
        </is>
      </c>
      <c r="D15" s="11" t="inlineStr">
        <is>
          <t>impairment loss</t>
        </is>
      </c>
      <c r="E15" s="11" t="inlineStr">
        <is>
          <t>PDF p.192 (印刷頁 191)</t>
        </is>
      </c>
      <c r="F15" s="11" t="inlineStr">
        <is>
          <t>ts 使用權資產折舊 579 496 Finance income 財務收入 (5) (899) Finance costs 財務成本 220 254 Gain on disposal on plant and equipment 出售廠房及設備收益 – (38) Impairment losses on trade receivables and 貿易應收款項及合約資產 contract assets 的減值虧損 45,425 33,573 Provision for long service payment 長期服務金撥備 87 353 Operating loss before changes in 營運資金變動前經營虧損 working capital (13,027) (17,815) Changes in working capital: 營運資金變動： Decrease/(increase) in contract assets 合約資產減少╱（增加） 21,872 (22,735) 貿易及其他應收款項、 Decrease/(increase) in trade and other 按金及預付款項減少╱ receivables, dep</t>
        </is>
      </c>
    </row>
    <row r="16">
      <c r="A16" s="8" t="inlineStr">
        <is>
          <t>Impairment Testing</t>
        </is>
      </c>
      <c r="B16" s="8" t="inlineStr">
        <is>
          <t>減值測試</t>
        </is>
      </c>
      <c r="C16" s="19" t="inlineStr">
        <is>
          <t>high</t>
        </is>
      </c>
      <c r="D16" s="11" t="inlineStr">
        <is>
          <t>recoverable amount</t>
        </is>
      </c>
      <c r="E16" s="11" t="inlineStr">
        <is>
          <t>PDF p.197 (印刷頁 196)</t>
        </is>
      </c>
      <c r="F16" s="11" t="inlineStr">
        <is>
          <t>h individual debt at the end of each 額，以確保就不可收回的款項作 reporting period to ensure that adequate allowance 出充足撥備。此外，本集團對貿 are made for irrecoverable amounts. In addition, 易結餘單獨地或根據撥備矩陣進 the Group performs impairment assessment under 行預期信貸虧損模式項下的減值 ECL model on trade balances individually or based 評估。就此而言，本公司董事認 on provision matrix. In this regard, the directors of 為，本集團的信貸風險已大幅降 the Company consider that the Group’s credit risk is 低。 significantly reduced. The Group is exposed to concentration of credit 本集團面對來自本集團五大客戶 risk on trade</t>
        </is>
      </c>
    </row>
    <row r="17">
      <c r="A17" s="8" t="inlineStr">
        <is>
          <t>Impairment Testing</t>
        </is>
      </c>
      <c r="B17" s="8" t="inlineStr">
        <is>
          <t>減值測試</t>
        </is>
      </c>
      <c r="C17" s="19" t="inlineStr">
        <is>
          <t>high</t>
        </is>
      </c>
      <c r="D17" s="11" t="inlineStr">
        <is>
          <t>impairment loss</t>
        </is>
      </c>
      <c r="E17" s="11" t="inlineStr">
        <is>
          <t>PDF p.206 (印刷頁 205)</t>
        </is>
      </c>
      <c r="F17" s="11" t="inlineStr">
        <is>
          <t>02 18,743 592 Administrative expenses 行政開支 (19,486) (22,519) (20,733) (20,605) (12,087) Listing expenses 上市開支 – – – (6,951) (7,642) (Impairment losses)/reversal 貿易應收款項及合約資產 of impairment loss on trade （減值虧損）╱減值虧損 receivables and contract 撥回 assets (45,425) (33,573) (625) (439) 360 Operating (loss)/profit 經營（虧損）╱溢利 (60,734) (53,887) 20,587 56,269 38,911 Finance (costs)/income, net 財務（成本）╱收入淨額 (215) 645 2,173 466 (139) (Loss)/profit before income 除所得稅開支前 tax expense （虧損）╱溢利 (60,949) (53,242) 22,760 56,735 38,772 Income tax credit</t>
        </is>
      </c>
    </row>
    <row r="18">
      <c r="A18" s="8" t="inlineStr">
        <is>
          <t>Intangible Assets &amp; Goodwill</t>
        </is>
      </c>
      <c r="B18" s="8" t="inlineStr">
        <is>
          <t>無形資產及商譽</t>
        </is>
      </c>
      <c r="C18" s="19" t="inlineStr">
        <is>
          <t>high</t>
        </is>
      </c>
      <c r="D18" s="11" t="inlineStr">
        <is>
          <t>trademark</t>
        </is>
      </c>
      <c r="E18" s="11" t="inlineStr">
        <is>
          <t>PDF p.90 (印刷頁 89)</t>
        </is>
      </c>
      <c r="F18" s="11" t="inlineStr">
        <is>
          <t>關法律 regulations that have a notable impact on our operations. These 及規例，包括但不限於(i)香港法例第559章《商標 include but are not limited to (i) the Trademarks Ordinance (Cap. 559) 條例》及(ii)第528章《版權條例》。 and (ii) the Copyright Ordinance (Cap. 528) in Hong Kong. To avoid infringement of any third party’s intellectual property rights, 為避免侵犯任何第三方知識產權，我們嚴禁僱 we prohibit our employees to use unlicensed computer software or 員使用未獲授權的電腦軟件或製作未經授權的 making unauthorised software copies. The Employee Handbook also 軟件複製本。員工手冊亦訂明僱員必須遵守的 stipulates the code and</t>
        </is>
      </c>
    </row>
    <row r="19">
      <c r="A19" s="8" t="inlineStr">
        <is>
          <t>Intangible Assets &amp; Goodwill</t>
        </is>
      </c>
      <c r="B19" s="8" t="inlineStr">
        <is>
          <t>無形資產及商譽</t>
        </is>
      </c>
      <c r="C19" s="19" t="inlineStr">
        <is>
          <t>high</t>
        </is>
      </c>
      <c r="D19" s="11" t="inlineStr">
        <is>
          <t>useful life</t>
        </is>
      </c>
      <c r="E19" s="11" t="inlineStr">
        <is>
          <t>PDF p.135 (印刷頁 134)</t>
        </is>
      </c>
      <c r="F19" s="11" t="inlineStr">
        <is>
          <t>rite off the cost of each item of plant and 線法撇銷廠房及設備之各有關成 equipment to its estimated residual value over its 本至估計剩餘價值，如下： estimated useful life as follow: – Office equipment and furniture 5 years － 辦公設備及傢具 5年 – Machinery 3 years － 機械 3年 – Motor vehicles 3 years － 汽車 3年 Where parts of an item of plant and equipment have 當廠房及設備之各項目部分有不 different useful lives, the cost of that item is allocated 同可使用年期，則各項目成本依 on a reasonable basis among the parts and each part 照合理基準在各部分之間分配， is depreciated separately. 而各部分單獨計提折舊。 Estimated residu</t>
        </is>
      </c>
    </row>
    <row r="20">
      <c r="A20" s="8" t="inlineStr">
        <is>
          <t>Intangible Assets &amp; Goodwill</t>
        </is>
      </c>
      <c r="B20" s="8" t="inlineStr">
        <is>
          <t>無形資產及商譽</t>
        </is>
      </c>
      <c r="C20" s="19" t="inlineStr">
        <is>
          <t>high</t>
        </is>
      </c>
      <c r="D20" s="11" t="inlineStr">
        <is>
          <t>useful life</t>
        </is>
      </c>
      <c r="E20" s="11" t="inlineStr">
        <is>
          <t>PDF p.137 (印刷頁 136)</t>
        </is>
      </c>
      <c r="F20" s="11" t="inlineStr">
        <is>
          <t>erwise, right-of-use assets are depreciated on 權資產按其估計可使用年期及租 a straight-line basis over the shorter of its estimated 賃年期較短者，以直線法計算折 useful life and the lease term. 舊。 The Group presents right-of-use assets as a separate 本集團將使用權資產列為綜合財 line item on the consolidated statement of financial 務狀況表的單獨項目。 position. 136 GC CONSTRUCTION HOLDINGS LIMITED • 2025/26 ANNUAL REPORT</t>
        </is>
      </c>
    </row>
    <row r="21">
      <c r="A21" s="8" t="inlineStr">
        <is>
          <t>Intangible Assets &amp; Goodwill</t>
        </is>
      </c>
      <c r="B21" s="8" t="inlineStr">
        <is>
          <t>無形資產及商譽</t>
        </is>
      </c>
      <c r="C21" s="19" t="inlineStr">
        <is>
          <t>high</t>
        </is>
      </c>
      <c r="D21" s="11" t="inlineStr">
        <is>
          <t>攤銷</t>
        </is>
      </c>
      <c r="E21" s="11" t="inlineStr">
        <is>
          <t>PDF p.142 (印刷頁 141)</t>
        </is>
      </c>
      <c r="F21" s="11" t="inlineStr">
        <is>
          <t>rofit or loss. The effective interest method is a method of 實際利率法為計算金融資產或金 calculating the amortised cost of a financial asset or 融負債攤銷成本的方法，亦為於 financial liability and of allocating and recognising 有關期間於損益分配及確認利息 interest income and interest expense in profit or loss 收入及利息開支的方法。實際利 over the relevant period. The effective interest rate is 率為按金融資產或金融負債的預 the rate that exactly discounts estimated future cash 計年期或（如適用）較短期間準 receipts or payments (including all fees and points 確貼現估計未來現金收入或付款 paid or received that form an integral pa</t>
        </is>
      </c>
    </row>
    <row r="22">
      <c r="A22" s="8" t="inlineStr">
        <is>
          <t>Intangible Assets &amp; Goodwill</t>
        </is>
      </c>
      <c r="B22" s="8" t="inlineStr">
        <is>
          <t>無形資產及商譽</t>
        </is>
      </c>
      <c r="C22" s="19" t="inlineStr">
        <is>
          <t>high</t>
        </is>
      </c>
      <c r="D22" s="11" t="inlineStr">
        <is>
          <t>攤銷</t>
        </is>
      </c>
      <c r="E22" s="11" t="inlineStr">
        <is>
          <t>PDF p.143 (印刷頁 142)</t>
        </is>
      </c>
      <c r="F22" s="11" t="inlineStr">
        <is>
          <t>或銷售。 All recognised financial assets are measured 所有已確認的金融資產，其後續 subsequently in their entirety at either amortised cost 計量均視乎其分類，整體按攤銷 or fair value, depending on the classification of the 成本或公平值計量。 financial assets. Classification and measurement of financial 金融資產的分類及計量 assets Financial assets that meet the following conditions are 符合以下條件的金融資產於其後 subsequently measured at amortised cost: 按攤銷成本計量： • the financial asset is held within a business • 該金融資產以收取合約現金 model whose objective is to collect contractual 流量為目的之商業模式下持 cash flo</t>
        </is>
      </c>
    </row>
    <row r="23">
      <c r="A23" s="8" t="inlineStr">
        <is>
          <t>Intangible Assets &amp; Goodwill</t>
        </is>
      </c>
      <c r="B23" s="8" t="inlineStr">
        <is>
          <t>無形資產及商譽</t>
        </is>
      </c>
      <c r="C23" s="19" t="inlineStr">
        <is>
          <t>high</t>
        </is>
      </c>
      <c r="D23" s="11" t="inlineStr">
        <is>
          <t>攤銷</t>
        </is>
      </c>
      <c r="E23" s="11" t="inlineStr">
        <is>
          <t>PDF p.144 (印刷頁 143)</t>
        </is>
      </c>
      <c r="F23" s="11" t="inlineStr">
        <is>
          <t>rewards of ownership of 險及回報轉移到另一實體時終止 the asset to another entity. 確認金融資產。 On derecognition of a financial asset measured at 於終止確認按攤銷成本計量之金 amortised cost, the difference between the asset’s 融資產時，資產之賬面值與已收 carrying amount and the sum of the consideration 及應收代價總和間的差額於損益 received and receivable is recognised in profit or loss. 確認。 2025/26 年報 • GC CONSTRUCTION HOLDINGS LIMITED 143</t>
        </is>
      </c>
    </row>
    <row r="24">
      <c r="A24" s="8" t="inlineStr">
        <is>
          <t>Intangible Assets &amp; Goodwill</t>
        </is>
      </c>
      <c r="B24" s="8" t="inlineStr">
        <is>
          <t>無形資產及商譽</t>
        </is>
      </c>
      <c r="C24" s="19" t="inlineStr">
        <is>
          <t>high</t>
        </is>
      </c>
      <c r="D24" s="11" t="inlineStr">
        <is>
          <t>攤銷</t>
        </is>
      </c>
      <c r="E24" s="11" t="inlineStr">
        <is>
          <t>PDF p.145 (印刷頁 144)</t>
        </is>
      </c>
      <c r="F24" s="11" t="inlineStr">
        <is>
          <t>ies 金融負債 All financial liabilities are subsequently measured at 所有金融負債其後採用實際利率 amortised cost using the effective interest method. 法按攤銷成本計量。 Financial liabilities at amortised cost 按攤銷成本計量的金融負債 The Group’s financial liabilities including trade and 本集團的金融負債（包括貿易及 other payables and bank borrowings are subsequently 其他應付款項和銀行借款）其後 measured at amortised cost, using the effective 採用實際利率法按攤銷成本計 interest method. 量。 Derecognition of financial liabilities 取消確認金融負債 The Group derecognises financial liabilities when, and 本集團於且僅於其責任獲免除、 onl</t>
        </is>
      </c>
    </row>
    <row r="25">
      <c r="A25" s="8" t="inlineStr">
        <is>
          <t>Intangible Assets &amp; Goodwill</t>
        </is>
      </c>
      <c r="B25" s="8" t="inlineStr">
        <is>
          <t>無形資產及商譽</t>
        </is>
      </c>
      <c r="C25" s="19" t="inlineStr">
        <is>
          <t>high</t>
        </is>
      </c>
      <c r="D25" s="11" t="inlineStr">
        <is>
          <t>攤銷</t>
        </is>
      </c>
      <c r="E25" s="11" t="inlineStr">
        <is>
          <t>PDF p.159 (印刷頁 158)</t>
        </is>
      </c>
      <c r="F25" s="11" t="inlineStr">
        <is>
          <t>f the defect liability period 的討論。 and the discussion of final accounts. Contract assets are assessed for impairment under the 合約資產按以攤銷成本列賬的金 same approach adopted for impairment assessment 融資產採取的相同減值評估方式 of financial assets carried at amortised cost. 評估減值。 A contract liability represents the Group’s obligation 合約負債表示本集團有責任將上 to transfer the aforesaid services to a customer for 述服務轉讓予客戶，而本集團已 which the Group has received consideration (or an 收到該客戶的代價（或到期支付 amount of consideration is due) from the customer. 的代價）。 158 GC CONSTRUC</t>
        </is>
      </c>
    </row>
    <row r="26">
      <c r="A26" s="8" t="inlineStr">
        <is>
          <t>Intangible Assets &amp; Goodwill</t>
        </is>
      </c>
      <c r="B26" s="8" t="inlineStr">
        <is>
          <t>無形資產及商譽</t>
        </is>
      </c>
      <c r="C26" s="19" t="inlineStr">
        <is>
          <t>high</t>
        </is>
      </c>
      <c r="D26" s="11" t="inlineStr">
        <is>
          <t>攤銷</t>
        </is>
      </c>
      <c r="E26" s="11" t="inlineStr">
        <is>
          <t>PDF p.195 (印刷頁 194)</t>
        </is>
      </c>
      <c r="F26" s="11" t="inlineStr">
        <is>
          <t>iod are as 面值載列如下： follows: As at 31 March 於3月31日 2026 2025 2026年 2025年 HK$’000 HK$’000 千港元 千港元 Financial assets at amortised cost: 按攤銷成本計量的金融資產： Trade receivables 貿易應收款項 44,940 83,759 Deposits and other receivables 按金及其他應收款項 3,417 4,906 Amount due from immediate holding 應收直接控股公司款項 company – 150 Cash and bank balances 現金及銀行結餘 53,538 18,762 101,895 107,577 Financial liabilities at amortised cost: 按攤銷成本計量的金融負債： Bank borrowings 銀行借款 10,286 8,785 Trade payables 貿易應付款項 10,346 20,487 Other payables 其他應付款項 7,743 14,321 28,375 43,593 (</t>
        </is>
      </c>
    </row>
    <row r="27">
      <c r="A27" s="8" t="inlineStr">
        <is>
          <t>Intangible Assets &amp; Goodwill</t>
        </is>
      </c>
      <c r="B27" s="8" t="inlineStr">
        <is>
          <t>無形資產及商譽</t>
        </is>
      </c>
      <c r="C27" s="19" t="inlineStr">
        <is>
          <t>high</t>
        </is>
      </c>
      <c r="D27" s="11" t="inlineStr">
        <is>
          <t>攤銷</t>
        </is>
      </c>
      <c r="E27" s="11" t="inlineStr">
        <is>
          <t>PDF p.203 (印刷頁 202)</t>
        </is>
      </c>
      <c r="F27" s="11" t="inlineStr">
        <is>
          <t>s 租賃負債 4.3 370 374 374 43,963 43,967 43,967 (iv) Fair value risk (iv) 公平值風險 The directors considered that the carrying amounts 董事認為，按攤銷成本列賬的金 of financial assets and financial liabilities recorded at 融資產及金融負債的賬面值與其 amortised cost approximate to their fair values at the 於各報告期末的公平值相若。 end of each reporting period. 202 GC CONSTRUCTION HOLDINGS LIMITED • 2025/26 ANNUAL REPORT</t>
        </is>
      </c>
    </row>
    <row r="28">
      <c r="A28" s="8" t="inlineStr">
        <is>
          <t>Investment Properties</t>
        </is>
      </c>
      <c r="B28" s="8" t="inlineStr">
        <is>
          <t>投資物業</t>
        </is>
      </c>
      <c r="C28" s="19" t="inlineStr">
        <is>
          <t>high</t>
        </is>
      </c>
      <c r="D28" s="11" t="inlineStr">
        <is>
          <t>market rent</t>
        </is>
      </c>
      <c r="E28" s="11" t="inlineStr">
        <is>
          <t>PDF p.139 (印刷頁 138)</t>
        </is>
      </c>
      <c r="F28" s="11" t="inlineStr">
        <is>
          <t>evised discount rate at the 訂折現率折現經修訂租賃付 date of reassessment. 款額而重新計量。 – the lease payments change due to changes － 租賃付款因進行市場租金調 in market rental rates following a market rent 查後市場租金變動而出現變 review, in which cases the related lease liability 動，在此情況下，相關租賃 is remeasured by discounting the revised lease 負債使用初始折現率折現經 payments using the initial discount rate. 修訂租賃付款額而重新計 量。 – a lease contract is modified and the lease － 租賃合約已經修改且租賃修 modification is not accounted for as a separate 改並無作為一項單獨租賃入 lease (see below for the accounting polic</t>
        </is>
      </c>
    </row>
    <row r="29">
      <c r="A29" s="8" t="inlineStr">
        <is>
          <t>ESG Data</t>
        </is>
      </c>
      <c r="B29" s="8" t="inlineStr">
        <is>
          <t>環境社會及管治數據</t>
        </is>
      </c>
      <c r="C29" s="8" t="inlineStr">
        <is>
          <t>medium</t>
        </is>
      </c>
      <c r="D29" s="11" t="inlineStr">
        <is>
          <t>環境、社會及管治</t>
        </is>
      </c>
      <c r="E29" s="11" t="inlineStr">
        <is>
          <t>PDF p.2</t>
        </is>
      </c>
      <c r="F29" s="11" t="inlineStr">
        <is>
          <t>ent 董事及高級管理層履歷 22 Corporate Governance Report 企業管治報告 41 Report of the Directors 董事會報告 59 Environmental, Social and Governance Report 環境、社會及管治報告 115 Independent Auditor’s Report 獨立核數師報告 123 Consolidated Statement of Comprehensive Income 綜合全面收入表 124 Consolidated Statement of Financial Position 綜合財務狀況表 126 Consolidated Statement of Changes in Equity 綜合權益變動表 127 Consolidated Statement of Cash Flows 綜合現金流量表 128 Notes to the Consolidated Financial Statements 綜合財務報表附註 205 Summary of Financial Information 財務資料概要 206 Glossary 詞彙</t>
        </is>
      </c>
    </row>
    <row r="30">
      <c r="A30" s="8" t="inlineStr">
        <is>
          <t>ESG Data</t>
        </is>
      </c>
      <c r="B30" s="8" t="inlineStr">
        <is>
          <t>環境社會及管治數據</t>
        </is>
      </c>
      <c r="C30" s="8" t="inlineStr">
        <is>
          <t>medium</t>
        </is>
      </c>
      <c r="D30" s="11" t="inlineStr">
        <is>
          <t>可持續</t>
        </is>
      </c>
      <c r="E30" s="11" t="inlineStr">
        <is>
          <t>PDF p.8 (印刷頁 7)</t>
        </is>
      </c>
      <c r="F30" s="11" t="inlineStr">
        <is>
          <t>rofit margins. Backed by a healthy financial 隊對帶領本集團克服逆境、穩定營運及為股東 position and a solid backlog of projects on hand, the management 締造可持續的長期回報充滿信心。 team is confident in its ability to guide the Group through these headwinds, stabilize operations, and deliver sustainable, long-term returns to the shareholders. APPRECIATION 致謝 The Board would like to express its sincere gratitude to the 董事會謹此就期內本集團管理層及全體員工的 management of the Group and all the staff for their hard work and 不懈努力及竭誠奉獻以及股東、業務合作夥伴 dedication, as well as its shareholder</t>
        </is>
      </c>
    </row>
    <row r="31">
      <c r="A31" s="8" t="inlineStr">
        <is>
          <t>ESG Data</t>
        </is>
      </c>
      <c r="B31" s="8" t="inlineStr">
        <is>
          <t>環境社會及管治數據</t>
        </is>
      </c>
      <c r="C31" s="8" t="inlineStr">
        <is>
          <t>medium</t>
        </is>
      </c>
      <c r="D31" s="11" t="inlineStr">
        <is>
          <t>可持續</t>
        </is>
      </c>
      <c r="E31" s="11" t="inlineStr">
        <is>
          <t>PDF p.26 (印刷頁 25)</t>
        </is>
      </c>
      <c r="F31" s="11" t="inlineStr">
        <is>
          <t>party by giving to the other not 面通知予以終止。黃雪芬博士已與本公司訂立 less than three months’ prior written notice. Dr. Wong Suet Fan, 初步任期為三年的委任函，其後可持續生效， Josephine has entered into an appointment letter with the Company 直至根據委任函條款予以終止。除黃博士外，其 for an initial term of three years, which may continue thereafter until 餘各獨立非執行董事已與本公司訂立委任書， terminated in accordance with the terms of the appointment letter. 任期為期一年，於首次任期屆滿後自動重續， Save for Dr. Wong, each of the remaining independent non-executive 除非由其中一方向另一方發出不少於一個月的 Directors has entered into an appoin</t>
        </is>
      </c>
    </row>
    <row r="32">
      <c r="A32" s="8" t="inlineStr">
        <is>
          <t>ESG Data</t>
        </is>
      </c>
      <c r="B32" s="8" t="inlineStr">
        <is>
          <t>環境社會及管治數據</t>
        </is>
      </c>
      <c r="C32" s="8" t="inlineStr">
        <is>
          <t>medium</t>
        </is>
      </c>
      <c r="D32" s="11" t="inlineStr">
        <is>
          <t>ESG</t>
        </is>
      </c>
      <c r="E32" s="11" t="inlineStr">
        <is>
          <t>PDF p.44 (印刷頁 43)</t>
        </is>
      </c>
      <c r="F32" s="11" t="inlineStr">
        <is>
          <t>al, social and 集團的環境、社會及管治策略及匯報事宜。董 governance strategy and reporting. The Board is responsible for 事會負責本集團與環境、社會及管治風險管理 the Group’s ESG risk management and internal control systems to 及內部控制系統有關的工作，以確保我們符合 ensure that the ESG strategies and reporting requirements are met. 環境、社會及管治策略及匯報要求。有關本集 Discussion on the Group’s environmental policies and performances 團環境政策及績效的討論載於本年報「環境、社 are in the section headed “Environmental, Social and Governance 會及管治報告」一節。 Report” in this annual report. SHARE CAPITAL 股本 Details of movements in the</t>
        </is>
      </c>
    </row>
    <row r="33">
      <c r="A33" s="8" t="inlineStr">
        <is>
          <t>ESG Data</t>
        </is>
      </c>
      <c r="B33" s="8" t="inlineStr">
        <is>
          <t>環境社會及管治數據</t>
        </is>
      </c>
      <c r="C33" s="8" t="inlineStr">
        <is>
          <t>medium</t>
        </is>
      </c>
      <c r="D33" s="11" t="inlineStr">
        <is>
          <t>greenhouse gas</t>
        </is>
      </c>
      <c r="E33" s="11" t="inlineStr">
        <is>
          <t>PDF p.60 (印刷頁 59)</t>
        </is>
      </c>
      <c r="F33" s="11" t="inlineStr">
        <is>
          <t>迫切挑 challenges facing our planet today, we have set high targets, both 戰之一，因此，我們設定了高水平的短期及長期 short-term and long-term, to reduce our greenhouse gas (“GHG”) 目標，務求減低溫室氣體（「溫室氣體」）排放， emissions and are actively working towards transitioning to a 努力推動低碳轉型。我們決心解決氣候變化問 low-carbon economy. We vow to seize every opportunity to reduce 題，謹此承諾，我們會捕捉每一個機會去減少 emissions across our entire value chain, as we remain committed to 本公司整個價值鏈的排放量。 addressing this issue. Our commitment to ESG issues stems from our recognition of our 我們之所以有應對環境、社會及管治議題的</t>
        </is>
      </c>
    </row>
    <row r="34">
      <c r="A34" s="8" t="inlineStr">
        <is>
          <t>ESG Data</t>
        </is>
      </c>
      <c r="B34" s="8" t="inlineStr">
        <is>
          <t>環境社會及管治數據</t>
        </is>
      </c>
      <c r="C34" s="8" t="inlineStr">
        <is>
          <t>medium</t>
        </is>
      </c>
      <c r="D34" s="11" t="inlineStr">
        <is>
          <t>carbon</t>
        </is>
      </c>
      <c r="E34" s="11" t="inlineStr">
        <is>
          <t>PDF p.61 (印刷頁 60)</t>
        </is>
      </c>
      <c r="F34" s="11" t="inlineStr">
        <is>
          <t>Listing Rules”), this report encompasses a broad 如我們減少碳排放的舉措、促進多元共融的承 spectrum of topics, such as our initiatives towards mitigating carbon 諾，以及維護道德商業行為的策略。 emissions, our pledge towards fostering diversity and inclusivity, and our strategy for maintaining ethical business practices. Reporting Period 報告期 This report outlines the ESG performance and approach of GC 本報告概述GC Construction Holdings Limited於 Construction Holdings Limited during the period spanning from 2025年4月1日至2026年3月31日期間（「報告期」 1 April 2025 to 31 March 2026 (the “R</t>
        </is>
      </c>
    </row>
    <row r="35">
      <c r="A35" s="8" t="inlineStr">
        <is>
          <t>ESG Data</t>
        </is>
      </c>
      <c r="B35" s="8" t="inlineStr">
        <is>
          <t>環境社會及管治數據</t>
        </is>
      </c>
      <c r="C35" s="8" t="inlineStr">
        <is>
          <t>medium</t>
        </is>
      </c>
      <c r="D35" s="11" t="inlineStr">
        <is>
          <t>energy consumption</t>
        </is>
      </c>
      <c r="E35" s="11" t="inlineStr">
        <is>
          <t>PDF p.62 (印刷頁 61)</t>
        </is>
      </c>
      <c r="F35" s="11" t="inlineStr">
        <is>
          <t>s utilised, as well as 用的計算工具有關的資料，以及報告排放量╱ the source of conversion factors employed for reporting emissions/ 能源耗用量時所用轉換系數的資料（如相關）。 energy consumption (where relevant). Balance: The Report identifies both achievements and challenges 平衡：本報告識別了本集團面臨的成就和挑戰。 faced by the Group. Consistency: The Report uses consistent methodologies for 一致性：除非發現方法有所改進，否則本報告 meaningful comparisons unless improvements in methodology are 將使用一致性方法進行有意義的比較。 identified. The Report has fulfilled all “comply or explain” requirements and 本報告已遵守守則概述的所有「不遵守就解釋</t>
        </is>
      </c>
    </row>
    <row r="36">
      <c r="A36" s="8" t="inlineStr">
        <is>
          <t>ESG Data</t>
        </is>
      </c>
      <c r="B36" s="8" t="inlineStr">
        <is>
          <t>環境社會及管治數據</t>
        </is>
      </c>
      <c r="C36" s="8" t="inlineStr">
        <is>
          <t>medium</t>
        </is>
      </c>
      <c r="D36" s="11" t="inlineStr">
        <is>
          <t>ESG</t>
        </is>
      </c>
      <c r="E36" s="11" t="inlineStr">
        <is>
          <t>PDF p.63 (印刷頁 62)</t>
        </is>
      </c>
      <c r="F36" s="11" t="inlineStr">
        <is>
          <t>以及公共設 for public sector projects, covering public residential developments, 施發展。 infrastructure, and public facilities developments. ESG GOVERNANCE STRUCTURE 環境、社會及管治架構 The Board is dedicated in its commitment to upholding the 董事會致力維護本集團的環境及社會責任，同 Group’s environmental and social obligations while overseeing the 時監督本集團的可持續發展策略及匯報情況。 Group’s sustainability strategy and reporting. The Board shoulders 董事會肩負評估及釐定本集團氣候相關風險及 the responsibility of evaluating and determining the Group’s 機遇的責任，透過提供切實可行的建議，確保 climate-related risks and op</t>
        </is>
      </c>
    </row>
    <row r="37">
      <c r="A37" s="8" t="inlineStr">
        <is>
          <t>ESG Data</t>
        </is>
      </c>
      <c r="B37" s="8" t="inlineStr">
        <is>
          <t>環境社會及管治數據</t>
        </is>
      </c>
      <c r="C37" s="8" t="inlineStr">
        <is>
          <t>medium</t>
        </is>
      </c>
      <c r="D37" s="11" t="inlineStr">
        <is>
          <t>ESG</t>
        </is>
      </c>
      <c r="E37" s="11" t="inlineStr">
        <is>
          <t>PDF p.64 (印刷頁 63)</t>
        </is>
      </c>
      <c r="F37" s="11" t="inlineStr">
        <is>
          <t>環境、社會及管治報告 For the day-to-day implementation, the Board places great 就日常運作而言，董事會認為透過組織促進採 importance on facilitating the adoption of ESG strategies and policies 納環境、社會及管治策略及政策，至關重要。董 throughout the organisation. The Board and senior management 事會及高級管理層亦會定期召開會議，就實施 also perform regular meetings to discuss the implementation of ESG 環境、社會及管治舉措及相關表現進行討論， initiatives and corresponding performance to keep abreast of all 以了解一切最新發展。 developments. As part of its oversight role, the Board conducts regular reviews 作為其監督角色的一部分，董事會會定期檢討 of</t>
        </is>
      </c>
    </row>
    <row r="38">
      <c r="A38" s="8" t="inlineStr">
        <is>
          <t>ESG Data</t>
        </is>
      </c>
      <c r="B38" s="8" t="inlineStr">
        <is>
          <t>環境社會及管治數據</t>
        </is>
      </c>
      <c r="C38" s="8" t="inlineStr">
        <is>
          <t>medium</t>
        </is>
      </c>
      <c r="D38" s="11" t="inlineStr">
        <is>
          <t>ESG</t>
        </is>
      </c>
      <c r="E38" s="11" t="inlineStr">
        <is>
          <t>PDF p.65 (印刷頁 64)</t>
        </is>
      </c>
      <c r="F38" s="11" t="inlineStr">
        <is>
          <t>ity environment • Participation in community events non-governmental 改善社區環境 參與社區活動 Organisations (NGOs) • Participation in charity • ESG Reports 社區或非政府組織 參與慈善活動 環境、社會及管治報告 • Transparent information 資訊透明度 Media • Transparency and accuracy in information • Enquiry mailbox 媒體 資訊透明度及準確性 查詢郵箱 Industry • Promote industry growth and • Participate in industry forums 行業 advancement 參與行業論壇 促進行業增長及進步 Employees • Occupational health and safety • Employee communication meetings 僱員 職業健康與安全 僱員通訊會議 • Remunerations and benefits • Training and w</t>
        </is>
      </c>
    </row>
    <row r="39">
      <c r="A39" s="8" t="inlineStr">
        <is>
          <t>ESG Data</t>
        </is>
      </c>
      <c r="B39" s="8" t="inlineStr">
        <is>
          <t>環境社會及管治數據</t>
        </is>
      </c>
      <c r="C39" s="8" t="inlineStr">
        <is>
          <t>medium</t>
        </is>
      </c>
      <c r="D39" s="11" t="inlineStr">
        <is>
          <t>carbon</t>
        </is>
      </c>
      <c r="E39" s="11" t="inlineStr">
        <is>
          <t>PDF p.66 (印刷頁 65)</t>
        </is>
      </c>
      <c r="F39" s="11" t="inlineStr">
        <is>
          <t>lean energy management 環境管治及合規 環境科技及清潔能源 能源及資源管理 Discharge of Response to climate Waste disposal Drive for pollutants change and low-carbon and composite employment 污染物排放 development utilization 促進就業 應對氣候變化及低碳發展 廢棄物處置及綜合利用 Management efficiency, Community investment operational results and engagement and corporate value 社區投資及參與 管理效益、營運業績及 企業價值 2024/25 年報 • GC CONSTRUCTION HOLDINGS LIMITED 65</t>
        </is>
      </c>
    </row>
    <row r="40">
      <c r="A40" s="8" t="inlineStr">
        <is>
          <t>ESG Data</t>
        </is>
      </c>
      <c r="B40" s="8" t="inlineStr">
        <is>
          <t>環境社會及管治數據</t>
        </is>
      </c>
      <c r="C40" s="8" t="inlineStr">
        <is>
          <t>medium</t>
        </is>
      </c>
      <c r="D40" s="11" t="inlineStr">
        <is>
          <t>carbon</t>
        </is>
      </c>
      <c r="E40" s="11" t="inlineStr">
        <is>
          <t>PDF p.67 (印刷頁 66)</t>
        </is>
      </c>
      <c r="F40" s="11" t="inlineStr">
        <is>
          <t>、權益及滿意度 3 Safeguarding the rights and 10 Response to climate change and 17 Supply chain management interests of shareholders and low-carbon development 供應鏈管理 investors 應對氣候變化及低碳發展 保障股東及投資者的權利及權益 4 Deepening reform and 11 Compensation and benefits of 18 Facilitation of fair competition high-quality development employees 促進公平競爭 深度改革及高質量發展 僱員待遇及福利 5 Environmental governance and 12 Development and training of 19 Production safety compliance employees 生產安全 環境管治及合規 僱員發展及培訓 6 Energy and resources 13 Occupational health of 20 Drive for</t>
        </is>
      </c>
    </row>
    <row r="41">
      <c r="A41" s="8" t="inlineStr">
        <is>
          <t>ESG Data</t>
        </is>
      </c>
      <c r="B41" s="8" t="inlineStr">
        <is>
          <t>環境社會及管治數據</t>
        </is>
      </c>
      <c r="C41" s="8" t="inlineStr">
        <is>
          <t>medium</t>
        </is>
      </c>
      <c r="D41" s="11" t="inlineStr">
        <is>
          <t>環境、社會及管治</t>
        </is>
      </c>
      <c r="E41" s="11" t="inlineStr">
        <is>
          <t>PDF p.68 (印刷頁 67)</t>
        </is>
      </c>
      <c r="F41" s="11" t="inlineStr">
        <is>
          <t>ENVIRONMENTAL, SOCIAL AND GOVERNANCE REPORT 環境、社會及管治報告 ENVIRONMENTAL ASPECTS 環境層面 Environmental Management 環境管理 The Group strives to incorporate a culture of environmental 本集團致力將履行環境責任及可持續發展慣例 responsibility and sustainable practices into our operations. To 的文化融入我們的營運當中。為達致有關目標， achieve this, the Group’s subsidiaries have adopted environmental 本集團的附屬公司採納了符合ISO 14001:2015標 management systems which are in conformity with the requirements 準的環境</t>
        </is>
      </c>
    </row>
    <row r="42">
      <c r="A42" s="8" t="inlineStr">
        <is>
          <t>ESG Data</t>
        </is>
      </c>
      <c r="B42" s="8" t="inlineStr">
        <is>
          <t>環境社會及管治數據</t>
        </is>
      </c>
      <c r="C42" s="8" t="inlineStr">
        <is>
          <t>medium</t>
        </is>
      </c>
      <c r="D42" s="11" t="inlineStr">
        <is>
          <t>energy consumption</t>
        </is>
      </c>
      <c r="E42" s="11" t="inlineStr">
        <is>
          <t>PDF p.69 (印刷頁 68)</t>
        </is>
      </c>
      <c r="F42" s="11" t="inlineStr">
        <is>
          <t>attain the following 年為基準年，並計劃於2027/2028年之前實現以 objectives by 2027/2028: 下目標： – Decrease air emission by 3%. – 廢氣排放量減少3%。 – Decrease energy consumption by 3%. – 能源耗用量減少3%。 – Decrease water consumption by 3%. – 耗水量減少3%。 – Decrease waste disposal by 3%. – 廢物棄置量減少3%。 Emissions 排放 The Group is bound by specific environmental regulations under 本集團受香港法例項下的特定環境規例約束， Hong Kong laws, including the Air Pollution Control Ordinance (Cap. 包括第311章《空氣污染管制條例》、第400章《噪 311), Noise Control Ordinance (Cap. 400), Water Pollution Control 音管制條例》、第358</t>
        </is>
      </c>
    </row>
    <row r="43">
      <c r="A43" s="8" t="inlineStr">
        <is>
          <t>ESG Data</t>
        </is>
      </c>
      <c r="B43" s="8" t="inlineStr">
        <is>
          <t>環境社會及管治數據</t>
        </is>
      </c>
      <c r="C43" s="8" t="inlineStr">
        <is>
          <t>medium</t>
        </is>
      </c>
      <c r="D43" s="11" t="inlineStr">
        <is>
          <t>環境、社會及管治</t>
        </is>
      </c>
      <c r="E43" s="11" t="inlineStr">
        <is>
          <t>PDF p.70 (印刷頁 69)</t>
        </is>
      </c>
      <c r="F43" s="11" t="inlineStr">
        <is>
          <t>ENVIRONMENTAL, SOCIAL AND GOVERNANCE REPORT 環境、社會及管治報告 Air Pollutant Emissions 空氣污染物排放 As a wet trades works contractor, the main source of air pollutant 作為一間泥水工程承建商，我們業務營運產生 emissions for our operations are mainly generated from our forklifts 的空氣污染物排放的主要來源主要來自叉車及 and motor vehicles. Our executive directors believe that the emissions 汽車。執行董事認為叉車產生的排放量相對輕 generated by our forklifts are relatively minor, nevertheless our Group 微，但本集團仍然致力於盡可能減</t>
        </is>
      </c>
    </row>
    <row r="44">
      <c r="A44" s="8" t="inlineStr">
        <is>
          <t>ESG Data</t>
        </is>
      </c>
      <c r="B44" s="8" t="inlineStr">
        <is>
          <t>環境社會及管治數據</t>
        </is>
      </c>
      <c r="C44" s="8" t="inlineStr">
        <is>
          <t>medium</t>
        </is>
      </c>
      <c r="D44" s="11" t="inlineStr">
        <is>
          <t>環境、社會及管治</t>
        </is>
      </c>
      <c r="E44" s="11" t="inlineStr">
        <is>
          <t>PDF p.71 (印刷頁 70)</t>
        </is>
      </c>
      <c r="F44" s="11" t="inlineStr">
        <is>
          <t>ENVIRONMENTAL, SOCIAL AND GOVERNANCE REPORT 環境、社會及管治報告 For instance, we compile safety data sheets that detail the 例如，我們會編製安全數據表，詳列我們使用 composition and physical and chemical properties of any hazardous 的任何有害物料的成份以及物理和化學特性， materials we use, as well as instructions for their safe handling, 以及安全處理、儲存、使用及處置有關物料的 storage, use, and disposal. We also provide training and workshops to 指示。我們亦會為僱員提供有關妥善處理有害 our employees on the proper treatment of h</t>
        </is>
      </c>
    </row>
    <row r="45">
      <c r="A45" s="8" t="inlineStr">
        <is>
          <t>ESG Data</t>
        </is>
      </c>
      <c r="B45" s="8" t="inlineStr">
        <is>
          <t>環境社會及管治數據</t>
        </is>
      </c>
      <c r="C45" s="8" t="inlineStr">
        <is>
          <t>medium</t>
        </is>
      </c>
      <c r="D45" s="11" t="inlineStr">
        <is>
          <t>環境、社會及管治</t>
        </is>
      </c>
      <c r="E45" s="11" t="inlineStr">
        <is>
          <t>PDF p.72 (印刷頁 71)</t>
        </is>
      </c>
      <c r="F45" s="11" t="inlineStr">
        <is>
          <t>ENVIRONMENTAL, SOCIAL AND GOVERNANCE REPORT 環境、社會及管治報告 To limit the environmental impact of our non-hazardous waste, 為限制我們的無害廢棄物造成的環境影響，我 we have implemented several waste management measures and 們實施了多項廢棄物管理措施，並發起了多項 launched various waste reduction initiatives. These measures include 減廢舉措。該等措施包括為多個廢棄物來源提 providing recycling bins for various waste streams to encourage 供回收箱以鼓勵回收、推廣使用電子通訊以減 recycling, promoting the use of electronic communica</t>
        </is>
      </c>
    </row>
    <row r="46">
      <c r="A46" s="8" t="inlineStr">
        <is>
          <t>ESG Data</t>
        </is>
      </c>
      <c r="B46" s="8" t="inlineStr">
        <is>
          <t>環境社會及管治數據</t>
        </is>
      </c>
      <c r="C46" s="8" t="inlineStr">
        <is>
          <t>medium</t>
        </is>
      </c>
      <c r="D46" s="11" t="inlineStr">
        <is>
          <t>energy consumption</t>
        </is>
      </c>
      <c r="E46" s="11" t="inlineStr">
        <is>
          <t>PDF p.73 (印刷頁 72)</t>
        </is>
      </c>
      <c r="F46" s="11" t="inlineStr">
        <is>
          <t>ENVIRONMENTAL, SOCIAL AND GOVERNANCE REPORT 環境、社會及管治報告 Resource Consumption 資源消耗 Energy Consumption 能源耗用 The Group’s primary sources of energy consumption mainly included 本集團的主要能源耗用主要包括(i)汽車耗用的 (i) consumption of petrol by our motor vehicles; and (ii) electricity 汽油；及(ii)辦公室所用電力。下表詳細載列了 used in office. The table below provides a detailed breakdown of our 我們於報告期內的主要能源耗用明細： major sources of energy consumption during the Reporting Period: 2025/2026 2024/2025 2025/2026年 2024/2025年</t>
        </is>
      </c>
    </row>
    <row r="47">
      <c r="A47" s="8" t="inlineStr">
        <is>
          <t>ESG Data</t>
        </is>
      </c>
      <c r="B47" s="8" t="inlineStr">
        <is>
          <t>環境社會及管治數據</t>
        </is>
      </c>
      <c r="C47" s="8" t="inlineStr">
        <is>
          <t>medium</t>
        </is>
      </c>
      <c r="D47" s="11" t="inlineStr">
        <is>
          <t>energy consumption</t>
        </is>
      </c>
      <c r="E47" s="11" t="inlineStr">
        <is>
          <t>PDF p.74 (印刷頁 73)</t>
        </is>
      </c>
      <c r="F47" s="11" t="inlineStr">
        <is>
          <t>SOCIAL AND GOVERNANCE REPORT 環境、社會及管治報告 By adopting these energy conservation measures, we aim to minimise 我們透過採納該等節能措施，旨在減少耗能量， our energy consumption and promote sustainable practices within 並在業務營運中推廣可持續發展的做法。 our business operations. Water Consumption 用水 Our Group’s primary water consumption occurs within our office, 本集團主要在辦公室耗用水資源，而水費計入 and our water consumption expenses are included in the property 物業管理費，因此並無相關耗水量數據。為確 management fee. Therefore, the related consumption data is not 保有效用水，我們已採納多項措施去提升用水 available. To ensure</t>
        </is>
      </c>
    </row>
    <row r="48">
      <c r="A48" s="8" t="inlineStr">
        <is>
          <t>ESG Data</t>
        </is>
      </c>
      <c r="B48" s="8" t="inlineStr">
        <is>
          <t>環境社會及管治數據</t>
        </is>
      </c>
      <c r="C48" s="8" t="inlineStr">
        <is>
          <t>medium</t>
        </is>
      </c>
      <c r="D48" s="11" t="inlineStr">
        <is>
          <t>GHG emission</t>
        </is>
      </c>
      <c r="E48" s="11" t="inlineStr">
        <is>
          <t>PDF p.75 (印刷頁 74)</t>
        </is>
      </c>
      <c r="F48" s="11" t="inlineStr">
        <is>
          <t>任何與 non-compliance with laws and regulations that have a significant 空氣和溫室氣體排放、噪音控制、向水和土地 impact on the Group in relation to air and GHG emissions, noise 的排放以及有害和無害廢棄物的產生有關且對 control, discharges into water and land, and generation of hazardous 本集團造成重大影響的法例法規。 and non-hazardous waste. SOCIAL ASPECTS 社會層面 Employment and Labour Practices 僱傭及勞工常規 Employment, Recruitment and Promotion 僱傭、招聘及晉升 The Group acknowledges that the success of the organisation heavily 本集團承認，機構的成功很大程度上依賴其僱 relies on the skills, capabilities, and commitment o</t>
        </is>
      </c>
    </row>
    <row r="49">
      <c r="A49" s="8" t="inlineStr">
        <is>
          <t>ESG Data</t>
        </is>
      </c>
      <c r="B49" s="8" t="inlineStr">
        <is>
          <t>環境社會及管治數據</t>
        </is>
      </c>
      <c r="C49" s="8" t="inlineStr">
        <is>
          <t>medium</t>
        </is>
      </c>
      <c r="D49" s="11" t="inlineStr">
        <is>
          <t>環境、社會及管治</t>
        </is>
      </c>
      <c r="E49" s="11" t="inlineStr">
        <is>
          <t>PDF p.76 (印刷頁 75)</t>
        </is>
      </c>
      <c r="F49" s="11" t="inlineStr">
        <is>
          <t>ENVIRONMENTAL, SOCIAL AND GOVERNANCE REPORT 環境、社會及管治報告 The Group has adhered to all relevant employment laws and 本集團已遵守香港所有相關僱傭法例法規，包 regulations in Hong Kong, including but not limited to: 括但不限於： – Employment Ordinance (Cap. 57); – 第57章《僱傭條例》； – Employees’ Compensation Ordinance (Cap. 282); – 第282章《僱員補償條例》； – Mandatory Provident Fund Schemes Ordinance (Cap. 485); – 第485章《強制性公積金計劃條例》； – Minimum Wage Ordinance (Cap. 608); – 第608章《最低工資條例》； –</t>
        </is>
      </c>
    </row>
    <row r="50">
      <c r="A50" s="8" t="inlineStr">
        <is>
          <t>ESG Data</t>
        </is>
      </c>
      <c r="B50" s="8" t="inlineStr">
        <is>
          <t>環境社會及管治數據</t>
        </is>
      </c>
      <c r="C50" s="8" t="inlineStr">
        <is>
          <t>medium</t>
        </is>
      </c>
      <c r="D50" s="11" t="inlineStr">
        <is>
          <t>環境、社會及管治</t>
        </is>
      </c>
      <c r="E50" s="11" t="inlineStr">
        <is>
          <t>PDF p.77 (印刷頁 76)</t>
        </is>
      </c>
      <c r="F50" s="11" t="inlineStr">
        <is>
          <t>ENVIRONMENTAL, SOCIAL AND GOVERNANCE REPORT 環境、社會及管治報告 If justified, relevant disciplinary actions will be taken, which in the 倘理由充分，我們將採取相關紀律行動。在最 most severe cases, may result in termination of the employment 嚴重的情況下，我們可能會終止僱傭合約。 contract. Board Diversity Policy 董事會成員多元化政策 In recognition of the benefits of diversity, the Group has established 本集團明白多元化帶來的裨益，因此制訂了董 a board diversity policy. The Group sees the importance of gender 事會成員多元化政策。本</t>
        </is>
      </c>
    </row>
    <row r="51">
      <c r="A51" s="8" t="inlineStr">
        <is>
          <t>ESG Data</t>
        </is>
      </c>
      <c r="B51" s="8" t="inlineStr">
        <is>
          <t>環境社會及管治數據</t>
        </is>
      </c>
      <c r="C51" s="8" t="inlineStr">
        <is>
          <t>medium</t>
        </is>
      </c>
      <c r="D51" s="11" t="inlineStr">
        <is>
          <t>環境、社會及管治</t>
        </is>
      </c>
      <c r="E51" s="11" t="inlineStr">
        <is>
          <t>PDF p.78 (印刷頁 77)</t>
        </is>
      </c>
      <c r="F51" s="11" t="inlineStr">
        <is>
          <t>ENVIRONMENTAL, SOCIAL AND GOVERNANCE REPORT 環境、社會及管治報告 For the Reporting Period, the Group was not aware of any cases of 於報告期內，本集團並不知悉我們有違反任何 non-compliance with laws and regulations that have a significant 與防止童工及強制勞工有關且對本集團產生重 impact on the Group in relation to preventing child and forced 大影響的法例法規。 labour. As at 31 March 2026, the Group had a total of 45 employees 於2026年3月31日，本集團合共有45名僱員（不 (independent non-executive directors are not inclu</t>
        </is>
      </c>
    </row>
    <row r="52">
      <c r="A52" s="8" t="inlineStr">
        <is>
          <t>ESG Data</t>
        </is>
      </c>
      <c r="B52" s="8" t="inlineStr">
        <is>
          <t>環境社會及管治數據</t>
        </is>
      </c>
      <c r="C52" s="8" t="inlineStr">
        <is>
          <t>medium</t>
        </is>
      </c>
      <c r="D52" s="11" t="inlineStr">
        <is>
          <t>環境、社會及管治</t>
        </is>
      </c>
      <c r="E52" s="11" t="inlineStr">
        <is>
          <t>PDF p.79 (印刷頁 78)</t>
        </is>
      </c>
      <c r="F52" s="11" t="inlineStr">
        <is>
          <t>ENVIRONMENTAL, SOCIAL AND GOVERNANCE REPORT 環境、社會及管治報告 As at As at 31 March 31 March 2026 2025 於2026年 於2025年 Turnover Rate5 流失率5 3月31日 3月31日 By Gender 按性別劃分 Male 男 57% 90% Female 女 0% 64% By Age Group 按年齡組別劃分 Below 30 30歲以下 0% 47% 31–50 31至50歲 41% 31% 51 or above 51歲或以上 82% 100% By Geographical Region 按地理位置劃分 Hong Kong 香港 46% 86% Overall Turnover Rate 總流失率 46% 86% Occupational Health and Work Safety 職業健康與工作安全 The Group prioritises occupatio</t>
        </is>
      </c>
    </row>
    <row r="53">
      <c r="A53" s="8" t="inlineStr">
        <is>
          <t>ESG Data</t>
        </is>
      </c>
      <c r="B53" s="8" t="inlineStr">
        <is>
          <t>環境社會及管治數據</t>
        </is>
      </c>
      <c r="C53" s="8" t="inlineStr">
        <is>
          <t>medium</t>
        </is>
      </c>
      <c r="D53" s="11" t="inlineStr">
        <is>
          <t>環境、社會及管治</t>
        </is>
      </c>
      <c r="E53" s="11" t="inlineStr">
        <is>
          <t>PDF p.80 (印刷頁 79)</t>
        </is>
      </c>
      <c r="F53" s="11" t="inlineStr">
        <is>
          <t>ENVIRONMENTAL, SOCIAL AND GOVERNANCE REPORT 環境、社會及管治報告 Health and Safety Measures and Implementation 健康與安全措施及實施情況 The implementation of our occupational health and safety policies 我們的項目管理團隊負責監督職業健康與安全 is overseen by our project management team, who make sure that 政策的實施情況，並確保我們遵守所有適用安 we comply with all the applicable safety standards. The Group has 全標準。本集團創建了一個內部安全計劃，並 created an internal safety plan that we regularly review to integrate 會定</t>
        </is>
      </c>
    </row>
    <row r="54">
      <c r="A54" s="8" t="inlineStr">
        <is>
          <t>ESG Data</t>
        </is>
      </c>
      <c r="B54" s="8" t="inlineStr">
        <is>
          <t>環境社會及管治數據</t>
        </is>
      </c>
      <c r="C54" s="8" t="inlineStr">
        <is>
          <t>medium</t>
        </is>
      </c>
      <c r="D54" s="11" t="inlineStr">
        <is>
          <t>環境、社會及管治</t>
        </is>
      </c>
      <c r="E54" s="11" t="inlineStr">
        <is>
          <t>PDF p.81 (印刷頁 80)</t>
        </is>
      </c>
      <c r="F54" s="11" t="inlineStr">
        <is>
          <t>ENVIRONMENTAL, SOCIAL AND GOVERNANCE REPORT 環境、社會及管治報告 Enhanced Internal Control Measures for Accident 加強與事故管理有關的內部控制措施 Management While unpredictable accidents are inevitable, the Group believes to 儘管我們無法避免意外事故，但本集團認為， constantly improve measures to enhance our internal controls and 只要我們不斷改進措施，加強內部控制及安全 safety measures to prevent pasts incidents from happening again. 措施，便可避免過往發生的事故再度發生。有 These measures included: 關措施包括： – Improving our site</t>
        </is>
      </c>
    </row>
    <row r="55">
      <c r="A55" s="8" t="inlineStr">
        <is>
          <t>ESG Data</t>
        </is>
      </c>
      <c r="B55" s="8" t="inlineStr">
        <is>
          <t>環境社會及管治數據</t>
        </is>
      </c>
      <c r="C55" s="8" t="inlineStr">
        <is>
          <t>medium</t>
        </is>
      </c>
      <c r="D55" s="11" t="inlineStr">
        <is>
          <t>環境、社會及管治</t>
        </is>
      </c>
      <c r="E55" s="11" t="inlineStr">
        <is>
          <t>PDF p.82 (印刷頁 81)</t>
        </is>
      </c>
      <c r="F55" s="11" t="inlineStr">
        <is>
          <t>ENVIRONMENTAL, SOCIAL AND GOVERNANCE REPORT 環境、社會及管治報告 Additionally, the Group maintains effective promotion and 此外，本集團亦透過多項措施，對安全程序進 communication of safety procedures through various measures. 行有效的推廣及溝通。有關措施包括設立一個 These include establishing a safety incentives scheme which rewards 安全激勵計劃，給安全表現良好、出席定期內 workers with a cash coupon for good safety performance, conducting 部及外部安全會議，並記錄每個項目的安全問 regular internal and external safety meetings and d</t>
        </is>
      </c>
    </row>
    <row r="56">
      <c r="A56" s="8" t="inlineStr">
        <is>
          <t>ESG Data</t>
        </is>
      </c>
      <c r="B56" s="8" t="inlineStr">
        <is>
          <t>環境社會及管治數據</t>
        </is>
      </c>
      <c r="C56" s="8" t="inlineStr">
        <is>
          <t>medium</t>
        </is>
      </c>
      <c r="D56" s="11" t="inlineStr">
        <is>
          <t>環境、社會及管治</t>
        </is>
      </c>
      <c r="E56" s="11" t="inlineStr">
        <is>
          <t>PDF p.83 (印刷頁 82)</t>
        </is>
      </c>
      <c r="F56" s="11" t="inlineStr">
        <is>
          <t>ENVIRONMENTAL, SOCIAL AND GOVERNANCE REPORT 環境、社會及管治報告 Development and Training 發展及培訓 The Group places great importance on providing training and 本集團非常重視向僱員提供的培訓及發展計劃。 development programs to our employees to enhance their 有關計劃的目的是要提升彼等的生產力，為組 productivity and contribute to the long-term growth of the 織的長遠增長作出貢獻。根據我們的培訓及發 organisation. According to our training and development policy, 展政策，我們致力確保全體僱員都能享有平等 we strive to ensure that all employ</t>
        </is>
      </c>
    </row>
    <row r="57">
      <c r="A57" s="8" t="inlineStr">
        <is>
          <t>ESG Data</t>
        </is>
      </c>
      <c r="B57" s="8" t="inlineStr">
        <is>
          <t>環境社會及管治數據</t>
        </is>
      </c>
      <c r="C57" s="8" t="inlineStr">
        <is>
          <t>medium</t>
        </is>
      </c>
      <c r="D57" s="11" t="inlineStr">
        <is>
          <t>環境、社會及管治</t>
        </is>
      </c>
      <c r="E57" s="11" t="inlineStr">
        <is>
          <t>PDF p.84 (印刷頁 83)</t>
        </is>
      </c>
      <c r="F57" s="11" t="inlineStr">
        <is>
          <t>ENVIRONMENTAL, SOCIAL AND GOVERNANCE REPORT 環境、社會及管治報告 Throughout the Reporting Period, 35 employees of the total 於整個報告期內，僱員團隊中有35人為受訓僱 workforce received training, representing approximately 78% of the 員，佔本集團僱員人數的約78%。向該等僱員 Group’s employees. The total number of training hours provided to 提供的培訓時數合共為161.54小時。下表載列 these employees was 161.54 hours. The tables below set out the 分別按性別及職級劃分的受訓僱員百分比及每 breakdown of the percentage of employee train</t>
        </is>
      </c>
    </row>
    <row r="58">
      <c r="A58" s="8" t="inlineStr">
        <is>
          <t>ESG Data</t>
        </is>
      </c>
      <c r="B58" s="8" t="inlineStr">
        <is>
          <t>環境社會及管治數據</t>
        </is>
      </c>
      <c r="C58" s="8" t="inlineStr">
        <is>
          <t>medium</t>
        </is>
      </c>
      <c r="D58" s="11" t="inlineStr">
        <is>
          <t>環境、社會及管治</t>
        </is>
      </c>
      <c r="E58" s="11" t="inlineStr">
        <is>
          <t>PDF p.85 (印刷頁 84)</t>
        </is>
      </c>
      <c r="F58" s="11" t="inlineStr">
        <is>
          <t>ENVIRONMENTAL, SOCIAL AND GOVERNANCE REPORT 環境、社會及管治報告 OPERATING PRACTICES 營運慣例 Supply Chain Management 供應鏈管理 The Group recognises the importance of building and maintaining 本集團明白與供應商建立及維持穩固關係，對 strong relationships with our suppliers to achieve consistency and 於在降低成本、提升效率及維持供應鏈等方面 stability in areas such as cost reduction, efficiency improvement, 保持穩定十分重要。供應商主要包括分包商、 and supply chain continuity. Our suppliers primarily comprise 泥水工程材料供應商以及</t>
        </is>
      </c>
    </row>
    <row r="59">
      <c r="A59" s="8" t="inlineStr">
        <is>
          <t>ESG Data</t>
        </is>
      </c>
      <c r="B59" s="8" t="inlineStr">
        <is>
          <t>環境社會及管治數據</t>
        </is>
      </c>
      <c r="C59" s="8" t="inlineStr">
        <is>
          <t>medium</t>
        </is>
      </c>
      <c r="D59" s="11" t="inlineStr">
        <is>
          <t>環境、社會及管治</t>
        </is>
      </c>
      <c r="E59" s="11" t="inlineStr">
        <is>
          <t>PDF p.86 (印刷頁 85)</t>
        </is>
      </c>
      <c r="F59" s="11" t="inlineStr">
        <is>
          <t>ENVIRONMENTAL, SOCIAL AND GOVERNANCE REPORT 環境、社會及管治報告 – facilitates the processing of purchase orders by generating – 透過由採購要求自動生成採購單，促進採 purchase orders automatically from purchase requests; 購單的處理過程； – reduces errors and duplication of purchase orders by storing all – 透過於中央數據庫儲存所有採購要求，減 purchase requests in a central database; 少採購單出現錯誤及重複情況； – facilitates the management of purchase orders by matching – 透過將訂購的材料與相關項目進行匹配並 ordered materials</t>
        </is>
      </c>
    </row>
    <row r="60">
      <c r="A60" s="8" t="inlineStr">
        <is>
          <t>ESG Data</t>
        </is>
      </c>
      <c r="B60" s="8" t="inlineStr">
        <is>
          <t>環境社會及管治數據</t>
        </is>
      </c>
      <c r="C60" s="8" t="inlineStr">
        <is>
          <t>medium</t>
        </is>
      </c>
      <c r="D60" s="11" t="inlineStr">
        <is>
          <t>環境、社會及管治</t>
        </is>
      </c>
      <c r="E60" s="11" t="inlineStr">
        <is>
          <t>PDF p.87 (印刷頁 86)</t>
        </is>
      </c>
      <c r="F60" s="11" t="inlineStr">
        <is>
          <t>ENVIRONMENTAL, SOCIAL AND GOVERNANCE REPORT 環境、社會及管治報告 Product Responsibility 產品責任 At the Group, product quality and safety are fundamental values that 本集團視產品質素及安全為指導建築及維護活 guide our construction and maintenance activities. We recognise the 動的核心價值。我們明白交付高質素作業的重 importance of delivering high-quality work and are committed to 要性，致力按照我們的品質政策所述以誠信及 fulfilling our contractual duties with integrity and efficiency, as stated 效率履行我們的合約責任。 in our qu</t>
        </is>
      </c>
    </row>
    <row r="61">
      <c r="A61" s="8" t="inlineStr">
        <is>
          <t>ESG Data</t>
        </is>
      </c>
      <c r="B61" s="8" t="inlineStr">
        <is>
          <t>環境社會及管治數據</t>
        </is>
      </c>
      <c r="C61" s="8" t="inlineStr">
        <is>
          <t>medium</t>
        </is>
      </c>
      <c r="D61" s="11" t="inlineStr">
        <is>
          <t>環境、社會及管治</t>
        </is>
      </c>
      <c r="E61" s="11" t="inlineStr">
        <is>
          <t>PDF p.88 (印刷頁 87)</t>
        </is>
      </c>
      <c r="F61" s="11" t="inlineStr">
        <is>
          <t>ENVIRONMENTAL, SOCIAL AND GOVERNANCE REPORT 環境、社會及管治報告 The quality control measures adopted by our Group include the 本集團採取的質量管控措施包括以下各項： followings: Collecting feedbacks from customers 向客戶收集意見 As we strongly value our customers’ opinions, our executive Directors 我們極度重視客戶意見，因此執行董事及高級 and senior management team conduct regular engagements with 管理層團隊會與客戶定期進行聯繫及進行工地 customers and conduct site visits to gather feedback. The Group 視察收集意見。為保證能一直穩定</t>
        </is>
      </c>
    </row>
    <row r="62">
      <c r="A62" s="8" t="inlineStr">
        <is>
          <t>ESG Data</t>
        </is>
      </c>
      <c r="B62" s="8" t="inlineStr">
        <is>
          <t>環境社會及管治數據</t>
        </is>
      </c>
      <c r="C62" s="8" t="inlineStr">
        <is>
          <t>medium</t>
        </is>
      </c>
      <c r="D62" s="11" t="inlineStr">
        <is>
          <t>環境、社會及管治</t>
        </is>
      </c>
      <c r="E62" s="11" t="inlineStr">
        <is>
          <t>PDF p.89 (印刷頁 88)</t>
        </is>
      </c>
      <c r="F62" s="11" t="inlineStr">
        <is>
          <t>ENVIRONMENTAL, SOCIAL AND GOVERNANCE REPORT 環境、社會及管治報告 To ensure compliance with our contract specifications, we have put in 為確保我們外包予分包商的作業符合我們的合 place the following measures to oversee the quality and advancement 約所指定規格，我們已制定以下措施監管作業 of work that we have outsourced to our subcontractors: 質素及進度： – our project management team holds periodic meetings with – 我們的項目管理團隊與分包商的負責人員 the responsible personnel for our subcontractors to assess their 定期</t>
        </is>
      </c>
    </row>
    <row r="63">
      <c r="A63" s="8" t="inlineStr">
        <is>
          <t>ESG Data</t>
        </is>
      </c>
      <c r="B63" s="8" t="inlineStr">
        <is>
          <t>環境社會及管治數據</t>
        </is>
      </c>
      <c r="C63" s="8" t="inlineStr">
        <is>
          <t>medium</t>
        </is>
      </c>
      <c r="D63" s="11" t="inlineStr">
        <is>
          <t>環境、社會及管治</t>
        </is>
      </c>
      <c r="E63" s="11" t="inlineStr">
        <is>
          <t>PDF p.90 (印刷頁 89)</t>
        </is>
      </c>
      <c r="F63" s="11" t="inlineStr">
        <is>
          <t>ENVIRONMENTAL, SOCIAL AND GOVERNANCE REPORT 環境、社會及管治報告 Complaint Handling 投訴處理 In order to handle and prevent potential complaints, we have 為處理投訴及預防潛在投訴，我們已制定不同的 various customer complaints and feedback handling procedures 客戶投訴及意見處理程序，如上文「質量管控－ established such as conducting regular engagements with customers 向客戶收集意見」一節所指與客戶定期進行聯繫 and conducting site visits to gather feedback as specified under the 及進行工地視察收集意見，以及上文「健康與安 “Quality control – C</t>
        </is>
      </c>
    </row>
    <row r="64">
      <c r="A64" s="8" t="inlineStr">
        <is>
          <t>ESG Data</t>
        </is>
      </c>
      <c r="B64" s="8" t="inlineStr">
        <is>
          <t>環境社會及管治數據</t>
        </is>
      </c>
      <c r="C64" s="8" t="inlineStr">
        <is>
          <t>medium</t>
        </is>
      </c>
      <c r="D64" s="11" t="inlineStr">
        <is>
          <t>環境、社會及管治</t>
        </is>
      </c>
      <c r="E64" s="11" t="inlineStr">
        <is>
          <t>PDF p.91 (印刷頁 90)</t>
        </is>
      </c>
      <c r="F64" s="11" t="inlineStr">
        <is>
          <t>ENVIRONMENTAL, SOCIAL AND GOVERNANCE REPORT 環境、社會及管治報告 As a construction work contractor, the Group did not have material 身為建築工程承建商，本集團並無任何有關廣 issues concerning advertising and labelling matters. Nevertheless, we 告及標籤事宜的重大問題。即管如此，我們要 require our employees to provide customers with accurate and true 求僱員向客戶提供有關本集團服務的真實準確 information on the Group’s services. 資訊。 For the Reporting Period, the Group was not aware of any cases of 於報告期，本集團並不知悉於有關所</t>
        </is>
      </c>
    </row>
    <row r="65">
      <c r="A65" s="8" t="inlineStr">
        <is>
          <t>ESG Data</t>
        </is>
      </c>
      <c r="B65" s="8" t="inlineStr">
        <is>
          <t>環境社會及管治數據</t>
        </is>
      </c>
      <c r="C65" s="8" t="inlineStr">
        <is>
          <t>medium</t>
        </is>
      </c>
      <c r="D65" s="11" t="inlineStr">
        <is>
          <t>環境、社會及管治</t>
        </is>
      </c>
      <c r="E65" s="11" t="inlineStr">
        <is>
          <t>PDF p.92 (印刷頁 91)</t>
        </is>
      </c>
      <c r="F65" s="11" t="inlineStr">
        <is>
          <t>ENVIRONMENTAL, SOCIAL AND GOVERNANCE REPORT 環境、社會及管治報告 During the Reporting Period, 7 employees, representing 於報告期，7名僱員（佔報告期末僱員人數約 approximately 16% of the number of employees at the end of the 16%）參加了反貪污培訓，培訓重點為說明施工 Reporting Period, attended an anti-corruption training which focused 作業場所常見的反貪污行為，包括地盤管工索 on explaining common anti-corruption practices in construction 要介紹費及使用偽造文件。我們將繼續為僱員 workplace, including soliciting introduction fees fro</t>
        </is>
      </c>
    </row>
    <row r="66">
      <c r="A66" s="8" t="inlineStr">
        <is>
          <t>ESG Data</t>
        </is>
      </c>
      <c r="B66" s="8" t="inlineStr">
        <is>
          <t>環境社會及管治數據</t>
        </is>
      </c>
      <c r="C66" s="8" t="inlineStr">
        <is>
          <t>medium</t>
        </is>
      </c>
      <c r="D66" s="11" t="inlineStr">
        <is>
          <t>ESG</t>
        </is>
      </c>
      <c r="E66" s="11" t="inlineStr">
        <is>
          <t>PDF p.93 (印刷頁 92)</t>
        </is>
      </c>
      <c r="F66" s="11" t="inlineStr">
        <is>
          <t>。根據環境、社會及管 the enhancement of operational resilience and the efficient use 治守則以及現時國際披露標準，本集團致力於 of resources. In accordance with the ESG Code and prevailing 根據四支柱框架（包含治理、戰略、風險管理、 international disclosure standards, the Group is committed to 指標和目標）進行透明且綜合地報道。以下章節 transparent and comprehensive reporting under the four-pillar 闡述本集團在識別、管理及披露氣候相關事項 framework of Governance, Strategy, Risk Management and Metrics 的方法，以此支持可持續發展及保障持份者的 &amp; Targets. The following section sets out the Group’s approach 長期權益。 to identify, manage and disclose c</t>
        </is>
      </c>
    </row>
    <row r="67">
      <c r="A67" s="8" t="inlineStr">
        <is>
          <t>ESG Data</t>
        </is>
      </c>
      <c r="B67" s="8" t="inlineStr">
        <is>
          <t>環境社會及管治數據</t>
        </is>
      </c>
      <c r="C67" s="8" t="inlineStr">
        <is>
          <t>medium</t>
        </is>
      </c>
      <c r="D67" s="11" t="inlineStr">
        <is>
          <t>carbon</t>
        </is>
      </c>
      <c r="E67" s="11" t="inlineStr">
        <is>
          <t>PDF p.94 (印刷頁 93)</t>
        </is>
      </c>
      <c r="F67" s="11" t="inlineStr">
        <is>
          <t>icy, technological 譽發展引起的過渡風險（例如環境規例、低碳科 and reputational developments (such as environmental regulations, 技投資規則及消費者偏好轉變）。此等評估考慮 low-carbon technology investment requirements, and shifts in 潛在財務與營運對價值鏈的影響。透過將氣候 customer preferences). These assessments consider potential financial 考量整合進策略計劃，本集團加強韌性，支持 and operational impacts across the value chain. By integrating 合規並推動長期可持續發展。 climate considerations into strategic planning, the Group strengthens resilience, supports compliance, and advances long-term sustainable development. 202</t>
        </is>
      </c>
    </row>
    <row r="68">
      <c r="A68" s="8" t="inlineStr">
        <is>
          <t>ESG Data</t>
        </is>
      </c>
      <c r="B68" s="8" t="inlineStr">
        <is>
          <t>環境社會及管治數據</t>
        </is>
      </c>
      <c r="C68" s="8" t="inlineStr">
        <is>
          <t>medium</t>
        </is>
      </c>
      <c r="D68" s="11" t="inlineStr">
        <is>
          <t>環境、社會及管治</t>
        </is>
      </c>
      <c r="E68" s="11" t="inlineStr">
        <is>
          <t>PDF p.95 (印刷頁 94)</t>
        </is>
      </c>
      <c r="F68" s="11" t="inlineStr">
        <is>
          <t>ENVIRONMENTAL, SOCIAL AND GOVERNANCE REPORT 環境、社會及管治報告 Effects on business Responses (Mitigation/ Risks and opportunities Timeframe model Effects on value chain Adaptation) 風險及機遇 時間框架 對商業模式的影響 對價值鏈的影響 回應（緩解／應對） Physical risks 實體風險 Acute risks: increased Short-term • Worksite shutdowns • Disruption • Implement emergency frequency and intensity of (1-5 years) and construction of material response and extreme weather events, 短期 delays, leading</t>
        </is>
      </c>
    </row>
    <row r="69">
      <c r="A69" s="8" t="inlineStr">
        <is>
          <t>R&amp;D Expenditure</t>
        </is>
      </c>
      <c r="B69" s="8" t="inlineStr">
        <is>
          <t>研發開支</t>
        </is>
      </c>
      <c r="C69" s="8" t="inlineStr">
        <is>
          <t>medium</t>
        </is>
      </c>
      <c r="D69" s="11" t="inlineStr">
        <is>
          <t>研究及開發</t>
        </is>
      </c>
      <c r="E69" s="11" t="inlineStr">
        <is>
          <t>PDF p.89 (印刷頁 88)</t>
        </is>
      </c>
      <c r="F69" s="11" t="inlineStr">
        <is>
          <t>failure 要求即時自費修補任何缺陷。 to comply with our contractual obligation. The Group’s business does not involve any research and 本集團的業務並不涉及任何研究及開發、產品 development, product manufacturing, packaging and labelling 生產、包裝及標籤活動。就董事所深知，於報告 activities. To the best of Directors’ knowledge, the Group is not aware 期，本集團並不知悉於有關客戶健康與安全、 of any material non-compliance relating to customer health and 產品回收等方面發生任何重大違規事項。 safety, product return during the Reporting Period. 88 GC CONSTRUCTION HOLDINGS LIMITED • 2025/26 ANNUAL REPORT</t>
        </is>
      </c>
    </row>
    <row r="70">
      <c r="A70" s="8" t="inlineStr">
        <is>
          <t>R&amp;D Expenditure</t>
        </is>
      </c>
      <c r="B70" s="8" t="inlineStr">
        <is>
          <t>研發開支</t>
        </is>
      </c>
      <c r="C70" s="8" t="inlineStr">
        <is>
          <t>medium</t>
        </is>
      </c>
      <c r="D70" s="11" t="inlineStr">
        <is>
          <t>研發</t>
        </is>
      </c>
      <c r="E70" s="11" t="inlineStr">
        <is>
          <t>PDF p.96 (印刷頁 95)</t>
        </is>
      </c>
      <c r="F70" s="11" t="inlineStr">
        <is>
          <t>ubstitution （六至十年） technologies construction high environment of existing 增強對新技術及替代 materials and process standards. construction 技術的研發 預期高排放建築材 替換舊設備及機械 materials with • New technology 料及流程需求下降 為高環境標準產品 lower emissions development options 新技術發展 以低排放方案取代 • Adoption or 現有建築材料 deployment of • Costs to transition new practices and to lower emissions processes technology 應用或部署新常規 低碳科技轉型的成 及流程 本 2024/25 年報 • GC CONSTRUCTION HOLDINGS LIMITED 95</t>
        </is>
      </c>
    </row>
    <row r="71">
      <c r="A71" s="8" t="inlineStr">
        <is>
          <t>Segment Information</t>
        </is>
      </c>
      <c r="B71" s="8" t="inlineStr">
        <is>
          <t>分部資料</t>
        </is>
      </c>
      <c r="C71" s="8" t="inlineStr">
        <is>
          <t>medium</t>
        </is>
      </c>
      <c r="D71" s="11" t="inlineStr">
        <is>
          <t>segment information</t>
        </is>
      </c>
      <c r="E71" s="11" t="inlineStr">
        <is>
          <t>PDF p.45 (印刷頁 44)</t>
        </is>
      </c>
      <c r="F71" s="11" t="inlineStr">
        <is>
          <t>截至2026年3月31日止年度，本集團已作出捐款 approximately HK$64,000) was made by the Group for the year 約0.2百萬港元（2025年：約64,000港元）。 ended 31 March 2026. SEGMENT INFORMATION 分部資料 Details of segment reporting are set out in Note 5 to the consolidated 分部報告詳情載於綜合財務報表附註5。 financial statements. DIVIDEND POLICY 股息政策 The Company has adopted a dividend policy which aims to set out 本公司已採納一項股息政策，該政策旨在載列 the principles and guidelines that the Company intends to apply 本公司就宣派、派付或分派其溢利（不論已變現 in relation to the declaration, payment or distribution of its profits,</t>
        </is>
      </c>
    </row>
    <row r="72">
      <c r="A72" s="8" t="inlineStr">
        <is>
          <t>Segment Information</t>
        </is>
      </c>
      <c r="B72" s="8" t="inlineStr">
        <is>
          <t>分部資料</t>
        </is>
      </c>
      <c r="C72" s="8" t="inlineStr">
        <is>
          <t>medium</t>
        </is>
      </c>
      <c r="D72" s="11" t="inlineStr">
        <is>
          <t>geographical</t>
        </is>
      </c>
      <c r="E72" s="11" t="inlineStr">
        <is>
          <t>PDF p.78 (印刷頁 77)</t>
        </is>
      </c>
      <c r="F72" s="11" t="inlineStr">
        <is>
          <t>t 高級管理層 13 13 Middle Management 中級管理層 27 34 General Staff 一般員工 5 8 By Employment Type 按僱傭類型劃分 Part-time 兼職 0 0 Full-time 全職 45 55 By Geographical Region 按地理位置劃分 Hong Kong 香港 45 55 Total Number of Employee 僱員總數 45 55 4 It includes the employees of the Group only. Workers of the 4 其僅包括本集團僱員。分包商的工人並無計算在 subcontractors are not included. 內。 2024/25 年報 • GC CONSTRUCTION HOLDINGS LIMITED 77</t>
        </is>
      </c>
    </row>
    <row r="73">
      <c r="A73" s="8" t="inlineStr">
        <is>
          <t>Segment Information</t>
        </is>
      </c>
      <c r="B73" s="8" t="inlineStr">
        <is>
          <t>分部資料</t>
        </is>
      </c>
      <c r="C73" s="8" t="inlineStr">
        <is>
          <t>medium</t>
        </is>
      </c>
      <c r="D73" s="11" t="inlineStr">
        <is>
          <t>geographical</t>
        </is>
      </c>
      <c r="E73" s="11" t="inlineStr">
        <is>
          <t>PDF p.79 (印刷頁 78)</t>
        </is>
      </c>
      <c r="F73" s="11" t="inlineStr">
        <is>
          <t>按性別劃分 Male 男 57% 90% Female 女 0% 64% By Age Group 按年齡組別劃分 Below 30 30歲以下 0% 47% 31–50 31至50歲 41% 31% 51 or above 51歲或以上 82% 100% By Geographical Region 按地理位置劃分 Hong Kong 香港 46% 86% Overall Turnover Rate 總流失率 46% 86% Occupational Health and Work Safety 職業健康與工作安全 The Group prioritises occupational health and work safety, and 本集團將職業健康與工作安全放在首要位置。 as a result, we have adopted an occupational health and safety 因此，我們採納了一套職業健康與安全管理系 management system, which has been certified to be compliant to 統，其已獲認證為符合ISO 45001標準。這一點 ISO 45001 sta</t>
        </is>
      </c>
    </row>
    <row r="74">
      <c r="A74" s="8" t="inlineStr">
        <is>
          <t>Segment Information</t>
        </is>
      </c>
      <c r="B74" s="8" t="inlineStr">
        <is>
          <t>分部資料</t>
        </is>
      </c>
      <c r="C74" s="8" t="inlineStr">
        <is>
          <t>medium</t>
        </is>
      </c>
      <c r="D74" s="11" t="inlineStr">
        <is>
          <t>geographical</t>
        </is>
      </c>
      <c r="E74" s="11" t="inlineStr">
        <is>
          <t>PDF p.85 (印刷頁 84)</t>
        </is>
      </c>
      <c r="F74" s="11" t="inlineStr">
        <is>
          <t>68 於報告期，本集團共有368 (2024/2025年：535) (2024/2025: 535) suppliers and subcontractors. 間供應商及分包商。 2025/2026 2024/2025 2025/2026年 2024/2025年 Geographical regions 地區 Hong Kong 香港 368 534 Cambodia 柬埔寨 0 1 The Group identifies environmental and social risks of the supply 本集團透過嚴謹及有系統的供應商╱分包商管 chain through stringent and systematic supplier/subcontractor 理，識別出供應鏈的環境及社會風險。 management. Enhancing our information technology capability and 提升我們的資訊科技能力及執行項目效率 project implementation efficiency The procurement of an Enterprise Resource Planning (“E</t>
        </is>
      </c>
    </row>
    <row r="75">
      <c r="A75" s="8" t="inlineStr">
        <is>
          <t>Segment Information</t>
        </is>
      </c>
      <c r="B75" s="8" t="inlineStr">
        <is>
          <t>分部資料</t>
        </is>
      </c>
      <c r="C75" s="8" t="inlineStr">
        <is>
          <t>medium</t>
        </is>
      </c>
      <c r="D75" s="11" t="inlineStr">
        <is>
          <t>geographical</t>
        </is>
      </c>
      <c r="E75" s="11" t="inlineStr">
        <is>
          <t>PDF p.108 (印刷頁 107)</t>
        </is>
      </c>
      <c r="F75" s="11" t="inlineStr">
        <is>
          <t>B1.1 Total workforce by gender, employment type Employment and Labour 77 (for example, full- or part-time), age group and Practices geographical region. 關鍵績效指標B1.1 按性別、僱傭類型（如全職或兼職）、年齡組別 僱傭及勞工常規 及地區劃分的僱員總數。 KPI B1.2 Employee turnover rate by gender, age group Employment and Labour 78 and geographical region. Practices 關鍵績效指標B1.2 按性別、年齡組別及地區劃分的僱員流失比率。 僱傭及勞工常規 Aspect B2 Health and Safety 層面B2健康與安全 General Disclosure Information on: Occupational Health and 78-81 (a) the policies; and Work Safety (b) compliance with relevant laws a</t>
        </is>
      </c>
    </row>
    <row r="76">
      <c r="A76" s="8" t="inlineStr">
        <is>
          <t>Segment Information</t>
        </is>
      </c>
      <c r="B76" s="8" t="inlineStr">
        <is>
          <t>分部資料</t>
        </is>
      </c>
      <c r="C76" s="8" t="inlineStr">
        <is>
          <t>medium</t>
        </is>
      </c>
      <c r="D76" s="11" t="inlineStr">
        <is>
          <t>geographical</t>
        </is>
      </c>
      <c r="E76" s="11" t="inlineStr">
        <is>
          <t>PDF p.110 (印刷頁 109)</t>
        </is>
      </c>
      <c r="F76" s="11" t="inlineStr">
        <is>
          <t>ntal and social Supply Chain Management 84-85 risks of the supply chain. 一般披露 管理供應鏈的環境及社會風險政策。 供應鏈管理 KPI B5.1 Number of suppliers by geographical region Supply Chain Management 84 關鍵績效指標B5.1 按地區劃分的供應商數目。 供應鏈管理 KPI B5.2 Description of practices relating to engaging Supply Chain Management 84-85 suppliers, number of suppliers where the practices are being implemented, and how they are implemented and monitored. 關鍵績效指標B5.2 描述有關聘用供應商的慣例，向其執行有關慣 供應鏈管理 例的供應商數目，以及相關執行及監察方法。 KPI B5.3 Description of practices used to identify Supply Cha</t>
        </is>
      </c>
    </row>
    <row r="77">
      <c r="A77" s="8" t="inlineStr">
        <is>
          <t>Segment Information</t>
        </is>
      </c>
      <c r="B77" s="8" t="inlineStr">
        <is>
          <t>分部資料</t>
        </is>
      </c>
      <c r="C77" s="8" t="inlineStr">
        <is>
          <t>medium</t>
        </is>
      </c>
      <c r="D77" s="11" t="inlineStr">
        <is>
          <t>operating segment</t>
        </is>
      </c>
      <c r="E77" s="11" t="inlineStr">
        <is>
          <t>PDF p.164 (印刷頁 163)</t>
        </is>
      </c>
      <c r="F77" s="11" t="inlineStr">
        <is>
          <t>INFORMATION (continued) 3.2 Material accounting policy information 3.2 重大會計政策資料（續） (continued) 3.2.16 Segment reporting 3.2.16 分部報告 Operating segment is reported in a manner consistent 經營分部乃以與向主要營運決策 with the internal reporting provided to the chief 者提交內部報告一致的方式呈 operating decision-maker. The chief operating 報。負責分配資源及評估經營分 decision-maker, who is responsible for allocating 部表現的主要營運決策者被視為 resources and assessing performance of the operating 作出策略性決定的本集團執行董 segments, has been identified as the executive 事。 directors of the Group t</t>
        </is>
      </c>
    </row>
    <row r="78">
      <c r="A78" s="8" t="inlineStr">
        <is>
          <t>Segment Information</t>
        </is>
      </c>
      <c r="B78" s="8" t="inlineStr">
        <is>
          <t>分部資料</t>
        </is>
      </c>
      <c r="C78" s="8" t="inlineStr">
        <is>
          <t>medium</t>
        </is>
      </c>
      <c r="D78" s="11" t="inlineStr">
        <is>
          <t>segment information</t>
        </is>
      </c>
      <c r="E78" s="11" t="inlineStr">
        <is>
          <t>PDF p.166 (印刷頁 165)</t>
        </is>
      </c>
      <c r="F78" s="11" t="inlineStr">
        <is>
          <t>’s trade 變化。有關預期信貸虧損及本集團貿 receivables and contract assets are disclosed in note 易應收款項及合約資產的資料於附註 29(b)(i). 29(b)(i)披露。 5 REVENUE AND SEGMENT INFORMATION 5 收入及分部資料 The executive directors are identified as the chief operating 執行董事被認定為本集團主要經營決策者 decision makers (“CODM”) of the Group who review the （「主要經營決策者」），負責審核本集團內 Group’s internal reporting in order to assess performance and 部報告以評估績效及分配資源。 allocate resources. The Group’s revenue is derived from provision of wet trades 本集團的收入來自於在香港提供的泥水工 works in Hong Kong and construction wor</t>
        </is>
      </c>
    </row>
    <row r="79">
      <c r="A79" s="8" t="inlineStr">
        <is>
          <t>Segment Information</t>
        </is>
      </c>
      <c r="B79" s="8" t="inlineStr">
        <is>
          <t>分部資料</t>
        </is>
      </c>
      <c r="C79" s="8" t="inlineStr">
        <is>
          <t>medium</t>
        </is>
      </c>
      <c r="D79" s="11" t="inlineStr">
        <is>
          <t>segment information</t>
        </is>
      </c>
      <c r="E79" s="11" t="inlineStr">
        <is>
          <t>PDF p.167 (印刷頁 166)</t>
        </is>
      </c>
      <c r="F79" s="11" t="inlineStr">
        <is>
          <t>NOTES TO THE CONSOLIDATED FINANCIAL STATEMENTS 綜合財務報表附註 For the year ended 31 March 2026 截至2026年3月31日止年度 5 REVENUE AND SEGMENT INFORMATION 5 收入及分部資料（續） (continued) (a) Revenue (a) 收入 Year ended 31 March 截至3月31日止年度 2026 2025 2026年 2025年 HK$’000 HK$’000 千港元 千港元 Wet trades work 泥水工程 259,586 508,479 Construction work 建造工程 – 22,178 259,586 530,657 All of the Group’s revenue is recognised over time. 本集團所有的收入均於一段時間內確 認。 (b) Revenue from major customers (b) 來自主要客戶的收入 Revenue individually generated from the following 以下客戶個</t>
        </is>
      </c>
    </row>
    <row r="80">
      <c r="A80" s="8" t="inlineStr">
        <is>
          <t>Segment Information</t>
        </is>
      </c>
      <c r="B80" s="8" t="inlineStr">
        <is>
          <t>分部資料</t>
        </is>
      </c>
      <c r="C80" s="8" t="inlineStr">
        <is>
          <t>medium</t>
        </is>
      </c>
      <c r="D80" s="11" t="inlineStr">
        <is>
          <t>segment information</t>
        </is>
      </c>
      <c r="E80" s="11" t="inlineStr">
        <is>
          <t>PDF p.168 (印刷頁 167)</t>
        </is>
      </c>
      <c r="F80" s="11" t="inlineStr">
        <is>
          <t>NOTES TO THE CONSOLIDATED FINANCIAL STATEMENTS 綜合財務報表附註 For the year ended 31 March 2026 截至2026年3月31日止年度 5 REVENUE AND SEGMENT INFORMATION 5 收入及分部資料（續） (continued) (c) Segment assets and liabilities (c) 分部資產及負債 The Group monitors its total assets and liabilities centrally 本集團按單一經營分部集中監察總資 in one single operating segment. All of the Group’s 產及負債。兩個年度內，本集團所有 non-current assets are located in Hong Kong for both 非流動資產均位於香港。 years. (d) Revenue recognised in relation to contract (d) 就合約負債確認的收入 liabilities The following</t>
        </is>
      </c>
    </row>
    <row r="81">
      <c r="A81" s="8" t="inlineStr">
        <is>
          <t>Segment Information</t>
        </is>
      </c>
      <c r="B81" s="8" t="inlineStr">
        <is>
          <t>分部資料</t>
        </is>
      </c>
      <c r="C81" s="8" t="inlineStr">
        <is>
          <t>medium</t>
        </is>
      </c>
      <c r="D81" s="11" t="inlineStr">
        <is>
          <t>segment information</t>
        </is>
      </c>
      <c r="E81" s="11" t="inlineStr">
        <is>
          <t>PDF p.169 (印刷頁 168)</t>
        </is>
      </c>
      <c r="F81" s="11" t="inlineStr">
        <is>
          <t>NOTES TO THE CONSOLIDATED FINANCIAL STATEMENTS 綜合財務報表附註 For the year ended 31 March 2026 截至2026年3月31日止年度 5 REVENUE AND SEGMENT INFORMATION 5 收入及分部資料（續） (continued) (e) Transaction price allocated to the remaining (e) 分配至剩餘履約責任的交易價 performance obligations 格（續） (continued) Management expects that the transaction prices regarding 管理層預計，於年末有關未履行合約 the unsatisfied contracts at the end of year will be 的交易價格將參考以下時間表確認為 recognised as revenue by referencing to the schedule 收入： below: As at 31 March 於3月31日 2026 2025 2026年 2</t>
        </is>
      </c>
    </row>
    <row r="82">
      <c r="A82" s="8" t="inlineStr">
        <is>
          <t>Share-based Payment</t>
        </is>
      </c>
      <c r="B82" s="8" t="inlineStr">
        <is>
          <t>以股份為基礎的付款</t>
        </is>
      </c>
      <c r="C82" s="8" t="inlineStr">
        <is>
          <t>medium</t>
        </is>
      </c>
      <c r="D82" s="11" t="inlineStr">
        <is>
          <t>share option</t>
        </is>
      </c>
      <c r="E82" s="11" t="inlineStr">
        <is>
          <t>PDF p.33 (印刷頁 32)</t>
        </is>
      </c>
      <c r="F82" s="11" t="inlineStr">
        <is>
          <t>s. The Directors’ remuneration comprises fixed salary or service fee 董事薪酬包括固定薪金或服務費以及浮動部分 and variable components (such as bonus and share options), which （例如花紅及購股權）。薪酬水平乃對比從事可 is benchmarked against companies of comparable business or scale 比較業務或規模公司訂立基準，並參考當前市 with reference to a mix of factors such as the prevailing market 況、本公司表現以及董事資歷、技能、經驗及 condition, the Company’s performance and the qualifications, skills, 教育背景等一籃子因素。 experience and educational background of the Directors. Nomination Committee 提名委員會 The Company establis</t>
        </is>
      </c>
    </row>
    <row r="83">
      <c r="A83" s="8" t="inlineStr">
        <is>
          <t>Share-based Payment</t>
        </is>
      </c>
      <c r="B83" s="8" t="inlineStr">
        <is>
          <t>以股份為基礎的付款</t>
        </is>
      </c>
      <c r="C83" s="8" t="inlineStr">
        <is>
          <t>medium</t>
        </is>
      </c>
      <c r="D83" s="11" t="inlineStr">
        <is>
          <t>share option</t>
        </is>
      </c>
      <c r="E83" s="11" t="inlineStr">
        <is>
          <t>PDF p.46 (印刷頁 45)</t>
        </is>
      </c>
      <c r="F83" s="11" t="inlineStr">
        <is>
          <t>持有本公司證券而享有任 shareholders by reason of their holding of the Company’s securities. 何稅務優惠。 EQUITY-LINKED AGREEMENTS 股權掛鈎協議 Save for the Share Option Scheme, the Company did not enter into 除購股權計劃外，本公司於截至2026年3月31日 any equity-linked agreement during the year ended 31 March 2026 止年度並無訂立或於截至2026年3月31日止年度 or subsisted at the end of the year ended 31 March 2026. 末並不存在任何股權掛鈎協議。 PLANT AND EQUIPMENT 廠房及設備 Details of movements in plant and equipment of the Group during 本集團於截至2026年3月31日止年度的廠房及設 the year ended 31 March 2026 are set out in Not</t>
        </is>
      </c>
    </row>
    <row r="84">
      <c r="A84" s="8" t="inlineStr">
        <is>
          <t>Share-based Payment</t>
        </is>
      </c>
      <c r="B84" s="8" t="inlineStr">
        <is>
          <t>以股份為基礎的付款</t>
        </is>
      </c>
      <c r="C84" s="8" t="inlineStr">
        <is>
          <t>medium</t>
        </is>
      </c>
      <c r="D84" s="11" t="inlineStr">
        <is>
          <t>share option</t>
        </is>
      </c>
      <c r="E84" s="11" t="inlineStr">
        <is>
          <t>PDF p.48 (印刷頁 47)</t>
        </is>
      </c>
      <c r="F84" s="11" t="inlineStr">
        <is>
          <t>(if any) as they shall incur or sustain through their 費、損失、損害及開支，可獲確保就此免受任 own fraud or dishonesty. 何損害，惟因該等人士欺詐或不忠誠而招致或 蒙受者（如有）除外。 SHARE OPTION SCHEME 購股權計劃 Written resolutions were passed on 13 September 2022 to adopt 本公司於2022年9月13日通過書面決議案，以採 the Share Option Scheme, and the principal terms of which are 納購股權計劃，其主要條款於招股章程附錄四 summarised in the paragraph headed “D. Share Option Scheme” in 「D.購股權計劃」一段概述。 Appendix IV of the Prospectus. As at the date of this annual report, the total number of Shares 於本年報日期，根據購股權計劃可供發行的股 available</t>
        </is>
      </c>
    </row>
    <row r="85">
      <c r="A85" s="8" t="inlineStr">
        <is>
          <t>Share-based Payment</t>
        </is>
      </c>
      <c r="B85" s="8" t="inlineStr">
        <is>
          <t>以股份為基礎的付款</t>
        </is>
      </c>
      <c r="C85" s="8" t="inlineStr">
        <is>
          <t>medium</t>
        </is>
      </c>
      <c r="D85" s="11" t="inlineStr">
        <is>
          <t>share option</t>
        </is>
      </c>
      <c r="E85" s="11" t="inlineStr">
        <is>
          <t>PDF p.49 (印刷頁 48)</t>
        </is>
      </c>
      <c r="F85" s="11" t="inlineStr">
        <is>
          <t>T OF THE DIRECTORS 董事會報告 (b) Who may join (b) 可參與人士 The Directors shall, in accordance with the provisions of the 按照購股權計劃的條文及上市規則，董事 Share Option Scheme and the Listing Rules, be entitled but 應有權（但不受約束）於採納購股權計劃當 shall not be bound at any time within a period of 10 years 日起計10年期間內隨時向任何屬以下類別 commencing from the date of the adoption of the Share Option 的人士作出要約： Scheme to make an offer to any of the following classes: (i) any employee (whether full time or part time, including (i) 本公司、其任何附屬公司（定義見公司 the Directors (including any inde</t>
        </is>
      </c>
    </row>
    <row r="86">
      <c r="A86" s="8" t="inlineStr">
        <is>
          <t>Share-based Payment</t>
        </is>
      </c>
      <c r="B86" s="8" t="inlineStr">
        <is>
          <t>以股份為基礎的付款</t>
        </is>
      </c>
      <c r="C86" s="8" t="inlineStr">
        <is>
          <t>medium</t>
        </is>
      </c>
      <c r="D86" s="11" t="inlineStr">
        <is>
          <t>share option</t>
        </is>
      </c>
      <c r="E86" s="11" t="inlineStr">
        <is>
          <t>PDF p.50 (印刷頁 49)</t>
        </is>
      </c>
      <c r="F86" s="11" t="inlineStr">
        <is>
          <t>REPORT OF THE DIRECTORS 董事會報告 The eligibility of any of the eligible participants to an offer under 任何合資格參與者是否具備根據購股權計 the Share Option Scheme shall be determined by the Directors 劃獲提出要約的資格，須由董事不時按其 from time to time on the basis of the Directors’ opinion as to 對有關合資格參與者向本集團發展及增長 such eligible participant’s contribution to the development and 所作的貢獻的意見而決定。 growth of the Group. (c) Maximum number of Shares (c) 股份數目上限 (i) The maximum number of Shares which may be issued (i) 因根據購股權計劃及本公司採納的任 upon exercise of all outstandi</t>
        </is>
      </c>
    </row>
    <row r="87">
      <c r="A87" s="8" t="inlineStr">
        <is>
          <t>Share-based Payment</t>
        </is>
      </c>
      <c r="B87" s="8" t="inlineStr">
        <is>
          <t>以股份為基礎的付款</t>
        </is>
      </c>
      <c r="C87" s="8" t="inlineStr">
        <is>
          <t>medium</t>
        </is>
      </c>
      <c r="D87" s="11" t="inlineStr">
        <is>
          <t>share option</t>
        </is>
      </c>
      <c r="E87" s="11" t="inlineStr">
        <is>
          <t>PDF p.51 (印刷頁 50)</t>
        </is>
      </c>
      <c r="F87" s="11" t="inlineStr">
        <is>
          <t>mpany may seek 文第(iii)分段的情況下，本公司可尋求 separate Shareholders’ approval in a general meeting to 股東於股東大會上另行批准，根據購 grant options under the Share Option Scheme beyond 股權計劃向本公司於尋求有關批准前 the General Scheme Limit or, if applicable, the extended 已確定的合資格參與者授出超逾一般 limit referred to in sub-paragraph (iii) above to eligible 計劃限額或（如適用）上文第(iii)分段所 participants identified by the Company before such 述經擴大限額的購股權。 approval is sought. (d) Maximum entitlement of each eligible participant (d) 各合資格參與者的最高限額 Subject to paragraph (e) below, the total number</t>
        </is>
      </c>
    </row>
    <row r="88">
      <c r="A88" s="8" t="inlineStr">
        <is>
          <t>Share-based Payment</t>
        </is>
      </c>
      <c r="B88" s="8" t="inlineStr">
        <is>
          <t>以股份為基礎的付款</t>
        </is>
      </c>
      <c r="C88" s="8" t="inlineStr">
        <is>
          <t>medium</t>
        </is>
      </c>
      <c r="D88" s="11" t="inlineStr">
        <is>
          <t>share option</t>
        </is>
      </c>
      <c r="E88" s="11" t="inlineStr">
        <is>
          <t>PDF p.52 (印刷頁 51)</t>
        </is>
      </c>
      <c r="F88" s="11" t="inlineStr">
        <is>
          <t>THE DIRECTORS 董事會報告 (ii) Without prejudice to sub-paragraph (i) above, where any (ii) 在不影響上文第(i)分段的情況下，凡 grant of options under the Share Option Scheme to a 根據購股權計劃向主要股東或獨立非 Substantial Shareholder or an independent non-executive 執行董事或彼等各自的任何聯繫人授 Director or any of their respective associates, would result 出購股權，會導致於直至該授出日期 in the Shares issued and to be issued upon exercise of all （包括該日）為止12個月期間，因根據 options under the Share Option Scheme already granted 購股權計劃向該人士已授出及將授出 and to be granted (including options exercised, cancelled</t>
        </is>
      </c>
    </row>
    <row r="89">
      <c r="A89" s="8" t="inlineStr">
        <is>
          <t>Share-based Payment</t>
        </is>
      </c>
      <c r="B89" s="8" t="inlineStr">
        <is>
          <t>以股份為基礎的付款</t>
        </is>
      </c>
      <c r="C89" s="8" t="inlineStr">
        <is>
          <t>medium</t>
        </is>
      </c>
      <c r="D89" s="11" t="inlineStr">
        <is>
          <t>share option</t>
        </is>
      </c>
      <c r="E89" s="11" t="inlineStr">
        <is>
          <t>PDF p.53 (印刷頁 52)</t>
        </is>
      </c>
      <c r="F89" s="11" t="inlineStr">
        <is>
          <t>Remaining life (j) 剩餘年期 Subject to any prior termination by the Company in a general 除本公司於股東大會或由董事會提早終止 meeting or by the Board, the Share Option Scheme shall be valid 外，購股權計劃將於採納購股權計劃日期 and effective for a period of ten years commencing on the date 起計十年內有效及生效，其後不會進一步 of adoption of the Share Option Scheme, after which period 授出購股權。根據購股權計劃的條款，緊 no further options shall be granted. All options granted and 接購股權計劃到期前已授出及接納及餘下 accepted and remaining unexercised immediately prior to the 尚未行使的所有購股權將繼續有效並可予 expiry of the Share Option</t>
        </is>
      </c>
    </row>
    <row r="90">
      <c r="A90" s="8" t="inlineStr">
        <is>
          <t>Share-based Payment</t>
        </is>
      </c>
      <c r="B90" s="8" t="inlineStr">
        <is>
          <t>以股份為基礎的付款</t>
        </is>
      </c>
      <c r="C90" s="8" t="inlineStr">
        <is>
          <t>medium</t>
        </is>
      </c>
      <c r="D90" s="11" t="inlineStr">
        <is>
          <t>share-based payment</t>
        </is>
      </c>
      <c r="E90" s="11" t="inlineStr">
        <is>
          <t>PDF p.132 (印刷頁 131)</t>
        </is>
      </c>
      <c r="F90" s="11" t="inlineStr">
        <is>
          <t>ure purposes in 此基礎上予以確定，惟香港財務報告 these consolidated financial statements is determined on 準則第2號以股份為基礎付款範圍內之 such a basis, except for share-based payment transactions 以股份為基礎付款的交易、根據香港 that are within the scope of HKFRS 2 Share-based 財務報告準則第16號列賬之租賃交易 Payment, leasing transactions that are accounted for in 以及與公平值有些類似但並非公平值 accordance with HKFRS 16, and measurements that have 的計量（例如，香港會計準則第2號存 some similarities to fair value but are not fair value, such as 貨中的可變現淨值或香港會計準則第 net realisable value in HKAS 2 Inventories or value in use</t>
        </is>
      </c>
    </row>
    <row r="91">
      <c r="A91" s="8" t="inlineStr">
        <is>
          <t>Share-based Payment</t>
        </is>
      </c>
      <c r="B91" s="8" t="inlineStr">
        <is>
          <t>以股份為基礎的付款</t>
        </is>
      </c>
      <c r="C91" s="8" t="inlineStr">
        <is>
          <t>medium</t>
        </is>
      </c>
      <c r="D91" s="11" t="inlineStr">
        <is>
          <t>share option</t>
        </is>
      </c>
      <c r="E91" s="11" t="inlineStr">
        <is>
          <t>PDF p.209 (印刷頁 208)</t>
        </is>
      </c>
      <c r="F91" s="11" t="inlineStr">
        <is>
          <t>GLOSSARY 詞彙 “Share Option Scheme” the share option scheme of the 「購股權計劃」指 於2022年9月13日採納之 Company adopted on 13 September 本公司購股權計劃 2022 “Shareholder(s)” holder(s) of the Share(s) 「股東」 指 股份持有人 “Stock Exchange” The Stock Exchange of Hong Kong 「聯交所」 指 香港聯合交易所有限公司 Limited “%” per cent 「%」 指 百分比 208 GC CONSTRUCTION HOLDINGS LIMITED • 2025/26 ANNUAL REPORT</t>
        </is>
      </c>
    </row>
    <row r="92">
      <c r="A92" s="8" t="inlineStr">
        <is>
          <t>Related Party Transactions</t>
        </is>
      </c>
      <c r="B92" s="8" t="inlineStr">
        <is>
          <t>關聯方交易</t>
        </is>
      </c>
      <c r="C92" s="8" t="inlineStr">
        <is>
          <t>low</t>
        </is>
      </c>
      <c r="D92" s="11" t="inlineStr">
        <is>
          <t>related party</t>
        </is>
      </c>
      <c r="E92" s="11" t="inlineStr">
        <is>
          <t>PDF p.43 (印刷頁 42)</t>
        </is>
      </c>
      <c r="F92" s="11" t="inlineStr">
        <is>
          <t>深知，除綜合財務報表附註26及本報 under Note 26 to the consolidated financial statements and the 告「關連及關聯方交易」一節所披露者外，概無 section headed “Connected and Related Party Transactions” in this 董事、彼等各自的緊密聯繫人或任何股東（據董 report, none of the Directors, their respective close associates or 事所知擁有本公司已發行股本5%以上）於本集 any Shareholder (which to the knowledge of the Directors owns 團任何五大客戶或供應商中擁有任何權益。 more than 5% of the issued share capital of the Company), had any interest in any of the Group’s top five customers or suppliers. RELATIONSHIP WITH CUSTOMERS, SUPPLIERS 與</t>
        </is>
      </c>
    </row>
    <row r="93">
      <c r="A93" s="8" t="inlineStr">
        <is>
          <t>Related Party Transactions</t>
        </is>
      </c>
      <c r="B93" s="8" t="inlineStr">
        <is>
          <t>關聯方交易</t>
        </is>
      </c>
      <c r="C93" s="8" t="inlineStr">
        <is>
          <t>low</t>
        </is>
      </c>
      <c r="D93" s="11" t="inlineStr">
        <is>
          <t>related party</t>
        </is>
      </c>
      <c r="E93" s="11" t="inlineStr">
        <is>
          <t>PDF p.57 (印刷頁 56)</t>
        </is>
      </c>
      <c r="F93" s="11" t="inlineStr">
        <is>
          <t>任何附屬公司 its subsidiaries and the Controlling Shareholders of the Company or 的控股股東之間概無訂立任何重大合約。 any of its subsidiaries. CONNECTED AND RELATED PARTY TRANSACTIONS 關連及關聯方交易 To the best knowledge of the Directors, the Group had not entered 據董事所深知，本集團於截至2026年3月31日止 into any connected transaction or continuing connected transaction 年度內並未訂立上市規則第14A章項下須予披露 during the year ended 31 March 2026 which is required to be 的任何關連交易或持續關連交易。 disclosed under Chapter 14A of the Listing Rules. To the best knowledge of the Directors, save as disclosed</t>
        </is>
      </c>
    </row>
    <row r="94">
      <c r="A94" s="8" t="inlineStr">
        <is>
          <t>Related Party Transactions</t>
        </is>
      </c>
      <c r="B94" s="8" t="inlineStr">
        <is>
          <t>關聯方交易</t>
        </is>
      </c>
      <c r="C94" s="8" t="inlineStr">
        <is>
          <t>low</t>
        </is>
      </c>
      <c r="D94" s="11" t="inlineStr">
        <is>
          <t>關聯方</t>
        </is>
      </c>
      <c r="E94" s="11" t="inlineStr">
        <is>
          <t>PDF p.162 (印刷頁 161)</t>
        </is>
      </c>
      <c r="F94" s="11" t="inlineStr">
        <is>
          <t>tary 換算所產生之匯兌差額均於產生 items, are recognised in profit or loss in the period in 期間計入損益。 which they arise. 3.2.15 Related parties 3.2.15 關聯方 A party is considered to be related to the Group if: 在下列情況下，一方將被視為與 本集團有關： (a) the party is a person or a close member of that (a) 該方為個體人士或該人士家 person’s family and that person 族近親同該人士， (i) has control or joint control over the Group; (i) 控制或共同控制本集 團； (ii) has significant influence over the Group; or (ii) 對本集團有重大影響； 或 (iii) is a member of the key management (iii) 為本集團或本集團母公 personnel of the Gro</t>
        </is>
      </c>
    </row>
    <row r="95">
      <c r="A95" s="8" t="inlineStr">
        <is>
          <t>Related Party Transactions</t>
        </is>
      </c>
      <c r="B95" s="8" t="inlineStr">
        <is>
          <t>關聯方交易</t>
        </is>
      </c>
      <c r="C95" s="8" t="inlineStr">
        <is>
          <t>low</t>
        </is>
      </c>
      <c r="D95" s="11" t="inlineStr">
        <is>
          <t>關聯方</t>
        </is>
      </c>
      <c r="E95" s="11" t="inlineStr">
        <is>
          <t>PDF p.163 (印刷頁 162)</t>
        </is>
      </c>
      <c r="F95" s="11" t="inlineStr">
        <is>
          <t>POLICY INFORMATION (continued) 3.2 Material accounting policy information 3.2 重大會計政策資料（續） (continued) 3.2.15 Related parties 3.2.15 關聯方（續） (continued) (b) the party is an entity where any of the following (b) 該方為實體且以下條件適用 conditions applies: 於該方︰ (i) the entity and the Group are members of (i) 實體與本集團為同一集 the same group; 團之成員公司； (ii) one entity is an associate or joint venture of (ii) 實體為另一實體（或另 the other entity (or of a parent, subsidiary 一實體之母公司、附屬 or fellow subsidiary of the other entity); 公司或同系附屬公司） 之聯營公司或合營企 業； (iii) the e</t>
        </is>
      </c>
    </row>
    <row r="96">
      <c r="A96" s="8" t="inlineStr">
        <is>
          <t>Related Party Transactions</t>
        </is>
      </c>
      <c r="B96" s="8" t="inlineStr">
        <is>
          <t>關聯方交易</t>
        </is>
      </c>
      <c r="C96" s="8" t="inlineStr">
        <is>
          <t>low</t>
        </is>
      </c>
      <c r="D96" s="11" t="inlineStr">
        <is>
          <t>related party</t>
        </is>
      </c>
      <c r="E96" s="11" t="inlineStr">
        <is>
          <t>PDF p.191 (印刷頁 190)</t>
        </is>
      </c>
      <c r="F96" s="11" t="inlineStr">
        <is>
          <t>NOTES TO THE CONSOLIDATED FINANCIAL STATEMENTS 綜合財務報表附註 For the year ended 31 March 2026 截至2026年3月31日止年度 26 RELATED PARTY TRANSACTIONS 26 關聯方交易 Parties are considered to be related to the Group if the party 倘一方有能力直接或間接對本集團的財務 has the ability, directly or indirectly, to exercise significant 及經營決策行使重大影響力，該方被視為 influence over the Group in making financial and operating 與本集團有關聯。關聯方可為個人（即主要 decisions. Related parties may be individuals (being members 管理人員、主要股東及╱或彼等近親家屬 of key management personnel, significan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4"/>
  <sheetViews>
    <sheetView workbookViewId="0">
      <pane ySplit="32" topLeftCell="A3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Finance Costs</t>
        </is>
      </c>
    </row>
    <row r="13">
      <c r="A13" s="8" t="inlineStr">
        <is>
          <t>Income Statement</t>
        </is>
      </c>
      <c r="B13" s="8" t="inlineStr">
        <is>
          <t>Profit Before Tax</t>
        </is>
      </c>
    </row>
    <row r="14">
      <c r="A14" s="8" t="inlineStr">
        <is>
          <t>Income Statement</t>
        </is>
      </c>
      <c r="B14" s="8" t="inlineStr">
        <is>
          <t>Income Tax</t>
        </is>
      </c>
    </row>
    <row r="15">
      <c r="A15" s="8" t="inlineStr">
        <is>
          <t>Income Statement</t>
        </is>
      </c>
      <c r="B15" s="8" t="inlineStr">
        <is>
          <t>Profit for the Year</t>
        </is>
      </c>
    </row>
    <row r="16">
      <c r="A16" s="8" t="inlineStr">
        <is>
          <t>Income Statement</t>
        </is>
      </c>
      <c r="B16" s="8" t="inlineStr">
        <is>
          <t>R&amp;D Expenses</t>
        </is>
      </c>
    </row>
    <row r="17">
      <c r="A17" s="8" t="inlineStr">
        <is>
          <t>Income Statement</t>
        </is>
      </c>
      <c r="B17" s="8" t="inlineStr">
        <is>
          <t>Depreciation</t>
        </is>
      </c>
    </row>
    <row r="18">
      <c r="A18" s="8" t="inlineStr">
        <is>
          <t>Income Statement</t>
        </is>
      </c>
      <c r="B18" s="8" t="inlineStr">
        <is>
          <t>Amortisation</t>
        </is>
      </c>
    </row>
    <row r="19">
      <c r="A19" s="8" t="inlineStr">
        <is>
          <t>Balance Sheet</t>
        </is>
      </c>
      <c r="B19" s="8" t="inlineStr">
        <is>
          <t>Inventories</t>
        </is>
      </c>
    </row>
    <row r="20">
      <c r="A20" s="8" t="inlineStr">
        <is>
          <t>Balance Sheet</t>
        </is>
      </c>
      <c r="B20" s="8" t="inlineStr">
        <is>
          <t>Goodwill</t>
        </is>
      </c>
    </row>
    <row r="21">
      <c r="A21" s="8" t="inlineStr">
        <is>
          <t>Balance Sheet</t>
        </is>
      </c>
      <c r="B21" s="8" t="inlineStr">
        <is>
          <t>Intangible Assets</t>
        </is>
      </c>
    </row>
    <row r="22">
      <c r="A22" s="8" t="inlineStr">
        <is>
          <t>Balance Sheet</t>
        </is>
      </c>
      <c r="B22" s="8" t="inlineStr">
        <is>
          <t>Investment Properties</t>
        </is>
      </c>
    </row>
    <row r="23">
      <c r="A23" s="8" t="inlineStr">
        <is>
          <t>Balance Sheet</t>
        </is>
      </c>
      <c r="B23" s="8" t="inlineStr">
        <is>
          <t>Property Plant and Equipment</t>
        </is>
      </c>
    </row>
    <row r="24">
      <c r="A24" s="8" t="inlineStr">
        <is>
          <t>Cash Flow</t>
        </is>
      </c>
      <c r="B24" s="8" t="inlineStr">
        <is>
          <t>Operating Cash Flow</t>
        </is>
      </c>
    </row>
    <row r="25">
      <c r="A25" s="8" t="inlineStr">
        <is>
          <t>Cash Flow</t>
        </is>
      </c>
      <c r="B25" s="8" t="inlineStr">
        <is>
          <t>Investing Cash Flow</t>
        </is>
      </c>
    </row>
    <row r="26">
      <c r="A26" s="8" t="inlineStr">
        <is>
          <t>Cash Flow</t>
        </is>
      </c>
      <c r="B26" s="8" t="inlineStr">
        <is>
          <t>Capital Expenditure</t>
        </is>
      </c>
    </row>
    <row r="29">
      <c r="A29" s="5" t="inlineStr">
        <is>
          <t>二、文字量過低的頁面(疑似掃描頁)</t>
        </is>
      </c>
    </row>
    <row r="30">
      <c r="A30" s="2" t="inlineStr">
        <is>
          <t>這些頁面幾乎抓不到文字,通常是掃描件或純圖表,建議人手翻閱或另行 OCR。</t>
        </is>
      </c>
    </row>
    <row r="32">
      <c r="A32" s="7" t="inlineStr">
        <is>
          <t>PDF 頁碼</t>
        </is>
      </c>
      <c r="B32" s="7" t="inlineStr">
        <is>
          <t>狀態</t>
        </is>
      </c>
    </row>
    <row r="33">
      <c r="A33" s="8" t="n">
        <v>1</v>
      </c>
      <c r="B33" s="8" t="inlineStr">
        <is>
          <t>文字量過低 — 可能為掃描頁/圖表頁</t>
        </is>
      </c>
    </row>
    <row r="34">
      <c r="A34" s="8" t="n">
        <v>210</v>
      </c>
      <c r="B3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2026-08-30T14:16:28Z</dcterms:created>
  <dcterms:modified xsi:type="dcterms:W3CDTF">2026-08-30T14:16:29Z</dcterms:modified>
</cp:coreProperties>
</file>
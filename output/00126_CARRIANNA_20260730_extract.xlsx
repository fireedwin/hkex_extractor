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趨勢圖'!$A$5:$A$9</f>
            </numRef>
          </cat>
          <val>
            <numRef>
              <f>'Chart 趨勢圖'!$B$5:$B$9</f>
            </numRef>
          </val>
        </ser>
        <ser>
          <idx val="1"/>
          <order val="1"/>
          <tx>
            <strRef>
              <f>'Chart 趨勢圖'!C4</f>
            </strRef>
          </tx>
          <spPr>
            <a:ln>
              <a:prstDash val="solid"/>
            </a:ln>
          </spPr>
          <cat>
            <numRef>
              <f>'Chart 趨勢圖'!$A$5:$A$9</f>
            </numRef>
          </cat>
          <val>
            <numRef>
              <f>'Chart 趨勢圖'!$C$5:$C$9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00126_CARRIANNA_20260730.pdf</t>
        </is>
      </c>
    </row>
    <row r="5">
      <c r="A5" s="3" t="inlineStr">
        <is>
          <t>產生時間 Generated</t>
        </is>
      </c>
      <c r="B5" s="4" t="inlineStr">
        <is>
          <t>2026-08-30 22:15</t>
        </is>
      </c>
    </row>
    <row r="6">
      <c r="A6" s="4" t="inlineStr"/>
      <c r="B6" s="4" t="inlineStr"/>
    </row>
    <row r="7">
      <c r="A7" s="3" t="inlineStr">
        <is>
          <t>總頁數 Total pages</t>
        </is>
      </c>
      <c r="B7" s="4" t="n">
        <v>258</v>
      </c>
    </row>
    <row r="8">
      <c r="A8" s="3" t="inlineStr">
        <is>
          <t>已擷取字元 Characters extracted</t>
        </is>
      </c>
      <c r="B8" s="4" t="n">
        <v>427105</v>
      </c>
    </row>
    <row r="9">
      <c r="A9" s="3" t="inlineStr">
        <is>
          <t>含表格頁數 Pages with tables</t>
        </is>
      </c>
      <c r="B9" s="4" t="n">
        <v>0</v>
      </c>
    </row>
    <row r="10">
      <c r="A10" s="3" t="inlineStr">
        <is>
          <t>需人手/OCR 頁數 Pages needing OCR</t>
        </is>
      </c>
      <c r="B10" s="4" t="n">
        <v>2</v>
      </c>
    </row>
    <row r="11">
      <c r="A11" s="4" t="inlineStr"/>
      <c r="B11" s="4" t="inlineStr"/>
    </row>
    <row r="12">
      <c r="A12" s="3" t="inlineStr">
        <is>
          <t>估值參數擷取筆數 Valuation parameters</t>
        </is>
      </c>
      <c r="B12" s="4" t="n">
        <v>4</v>
      </c>
    </row>
    <row r="13">
      <c r="A13" s="3" t="inlineStr">
        <is>
          <t>財務科目擷取筆數 Financial line items</t>
        </is>
      </c>
      <c r="B13" s="4" t="n">
        <v>16</v>
      </c>
    </row>
    <row r="14">
      <c r="A14" s="3" t="inlineStr">
        <is>
          <t>主題段落擷取筆數 Topic extracts</t>
        </is>
      </c>
      <c r="B14" s="4" t="n">
        <v>136</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1,097,632 − -1,878,253 = 2,975,885</t>
        </is>
      </c>
    </row>
    <row r="20">
      <c r="A20" s="6" t="inlineStr">
        <is>
          <t>✓ 收入 − 銷售成本 = 毛利</t>
        </is>
      </c>
      <c r="B20" s="4" t="inlineStr">
        <is>
          <t>551,968 − 311,040 = 240,928 vs 毛利 240,928</t>
        </is>
      </c>
    </row>
    <row r="21">
      <c r="A21" s="6" t="inlineStr">
        <is>
          <t>✓ 除稅前溢利 ± 稅項 = 年內溢利</t>
        </is>
      </c>
      <c r="B21" s="4" t="inlineStr">
        <is>
          <t>-60,914 + 20,877 = -40,037 vs -40,037</t>
        </is>
      </c>
    </row>
    <row r="22">
      <c r="A22" s="6" t="inlineStr">
        <is>
          <t>✓ 三大報表應相鄰</t>
        </is>
      </c>
      <c r="B22" s="4" t="inlineStr">
        <is>
          <t>Income Statement: p.75、Balance Sheet: p.77、Cash Flow: p.82(相距 7 頁)</t>
        </is>
      </c>
    </row>
    <row r="24">
      <c r="A24" s="5" t="inlineStr">
        <is>
          <t>方法論 Methodology</t>
        </is>
      </c>
    </row>
    <row r="25">
      <c r="A25" s="4" t="inlineStr">
        <is>
          <t>1. 逐頁擷取文字,全程保留 PDF 頁碼與年報印刷頁碼(可追溯性)。</t>
        </is>
      </c>
    </row>
    <row r="26">
      <c r="A26" s="4" t="inlineStr">
        <is>
          <t>2. 規則層(正則/關鍵字)先把全份文件縮減為少數相關頁面 —— 解決「文件太大」。</t>
        </is>
      </c>
    </row>
    <row r="27">
      <c r="A27" s="4" t="inlineStr">
        <is>
          <t>3. 數字由正則精確擷取並做合理性檢查,不由語言模型生成 —— 解決「準確度」。</t>
        </is>
      </c>
    </row>
    <row r="28">
      <c r="A28" s="4" t="inlineStr">
        <is>
          <t>4. AI 僅在縮減後的頁面上做語意判斷,且輸出頁碼須通過驗證才保留。</t>
        </is>
      </c>
    </row>
    <row r="29">
      <c r="A29" s="4" t="inlineStr">
        <is>
          <t>5. 所有結果附來源頁碼與原文行,供估值師覆核。信心度為 Low 者建議人手確認。</t>
        </is>
      </c>
    </row>
    <row r="30">
      <c r="A30"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Capitalisation Rate</t>
        </is>
      </c>
      <c r="B5" s="8" t="inlineStr">
        <is>
          <t>資本化率</t>
        </is>
      </c>
      <c r="C5" s="9" t="n">
        <v>2.6</v>
      </c>
      <c r="D5" s="10" t="n">
        <v>5.5</v>
      </c>
      <c r="E5" s="11" t="inlineStr">
        <is>
          <t>2.6% to 5.5%</t>
        </is>
      </c>
      <c r="F5" s="11" t="inlineStr">
        <is>
          <t>High</t>
        </is>
      </c>
      <c r="G5" s="11" t="inlineStr">
        <is>
          <t>PDF p.175 (印刷頁 174)</t>
        </is>
      </c>
      <c r="H5" s="11" t="inlineStr">
        <is>
          <t>metre per month) HK$515 HK$480 44港元至 32港元至 商業物業 收入資本化法 估計租值（每平方米每月） 515港元 480港元 Capitalisation rate 2.6% to 5.5% 2.8% to 6.0% 2.6%至5.5% 2.8%至6.0% 資本化率 Industrial properties Income capitalisation approach Estimated rental value HK$18 to HK$16 to (per square me</t>
        </is>
      </c>
    </row>
    <row r="6">
      <c r="A6" s="8" t="inlineStr">
        <is>
          <t>Capitalisation Rate</t>
        </is>
      </c>
      <c r="B6" s="8" t="inlineStr">
        <is>
          <t>資本化率</t>
        </is>
      </c>
      <c r="C6" s="9" t="n">
        <v>7</v>
      </c>
      <c r="D6" s="10" t="n">
        <v>7</v>
      </c>
      <c r="E6" s="11" t="inlineStr">
        <is>
          <t>7.0%</t>
        </is>
      </c>
      <c r="F6" s="11" t="inlineStr">
        <is>
          <t>High</t>
        </is>
      </c>
      <c r="G6" s="11" t="inlineStr">
        <is>
          <t>PDF p.175 (印刷頁 174)</t>
        </is>
      </c>
      <c r="H6" s="11" t="inlineStr">
        <is>
          <t>are metre per month) HK$34 HK$17 18港元至 16港元至 工業物業 收入資本化法 估計租值（每平方米每月） 34港元 17港元 Capitalisation rate 7.0% 7.0% 資本化率 174</t>
        </is>
      </c>
    </row>
    <row r="7">
      <c r="A7" s="8" t="inlineStr">
        <is>
          <t>Capitalisation Rate</t>
        </is>
      </c>
      <c r="B7" s="8" t="inlineStr">
        <is>
          <t>資本化率</t>
        </is>
      </c>
      <c r="C7" s="9" t="n">
        <v>6</v>
      </c>
      <c r="D7" s="10" t="n">
        <v>6</v>
      </c>
      <c r="E7" s="11" t="inlineStr">
        <is>
          <t>6.0%</t>
        </is>
      </c>
      <c r="F7" s="11" t="inlineStr">
        <is>
          <t>Medium</t>
        </is>
      </c>
      <c r="G7" s="11" t="inlineStr">
        <is>
          <t>PDF p.175 (印刷頁 174)</t>
        </is>
      </c>
      <c r="H7" s="11" t="inlineStr">
        <is>
          <t xml:space="preserve">） 515港元 480港元 Capitalisation rate 2.6% to 5.5% 2.8% to 6.0% 2.6%至5.5% 2.8%至6.0% 資本化率 Industrial properties Income capitalisation approach Estimated rental value HK$18 to HK$16 to (per square metre per month) HK$34 HK$17 18港元至 16港元至 工業物業 收入資本化法 </t>
        </is>
      </c>
    </row>
    <row r="8">
      <c r="A8" s="8" t="inlineStr">
        <is>
          <t>Discount Rate</t>
        </is>
      </c>
      <c r="B8" s="8" t="inlineStr">
        <is>
          <t>折現率</t>
        </is>
      </c>
      <c r="C8" s="9" t="n">
        <v>10</v>
      </c>
      <c r="D8" s="10" t="n">
        <v>12</v>
      </c>
      <c r="E8" s="11" t="inlineStr">
        <is>
          <t>10%至12%</t>
        </is>
      </c>
      <c r="F8" s="11" t="inlineStr">
        <is>
          <t>High</t>
        </is>
      </c>
      <c r="G8" s="11" t="inlineStr">
        <is>
          <t>PDF p.183 (印刷頁 182)</t>
        </is>
      </c>
      <c r="H8" s="11" t="inlineStr">
        <is>
          <t>ring a five-year period, approved by senior 用之折現率介乎10%至12%（二零二五 management. The discount rates applied to the cash flow 年：介乎10%至12%）。超過五年期之中 projections ranged from 10% to 12% (2025: ranged from 國大陸食品供應業務現金產生單位以及 10% to 12%). The growth rates used to ex</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2"/>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2" t="n">
        <v>551968</v>
      </c>
      <c r="D5" s="13" t="n">
        <v>577521</v>
      </c>
      <c r="E5" s="14">
        <f>IF(ISERROR((C5-D5)/ABS(D5)),"",(C5-D5)/ABS(D5))</f>
        <v>-0.04424601010179716</v>
      </c>
      <c r="F5" s="11" t="inlineStr">
        <is>
          <t>PDF p.75 (印刷頁 74)</t>
        </is>
      </c>
      <c r="G5" s="11" t="inlineStr">
        <is>
          <t>REVENUE 收入 5 551,968 577,521</t>
        </is>
      </c>
    </row>
    <row r="6">
      <c r="A6" s="8" t="inlineStr">
        <is>
          <t>Income Statement</t>
        </is>
      </c>
      <c r="B6" s="8" t="inlineStr">
        <is>
          <t>Cost of Sales</t>
        </is>
      </c>
      <c r="C6" s="12" t="n">
        <v>-311040</v>
      </c>
      <c r="D6" s="13" t="n">
        <v>-335426</v>
      </c>
      <c r="E6" s="14">
        <f>IF(ISERROR((C6-D6)/ABS(D6)),"",(C6-D6)/ABS(D6))</f>
        <v>0.07270157948399945</v>
      </c>
      <c r="F6" s="11" t="inlineStr">
        <is>
          <t>PDF p.75 (印刷頁 74)</t>
        </is>
      </c>
      <c r="G6" s="11" t="inlineStr">
        <is>
          <t>Cost of sales 銷售成本 (311,040) (335,426)</t>
        </is>
      </c>
    </row>
    <row r="7">
      <c r="A7" s="8" t="inlineStr">
        <is>
          <t>Income Statement</t>
        </is>
      </c>
      <c r="B7" s="8" t="inlineStr">
        <is>
          <t>Gross Profit</t>
        </is>
      </c>
      <c r="C7" s="12" t="n">
        <v>240928</v>
      </c>
      <c r="D7" s="13" t="n">
        <v>242095</v>
      </c>
      <c r="E7" s="14">
        <f>IF(ISERROR((C7-D7)/ABS(D7)),"",(C7-D7)/ABS(D7))</f>
        <v>-0.004820421735269213</v>
      </c>
      <c r="F7" s="11" t="inlineStr">
        <is>
          <t>PDF p.75 (印刷頁 74)</t>
        </is>
      </c>
      <c r="G7" s="11" t="inlineStr">
        <is>
          <t>Gross profit 毛利 240,928 242,095</t>
        </is>
      </c>
    </row>
    <row r="8">
      <c r="A8" s="8" t="inlineStr">
        <is>
          <t>Income Statement</t>
        </is>
      </c>
      <c r="B8" s="8" t="inlineStr">
        <is>
          <t>Finance Costs</t>
        </is>
      </c>
      <c r="C8" s="12" t="n">
        <v>-85838</v>
      </c>
      <c r="D8" s="13" t="n">
        <v>-107860</v>
      </c>
      <c r="E8" s="14">
        <f>IF(ISERROR((C8-D8)/ABS(D8)),"",(C8-D8)/ABS(D8))</f>
        <v>0.20417207491192285</v>
      </c>
      <c r="F8" s="11" t="inlineStr">
        <is>
          <t>PDF p.75 (印刷頁 74)</t>
        </is>
      </c>
      <c r="G8" s="11" t="inlineStr">
        <is>
          <t>Finance costs 財務成本 7 (85,838) (107,860)</t>
        </is>
      </c>
    </row>
    <row r="9">
      <c r="A9" s="8" t="inlineStr">
        <is>
          <t>Income Statement</t>
        </is>
      </c>
      <c r="B9" s="8" t="inlineStr">
        <is>
          <t>Profit Before Tax</t>
        </is>
      </c>
      <c r="C9" s="12" t="n">
        <v>-60914</v>
      </c>
      <c r="D9" s="13" t="n">
        <v>-186920</v>
      </c>
      <c r="E9" s="14">
        <f>IF(ISERROR((C9-D9)/ABS(D9)),"",(C9-D9)/ABS(D9))</f>
        <v>0.6741172694200728</v>
      </c>
      <c r="F9" s="11" t="inlineStr">
        <is>
          <t>PDF p.75 (印刷頁 74)</t>
        </is>
      </c>
      <c r="G9" s="11" t="inlineStr">
        <is>
          <t>LOSS BEFORE TAX 除稅前虧損 6 (60,914) (186,920)</t>
        </is>
      </c>
    </row>
    <row r="10">
      <c r="A10" s="8" t="inlineStr">
        <is>
          <t>Income Statement</t>
        </is>
      </c>
      <c r="B10" s="8" t="inlineStr">
        <is>
          <t>Income Tax</t>
        </is>
      </c>
      <c r="C10" s="12" t="n">
        <v>20877</v>
      </c>
      <c r="D10" s="13" t="n">
        <v>45020</v>
      </c>
      <c r="E10" s="14">
        <f>IF(ISERROR((C10-D10)/ABS(D10)),"",(C10-D10)/ABS(D10))</f>
        <v>-0.5362727676588183</v>
      </c>
      <c r="F10" s="11" t="inlineStr">
        <is>
          <t>PDF p.75 (印刷頁 74)</t>
        </is>
      </c>
      <c r="G10" s="11" t="inlineStr">
        <is>
          <t>Income tax credit 所得稅抵免 10 20,877 45,020</t>
        </is>
      </c>
    </row>
    <row r="11">
      <c r="A11" s="8" t="inlineStr">
        <is>
          <t>Income Statement</t>
        </is>
      </c>
      <c r="B11" s="8" t="inlineStr">
        <is>
          <t>Profit for the Year</t>
        </is>
      </c>
      <c r="C11" s="12" t="n">
        <v>-40037</v>
      </c>
      <c r="D11" s="13" t="n">
        <v>-141900</v>
      </c>
      <c r="E11" s="14">
        <f>IF(ISERROR((C11-D11)/ABS(D11)),"",(C11-D11)/ABS(D11))</f>
        <v>0.7178505990133897</v>
      </c>
      <c r="F11" s="11" t="inlineStr">
        <is>
          <t>PDF p.75 (印刷頁 74)</t>
        </is>
      </c>
      <c r="G11" s="11" t="inlineStr">
        <is>
          <t>LOSS FOR THE YEAR 本年度虧損 (40,037) (141,900)</t>
        </is>
      </c>
    </row>
    <row r="12">
      <c r="A12" s="8" t="inlineStr">
        <is>
          <t>Balance Sheet</t>
        </is>
      </c>
      <c r="B12" s="8" t="inlineStr">
        <is>
          <t>Property Plant and Equipment</t>
        </is>
      </c>
      <c r="C12" s="12" t="n">
        <v>517117</v>
      </c>
      <c r="D12" s="13" t="n">
        <v>583554</v>
      </c>
      <c r="E12" s="14">
        <f>IF(ISERROR((C12-D12)/ABS(D12)),"",(C12-D12)/ABS(D12))</f>
        <v>-0.11384893257522012</v>
      </c>
      <c r="F12" s="11" t="inlineStr">
        <is>
          <t>PDF p.77 (印刷頁 76)</t>
        </is>
      </c>
      <c r="G12" s="11" t="inlineStr">
        <is>
          <t>Property, plant and equipment 物業、廠房及設備 13 517,117 583,554</t>
        </is>
      </c>
    </row>
    <row r="13">
      <c r="A13" s="8" t="inlineStr">
        <is>
          <t>Balance Sheet</t>
        </is>
      </c>
      <c r="B13" s="8" t="inlineStr">
        <is>
          <t>Investment Properties</t>
        </is>
      </c>
      <c r="C13" s="12" t="n">
        <v>2324849</v>
      </c>
      <c r="D13" s="13" t="n">
        <v>2150380</v>
      </c>
      <c r="E13" s="14">
        <f>IF(ISERROR((C13-D13)/ABS(D13)),"",(C13-D13)/ABS(D13))</f>
        <v>0.08113403212455474</v>
      </c>
      <c r="F13" s="11" t="inlineStr">
        <is>
          <t>PDF p.77 (印刷頁 76)</t>
        </is>
      </c>
      <c r="G13" s="11" t="inlineStr">
        <is>
          <t>Investment properties 投資物業 14 2,324,849 2,150,380</t>
        </is>
      </c>
    </row>
    <row r="14">
      <c r="A14" s="8" t="inlineStr">
        <is>
          <t>Balance Sheet</t>
        </is>
      </c>
      <c r="B14" s="8" t="inlineStr">
        <is>
          <t>Goodwill</t>
        </is>
      </c>
      <c r="C14" s="12" t="n">
        <v>28162</v>
      </c>
      <c r="D14" s="13" t="n">
        <v>28162</v>
      </c>
      <c r="E14" s="14">
        <f>IF(ISERROR((C14-D14)/ABS(D14)),"",(C14-D14)/ABS(D14))</f>
        <v>0.0</v>
      </c>
      <c r="F14" s="11" t="inlineStr">
        <is>
          <t>PDF p.77 (印刷頁 76)</t>
        </is>
      </c>
      <c r="G14" s="11" t="inlineStr">
        <is>
          <t>Goodwill 商譽 16 28,162 28,162</t>
        </is>
      </c>
    </row>
    <row r="15">
      <c r="A15" s="8" t="inlineStr">
        <is>
          <t>Balance Sheet</t>
        </is>
      </c>
      <c r="B15" s="8" t="inlineStr">
        <is>
          <t>Inventories</t>
        </is>
      </c>
      <c r="C15" s="12" t="n">
        <v>23433</v>
      </c>
      <c r="D15" s="13" t="n">
        <v>28976</v>
      </c>
      <c r="E15" s="14">
        <f>IF(ISERROR((C15-D15)/ABS(D15)),"",(C15-D15)/ABS(D15))</f>
        <v>-0.19129624516841523</v>
      </c>
      <c r="F15" s="11" t="inlineStr">
        <is>
          <t>PDF p.77 (印刷頁 76)</t>
        </is>
      </c>
      <c r="G15" s="11" t="inlineStr">
        <is>
          <t>Inventories 存貨 21 23,433 28,976</t>
        </is>
      </c>
    </row>
    <row r="16">
      <c r="A16" s="8" t="inlineStr">
        <is>
          <t>Balance Sheet</t>
        </is>
      </c>
      <c r="B16" s="8" t="inlineStr">
        <is>
          <t>Trade Receivables</t>
        </is>
      </c>
      <c r="C16" s="12" t="n">
        <v>32127</v>
      </c>
      <c r="D16" s="13" t="n">
        <v>26341</v>
      </c>
      <c r="E16" s="14">
        <f>IF(ISERROR((C16-D16)/ABS(D16)),"",(C16-D16)/ABS(D16))</f>
        <v>0.2196575680498083</v>
      </c>
      <c r="F16" s="11" t="inlineStr">
        <is>
          <t>PDF p.77 (印刷頁 76)</t>
        </is>
      </c>
      <c r="G16" s="11" t="inlineStr">
        <is>
          <t>Trade receivables 應收貿易賬款 22 32,127 26,341</t>
        </is>
      </c>
    </row>
    <row r="17">
      <c r="A17" s="8" t="inlineStr">
        <is>
          <t>Balance Sheet</t>
        </is>
      </c>
      <c r="B17" s="8" t="inlineStr">
        <is>
          <t>Total Current Assets</t>
        </is>
      </c>
      <c r="C17" s="12" t="n">
        <v>1097632</v>
      </c>
      <c r="D17" s="13" t="n">
        <v>1154551</v>
      </c>
      <c r="E17" s="14">
        <f>IF(ISERROR((C17-D17)/ABS(D17)),"",(C17-D17)/ABS(D17))</f>
        <v>-0.04929968446608249</v>
      </c>
      <c r="F17" s="11" t="inlineStr">
        <is>
          <t>PDF p.77 (印刷頁 76)</t>
        </is>
      </c>
      <c r="G17" s="11" t="inlineStr">
        <is>
          <t>Total current assets 流動資產總額 1,097,632 1,154,551</t>
        </is>
      </c>
    </row>
    <row r="18">
      <c r="A18" s="8" t="inlineStr">
        <is>
          <t>Balance Sheet</t>
        </is>
      </c>
      <c r="B18" s="8" t="inlineStr">
        <is>
          <t>Total Current Liabilities</t>
        </is>
      </c>
      <c r="C18" s="12" t="n">
        <v>-1878253</v>
      </c>
      <c r="D18" s="13" t="n">
        <v>-1969062</v>
      </c>
      <c r="E18" s="14">
        <f>IF(ISERROR((C18-D18)/ABS(D18)),"",(C18-D18)/ABS(D18))</f>
        <v>0.0461178977604565</v>
      </c>
      <c r="F18" s="11" t="inlineStr">
        <is>
          <t>PDF p.78 (印刷頁 77)</t>
        </is>
      </c>
      <c r="G18" s="11" t="inlineStr">
        <is>
          <t>Total current liabilities 流動負債總額 (1,878,253) (1,969,062)</t>
        </is>
      </c>
    </row>
    <row r="19">
      <c r="A19" s="8" t="inlineStr">
        <is>
          <t>Balance Sheet</t>
        </is>
      </c>
      <c r="B19" s="8" t="inlineStr">
        <is>
          <t>Total Equity</t>
        </is>
      </c>
      <c r="C19" s="12" t="n">
        <v>3057012</v>
      </c>
      <c r="D19" s="13" t="n">
        <v>2917783</v>
      </c>
      <c r="E19" s="14">
        <f>IF(ISERROR((C19-D19)/ABS(D19)),"",(C19-D19)/ABS(D19))</f>
        <v>0.04771739365127564</v>
      </c>
      <c r="F19" s="11" t="inlineStr">
        <is>
          <t>PDF p.79 (印刷頁 78)</t>
        </is>
      </c>
      <c r="G19" s="11" t="inlineStr">
        <is>
          <t>Total equity 權益總值 3,057,012 2,917,783</t>
        </is>
      </c>
    </row>
    <row r="20">
      <c r="A20" s="8" t="inlineStr">
        <is>
          <t>Cash Flow</t>
        </is>
      </c>
      <c r="B20" s="8" t="inlineStr">
        <is>
          <t>Operating Cash Flow</t>
        </is>
      </c>
      <c r="C20" s="12" t="n">
        <v>112852</v>
      </c>
      <c r="D20" s="13" t="n">
        <v>206628</v>
      </c>
      <c r="E20" s="14">
        <f>IF(ISERROR((C20-D20)/ABS(D20)),"",(C20-D20)/ABS(D20))</f>
        <v>-0.4538397506630273</v>
      </c>
      <c r="F20" s="11" t="inlineStr">
        <is>
          <t>PDF p.83 (印刷頁 82)</t>
        </is>
      </c>
      <c r="G20" s="11" t="inlineStr">
        <is>
          <t>Cash generated from operations 經營業務所得之現金 112,852 206,628</t>
        </is>
      </c>
    </row>
    <row r="22">
      <c r="A22"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f>IF(ISERROR(INDEX('Financials 財務數據'!$C$5:$C$20,MATCH("Gross Profit",'Financials 財務數據'!$B$5:$B$20,0))/INDEX('Financials 財務數據'!$C$5:$C$20,MATCH("Revenue",'Financials 財務數據'!$B$5:$B$20,0))),"n/a",INDEX('Financials 財務數據'!$C$5:$C$20,MATCH("Gross Profit",'Financials 財務數據'!$B$5:$B$20,0))/INDEX('Financials 財務數據'!$C$5:$C$20,MATCH("Revenue",'Financials 財務數據'!$B$5:$B$20,0)))</f>
        <v>0.43648907183025104</v>
      </c>
      <c r="C5" s="15">
        <f>IF(ISERROR(INDEX('Financials 財務數據'!$D$5:$D$20,MATCH("Gross Profit",'Financials 財務數據'!$B$5:$B$20,0))/INDEX('Financials 財務數據'!$D$5:$D$20,MATCH("Revenue",'Financials 財務數據'!$B$5:$B$20,0))),"n/a",INDEX('Financials 財務數據'!$D$5:$D$20,MATCH("Gross Profit",'Financials 財務數據'!$B$5:$B$20,0))/INDEX('Financials 財務數據'!$D$5:$D$20,MATCH("Revenue",'Financials 財務數據'!$B$5:$B$20,0)))</f>
        <v>0.41919687768929614</v>
      </c>
      <c r="D5" s="2" t="inlineStr">
        <is>
          <t>毛利 ÷ 收入</t>
        </is>
      </c>
    </row>
    <row r="6">
      <c r="A6" s="4" t="inlineStr">
        <is>
          <t>Net Margin 淨利率</t>
        </is>
      </c>
      <c r="B6" s="15">
        <f>IF(ISERROR(INDEX('Financials 財務數據'!$C$5:$C$20,MATCH("Profit for the Year",'Financials 財務數據'!$B$5:$B$20,0))/INDEX('Financials 財務數據'!$C$5:$C$20,MATCH("Revenue",'Financials 財務數據'!$B$5:$B$20,0))),"n/a",INDEX('Financials 財務數據'!$C$5:$C$20,MATCH("Profit for the Year",'Financials 財務數據'!$B$5:$B$20,0))/INDEX('Financials 財務數據'!$C$5:$C$20,MATCH("Revenue",'Financials 財務數據'!$B$5:$B$20,0)))</f>
        <v>-0.07253500202910314</v>
      </c>
      <c r="C6" s="15">
        <f>IF(ISERROR(INDEX('Financials 財務數據'!$D$5:$D$20,MATCH("Profit for the Year",'Financials 財務數據'!$B$5:$B$20,0))/INDEX('Financials 財務數據'!$D$5:$D$20,MATCH("Revenue",'Financials 財務數據'!$B$5:$B$20,0))),"n/a",INDEX('Financials 財務數據'!$D$5:$D$20,MATCH("Profit for the Year",'Financials 財務數據'!$B$5:$B$20,0))/INDEX('Financials 財務數據'!$D$5:$D$20,MATCH("Revenue",'Financials 財務數據'!$B$5:$B$20,0)))</f>
        <v>-0.24570535097425028</v>
      </c>
      <c r="D6" s="2" t="inlineStr">
        <is>
          <t>年內溢利 ÷ 收入</t>
        </is>
      </c>
    </row>
    <row r="7">
      <c r="A7" s="4" t="inlineStr">
        <is>
          <t>Current Ratio 流動比率</t>
        </is>
      </c>
      <c r="B7" s="16">
        <f>IF(ISERROR(INDEX('Financials 財務數據'!$C$5:$C$20,MATCH("Total Current Assets",'Financials 財務數據'!$B$5:$B$20,0))/INDEX('Financials 財務數據'!$C$5:$C$20,MATCH("Total Current Liabilities",'Financials 財務數據'!$B$5:$B$20,0))),"n/a",INDEX('Financials 財務數據'!$C$5:$C$20,MATCH("Total Current Assets",'Financials 財務數據'!$B$5:$B$20,0))/INDEX('Financials 財務數據'!$C$5:$C$20,MATCH("Total Current Liabilities",'Financials 財務數據'!$B$5:$B$20,0)))</f>
        <v>-0.5843898558926832</v>
      </c>
      <c r="C7" s="16">
        <f>IF(ISERROR(INDEX('Financials 財務數據'!$D$5:$D$20,MATCH("Total Current Assets",'Financials 財務數據'!$B$5:$B$20,0))/INDEX('Financials 財務數據'!$D$5:$D$20,MATCH("Total Current Liabilities",'Financials 財務數據'!$B$5:$B$20,0))),"n/a",INDEX('Financials 財務數據'!$D$5:$D$20,MATCH("Total Current Assets",'Financials 財務數據'!$B$5:$B$20,0))/INDEX('Financials 財務數據'!$D$5:$D$20,MATCH("Total Current Liabilities",'Financials 財務數據'!$B$5:$B$20,0)))</f>
        <v>-0.5863456813447215</v>
      </c>
      <c r="D7" s="2" t="inlineStr">
        <is>
          <t>流動資產 ÷ 流動負債</t>
        </is>
      </c>
    </row>
    <row r="8">
      <c r="A8" s="4" t="inlineStr">
        <is>
          <t>Debt / Equity 負債權益比</t>
        </is>
      </c>
      <c r="B8" s="16" t="str">
        <f>IF(ISERROR(INDEX('Financials 財務數據'!$C$5:$C$20,MATCH("Total Liabilities",'Financials 財務數據'!$B$5:$B$20,0))/INDEX('Financials 財務數據'!$C$5:$C$20,MATCH("Total Equity",'Financials 財務數據'!$B$5:$B$20,0))),"n/a",INDEX('Financials 財務數據'!$C$5:$C$20,MATCH("Total Liabilities",'Financials 財務數據'!$B$5:$B$20,0))/INDEX('Financials 財務數據'!$C$5:$C$20,MATCH("Total Equity",'Financials 財務數據'!$B$5:$B$20,0)))</f>
        <v>n/a</v>
      </c>
      <c r="C8" s="16" t="str">
        <f>IF(ISERROR(INDEX('Financials 財務數據'!$D$5:$D$20,MATCH("Total Liabilities",'Financials 財務數據'!$B$5:$B$20,0))/INDEX('Financials 財務數據'!$D$5:$D$20,MATCH("Total Equity",'Financials 財務數據'!$B$5:$B$20,0))),"n/a",INDEX('Financials 財務數據'!$D$5:$D$20,MATCH("Total Liabilities",'Financials 財務數據'!$B$5:$B$20,0))/INDEX('Financials 財務數據'!$D$5:$D$20,MATCH("Total Equity",'Financials 財務數據'!$B$5:$B$20,0)))</f>
        <v>n/a</v>
      </c>
      <c r="D8" s="2" t="inlineStr">
        <is>
          <t>總負債 ÷ 總權益</t>
        </is>
      </c>
    </row>
    <row r="9">
      <c r="A9" s="4" t="inlineStr">
        <is>
          <t>Goodwill / Total Assets</t>
        </is>
      </c>
      <c r="B9" s="15" t="str">
        <f>IF(ISERROR(INDEX('Financials 財務數據'!$C$5:$C$20,MATCH("Goodwill",'Financials 財務數據'!$B$5:$B$20,0))/INDEX('Financials 財務數據'!$C$5:$C$20,MATCH("Total Assets",'Financials 財務數據'!$B$5:$B$20,0))),"n/a",INDEX('Financials 財務數據'!$C$5:$C$20,MATCH("Goodwill",'Financials 財務數據'!$B$5:$B$20,0))/INDEX('Financials 財務數據'!$C$5:$C$20,MATCH("Total Assets",'Financials 財務數據'!$B$5:$B$20,0)))</f>
        <v>n/a</v>
      </c>
      <c r="C9" s="15" t="str">
        <f>IF(ISERROR(INDEX('Financials 財務數據'!$D$5:$D$20,MATCH("Goodwill",'Financials 財務數據'!$B$5:$B$20,0))/INDEX('Financials 財務數據'!$D$5:$D$20,MATCH("Total Assets",'Financials 財務數據'!$B$5:$B$20,0))),"n/a",INDEX('Financials 財務數據'!$D$5:$D$20,MATCH("Goodwill",'Financials 財務數據'!$B$5:$B$20,0))/INDEX('Financials 財務數據'!$D$5:$D$20,MATCH("Total Assets",'Financials 財務數據'!$B$5:$B$20,0)))</f>
        <v>n/a</v>
      </c>
      <c r="D9" s="2" t="inlineStr">
        <is>
          <t>商譽佔總資產比重 — 減值風險指標</t>
        </is>
      </c>
    </row>
    <row r="10">
      <c r="A10" s="4" t="inlineStr">
        <is>
          <t>Intangibles / Total Assets</t>
        </is>
      </c>
      <c r="B10" s="15" t="str">
        <f>IF(ISERROR(INDEX('Financials 財務數據'!$C$5:$C$20,MATCH("Intangible Assets",'Financials 財務數據'!$B$5:$B$20,0))/INDEX('Financials 財務數據'!$C$5:$C$20,MATCH("Total Assets",'Financials 財務數據'!$B$5:$B$20,0))),"n/a",INDEX('Financials 財務數據'!$C$5:$C$20,MATCH("Intangible Assets",'Financials 財務數據'!$B$5:$B$20,0))/INDEX('Financials 財務數據'!$C$5:$C$20,MATCH("Total Assets",'Financials 財務數據'!$B$5:$B$20,0)))</f>
        <v>n/a</v>
      </c>
      <c r="C10" s="15" t="str">
        <f>IF(ISERROR(INDEX('Financials 財務數據'!$D$5:$D$20,MATCH("Intangible Assets",'Financials 財務數據'!$B$5:$B$20,0))/INDEX('Financials 財務數據'!$D$5:$D$20,MATCH("Total Assets",'Financials 財務數據'!$B$5:$B$20,0))),"n/a",INDEX('Financials 財務數據'!$D$5:$D$20,MATCH("Intangible Assets",'Financials 財務數據'!$B$5:$B$20,0))/INDEX('Financials 財務數據'!$D$5:$D$20,MATCH("Total Assets",'Financials 財務數據'!$B$5:$B$20,0)))</f>
        <v>n/a</v>
      </c>
      <c r="D10" s="2" t="inlineStr">
        <is>
          <t>無形資產佔比</t>
        </is>
      </c>
    </row>
    <row r="11">
      <c r="A11" s="4" t="inlineStr">
        <is>
          <t>ROE 股本回報率</t>
        </is>
      </c>
      <c r="B11" s="15">
        <f>IF(ISERROR(INDEX('Financials 財務數據'!$C$5:$C$20,MATCH("Profit for the Year",'Financials 財務數據'!$B$5:$B$20,0))/INDEX('Financials 財務數據'!$C$5:$C$20,MATCH("Total Equity",'Financials 財務數據'!$B$5:$B$20,0))),"n/a",INDEX('Financials 財務數據'!$C$5:$C$20,MATCH("Profit for the Year",'Financials 財務數據'!$B$5:$B$20,0))/INDEX('Financials 財務數據'!$C$5:$C$20,MATCH("Total Equity",'Financials 財務數據'!$B$5:$B$20,0)))</f>
        <v>-0.01309677554422423</v>
      </c>
      <c r="C11" s="15">
        <f>IF(ISERROR(INDEX('Financials 財務數據'!$D$5:$D$20,MATCH("Profit for the Year",'Financials 財務數據'!$B$5:$B$20,0))/INDEX('Financials 財務數據'!$D$5:$D$20,MATCH("Total Equity",'Financials 財務數據'!$B$5:$B$20,0))),"n/a",INDEX('Financials 財務數據'!$D$5:$D$20,MATCH("Profit for the Year",'Financials 財務數據'!$B$5:$B$20,0))/INDEX('Financials 財務數據'!$D$5:$D$20,MATCH("Total Equity",'Financials 財務數據'!$B$5:$B$20,0)))</f>
        <v>-0.04863281470897596</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Revenue</t>
        </is>
      </c>
      <c r="B5" s="18" t="n">
        <v>577521</v>
      </c>
      <c r="C5" s="18" t="n">
        <v>551968</v>
      </c>
    </row>
    <row r="6">
      <c r="A6" s="4" t="inlineStr">
        <is>
          <t>Gross Profit</t>
        </is>
      </c>
      <c r="B6" s="18" t="n">
        <v>242095</v>
      </c>
      <c r="C6" s="18" t="n">
        <v>240928</v>
      </c>
    </row>
    <row r="7">
      <c r="A7" s="4" t="inlineStr">
        <is>
          <t>Profit Before Tax</t>
        </is>
      </c>
      <c r="B7" s="18" t="n">
        <v>-186920</v>
      </c>
      <c r="C7" s="18" t="n">
        <v>-60914</v>
      </c>
    </row>
    <row r="8">
      <c r="A8" s="4" t="inlineStr">
        <is>
          <t>Profit for the Year</t>
        </is>
      </c>
      <c r="B8" s="18" t="n">
        <v>-141900</v>
      </c>
      <c r="C8" s="18" t="n">
        <v>-40037</v>
      </c>
    </row>
    <row r="9">
      <c r="A9" s="4" t="inlineStr">
        <is>
          <t>Total Equity</t>
        </is>
      </c>
      <c r="B9" s="18" t="n">
        <v>2917783</v>
      </c>
      <c r="C9" s="18" t="n">
        <v>3057012</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139"/>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9" t="inlineStr">
        <is>
          <t>high</t>
        </is>
      </c>
      <c r="D4" s="11" t="inlineStr">
        <is>
          <t>unobservable input</t>
        </is>
      </c>
      <c r="E4" s="11" t="inlineStr">
        <is>
          <t>PDF p.106 (印刷頁 105)</t>
        </is>
      </c>
      <c r="F4" s="11" t="inlineStr">
        <is>
          <t>able to measure fair value, maximising the use of 量使用相關可觀察輸入數據及盡量減少 relevant observable inputs and minimising the use of 使用不可觀察輸入數據。 unobservable inputs. 105</t>
        </is>
      </c>
    </row>
    <row r="5">
      <c r="A5" s="8" t="inlineStr">
        <is>
          <t>Fair Value Measurement</t>
        </is>
      </c>
      <c r="B5" s="8" t="inlineStr">
        <is>
          <t>公允價值計量</t>
        </is>
      </c>
      <c r="C5" s="19" t="inlineStr">
        <is>
          <t>high</t>
        </is>
      </c>
      <c r="D5" s="11" t="inlineStr">
        <is>
          <t>fair value hierarchy</t>
        </is>
      </c>
      <c r="E5" s="11" t="inlineStr">
        <is>
          <t>PDF p.107 (印刷頁 106)</t>
        </is>
      </c>
      <c r="F5" s="11" t="inlineStr">
        <is>
          <t>which fair value is measured 所有於財務報表按公平值計量或披露之 or disclosed in the financial statements are categorised 資產及負債，乃基於對公平值計量整體 within the fair value hierarchy, described as follows, based 而言屬重要之最低層輸入數據按以下公 on the lowest level input that is significant to the fair value 平值等級分類： measurement as a whole: Level 1 – based on quoted prices (unadjusted) 第一級 －基於相同資產或負債於活 in active markets for identical assets or 躍市場之未經調整報價 liabilities Level 2 – based on valuation techniques for which 第二級 －基於對公平值計量有重大 the lowest level input that is significan</t>
        </is>
      </c>
    </row>
    <row r="6">
      <c r="A6" s="8" t="inlineStr">
        <is>
          <t>Fair Value Measurement</t>
        </is>
      </c>
      <c r="B6" s="8" t="inlineStr">
        <is>
          <t>公允價值計量</t>
        </is>
      </c>
      <c r="C6" s="19" t="inlineStr">
        <is>
          <t>high</t>
        </is>
      </c>
      <c r="D6" s="11" t="inlineStr">
        <is>
          <t>公允價值</t>
        </is>
      </c>
      <c r="E6" s="11" t="inlineStr">
        <is>
          <t>PDF p.142 (印刷頁 141)</t>
        </is>
      </c>
      <c r="F6" s="11" t="inlineStr">
        <is>
          <t>g amount of the investment (including goodwill) is 值與其可收回金額。可收回金額按聯營 tested for impairment by comparing the carrying amount 公司的使用價值與其公允價值減出售成 with its recoverable amount. The recoverable amount is 本兩者中的較高者釐定。計算使用價值 determined as the higher of the associate’s value in use 時，管理層須估計預期聯營公司產生的 and its fair value less costs of disposal. The calculation 估計未來現金流量的現值。該評估涉及 of value in use requires management to estimate the 管理層對預期未來現金流量作出的重大 present value of the estimated future cash flows expected 估計及假設。 to be generated by associates.</t>
        </is>
      </c>
    </row>
    <row r="7">
      <c r="A7" s="8" t="inlineStr">
        <is>
          <t>Fair Value Measurement</t>
        </is>
      </c>
      <c r="B7" s="8" t="inlineStr">
        <is>
          <t>公允價值計量</t>
        </is>
      </c>
      <c r="C7" s="19" t="inlineStr">
        <is>
          <t>high</t>
        </is>
      </c>
      <c r="D7" s="11" t="inlineStr">
        <is>
          <t>level 3</t>
        </is>
      </c>
      <c r="E7" s="11" t="inlineStr">
        <is>
          <t>PDF p.144 (印刷頁 143)</t>
        </is>
      </c>
      <c r="F7" s="11" t="inlineStr">
        <is>
          <t>tors could affect the reported fair value of financial 註41。 instruments. The Group classifies the fair value of these investments as Level 3. Further details are included in Note 41 to the financial statements. 143</t>
        </is>
      </c>
    </row>
    <row r="8">
      <c r="A8" s="8" t="inlineStr">
        <is>
          <t>Fair Value Measurement</t>
        </is>
      </c>
      <c r="B8" s="8" t="inlineStr">
        <is>
          <t>公允價值計量</t>
        </is>
      </c>
      <c r="C8" s="19" t="inlineStr">
        <is>
          <t>high</t>
        </is>
      </c>
      <c r="D8" s="11" t="inlineStr">
        <is>
          <t>fair value hierarchy</t>
        </is>
      </c>
      <c r="E8" s="11" t="inlineStr">
        <is>
          <t>PDF p.172 (印刷頁 171)</t>
        </is>
      </c>
      <c r="F8" s="11" t="inlineStr">
        <is>
          <t>nsolidated Financial Statements 綜合財務報表附註 Year ended 31 March 2026 截至二零二六年三月三十一日止年度 14. INVESTMENT PROPERTIES 14. 投資物業（續） (Continued) FAIR VALUE HIERARCHY 公平值層級 The following table illustrates the fair value measurement 下表列示本集團投資物業之公平值計量 hierarchy of the Group’s investment properties: 層級： Fair value measurement as at 31 March 2026 using 於二零二六年三月三十一日 使用以下各項進行之公平值計量 Quoted prices Significant Significant in active observable unobservable markets inputs inputs (Level 1) (Level 2) (Level 3) Total 於活躍市場 重大可觀察 重大不可觀察 之報價 輸入值 輸入值 （第一級）</t>
        </is>
      </c>
    </row>
    <row r="9">
      <c r="A9" s="8" t="inlineStr">
        <is>
          <t>Fair Value Measurement</t>
        </is>
      </c>
      <c r="B9" s="8" t="inlineStr">
        <is>
          <t>公允價值計量</t>
        </is>
      </c>
      <c r="C9" s="19" t="inlineStr">
        <is>
          <t>high</t>
        </is>
      </c>
      <c r="D9" s="11" t="inlineStr">
        <is>
          <t>fair value hierarchy</t>
        </is>
      </c>
      <c r="E9" s="11" t="inlineStr">
        <is>
          <t>PDF p.173 (印刷頁 172)</t>
        </is>
      </c>
      <c r="F9" s="11" t="inlineStr">
        <is>
          <t>nsolidated Financial Statements 綜合財務報表附註 Year ended 31 March 2026 截至二零二六年三月三十一日止年度 14. INVESTMENT PROPERTIES 14. 投資物業（續） (Continued) FAIR VALUE HIERARCHY (Continued) 公平值層級（續） Fair value measurement as at 31 March 2025 using 於二零二五年三月三十一日 使用以下各項進行之公平值計量 Quoted prices Significant Significant in active observable unobservable markets inputs inputs (Level 1) (Level 2) (Level 3) Total 於活躍市場 重大可觀察 重大不可觀察 之報價 輸入值 輸入值 （第一級） （第二級） （第三級） 總計 HK$’000 HK$’000 HK$’000 HK$’000 千港元 千港元 千港元 千港元 Hong Kong: 香港： Commercial properties 商業物業 – – 81,40</t>
        </is>
      </c>
    </row>
    <row r="10">
      <c r="A10" s="8" t="inlineStr">
        <is>
          <t>Fair Value Measurement</t>
        </is>
      </c>
      <c r="B10" s="8" t="inlineStr">
        <is>
          <t>公允價值計量</t>
        </is>
      </c>
      <c r="C10" s="19" t="inlineStr">
        <is>
          <t>high</t>
        </is>
      </c>
      <c r="D10" s="11" t="inlineStr">
        <is>
          <t>fair value hierarchy</t>
        </is>
      </c>
      <c r="E10" s="11" t="inlineStr">
        <is>
          <t>PDF p.174 (印刷頁 173)</t>
        </is>
      </c>
      <c r="F10" s="11" t="inlineStr">
        <is>
          <t>nsolidated Financial Statements 綜合財務報表附註 Year ended 31 March 2026 截至二零二六年三月三十一日止年度 14. INVESTMENT PROPERTIES 14. 投資物業（續） (Continued) FAIR VALUE HIERARCHY (Continued) 公平值層級（續） Reconciliation of fair value measurements categorised 歸類於第三級公平值層級內之公平值計 within Level 3 of the fair value hierarchy: 量對賬： Hong Kong Mainland China 香港 中國大陸 Commercial Industrial Residential Commercial Industrial properties properties properties properties properties 商業物業 工業物業 住宅物業 商業物業 工業物業 HK$’000 HK$’000 HK$’000 HK$’000 HK$’000 千港元 千港元 千港元 千港元 千港元 Carrying</t>
        </is>
      </c>
    </row>
    <row r="11">
      <c r="A11" s="8" t="inlineStr">
        <is>
          <t>Fair Value Measurement</t>
        </is>
      </c>
      <c r="B11" s="8" t="inlineStr">
        <is>
          <t>公允價值計量</t>
        </is>
      </c>
      <c r="C11" s="19" t="inlineStr">
        <is>
          <t>high</t>
        </is>
      </c>
      <c r="D11" s="11" t="inlineStr">
        <is>
          <t>fair value hierarchy</t>
        </is>
      </c>
      <c r="E11" s="11" t="inlineStr">
        <is>
          <t>PDF p.175 (印刷頁 174)</t>
        </is>
      </c>
      <c r="F11" s="11" t="inlineStr">
        <is>
          <t>nsolidated Financial Statements 綜合財務報表附註 Year ended 31 March 2026 截至二零二六年三月三十一日止年度 14. INVESTMENT PROPERTIES 14. 投資物業（續） (Continued) FAIR VALUE HIERARCHY (Continued) 公平值層級（續） Below is a summary of the valuation techniques used and 下表概述投資物業估值所用之估值技術 the key inputs to the valuation of investment properties: 及主要輸入值： Significant Valuation techniques unobservable inputs Range 估值技術 重大不可觀察輸入值 範圍 2026 2025 二零二六年 二零二五年 Hong Kong: 香港： Commercial properties Direct comparison approach Estimated market price HK$15,500 to HK$17,000 to (per s</t>
        </is>
      </c>
    </row>
    <row r="12">
      <c r="A12" s="8" t="inlineStr">
        <is>
          <t>Fair Value Measurement</t>
        </is>
      </c>
      <c r="B12" s="8" t="inlineStr">
        <is>
          <t>公允價值計量</t>
        </is>
      </c>
      <c r="C12" s="19" t="inlineStr">
        <is>
          <t>high</t>
        </is>
      </c>
      <c r="D12" s="11" t="inlineStr">
        <is>
          <t>fair value hierarchy</t>
        </is>
      </c>
      <c r="E12" s="11" t="inlineStr">
        <is>
          <t>PDF p.176 (印刷頁 175)</t>
        </is>
      </c>
      <c r="F12" s="11" t="inlineStr">
        <is>
          <t>nsolidated Financial Statements 綜合財務報表附註 Year ended 31 March 2026 截至二零二六年三月三十一日止年度 14. INVESTMENT PROPERTIES 14. 投資物業（續） (Continued) FAIR VALUE HIERARCHY (Continued) 公平值層級（續） Under the direct comparison approach, fair value is 根據直接比較法，公平值乃參考鄰近類 estimated with reference to recent transactions for similar 似物業之近期交易作出估計，並就可資 properties in the proximity with adjustments for the 比較物業與標的物業之交易日期、樓齡、 differences in transaction dates, building age, floor area, 樓面面積等之差異作出調整。 etc. between the comparable properties and the subject propertie</t>
        </is>
      </c>
    </row>
    <row r="13">
      <c r="A13" s="8" t="inlineStr">
        <is>
          <t>Fair Value Measurement</t>
        </is>
      </c>
      <c r="B13" s="8" t="inlineStr">
        <is>
          <t>公允價值計量</t>
        </is>
      </c>
      <c r="C13" s="19" t="inlineStr">
        <is>
          <t>high</t>
        </is>
      </c>
      <c r="D13" s="11" t="inlineStr">
        <is>
          <t>valuation technique</t>
        </is>
      </c>
      <c r="E13" s="11" t="inlineStr">
        <is>
          <t>PDF p.228 (印刷頁 227)</t>
        </is>
      </c>
      <c r="F13" s="11" t="inlineStr">
        <is>
          <t>determined with reference to comparable public 礎。 companies and includes appropriate risk adjustments for lack of marketability. The valuation technique of an unlisted investment has 由於年內近期交易有限，因此近期交易 been changed from recent transaction approach to 法被認為不適用，故一項非上市投資的 market approach due to the limited availability of recent 估值方法已由近期交易法改為市場法。 transaction during the year, and as such, the recent transaction approach is considered not applicable. 227</t>
        </is>
      </c>
    </row>
    <row r="14">
      <c r="A14" s="8" t="inlineStr">
        <is>
          <t>Fair Value Measurement</t>
        </is>
      </c>
      <c r="B14" s="8" t="inlineStr">
        <is>
          <t>公允價值計量</t>
        </is>
      </c>
      <c r="C14" s="19" t="inlineStr">
        <is>
          <t>high</t>
        </is>
      </c>
      <c r="D14" s="11" t="inlineStr">
        <is>
          <t>unobservable input</t>
        </is>
      </c>
      <c r="E14" s="11" t="inlineStr">
        <is>
          <t>PDF p.229 (印刷頁 228)</t>
        </is>
      </c>
      <c r="F14" s="11" t="inlineStr">
        <is>
          <t>AIR VALUE AND FAIR VALUE 41. 金融工具之公平值及公平值 HIERARCHY OF FINANCIAL 層級（續） INSTRUMENTS (Continued) Below is a summary of the significant unobservable input 下文概述金融工具估值的重大不可觀察 to the valuation of financial instrument together with a 輸入數據連同於二零二六年三月三十一 quantitative sensitivity analysis as at 31 March 2026 and 日及二零二五年三月三十一日的量化敏 31 March 2025: 感度分析： Significant Significant valuation unobservable technique input Range/Rate Sensitivity of fair value to the input 重大不可觀察 重大估值技術 輸入數據 範圍╱比率 公平值對輸入數據之敏感度 Unlisted investment Asset-based Discount</t>
        </is>
      </c>
    </row>
    <row r="15">
      <c r="A15" s="8" t="inlineStr">
        <is>
          <t>Fair Value Measurement</t>
        </is>
      </c>
      <c r="B15" s="8" t="inlineStr">
        <is>
          <t>公允價值計量</t>
        </is>
      </c>
      <c r="C15" s="19" t="inlineStr">
        <is>
          <t>high</t>
        </is>
      </c>
      <c r="D15" s="11" t="inlineStr">
        <is>
          <t>fair value hierarchy</t>
        </is>
      </c>
      <c r="E15" s="11" t="inlineStr">
        <is>
          <t>PDF p.230 (印刷頁 229)</t>
        </is>
      </c>
      <c r="F15" s="11" t="inlineStr">
        <is>
          <t>d 31 March 2026 截至二零二六年三月三十一日止年度 41. FAIR VALUE AND FAIR VALUE 41. 金融工具之公平值及公平值 HIERARCHY OF FINANCIAL 層級（續） INSTRUMENTS (Continued) FAIR VALUE HIERARCHY 公平值層級 The following tables illustrate the fair value measurement 下表闡明本集團金融工具之公平值計量 hierarchy of the Group’s financial instruments: 層級︰ Financial assets measured at fair value: 按公平值計量之金融資產： As at 31 March 2026 於二零二六年三月三十一日 Fair value measurement using 公平值計量使用 Quoted prices Significant Significant in active observable unobservable markets inputs inputs (Level 1) (Level 2) (Level</t>
        </is>
      </c>
    </row>
    <row r="16">
      <c r="A16" s="8" t="inlineStr">
        <is>
          <t>Fair Value Measurement</t>
        </is>
      </c>
      <c r="B16" s="8" t="inlineStr">
        <is>
          <t>公允價值計量</t>
        </is>
      </c>
      <c r="C16" s="19" t="inlineStr">
        <is>
          <t>high</t>
        </is>
      </c>
      <c r="D16" s="11" t="inlineStr">
        <is>
          <t>level 1</t>
        </is>
      </c>
      <c r="E16" s="11" t="inlineStr">
        <is>
          <t>PDF p.253 (印刷頁 252)</t>
        </is>
      </c>
      <c r="F16" s="11" t="inlineStr">
        <is>
          <t>-S113, Medium term lease C 2,330 100 Completed 8-S212, 8-S301 and 8-S401 of the 4-storey building, and 10 parking spaces at basement Level 1 No. 8 Building on Land A3-4 Fifth Avenue Runcheng Apartment Complex Qianxing Road, Xishan District Kunming, Yunan Province 雲南省昆明市 中期租約 商業 已落成 西山區前興路 潤城小區第五大道 A3-4地塊8棟上之四層樓宇 編號為8-S113、8-S212、 8-S301及8-S401之商業單位 以及於該樓宇地庫1層之 10個停車位 Notes: 附註： Types of properties: I-Industrial, R-Residential, C-Commercial 物業類別：I－工業，R－住宅，C－商業 252</t>
        </is>
      </c>
    </row>
    <row r="17">
      <c r="A17" s="8" t="inlineStr">
        <is>
          <t>Impairment Testing</t>
        </is>
      </c>
      <c r="B17" s="8" t="inlineStr">
        <is>
          <t>減值測試</t>
        </is>
      </c>
      <c r="C17" s="19" t="inlineStr">
        <is>
          <t>high</t>
        </is>
      </c>
      <c r="D17" s="11" t="inlineStr">
        <is>
          <t>impairment test</t>
        </is>
      </c>
      <c r="E17" s="11" t="inlineStr">
        <is>
          <t>PDF p.72 (印刷頁 71)</t>
        </is>
      </c>
      <c r="F17" s="11" t="inlineStr">
        <is>
          <t>financial statements. 請參閱綜合財務報表附註17。 The Group tested the amount of interests in associates 貴集團對於聯營公司權益的金額進行減值測 for impairment. This impairment test is significant to our 試。該減值測試對本核數師的審核工作十分重 audit because the balance of interests in associates of 要，原因為於二零二六年三月三十一日的於聯 HK$1,133,358,000 as at 31 March 2026 is material to the 營公司權益結餘1,133,358,000港元對綜合財 consolidated financial statements. In addition, the Group’s 務報表而言屬重大。此外， 貴集團的減值測 impairment test involves application of judgement and is based 試涉及應用判斷，並以假設及估計為基礎。 on assumptions an</t>
        </is>
      </c>
    </row>
    <row r="18">
      <c r="A18" s="8" t="inlineStr">
        <is>
          <t>Impairment Testing</t>
        </is>
      </c>
      <c r="B18" s="8" t="inlineStr">
        <is>
          <t>減值測試</t>
        </is>
      </c>
      <c r="C18" s="19" t="inlineStr">
        <is>
          <t>high</t>
        </is>
      </c>
      <c r="D18" s="11" t="inlineStr">
        <is>
          <t>impairment loss</t>
        </is>
      </c>
      <c r="E18" s="11" t="inlineStr">
        <is>
          <t>PDF p.102 (印刷頁 101)</t>
        </is>
      </c>
      <c r="F18" s="11" t="inlineStr">
        <is>
          <t>ncial position at the 根據權益會計法計算所佔資產淨值減去 Group’s share of net assets under the equity method of 任何減值虧損後於綜合財務狀況表列 accounting, less any impairment losses. Adjustments are 賬。對於可能存在不一致的會計政策已 made to bring into line any dissimilar accounting policies 作出調整，以使其一致。 that may exist. The Group’s share of the post-acquisition results and 本集團應佔聯營公司收購後業績及其他 other comprehensive income of associates is included 全面收入分別計入綜合損益表及綜合其 in the consolidated statement of profit or loss and 他全面收入。此外，倘直接於聯營公司的 consolidated other comprehensive income, respe</t>
        </is>
      </c>
    </row>
    <row r="19">
      <c r="A19" s="8" t="inlineStr">
        <is>
          <t>Impairment Testing</t>
        </is>
      </c>
      <c r="B19" s="8" t="inlineStr">
        <is>
          <t>減值測試</t>
        </is>
      </c>
      <c r="C19" s="19" t="inlineStr">
        <is>
          <t>high</t>
        </is>
      </c>
      <c r="D19" s="11" t="inlineStr">
        <is>
          <t>impairment test</t>
        </is>
      </c>
      <c r="E19" s="11" t="inlineStr">
        <is>
          <t>PDF p.105 (印刷頁 104)</t>
        </is>
      </c>
      <c r="F19" s="11" t="inlineStr">
        <is>
          <t>in circumstances indicate that the 值可能減值時，則會每年或更頻密地測 carrying value may be impaired. The Group performs its 試減值。本集團於三月三十一日進行商 annual impairment test of goodwill as at 31 March. For 譽之年度減值測試。就減值測試而言，企 the purpose of impairment testing, goodwill acquired 業合併所得之商譽自收購當日起分配至 in a business combination is, from the acquisition date, 本集團之各個現金產生單位或現金產生 allocated to each of the Group’s cash-generating units, 單位組別（預期會產生合併協同效益）， or groups of cash-generating units, that are expected to 而不論本集團其他資產或負債有否指定 benefit from the synergies of the com</t>
        </is>
      </c>
    </row>
    <row r="20">
      <c r="A20" s="8" t="inlineStr">
        <is>
          <t>Impairment Testing</t>
        </is>
      </c>
      <c r="B20" s="8" t="inlineStr">
        <is>
          <t>減值測試</t>
        </is>
      </c>
      <c r="C20" s="19" t="inlineStr">
        <is>
          <t>high</t>
        </is>
      </c>
      <c r="D20" s="11" t="inlineStr">
        <is>
          <t>impairment test</t>
        </is>
      </c>
      <c r="E20" s="11" t="inlineStr">
        <is>
          <t>PDF p.108 (印刷頁 107)</t>
        </is>
      </c>
      <c r="F20" s="11" t="inlineStr">
        <is>
          <t>續） (Continued) IMPAIRMENT OF NON-FINANCIAL 非金融資產減值 ASSETS Where an indication of impairment exists, or when 倘有出現減值或須就資產進行年度減值 annual impairment testing for an asset is required (other 測試（存貨、遞延稅項資產、金融資產、 than inventories, deferred tax assets, financial assets, 投資物業及分類為持作出售資產外）的 investment properties and assets classified as held for 跡象出現，則會估計資產之可收回數額。 sale), the asset’s recoverable amount is estimated. An 資產之可收回數額為資產或現金產生單 asset’s recoverable amount is the higher of the asset’s 位之使用價值及其公平值減銷售成本之 or cash-generating unit’s value i</t>
        </is>
      </c>
    </row>
    <row r="21">
      <c r="A21" s="8" t="inlineStr">
        <is>
          <t>Impairment Testing</t>
        </is>
      </c>
      <c r="B21" s="8" t="inlineStr">
        <is>
          <t>減值測試</t>
        </is>
      </c>
      <c r="C21" s="19" t="inlineStr">
        <is>
          <t>high</t>
        </is>
      </c>
      <c r="D21" s="11" t="inlineStr">
        <is>
          <t>impairment loss</t>
        </is>
      </c>
      <c r="E21" s="11" t="inlineStr">
        <is>
          <t>PDF p.109 (印刷頁 108)</t>
        </is>
      </c>
      <c r="F21" s="11" t="inlineStr">
        <is>
          <t>the end of each reporting 在各報告期末會評估有否於過往已確認 period as to whether there is an indication that previously 之資產減值虧損可能不再存在或可能減 recognised impairment losses may no longer exist or 少之跡象。倘出現任何該等跡象，會估 may have decreased. If such an indication exists, the 計可收回數額。只有當用以確定資產可 recoverable amount is estimated. A previously recognised 收回數額之估計出現更改時，才可將以 impairment loss of an asset other than goodwill is 往確認之資產（不包括商譽）減值虧損回 reversed only if there has been a change in the estimates 撥，但回撥數額並不可高於假若過往年 used to determine the recoverable amount of that</t>
        </is>
      </c>
    </row>
    <row r="22">
      <c r="A22" s="8" t="inlineStr">
        <is>
          <t>Impairment Testing</t>
        </is>
      </c>
      <c r="B22" s="8" t="inlineStr">
        <is>
          <t>減值測試</t>
        </is>
      </c>
      <c r="C22" s="19" t="inlineStr">
        <is>
          <t>high</t>
        </is>
      </c>
      <c r="D22" s="11" t="inlineStr">
        <is>
          <t>impairment loss</t>
        </is>
      </c>
      <c r="E22" s="11" t="inlineStr">
        <is>
          <t>PDF p.111 (印刷頁 110)</t>
        </is>
      </c>
      <c r="F22" s="11" t="inlineStr">
        <is>
          <t>construction in 除在建工程以外之物業、廠房及設備乃 progress, are stated at cost or valuation less accumulated 按成本值或估值減累計折舊及任何減值 depreciation and any impairment losses. When an item 虧損列值。當物業、廠房及設備項目屬於 of property, plant and equipment is part of a disposal 分類為持作出售的出售組別時，則不計 group classified as held for sale, it is not depreciated and 提折舊，並根據香港財務報告準則第5號 is accounted for in accordance with HKFRS 5, as further 入賬，誠如「持作出售的出售組別」的會 explained in the accounting policy for “Disposal groups 計政策所進一步詳述。物業、廠房及設備 held for sale”. The cost of an item of propert</t>
        </is>
      </c>
    </row>
    <row r="23">
      <c r="A23" s="8" t="inlineStr">
        <is>
          <t>Impairment Testing</t>
        </is>
      </c>
      <c r="B23" s="8" t="inlineStr">
        <is>
          <t>減值測試</t>
        </is>
      </c>
      <c r="C23" s="19" t="inlineStr">
        <is>
          <t>high</t>
        </is>
      </c>
      <c r="D23" s="11" t="inlineStr">
        <is>
          <t>impairment loss</t>
        </is>
      </c>
      <c r="E23" s="11" t="inlineStr">
        <is>
          <t>PDF p.112 (印刷頁 111)</t>
        </is>
      </c>
      <c r="F23" s="11" t="inlineStr">
        <is>
          <t>es proceeds and the 之差額。 carrying amount of the relevant asset. Construction in progress is stated at cost less any 在建工程乃按成本減任何減值虧損列 impairment losses, and is not depreciated. It is reclassified 賬，但不會計提折舊。在建工程於完工且 to the appropriate category of property, plant and 可供使用時將重新歸入物業、廠房及設 equipment when completed and ready for use. 備的適當類別。 111</t>
        </is>
      </c>
    </row>
    <row r="24">
      <c r="A24" s="8" t="inlineStr">
        <is>
          <t>Impairment Testing</t>
        </is>
      </c>
      <c r="B24" s="8" t="inlineStr">
        <is>
          <t>減值測試</t>
        </is>
      </c>
      <c r="C24" s="19" t="inlineStr">
        <is>
          <t>high</t>
        </is>
      </c>
      <c r="D24" s="11" t="inlineStr">
        <is>
          <t>impairment loss</t>
        </is>
      </c>
      <c r="E24" s="11" t="inlineStr">
        <is>
          <t>PDF p.114 (印刷頁 113)</t>
        </is>
      </c>
      <c r="F24" s="11" t="inlineStr">
        <is>
          <t>available for use). Right-of- 權資產按成本減任何累計折舊及任 use assets are measured at cost, less accumulated 何減值虧損計量，並可就任何租賃 depreciation and any impairment losses, and 負債重新計量予以調整。使用權資 adjusted for any remeasurement of lease liabilities. 產的成本包括已確認租賃負債金 The cost of right-of-use assets includes the amount 額、已產生初始直接成本以及於開 of lease liabilities recognised, initial direct costs 始日期或之前所作出租賃付款減任 incurred, and lease payments made at or before 何已收取租賃優惠。倘適用，使用 the commencement date less any lease incentives 權資產的成本亦包括清拆及移除相 received. Where applicable,</t>
        </is>
      </c>
    </row>
    <row r="25">
      <c r="A25" s="8" t="inlineStr">
        <is>
          <t>Impairment Testing</t>
        </is>
      </c>
      <c r="B25" s="8" t="inlineStr">
        <is>
          <t>減值測試</t>
        </is>
      </c>
      <c r="C25" s="19" t="inlineStr">
        <is>
          <t>high</t>
        </is>
      </c>
      <c r="D25" s="11" t="inlineStr">
        <is>
          <t>value in use</t>
        </is>
      </c>
      <c r="E25" s="11" t="inlineStr">
        <is>
          <t>PDF p.141 (印刷頁 140)</t>
        </is>
      </c>
      <c r="F25" s="11" t="inlineStr">
        <is>
          <t>mines whether goodwill is impaired at 本集團最少每年釐定商譽是否需要減 least on an annual basis. This requires an estimation of 值。因此須估計被分配商譽的現金產 the value in use of the cash-generating units to which 生單位之使用價值。估計使用價值需 the goodwill is allocated. Estimating the value in use 要本集團對現金產生單位之預期日後 requires the Group to make an estimate of the expected 現金流量作出估計，並選擇合適之折 future cash flows from the cash-generating units and also 扣率以計算該等現金流量之現值。於 to choose a suitable discount rate in order to calculate 二零二六年三月三十一日，商譽之賬面 the present value of those cash flows.</t>
        </is>
      </c>
    </row>
    <row r="26">
      <c r="A26" s="8" t="inlineStr">
        <is>
          <t>Impairment Testing</t>
        </is>
      </c>
      <c r="B26" s="8" t="inlineStr">
        <is>
          <t>減值測試</t>
        </is>
      </c>
      <c r="C26" s="19" t="inlineStr">
        <is>
          <t>high</t>
        </is>
      </c>
      <c r="D26" s="11" t="inlineStr">
        <is>
          <t>recoverable amount</t>
        </is>
      </c>
      <c r="E26" s="11" t="inlineStr">
        <is>
          <t>PDF p.142 (印刷頁 141)</t>
        </is>
      </c>
      <c r="F26" s="11" t="inlineStr">
        <is>
          <t>vestment (including goodwill) is 值與其可收回金額。可收回金額按聯營 tested for impairment by comparing the carrying amount 公司的使用價值與其公允價值減出售成 with its recoverable amount. The recoverable amount is 本兩者中的較高者釐定。計算使用價值 determined as the higher of the associate’s value in use 時，管理層須估計預期聯營公司產生的 and its fair value less costs of disposal. The calculation 估計未來現金流量的現值。該評估涉及 of value in use requires management to estimate the 管理層對預期未來現金流量作出的重大 present value of the estimated future cash flows expected 估計及假設。 to be generated by associates. This assessment in</t>
        </is>
      </c>
    </row>
    <row r="27">
      <c r="A27" s="8" t="inlineStr">
        <is>
          <t>Impairment Testing</t>
        </is>
      </c>
      <c r="B27" s="8" t="inlineStr">
        <is>
          <t>減值測試</t>
        </is>
      </c>
      <c r="C27" s="19" t="inlineStr">
        <is>
          <t>high</t>
        </is>
      </c>
      <c r="D27" s="11" t="inlineStr">
        <is>
          <t>recoverable amount</t>
        </is>
      </c>
      <c r="E27" s="11" t="inlineStr">
        <is>
          <t>PDF p.143 (印刷頁 142)</t>
        </is>
      </c>
      <c r="F27" s="11" t="inlineStr">
        <is>
          <t>An impairment exists when the carrying 收回金額時，即公平值減去出售成本及 value of an asset or a cash-generating unit exceeds its 其使用價值之較高者，則存在減值。公平 recoverable amount, which is the higher of its fair value 值減去出售成本之計算方法，除其他事 less costs of disposal and its value in use. The calculation 項外，為根據有約束力之出售交易公平 of the fair value less costs of disposal is based on, inter 交易類似資產可得數據或以有明顯的市 alia, available data from binding sales transactions in an 場價格減因銷售資產而產生之成本。計 arm’s length transaction of similar assets or observable 算使用價值時，管理層必須估計資產或 market prices l</t>
        </is>
      </c>
    </row>
    <row r="28">
      <c r="A28" s="8" t="inlineStr">
        <is>
          <t>Impairment Testing</t>
        </is>
      </c>
      <c r="B28" s="8" t="inlineStr">
        <is>
          <t>減值測試</t>
        </is>
      </c>
      <c r="C28" s="19" t="inlineStr">
        <is>
          <t>high</t>
        </is>
      </c>
      <c r="D28" s="11" t="inlineStr">
        <is>
          <t>impairment loss</t>
        </is>
      </c>
      <c r="E28" s="11" t="inlineStr">
        <is>
          <t>PDF p.144 (印刷頁 143)</t>
        </is>
      </c>
      <c r="F28" s="11" t="inlineStr">
        <is>
          <t>estimation of the amount and timing of 計未來現金流量之金額及時間，以及於 future cash flows and collateral values when determining 釐定減值虧損及評估信貸風險顯著增加 impairment losses and the assessment of a significant 時之抵押品價值後釐定。該等估計乃基 increase in credit risk. These estimates are driven by a 於多項因素而達致，其變動可能導致不 number of factors, changes in which can result in different 同程度之撥備。 levels of allowances. Fair value of unlisted equity investments 非上市股本投資之公平值 When the fair values of financial assets recorded in the 倘於財務狀況表入賬的財務資產公平值 statement of financial position ca</t>
        </is>
      </c>
    </row>
    <row r="29">
      <c r="A29" s="8" t="inlineStr">
        <is>
          <t>Impairment Testing</t>
        </is>
      </c>
      <c r="B29" s="8" t="inlineStr">
        <is>
          <t>減值測試</t>
        </is>
      </c>
      <c r="C29" s="19" t="inlineStr">
        <is>
          <t>high</t>
        </is>
      </c>
      <c r="D29" s="11" t="inlineStr">
        <is>
          <t>impairment loss</t>
        </is>
      </c>
      <c r="E29" s="11" t="inlineStr">
        <is>
          <t>PDF p.170 (印刷頁 169)</t>
        </is>
      </c>
      <c r="F29" s="11" t="inlineStr">
        <is>
          <t>easehold land and buildings been carried at 倘該等租賃土地及樓宇以歷史成本減 historical cost less accumulated depreciation and any 累計折舊及任何減值虧損入賬，其總賬 impairment losses, their total carrying amount would have 面值應約為20,000港元（二零二五年： been approximately HK$20,000 (2025: HK$122,000). 122,000港元）。 At 31 March 2026, certain of the Group’s property, 於二零二六年三月三十一日，本集團賬 plant and equipment with a net carrying amount of 面淨值約189,051,000港元（二零二五 approximately HK$189,051,000 (2025: HK$101,283,000) 年：101,283,000港元）之若干物業、廠 were pledged to secure certain banking fac</t>
        </is>
      </c>
    </row>
    <row r="30">
      <c r="A30" s="8" t="inlineStr">
        <is>
          <t>Impairment Testing</t>
        </is>
      </c>
      <c r="B30" s="8" t="inlineStr">
        <is>
          <t>減值測試</t>
        </is>
      </c>
      <c r="C30" s="19" t="inlineStr">
        <is>
          <t>high</t>
        </is>
      </c>
      <c r="D30" s="11" t="inlineStr">
        <is>
          <t>impairment test</t>
        </is>
      </c>
      <c r="E30" s="11" t="inlineStr">
        <is>
          <t>PDF p.178 (印刷頁 177)</t>
        </is>
      </c>
      <c r="F30" s="11" t="inlineStr">
        <is>
          <t>d equipment and 物業、廠房及設備，及使用權資 right-of-use assets 產之減值 As at 31 March 2026 and 31 March 2025, the 於二零二六年三月三十一日及二 Group performed an impairment test on a cash- 零二五年三月三十一日，由於港 generating unit which engaged in Hong Kong 式「茶餐廳」業務規模縮減，本集 restaurant due to the downsizing of the Hong Kong 團對經營香港餐飲業務的現金產 style “Cha Chaan Teng” restaurant business. The 生單位進行減值測試。該現金產生 recoverable amount of the cash-generating unit was 單位的可收回金額為零（二零二五 Nil (2025: Nil) which was determined based on a 年：零），此乃根據採用10%（二零 value in use calculation using cash f</t>
        </is>
      </c>
    </row>
    <row r="31">
      <c r="A31" s="8" t="inlineStr">
        <is>
          <t>Impairment Testing</t>
        </is>
      </c>
      <c r="B31" s="8" t="inlineStr">
        <is>
          <t>減值測試</t>
        </is>
      </c>
      <c r="C31" s="19" t="inlineStr">
        <is>
          <t>high</t>
        </is>
      </c>
      <c r="D31" s="11" t="inlineStr">
        <is>
          <t>impairment test</t>
        </is>
      </c>
      <c r="E31" s="11" t="inlineStr">
        <is>
          <t>PDF p.183 (印刷頁 182)</t>
        </is>
      </c>
      <c r="F31" s="11" t="inlineStr">
        <is>
          <t>026 Notes to Consolidated Financial Statements 綜合財務報表附註 Year ended 31 March 2026 截至二零二六年三月三十一日止年度 16. GOODWILL 16. 商譽（續） (Continued) IMPAIRMENT TESTING OF GOODWILL 商譽之減值測試 Goodwill acquired through business combinations is 由業務合併所收購之商譽已分配至以下 allocated to the following cash-generating units for 現金產生單位以作減值測試： impairment testing: • Mainland China food supply business; and ‧ 中國大陸食品供應業務；及 • Hong Kong restaurant and food. ‧ 香港餐飲及食品。 The carrying amount of goodwill allocated to each of the 分配至各現金產生單位之商譽賬面值如 cash-generating units is as</t>
        </is>
      </c>
    </row>
    <row r="32">
      <c r="A32" s="8" t="inlineStr">
        <is>
          <t>Impairment Testing</t>
        </is>
      </c>
      <c r="B32" s="8" t="inlineStr">
        <is>
          <t>減值測試</t>
        </is>
      </c>
      <c r="C32" s="19" t="inlineStr">
        <is>
          <t>high</t>
        </is>
      </c>
      <c r="D32" s="11" t="inlineStr">
        <is>
          <t>impairment test</t>
        </is>
      </c>
      <c r="E32" s="11" t="inlineStr">
        <is>
          <t>PDF p.184 (印刷頁 183)</t>
        </is>
      </c>
      <c r="F32" s="11" t="inlineStr">
        <is>
          <t>6年報 Notes to Consolidated Financial Statements 綜合財務報表附註 Year ended 31 March 2026 截至二零二六年三月三十一日止年度 16. GOODWILL 16. 商譽（續） (Continued) IMPAIRMENT TESTING OF GOODWILL 商譽之減值測試（續） (Continued) Assumptions were used in the value in use calculations 計算二零二六年三月三十一日及二零 of the above cash-generating units for 31 March 2026 二五年三月三十一日之上述現金產生單 and 31 March 2025. The following describes each key 位之使用價值時曾使用假設。管理層按 assumption on which management has based its cash 其現金流量預測進行商譽減值測試所依 flow projections to undertake impairment testing of 據之各主要假設載述如下：</t>
        </is>
      </c>
    </row>
    <row r="33">
      <c r="A33" s="8" t="inlineStr">
        <is>
          <t>Impairment Testing</t>
        </is>
      </c>
      <c r="B33" s="8" t="inlineStr">
        <is>
          <t>減值測試</t>
        </is>
      </c>
      <c r="C33" s="19" t="inlineStr">
        <is>
          <t>high</t>
        </is>
      </c>
      <c r="D33" s="11" t="inlineStr">
        <is>
          <t>impairment loss</t>
        </is>
      </c>
      <c r="E33" s="11" t="inlineStr">
        <is>
          <t>PDF p.193 (印刷頁 192)</t>
        </is>
      </c>
      <c r="F33" s="11" t="inlineStr">
        <is>
          <t>之減值虧損撥備變動如 trade receivables are as follows: 下： 2026 2025 二零二六年 二零二五年 HK$’000 HK$’000 千港元 千港元 At beginning of year 於年初 27,183 27,213 Impairment losses, net (note 6) 減值虧損，淨額（附註6） 120 74 Exchange realignment 匯兌調整 1,051 (104) At 31 March 於三月三十一日 28,354 27,183 An impairment analysis is performed at each reporting 本集團於各報告日期均使撥備矩陣進行 date using a provision matrix to measure expected credit 減值分析，以計量預期信貸虧損。撥備率 losses. The provision rates are based on days past 乃根據擁有類似虧損模式的多個客戶分 due for groupings of various customer segments with 部組別的逾期日</t>
        </is>
      </c>
    </row>
    <row r="34">
      <c r="A34" s="8" t="inlineStr">
        <is>
          <t>Impairment Testing</t>
        </is>
      </c>
      <c r="B34" s="8" t="inlineStr">
        <is>
          <t>減值測試</t>
        </is>
      </c>
      <c r="C34" s="19" t="inlineStr">
        <is>
          <t>high</t>
        </is>
      </c>
      <c r="D34" s="11" t="inlineStr">
        <is>
          <t>減值虧損</t>
        </is>
      </c>
      <c r="E34" s="11" t="inlineStr">
        <is>
          <t>PDF p.195 (印刷頁 194)</t>
        </is>
      </c>
      <c r="F34" s="11" t="inlineStr">
        <is>
          <t>31 the loan Interest 2026 March 2026 (’000) rate (HK$’000) (HK$’000) Purpose 於二零二六年 貸款／ 三月三十一日 於二零二六年 投資的初始 之未償還 三月三十一日 本金額 本金額及利息 之減值虧損 Party: 人士： （千元） 利率 （千港元） （千港元） 用途 Counterparty A 對手方A RMB120,000 14.4% 151,180 477 Funding for a property per annum development project in the PRC 人民幣 每年14.4% 151,180 資金用於中國的一個物業開發 120,000元 項目 Counterparty B 對手方B RMB93,138 5% 10,453 10,453 Funding for the acquisition of per annum a shopping mall in the PRC 人民幣 每年5% 10,453 資金用於收購位於中國的一個 93,138元 購物中心 Counterparty C 對手方C RMB28,600 16% 34,485 34,</t>
        </is>
      </c>
    </row>
    <row r="35">
      <c r="A35" s="8" t="inlineStr">
        <is>
          <t>Impairment Testing</t>
        </is>
      </c>
      <c r="B35" s="8" t="inlineStr">
        <is>
          <t>減值測試</t>
        </is>
      </c>
      <c r="C35" s="19" t="inlineStr">
        <is>
          <t>high</t>
        </is>
      </c>
      <c r="D35" s="11" t="inlineStr">
        <is>
          <t>減值虧損</t>
        </is>
      </c>
      <c r="E35" s="11" t="inlineStr">
        <is>
          <t>PDF p.196 (印刷頁 195)</t>
        </is>
      </c>
      <c r="F35" s="11" t="inlineStr">
        <is>
          <t>三月三十一日採用之虧損率為 March 2026 was 31.8 (2025: 16.2%). 31.8%（二零二五年︰16.2%）。 The movements in the loss allowance for impairment of 其他應收賬款及按金之減值虧損撥備變 other receivables and deposits are as follows: 動如下： 2026 2025 二零二六年 二零二五年 HK$’000 HK$’000 千港元 千港元 At beginning of year 於年初 35,444 35,798 Provision/(reversal of impairment, 撥備╱減值撥回，淨額 net (note 6) （附註6） 35,646 (161) Exchange realignment 匯兌調整 2,532 (193) At 31 March 於三月三十一日 73,622 35,444 Except for the balances mentioned above, the remaining 除上文所述之結餘外，剩餘金融資產近 financial assets had no recent h</t>
        </is>
      </c>
    </row>
    <row r="36">
      <c r="A36" s="8" t="inlineStr">
        <is>
          <t>Intangible Assets &amp; Goodwill</t>
        </is>
      </c>
      <c r="B36" s="8" t="inlineStr">
        <is>
          <t>無形資產及商譽</t>
        </is>
      </c>
      <c r="C36" s="19" t="inlineStr">
        <is>
          <t>high</t>
        </is>
      </c>
      <c r="D36" s="11" t="inlineStr">
        <is>
          <t>amortization</t>
        </is>
      </c>
      <c r="E36" s="11" t="inlineStr">
        <is>
          <t>PDF p.72 (印刷頁 71)</t>
        </is>
      </c>
      <c r="F36" s="11" t="inlineStr">
        <is>
          <t>such － 通過與歷史趨勢分析（如適用）進行比 as revenue growth rates and earnings before finance 較，質疑管理層所應用的關鍵假設（如 costs, income tax, depreciation, and amortization margins 收入增長率及扣除融資成本、所得稅、 applied by management by comparing to historical trend 折舊及攤銷前利潤率）的合理性。 analyses, where applicable. We consider that the Group’s impairment assessment of 我們認為， 貴集團於聯營公司權益的減值 interests in associates is supported by the available evidence. 評估獲現有憑證支持。 71</t>
        </is>
      </c>
    </row>
    <row r="37">
      <c r="A37" s="8" t="inlineStr">
        <is>
          <t>Intangible Assets &amp; Goodwill</t>
        </is>
      </c>
      <c r="B37" s="8" t="inlineStr">
        <is>
          <t>無形資產及商譽</t>
        </is>
      </c>
      <c r="C37" s="19" t="inlineStr">
        <is>
          <t>high</t>
        </is>
      </c>
      <c r="D37" s="11" t="inlineStr">
        <is>
          <t>goodwill</t>
        </is>
      </c>
      <c r="E37" s="11" t="inlineStr">
        <is>
          <t>PDF p.77 (印刷頁 76)</t>
        </is>
      </c>
      <c r="F37" s="11" t="inlineStr">
        <is>
          <t>quipment 物業、廠房及設備 13 517,117 583,554 Investment properties 投資物業 14 2,324,849 2,150,380 Right-of-use assets 使用權資產 15(a) 90,434 96,335 Goodwill 商譽 16 28,162 28,162 Interests in associates 於聯營公司之權益 17 1,133,358 1,149,140 Equity investments designated 指定為按公平值列賬及 at fair value through other 於其他全面收入中處理 comprehensive income 之權益投資 18 28,118 69,484 Properties under development 發展中物業 20 330,426 312,939 Deferred tax assets 遞延稅項資產 30 16,529 14,836 Other receivables, deposits and 其他應收賬款、按金及 prepayments 預付款項 23 15,750 18,904 Total non-curren</t>
        </is>
      </c>
    </row>
    <row r="38">
      <c r="A38" s="8" t="inlineStr">
        <is>
          <t>Intangible Assets &amp; Goodwill</t>
        </is>
      </c>
      <c r="B38" s="8" t="inlineStr">
        <is>
          <t>無形資產及商譽</t>
        </is>
      </c>
      <c r="C38" s="19" t="inlineStr">
        <is>
          <t>high</t>
        </is>
      </c>
      <c r="D38" s="11" t="inlineStr">
        <is>
          <t>goodwill</t>
        </is>
      </c>
      <c r="E38" s="11" t="inlineStr">
        <is>
          <t>PDF p.80 (印刷頁 79)</t>
        </is>
      </c>
      <c r="F38" s="11" t="inlineStr">
        <is>
          <t>sehold Equity land and Share component of building Share Exchange Capital Capital Non- Issued premium convertible revaluation option Goodwill fluctuation redemption Reserve Fair value and other Retained controlling Total capital account bonds reserve reserve reserve reserve reserve funds reserve reserves profits Total interests equity 租賃土地 已發行 股份 可換股債券 及樓宇 購股權 匯兌 資本 公平值 資本及 非控股 股本 溢價賬 權益部份 重估儲備 儲備 商譽儲備 波動儲備 贖回儲備 儲備金 儲備 其他儲備 保留溢利 總計 權益 權益總值 Notes HK$’000 HK$’000 HK$’000 HK$’000 HK$’000 HK$’000 HK$’000 HK$’000 HK$’000 HK$’000 HK$</t>
        </is>
      </c>
    </row>
    <row r="39">
      <c r="A39" s="8" t="inlineStr">
        <is>
          <t>Intangible Assets &amp; Goodwill</t>
        </is>
      </c>
      <c r="B39" s="8" t="inlineStr">
        <is>
          <t>無形資產及商譽</t>
        </is>
      </c>
      <c r="C39" s="19" t="inlineStr">
        <is>
          <t>high</t>
        </is>
      </c>
      <c r="D39" s="11" t="inlineStr">
        <is>
          <t>goodwill</t>
        </is>
      </c>
      <c r="E39" s="11" t="inlineStr">
        <is>
          <t>PDF p.81 (印刷頁 80)</t>
        </is>
      </c>
      <c r="F39" s="11" t="inlineStr">
        <is>
          <t>sehold Equity land and Share component of building Share Exchange Capital Capital Non- Issued premium convertible revaluation option Goodwill fluctuation redemption Reserve Fair value and other Retained controlling Total capital account bonds reserve reserve reserve reserve reserve funds reserve reserves profits Total interests equity 租賃土地 已發行 股份 可換股債券 及樓宇 購股權 匯兌 資本 公平值 資本及 非控股 股本 溢價賬 權益部份 重估儲備 儲備 商譽儲備 波動儲備 贖回儲備 儲備金 儲備 其他儲備 保留溢利 總計 權益 權益總值 Notes HK$’000 HK$’000 HK$’000 HK$’000 HK$’000 HK$’000 HK$’000 HK$’000 HK$’000 HK$’000 HK$</t>
        </is>
      </c>
    </row>
    <row r="40">
      <c r="A40" s="8" t="inlineStr">
        <is>
          <t>Intangible Assets &amp; Goodwill</t>
        </is>
      </c>
      <c r="B40" s="8" t="inlineStr">
        <is>
          <t>無形資產及商譽</t>
        </is>
      </c>
      <c r="C40" s="19" t="inlineStr">
        <is>
          <t>high</t>
        </is>
      </c>
      <c r="D40" s="11" t="inlineStr">
        <is>
          <t>goodwill</t>
        </is>
      </c>
      <c r="E40" s="11" t="inlineStr">
        <is>
          <t>PDF p.91 (印刷頁 90)</t>
        </is>
      </c>
      <c r="F40" s="11" t="inlineStr">
        <is>
          <t>an equity transaction. If the Group loses control over a subsidiary, it 倘本集團失去對一間附屬公司之控制 derecognises the related assets (including goodwill), 權，則其撤銷確認相關資產（包括商譽） liabilities, any non-controlling interest and the exchange 及負債、任何非控制權益及外匯波動儲 fluctuation reserve; and recognises the fair value of any 備；及確認所保留任何投資之公平值及 investment retained and any resulting surplus or deficit 損益賬中任何因此產生之盈餘或虧絀。 in profit or loss. The Group’s share of components 先前於其他全面收入內確認之本集團應 previously recognised in other comprehensive income 佔部分會視乎情況按倘本集團直接出售 is</t>
        </is>
      </c>
    </row>
    <row r="41">
      <c r="A41" s="8" t="inlineStr">
        <is>
          <t>Intangible Assets &amp; Goodwill</t>
        </is>
      </c>
      <c r="B41" s="8" t="inlineStr">
        <is>
          <t>無形資產及商譽</t>
        </is>
      </c>
      <c r="C41" s="19" t="inlineStr">
        <is>
          <t>high</t>
        </is>
      </c>
      <c r="D41" s="11" t="inlineStr">
        <is>
          <t>goodwill</t>
        </is>
      </c>
      <c r="E41" s="11" t="inlineStr">
        <is>
          <t>PDF p.102 (印刷頁 101)</t>
        </is>
      </c>
      <c r="F41" s="11" t="inlineStr">
        <is>
          <t>s interests in the associates, 公司之權益的部分。 except where unrealised losses provide evidence of an impairment of the assets transferred. Goodwill arising from the acquisition of associates is included as part of the Group’s interests in associates. 101</t>
        </is>
      </c>
    </row>
    <row r="42">
      <c r="A42" s="8" t="inlineStr">
        <is>
          <t>Intangible Assets &amp; Goodwill</t>
        </is>
      </c>
      <c r="B42" s="8" t="inlineStr">
        <is>
          <t>無形資產及商譽</t>
        </is>
      </c>
      <c r="C42" s="19" t="inlineStr">
        <is>
          <t>high</t>
        </is>
      </c>
      <c r="D42" s="11" t="inlineStr">
        <is>
          <t>goodwill</t>
        </is>
      </c>
      <c r="E42" s="11" t="inlineStr">
        <is>
          <t>PDF p.103 (印刷頁 102)</t>
        </is>
      </c>
      <c r="F42" s="11" t="inlineStr">
        <is>
          <t>e retained investment and proceeds 平值之間的任何差額乃於損益確認。 from disposal is recognised in profit or loss. BUSINESS COMBINATIONS AND 企業合併及商譽 GOODWILL Business combinations are accounted for using the 企業合併使用收購法入賬。所轉讓代價 acquisition method. The consideration transferred is 按收購日期公平值計量，而收購日期公 measured at the acquisition date fair value which is 平值即本集團所轉讓資產之收購日期公 the sum of the acquisition date fair values of assets 平值、本集團所承擔被收購方前擁有人 transferred by the Group, liabilities assumed by the Group 之負債及本集團所發行為交換被收購方 to the former owners of the acqu</t>
        </is>
      </c>
    </row>
    <row r="43">
      <c r="A43" s="8" t="inlineStr">
        <is>
          <t>Intangible Assets &amp; Goodwill</t>
        </is>
      </c>
      <c r="B43" s="8" t="inlineStr">
        <is>
          <t>無形資產及商譽</t>
        </is>
      </c>
      <c r="C43" s="19" t="inlineStr">
        <is>
          <t>high</t>
        </is>
      </c>
      <c r="D43" s="11" t="inlineStr">
        <is>
          <t>goodwill</t>
        </is>
      </c>
      <c r="E43" s="11" t="inlineStr">
        <is>
          <t>PDF p.104 (印刷頁 103)</t>
        </is>
      </c>
      <c r="F43" s="11" t="inlineStr">
        <is>
          <t>TING POLICIES 2. 會計政策（續） (Continued) 2.4 MATERIAL ACCOUNTING POLICIES 2.4 重大會計政策（續） (Continued) BUSINESS COMBINATIONS AND 企業合併及商譽（續） GOODWILL (Continued) When the Group acquires a business, it assesses the 本集團於收購業務時，會按照合約條款、 financial assets and liabilities assumed for appropriate 於收購日期之經濟環境及相關情況評估 classification and designation in accordance with the 所承擔之金融資產及負債以作出適當分 contractual terms, economic circumstances and pertinent 類及指定。此包括被收購方區分主合約 conditions as at the acquisition date. This includes the 的嵌入式衍生工具。 separation of embedd</t>
        </is>
      </c>
    </row>
    <row r="44">
      <c r="A44" s="8" t="inlineStr">
        <is>
          <t>Intangible Assets &amp; Goodwill</t>
        </is>
      </c>
      <c r="B44" s="8" t="inlineStr">
        <is>
          <t>無形資產及商譽</t>
        </is>
      </c>
      <c r="C44" s="19" t="inlineStr">
        <is>
          <t>high</t>
        </is>
      </c>
      <c r="D44" s="11" t="inlineStr">
        <is>
          <t>goodwill</t>
        </is>
      </c>
      <c r="E44" s="11" t="inlineStr">
        <is>
          <t>PDF p.105 (印刷頁 104)</t>
        </is>
      </c>
      <c r="F44" s="11" t="inlineStr">
        <is>
          <t>TING POLICIES 2. 會計政策（續） (Continued) 2.4 MATERIAL ACCOUNTING POLICIES 2.4 重大會計政策（續） (Continued) BUSINESS COMBINATIONS AND 企業合併及商譽（續） GOODWILL (Continued) After initial recognition, goodwill is measured at cost 於初步確認後，商譽按成本減任何累計 less any accumulated impairment losses. Goodwill is 減值虧損計量。商譽乃每年進行減值測 tested for impairment annually or more frequently if 試，或如發生事件或事況轉變顯示賬面 events or changes in circumstances indicate that the 值可能減值時，則會每年或更頻密地測 carrying value may be impaired. The Group performs its 試減值。本集團於三月三十一日進行商 annual impairment te</t>
        </is>
      </c>
    </row>
    <row r="45">
      <c r="A45" s="8" t="inlineStr">
        <is>
          <t>Intangible Assets &amp; Goodwill</t>
        </is>
      </c>
      <c r="B45" s="8" t="inlineStr">
        <is>
          <t>無形資產及商譽</t>
        </is>
      </c>
      <c r="C45" s="19" t="inlineStr">
        <is>
          <t>high</t>
        </is>
      </c>
      <c r="D45" s="11" t="inlineStr">
        <is>
          <t>goodwill</t>
        </is>
      </c>
      <c r="E45" s="11" t="inlineStr">
        <is>
          <t>PDF p.109 (印刷頁 108)</t>
        </is>
      </c>
      <c r="F45" s="11" t="inlineStr">
        <is>
          <t>計可收回數額。只有當用以確定資產可 recoverable amount is estimated. A previously recognised 收回數額之估計出現更改時，才可將以 impairment loss of an asset other than goodwill is 往確認之資產（不包括商譽）減值虧損回 reversed only if there has been a change in the estimates 撥，但回撥數額並不可高於假若過往年 used to determine the recoverable amount of that asset, 度並無就該資產確認任何減值虧損之情 but not to an amount higher than the carrying amount that 況下，該資產本來確定之賬面值（經扣除 would have been determined (net of any depreciation) had 任何折舊）。減值虧損之撥回計入其產生 no impairment loss been recognised for the asset in prior 期間之損益表中，</t>
        </is>
      </c>
    </row>
    <row r="46">
      <c r="A46" s="8" t="inlineStr">
        <is>
          <t>Intangible Assets &amp; Goodwill</t>
        </is>
      </c>
      <c r="B46" s="8" t="inlineStr">
        <is>
          <t>無形資產及商譽</t>
        </is>
      </c>
      <c r="C46" s="19" t="inlineStr">
        <is>
          <t>high</t>
        </is>
      </c>
      <c r="D46" s="11" t="inlineStr">
        <is>
          <t>可使用年期</t>
        </is>
      </c>
      <c r="E46" s="11" t="inlineStr">
        <is>
          <t>PDF p.111 (印刷頁 110)</t>
        </is>
      </c>
      <c r="F46" s="11" t="inlineStr">
        <is>
          <t>diture for a major inspection is capitalised in the 之重大部分須定期替換，則本集團會將 carrying amount of the asset as a replacement. Where 該等部分確認為有特定可使用年期及折 significant parts of property, plant and equipment are 舊之個別資產。 required to be replaced at intervals, the Group recognises such parts as individual assets with specific useful lives and depreciates them accordingly. Depreciation is calculated on the straight-line basis to 折舊之計算方法乃按每項物業、廠房及 write off the cost of each item of property, plant and 設備的估殘值及估計可使用年期以直線 equipment to its residual val</t>
        </is>
      </c>
    </row>
    <row r="47">
      <c r="A47" s="8" t="inlineStr">
        <is>
          <t>Intangible Assets &amp; Goodwill</t>
        </is>
      </c>
      <c r="B47" s="8" t="inlineStr">
        <is>
          <t>無形資產及商譽</t>
        </is>
      </c>
      <c r="C47" s="19" t="inlineStr">
        <is>
          <t>high</t>
        </is>
      </c>
      <c r="D47" s="11" t="inlineStr">
        <is>
          <t>可使用年期</t>
        </is>
      </c>
      <c r="E47" s="11" t="inlineStr">
        <is>
          <t>PDF p.114 (印刷頁 113)</t>
        </is>
      </c>
      <c r="F47" s="11" t="inlineStr">
        <is>
          <t>復原相關資產或其所處位 use asset also includes an estimate of costs to 置的估計成本。使用權資產按直線 dismantle and remove the underlying asset or to 法於租期及資產估計可使用年期 restore the underlying asset or the site on which it （以較短者為準）內折舊如下： is located. Right-of-use assets are depreciated on a straight-line basis over the shorter of the lease terms and the estimated useful lives of the assets as follows: Leasehold lands 25 to 70 years 租賃土地 25至70年 Properties 2 to 14 years 物業 2至14年 If ownership of the leased assets transfers to 倘租賃資產的所有權於租期結束時 the Group by the end</t>
        </is>
      </c>
    </row>
    <row r="48">
      <c r="A48" s="8" t="inlineStr">
        <is>
          <t>Intangible Assets &amp; Goodwill</t>
        </is>
      </c>
      <c r="B48" s="8" t="inlineStr">
        <is>
          <t>無形資產及商譽</t>
        </is>
      </c>
      <c r="C48" s="19" t="inlineStr">
        <is>
          <t>high</t>
        </is>
      </c>
      <c r="D48" s="11" t="inlineStr">
        <is>
          <t>攤銷</t>
        </is>
      </c>
      <c r="E48" s="11" t="inlineStr">
        <is>
          <t>PDF p.118 (印刷頁 117)</t>
        </is>
      </c>
      <c r="F48" s="11" t="inlineStr">
        <is>
          <t>in accordance with the policies set out for “Revenue recognition” below. In order for a financial asset to be classified and 為使金融資產按攤銷成本或按公平值列 measured at amortised cost or fair value through other 賬及於其他全面收入中處理進行分類及 comprehensive income, it needs to give rise to cash flows 計量，其需存在僅為支付本金及未償還 that are solely payments of principal and interest (“SPPI”) 本金的利息（「SPPI」）的現金流量。不論 on the principal amount outstanding. Financial assets with 任何業務模式，擁有非SPPI現金流量的 cash flows that are not SPPI are classified and measured 金融資產皆分類及計量為按公平值列賬 at f</t>
        </is>
      </c>
    </row>
    <row r="49">
      <c r="A49" s="8" t="inlineStr">
        <is>
          <t>Intangible Assets &amp; Goodwill</t>
        </is>
      </c>
      <c r="B49" s="8" t="inlineStr">
        <is>
          <t>無形資產及商譽</t>
        </is>
      </c>
      <c r="C49" s="19" t="inlineStr">
        <is>
          <t>high</t>
        </is>
      </c>
      <c r="D49" s="11" t="inlineStr">
        <is>
          <t>攤銷</t>
        </is>
      </c>
      <c r="E49" s="11" t="inlineStr">
        <is>
          <t>PDF p.119 (印刷頁 118)</t>
        </is>
      </c>
      <c r="F49" s="11" t="inlineStr">
        <is>
          <t>cash flows will result from collecting contractual 現金流量、出售金融資產，或兩者兼具。 cash flows, selling the financial assets, or both. Financial 以攤銷成本分類和計量的金融資產被保 assets classified and measured at amortised cost are 存在一個商業模型中，該模型旨在持有 held within a business model with the objective to hold 金融資產以收集合同現金流量。而金融 financial assets in order to collect contractual cash flows, 資產分類和計量為指定為按公平值列賬 while financial assets classified and measured at fair value 及於其他全面收入中處理被保存在一個 through other comprehensive income are held within 商業模型中，該模型旨在持有金融資產 a business</t>
        </is>
      </c>
    </row>
    <row r="50">
      <c r="A50" s="8" t="inlineStr">
        <is>
          <t>Intangible Assets &amp; Goodwill</t>
        </is>
      </c>
      <c r="B50" s="8" t="inlineStr">
        <is>
          <t>無形資產及商譽</t>
        </is>
      </c>
      <c r="C50" s="19" t="inlineStr">
        <is>
          <t>high</t>
        </is>
      </c>
      <c r="D50" s="11" t="inlineStr">
        <is>
          <t>攤銷</t>
        </is>
      </c>
      <c r="E50" s="11" t="inlineStr">
        <is>
          <t>PDF p.120 (印刷頁 119)</t>
        </is>
      </c>
      <c r="F50" s="11" t="inlineStr">
        <is>
          <t>inancial assets 金融資產的後續計量取決於以下分類： depends on their classification as follows: Financial assets at amortised cost (debt instruments) 按攤銷成本計量的金融資產（債務工 具） Financial assets at amortised cost are subsequently 按攤銷成本計量的金融資產其後使用實 measured using the effective interest method and are 際利率法計量，並可能受減值影響。當資 subject to impairment. Gains and losses are recognised 產終止確認，修訂或減值時，收益及虧損 in the statement of profit or loss when the asset is 於損益表中確認。 derecognised, modified or impaired. Financial assets designated at fair value through other 指定為按公平值列賬及於</t>
        </is>
      </c>
    </row>
    <row r="51">
      <c r="A51" s="8" t="inlineStr">
        <is>
          <t>Intangible Assets &amp; Goodwill</t>
        </is>
      </c>
      <c r="B51" s="8" t="inlineStr">
        <is>
          <t>無形資產及商譽</t>
        </is>
      </c>
      <c r="C51" s="19" t="inlineStr">
        <is>
          <t>high</t>
        </is>
      </c>
      <c r="D51" s="11" t="inlineStr">
        <is>
          <t>攤銷</t>
        </is>
      </c>
      <c r="E51" s="11" t="inlineStr">
        <is>
          <t>PDF p.124 (印刷頁 123)</t>
        </is>
      </c>
      <c r="F51" s="11" t="inlineStr">
        <is>
          <t>le 金融資產於無法合理預期收回合約現金 expectation of recovering the contractual cash flows. 流量時撇銷。 Financial assets at amortised cost are subject to 按攤銷成本計量的金融資產按一般方法 impairment under the general approach and they are 進行減值，並分類為以下預期信貸虧損 classified within the following stages for measurement 計量階段，惟下文所詳述應用簡化方法 of ECLs except for trade receivables which apply the 的應收貿易賬款則除外。 simplified approach as detailed below. Stage 1 – Financial instruments for which credit 第一階段－金融工具的信貸風險自初 risk has not increased significantly since 步確認以來並無大幅增 initial recogniti</t>
        </is>
      </c>
    </row>
    <row r="52">
      <c r="A52" s="8" t="inlineStr">
        <is>
          <t>Intangible Assets &amp; Goodwill</t>
        </is>
      </c>
      <c r="B52" s="8" t="inlineStr">
        <is>
          <t>無形資產及商譽</t>
        </is>
      </c>
      <c r="C52" s="19" t="inlineStr">
        <is>
          <t>high</t>
        </is>
      </c>
      <c r="D52" s="11" t="inlineStr">
        <is>
          <t>amortisation</t>
        </is>
      </c>
      <c r="E52" s="11" t="inlineStr">
        <is>
          <t>PDF p.125 (印刷頁 124)</t>
        </is>
      </c>
      <c r="F52" s="11" t="inlineStr">
        <is>
          <t>n the statement of profit or loss when the 時，其盈虧在損益表內確認。 liabilities are derecognised as well as through the effective interest rate amortisation process. 124</t>
        </is>
      </c>
    </row>
    <row r="53">
      <c r="A53" s="8" t="inlineStr">
        <is>
          <t>Intangible Assets &amp; Goodwill</t>
        </is>
      </c>
      <c r="B53" s="8" t="inlineStr">
        <is>
          <t>無形資產及商譽</t>
        </is>
      </c>
      <c r="C53" s="19" t="inlineStr">
        <is>
          <t>high</t>
        </is>
      </c>
      <c r="D53" s="11" t="inlineStr">
        <is>
          <t>amortisation</t>
        </is>
      </c>
      <c r="E53" s="11" t="inlineStr">
        <is>
          <t>PDF p.126 (印刷頁 125)</t>
        </is>
      </c>
      <c r="F53" s="11" t="inlineStr">
        <is>
          <t>s or costs 價及屬實際利率不可或缺部分的費用或 that are an integral part of the effective interest rate. 成本後計算。實際利率攤銷計入損益表 The effective interest rate amortisation is included in the 內。 statement of profit or loss. Financial guarantee contracts 財務擔保合約 Financial guarantee contracts issued by the Group are 本集團發行之財務擔保合約為要求作出 those contracts that require a payment to be made to 付款以償付持有人因特定債務人未能根 reimburse the holder for a loss it incurs because the 據債務工具的條款償還到期款項而招致 specified debtor fails to make a payment when due 損失的合約。財務擔保合約初步以公平 in accordance wi</t>
        </is>
      </c>
    </row>
    <row r="54">
      <c r="A54" s="8" t="inlineStr">
        <is>
          <t>Intangible Assets &amp; Goodwill</t>
        </is>
      </c>
      <c r="B54" s="8" t="inlineStr">
        <is>
          <t>無形資產及商譽</t>
        </is>
      </c>
      <c r="C54" s="19" t="inlineStr">
        <is>
          <t>high</t>
        </is>
      </c>
      <c r="D54" s="11" t="inlineStr">
        <is>
          <t>goodwill</t>
        </is>
      </c>
      <c r="E54" s="11" t="inlineStr">
        <is>
          <t>PDF p.130 (印刷頁 129)</t>
        </is>
      </c>
      <c r="F54" s="11" t="inlineStr">
        <is>
          <t>mporary differences, except: 項負債，惟以下情況例外： • when the deferred tax liability arises from the initial • 倘若遞延稅項負債之起因，是由於 recognition of goodwill or an asset or liability in 在一宗非屬業務合併之交易中初 a transaction that is not a business combination 步確認之資產或負債，與及在交易 and, at the time of the transaction, affects neither 時，對會計溢利或應課稅溢利或虧 the accounting profit nor taxable profit or loss and 損均無影響，且不會產生相等應課 does not give rise to equal taxable and deductible 稅及可扣稅暫時差額；及 temporary differences; and • in respect of taxable temporary differences • 就與附屬公司及</t>
        </is>
      </c>
    </row>
    <row r="55">
      <c r="A55" s="8" t="inlineStr">
        <is>
          <t>Intangible Assets &amp; Goodwill</t>
        </is>
      </c>
      <c r="B55" s="8" t="inlineStr">
        <is>
          <t>無形資產及商譽</t>
        </is>
      </c>
      <c r="C55" s="19" t="inlineStr">
        <is>
          <t>high</t>
        </is>
      </c>
      <c r="D55" s="11" t="inlineStr">
        <is>
          <t>useful life</t>
        </is>
      </c>
      <c r="E55" s="11" t="inlineStr">
        <is>
          <t>PDF p.131 (印刷頁 130)</t>
        </is>
      </c>
      <c r="F55" s="11" t="inlineStr">
        <is>
          <t>to a deferred income 至損益表或自有關資產的賬面值中扣除 account and is released to the statement of profit or loss 並以減少折舊費用方式計入損益表。 over the expected useful life of the relevant asset by equal annual instalments or deducted from the carrying amount of the asset and released to the statement of profit or loss by way of a reduced depreciation charge. 130</t>
        </is>
      </c>
    </row>
    <row r="56">
      <c r="A56" s="8" t="inlineStr">
        <is>
          <t>Intangible Assets &amp; Goodwill</t>
        </is>
      </c>
      <c r="B56" s="8" t="inlineStr">
        <is>
          <t>無形資產及商譽</t>
        </is>
      </c>
      <c r="C56" s="19" t="inlineStr">
        <is>
          <t>high</t>
        </is>
      </c>
      <c r="D56" s="11" t="inlineStr">
        <is>
          <t>goodwill</t>
        </is>
      </c>
      <c r="E56" s="11" t="inlineStr">
        <is>
          <t>PDF p.139 (印刷頁 138)</t>
        </is>
      </c>
      <c r="F56" s="11" t="inlineStr">
        <is>
          <t>in 之儲備累計金額會在損益表中確認。 the reserve relating to that particular foreign operation is recognised in the statement of profit or loss. Any goodwill arising on the acquisition of a foreign 收購海外業務所產生的任何商譽均視為 operation is treated as assets of the foreign operation and 海外業務的資產並於結算日期換算。 translated at the closing rate. 138</t>
        </is>
      </c>
    </row>
    <row r="57">
      <c r="A57" s="8" t="inlineStr">
        <is>
          <t>Intangible Assets &amp; Goodwill</t>
        </is>
      </c>
      <c r="B57" s="8" t="inlineStr">
        <is>
          <t>無形資產及商譽</t>
        </is>
      </c>
      <c r="C57" s="19" t="inlineStr">
        <is>
          <t>high</t>
        </is>
      </c>
      <c r="D57" s="11" t="inlineStr">
        <is>
          <t>goodwill</t>
        </is>
      </c>
      <c r="E57" s="11" t="inlineStr">
        <is>
          <t>PDF p.141 (印刷頁 140)</t>
        </is>
      </c>
      <c r="F57" s="11" t="inlineStr">
        <is>
          <t>（二零二五年： HK$330,426,000 (2025: HK$312,939,000) and 377,523,000港元）。 HK$390,272,000 (2025: HK$377,523,000), respectively. Impairment of goodwill 商譽之減值 The Group determines whether goodwill is impaired at 本集團最少每年釐定商譽是否需要減 least on an annual basis. This requires an estimation of 值。因此須估計被分配商譽的現金產 the value in use of the cash-generating units to which 生單位之使用價值。估計使用價值需 the goodwill is allocated. Estimating the value in use 要本集團對現金產生單位之預期日後 requires the Group to make an estimate of the expected 現金流量作出估計，並選擇合適之折 future cash flows from th</t>
        </is>
      </c>
    </row>
    <row r="58">
      <c r="A58" s="8" t="inlineStr">
        <is>
          <t>Intangible Assets &amp; Goodwill</t>
        </is>
      </c>
      <c r="B58" s="8" t="inlineStr">
        <is>
          <t>無形資產及商譽</t>
        </is>
      </c>
      <c r="C58" s="19" t="inlineStr">
        <is>
          <t>high</t>
        </is>
      </c>
      <c r="D58" s="11" t="inlineStr">
        <is>
          <t>goodwill</t>
        </is>
      </c>
      <c r="E58" s="11" t="inlineStr">
        <is>
          <t>PDF p.142 (印刷頁 141)</t>
        </is>
      </c>
      <c r="F58" s="11" t="inlineStr">
        <is>
          <t>將投資的全部賬面值（包 When objective evidence of impairment exists, the entire 括商譽）進行減值測試，方法為比較賬面 carrying amount of the investment (including goodwill) is 值與其可收回金額。可收回金額按聯營 tested for impairment by comparing the carrying amount 公司的使用價值與其公允價值減出售成 with its recoverable amount. The recoverable amount is 本兩者中的較高者釐定。計算使用價值 determined as the higher of the associate’s value in use 時，管理層須估計預期聯營公司產生的 and its fair value less costs of disposal. The calculation 估計未來現金流量的現值。該評估涉及 of value in use requires management to estimate the 管理層對預期未來現金流量作出的重大 p</t>
        </is>
      </c>
    </row>
    <row r="59">
      <c r="A59" s="8" t="inlineStr">
        <is>
          <t>Intangible Assets &amp; Goodwill</t>
        </is>
      </c>
      <c r="B59" s="8" t="inlineStr">
        <is>
          <t>無形資產及商譽</t>
        </is>
      </c>
      <c r="C59" s="19" t="inlineStr">
        <is>
          <t>high</t>
        </is>
      </c>
      <c r="D59" s="11" t="inlineStr">
        <is>
          <t>goodwill</t>
        </is>
      </c>
      <c r="E59" s="11" t="inlineStr">
        <is>
          <t>PDF p.143 (印刷頁 142)</t>
        </is>
      </c>
      <c r="F59" s="11" t="inlineStr">
        <is>
          <t>D ESTIMATES (Continued) ESTIMATION UNCERTAINTY (Continued) 估計之不確定性（續） Impairment of non-financial assets (other than 非金融資產的減值（不包括商譽） goodwill) The Group assesses whether there are any indicators 本集團於各報告期末評估所有非金融資 of impairment for all non-financial assets (including the 產（包括使用權資產）有否出現任何減值 right-of-use assets) at the end of each reporting period. 跡象。非金融資產在當有跡象顯示可能 Non-financial assets are tested for impairment when 無法收回賬面值時進行減值測試。當該 there are indicators that the carrying amounts may not 資產或現金產生單位之賬面值超過其可 be recoverable. An impai</t>
        </is>
      </c>
    </row>
    <row r="60">
      <c r="A60" s="8" t="inlineStr">
        <is>
          <t>Intangible Assets &amp; Goodwill</t>
        </is>
      </c>
      <c r="B60" s="8" t="inlineStr">
        <is>
          <t>無形資產及商譽</t>
        </is>
      </c>
      <c r="C60" s="19" t="inlineStr">
        <is>
          <t>high</t>
        </is>
      </c>
      <c r="D60" s="11" t="inlineStr">
        <is>
          <t>攤銷</t>
        </is>
      </c>
      <c r="E60" s="11" t="inlineStr">
        <is>
          <t>PDF p.144 (印刷頁 143)</t>
        </is>
      </c>
      <c r="F60" s="11" t="inlineStr">
        <is>
          <t>UDGEMENTS AND ESTIMATES (Continued) ESTIMATION UNCERTAINTY (Continued) 估計之不確定性（續） Provision for expected credit losses on financial 按攤銷成本計量的金融資產之預期 assets at amortised cost (Continued) 信貸虧損撥備（續） The assessment of the correlation among historical 評估歷史觀察違約率、預測經濟狀況及 observed default rates, forecast economic conditions 預期信貸虧損之間的關聯屬於重大估 and ECLs is a significant estimate. The amount of ECLs 計。預期信貸虧損金額對情況及預測經 is sensitive to changes in circumstances and forecast 濟狀況變化具有敏感度。本集團的歷史 economic conditions. The Group’s historical credit los</t>
        </is>
      </c>
    </row>
    <row r="61">
      <c r="A61" s="8" t="inlineStr">
        <is>
          <t>Intangible Assets &amp; Goodwill</t>
        </is>
      </c>
      <c r="B61" s="8" t="inlineStr">
        <is>
          <t>無形資產及商譽</t>
        </is>
      </c>
      <c r="C61" s="19" t="inlineStr">
        <is>
          <t>high</t>
        </is>
      </c>
      <c r="D61" s="11" t="inlineStr">
        <is>
          <t>goodwill</t>
        </is>
      </c>
      <c r="E61" s="11" t="inlineStr">
        <is>
          <t>PDF p.182 (印刷頁 181)</t>
        </is>
      </c>
      <c r="F61" s="11" t="inlineStr">
        <is>
          <t>佳寧娜集團控股有限公司 | 2026年報 Notes to Consolidated Financial Statements 綜合財務報表附註 Year ended 31 March 2026 截至二零二六年三月三十一日止年度 16. GOODWILL 16. 商譽 31 March 2026 二零二六年三月三十一日 HK$’000 千港元 At 1 April 2025: 於二零二五年四月一日： Cost 成本 85,172 Accumulated impairment 累計減值 (57,010) Net carrying amount 賬面淨值 28,162 Cost at 1 April 2025 and 31 March 2026, net of 於二零二五年四月一日及二零二六年 accumulated impairment 三月三十一日之成本，扣除累計減值 28,162 At 31 March 2026: 於二零二六年三月三十一日： Cost 成本 85,172 Accumulated impairment 累計減值 (57,010) Net carrying amount 賬面淨值 28,162 31 Mar</t>
        </is>
      </c>
    </row>
    <row r="62">
      <c r="A62" s="8" t="inlineStr">
        <is>
          <t>Intangible Assets &amp; Goodwill</t>
        </is>
      </c>
      <c r="B62" s="8" t="inlineStr">
        <is>
          <t>無形資產及商譽</t>
        </is>
      </c>
      <c r="C62" s="19" t="inlineStr">
        <is>
          <t>high</t>
        </is>
      </c>
      <c r="D62" s="11" t="inlineStr">
        <is>
          <t>goodwill</t>
        </is>
      </c>
      <c r="E62" s="11" t="inlineStr">
        <is>
          <t>PDF p.183 (印刷頁 182)</t>
        </is>
      </c>
      <c r="F62" s="11" t="inlineStr">
        <is>
          <t>mpany Limited | Annual Report 2026 Notes to Consolidated Financial Statements 綜合財務報表附註 Year ended 31 March 2026 截至二零二六年三月三十一日止年度 16. GOODWILL 16. 商譽（續） (Continued) IMPAIRMENT TESTING OF GOODWILL 商譽之減值測試 Goodwill acquired through business combinations is 由業務合併所收購之商譽已分配至以下 allocated to the following cash-generating units for 現金產生單位以作減值測試： impairment testing: • Mainland China food supply business; and ‧ 中國大陸食品供應業務；及 • Hong Kong restaurant and food. ‧ 香港餐飲及食品。 The carrying amount of goodwill allocated to each of the 分配至各現金產生單位之商譽賬面</t>
        </is>
      </c>
    </row>
    <row r="63">
      <c r="A63" s="8" t="inlineStr">
        <is>
          <t>Intangible Assets &amp; Goodwill</t>
        </is>
      </c>
      <c r="B63" s="8" t="inlineStr">
        <is>
          <t>無形資產及商譽</t>
        </is>
      </c>
      <c r="C63" s="19" t="inlineStr">
        <is>
          <t>high</t>
        </is>
      </c>
      <c r="D63" s="11" t="inlineStr">
        <is>
          <t>goodwill</t>
        </is>
      </c>
      <c r="E63" s="11" t="inlineStr">
        <is>
          <t>PDF p.184 (印刷頁 183)</t>
        </is>
      </c>
      <c r="F63" s="11" t="inlineStr">
        <is>
          <t>佳寧娜集團控股有限公司 | 2026年報 Notes to Consolidated Financial Statements 綜合財務報表附註 Year ended 31 March 2026 截至二零二六年三月三十一日止年度 16. GOODWILL 16. 商譽（續） (Continued) IMPAIRMENT TESTING OF GOODWILL 商譽之減值測試（續） (Continued) Assumptions were used in the value in use calculations 計算二零二六年三月三十一日及二零 of the above cash-generating units for 31 March 2026 二五年三月三十一日之上述現金產生單 and 31 March 2025. The following describes each key 位之使用價值時曾使用假設。管理層按 assumption on which management has based its cash 其現金流量預測進行商譽減值測試所依 flow projections to undertake impa</t>
        </is>
      </c>
    </row>
    <row r="64">
      <c r="A64" s="8" t="inlineStr">
        <is>
          <t>Intangible Assets &amp; Goodwill</t>
        </is>
      </c>
      <c r="B64" s="8" t="inlineStr">
        <is>
          <t>無形資產及商譽</t>
        </is>
      </c>
      <c r="C64" s="19" t="inlineStr">
        <is>
          <t>high</t>
        </is>
      </c>
      <c r="D64" s="11" t="inlineStr">
        <is>
          <t>goodwill</t>
        </is>
      </c>
      <c r="E64" s="11" t="inlineStr">
        <is>
          <t>PDF p.215 (印刷頁 214)</t>
        </is>
      </c>
      <c r="F64" s="11" t="inlineStr">
        <is>
          <t>prehensive income/(loss) 本年度全面收入╱（虧損）總額 for the year 11,750 (17,524) Current assets 流動資產 35,554 36,160 Non-current assets, including goodwill 非流動資產，包括商譽 61,751 130,355 Current liabilities 流動負債 (35,906) (239,793) Non-current liabilities 非流動負債 (11,452) (4,597) Net cash flows generated from/ 經營活動所得╱（所用） (used in) operating activities 現金流量淨額 17,432 (3,010) Net cash flows (used in)/generated 投資活動（所用）╱ from investing activities 所得現金流量淨額 (1,648) 758 Net cash flows used in 融資活動所用現金流量淨額 financing activities (16,203) (11,538) Net decreas</t>
        </is>
      </c>
    </row>
    <row r="65">
      <c r="A65" s="8" t="inlineStr">
        <is>
          <t>Intangible Assets &amp; Goodwill</t>
        </is>
      </c>
      <c r="B65" s="8" t="inlineStr">
        <is>
          <t>無形資產及商譽</t>
        </is>
      </c>
      <c r="C65" s="19" t="inlineStr">
        <is>
          <t>high</t>
        </is>
      </c>
      <c r="D65" s="11" t="inlineStr">
        <is>
          <t>goodwill</t>
        </is>
      </c>
      <c r="E65" s="11" t="inlineStr">
        <is>
          <t>PDF p.216 (印刷頁 215)</t>
        </is>
      </c>
      <c r="F65" s="11" t="inlineStr">
        <is>
          <t>prehensive income/(loss) 本年度全面收入╱（虧損） for the year 總額 3,698 (18,229) Current assets 流動資產 34,627 50,097 Non-current assets, including goodwill 非流動資產，包括商譽 52,225 135,224 Current liabilities 流動負債 (40,683) (224,566) Non-current liabilities 非流動負債 (8,898) (4,024) Net cash flows generated from/ 經營活動所得╱（所用） (used in) operating activities 現金流量淨額 19,481 (1,959) Net cash flows (used in)/generated 投資活動（所用）╱所得 from investing activities 現金流量淨額 (2,281) 210 Net cash flows (used in)/generated 融資活動（所用）╱所得 from financing activities 現金流量淨額 (15,013</t>
        </is>
      </c>
    </row>
    <row r="66">
      <c r="A66" s="8" t="inlineStr">
        <is>
          <t>Intangible Assets &amp; Goodwill</t>
        </is>
      </c>
      <c r="B66" s="8" t="inlineStr">
        <is>
          <t>無形資產及商譽</t>
        </is>
      </c>
      <c r="C66" s="19" t="inlineStr">
        <is>
          <t>high</t>
        </is>
      </c>
      <c r="D66" s="11" t="inlineStr">
        <is>
          <t>攤銷</t>
        </is>
      </c>
      <c r="E66" s="11" t="inlineStr">
        <is>
          <t>PDF p.223 (印刷頁 222)</t>
        </is>
      </c>
      <c r="F66" s="11" t="inlineStr">
        <is>
          <t>– Mandatorily assets at income designated amortised – Equity as such cost investments Total 按公平值列賬 強制指定 及於其他全面 按公平值列賬 收入處理之 及於損益中處理 以攤銷成本計 金融資產 的金融資產 價的金融資產 －權益投資 總計 HK$’000 HK$’000 HK$’000 HK$’000 千港元 千港元 千港元 千港元 Due from associates 應收聯營公司之款項 – 788,506 – 788,506 Loans to an associate 給予一間聯營公司之貸款 – 35,496 – 35,496 Equity investments designated at fair value through 指定為按公平值列賬及 other comprehensive income 於其他全面收入中處理之 權益投資 – – 44,865 44,865 Financial assets at fair value through profit or loss 按公平值列賬及於損益中 處理的金融資產 12,490 – – 12,490</t>
        </is>
      </c>
    </row>
    <row r="67">
      <c r="A67" s="8" t="inlineStr">
        <is>
          <t>Intangible Assets &amp; Goodwill</t>
        </is>
      </c>
      <c r="B67" s="8" t="inlineStr">
        <is>
          <t>無形資產及商譽</t>
        </is>
      </c>
      <c r="C67" s="19" t="inlineStr">
        <is>
          <t>high</t>
        </is>
      </c>
      <c r="D67" s="11" t="inlineStr">
        <is>
          <t>攤銷</t>
        </is>
      </c>
      <c r="E67" s="11" t="inlineStr">
        <is>
          <t>PDF p.224 (印刷頁 223)</t>
        </is>
      </c>
      <c r="F67" s="11" t="inlineStr">
        <is>
          <t>reporting period 的賬面值：（續） are as follows: (Continued) 2026 二零二六年 Financial liabilities 金融負債 Financial liabilities at amortised cost 以攤銷 成本計價的 金融負債 HK$’000 千港元 Trade payables 應付貿易賬款 64,164 Financial liabilities included in other payables, 計入其他應付賬款、應計費用及 accruals and deposits received 已收按金之金融負債 95,505 Due to directors 應付董事款項 29,259 Due to non-controlling shareholders 應付非控股股東款項 37,948 Convertible bonds 可換股債券 69,518 Interest-bearing bank borrowings 附息之銀行借貸 1,470,276 Lease liabilities 租賃負債 95,173 1,861,843 223</t>
        </is>
      </c>
    </row>
    <row r="68">
      <c r="A68" s="8" t="inlineStr">
        <is>
          <t>Intangible Assets &amp; Goodwill</t>
        </is>
      </c>
      <c r="B68" s="8" t="inlineStr">
        <is>
          <t>無形資產及商譽</t>
        </is>
      </c>
      <c r="C68" s="19" t="inlineStr">
        <is>
          <t>high</t>
        </is>
      </c>
      <c r="D68" s="11" t="inlineStr">
        <is>
          <t>攤銷</t>
        </is>
      </c>
      <c r="E68" s="11" t="inlineStr">
        <is>
          <t>PDF p.225 (印刷頁 224)</t>
        </is>
      </c>
      <c r="F68" s="11" t="inlineStr">
        <is>
          <t>– Mandatorily assets at income designated amortised – Equity as such cost investments Total 按公平值列賬 強制指定 及於其他全面 按公平值列賬 收入處理之 及於損益中處理 以攤銷成本計 金融資產 的金融資產 價的金融資產 －權益投資 總計 HK$’000 HK$’000 HK$’000 HK$’000 千港元 千港元 千港元 千港元 Due from associates 應收聯營公司款項 – 741,503 – 741,503 Loans to an associate 給予一間聯營公司之貸款 – 39,990 – 39,990 Equity investments designated at fair value through 指定為按公平值列賬及於其他全 other comprehensive income 面收入中處理之權益投資 – – 85,479 85,479 Financial assets at fair value through profit or loss 按公平值列賬及於損益中處理的 金融資產 22,196 – – 22,196 Tr</t>
        </is>
      </c>
    </row>
    <row r="69">
      <c r="A69" s="8" t="inlineStr">
        <is>
          <t>Intangible Assets &amp; Goodwill</t>
        </is>
      </c>
      <c r="B69" s="8" t="inlineStr">
        <is>
          <t>無形資產及商譽</t>
        </is>
      </c>
      <c r="C69" s="19" t="inlineStr">
        <is>
          <t>high</t>
        </is>
      </c>
      <c r="D69" s="11" t="inlineStr">
        <is>
          <t>攤銷</t>
        </is>
      </c>
      <c r="E69" s="11" t="inlineStr">
        <is>
          <t>PDF p.226 (印刷頁 225)</t>
        </is>
      </c>
      <c r="F69" s="11" t="inlineStr">
        <is>
          <t>reporting period 的賬面值：（續） are as follows: (Continued) 2025 二零二五年 Financial liabilities 金融負債 Financial liabilities at amortised cost 以攤銷 成本計價的 金融負債 HK$’000 千港元 Trade payables 應付貿易賬款 48,364 Financial liabilities included in other payables, 計入其他應付賬款、應計費用及 accruals and deposits received 已收按金之金融負債 85,602 Due to directors 應付董事款項 35,876 Due to non-controlling shareholders 應付非控股股東款項 42,485 Convertible bonds 可換股債券 69,127 Interest-bearing bank borrowings 附息之銀行借貸 1,552,677 Lease liabilities 租賃負債 101,389 1,935,520 225</t>
        </is>
      </c>
    </row>
    <row r="70">
      <c r="A70" s="8" t="inlineStr">
        <is>
          <t>Investment Properties</t>
        </is>
      </c>
      <c r="B70" s="8" t="inlineStr">
        <is>
          <t>投資物業</t>
        </is>
      </c>
      <c r="C70" s="19" t="inlineStr">
        <is>
          <t>high</t>
        </is>
      </c>
      <c r="D70" s="11" t="inlineStr">
        <is>
          <t>investment property</t>
        </is>
      </c>
      <c r="E70" s="11" t="inlineStr">
        <is>
          <t>PDF p.7 (印刷頁 6)</t>
        </is>
      </c>
      <c r="F70" s="11" t="inlineStr">
        <is>
          <t>t and development segment 年內物業投資及發展分部的營業額保持穩定。 remained steady during the year. There was no major change 年內本集團之投資物業組合沒有重大變化。 in the investment property portfolio of the Group for the year. 本集團錄得物業投資及發展分部營業額較去 The Group had recorded an increase of 31.0% in turnover of 年增加31.0%。 property investment and development segment from last year. The Group’s 50% owned Dongguan Home Town project is 本集團擁有50%權益之東莞家滙廣場項目已 in full operation. It will seamlessly integrate various business 完全投入運作。其將奧萊零售、餐飲、娛樂、 formats, including outlet retail, d</t>
        </is>
      </c>
    </row>
    <row r="71">
      <c r="A71" s="8" t="inlineStr">
        <is>
          <t>Investment Properties</t>
        </is>
      </c>
      <c r="B71" s="8" t="inlineStr">
        <is>
          <t>投資物業</t>
        </is>
      </c>
      <c r="C71" s="19" t="inlineStr">
        <is>
          <t>high</t>
        </is>
      </c>
      <c r="D71" s="11" t="inlineStr">
        <is>
          <t>investment property</t>
        </is>
      </c>
      <c r="E71" s="11" t="inlineStr">
        <is>
          <t>PDF p.31 (印刷頁 30)</t>
        </is>
      </c>
      <c r="F71" s="11" t="inlineStr">
        <is>
          <t>0港元（二零二五年： (2025: HK102,871,000), an decrease of 10.8% from last year. 102,871,000港元），較去年減少10.8%。年內 There was no major change in the investment property portfolio 本集團之投資物業組合沒有重大變化。年內 of the Group for the year. Segment profit for the year was 分部溢利為77,680,000港元（二零二五年： HK$77,680,000 (2025: segment loss of HK$34,802,000). The 分部虧損34,802,000港元）。轉虧為盈主要 turnaround was mainly attributable to the combined effect of: 歸因於年內以下因素的綜合影響：(i)確認物 (i) the recognition of gross profit of the sales of properties of 業銷售毛利34,824,000港元（二零二五年： HK$34,824</t>
        </is>
      </c>
    </row>
    <row r="72">
      <c r="A72" s="8" t="inlineStr">
        <is>
          <t>Investment Properties</t>
        </is>
      </c>
      <c r="B72" s="8" t="inlineStr">
        <is>
          <t>投資物業</t>
        </is>
      </c>
      <c r="C72" s="19" t="inlineStr">
        <is>
          <t>high</t>
        </is>
      </c>
      <c r="D72" s="11" t="inlineStr">
        <is>
          <t>gross floor area</t>
        </is>
      </c>
      <c r="E72" s="11" t="inlineStr">
        <is>
          <t>PDF p.33 (印刷頁 32)</t>
        </is>
      </c>
      <c r="F72" s="11" t="inlineStr">
        <is>
          <t>地面大堂、3至13樓之所有辦公室單位及地 units from 3rd to 13th floors and 75 car parking spaces at the 庫之75個停車位。辦公室單位之總樓面面積 basement level with a total gross floor area of the office units 為9,203平方米。年內該物業持續為本集團帶 of 9,203 sq.m., continued to contribute to the Group in rental 來租金收入。截至二零二六年三月三十一日 income for the year. The office building has achieved a monthly 年度，該物業之辦公室大樓的月平均出租率 average of 88.6% occupancy for the year ended 31 March 達至88.6%。 2026. The Group’s 50% owned Haitan Street re-development project, 本集團擁有50%權益位於香港深水埗海壇街 which is situated at 2</t>
        </is>
      </c>
    </row>
    <row r="73">
      <c r="A73" s="8" t="inlineStr">
        <is>
          <t>Investment Properties</t>
        </is>
      </c>
      <c r="B73" s="8" t="inlineStr">
        <is>
          <t>投資物業</t>
        </is>
      </c>
      <c r="C73" s="19" t="inlineStr">
        <is>
          <t>high</t>
        </is>
      </c>
      <c r="D73" s="11" t="inlineStr">
        <is>
          <t>investment property</t>
        </is>
      </c>
      <c r="E73" s="11" t="inlineStr">
        <is>
          <t>PDF p.43 (印刷頁 42)</t>
        </is>
      </c>
      <c r="F73" s="11" t="inlineStr">
        <is>
          <t>Carrianna Group Holdings Company Limited | Annual Report 2026 Business Review 業務回顧 On the property development side, the investment property 在物業開發方面，內地和香港的投資物業組 portfolio in the Mainland and Hong Kong continues to provide 合繼續為集團提供穩定的收入流。隨著政府 steady income flow to the Group. With the government lifted 解除市場降溫措施，管理層認為根據青山道 market cooling measures, the management believes that 的地塊屬性，以及當前消費者的偏好，將加快 according to the attributes of the site on Castle Peak Road 項目的開發，踏準現在地產，特別是小型的剛 and the current consumer preferences, the d</t>
        </is>
      </c>
    </row>
    <row r="74">
      <c r="A74" s="8" t="inlineStr">
        <is>
          <t>Investment Properties</t>
        </is>
      </c>
      <c r="B74" s="8" t="inlineStr">
        <is>
          <t>投資物業</t>
        </is>
      </c>
      <c r="C74" s="19" t="inlineStr">
        <is>
          <t>high</t>
        </is>
      </c>
      <c r="D74" s="11" t="inlineStr">
        <is>
          <t>投資物業</t>
        </is>
      </c>
      <c r="E74" s="11" t="inlineStr">
        <is>
          <t>PDF p.47 (印刷頁 46)</t>
        </is>
      </c>
      <c r="F74" s="11" t="inlineStr">
        <is>
          <t>sets at fair value through profit or loss 2,021,713,000港元）之若干物業、廠房及設 with a total carrying value of approximately HK$2,420,575,000 備、投資物業、定期存款及按公平值列賬及於 (2025: HK$2,021,713,000) were pledged to secure general 損益中處理之金融資產，以作為授予本集團 banking, trade finance and other facilities granted to the Group. 之一般銀行、貿易融資及其他信貸的抵押。此 In addition, rental income generated in respect of certain 外，本集團亦轉讓若干投資物業之租金收益予 investment properties of the Group was assigned to banks to 銀行，以作為授予本集團之貸款融資之抵押。 secure loan facilities granted to the Group. FOREIGN EXCH</t>
        </is>
      </c>
    </row>
    <row r="75">
      <c r="A75" s="8" t="inlineStr">
        <is>
          <t>Investment Properties</t>
        </is>
      </c>
      <c r="B75" s="8" t="inlineStr">
        <is>
          <t>投資物業</t>
        </is>
      </c>
      <c r="C75" s="19" t="inlineStr">
        <is>
          <t>high</t>
        </is>
      </c>
      <c r="D75" s="11" t="inlineStr">
        <is>
          <t>投資物業</t>
        </is>
      </c>
      <c r="E75" s="11" t="inlineStr">
        <is>
          <t>PDF p.71 (印刷頁 70)</t>
        </is>
      </c>
      <c r="F75" s="11" t="inlineStr">
        <is>
          <t>Carrianna Group Holdings Company Limited | Annual Report 2026 Independent Auditor’s Report 獨立核數師報告 FAIR VALUE MEASUREMENT OF 投資物業的公平值計量 INVESTMENT PROPERTIES Refer to Note 14 to the consolidated financial statements. 請參閱綜合財務報表附註14。 The Group measured its investment properties at fair value 貴集團以公平值計量其投資物業，並將公平 with the changes in fair value recognised in the consolidated 值變動於綜合損益中確認。該公平值計量對 profit or loss. This fair value measurement is significant to 本核數師的審核工作十分重要，原因為於 our audit because the balance of investment propert</t>
        </is>
      </c>
    </row>
    <row r="76">
      <c r="A76" s="8" t="inlineStr">
        <is>
          <t>Investment Properties</t>
        </is>
      </c>
      <c r="B76" s="8" t="inlineStr">
        <is>
          <t>投資物業</t>
        </is>
      </c>
      <c r="C76" s="19" t="inlineStr">
        <is>
          <t>high</t>
        </is>
      </c>
      <c r="D76" s="11" t="inlineStr">
        <is>
          <t>投資物業</t>
        </is>
      </c>
      <c r="E76" s="11" t="inlineStr">
        <is>
          <t>PDF p.77 (印刷頁 76)</t>
        </is>
      </c>
      <c r="F76" s="11" t="inlineStr">
        <is>
          <t>HK$’000 HK$’000 附註 千港元 千港元 NON-CURRENT ASSETS 非流動資產 Property, plant and equipment 物業、廠房及設備 13 517,117 583,554 Investment properties 投資物業 14 2,324,849 2,150,380 Right-of-use assets 使用權資產 15(a) 90,434 96,335 Goodwill 商譽 16 28,162 28,162 Interests in associates 於聯營公司之權益 17 1,133,358 1,149,140 Equity investments designated 指定為按公平值列賬及 at fair value through other 於其他全面收入中處理 comprehensive income 之權益投資 18 28,118 69,484 Properties under development 發展中物業 20 330,426 312,939 Deferred tax assets 遞延稅項資產 30 16,529 14,836 Other receivables,</t>
        </is>
      </c>
    </row>
    <row r="77">
      <c r="A77" s="8" t="inlineStr">
        <is>
          <t>Investment Properties</t>
        </is>
      </c>
      <c r="B77" s="8" t="inlineStr">
        <is>
          <t>投資物業</t>
        </is>
      </c>
      <c r="C77" s="19" t="inlineStr">
        <is>
          <t>high</t>
        </is>
      </c>
      <c r="D77" s="11" t="inlineStr">
        <is>
          <t>投資物業</t>
        </is>
      </c>
      <c r="E77" s="11" t="inlineStr">
        <is>
          <t>PDF p.82 (印刷頁 81)</t>
        </is>
      </c>
      <c r="F77" s="11" t="inlineStr">
        <is>
          <t>ofit or loss 變動 6 (3,025) (7,131) Depreciation of property, 物業、廠房及設備之折舊 plant and equipment 6 60,992 62,160 Changes in fair value of 投資物業之公平值變動， investment properties, net 淨額 6 (23,113) 57,583 Impairment of trade receivables, net 應收貿易賬款之減值，淨額 6 120 74 Provision/(reversal of) impairment of 其他應收賬款之減值撥備╱ other receivables, net （撥回），淨額 6 35,646 (161) Impairment of property, plant and 物業、廠房及設備及使用權 equipment and right-of-use assets 資產之減值 6 – 5,264 Write-off of other receivable 撇銷其他應收賬款 6 – 9,893 Depreciation of right-of-use assets 使用</t>
        </is>
      </c>
    </row>
    <row r="78">
      <c r="A78" s="8" t="inlineStr">
        <is>
          <t>Investment Properties</t>
        </is>
      </c>
      <c r="B78" s="8" t="inlineStr">
        <is>
          <t>投資物業</t>
        </is>
      </c>
      <c r="C78" s="19" t="inlineStr">
        <is>
          <t>high</t>
        </is>
      </c>
      <c r="D78" s="11" t="inlineStr">
        <is>
          <t>investment property</t>
        </is>
      </c>
      <c r="E78" s="11" t="inlineStr">
        <is>
          <t>PDF p.84 (印刷頁 83)</t>
        </is>
      </c>
      <c r="F78" s="11" t="inlineStr">
        <is>
          <t>nancial 出售按公平值列賬及於損益 assets at fair value through profit 中處理之金融資產所得 or loss 款項 12,731 23,361 Proceeds from disposal of 出售投資物業所得款項 an investment property – 20,160 Placement of pledged time deposits 存置已抵押定期存款 (21,752) (191,562) Withdrawal of pledged time deposits 提取已抵押定期存款 35,848 192,625 (Increase)/decrease in amounts due 應收聯營公司款項之 from associates （增加）╱減少 (26,815) 66,549 Disposal of a subsidiary 出售一間附屬公司 – 140,925 Capital injection to a disposal group 向一個出售組別注資 – (201,623) Acquisition of non-controlling interest 收購一間附屬公司之 in a su</t>
        </is>
      </c>
    </row>
    <row r="79">
      <c r="A79" s="8" t="inlineStr">
        <is>
          <t>Investment Properties</t>
        </is>
      </c>
      <c r="B79" s="8" t="inlineStr">
        <is>
          <t>投資物業</t>
        </is>
      </c>
      <c r="C79" s="19" t="inlineStr">
        <is>
          <t>high</t>
        </is>
      </c>
      <c r="D79" s="11" t="inlineStr">
        <is>
          <t>投資物業</t>
        </is>
      </c>
      <c r="E79" s="11" t="inlineStr">
        <is>
          <t>PDF p.90 (印刷頁 89)</t>
        </is>
      </c>
      <c r="F79" s="11" t="inlineStr">
        <is>
          <t>務報表採用歷史成本法編 and the disclosure requirements of the Hong Kong 製，惟以公平值計量之若干租賃土地及 Companies Ordinance. They have been prepared under 樓宇、投資物業及若干金融資產除外。 the historical cost convention, except for certain leasehold 該等財務報表乃以港元呈列，除另有說 land and buildings, investment properties and certain 明，所有價值已調整至最接近之千元。 financial assets which have been measured at fair value. The consolidated financial statements are presented in Hong Kong dollars and all values are rounded to the nearest thousand except when otherwise indicated. BASIS OF CONSOLIDATI</t>
        </is>
      </c>
    </row>
    <row r="80">
      <c r="A80" s="8" t="inlineStr">
        <is>
          <t>Investment Properties</t>
        </is>
      </c>
      <c r="B80" s="8" t="inlineStr">
        <is>
          <t>投資物業</t>
        </is>
      </c>
      <c r="C80" s="19" t="inlineStr">
        <is>
          <t>high</t>
        </is>
      </c>
      <c r="D80" s="11" t="inlineStr">
        <is>
          <t>投資物業</t>
        </is>
      </c>
      <c r="E80" s="11" t="inlineStr">
        <is>
          <t>PDF p.106 (印刷頁 105)</t>
        </is>
      </c>
      <c r="F80" s="11" t="inlineStr">
        <is>
          <t>The Group measures its certain leasehold land and 本集團於各報告期末按公平值計量其若 buildings, investment properties and certain financial 干租賃土地及樓宇、投資物業及若干金 assets at fair value at the end of each reporting period. 融資產。公平值為市場參與者於計量日 Fair value is the price that would be received to sell an 期在有序交易中出售資產所收取之價格 asset or paid to transfer a liability in an orderly transaction 或轉讓負債所支付之價格。公平值計量 between market participants at the measurement date. 乃基於假設出售資產或轉讓負債之交易 The fair value measurement is based on the presumption 於資產或負債主要市場或在無主要市場 that the tran</t>
        </is>
      </c>
    </row>
    <row r="81">
      <c r="A81" s="8" t="inlineStr">
        <is>
          <t>Investment Properties</t>
        </is>
      </c>
      <c r="B81" s="8" t="inlineStr">
        <is>
          <t>投資物業</t>
        </is>
      </c>
      <c r="C81" s="19" t="inlineStr">
        <is>
          <t>high</t>
        </is>
      </c>
      <c r="D81" s="11" t="inlineStr">
        <is>
          <t>投資物業</t>
        </is>
      </c>
      <c r="E81" s="11" t="inlineStr">
        <is>
          <t>PDF p.108 (印刷頁 107)</t>
        </is>
      </c>
      <c r="F81" s="11" t="inlineStr">
        <is>
          <t>nnual impairment testing for an asset is required (other 測試（存貨、遞延稅項資產、金融資產、 than inventories, deferred tax assets, financial assets, 投資物業及分類為持作出售資產外）的 investment properties and assets classified as held for 跡象出現，則會估計資產之可收回數額。 sale), the asset’s recoverable amount is estimated. An 資產之可收回數額為資產或現金產生單 asset’s recoverable amount is the higher of the asset’s 位之使用價值及其公平值減銷售成本之 or cash-generating unit’s value in use and its fair value 較高者，並就個別資產而確定，除非該項 less costs of disposal, and is determined for an individual 資產未能產生大部分獨立於其他資產或 asset</t>
        </is>
      </c>
    </row>
    <row r="82">
      <c r="A82" s="8" t="inlineStr">
        <is>
          <t>Investment Properties</t>
        </is>
      </c>
      <c r="B82" s="8" t="inlineStr">
        <is>
          <t>投資物業</t>
        </is>
      </c>
      <c r="C82" s="19" t="inlineStr">
        <is>
          <t>high</t>
        </is>
      </c>
      <c r="D82" s="11" t="inlineStr">
        <is>
          <t>investment property</t>
        </is>
      </c>
      <c r="E82" s="11" t="inlineStr">
        <is>
          <t>PDF p.113 (印刷頁 112)</t>
        </is>
      </c>
      <c r="F82" s="11" t="inlineStr">
        <is>
          <t>之年度損益表內列賬。 profit or loss in the year in which they arise. Any gains or losses on the retirement or disposal of an 任何報廢或出售投資物業之收益或虧損 investment property are recognised in the statement of 乃於報廢或出售年度內於損益表內確 profit or loss in the year of the retirement or disposal. 認。 LEASES 租賃 The Group assesses at contract inception whether a 本集團於合約開始時評估合約是否為或 contract is, or contains, a lease. A contract is, or contains, 包含租賃。倘合約為換取代價而給予在 a lease if the contract conveys the right to control the use 一段時間內控制可識別資產使用之權 of an identified asset for a</t>
        </is>
      </c>
    </row>
    <row r="83">
      <c r="A83" s="8" t="inlineStr">
        <is>
          <t>Investment Properties</t>
        </is>
      </c>
      <c r="B83" s="8" t="inlineStr">
        <is>
          <t>投資物業</t>
        </is>
      </c>
      <c r="C83" s="19" t="inlineStr">
        <is>
          <t>high</t>
        </is>
      </c>
      <c r="D83" s="11" t="inlineStr">
        <is>
          <t>capitalisation rate</t>
        </is>
      </c>
      <c r="E83" s="11" t="inlineStr">
        <is>
          <t>PDF p.142 (印刷頁 141)</t>
        </is>
      </c>
      <c r="F83" s="11" t="inlineStr">
        <is>
          <t>gnificant 投資物業估值涉及重大估計及假設，包 estimations and assumptions, including, among others, 括（其中包括）收入資本化法之估計租賃 the estimated rental values and capitalisation rates for the 價值及資本比率以及直接比較法之估計 income capitalisation approach and the estimated market 市價。 price for the direct comparison approach. The carrying amount of investment properties as at 31 於二零二六年三月三十一日，投資物業 March 2026 was approximately HK$2,324,849,000 賬面值約為2,324,849,000港元（二零 (2025: HK$2,150,380,000). Further details, including 二五年：2,150,380,000港元）。有關進一 the key assumptions used for f</t>
        </is>
      </c>
    </row>
    <row r="84">
      <c r="A84" s="8" t="inlineStr">
        <is>
          <t>Investment Properties</t>
        </is>
      </c>
      <c r="B84" s="8" t="inlineStr">
        <is>
          <t>投資物業</t>
        </is>
      </c>
      <c r="C84" s="19" t="inlineStr">
        <is>
          <t>high</t>
        </is>
      </c>
      <c r="D84" s="11" t="inlineStr">
        <is>
          <t>投資物業</t>
        </is>
      </c>
      <c r="E84" s="11" t="inlineStr">
        <is>
          <t>PDF p.147 (印刷頁 146)</t>
        </is>
      </c>
      <c r="F84" s="11" t="inlineStr">
        <is>
          <t>飲、 物業投資 食品及酒店 及發展 總計 HK$’000 HK$’000 HK$’000 千港元 千港元 千港元 Other segment information 其他分部資料： Fair value gain on investment properties, 投資物業之公平值變動， net 淨額 – (23,113) (23,113) Share of losses of associates 應佔聯營公司虧損 – 25,778 25,778 Other interest income 其他利息收入 – (7,763) (7,763) Impairment of trade receivables, net 應收貿易賬款之減值，淨額 120 – 120 Impairment of other receivables, net 其他應收賬款減值，淨額 327 35,319 35,646 Depreciation of property, plant and 物業、廠房及設備之折舊 equipment – segment －分部 40,982 18,033 59,015 – unallocated －未分配 1,977 60,992 Depreci</t>
        </is>
      </c>
    </row>
    <row r="85">
      <c r="A85" s="8" t="inlineStr">
        <is>
          <t>Investment Properties</t>
        </is>
      </c>
      <c r="B85" s="8" t="inlineStr">
        <is>
          <t>投資物業</t>
        </is>
      </c>
      <c r="C85" s="19" t="inlineStr">
        <is>
          <t>high</t>
        </is>
      </c>
      <c r="D85" s="11" t="inlineStr">
        <is>
          <t>投資物業</t>
        </is>
      </c>
      <c r="E85" s="11" t="inlineStr">
        <is>
          <t>PDF p.149 (印刷頁 148)</t>
        </is>
      </c>
      <c r="F85" s="11" t="inlineStr">
        <is>
          <t>飲、 物業投資 食品及酒店 及發展 總計 HK$’000 HK$’000 HK$’000 千港元 千港元 千港元 Other segment information 其他分部資料： Fair value loss on investment properties, 投資物業之公平值虧損， net 淨額 – 57,583 57,583 Share of losses of associates 應佔聯營公司虧損 – 56,075 56,075 Other interest income 其他利息收入 – (6,180) (6,180) Impairment of trade receivables, net 應收貿易賬款之減值，淨額 74 – 74 Reversal of impairment of other 其他應收賬款減值撥回， receivables, net 淨額 – (161) (161) Write-off of other receivable 撇銷其他應收款項 – 9,893 9,893 Depreciation of property, plant and 物業、廠房及設備之折舊 equipment – segment －分部 42</t>
        </is>
      </c>
    </row>
    <row r="86">
      <c r="A86" s="8" t="inlineStr">
        <is>
          <t>Investment Properties</t>
        </is>
      </c>
      <c r="B86" s="8" t="inlineStr">
        <is>
          <t>投資物業</t>
        </is>
      </c>
      <c r="C86" s="19" t="inlineStr">
        <is>
          <t>high</t>
        </is>
      </c>
      <c r="D86" s="11" t="inlineStr">
        <is>
          <t>投資物業</t>
        </is>
      </c>
      <c r="E86" s="11" t="inlineStr">
        <is>
          <t>PDF p.159 (印刷頁 158)</t>
        </is>
      </c>
      <c r="F86" s="11" t="inlineStr">
        <is>
          <t>and right-of-use assets* 及使用權資產* – 5,264 Write-off of other receivables* 撇銷其他應收賬款* – 9,893 Direct operating expenses (including 賺取租金之投資物業產生之 repairs and maintenance) arising 直接營運支出（包括維修及 from rental-earning investment 保養） properties 460 415 158</t>
        </is>
      </c>
    </row>
    <row r="87">
      <c r="A87" s="8" t="inlineStr">
        <is>
          <t>Investment Properties</t>
        </is>
      </c>
      <c r="B87" s="8" t="inlineStr">
        <is>
          <t>投資物業</t>
        </is>
      </c>
      <c r="C87" s="19" t="inlineStr">
        <is>
          <t>high</t>
        </is>
      </c>
      <c r="D87" s="11" t="inlineStr">
        <is>
          <t>投資物業</t>
        </is>
      </c>
      <c r="E87" s="11" t="inlineStr">
        <is>
          <t>PDF p.160 (印刷頁 159)</t>
        </is>
      </c>
      <c r="F87" s="11" t="inlineStr">
        <is>
          <t>LOSS BEFORE TAX 6. 除稅前虧損（續） (Continued) 2026 2025 二零二六年 二零二五年 Notes HK$’000 HK$’000 附註 千港元 千港元 Fair value (gain)/loss on investment 投資物業公平值（收益）╱ 14 properties, net* 虧損，淨額* (23,113) 57,583 Fair value change on financial assets 按公平值列賬及於損益中處理 at fair value through profit or loss* 之金融資產之公平值收益 (3,025) (7,131) (Gain)/loss on modification of 修訂可換股債券（收益）╱ convertible bonds* 虧損* (1,798) 2,763 Gain on early termination of lease* 租賃提前終止之收益* (106) – Loss on disposal/write-off of 出售╱註銷物業、廠房及設備 items of property, 項目之虧損，淨額* plant and equipme</t>
        </is>
      </c>
    </row>
    <row r="88">
      <c r="A88" s="8" t="inlineStr">
        <is>
          <t>Investment Properties</t>
        </is>
      </c>
      <c r="B88" s="8" t="inlineStr">
        <is>
          <t>投資物業</t>
        </is>
      </c>
      <c r="C88" s="19" t="inlineStr">
        <is>
          <t>high</t>
        </is>
      </c>
      <c r="D88" s="11" t="inlineStr">
        <is>
          <t>投資物業</t>
        </is>
      </c>
      <c r="E88" s="11" t="inlineStr">
        <is>
          <t>PDF p.168 (印刷頁 167)</t>
        </is>
      </c>
      <c r="F88" s="11" t="inlineStr">
        <is>
          <t>(4,297) (3,359) (1,405) – (60,992) Disposals/write-off 出售╱撇銷 (3,428) – – (181) (22) – – (3,631) Transfer to investment properties 轉撥至投資物業 44,083 – – – – – – 44,083 Transfer from CIP 自在建工程轉撥 – 19,016 – – – – (19,016) – Deregistration of a subsidiary 撤註冊一間附屬公司 – – (6,066) (582) – (2) – (6,650) Exchange realignment 匯兌調整 201 19,296 2,989 1,802 2,014 27 – 26,329 At 31 March 2026, net of 於二零二六年 accumulated depreciation and 三月三十一日， impairment 已扣除累計折舊及減值 – 393,090 102,753 19,367 570 1,337 – 517,117 At 31 March 2026: 於二零二六年 三月三十一日： Cost</t>
        </is>
      </c>
    </row>
    <row r="89">
      <c r="A89" s="8" t="inlineStr">
        <is>
          <t>Investment Properties</t>
        </is>
      </c>
      <c r="B89" s="8" t="inlineStr">
        <is>
          <t>投資物業</t>
        </is>
      </c>
      <c r="C89" s="19" t="inlineStr">
        <is>
          <t>high</t>
        </is>
      </c>
      <c r="D89" s="11" t="inlineStr">
        <is>
          <t>投資物業</t>
        </is>
      </c>
      <c r="E89" s="11" t="inlineStr">
        <is>
          <t>PDF p.171 (印刷頁 170)</t>
        </is>
      </c>
      <c r="F89" s="11" t="inlineStr">
        <is>
          <t>ort 2026 Notes to Consolidated Financial Statements 綜合財務報表附註 Year ended 31 March 2026 截至二零二六年三月三十一日止年度 14. INVESTMENT PROPERTIES 14. 投資物業 2026 2025 二零二六年 二零二五年 HK$’000 HK$’000 千港元 千港元 Carrying amount at beginning of 於年初之賬面值，按估值 year, at valuation 2,150,380 2,232,073 Transfer from property, 由物業，廠房及設備轉入 plant and equipment 44,803 – Disposal 出售 – (20,160) Net gain/(loss) from fair value 公平值調整產生之 adjustments 收益╱（虧損）淨額 23,113 (57,583) Exchange realignment 匯兌調整 106,553 (3,950) Carrying amount at 31 March, 於三月三十一日之賬面值， at valuation 按估</t>
        </is>
      </c>
    </row>
    <row r="90">
      <c r="A90" s="8" t="inlineStr">
        <is>
          <t>Investment Properties</t>
        </is>
      </c>
      <c r="B90" s="8" t="inlineStr">
        <is>
          <t>投資物業</t>
        </is>
      </c>
      <c r="C90" s="19" t="inlineStr">
        <is>
          <t>high</t>
        </is>
      </c>
      <c r="D90" s="11" t="inlineStr">
        <is>
          <t>投資物業</t>
        </is>
      </c>
      <c r="E90" s="11" t="inlineStr">
        <is>
          <t>PDF p.172 (印刷頁 171)</t>
        </is>
      </c>
      <c r="F90" s="11" t="inlineStr">
        <is>
          <t>| 2026年報 Notes to Consolidated Financial Statements 綜合財務報表附註 Year ended 31 March 2026 截至二零二六年三月三十一日止年度 14. INVESTMENT PROPERTIES 14. 投資物業（續） (Continued) FAIR VALUE HIERARCHY 公平值層級 The following table illustrates the fair value measurement 下表列示本集團投資物業之公平值計量 hierarchy of the Group’s investment properties: 層級： Fair value measurement as at 31 March 2026 using 於二零二六年三月三十一日 使用以下各項進行之公平值計量 Quoted prices Significant Significant in active observable unobservable markets inputs inputs (Level 1) (Level 2) (Level 3) Total 於活躍市場 重大可觀察 重大不可觀</t>
        </is>
      </c>
    </row>
    <row r="91">
      <c r="A91" s="8" t="inlineStr">
        <is>
          <t>Investment Properties</t>
        </is>
      </c>
      <c r="B91" s="8" t="inlineStr">
        <is>
          <t>投資物業</t>
        </is>
      </c>
      <c r="C91" s="19" t="inlineStr">
        <is>
          <t>high</t>
        </is>
      </c>
      <c r="D91" s="11" t="inlineStr">
        <is>
          <t>投資物業</t>
        </is>
      </c>
      <c r="E91" s="11" t="inlineStr">
        <is>
          <t>PDF p.173 (印刷頁 172)</t>
        </is>
      </c>
      <c r="F91" s="11" t="inlineStr">
        <is>
          <t>ort 2026 Notes to Consolidated Financial Statements 綜合財務報表附註 Year ended 31 March 2026 截至二零二六年三月三十一日止年度 14. INVESTMENT PROPERTIES 14. 投資物業（續） (Continued) FAIR VALUE HIERARCHY (Continued) 公平值層級（續） Fair value measurement as at 31 March 2025 using 於二零二五年三月三十一日 使用以下各項進行之公平值計量 Quoted prices Significant Significant in active observable unobservable markets inputs inputs (Level 1) (Level 2) (Level 3) Total 於活躍市場 重大可觀察 重大不可觀察 之報價 輸入值 輸入值 （第一級） （第二級） （第三級） 總計 HK$’000 HK$’000 HK$’000 HK$’000 千港元 千港元 千港元 千港元 Hong Kong: 香港： Commercial prope</t>
        </is>
      </c>
    </row>
    <row r="92">
      <c r="A92" s="8" t="inlineStr">
        <is>
          <t>Investment Properties</t>
        </is>
      </c>
      <c r="B92" s="8" t="inlineStr">
        <is>
          <t>投資物業</t>
        </is>
      </c>
      <c r="C92" s="19" t="inlineStr">
        <is>
          <t>high</t>
        </is>
      </c>
      <c r="D92" s="11" t="inlineStr">
        <is>
          <t>investment property</t>
        </is>
      </c>
      <c r="E92" s="11" t="inlineStr">
        <is>
          <t>PDF p.174 (印刷頁 173)</t>
        </is>
      </c>
      <c r="F92" s="11" t="inlineStr">
        <is>
          <t>l 2024 於二零二四年四月一日之 賬面值 124,400 113,309 27,600 1,853,940 112,824 Disposal 出售 (20,160) – – – – Fair value loss on sale of an 出售一項投資物業之 investment property 公平值損失 (7,240) – – – – Unrealised loss from fair value adjustments 於損益確認之公平值調整 recognised in profit or loss 未實現虧損 (15,600) (307) (1,000) (31,819) (1,617) Exchange realignment 匯兌調整 – – – (3,300) (650) Carrying amount at 31 March 2025 and 於二零二五年 1 April 2025 三月三十一日及 二零二五年四月一日之 賬面值 81,400 113,002 26,600 1,818,821 110,557 Transfer from property, plant and equipment 自物業、廠房及設備轉撥 – – –</t>
        </is>
      </c>
    </row>
    <row r="93">
      <c r="A93" s="8" t="inlineStr">
        <is>
          <t>Investment Properties</t>
        </is>
      </c>
      <c r="B93" s="8" t="inlineStr">
        <is>
          <t>投資物業</t>
        </is>
      </c>
      <c r="C93" s="19" t="inlineStr">
        <is>
          <t>high</t>
        </is>
      </c>
      <c r="D93" s="11" t="inlineStr">
        <is>
          <t>capitalisation rate</t>
        </is>
      </c>
      <c r="E93" s="11" t="inlineStr">
        <is>
          <t>PDF p.175 (印刷頁 174)</t>
        </is>
      </c>
      <c r="F93" s="11" t="inlineStr">
        <is>
          <t>Estimated rental value HK$44 to HK$32 to (per square metre per month) HK$515 HK$480 44港元至 32港元至 商業物業 收入資本化法 估計租值（每平方米每月） 515港元 480港元 Capitalisation rate 2.6% to 5.5% 2.8% to 6.0% 2.6%至5.5% 2.8%至6.0% 資本化率 Industrial properties Income capitalisation approach Estimated rental value HK$18 to HK$16 to (per square metre per month) HK$34 HK$17 18港元至 16港元至 工業物業 收入資本化法 估計租值（每平方米每月） 34港元 17港元 Capitalisation rate 7.0% 7.0% 資本化率 174</t>
        </is>
      </c>
    </row>
    <row r="94">
      <c r="A94" s="8" t="inlineStr">
        <is>
          <t>Investment Properties</t>
        </is>
      </c>
      <c r="B94" s="8" t="inlineStr">
        <is>
          <t>投資物業</t>
        </is>
      </c>
      <c r="C94" s="19" t="inlineStr">
        <is>
          <t>high</t>
        </is>
      </c>
      <c r="D94" s="11" t="inlineStr">
        <is>
          <t>capitalisation rate</t>
        </is>
      </c>
      <c r="E94" s="11" t="inlineStr">
        <is>
          <t>PDF p.176 (印刷頁 175)</t>
        </is>
      </c>
      <c r="F94" s="11" t="inlineStr">
        <is>
          <t>crease/decrease in the fair value of the investment 單獨大幅增加╱減少將導致投資物業的 properties. A significant increase/decrease in the 公平值大幅減少╱增加。 capitalisation rate in isolation would result in a significant decrease/increase in the fair value of the investment properties. 15. LEASES 15. 租賃 THE GROUP AS A LESSEE 本集團作為承租人 The Group has lease contracts for various leasehold 本集團用於營運的多項租賃土地及物 lands and properties used in its operations. Lump sum 業均訂有租賃合約。本集團已提前作出 payments were made upfront to acquire the leased lands 一次性付款以向業主購租賃土地，租期 from the</t>
        </is>
      </c>
    </row>
    <row r="95">
      <c r="A95" s="8" t="inlineStr">
        <is>
          <t>Investment Properties</t>
        </is>
      </c>
      <c r="B95" s="8" t="inlineStr">
        <is>
          <t>投資物業</t>
        </is>
      </c>
      <c r="C95" s="19" t="inlineStr">
        <is>
          <t>high</t>
        </is>
      </c>
      <c r="D95" s="11" t="inlineStr">
        <is>
          <t>投資物業</t>
        </is>
      </c>
      <c r="E95" s="11" t="inlineStr">
        <is>
          <t>PDF p.205 (印刷頁 204)</t>
        </is>
      </c>
      <c r="F95" s="11" t="inlineStr">
        <is>
          <t>m Revaluation Right-of-use related acquisition of of investment assets depreciation subsidiaries properties Total 因收購附屬 超過有關折舊 公司產生之 投資物業 使用權資產 的折舊免稅額 公平值調整 重估 總計 HK$’000 HK$’000 HK$’000 HK$’000 HK$’000 千港元 千港元 千港元 千港元 千港元 At 1 April 2025 於二零二五年四月一日 13,382 20,632 6,417 213,054 253,485 Deferred tax charged/(credited) to 本年度損益表中之遞延稅項 the statement of profit or loss 支出╱（抵免）（附註10） during the year (note 10) 954 (114) – 5,550 6,390 Exchange realignment 匯兌調整 804 – – 1,342 2,146 Gross deferred tax liabilities at 於二零二六年三月三十一日之 31 March</t>
        </is>
      </c>
    </row>
    <row r="96">
      <c r="A96" s="8" t="inlineStr">
        <is>
          <t>Investment Properties</t>
        </is>
      </c>
      <c r="B96" s="8" t="inlineStr">
        <is>
          <t>投資物業</t>
        </is>
      </c>
      <c r="C96" s="19" t="inlineStr">
        <is>
          <t>high</t>
        </is>
      </c>
      <c r="D96" s="11" t="inlineStr">
        <is>
          <t>投資物業</t>
        </is>
      </c>
      <c r="E96" s="11" t="inlineStr">
        <is>
          <t>PDF p.206 (印刷頁 205)</t>
        </is>
      </c>
      <c r="F96" s="11" t="inlineStr">
        <is>
          <t>m Revaluation Right-of-use related acquisition of of investment assets depreciation subsidiaries properties Total 因收購附屬 超過有關折舊 公司產生之 投資物業 使用權資產 的折舊免稅額 公平值調整 重估 總計 HK$’000 HK$’000 HK$’000 HK$’000 HK$’000 千港元 千港元 千港元 千港元 千港元 At 1 April 2024 於二零二四年四月一日 13,549 20,830 6,417 234,123 274,919 Deferred tax credited to the 本年度損益表中之 statement of profit or loss 遞延稅項抵免（附註10） during the year (note 10) (88) (198) – (20,837) (21,123) Exchange realignment 匯兌調整 (79) – – (232) (311) Gross deferred tax liabilities at 於二零二五年三月三十一日之 31 March 2025 遞延</t>
        </is>
      </c>
    </row>
    <row r="97">
      <c r="A97" s="8" t="inlineStr">
        <is>
          <t>Investment Properties</t>
        </is>
      </c>
      <c r="B97" s="8" t="inlineStr">
        <is>
          <t>投資物業</t>
        </is>
      </c>
      <c r="C97" s="19" t="inlineStr">
        <is>
          <t>high</t>
        </is>
      </c>
      <c r="D97" s="11" t="inlineStr">
        <is>
          <t>投資物業</t>
        </is>
      </c>
      <c r="E97" s="11" t="inlineStr">
        <is>
          <t>PDF p.220 (印刷頁 219)</t>
        </is>
      </c>
      <c r="F97" s="11" t="inlineStr">
        <is>
          <t>s were pledged to secure certain banking 押，作為本集團所獲授若干銀行信貸之 facilities granted to the Group. In addition, rental income 擔保。此外，本集團已轉讓若干投資物業 generated in respect of certain investment properties of 之租金收益予若干銀行，作為本集團所 the Group has been assigned to certain banks to secure 獲授若干銀行融資之擔保。 certain banking facilities granted to the Group. 2026 2025 二零二六年 二零二五年 Notes HK$’000 HK$’000 附註 千港元 千港元 Property, plant and equipment 物業、廠房及設備 13 189,051 101,283 Investment properties 投資物業 14 2,202,851 1,867,553 Time deposits 定期存款 25 19,626 33,722 Fina</t>
        </is>
      </c>
    </row>
    <row r="98">
      <c r="A98" s="8" t="inlineStr">
        <is>
          <t>Investment Properties</t>
        </is>
      </c>
      <c r="B98" s="8" t="inlineStr">
        <is>
          <t>投資物業</t>
        </is>
      </c>
      <c r="C98" s="19" t="inlineStr">
        <is>
          <t>high</t>
        </is>
      </c>
      <c r="D98" s="11" t="inlineStr">
        <is>
          <t>投資物業</t>
        </is>
      </c>
      <c r="E98" s="11" t="inlineStr">
        <is>
          <t>PDF p.244 (印刷頁 243)</t>
        </is>
      </c>
      <c r="F98" s="11" t="inlineStr">
        <is>
          <t>零二六年三月三十一日 Particulars of principal investment properties held by the Group 於二零二六年三月三十一日本集團持有的主 as at 31 March 2026 are as follows: 要投資物業詳情如下： Approx. gross Effective Stage of Name/location Tenure Type floor area % held completion (m2) 總樓面面積約數 實際持有 名稱╱地點 佔用性質 類別 （平方米） 百分比 完成階段 Hong Kong 香港 Unit B, 26th Floor Medium term lease I 1,568 100 Completed Wyler Centre, Phase II 200 Tai Lin Pai Road Kwai Chung, New Territories 新界葵涌 中期租約 工業 已落成 大連排道200號 偉倫中心第二期 26樓B室 Ground Floor and Cockloft Medium term lease C 87 100 Completed 61 South</t>
        </is>
      </c>
    </row>
    <row r="99">
      <c r="A99" s="8" t="inlineStr">
        <is>
          <t>Investment Properties</t>
        </is>
      </c>
      <c r="B99" s="8" t="inlineStr">
        <is>
          <t>投資物業</t>
        </is>
      </c>
      <c r="C99" s="19" t="inlineStr">
        <is>
          <t>high</t>
        </is>
      </c>
      <c r="D99" s="11" t="inlineStr">
        <is>
          <t>投資物業</t>
        </is>
      </c>
      <c r="E99" s="11" t="inlineStr">
        <is>
          <t>PDF p.245 (印刷頁 244)</t>
        </is>
      </c>
      <c r="F99" s="11" t="inlineStr">
        <is>
          <t>articulars of principal investment properties held by the Group 於二零二六年三月三十一日本集團持有的主 as at 31 March 2026 are as follows: (Continued) 要投資物業詳情如下：（續） Approx. gross Effective Stage of Name/location Tenure Type floor area % held completion (m2) 總樓面面積約數 實際持有 名稱╱地點 佔用性質 類別 （平方米） 百分比 完成階段 Hong Kong 香港 Ground Floor Medium term lease C 53 70 Completed No. 355 Sha Tsui Road Tsuen Wan, New Territories 新界荃灣 中期租約 商業 已落成 沙咀道355號 地下 Ground Floor, Medium term lease C 102 100 Completed No. 102 Main Street Ap Lei Chau Ap Lei Chau, Hong Kong 香港鴨脷洲</t>
        </is>
      </c>
    </row>
    <row r="100">
      <c r="A100" s="8" t="inlineStr">
        <is>
          <t>Investment Properties</t>
        </is>
      </c>
      <c r="B100" s="8" t="inlineStr">
        <is>
          <t>投資物業</t>
        </is>
      </c>
      <c r="C100" s="19" t="inlineStr">
        <is>
          <t>high</t>
        </is>
      </c>
      <c r="D100" s="11" t="inlineStr">
        <is>
          <t>投資物業</t>
        </is>
      </c>
      <c r="E100" s="11" t="inlineStr">
        <is>
          <t>PDF p.246 (印刷頁 245)</t>
        </is>
      </c>
      <c r="F100" s="11" t="inlineStr">
        <is>
          <t>articulars of principal investment properties held by the Group 於二零二六年三月三十一日本集團持有的主 as at 31 March 2026 are as follows: (Continued) 要投資物業詳情如下：（續） Approx. gross Effective Stage of Name/location Tenure Type floor area % held completion (m2) 總樓面面積約數 實際持有 名稱╱地點 佔用性質 類別 （平方米） 百分比 完成階段 Hong Kong 香港 Flat F on 1st Floor Medium term lease R 50 100 Completed Gold Reserved Count No. 16 Tai Main Lane Tai Po, New Territories 新界大埔 中期租約 住宅 已落成 大明里16號 儲金閣 一樓F室 5/F and main roof Medium term lease R 50 90 Completed No. 35 Tsing Yuen Street Tai P</t>
        </is>
      </c>
    </row>
    <row r="101">
      <c r="A101" s="8" t="inlineStr">
        <is>
          <t>Investment Properties</t>
        </is>
      </c>
      <c r="B101" s="8" t="inlineStr">
        <is>
          <t>投資物業</t>
        </is>
      </c>
      <c r="C101" s="19" t="inlineStr">
        <is>
          <t>high</t>
        </is>
      </c>
      <c r="D101" s="11" t="inlineStr">
        <is>
          <t>投資物業</t>
        </is>
      </c>
      <c r="E101" s="11" t="inlineStr">
        <is>
          <t>PDF p.247 (印刷頁 246)</t>
        </is>
      </c>
      <c r="F101" s="11" t="inlineStr">
        <is>
          <t>articulars of principal investment properties held by the Group 於二零二六年三月三十一日本集團持有的主 as at 31 March 2026 are as follows: (Continued) 要投資物業詳情如下：（續） Approx. gross Effective Stage of Name/location Tenure Type floor area % held completion (m2) 總樓面面積約數 實際持有 名稱╱地點 佔用性質 類別 （平方米） 百分比 完成階段 Hong Kong 香港 Ground floor &amp; 1st floor Medium term lease R 83 90 Completed Lot No. 424 on D.D. 292 No.17 Ko Tong Ha Yeung Sai Kung North, New Territories 新界西貢北 中期租約 住宅 已落成 高塘下洋17號 舊屋地丈量約份 第292約地段第424號 地下及一樓 Lot No. 1528 on D.D. 244 Medium term lease R 6</t>
        </is>
      </c>
    </row>
    <row r="102">
      <c r="A102" s="8" t="inlineStr">
        <is>
          <t>Investment Properties</t>
        </is>
      </c>
      <c r="B102" s="8" t="inlineStr">
        <is>
          <t>投資物業</t>
        </is>
      </c>
      <c r="C102" s="19" t="inlineStr">
        <is>
          <t>high</t>
        </is>
      </c>
      <c r="D102" s="11" t="inlineStr">
        <is>
          <t>投資物業</t>
        </is>
      </c>
      <c r="E102" s="11" t="inlineStr">
        <is>
          <t>PDF p.248 (印刷頁 247)</t>
        </is>
      </c>
      <c r="F102" s="11" t="inlineStr">
        <is>
          <t>articulars of principal investment properties held by the Group 於二零二六年三月三十一日本集團持有的主 as at 31 March 2026 are as follows: (Continued) 要投資物業詳情如下：（續） Approx. gross Effective Stage of Name/location Tenure Type floor area % held completion (m2) 總樓面面積約數 實際持有 名稱╱地點 佔用性質 類別 （平方米） 百分比 完成階段 Mainland China 中國大陸 A building at Hua Shan Road Medium term lease I 4,647 100 Completed Chaotian Industrial Area Shilou Town Panyu District Guangdong Province 位於廣東省 中期租約 工業 已落成 番禺區 石樓鎮 潮田工業區 華山路之一座樓宇 Imperial Palace Long term lease C/R 4,899 100 Comple</t>
        </is>
      </c>
    </row>
    <row r="103">
      <c r="A103" s="8" t="inlineStr">
        <is>
          <t>Investment Properties</t>
        </is>
      </c>
      <c r="B103" s="8" t="inlineStr">
        <is>
          <t>投資物業</t>
        </is>
      </c>
      <c r="C103" s="19" t="inlineStr">
        <is>
          <t>high</t>
        </is>
      </c>
      <c r="D103" s="11" t="inlineStr">
        <is>
          <t>投資物業</t>
        </is>
      </c>
      <c r="E103" s="11" t="inlineStr">
        <is>
          <t>PDF p.249 (印刷頁 248)</t>
        </is>
      </c>
      <c r="F103" s="11" t="inlineStr">
        <is>
          <t>articulars of principal investment properties held by the Group 於二零二六年三月三十一日本集團持有的主 as at 31 March 2026 are as follows: (Continued) 要投資物業詳情如下：（續） Approx. gross Effective Stage of Name/location Tenure Type floor area % held completion (m2) 總樓面面積約數 實際持有 名稱╱地點 佔用性質 類別 （平方米） 百分比 完成階段 Mainland China 中國大陸 Carrianna Friendship Square Medium term lease C/R 4,210 100 Completed Junction Renmin Road South and Chunfeng Road Shenzhen Special Economic Zone 深圳經濟特區 中期租約 商業╱ 已落成 人民南路及春風路交界 住宅 佳寧娜友誼廣場 Block 5, Hui Bo Commercial Centre Medium ter</t>
        </is>
      </c>
    </row>
    <row r="104">
      <c r="A104" s="8" t="inlineStr">
        <is>
          <t>ESG Data</t>
        </is>
      </c>
      <c r="B104" s="8" t="inlineStr">
        <is>
          <t>環境社會及管治數據</t>
        </is>
      </c>
      <c r="C104" s="8" t="inlineStr">
        <is>
          <t>medium</t>
        </is>
      </c>
      <c r="D104" s="11" t="inlineStr">
        <is>
          <t>環境、社會及管治</t>
        </is>
      </c>
      <c r="E104" s="11" t="inlineStr">
        <is>
          <t>PDF p.52 (印刷頁 51)</t>
        </is>
      </c>
      <c r="F104" s="11" t="inlineStr">
        <is>
          <t>services to its customers so as to ensure sustainable development. A separate Environmental, Social and Governance Report 一份由專業第三方編撰的環境、社會及管治 conducted by a professional third party will be published in 報告將根據上市規則之規定予以獨立刊發。 compliance with the requirements of the Listing Rules. DIRECTORS 董事 The directors of the Company during the year and up to the 於本年度及截至本報告日期之本公司董事包 date of this report were: 括： Executive Directors: 執行董事： Ma Kai Cheung (Honorary Chairman) 馬介璋（名譽主席） Ma Kai Yum (Chairman) 馬介欽（主席） Liang Rui (Chief Executive Office</t>
        </is>
      </c>
    </row>
    <row r="105">
      <c r="A105" s="8" t="inlineStr">
        <is>
          <t>ESG Data</t>
        </is>
      </c>
      <c r="B105" s="8" t="inlineStr">
        <is>
          <t>環境社會及管治數據</t>
        </is>
      </c>
      <c r="C105" s="8" t="inlineStr">
        <is>
          <t>medium</t>
        </is>
      </c>
      <c r="D105" s="11" t="inlineStr">
        <is>
          <t>環境、社會及管治</t>
        </is>
      </c>
      <c r="E105" s="11" t="inlineStr">
        <is>
          <t>PDF p.98 (印刷頁 97)</t>
        </is>
      </c>
      <c r="F105" s="11" t="inlineStr">
        <is>
          <t>before the settlement date if specified criteria are met. 結算的金融負債。該等修訂澄清如何評 The amendments clarify how to assess the contractual 估具有環境、社會及管治以及其他類似 cash flow characteristics of financial assets with 或然特徵的金融資產的合約現金流量特 environmental, social and governance and other similar 徵。此外，該等修訂澄清具有無追索權 contingent features. Moreover, the amendments clarify 特徵的金融資產及合約掛鈎工具的分類 the requirements for classifying financial assets with non- 規定。該等修訂亦包括指定為按公平值 recourse features and contractually linked instruments. 計入其他全面收益的權益工具投資及具 The amendments also</t>
        </is>
      </c>
    </row>
    <row r="106">
      <c r="A106" s="8" t="inlineStr">
        <is>
          <t>R&amp;D Expenditure</t>
        </is>
      </c>
      <c r="B106" s="8" t="inlineStr">
        <is>
          <t>研發開支</t>
        </is>
      </c>
      <c r="C106" s="8" t="inlineStr">
        <is>
          <t>medium</t>
        </is>
      </c>
      <c r="D106" s="11" t="inlineStr">
        <is>
          <t>研發</t>
        </is>
      </c>
      <c r="E106" s="11" t="inlineStr">
        <is>
          <t>PDF p.35 (印刷頁 34)</t>
        </is>
      </c>
      <c r="F106" s="11" t="inlineStr">
        <is>
          <t>ompetition, customers’ pursuit of products with 有所改變等因素。管理層已作出多方面策略 higher value for money and changes in consumption patterns. 調整，包括研發新菜式、提供限時套餐優惠及 Management has implemented various strategic adjustments, 提升顧客服務質素等以應對此挑戰。 including developing new dishes, offering limited time meal promotions and improving customer service quality, etc. to address the challenges. 34</t>
        </is>
      </c>
    </row>
    <row r="107">
      <c r="A107" s="8" t="inlineStr">
        <is>
          <t>Segment Information</t>
        </is>
      </c>
      <c r="B107" s="8" t="inlineStr">
        <is>
          <t>分部資料</t>
        </is>
      </c>
      <c r="C107" s="8" t="inlineStr">
        <is>
          <t>medium</t>
        </is>
      </c>
      <c r="D107" s="11" t="inlineStr">
        <is>
          <t>reportable segment</t>
        </is>
      </c>
      <c r="E107" s="11" t="inlineStr">
        <is>
          <t>PDF p.145 (印刷頁 144)</t>
        </is>
      </c>
      <c r="F107" s="11" t="inlineStr">
        <is>
          <t>about resource allocation and performance 按可報告分部溢利╱（虧損）而評估， assessment. Segment performance is evaluated based 該溢利╱（虧損）為經調整除稅前溢利 on reportable segment profit/(loss), which is a measure ╱（虧損）之計量。經調整除稅前溢利╱ of adjusted profit/(loss) before tax. The adjusted profit/ （虧損）之計量方法與本集團之除稅前溢 (loss) before tax is measured consistently with the Group’s 利╱（虧損）一致，惟有關計量不包括銀 profit/(loss) before tax except that bank interest income, 行利息收入、未分配其他淨收益、財務成 unallocated other income and gains, net, finance costs as 本及企業及未分配支出。 well as corporate and u</t>
        </is>
      </c>
    </row>
    <row r="108">
      <c r="A108" s="8" t="inlineStr">
        <is>
          <t>Segment Information</t>
        </is>
      </c>
      <c r="B108" s="8" t="inlineStr">
        <is>
          <t>分部資料</t>
        </is>
      </c>
      <c r="C108" s="8" t="inlineStr">
        <is>
          <t>medium</t>
        </is>
      </c>
      <c r="D108" s="11" t="inlineStr">
        <is>
          <t>operating segment</t>
        </is>
      </c>
      <c r="E108" s="11" t="inlineStr">
        <is>
          <t>PDF p.146 (印刷頁 145)</t>
        </is>
      </c>
      <c r="F108" s="11" t="inlineStr">
        <is>
          <t>佳寧娜集團控股有限公司 | 2026年報 Notes to Consolidated Financial Statements 綜合財務報表附註 Year ended 31 March 2026 截至二零二六年三月三十一日止年度 4. OPERATING SEGMENT 4. 經營分部資料 INFORMATION (Continued) Year ended 31 March 2026 截至二零二六年三月三十一日止年度 Restaurant, Property food and investment and hotel development Total 餐飲、 物業投資 食品及酒店 及發展 總計 HK$’000 HK$’000 HK$’000 千港元 千港元 千港元 Segment revenue (note 5) 分部收入（附註5） Revenue from external customers 來自外部客戶之收入 414,429 137,539 551,968 Intersegment revenue 分部間之收入 588 7,944 8,532 415,017 145,483 560,500 Reconcilia</t>
        </is>
      </c>
    </row>
    <row r="109">
      <c r="A109" s="8" t="inlineStr">
        <is>
          <t>Segment Information</t>
        </is>
      </c>
      <c r="B109" s="8" t="inlineStr">
        <is>
          <t>分部資料</t>
        </is>
      </c>
      <c r="C109" s="8" t="inlineStr">
        <is>
          <t>medium</t>
        </is>
      </c>
      <c r="D109" s="11" t="inlineStr">
        <is>
          <t>segment information</t>
        </is>
      </c>
      <c r="E109" s="11" t="inlineStr">
        <is>
          <t>PDF p.147 (印刷頁 146)</t>
        </is>
      </c>
      <c r="F109" s="11" t="inlineStr">
        <is>
          <t>Restaurant, Property food and investment and hotel development Total 餐飲、 物業投資 食品及酒店 及發展 總計 HK$’000 HK$’000 HK$’000 千港元 千港元 千港元 Other segment information 其他分部資料： Fair value gain on investment properties, 投資物業之公平值變動， net 淨額 – (23,113) (23,113) Share of losses of associates 應佔聯營公司虧損 – 25,778 25,778 Other interest income 其他利息收入 – (7,763) (7,763) Impairment of trade receivables, net 應收貿易賬款之減值，淨額 120 – 120 Impairment of other receivables, net 其他應收賬款減值，淨額 327 35,319 35,646 Depreciation of property, plant and 物業、廠房及設備之折舊 equipment – se</t>
        </is>
      </c>
    </row>
    <row r="110">
      <c r="A110" s="8" t="inlineStr">
        <is>
          <t>Segment Information</t>
        </is>
      </c>
      <c r="B110" s="8" t="inlineStr">
        <is>
          <t>分部資料</t>
        </is>
      </c>
      <c r="C110" s="8" t="inlineStr">
        <is>
          <t>medium</t>
        </is>
      </c>
      <c r="D110" s="11" t="inlineStr">
        <is>
          <t>operating segment</t>
        </is>
      </c>
      <c r="E110" s="11" t="inlineStr">
        <is>
          <t>PDF p.148 (印刷頁 147)</t>
        </is>
      </c>
      <c r="F110" s="11" t="inlineStr">
        <is>
          <t>佳寧娜集團控股有限公司 | 2026年報 Notes to Consolidated Financial Statements 綜合財務報表附註 Year ended 31 March 2026 截至二零二六年三月三十一日止年度 4. OPERATING SEGMENT 4. 經營分部資料（續） INFORMATION (Continued) Year ended 31 March 2025 截至二零二五年三月三十一日止年度 Restaurant, Property food and investment and hotel development Total 餐飲、 物業投資 食品及酒店 及發展 總計 HK$’000 HK$’000 HK$’000 千港元 千港元 千港元 Segment revenue (note 5) 分部收入（附註5） Revenue from external customers 來自外部客戶之收入 472,523 104,998 577,521 Intersegment revenue 分部間之收入 1,558 6,307 7,865 474,081 111,305 585,386 Recon</t>
        </is>
      </c>
    </row>
    <row r="111">
      <c r="A111" s="8" t="inlineStr">
        <is>
          <t>Segment Information</t>
        </is>
      </c>
      <c r="B111" s="8" t="inlineStr">
        <is>
          <t>分部資料</t>
        </is>
      </c>
      <c r="C111" s="8" t="inlineStr">
        <is>
          <t>medium</t>
        </is>
      </c>
      <c r="D111" s="11" t="inlineStr">
        <is>
          <t>segment information</t>
        </is>
      </c>
      <c r="E111" s="11" t="inlineStr">
        <is>
          <t>PDF p.149 (印刷頁 148)</t>
        </is>
      </c>
      <c r="F111" s="11" t="inlineStr">
        <is>
          <t>Restaurant, Property food and investment and hotel development Total 餐飲、 物業投資 食品及酒店 及發展 總計 HK$’000 HK$’000 HK$’000 千港元 千港元 千港元 Other segment information 其他分部資料： Fair value loss on investment properties, 投資物業之公平值虧損， net 淨額 – 57,583 57,583 Share of losses of associates 應佔聯營公司虧損 – 56,075 56,075 Other interest income 其他利息收入 – (6,180) (6,180) Impairment of trade receivables, net 應收貿易賬款之減值，淨額 74 – 74 Reversal of impairment of other 其他應收賬款減值撥回， receivables, net 淨額 – (161) (161) Write-off of other receivable 撇銷其他應收款項 – 9,893 9,893 Depr</t>
        </is>
      </c>
    </row>
    <row r="112">
      <c r="A112" s="8" t="inlineStr">
        <is>
          <t>Segment Information</t>
        </is>
      </c>
      <c r="B112" s="8" t="inlineStr">
        <is>
          <t>分部資料</t>
        </is>
      </c>
      <c r="C112" s="8" t="inlineStr">
        <is>
          <t>medium</t>
        </is>
      </c>
      <c r="D112" s="11" t="inlineStr">
        <is>
          <t>operating segment</t>
        </is>
      </c>
      <c r="E112" s="11" t="inlineStr">
        <is>
          <t>PDF p.150 (印刷頁 149)</t>
        </is>
      </c>
      <c r="F112" s="11" t="inlineStr">
        <is>
          <t>佳寧娜集團控股有限公司 | 2026年報 Notes to Consolidated Financial Statements 綜合財務報表附註 Year ended 31 March 2026 截至二零二六年三月三十一日止年度 4. OPERATING SEGMENT 4. 經營分部資料（續） INFORMATION (Continued) GEOGRAPHICAL INFORMATION 地區資料 (a) Revenue from external customers (a) 來自外部客戶之收入 2026 2025 二零二六年 二零二五年 HK$’000 HK$’000 千港元 千港元 Hong Kong 香港 186,863 197,603 Mainland China 中國大陸 365,105 379,918 551,968 577,521 The revenue information above is based on the 上述收入資料乃根據客戶所在之地 locations of the customers. 區而定。 (b) Non-current assets (b) 非流動資產 2026 2025</t>
        </is>
      </c>
    </row>
    <row r="113">
      <c r="A113" s="8" t="inlineStr">
        <is>
          <t>Segment Information</t>
        </is>
      </c>
      <c r="B113" s="8" t="inlineStr">
        <is>
          <t>分部資料</t>
        </is>
      </c>
      <c r="C113" s="8" t="inlineStr">
        <is>
          <t>medium</t>
        </is>
      </c>
      <c r="D113" s="11" t="inlineStr">
        <is>
          <t>operating segment</t>
        </is>
      </c>
      <c r="E113" s="11" t="inlineStr">
        <is>
          <t>PDF p.151 (印刷頁 150)</t>
        </is>
      </c>
      <c r="F113" s="11" t="inlineStr">
        <is>
          <t>ompany Limited | Annual Report 2026 Notes to Consolidated Financial Statements 綜合財務報表附註 Year ended 31 March 2026 截至二零二六年三月三十一日止年度 4. OPERATING SEGMENT 4. 經營分部資料（續） INFORMATION (Continued) INFORMATION ABOUT MAJOR 有關主要客戶之資料 CUSTOMERS No revenue from any single external customer accounted 截至二零二六年及二零二五年三月 for 10% or more of the Group’s total revenue for the years 三十一日止年度，並無來自任何單一外 ended 31 March 2026 and 2025. 部客戶之收入佔本集團總收之10%或以 上。 5. REVENUE AND OTHER INCOME 5. 收入及其他收入 REVENUE 收入 An analysis of revenue is as follows: 收入分析如下： 2026</t>
        </is>
      </c>
    </row>
    <row r="114">
      <c r="A114" s="8" t="inlineStr">
        <is>
          <t>Segment Information</t>
        </is>
      </c>
      <c r="B114" s="8" t="inlineStr">
        <is>
          <t>分部資料</t>
        </is>
      </c>
      <c r="C114" s="8" t="inlineStr">
        <is>
          <t>medium</t>
        </is>
      </c>
      <c r="D114" s="11" t="inlineStr">
        <is>
          <t>geographical</t>
        </is>
      </c>
      <c r="E114" s="11" t="inlineStr">
        <is>
          <t>PDF p.152 (印刷頁 151)</t>
        </is>
      </c>
      <c r="F114" s="11" t="inlineStr">
        <is>
          <t>72 – 6,072 Property management services 物業管理服務 – 2,258 2,258 Sale of properties 物業銷售 – 43,530 43,530 Total 總計 414,429 45,788 460,217 Geographical markets 地理市場 Hong Kong 香港 175,569 – 175,569 Mainland China 中國內地 238,860 45,788 284,648 Total 總計 414,429 45,788 460,217 Timing of revenue recognition 收入確認時間 At a point in time 於某一時間點 408,357 43,530 451,887 Over time 隨時間 6,072 2,258 8,330 Total 總計 414,429 45,788 460,217 151</t>
        </is>
      </c>
    </row>
    <row r="115">
      <c r="A115" s="8" t="inlineStr">
        <is>
          <t>Segment Information</t>
        </is>
      </c>
      <c r="B115" s="8" t="inlineStr">
        <is>
          <t>分部資料</t>
        </is>
      </c>
      <c r="C115" s="8" t="inlineStr">
        <is>
          <t>medium</t>
        </is>
      </c>
      <c r="D115" s="11" t="inlineStr">
        <is>
          <t>geographical</t>
        </is>
      </c>
      <c r="E115" s="11" t="inlineStr">
        <is>
          <t>PDF p.153 (印刷頁 152)</t>
        </is>
      </c>
      <c r="F115" s="11" t="inlineStr">
        <is>
          <t>,260 – 58,260 Hotel operations 酒店經營 17,133 – 17,133 Property management services 物業管理服務 – 2,127 2,127 Total 總計 472,523 2,127 474,650 Geographical markets 地理市場 Hong Kong 香港 179,829 – 179,829 Mainland China 中國內地 292,694 2,127 294,821 Total 總計 472,523 2,127 474,650 Timing of revenue recognition 收入確認時間 At a point in time 於某一時間點 455,390 – 455,390 Over time 隨時間 17,133 2,127 19,260 Total 總計 472,523 2,127 474,650 152</t>
        </is>
      </c>
    </row>
    <row r="116">
      <c r="A116" s="8" t="inlineStr">
        <is>
          <t>Segment Information</t>
        </is>
      </c>
      <c r="B116" s="8" t="inlineStr">
        <is>
          <t>分部資料</t>
        </is>
      </c>
      <c r="C116" s="8" t="inlineStr">
        <is>
          <t>medium</t>
        </is>
      </c>
      <c r="D116" s="11" t="inlineStr">
        <is>
          <t>segment information</t>
        </is>
      </c>
      <c r="E116" s="11" t="inlineStr">
        <is>
          <t>PDF p.154 (印刷頁 153)</t>
        </is>
      </c>
      <c r="F116" s="11" t="inlineStr">
        <is>
          <t>elow is the reconciliation of the revenue 下文載列來自客戶合約之收入與分 from contracts with customers to the amounts 部資料披露之金額之對賬： disclosed in the segment information: For the year ended 31 March 2026 截至二零二六年三月三十一日止年 度 Property investment Restaurant, and food and hotel development Total 餐飲、食品及 物業投資及 Segments 酒店 發展 總計 分部 HK$’000 HK$’000 HK$’000 千港元 千港元 千港元 Revenue from contracts with 來自客戶合約之收入 customers External customers 外部客戶 414,429 45,788 460,217 Intersegment revenue 分部間收入 588 – 588 415,017 45,788 460,805 Intersegment eliminations 分部間撇銷 (5</t>
        </is>
      </c>
    </row>
    <row r="117">
      <c r="A117" s="8" t="inlineStr">
        <is>
          <t>Segment Information</t>
        </is>
      </c>
      <c r="B117" s="8" t="inlineStr">
        <is>
          <t>分部資料</t>
        </is>
      </c>
      <c r="C117" s="8" t="inlineStr">
        <is>
          <t>medium</t>
        </is>
      </c>
      <c r="D117" s="11" t="inlineStr">
        <is>
          <t>operating segment</t>
        </is>
      </c>
      <c r="E117" s="11" t="inlineStr">
        <is>
          <t>PDF p.186 (印刷頁 185)</t>
        </is>
      </c>
      <c r="F117" s="11" t="inlineStr">
        <is>
          <t>of 一間主要聯營公司，本公司董事認為， the directors of the Company, is strategic to the Group’s 其對本集團之物業投資及發展經營分部 property investment and development operating segment 具策略性作用，並於綜合財務報表以權 and has been accounted for using the equity method in 益法入賬。 the consolidated financial statements. 185</t>
        </is>
      </c>
    </row>
    <row r="118">
      <c r="A118" s="8" t="inlineStr">
        <is>
          <t>Share-based Payment</t>
        </is>
      </c>
      <c r="B118" s="8" t="inlineStr">
        <is>
          <t>以股份為基礎的付款</t>
        </is>
      </c>
      <c r="C118" s="8" t="inlineStr">
        <is>
          <t>medium</t>
        </is>
      </c>
      <c r="D118" s="11" t="inlineStr">
        <is>
          <t>share option</t>
        </is>
      </c>
      <c r="E118" s="11" t="inlineStr">
        <is>
          <t>PDF p.51 (印刷頁 50)</t>
        </is>
      </c>
      <c r="F118" s="11" t="inlineStr">
        <is>
          <t>Carrianna Group Holdings Company Limited | Annual Report 2026 REPORT OF THE DIRECTORS 董事會報告書 SHARE CAPITAL AND SHARE OPTIONS 股本及購股權 Details of movements in the Company’s share capital and share 本公司的股本及購股權於年內之變動詳情分 options during the year are set out in notes 32 and 33 to the 別載於綜合財務報表附註32及33。 consolidated financial statements, respectively. PURCHASE, REDEMPTION OR SALE OF 購買、贖回或出售本公司上市證 THE COMPANY’S LISTED SECURITIES 券 Neither the Company, nor any of its subsidiaries purchased, 本公司或其任何附屬公司於截至二零二六年 redeeme</t>
        </is>
      </c>
    </row>
    <row r="119">
      <c r="A119" s="8" t="inlineStr">
        <is>
          <t>Share-based Payment</t>
        </is>
      </c>
      <c r="B119" s="8" t="inlineStr">
        <is>
          <t>以股份為基礎的付款</t>
        </is>
      </c>
      <c r="C119" s="8" t="inlineStr">
        <is>
          <t>medium</t>
        </is>
      </c>
      <c r="D119" s="11" t="inlineStr">
        <is>
          <t>share option</t>
        </is>
      </c>
      <c r="E119" s="11" t="inlineStr">
        <is>
          <t>PDF p.55 (印刷頁 54)</t>
        </is>
      </c>
      <c r="F119" s="11" t="inlineStr">
        <is>
          <t>umber of ordinary shares held shares Percentage of and nature of interests pursuant to the Company’s Capacity/ Personal Family Other share options issued share Name of director nature of interests interests interests interests (note 1) Total capital 根據購股權之 持有普通股股份數目及權益性質 相關股份數目 佔本公司已發行 董事姓名 身份╱權益性質 個人權益 家族權益 其他權益 （附註1） 合共 股本百份比 Ma Kai Cheung Beneficial owner, security 361,283,986 7,050,000 259,129,025 – 627,463,011 (L) 39.93 馬介璋 interest in shares, interest (note 2) (note 3) of spouse and beneficiary （附註2） （附註3） of trust 實益擁有人，</t>
        </is>
      </c>
    </row>
    <row r="120">
      <c r="A120" s="8" t="inlineStr">
        <is>
          <t>Share-based Payment</t>
        </is>
      </c>
      <c r="B120" s="8" t="inlineStr">
        <is>
          <t>以股份為基礎的付款</t>
        </is>
      </c>
      <c r="C120" s="8" t="inlineStr">
        <is>
          <t>medium</t>
        </is>
      </c>
      <c r="D120" s="11" t="inlineStr">
        <is>
          <t>share option</t>
        </is>
      </c>
      <c r="E120" s="11" t="inlineStr">
        <is>
          <t>PDF p.56 (印刷頁 55)</t>
        </is>
      </c>
      <c r="F120" s="11" t="inlineStr">
        <is>
          <t>es represent interests of options (1) 相關股份乃指董事及高級行政人員根 granted to the directors and senior executive under the 據二零一五年購股權計劃獲授予可收 2015 Share Option Scheme to acquire shares of the 購本公司股份之購股權權益，有關進一 Company, further details of which are set out in note 33 to 步詳情載於財務報表附註33。 the financial statements. (2) The shares were owned by Cheung Lin Kiu, the spouse of (2) 該等股份由馬介璋的妻子張蓮嬌擁有。 Ma Kai Cheung. (3) Ma Kai Cheung and his family are the beneficiaries of (3) 馬介璋及其家人為一項全權信託的 a discretionary trust which effectively owns the entire 受益人。該項</t>
        </is>
      </c>
    </row>
    <row r="121">
      <c r="A121" s="8" t="inlineStr">
        <is>
          <t>Share-based Payment</t>
        </is>
      </c>
      <c r="B121" s="8" t="inlineStr">
        <is>
          <t>以股份為基礎的付款</t>
        </is>
      </c>
      <c r="C121" s="8" t="inlineStr">
        <is>
          <t>medium</t>
        </is>
      </c>
      <c r="D121" s="11" t="inlineStr">
        <is>
          <t>share option</t>
        </is>
      </c>
      <c r="E121" s="11" t="inlineStr">
        <is>
          <t>PDF p.59 (印刷頁 58)</t>
        </is>
      </c>
      <c r="F121" s="11" t="inlineStr">
        <is>
          <t>Carrianna Group Holdings Company Limited | Annual Report 2026 REPORT OF THE DIRECTORS 董事會報告書 INFORMATION ON SHARE OPTION 有關購股權計劃的資料 SCHEME 2015 OPTION SCHEME 二零一五年購股權計劃 At the annual general meeting of the Company convened on 在二零一五年八月二十四日召開的週年股東 24 August 2015, the Company adopted a new share option 大會上，本公司採納了一項新的購股權計劃 scheme (the “2015 Option Scheme”) with a validity period of 10 （「二零一五年購股權計劃」），有效期為十年。 years. The principal terms of the 2015 Option Scheme are as follows: 二零一五年購股權計劃之主要條款如下： 1. Purpose of</t>
        </is>
      </c>
    </row>
    <row r="122">
      <c r="A122" s="8" t="inlineStr">
        <is>
          <t>Share-based Payment</t>
        </is>
      </c>
      <c r="B122" s="8" t="inlineStr">
        <is>
          <t>以股份為基礎的付款</t>
        </is>
      </c>
      <c r="C122" s="8" t="inlineStr">
        <is>
          <t>medium</t>
        </is>
      </c>
      <c r="D122" s="11" t="inlineStr">
        <is>
          <t>share option</t>
        </is>
      </c>
      <c r="E122" s="11" t="inlineStr">
        <is>
          <t>PDF p.60 (印刷頁 59)</t>
        </is>
      </c>
      <c r="F122" s="11" t="inlineStr">
        <is>
          <t>佳寧娜集團控股有限公司 | 2026年報 REPORT OF THE DIRECTORS 董事會報告書 INFORMATION ON SHARE OPTION 有關購股權計劃的資料（續） SCHEME (Continued) 2015 OPTION SCHEME (Continued) 二零一五年購股權計劃（續） 4. Maximum entitlement of each participant 4. 各參與者可獲發行之股份數目上限 The total number of shares issued and which may fall 於任何十二(12)個月期間內，因行使根據 to be issued upon exercise of the options to be granted 二零一五年購股權計劃將予授出之購股 under the 2015 Option Scheme (including both exercised 權（包括已行使及未行使購股權）而發行 and outstanding options)</t>
        </is>
      </c>
    </row>
    <row r="123">
      <c r="A123" s="8" t="inlineStr">
        <is>
          <t>Share-based Payment</t>
        </is>
      </c>
      <c r="B123" s="8" t="inlineStr">
        <is>
          <t>以股份為基礎的付款</t>
        </is>
      </c>
      <c r="C123" s="8" t="inlineStr">
        <is>
          <t>medium</t>
        </is>
      </c>
      <c r="D123" s="11" t="inlineStr">
        <is>
          <t>share option</t>
        </is>
      </c>
      <c r="E123" s="11" t="inlineStr">
        <is>
          <t>PDF p.61 (印刷頁 60)</t>
        </is>
      </c>
      <c r="F123" s="11" t="inlineStr">
        <is>
          <t>Carrianna Group Holdings Company Limited | Annual Report 2026 REPORT OF THE DIRECTORS 董事會報告書 INFORMATION ON SHARE OPTION 有關購股權計劃的資料（續） SCHEME (Continued) 2015 OPTION SCHEME (Continued) 二零一五年購股權計劃（續） 6. Payment on acceptance of an option (Continued) 6. 接納購股權之付款（續） Any offer to grant an option may be accepted in respect 就任何授出購股權要約而言，參與者接 of a lesser number of shares for which it is offered 納購股權所涉及之股份數目可少於要約 provided that it must be accepted in respect of a board 所涉及之股份數目，惟接納之股份數目 lot or an integral multip</t>
        </is>
      </c>
    </row>
    <row r="124">
      <c r="A124" s="8" t="inlineStr">
        <is>
          <t>Share-based Payment</t>
        </is>
      </c>
      <c r="B124" s="8" t="inlineStr">
        <is>
          <t>以股份為基礎的付款</t>
        </is>
      </c>
      <c r="C124" s="8" t="inlineStr">
        <is>
          <t>medium</t>
        </is>
      </c>
      <c r="D124" s="11" t="inlineStr">
        <is>
          <t>share option</t>
        </is>
      </c>
      <c r="E124" s="11" t="inlineStr">
        <is>
          <t>PDF p.62 (印刷頁 61)</t>
        </is>
      </c>
      <c r="F124" s="11" t="inlineStr">
        <is>
          <t>佳寧娜集團控股有限公司 | 2026年報 REPORT OF THE DIRECTORS 董事會報告書 INFORMATION ON SHARE OPTION 有關購股權計劃的資料（續） SCHEME (Continued) The following table discloses the movements in the Company’s 下表披露年內本公司根據二零一五年購股權 share options outstanding under the 2015 Option Scheme 計劃項下尚未行使之購股權變動： during the year: Number of share options 購股權數目 Date of Exercise At Granted Exercised Cancelled Lapsed At grant of Exercise price of 1 April during during during during 31 March share period of share 202</t>
        </is>
      </c>
    </row>
    <row r="125">
      <c r="A125" s="8" t="inlineStr">
        <is>
          <t>Share-based Payment</t>
        </is>
      </c>
      <c r="B125" s="8" t="inlineStr">
        <is>
          <t>以股份為基礎的付款</t>
        </is>
      </c>
      <c r="C125" s="8" t="inlineStr">
        <is>
          <t>medium</t>
        </is>
      </c>
      <c r="D125" s="11" t="inlineStr">
        <is>
          <t>share option</t>
        </is>
      </c>
      <c r="E125" s="11" t="inlineStr">
        <is>
          <t>PDF p.63 (印刷頁 62)</t>
        </is>
      </c>
      <c r="F125" s="11" t="inlineStr">
        <is>
          <t>Carrianna Group Holdings Company Limited | Annual Report 2026 REPORT OF THE DIRECTORS 董事會報告書 INFORMATION ON SHARE OPTION 有關購股權計劃的資料（續） SCHEME (Continued) Notes: 附註： 1. The vesting period of the share options is from the date of the 1. 購股權賦予權利的期限是由授出當日起計算 grant until the commencement of the exercise period. 直至行使期的開始日。 2. The exercise price of the share options is subject to adjustment 2. 購股權的行使價是受到如發行股權股或派送 in the case of rights or bonus issues, or other similar changes in 紅股，或本公司股本類同的更動而調整。 the Company’</t>
        </is>
      </c>
    </row>
    <row r="126">
      <c r="A126" s="8" t="inlineStr">
        <is>
          <t>Share-based Payment</t>
        </is>
      </c>
      <c r="B126" s="8" t="inlineStr">
        <is>
          <t>以股份為基礎的付款</t>
        </is>
      </c>
      <c r="C126" s="8" t="inlineStr">
        <is>
          <t>medium</t>
        </is>
      </c>
      <c r="D126" s="11" t="inlineStr">
        <is>
          <t>購股權</t>
        </is>
      </c>
      <c r="E126" s="11" t="inlineStr">
        <is>
          <t>PDF p.80 (印刷頁 79)</t>
        </is>
      </c>
      <c r="F126" s="11" t="inlineStr">
        <is>
          <t>al account bonds reserve reserve reserve reserve reserve funds reserve reserves profits Total interests equity 租賃土地 已發行 股份 可換股債券 及樓宇 購股權 匯兌 資本 公平值 資本及 非控股 股本 溢價賬 權益部份 重估儲備 儲備 商譽儲備 波動儲備 贖回儲備 儲備金 儲備 其他儲備 保留溢利 總計 權益 權益總值 Notes HK$’000 HK$’000 HK$’000 HK$’000 HK$’000 HK$’000 HK$’000 HK$’000 HK$’000 HK$’000 HK$’000 HK$’000 HK$’000 HK$’000 HK$’000 附註 千港元 千港元 千港元 千港元 千港元 千港元 千港元 千港元 千港元 千港元 千港元 千港元 千港元 千港元 千港元 At 1 April 2024 於二零二四年四月一日 157,136 1,505,959 16,162 83,278 5,513 (86,230) (224.875) 316 995 (192,262) (62,914) 1,913,138 3,116</t>
        </is>
      </c>
    </row>
    <row r="127">
      <c r="A127" s="8" t="inlineStr">
        <is>
          <t>Share-based Payment</t>
        </is>
      </c>
      <c r="B127" s="8" t="inlineStr">
        <is>
          <t>以股份為基礎的付款</t>
        </is>
      </c>
      <c r="C127" s="8" t="inlineStr">
        <is>
          <t>medium</t>
        </is>
      </c>
      <c r="D127" s="11" t="inlineStr">
        <is>
          <t>share option</t>
        </is>
      </c>
      <c r="E127" s="11" t="inlineStr">
        <is>
          <t>PDF p.81 (印刷頁 80)</t>
        </is>
      </c>
      <c r="F127" s="11" t="inlineStr">
        <is>
          <t>– – – – – – – – – – – – 4,130 4,130 Modification of convertible bonds 修訂可換股債券 – – (16,156) – – – – – – – – 16,156 – – – Transfer of share option reserve 購股權失效時轉撥購股 upon lapse of share options 權儲備 – – – – (5,513) – – – – – – 5,513 – – – At 31 March 2026 於二零二六年 三月三十一日 157,136 1,505,959* 6* 83,278* –* (86,230)* (94,048)* 316* 1,117* (179,749)* (63,064)* 1,765,704* 3,090,425 (33,413) 3,057,012 * These reserve accounts comprise the consolidated reserves of * 此等儲備賬約2,933,289,000港元（二零二五 approximately HK$2,933,289,000 (2025: HK$2,783,</t>
        </is>
      </c>
    </row>
    <row r="128">
      <c r="A128" s="8" t="inlineStr">
        <is>
          <t>Share-based Payment</t>
        </is>
      </c>
      <c r="B128" s="8" t="inlineStr">
        <is>
          <t>以股份為基礎的付款</t>
        </is>
      </c>
      <c r="C128" s="8" t="inlineStr">
        <is>
          <t>medium</t>
        </is>
      </c>
      <c r="D128" s="11" t="inlineStr">
        <is>
          <t>share-based payment</t>
        </is>
      </c>
      <c r="E128" s="11" t="inlineStr">
        <is>
          <t>PDF p.135 (印刷頁 134)</t>
        </is>
      </c>
      <c r="F128" s="11" t="inlineStr">
        <is>
          <t>March 2026 截至二零二六年三月三十一日止年度 2. ACCOUNTING POLICIES 2. 會計政策（續） (Continued) 2.4 MATERIAL ACCOUNTING POLICIES 2.4 重大會計政策（續） (Continued) SHARE-BASED PAYMENTS 以股份為基礎支付 The Company operates a share option scheme. Eligible 本公司實施購股權計劃，合資格參與者 participants receive remuneration in the form of share- 以股份為基礎支付之方式收取報酬，允 based payments, whereby eligible participants render 許合資格參與者提供服務作為收取權益 services in exchange for equity instruments (“equity- 工具之代價（「權益結算交易」）。 settled transactions”). The cost of equity-settled transactions with employees 與僱員進</t>
        </is>
      </c>
    </row>
    <row r="129">
      <c r="A129" s="8" t="inlineStr">
        <is>
          <t>Share-based Payment</t>
        </is>
      </c>
      <c r="B129" s="8" t="inlineStr">
        <is>
          <t>以股份為基礎的付款</t>
        </is>
      </c>
      <c r="C129" s="8" t="inlineStr">
        <is>
          <t>medium</t>
        </is>
      </c>
      <c r="D129" s="11" t="inlineStr">
        <is>
          <t>share-based payment</t>
        </is>
      </c>
      <c r="E129" s="11" t="inlineStr">
        <is>
          <t>PDF p.136 (印刷頁 135)</t>
        </is>
      </c>
      <c r="F129" s="11" t="inlineStr">
        <is>
          <t>March 2026 截至二零二六年三月三十一日止年度 2. ACCOUNTING POLICIES 2. 會計政策（續） (Continued) 2.4 MATERIAL ACCOUNTING POLICIES 2.4 重大會計政策（續） (Continued) SHARE-BASED PAYMENTS (Continued) 以股份為基礎支付（續） Service and non-market performance conditions are not 服務及非市場績效條件非考慮授出獎勵 taken into account when determining the grant date fair 當日公平值之考慮因素，但能否滿足該 value of awards, but the likelihood of the conditions being 等條件之可能性則構成本集團對最終歸 met is assessed as part of the Group’s best estimate of 屬之權益工具數量之最佳估計一部分。 the number of equity instruments that will ultimately ves</t>
        </is>
      </c>
    </row>
    <row r="130">
      <c r="A130" s="8" t="inlineStr">
        <is>
          <t>Share-based Payment</t>
        </is>
      </c>
      <c r="B130" s="8" t="inlineStr">
        <is>
          <t>以股份為基礎的付款</t>
        </is>
      </c>
      <c r="C130" s="8" t="inlineStr">
        <is>
          <t>medium</t>
        </is>
      </c>
      <c r="D130" s="11" t="inlineStr">
        <is>
          <t>share-based payment</t>
        </is>
      </c>
      <c r="E130" s="11" t="inlineStr">
        <is>
          <t>PDF p.137 (印刷頁 136)</t>
        </is>
      </c>
      <c r="F130" s="11" t="inlineStr">
        <is>
          <t>March 2026 截至二零二六年三月三十一日止年度 2. ACCOUNTING POLICIES 2. 會計政策（續） (Continued) 2.4 MATERIAL ACCOUNTING POLICIES 2.4 重大會計政策（續） (Continued) SHARE-BASED PAYMENTS (Continued) 以股份為基礎支付（續） The dilutive effect of outstanding options is reflected as 計算每股盈利時，尚未行使購股權之攤 additional share dilution in the computation of earnings 薄效應，反映為額外股份攤薄。 per share. OTHER EMPLOYEE BENEFITS 其他僱員福利 Pension schemes 退休金計劃 The Group operates a defined contribution Mandatory 本集團遵從香港強制性公積金計劃條例 Provident Fund retirement benefit scheme (the “MPF 推行界定供款強制公積金退休計劃（「強 Sc</t>
        </is>
      </c>
    </row>
    <row r="131">
      <c r="A131" s="8" t="inlineStr">
        <is>
          <t>Share-based Payment</t>
        </is>
      </c>
      <c r="B131" s="8" t="inlineStr">
        <is>
          <t>以股份為基礎的付款</t>
        </is>
      </c>
      <c r="C131" s="8" t="inlineStr">
        <is>
          <t>medium</t>
        </is>
      </c>
      <c r="D131" s="11" t="inlineStr">
        <is>
          <t>share option</t>
        </is>
      </c>
      <c r="E131" s="11" t="inlineStr">
        <is>
          <t>PDF p.167 (印刷頁 166)</t>
        </is>
      </c>
      <c r="F131" s="11" t="inlineStr">
        <is>
          <t>ended 31 March 2026 所呈列的每股基本虧損金額具有反攤薄 and 2025 in respect of a dilution as the impact of the 影響，故並無就攤薄調整截至二零二六 convertible bonds and share options outstanding had an 年及二零二五年三月三十一日止年度所 anti-dilutive effect on the basic loss per share amounts 呈列的每股基本虧損金額。 presented. The calculations of basic and diluted loss per share are 每股基本及攤薄虧損乃根據以下各項計 based on: 算： 2026 2025 二零二六年 二零二五年 HK$’000 HK$’000 千港元 千港元 Loss 虧損 Loss attributable to ordinary equity 用於計算每股基本及攤薄虧損 holders of the parent, used in the 之母公司普通股權 basic and diluted loss per shar</t>
        </is>
      </c>
    </row>
    <row r="132">
      <c r="A132" s="8" t="inlineStr">
        <is>
          <t>Share-based Payment</t>
        </is>
      </c>
      <c r="B132" s="8" t="inlineStr">
        <is>
          <t>以股份為基礎的付款</t>
        </is>
      </c>
      <c r="C132" s="8" t="inlineStr">
        <is>
          <t>medium</t>
        </is>
      </c>
      <c r="D132" s="11" t="inlineStr">
        <is>
          <t>share option</t>
        </is>
      </c>
      <c r="E132" s="11" t="inlineStr">
        <is>
          <t>PDF p.210 (印刷頁 209)</t>
        </is>
      </c>
      <c r="F132" s="11" t="inlineStr">
        <is>
          <t>,359,420 (2025: 1,571,359,420) 每股面值0.10港元之 ordinary shares of HK$0.10 each 普通股1,571,359,420股 （二零二五年： 1,571,359,420股） 157,136 157,136 SHARE OPTIONS 購股權 Details of the Company’s share option scheme and the 本公司購股權計劃的詳情及根據該計劃 share options issued under the scheme are included in 發行的購股權載於綜合財務報表附註 note 33 to the consolidated financial statements. 33。 209</t>
        </is>
      </c>
    </row>
    <row r="133">
      <c r="A133" s="8" t="inlineStr">
        <is>
          <t>Share-based Payment</t>
        </is>
      </c>
      <c r="B133" s="8" t="inlineStr">
        <is>
          <t>以股份為基礎的付款</t>
        </is>
      </c>
      <c r="C133" s="8" t="inlineStr">
        <is>
          <t>medium</t>
        </is>
      </c>
      <c r="D133" s="11" t="inlineStr">
        <is>
          <t>share option</t>
        </is>
      </c>
      <c r="E133" s="11" t="inlineStr">
        <is>
          <t>PDF p.211 (印刷頁 210)</t>
        </is>
      </c>
      <c r="F133" s="11" t="inlineStr">
        <is>
          <t>mpany Limited | Annual Report 2026 Notes to Consolidated Financial Statements 綜合財務報表附註 Year ended 31 March 2026 截至二零二六年三月三十一日止年度 33. SHARE OPTION SCHEME 33. 購股權計劃 The Company operates a share option scheme (“2015 本公司設有一項購股權計劃（「二零一五 Option Scheme”), which is valid and effective for a period 年購股權計劃」），該計劃自二零一五年 of 10 years commencing on 24 August 2015. 八月二十四日起生效，有效期為十年。 There are no cash settlement alternatives. The Group 概無現金結算選擇。本集團過往並無以 does not have a past practice of cash settlement for these 現金結算該等購股權的慣例。本集團將 share options.</t>
        </is>
      </c>
    </row>
    <row r="134">
      <c r="A134" s="8" t="inlineStr">
        <is>
          <t>Share-based Payment</t>
        </is>
      </c>
      <c r="B134" s="8" t="inlineStr">
        <is>
          <t>以股份為基礎的付款</t>
        </is>
      </c>
      <c r="C134" s="8" t="inlineStr">
        <is>
          <t>medium</t>
        </is>
      </c>
      <c r="D134" s="11" t="inlineStr">
        <is>
          <t>share option</t>
        </is>
      </c>
      <c r="E134" s="11" t="inlineStr">
        <is>
          <t>PDF p.212 (印刷頁 211)</t>
        </is>
      </c>
      <c r="F134" s="11" t="inlineStr">
        <is>
          <t>佳寧娜集團控股有限公司 | 2026年報 Notes to Consolidated Financial Statements 綜合財務報表附註 Year ended 31 March 2026 截至二零二六年三月三十一日止年度 33. SHARE OPTION SCHEME 33. 購股權計劃（續） (Continued) No share options were exercised during the year (2025: 年內並無（二零二五年︰無）購股權獲行 Nil). 使。 The exercise prices and exercise periods of the share 於報告期末尚未行使之購股權之行使價 options outstanding as at the end of the reporting period 及行使期間如下： are as follows: 2026 2025 Exercise price* Exercise period 二零二六年 二零二五年 行使價* 行使期間 Number of Number of options options HK$ per share 購股權</t>
        </is>
      </c>
    </row>
    <row r="135">
      <c r="A135" s="8" t="inlineStr">
        <is>
          <t>Share-based Payment</t>
        </is>
      </c>
      <c r="B135" s="8" t="inlineStr">
        <is>
          <t>以股份為基礎的付款</t>
        </is>
      </c>
      <c r="C135" s="8" t="inlineStr">
        <is>
          <t>medium</t>
        </is>
      </c>
      <c r="D135" s="11" t="inlineStr">
        <is>
          <t>share option</t>
        </is>
      </c>
      <c r="E135" s="11" t="inlineStr">
        <is>
          <t>PDF p.242 (印刷頁 241)</t>
        </is>
      </c>
      <c r="F135" s="11" t="inlineStr">
        <is>
          <t>loss for the year 全面虧損總額 – – – – – (23,182) (23,182) Modification of convertible bonds 可換股債券修改 – (16,156) – – – 16,156 – Transfer of share option reserve upon 購股權失效時轉撥購股權儲備 lapse of share options – – – – (5,513) 5,513 – At 31 March 2026 於二零二六年三月三十一日 1,505,959 6 12,618 316 – 60,049 1,578,948 The contributed surplus of the Company arose as a 本公司之實繳盈餘乃因一九九一年八月 result of the Group reorganisation on 12 August 1991 十二日之本集團重組而產生，為本公司 and represents the difference between the nominal 發行股本之面值與根據本集團重組而收 value of the share capital issued</t>
        </is>
      </c>
    </row>
    <row r="136">
      <c r="A136" s="8" t="inlineStr">
        <is>
          <t>Share-based Payment</t>
        </is>
      </c>
      <c r="B136" s="8" t="inlineStr">
        <is>
          <t>以股份為基礎的付款</t>
        </is>
      </c>
      <c r="C136" s="8" t="inlineStr">
        <is>
          <t>medium</t>
        </is>
      </c>
      <c r="D136" s="11" t="inlineStr">
        <is>
          <t>share option</t>
        </is>
      </c>
      <c r="E136" s="11" t="inlineStr">
        <is>
          <t>PDF p.243 (印刷頁 242)</t>
        </is>
      </c>
      <c r="F136" s="11" t="inlineStr">
        <is>
          <t>amended), the contributed surplus is distributable to 訂），實繳盈餘可按若干指定情況分派予 shareholders under certain specific circumstances. 股東。 The share option reserve comprises the fair value of 購股權儲備包括授出但尚未行使之購股 share options granted which are yet to be exercised, 權公平值，詳情進一步載於綜合財務報 as further explained in the accounting policy for share- 表附註2.4以股份為基礎支付之會計政 based payments in note 2.4 to the consolidated financial 策。該金額可於有關購股權獲行使時轉 statements. The amount will either be transferred to 撥至股份溢價賬或於有關購股權過期 the share premium account when the relate</t>
        </is>
      </c>
    </row>
    <row r="137">
      <c r="A137" s="8" t="inlineStr">
        <is>
          <t>Related Party Transactions</t>
        </is>
      </c>
      <c r="B137" s="8" t="inlineStr">
        <is>
          <t>關聯方交易</t>
        </is>
      </c>
      <c r="C137" s="8" t="inlineStr">
        <is>
          <t>low</t>
        </is>
      </c>
      <c r="D137" s="11" t="inlineStr">
        <is>
          <t>related party</t>
        </is>
      </c>
      <c r="E137" s="11" t="inlineStr">
        <is>
          <t>PDF p.66 (印刷頁 65)</t>
        </is>
      </c>
      <c r="F137" s="11" t="inlineStr">
        <is>
          <t>在各董事作出一切合理查詢後，就彼等所深 having made all reasonable enquiries, save as disclosed in 知，盡悉及確信，除已在此年報所披露外，沒 this annual report, none of the related party transactions as 有載刊於此年報綜合財務報表附註39之關連 disclosed in note 39 to the consolidated financial statements 人士交易屬於關連交易。 contained in this annual report is a connected transaction. 65</t>
        </is>
      </c>
    </row>
    <row r="138">
      <c r="A138" s="8" t="inlineStr">
        <is>
          <t>Related Party Transactions</t>
        </is>
      </c>
      <c r="B138" s="8" t="inlineStr">
        <is>
          <t>關聯方交易</t>
        </is>
      </c>
      <c r="C138" s="8" t="inlineStr">
        <is>
          <t>low</t>
        </is>
      </c>
      <c r="D138" s="11" t="inlineStr">
        <is>
          <t>related party</t>
        </is>
      </c>
      <c r="E138" s="11" t="inlineStr">
        <is>
          <t>PDF p.221 (印刷頁 220)</t>
        </is>
      </c>
      <c r="F138" s="11" t="inlineStr">
        <is>
          <t>mpany Limited | Annual Report 2026 Notes to Consolidated Financial Statements 綜合財務報表附註 Year ended 31 March 2026 截至二零二六年三月三十一日止年度 39. RELATED PARTY TRANSACTIONS 39. 關連人士交易 (a) The Group had the following transactions with (a) 本集團與關連人士於年內進行下列 related parties during the year: 交易： 2026 2025 二零二六年 二零二五年 Note HK$’000 HK$’000 附註 千港元 千港元 Sales of goods to related 向關連公司銷售貨品 companies (i) 190 236 (i) The selling price was determined based on mutually (i) 根據雙方同意之條款釐定售價。 agreed terms. The related companies are controlled 關連公司乃由本集團一間附屬公 by</t>
        </is>
      </c>
    </row>
    <row r="139">
      <c r="A139" s="8" t="inlineStr">
        <is>
          <t>Related Party Transactions</t>
        </is>
      </c>
      <c r="B139" s="8" t="inlineStr">
        <is>
          <t>關聯方交易</t>
        </is>
      </c>
      <c r="C139" s="8" t="inlineStr">
        <is>
          <t>low</t>
        </is>
      </c>
      <c r="D139" s="11" t="inlineStr">
        <is>
          <t>related party</t>
        </is>
      </c>
      <c r="E139" s="11" t="inlineStr">
        <is>
          <t>PDF p.222 (印刷頁 221)</t>
        </is>
      </c>
      <c r="F139" s="11" t="inlineStr">
        <is>
          <t>佳寧娜集團控股有限公司 | 2026年報 Notes to Consolidated Financial Statements 綜合財務報表附註 Year ended 31 March 2026 截至二零二六年三月三十一日止年度 39. RELATED PARTY TRANSACTIONS 39. 關連人士交易（續） (Continued) (c) Compensation of key management personnel of the (c) 本集團主要管理人員之報酬： Group: 2026 2025 二零二六年 二零二五年 HK$’000 HK$’000 千港元 千港元 Short term employee benefits 短期僱員福利 9,393 11,072 Post-employment benefits 退休福利 185 194 Total compensation paid to key 已支付予主要管理人員 management personnel 之總報酬 9,578 11,266 Further details of directors’ emoluments are included 董事</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7"/>
  <sheetViews>
    <sheetView workbookViewId="0">
      <pane ySplit="25" topLeftCell="A26"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Operating Profit</t>
        </is>
      </c>
    </row>
    <row r="9">
      <c r="A9" s="8" t="inlineStr">
        <is>
          <t>Income Statement</t>
        </is>
      </c>
      <c r="B9" s="8" t="inlineStr">
        <is>
          <t>R&amp;D Expenses</t>
        </is>
      </c>
    </row>
    <row r="10">
      <c r="A10" s="8" t="inlineStr">
        <is>
          <t>Income Statement</t>
        </is>
      </c>
      <c r="B10" s="8" t="inlineStr">
        <is>
          <t>Depreciation</t>
        </is>
      </c>
    </row>
    <row r="11">
      <c r="A11" s="8" t="inlineStr">
        <is>
          <t>Income Statement</t>
        </is>
      </c>
      <c r="B11" s="8" t="inlineStr">
        <is>
          <t>Amortisation</t>
        </is>
      </c>
    </row>
    <row r="12">
      <c r="A12" s="8" t="inlineStr">
        <is>
          <t>Balance Sheet</t>
        </is>
      </c>
      <c r="B12" s="8" t="inlineStr">
        <is>
          <t>Total Assets</t>
        </is>
      </c>
    </row>
    <row r="13">
      <c r="A13" s="8" t="inlineStr">
        <is>
          <t>Balance Sheet</t>
        </is>
      </c>
      <c r="B13" s="8" t="inlineStr">
        <is>
          <t>Cash and Equivalents</t>
        </is>
      </c>
    </row>
    <row r="14">
      <c r="A14" s="8" t="inlineStr">
        <is>
          <t>Balance Sheet</t>
        </is>
      </c>
      <c r="B14" s="8" t="inlineStr">
        <is>
          <t>Intangible Assets</t>
        </is>
      </c>
    </row>
    <row r="15">
      <c r="A15" s="8" t="inlineStr">
        <is>
          <t>Balance Sheet</t>
        </is>
      </c>
      <c r="B15" s="8" t="inlineStr">
        <is>
          <t>Total Liabilities</t>
        </is>
      </c>
    </row>
    <row r="16">
      <c r="A16" s="8" t="inlineStr">
        <is>
          <t>Balance Sheet</t>
        </is>
      </c>
      <c r="B16" s="8" t="inlineStr">
        <is>
          <t>Borrowings</t>
        </is>
      </c>
    </row>
    <row r="17">
      <c r="A17" s="8" t="inlineStr">
        <is>
          <t>Cash Flow</t>
        </is>
      </c>
      <c r="B17" s="8" t="inlineStr">
        <is>
          <t>Investing Cash Flow</t>
        </is>
      </c>
    </row>
    <row r="18">
      <c r="A18" s="8" t="inlineStr">
        <is>
          <t>Cash Flow</t>
        </is>
      </c>
      <c r="B18" s="8" t="inlineStr">
        <is>
          <t>Financing Cash Flow</t>
        </is>
      </c>
    </row>
    <row r="19">
      <c r="A19" s="8" t="inlineStr">
        <is>
          <t>Cash Flow</t>
        </is>
      </c>
      <c r="B19" s="8" t="inlineStr">
        <is>
          <t>Capital Expenditure</t>
        </is>
      </c>
    </row>
    <row r="22">
      <c r="A22" s="5" t="inlineStr">
        <is>
          <t>二、文字量過低的頁面(疑似掃描頁)</t>
        </is>
      </c>
    </row>
    <row r="23">
      <c r="A23" s="2" t="inlineStr">
        <is>
          <t>這些頁面幾乎抓不到文字,通常是掃描件或純圖表,建議人手翻閱或另行 OCR。</t>
        </is>
      </c>
    </row>
    <row r="25">
      <c r="A25" s="7" t="inlineStr">
        <is>
          <t>PDF 頁碼</t>
        </is>
      </c>
      <c r="B25" s="7" t="inlineStr">
        <is>
          <t>狀態</t>
        </is>
      </c>
    </row>
    <row r="26">
      <c r="A26" s="8" t="n">
        <v>1</v>
      </c>
      <c r="B26" s="8" t="inlineStr">
        <is>
          <t>文字量過低 — 可能為掃描頁/圖表頁</t>
        </is>
      </c>
    </row>
    <row r="27">
      <c r="A27" s="8" t="n">
        <v>258</v>
      </c>
      <c r="B27"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2026-08-30T14:15:32Z</dcterms:created>
  <dcterms:modified xsi:type="dcterms:W3CDTF">2026-08-30T14:15:32Z</dcterms:modified>
</cp:coreProperties>
</file>
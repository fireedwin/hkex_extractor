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摘要" sheetId="1" state="visible" r:id="rId1"/>
    <sheet name="Valuation Params 估值參數" sheetId="2" state="visible" r:id="rId2"/>
    <sheet name="Financials 財務數據" sheetId="3" state="visible" r:id="rId3"/>
    <sheet name="Ratios 財務比率" sheetId="4" state="visible" r:id="rId4"/>
    <sheet name="Chart 趨勢圖" sheetId="5" state="visible" r:id="rId5"/>
    <sheet name="Extracts 主題段落" sheetId="6" state="visible" r:id="rId6"/>
    <sheet name="Review Queue 待覆核" sheetId="7" state="visible" r:id="rId7"/>
  </sheets>
  <definedNames/>
  <calcPr calcId="124519" fullCalcOnLoad="1"/>
</workbook>
</file>

<file path=xl/styles.xml><?xml version="1.0" encoding="utf-8"?>
<styleSheet xmlns="http://schemas.openxmlformats.org/spreadsheetml/2006/main">
  <numFmts count="2">
    <numFmt numFmtId="164" formatCode="#,##0;(#,##0);-"/>
    <numFmt numFmtId="165" formatCode="0.0%"/>
  </numFmts>
  <fonts count="9">
    <font>
      <name val="Calibri"/>
      <family val="2"/>
      <color theme="1"/>
      <sz val="11"/>
      <scheme val="minor"/>
    </font>
    <font>
      <name val="Arial"/>
      <b val="1"/>
      <color rgb="001F4E5F"/>
      <sz val="14"/>
    </font>
    <font>
      <name val="Arial"/>
      <i val="1"/>
      <color rgb="00808080"/>
      <sz val="9"/>
    </font>
    <font>
      <name val="Arial"/>
      <b val="1"/>
      <sz val="10"/>
    </font>
    <font>
      <name val="Arial"/>
      <sz val="10"/>
    </font>
    <font>
      <name val="Arial"/>
      <b val="1"/>
      <sz val="11"/>
    </font>
    <font>
      <name val="Arial"/>
      <color rgb="00006100"/>
      <sz val="10"/>
    </font>
    <font>
      <name val="Arial"/>
      <b val="1"/>
      <color rgb="00FFFFFF"/>
      <sz val="10"/>
    </font>
    <font>
      <name val="Arial"/>
      <color rgb="000000FF"/>
      <sz val="10"/>
    </font>
  </fonts>
  <fills count="4">
    <fill>
      <patternFill/>
    </fill>
    <fill>
      <patternFill patternType="gray125"/>
    </fill>
    <fill>
      <patternFill patternType="solid">
        <fgColor rgb="001F4E5F"/>
      </patternFill>
    </fill>
    <fill>
      <patternFill patternType="solid">
        <fgColor rgb="00E2EFDA"/>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pivotButton="0" quotePrefix="0" xfId="0"/>
    <xf numFmtId="0" fontId="5" fillId="0" borderId="0" pivotButton="0" quotePrefix="0" xfId="0"/>
    <xf numFmtId="0" fontId="6" fillId="0" borderId="0" pivotButton="0" quotePrefix="0" xfId="0"/>
    <xf numFmtId="0" fontId="7" fillId="2" borderId="0" applyAlignment="1" pivotButton="0" quotePrefix="0" xfId="0">
      <alignment vertical="center" wrapText="1"/>
    </xf>
    <xf numFmtId="0" fontId="4" fillId="0" borderId="1" applyAlignment="1" pivotButton="0" quotePrefix="0" xfId="0">
      <alignment vertical="top"/>
    </xf>
    <xf numFmtId="2" fontId="4" fillId="0" borderId="1" applyAlignment="1" pivotButton="0" quotePrefix="0" xfId="0">
      <alignment vertical="top"/>
    </xf>
    <xf numFmtId="2" fontId="4" fillId="0" borderId="1" applyAlignment="1" pivotButton="0" quotePrefix="0" xfId="0">
      <alignment vertical="top" wrapText="1"/>
    </xf>
    <xf numFmtId="0" fontId="4" fillId="0" borderId="1" applyAlignment="1" pivotButton="0" quotePrefix="0" xfId="0">
      <alignment vertical="top" wrapText="1"/>
    </xf>
    <xf numFmtId="164" fontId="4" fillId="0" borderId="1" applyAlignment="1" pivotButton="0" quotePrefix="0" xfId="0">
      <alignment vertical="top"/>
    </xf>
    <xf numFmtId="164" fontId="4" fillId="0" borderId="1" applyAlignment="1" pivotButton="0" quotePrefix="0" xfId="0">
      <alignment vertical="top" wrapText="1"/>
    </xf>
    <xf numFmtId="165" fontId="4" fillId="0" borderId="1" applyAlignment="1" pivotButton="0" quotePrefix="0" xfId="0">
      <alignment vertical="top" wrapText="1"/>
    </xf>
    <xf numFmtId="165" fontId="4" fillId="0" borderId="0" pivotButton="0" quotePrefix="0" xfId="0"/>
    <xf numFmtId="2" fontId="4" fillId="0" borderId="0" pivotButton="0" quotePrefix="0" xfId="0"/>
    <xf numFmtId="0" fontId="7" fillId="2" borderId="0" pivotButton="0" quotePrefix="0" xfId="0"/>
    <xf numFmtId="0" fontId="4" fillId="3" borderId="1" applyAlignment="1" pivotButton="0" quotePrefix="0" xfId="0">
      <alignment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7"/>
  <sheetViews>
    <sheetView workbookViewId="0">
      <selection activeCell="A1" sqref="A1"/>
    </sheetView>
  </sheetViews>
  <sheetFormatPr baseColWidth="8" defaultRowHeight="15"/>
  <cols>
    <col width="42" customWidth="1" min="1" max="1"/>
    <col width="60" customWidth="1" min="2" max="2"/>
  </cols>
  <sheetData>
    <row r="1">
      <c r="A1" s="1" t="inlineStr">
        <is>
          <t>HKEX 文件資料萃取報告</t>
        </is>
      </c>
    </row>
    <row r="2">
      <c r="A2" s="2" t="inlineStr">
        <is>
          <t>Automated Extraction Report — Business Valuation Support</t>
        </is>
      </c>
    </row>
    <row r="4">
      <c r="A4" s="3" t="inlineStr">
        <is>
          <t>來源文件 Source file</t>
        </is>
      </c>
      <c r="B4" s="4" t="inlineStr">
        <is>
          <t>00022_MEXAN-NEW_20260730.pdf</t>
        </is>
      </c>
    </row>
    <row r="5">
      <c r="A5" s="3" t="inlineStr">
        <is>
          <t>產生時間 Generated</t>
        </is>
      </c>
      <c r="B5" s="4" t="inlineStr">
        <is>
          <t>2026-08-30 22:15</t>
        </is>
      </c>
    </row>
    <row r="6">
      <c r="A6" s="4" t="inlineStr"/>
      <c r="B6" s="4" t="inlineStr"/>
    </row>
    <row r="7">
      <c r="A7" s="3" t="inlineStr">
        <is>
          <t>總頁數 Total pages</t>
        </is>
      </c>
      <c r="B7" s="4" t="n">
        <v>127</v>
      </c>
    </row>
    <row r="8">
      <c r="A8" s="3" t="inlineStr">
        <is>
          <t>已擷取字元 Characters extracted</t>
        </is>
      </c>
      <c r="B8" s="4" t="n">
        <v>212736</v>
      </c>
    </row>
    <row r="9">
      <c r="A9" s="3" t="inlineStr">
        <is>
          <t>含表格頁數 Pages with tables</t>
        </is>
      </c>
      <c r="B9" s="4" t="n">
        <v>0</v>
      </c>
    </row>
    <row r="10">
      <c r="A10" s="3" t="inlineStr">
        <is>
          <t>需人手/OCR 頁數 Pages needing OCR</t>
        </is>
      </c>
      <c r="B10" s="4" t="n">
        <v>2</v>
      </c>
    </row>
    <row r="11">
      <c r="A11" s="4" t="inlineStr"/>
      <c r="B11" s="4" t="inlineStr"/>
    </row>
    <row r="12">
      <c r="A12" s="3" t="inlineStr">
        <is>
          <t>估值參數擷取筆數 Valuation parameters</t>
        </is>
      </c>
      <c r="B12" s="4" t="n">
        <v>2</v>
      </c>
    </row>
    <row r="13">
      <c r="A13" s="3" t="inlineStr">
        <is>
          <t>財務科目擷取筆數 Financial line items</t>
        </is>
      </c>
      <c r="B13" s="4" t="n">
        <v>1</v>
      </c>
    </row>
    <row r="14">
      <c r="A14" s="3" t="inlineStr">
        <is>
          <t>主題段落擷取筆數 Topic extracts</t>
        </is>
      </c>
      <c r="B14" s="4" t="n">
        <v>41</v>
      </c>
    </row>
    <row r="15">
      <c r="A15" s="3" t="inlineStr">
        <is>
          <t>AI 複核筆數 AI-verified findings</t>
        </is>
      </c>
      <c r="B15" s="4" t="n">
        <v>0</v>
      </c>
    </row>
    <row r="17">
      <c r="A17" s="5" t="inlineStr">
        <is>
          <t>資料完整性檢查 Integrity checks</t>
        </is>
      </c>
    </row>
    <row r="18">
      <c r="A18" s="2" t="inlineStr">
        <is>
          <t>用會計恆等式交叉驗證擷取結果 —— 數字之間本來就該對得上,對不上代表某欄可能抓錯,請翻回來源頁核對。</t>
        </is>
      </c>
    </row>
    <row r="19">
      <c r="A19" s="6" t="inlineStr">
        <is>
          <t>✓ 三大報表應相鄰</t>
        </is>
      </c>
      <c r="B19" s="4" t="inlineStr">
        <is>
          <t>Income Statement: p.31、Balance Sheet: p.31、Cash Flow: p.56(相距 25 頁)</t>
        </is>
      </c>
    </row>
    <row r="21">
      <c r="A21" s="5" t="inlineStr">
        <is>
          <t>方法論 Methodology</t>
        </is>
      </c>
    </row>
    <row r="22">
      <c r="A22" s="4" t="inlineStr">
        <is>
          <t>1. 逐頁擷取文字,全程保留 PDF 頁碼與年報印刷頁碼(可追溯性)。</t>
        </is>
      </c>
    </row>
    <row r="23">
      <c r="A23" s="4" t="inlineStr">
        <is>
          <t>2. 規則層(正則/關鍵字)先把全份文件縮減為少數相關頁面 —— 解決「文件太大」。</t>
        </is>
      </c>
    </row>
    <row r="24">
      <c r="A24" s="4" t="inlineStr">
        <is>
          <t>3. 數字由正則精確擷取並做合理性檢查,不由語言模型生成 —— 解決「準確度」。</t>
        </is>
      </c>
    </row>
    <row r="25">
      <c r="A25" s="4" t="inlineStr">
        <is>
          <t>4. AI 僅在縮減後的頁面上做語意判斷,且輸出頁碼須通過驗證才保留。</t>
        </is>
      </c>
    </row>
    <row r="26">
      <c r="A26" s="4" t="inlineStr">
        <is>
          <t>5. 所有結果附來源頁碼與原文行,供估值師覆核。信心度為 Low 者建議人手確認。</t>
        </is>
      </c>
    </row>
    <row r="27">
      <c r="A27" s="4" t="inlineStr">
        <is>
          <t>6. 支援中英對照年報、破折號(nil)、Profit/(loss) 等港股常見排版。</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6"/>
  <sheetViews>
    <sheetView workbookViewId="0">
      <pane ySplit="4" topLeftCell="A5" activePane="bottomLeft" state="frozen"/>
      <selection pane="bottomLeft" activeCell="A1" sqref="A1"/>
    </sheetView>
  </sheetViews>
  <sheetFormatPr baseColWidth="8" defaultRowHeight="15"/>
  <cols>
    <col width="24" customWidth="1" min="1" max="1"/>
    <col width="18" customWidth="1" min="2" max="2"/>
    <col width="12" customWidth="1" min="3" max="3"/>
    <col width="12" customWidth="1" min="4" max="4"/>
    <col width="14" customWidth="1" min="5" max="5"/>
    <col width="10" customWidth="1" min="6" max="6"/>
    <col width="22" customWidth="1" min="7" max="7"/>
    <col width="90" customWidth="1" min="8" max="8"/>
  </cols>
  <sheetData>
    <row r="1">
      <c r="A1" s="1" t="inlineStr">
        <is>
          <t>估值參數 Benchmark — 可直接併入行內參數資料庫</t>
        </is>
      </c>
    </row>
    <row r="2">
      <c r="A2" s="2" t="inlineStr">
        <is>
          <t>數字由正則式從原文精確擷取,並經合理範圍檢查;非由 AI 生成。</t>
        </is>
      </c>
    </row>
    <row r="4">
      <c r="A4" s="7" t="inlineStr">
        <is>
          <t>參數 Parameter</t>
        </is>
      </c>
      <c r="B4" s="7" t="inlineStr">
        <is>
          <t>中文</t>
        </is>
      </c>
      <c r="C4" s="7" t="inlineStr">
        <is>
          <t>下限 Low (%)</t>
        </is>
      </c>
      <c r="D4" s="7" t="inlineStr">
        <is>
          <t>上限 High (%)</t>
        </is>
      </c>
      <c r="E4" s="7" t="inlineStr">
        <is>
          <t>原文數值</t>
        </is>
      </c>
      <c r="F4" s="7" t="inlineStr">
        <is>
          <t>信心度</t>
        </is>
      </c>
      <c r="G4" s="7" t="inlineStr">
        <is>
          <t>來源頁 Source Page</t>
        </is>
      </c>
      <c r="H4" s="7" t="inlineStr">
        <is>
          <t>上下文 Context</t>
        </is>
      </c>
    </row>
    <row r="5">
      <c r="A5" s="8" t="inlineStr">
        <is>
          <t>Discount Rate</t>
        </is>
      </c>
      <c r="B5" s="8" t="inlineStr">
        <is>
          <t>折現率</t>
        </is>
      </c>
      <c r="C5" s="9" t="n">
        <v>3.7</v>
      </c>
      <c r="D5" s="10" t="n">
        <v>3.7</v>
      </c>
      <c r="E5" s="11" t="inlineStr">
        <is>
          <t>3.7%</t>
        </is>
      </c>
      <c r="F5" s="11" t="inlineStr">
        <is>
          <t>High</t>
        </is>
      </c>
      <c r="G5" s="11" t="inlineStr">
        <is>
          <t>PDF p.124 (印刷頁 122)</t>
        </is>
      </c>
      <c r="H5" s="11" t="inlineStr">
        <is>
          <t xml:space="preserve">l assumptions used at the end of the reporting period are as follows: 2026 2025 Discount rate 3.7% p.a 3.7% p.a Expected rate of future salary increase 2% p.a 2% p.a The below analysis shows how the long service payment obligations would have increased </t>
        </is>
      </c>
    </row>
    <row r="6">
      <c r="A6" s="8" t="inlineStr">
        <is>
          <t>Gross Margin</t>
        </is>
      </c>
      <c r="B6" s="8" t="inlineStr">
        <is>
          <t>毛利率</t>
        </is>
      </c>
      <c r="C6" s="9" t="n">
        <v>18.43</v>
      </c>
      <c r="D6" s="10" t="n">
        <v>18.43</v>
      </c>
      <c r="E6" s="11" t="inlineStr">
        <is>
          <t>18.43%</t>
        </is>
      </c>
      <c r="F6" s="11" t="inlineStr">
        <is>
          <t>High</t>
        </is>
      </c>
      <c r="G6" s="11" t="inlineStr">
        <is>
          <t>PDF p.8 (印刷頁 06)</t>
        </is>
      </c>
      <c r="H6" s="11" t="inlineStr">
        <is>
          <t>d positively, enhancing overall performance and profitability. Gross profit and gross profit margin increased from HK$6.9 million and 18.43% to HK$18.8 million and 42.66%, respectively, for the year ended 31 March 2026. Administrative expenses amounted to app</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7"/>
  <sheetViews>
    <sheetView workbookViewId="0">
      <pane ySplit="4" topLeftCell="A5" activePane="bottomLeft" state="frozen"/>
      <selection pane="bottomLeft" activeCell="A1" sqref="A1"/>
    </sheetView>
  </sheetViews>
  <sheetFormatPr baseColWidth="8" defaultRowHeight="15"/>
  <cols>
    <col width="20" customWidth="1" min="1" max="1"/>
    <col width="28" customWidth="1" min="2" max="2"/>
    <col width="16" customWidth="1" min="3" max="3"/>
    <col width="16" customWidth="1" min="4" max="4"/>
    <col width="12" customWidth="1" min="5" max="5"/>
    <col width="20" customWidth="1" min="6" max="6"/>
    <col width="70" customWidth="1" min="7" max="7"/>
  </cols>
  <sheetData>
    <row r="1">
      <c r="A1" s="1" t="inlineStr">
        <is>
          <t>三大報表擷取結果</t>
        </is>
      </c>
    </row>
    <row r="2">
      <c r="A2" s="2" t="inlineStr">
        <is>
          <t>偵測到的年度欄位 — Income Statement: 2026 / 2025; Balance Sheet: 2026 / 2025; Cash Flow: 2026 / 2025</t>
        </is>
      </c>
    </row>
    <row r="4">
      <c r="A4" s="7" t="inlineStr">
        <is>
          <t>報表 Statement</t>
        </is>
      </c>
      <c r="B4" s="7" t="inlineStr">
        <is>
          <t>科目 Item</t>
        </is>
      </c>
      <c r="C4" s="7" t="inlineStr">
        <is>
          <t>本年 Current</t>
        </is>
      </c>
      <c r="D4" s="7" t="inlineStr">
        <is>
          <t>上年 Prior</t>
        </is>
      </c>
      <c r="E4" s="7" t="inlineStr">
        <is>
          <t>變動 YoY %</t>
        </is>
      </c>
      <c r="F4" s="7" t="inlineStr">
        <is>
          <t>來源頁</t>
        </is>
      </c>
      <c r="G4" s="7" t="inlineStr">
        <is>
          <t>原文行 Source line</t>
        </is>
      </c>
    </row>
    <row r="5">
      <c r="A5" s="8" t="inlineStr">
        <is>
          <t>Cash Flow</t>
        </is>
      </c>
      <c r="B5" s="8" t="inlineStr">
        <is>
          <t>Financing Cash Flow</t>
        </is>
      </c>
      <c r="C5" s="12" t="n">
        <v>-561262</v>
      </c>
      <c r="D5" s="13" t="n">
        <v>-36898</v>
      </c>
      <c r="E5" s="14">
        <f>IF(ISERROR((C5-D5)/ABS(D5)),"",(C5-D5)/ABS(D5))</f>
        <v>-14.211176757547834</v>
      </c>
      <c r="F5" s="11" t="inlineStr">
        <is>
          <t>PDF p.57 (印刷頁 55)</t>
        </is>
      </c>
      <c r="G5" s="11" t="inlineStr">
        <is>
          <t>Net cash used in financing activities (561,262) (36,898)</t>
        </is>
      </c>
    </row>
    <row r="7">
      <c r="A7" s="2" t="inlineStr">
        <is>
          <t>藍色 = 從 PDF 原文擷取的數值(硬輸入);黑色 = 公式計算。單位依原報表所示(通常為千元或百萬元),請對照來源頁確認。</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D13"/>
  <sheetViews>
    <sheetView workbookViewId="0">
      <pane ySplit="4" topLeftCell="A5" activePane="bottomLeft" state="frozen"/>
      <selection pane="bottomLeft" activeCell="A1" sqref="A1"/>
    </sheetView>
  </sheetViews>
  <sheetFormatPr baseColWidth="8" defaultRowHeight="15"/>
  <cols>
    <col width="30" customWidth="1" min="1" max="1"/>
    <col width="16" customWidth="1" min="2" max="2"/>
    <col width="16" customWidth="1" min="3" max="3"/>
    <col width="48" customWidth="1" min="4" max="4"/>
  </cols>
  <sheetData>
    <row r="1">
      <c r="A1" s="1" t="inlineStr">
        <is>
          <t>衍生比率 — 全部以公式連結至 Financials 分頁</t>
        </is>
      </c>
    </row>
    <row r="2">
      <c r="A2" s="2" t="inlineStr">
        <is>
          <t>改動 Financials 分頁的數字,本頁會自動重算。</t>
        </is>
      </c>
    </row>
    <row r="4">
      <c r="A4" s="7" t="inlineStr">
        <is>
          <t>比率 Ratio</t>
        </is>
      </c>
      <c r="B4" s="7" t="inlineStr">
        <is>
          <t>本年 Current</t>
        </is>
      </c>
      <c r="C4" s="7" t="inlineStr">
        <is>
          <t>上年 Prior</t>
        </is>
      </c>
      <c r="D4" s="7" t="inlineStr">
        <is>
          <t>說明</t>
        </is>
      </c>
    </row>
    <row r="5">
      <c r="A5" s="4" t="inlineStr">
        <is>
          <t>Gross Margin 毛利率</t>
        </is>
      </c>
      <c r="B5" s="15" t="str">
        <f>IF(ISERROR(INDEX('Financials 財務數據'!$C$5:$C$5,MATCH("Gross Profit",'Financials 財務數據'!$B$5:$B$5,0))/INDEX('Financials 財務數據'!$C$5:$C$5,MATCH("Revenue",'Financials 財務數據'!$B$5:$B$5,0))),"n/a",INDEX('Financials 財務數據'!$C$5:$C$5,MATCH("Gross Profit",'Financials 財務數據'!$B$5:$B$5,0))/INDEX('Financials 財務數據'!$C$5:$C$5,MATCH("Revenue",'Financials 財務數據'!$B$5:$B$5,0)))</f>
        <v>n/a</v>
      </c>
      <c r="C5" s="15" t="str">
        <f>IF(ISERROR(INDEX('Financials 財務數據'!$D$5:$D$5,MATCH("Gross Profit",'Financials 財務數據'!$B$5:$B$5,0))/INDEX('Financials 財務數據'!$D$5:$D$5,MATCH("Revenue",'Financials 財務數據'!$B$5:$B$5,0))),"n/a",INDEX('Financials 財務數據'!$D$5:$D$5,MATCH("Gross Profit",'Financials 財務數據'!$B$5:$B$5,0))/INDEX('Financials 財務數據'!$D$5:$D$5,MATCH("Revenue",'Financials 財務數據'!$B$5:$B$5,0)))</f>
        <v>n/a</v>
      </c>
      <c r="D5" s="2" t="inlineStr">
        <is>
          <t>毛利 ÷ 收入</t>
        </is>
      </c>
    </row>
    <row r="6">
      <c r="A6" s="4" t="inlineStr">
        <is>
          <t>Net Margin 淨利率</t>
        </is>
      </c>
      <c r="B6" s="15" t="str">
        <f>IF(ISERROR(INDEX('Financials 財務數據'!$C$5:$C$5,MATCH("Profit for the Year",'Financials 財務數據'!$B$5:$B$5,0))/INDEX('Financials 財務數據'!$C$5:$C$5,MATCH("Revenue",'Financials 財務數據'!$B$5:$B$5,0))),"n/a",INDEX('Financials 財務數據'!$C$5:$C$5,MATCH("Profit for the Year",'Financials 財務數據'!$B$5:$B$5,0))/INDEX('Financials 財務數據'!$C$5:$C$5,MATCH("Revenue",'Financials 財務數據'!$B$5:$B$5,0)))</f>
        <v>n/a</v>
      </c>
      <c r="C6" s="15" t="str">
        <f>IF(ISERROR(INDEX('Financials 財務數據'!$D$5:$D$5,MATCH("Profit for the Year",'Financials 財務數據'!$B$5:$B$5,0))/INDEX('Financials 財務數據'!$D$5:$D$5,MATCH("Revenue",'Financials 財務數據'!$B$5:$B$5,0))),"n/a",INDEX('Financials 財務數據'!$D$5:$D$5,MATCH("Profit for the Year",'Financials 財務數據'!$B$5:$B$5,0))/INDEX('Financials 財務數據'!$D$5:$D$5,MATCH("Revenue",'Financials 財務數據'!$B$5:$B$5,0)))</f>
        <v>n/a</v>
      </c>
      <c r="D6" s="2" t="inlineStr">
        <is>
          <t>年內溢利 ÷ 收入</t>
        </is>
      </c>
    </row>
    <row r="7">
      <c r="A7" s="4" t="inlineStr">
        <is>
          <t>Current Ratio 流動比率</t>
        </is>
      </c>
      <c r="B7" s="16" t="str">
        <f>IF(ISERROR(INDEX('Financials 財務數據'!$C$5:$C$5,MATCH("Total Current Assets",'Financials 財務數據'!$B$5:$B$5,0))/INDEX('Financials 財務數據'!$C$5:$C$5,MATCH("Total Current Liabilities",'Financials 財務數據'!$B$5:$B$5,0))),"n/a",INDEX('Financials 財務數據'!$C$5:$C$5,MATCH("Total Current Assets",'Financials 財務數據'!$B$5:$B$5,0))/INDEX('Financials 財務數據'!$C$5:$C$5,MATCH("Total Current Liabilities",'Financials 財務數據'!$B$5:$B$5,0)))</f>
        <v>n/a</v>
      </c>
      <c r="C7" s="16" t="str">
        <f>IF(ISERROR(INDEX('Financials 財務數據'!$D$5:$D$5,MATCH("Total Current Assets",'Financials 財務數據'!$B$5:$B$5,0))/INDEX('Financials 財務數據'!$D$5:$D$5,MATCH("Total Current Liabilities",'Financials 財務數據'!$B$5:$B$5,0))),"n/a",INDEX('Financials 財務數據'!$D$5:$D$5,MATCH("Total Current Assets",'Financials 財務數據'!$B$5:$B$5,0))/INDEX('Financials 財務數據'!$D$5:$D$5,MATCH("Total Current Liabilities",'Financials 財務數據'!$B$5:$B$5,0)))</f>
        <v>n/a</v>
      </c>
      <c r="D7" s="2" t="inlineStr">
        <is>
          <t>流動資產 ÷ 流動負債</t>
        </is>
      </c>
    </row>
    <row r="8">
      <c r="A8" s="4" t="inlineStr">
        <is>
          <t>Debt / Equity 負債權益比</t>
        </is>
      </c>
      <c r="B8" s="16" t="str">
        <f>IF(ISERROR(INDEX('Financials 財務數據'!$C$5:$C$5,MATCH("Total Liabilities",'Financials 財務數據'!$B$5:$B$5,0))/INDEX('Financials 財務數據'!$C$5:$C$5,MATCH("Total Equity",'Financials 財務數據'!$B$5:$B$5,0))),"n/a",INDEX('Financials 財務數據'!$C$5:$C$5,MATCH("Total Liabilities",'Financials 財務數據'!$B$5:$B$5,0))/INDEX('Financials 財務數據'!$C$5:$C$5,MATCH("Total Equity",'Financials 財務數據'!$B$5:$B$5,0)))</f>
        <v>n/a</v>
      </c>
      <c r="C8" s="16" t="str">
        <f>IF(ISERROR(INDEX('Financials 財務數據'!$D$5:$D$5,MATCH("Total Liabilities",'Financials 財務數據'!$B$5:$B$5,0))/INDEX('Financials 財務數據'!$D$5:$D$5,MATCH("Total Equity",'Financials 財務數據'!$B$5:$B$5,0))),"n/a",INDEX('Financials 財務數據'!$D$5:$D$5,MATCH("Total Liabilities",'Financials 財務數據'!$B$5:$B$5,0))/INDEX('Financials 財務數據'!$D$5:$D$5,MATCH("Total Equity",'Financials 財務數據'!$B$5:$B$5,0)))</f>
        <v>n/a</v>
      </c>
      <c r="D8" s="2" t="inlineStr">
        <is>
          <t>總負債 ÷ 總權益</t>
        </is>
      </c>
    </row>
    <row r="9">
      <c r="A9" s="4" t="inlineStr">
        <is>
          <t>Goodwill / Total Assets</t>
        </is>
      </c>
      <c r="B9" s="15" t="str">
        <f>IF(ISERROR(INDEX('Financials 財務數據'!$C$5:$C$5,MATCH("Goodwill",'Financials 財務數據'!$B$5:$B$5,0))/INDEX('Financials 財務數據'!$C$5:$C$5,MATCH("Total Assets",'Financials 財務數據'!$B$5:$B$5,0))),"n/a",INDEX('Financials 財務數據'!$C$5:$C$5,MATCH("Goodwill",'Financials 財務數據'!$B$5:$B$5,0))/INDEX('Financials 財務數據'!$C$5:$C$5,MATCH("Total Assets",'Financials 財務數據'!$B$5:$B$5,0)))</f>
        <v>n/a</v>
      </c>
      <c r="C9" s="15" t="str">
        <f>IF(ISERROR(INDEX('Financials 財務數據'!$D$5:$D$5,MATCH("Goodwill",'Financials 財務數據'!$B$5:$B$5,0))/INDEX('Financials 財務數據'!$D$5:$D$5,MATCH("Total Assets",'Financials 財務數據'!$B$5:$B$5,0))),"n/a",INDEX('Financials 財務數據'!$D$5:$D$5,MATCH("Goodwill",'Financials 財務數據'!$B$5:$B$5,0))/INDEX('Financials 財務數據'!$D$5:$D$5,MATCH("Total Assets",'Financials 財務數據'!$B$5:$B$5,0)))</f>
        <v>n/a</v>
      </c>
      <c r="D9" s="2" t="inlineStr">
        <is>
          <t>商譽佔總資產比重 — 減值風險指標</t>
        </is>
      </c>
    </row>
    <row r="10">
      <c r="A10" s="4" t="inlineStr">
        <is>
          <t>Intangibles / Total Assets</t>
        </is>
      </c>
      <c r="B10" s="15" t="str">
        <f>IF(ISERROR(INDEX('Financials 財務數據'!$C$5:$C$5,MATCH("Intangible Assets",'Financials 財務數據'!$B$5:$B$5,0))/INDEX('Financials 財務數據'!$C$5:$C$5,MATCH("Total Assets",'Financials 財務數據'!$B$5:$B$5,0))),"n/a",INDEX('Financials 財務數據'!$C$5:$C$5,MATCH("Intangible Assets",'Financials 財務數據'!$B$5:$B$5,0))/INDEX('Financials 財務數據'!$C$5:$C$5,MATCH("Total Assets",'Financials 財務數據'!$B$5:$B$5,0)))</f>
        <v>n/a</v>
      </c>
      <c r="C10" s="15" t="str">
        <f>IF(ISERROR(INDEX('Financials 財務數據'!$D$5:$D$5,MATCH("Intangible Assets",'Financials 財務數據'!$B$5:$B$5,0))/INDEX('Financials 財務數據'!$D$5:$D$5,MATCH("Total Assets",'Financials 財務數據'!$B$5:$B$5,0))),"n/a",INDEX('Financials 財務數據'!$D$5:$D$5,MATCH("Intangible Assets",'Financials 財務數據'!$B$5:$B$5,0))/INDEX('Financials 財務數據'!$D$5:$D$5,MATCH("Total Assets",'Financials 財務數據'!$B$5:$B$5,0)))</f>
        <v>n/a</v>
      </c>
      <c r="D10" s="2" t="inlineStr">
        <is>
          <t>無形資產佔比</t>
        </is>
      </c>
    </row>
    <row r="11">
      <c r="A11" s="4" t="inlineStr">
        <is>
          <t>ROE 股本回報率</t>
        </is>
      </c>
      <c r="B11" s="15" t="str">
        <f>IF(ISERROR(INDEX('Financials 財務數據'!$C$5:$C$5,MATCH("Profit for the Year",'Financials 財務數據'!$B$5:$B$5,0))/INDEX('Financials 財務數據'!$C$5:$C$5,MATCH("Total Equity",'Financials 財務數據'!$B$5:$B$5,0))),"n/a",INDEX('Financials 財務數據'!$C$5:$C$5,MATCH("Profit for the Year",'Financials 財務數據'!$B$5:$B$5,0))/INDEX('Financials 財務數據'!$C$5:$C$5,MATCH("Total Equity",'Financials 財務數據'!$B$5:$B$5,0)))</f>
        <v>n/a</v>
      </c>
      <c r="C11" s="15" t="str">
        <f>IF(ISERROR(INDEX('Financials 財務數據'!$D$5:$D$5,MATCH("Profit for the Year",'Financials 財務數據'!$B$5:$B$5,0))/INDEX('Financials 財務數據'!$D$5:$D$5,MATCH("Total Equity",'Financials 財務數據'!$B$5:$B$5,0))),"n/a",INDEX('Financials 財務數據'!$D$5:$D$5,MATCH("Profit for the Year",'Financials 財務數據'!$B$5:$B$5,0))/INDEX('Financials 財務數據'!$D$5:$D$5,MATCH("Total Equity",'Financials 財務數據'!$B$5:$B$5,0)))</f>
        <v>n/a</v>
      </c>
      <c r="D11" s="2" t="inlineStr">
        <is>
          <t>年內溢利 ÷ 總權益</t>
        </is>
      </c>
    </row>
    <row r="13">
      <c r="A13" s="2" t="inlineStr">
        <is>
          <t>顯示 "n/a" 表示該科目未在文件中成功擷取,需人手補入。</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s="1" t="inlineStr">
        <is>
          <t>本年 vs 上年 — 主要科目比較</t>
        </is>
      </c>
    </row>
    <row r="2">
      <c r="A2" s="2" t="inlineStr">
        <is>
          <t>港交所主板及 GEM 自 2024 年起均無強制季度報告,故以年度 / 中期數據作趨勢比較較符合披露實況。</t>
        </is>
      </c>
    </row>
    <row r="4">
      <c r="A4" s="17" t="inlineStr">
        <is>
          <t>Item</t>
        </is>
      </c>
      <c r="B4" s="17" t="inlineStr">
        <is>
          <t>Prior</t>
        </is>
      </c>
      <c r="C4" s="17" t="inlineStr">
        <is>
          <t>Current</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44"/>
  <sheetViews>
    <sheetView workbookViewId="0">
      <pane ySplit="3" topLeftCell="A4" activePane="bottomLeft" state="frozen"/>
      <selection pane="bottomLeft" activeCell="A1" sqref="A1"/>
    </sheetView>
  </sheetViews>
  <sheetFormatPr baseColWidth="8" defaultRowHeight="15"/>
  <cols>
    <col width="28" customWidth="1" min="1" max="1"/>
    <col width="20" customWidth="1" min="2" max="2"/>
    <col width="10" customWidth="1" min="3" max="3"/>
    <col width="20" customWidth="1" min="4" max="4"/>
    <col width="20" customWidth="1" min="5" max="5"/>
    <col width="100" customWidth="1" min="6" max="6"/>
  </cols>
  <sheetData>
    <row r="1">
      <c r="A1" s="1" t="inlineStr">
        <is>
          <t>主題式段落擷取 — 供估值師快速定位原文</t>
        </is>
      </c>
    </row>
    <row r="3">
      <c r="A3" s="7" t="inlineStr">
        <is>
          <t>主題 Topic</t>
        </is>
      </c>
      <c r="B3" s="7" t="inlineStr">
        <is>
          <t>中文</t>
        </is>
      </c>
      <c r="C3" s="7" t="inlineStr">
        <is>
          <t>優先</t>
        </is>
      </c>
      <c r="D3" s="7" t="inlineStr">
        <is>
          <t>命中詞</t>
        </is>
      </c>
      <c r="E3" s="7" t="inlineStr">
        <is>
          <t>來源頁</t>
        </is>
      </c>
      <c r="F3" s="7" t="inlineStr">
        <is>
          <t>段落 Snippet</t>
        </is>
      </c>
    </row>
    <row r="4">
      <c r="A4" s="8" t="inlineStr">
        <is>
          <t>Fair Value Measurement</t>
        </is>
      </c>
      <c r="B4" s="8" t="inlineStr">
        <is>
          <t>公允價值計量</t>
        </is>
      </c>
      <c r="C4" s="18" t="inlineStr">
        <is>
          <t>high</t>
        </is>
      </c>
      <c r="D4" s="11" t="inlineStr">
        <is>
          <t>level 2</t>
        </is>
      </c>
      <c r="E4" s="11" t="inlineStr">
        <is>
          <t>PDF p.92 (印刷頁 90)</t>
        </is>
      </c>
      <c r="F4" s="11" t="inlineStr">
        <is>
          <t>oborated by observable market data, and is therefore under level 3 hierarchy. During the year ended 31 March 2026, the transfer from level 2 to level 3 fair value hierarchy was due to a lack of observable market data, resulting from decreased in market activities for investment properties. 90 MEXAN LIMITED</t>
        </is>
      </c>
    </row>
    <row r="5">
      <c r="A5" s="8" t="inlineStr">
        <is>
          <t>Impairment Testing</t>
        </is>
      </c>
      <c r="B5" s="8" t="inlineStr">
        <is>
          <t>減值測試</t>
        </is>
      </c>
      <c r="C5" s="18" t="inlineStr">
        <is>
          <t>high</t>
        </is>
      </c>
      <c r="D5" s="11" t="inlineStr">
        <is>
          <t>impairment loss</t>
        </is>
      </c>
      <c r="E5" s="11" t="inlineStr">
        <is>
          <t>PDF p.46 (印刷頁 44)</t>
        </is>
      </c>
      <c r="F5" s="11" t="inlineStr">
        <is>
          <t>mount of approximately HK$6 million. The commercial property and leasehold land are stated at cost less accumulated depreciation and impairment loss. With respect to the commercial property, its recoverable amount has been impacted by the recession of economy. Management is required to assess whether the existing events or changes in circumstances, which indicate the commercial property has suffered an impairment loss and if so, to estimate its recoverable amount. Management performed impairment assessment to determine the reco</t>
        </is>
      </c>
    </row>
    <row r="6">
      <c r="A6" s="8" t="inlineStr">
        <is>
          <t>Impairment Testing</t>
        </is>
      </c>
      <c r="B6" s="8" t="inlineStr">
        <is>
          <t>減值測試</t>
        </is>
      </c>
      <c r="C6" s="18" t="inlineStr">
        <is>
          <t>high</t>
        </is>
      </c>
      <c r="D6" s="11" t="inlineStr">
        <is>
          <t>impairment loss</t>
        </is>
      </c>
      <c r="E6" s="11" t="inlineStr">
        <is>
          <t>PDF p.51 (印刷頁 49)</t>
        </is>
      </c>
      <c r="F6" s="11" t="inlineStr">
        <is>
          <t>rative and other operating expenses (14,528) (16,176) Selling and distribution expenses (3,120) (3,925) Depreciation (2,788) (6,063) Impairment loss on investment properties 15 (5,819) (31,847) Reversal of provision for impairment loss on trade and retention receivables and contract assets, net 17, 19 402 4,893 Finance costs 8 (79) (643) Loss before income tax from continuing operations 9 (2,345) (38,892) Income tax expense 10 – (6) Loss for the year from continuing operations (2,345) (38,898) Discontinued operation Profit for</t>
        </is>
      </c>
    </row>
    <row r="7">
      <c r="A7" s="8" t="inlineStr">
        <is>
          <t>Impairment Testing</t>
        </is>
      </c>
      <c r="B7" s="8" t="inlineStr">
        <is>
          <t>減值測試</t>
        </is>
      </c>
      <c r="C7" s="18" t="inlineStr">
        <is>
          <t>high</t>
        </is>
      </c>
      <c r="D7" s="11" t="inlineStr">
        <is>
          <t>impairment loss</t>
        </is>
      </c>
      <c r="E7" s="11" t="inlineStr">
        <is>
          <t>PDF p.56 (印刷頁 54)</t>
        </is>
      </c>
      <c r="F7" s="11" t="inlineStr">
        <is>
          <t>ation for properties leased for own use 31 724 2,461 Depreciation for investment properties 15 2,007 3,105 Reversal of provision for impairment loss on trade and retention receivables and contract assets, net 17,19 (402) (4,893) Impairment loss on investment properties 15 5,819 31,847 (Gain) Loss on disposal of property, plant and equipment (402,599) 285 Gain on debt assignment – (7,363) Operating profit before working capital changes 1,608 21,396 Decrease (Increase) in inventories 3,413 (2,561) Decrease (Increase) in trade and</t>
        </is>
      </c>
    </row>
    <row r="8">
      <c r="A8" s="8" t="inlineStr">
        <is>
          <t>Impairment Testing</t>
        </is>
      </c>
      <c r="B8" s="8" t="inlineStr">
        <is>
          <t>減值測試</t>
        </is>
      </c>
      <c r="C8" s="18" t="inlineStr">
        <is>
          <t>high</t>
        </is>
      </c>
      <c r="D8" s="11" t="inlineStr">
        <is>
          <t>impairment loss</t>
        </is>
      </c>
      <c r="E8" s="11" t="inlineStr">
        <is>
          <t>PDF p.61 (印刷頁 59)</t>
        </is>
      </c>
      <c r="F8" s="11" t="inlineStr">
        <is>
          <t>of these elements of control. In the Company’s statement of financial position, investments in subsidiaries are stated at cost less impairment loss, if any. The results of subsidiaries are accounted for by the Company on the basis of dividend received and receivable. 59 2026 ANNUAL REPORT</t>
        </is>
      </c>
    </row>
    <row r="9">
      <c r="A9" s="8" t="inlineStr">
        <is>
          <t>Impairment Testing</t>
        </is>
      </c>
      <c r="B9" s="8" t="inlineStr">
        <is>
          <t>減值測試</t>
        </is>
      </c>
      <c r="C9" s="18" t="inlineStr">
        <is>
          <t>high</t>
        </is>
      </c>
      <c r="D9" s="11" t="inlineStr">
        <is>
          <t>impairment loss</t>
        </is>
      </c>
      <c r="E9" s="11" t="inlineStr">
        <is>
          <t>PDF p.62 (印刷頁 60)</t>
        </is>
      </c>
      <c r="F9" s="11" t="inlineStr">
        <is>
          <t>IES – CONTINUED (c) Property, plant and equipment Property, plant and equipment are stated at cost less accumulated depreciation and impairment loss, if any. Property, plant and equipment are depreciated so as to write off their cost net of estimated residual value over their estimated useful lives on straight-line method. The estimated useful lives, estimated residual value and depreciation method are reviewed, and adjusted if appropriate, at the end of each reporting period. The principal annual rates of depreciation are as f</t>
        </is>
      </c>
    </row>
    <row r="10">
      <c r="A10" s="8" t="inlineStr">
        <is>
          <t>Impairment Testing</t>
        </is>
      </c>
      <c r="B10" s="8" t="inlineStr">
        <is>
          <t>減值測試</t>
        </is>
      </c>
      <c r="C10" s="18" t="inlineStr">
        <is>
          <t>high</t>
        </is>
      </c>
      <c r="D10" s="11" t="inlineStr">
        <is>
          <t>impairment loss</t>
        </is>
      </c>
      <c r="E10" s="11" t="inlineStr">
        <is>
          <t>PDF p.63 (印刷頁 61)</t>
        </is>
      </c>
      <c r="F10" s="11" t="inlineStr">
        <is>
          <t>is estimated to be less than its carrying amount, the carrying amount of the asset (or CGU) is reduced to its recoverable amount. An impairment loss is recognised immediately in profit or loss. Where an impairment loss subsequently reverses, the carrying amount of the asset (or CGU) is increased to the revised estimate of its recoverable amount to the extent that the increased carrying amount does not exceed the carrying amount that would have been determined had no impairment loss been recognised for the asset (or CGU) in prio</t>
        </is>
      </c>
    </row>
    <row r="11">
      <c r="A11" s="8" t="inlineStr">
        <is>
          <t>Impairment Testing</t>
        </is>
      </c>
      <c r="B11" s="8" t="inlineStr">
        <is>
          <t>減值測試</t>
        </is>
      </c>
      <c r="C11" s="18" t="inlineStr">
        <is>
          <t>high</t>
        </is>
      </c>
      <c r="D11" s="11" t="inlineStr">
        <is>
          <t>impairment loss</t>
        </is>
      </c>
      <c r="E11" s="11" t="inlineStr">
        <is>
          <t>PDF p.64 (印刷頁 62)</t>
        </is>
      </c>
      <c r="F11" s="11" t="inlineStr">
        <is>
          <t>FINANCIAL STATEMENTS Year ended 31 March 2026 4. MATERIAL ACCOUNTING POLICIES – CONTINUED (f) Financial instruments – continued (ii) Impairment loss on financial assets The Group recognises loss allowances for expected credit losses (“ECLs”) on trade receivables and financial assets measured at amortised cost. ECLs are measured on either of the following bases: • 12 months ECLs: these are the ECLs that result from possible default events within 12 months after the reporting date; and • Lifetime ECLs: these are ECLs that result</t>
        </is>
      </c>
    </row>
    <row r="12">
      <c r="A12" s="8" t="inlineStr">
        <is>
          <t>Impairment Testing</t>
        </is>
      </c>
      <c r="B12" s="8" t="inlineStr">
        <is>
          <t>減值測試</t>
        </is>
      </c>
      <c r="C12" s="18" t="inlineStr">
        <is>
          <t>high</t>
        </is>
      </c>
      <c r="D12" s="11" t="inlineStr">
        <is>
          <t>impairment loss</t>
        </is>
      </c>
      <c r="E12" s="11" t="inlineStr">
        <is>
          <t>PDF p.65 (印刷頁 63)</t>
        </is>
      </c>
      <c r="F12" s="11" t="inlineStr">
        <is>
          <t>FINANCIAL STATEMENTS Year ended 31 March 2026 4. MATERIAL ACCOUNTING POLICIES – CONTINUED (f) Financial instruments – continued (ii) Impairment loss on financial assets – continued When determining whether the credit risk of a financial asset has increased significantly since initial recognition and when estimating ECLs, the Group considers reasonable and supportable information that is relevant and available without undue cost or effort. This includes both quantitative and qualitative information analysis, based on the Group’s</t>
        </is>
      </c>
    </row>
    <row r="13">
      <c r="A13" s="8" t="inlineStr">
        <is>
          <t>Impairment Testing</t>
        </is>
      </c>
      <c r="B13" s="8" t="inlineStr">
        <is>
          <t>減值測試</t>
        </is>
      </c>
      <c r="C13" s="18" t="inlineStr">
        <is>
          <t>high</t>
        </is>
      </c>
      <c r="D13" s="11" t="inlineStr">
        <is>
          <t>impairment loss</t>
        </is>
      </c>
      <c r="E13" s="11" t="inlineStr">
        <is>
          <t>PDF p.66 (印刷頁 64)</t>
        </is>
      </c>
      <c r="F13" s="11" t="inlineStr">
        <is>
          <t>FINANCIAL STATEMENTS Year ended 31 March 2026 4. MATERIAL ACCOUNTING POLICIES – CONTINUED (f) Financial instruments – continued (ii) Impairment loss on financial assets – continued The Group recognises an impairment gain or loss in profit or loss for all financial instruments with a corresponding adjustment to their carrying amount through a loss allowance account. The Group writes off a financial asset when there is information indicating that the debtor is in severe financial difficulty and there is no realistic prospect of r</t>
        </is>
      </c>
    </row>
    <row r="14">
      <c r="A14" s="8" t="inlineStr">
        <is>
          <t>Impairment Testing</t>
        </is>
      </c>
      <c r="B14" s="8" t="inlineStr">
        <is>
          <t>減值測試</t>
        </is>
      </c>
      <c r="C14" s="18" t="inlineStr">
        <is>
          <t>high</t>
        </is>
      </c>
      <c r="D14" s="11" t="inlineStr">
        <is>
          <t>impairment loss</t>
        </is>
      </c>
      <c r="E14" s="11" t="inlineStr">
        <is>
          <t>PDF p.67 (印刷頁 65)</t>
        </is>
      </c>
      <c r="F14" s="11" t="inlineStr">
        <is>
          <t>asset’s useful life and the lease term on a straight-line basis. In addition, the right-of-use asset is periodically reduced by any impairment loss and adjusted for certain remeasurements of lease liability. Leasehold land and buildings which are held for own use are accounted for under HKAS 16 and are stated at cost less accumulated depreciation and impairment. Leasehold land and buildings that meet the definition of investment properties are accounted for under HKAS 40 and are also stated at cost less accumulated depreciatio</t>
        </is>
      </c>
    </row>
    <row r="15">
      <c r="A15" s="8" t="inlineStr">
        <is>
          <t>Impairment Testing</t>
        </is>
      </c>
      <c r="B15" s="8" t="inlineStr">
        <is>
          <t>減值測試</t>
        </is>
      </c>
      <c r="C15" s="18" t="inlineStr">
        <is>
          <t>high</t>
        </is>
      </c>
      <c r="D15" s="11" t="inlineStr">
        <is>
          <t>impairment loss</t>
        </is>
      </c>
      <c r="E15" s="11" t="inlineStr">
        <is>
          <t>PDF p.71 (印刷頁 69)</t>
        </is>
      </c>
      <c r="F15" s="11" t="inlineStr">
        <is>
          <t>o consideration, i.e. only the passage of time is required before payment of that consideration is due. Contract asset is reduced by impairment loss, which is assessed on the same basis as trade receivables. Retention monies retained by customers to secure for the due performance of the contracts are contract assets in nature. When the conditions attached to retention monies are fulfilled (i.e. at expiry of the defect liability period), the retention monies are released by customers and such retention monies have become trade r</t>
        </is>
      </c>
    </row>
    <row r="16">
      <c r="A16" s="8" t="inlineStr">
        <is>
          <t>Impairment Testing</t>
        </is>
      </c>
      <c r="B16" s="8" t="inlineStr">
        <is>
          <t>減值測試</t>
        </is>
      </c>
      <c r="C16" s="18" t="inlineStr">
        <is>
          <t>high</t>
        </is>
      </c>
      <c r="D16" s="11" t="inlineStr">
        <is>
          <t>impairment loss</t>
        </is>
      </c>
      <c r="E16" s="11" t="inlineStr">
        <is>
          <t>PDF p.75 (印刷頁 73)</t>
        </is>
      </c>
      <c r="F16" s="11" t="inlineStr">
        <is>
          <t>through continuing use. Such assets are generally measured at the lower of their carrying amount and fair value less costs to sell. Impairment losses on initial classification as held for sale and subsequent gains and losses on remeasurement are recognised in profit or loss. Once classified as held for sale, property, plant and equipment are no longer depreciated. Discontinued operation A discontinued operation is a component of the group’s business, the operations and cash flows of which can be clearly distinguished from the</t>
        </is>
      </c>
    </row>
    <row r="17">
      <c r="A17" s="8" t="inlineStr">
        <is>
          <t>Impairment Testing</t>
        </is>
      </c>
      <c r="B17" s="8" t="inlineStr">
        <is>
          <t>減值測試</t>
        </is>
      </c>
      <c r="C17" s="18" t="inlineStr">
        <is>
          <t>high</t>
        </is>
      </c>
      <c r="D17" s="11" t="inlineStr">
        <is>
          <t>impairment loss</t>
        </is>
      </c>
      <c r="E17" s="11" t="inlineStr">
        <is>
          <t>PDF p.77 (印刷頁 75)</t>
        </is>
      </c>
      <c r="F17" s="11" t="inlineStr">
        <is>
          <t>perties of the Group mainly included commercial property and leasehold land and are stated at cost less accumulated depreciation and impairment loss. At the reporting date, the Group assess whether there are an indication that assets are impaired. If such an indication exists, the recoverable amount of the asset is estimated using fair value less costs of disposal and/ or value in use calculations as appropriate. If the carrying amount of an asset exceeds its fair value less costs to sell or recoverable amount as appropriate, a</t>
        </is>
      </c>
    </row>
    <row r="18">
      <c r="A18" s="8" t="inlineStr">
        <is>
          <t>Impairment Testing</t>
        </is>
      </c>
      <c r="B18" s="8" t="inlineStr">
        <is>
          <t>減值測試</t>
        </is>
      </c>
      <c r="C18" s="18" t="inlineStr">
        <is>
          <t>high</t>
        </is>
      </c>
      <c r="D18" s="11" t="inlineStr">
        <is>
          <t>impairment loss</t>
        </is>
      </c>
      <c r="E18" s="11" t="inlineStr">
        <is>
          <t>PDF p.78 (印刷頁 76)</t>
        </is>
      </c>
      <c r="F18" s="11" t="inlineStr">
        <is>
          <t>86) (57) (497) (57) (20,583) Depreciation for properties leased for own use – – (724) (2,461) (724) (2,461) Reversal of provision of impairment loss on trade and retention receivables and contract assets, net – – 402 4,893 402 4,893 Gain on disposal of property, plant and equipment 402,599 – – – 402,599 – Income tax credit (25,926) (2,408) – (6) (25,926) (2,414) Reportable segment assets – 448,642 23,637 31,693 23,637 480,335 Reportable segment liabilities – (176,230) (7,981) (12,507) (7,981) (188,737) Additions to non-current</t>
        </is>
      </c>
    </row>
    <row r="19">
      <c r="A19" s="8" t="inlineStr">
        <is>
          <t>Impairment Testing</t>
        </is>
      </c>
      <c r="B19" s="8" t="inlineStr">
        <is>
          <t>減值測試</t>
        </is>
      </c>
      <c r="C19" s="18" t="inlineStr">
        <is>
          <t>high</t>
        </is>
      </c>
      <c r="D19" s="11" t="inlineStr">
        <is>
          <t>impairment loss</t>
        </is>
      </c>
      <c r="E19" s="11" t="inlineStr">
        <is>
          <t>PDF p.79 (印刷頁 77)</t>
        </is>
      </c>
      <c r="F19" s="11" t="inlineStr">
        <is>
          <t>Reportable segments profit before tax 414,643 6,868 Less: P rofit before income tax from a discontinued operation (402,966) (9,087) Impairment loss on investment properties (5,819) (31,847) Depreciation for investment properties (2,007) (3,105) Other administrative and other operating expenses (10,800) (9,838) Other finance costs (152) (394) Other income 4,756 8,511 Loss before income tax from continuing operation (2,345) (38,892) 2026 2025 HK$’000 HK$’000 Reportable segment assets 23,637 480,335 Unallocated corporate asset –</t>
        </is>
      </c>
    </row>
    <row r="20">
      <c r="A20" s="8" t="inlineStr">
        <is>
          <t>Impairment Testing</t>
        </is>
      </c>
      <c r="B20" s="8" t="inlineStr">
        <is>
          <t>減值測試</t>
        </is>
      </c>
      <c r="C20" s="18" t="inlineStr">
        <is>
          <t>high</t>
        </is>
      </c>
      <c r="D20" s="11" t="inlineStr">
        <is>
          <t>impairment loss</t>
        </is>
      </c>
      <c r="E20" s="11" t="inlineStr">
        <is>
          <t>PDF p.83 (印刷頁 81)</t>
        </is>
      </c>
      <c r="F20" s="11" t="inlineStr">
        <is>
          <t>785 Auditor’s remuneration – Audit service 940 878 – Non-audit service 160 296 Depreciation for property, plant and equipment 57 497 Impairment loss on investment properties 5,819 31,847 Depreciation for investment properties 2,007 3,105 Depreciation for properties leased for own use 724 2,461 Reversal of provision for impairment loss on trade and retention receivables and contract assets, net 402 4,893 Loss on disposal of property, plant and equipment – 312 Staff costs (including directors’ emoluments as disclosed in Note 13)</t>
        </is>
      </c>
    </row>
    <row r="21">
      <c r="A21" s="8" t="inlineStr">
        <is>
          <t>Impairment Testing</t>
        </is>
      </c>
      <c r="B21" s="8" t="inlineStr">
        <is>
          <t>減值測試</t>
        </is>
      </c>
      <c r="C21" s="18" t="inlineStr">
        <is>
          <t>high</t>
        </is>
      </c>
      <c r="D21" s="11" t="inlineStr">
        <is>
          <t>impairment loss</t>
        </is>
      </c>
      <c r="E21" s="11" t="inlineStr">
        <is>
          <t>PDF p.91 (印刷頁 89)</t>
        </is>
      </c>
      <c r="F21" s="11" t="inlineStr">
        <is>
          <t>000 168,802 180,802 Accumulated depreciation and impairment At 1 April 2024 4,980 84,853 89,833 Charged for the year 303 2,802 3,105 Impairment loss – 31,847 31,847 At 31 March 2025 and 1 April 2025 5,283 119,502 124,785 Charged for the year 302 1,705 2,007 Impairment loss – 5,819 5,819 At 31 March 2026 5,585 127,026 132,611 Net carrying value At 31 March 2026 6,415 41,776 48,191 At 31 March 2025 6,717 49,300 56,017 At 31 March 2025, the Group’s commercial property was located in Hong Kong and was pledged to a bank for granting</t>
        </is>
      </c>
    </row>
    <row r="22">
      <c r="A22" s="8" t="inlineStr">
        <is>
          <t>Impairment Testing</t>
        </is>
      </c>
      <c r="B22" s="8" t="inlineStr">
        <is>
          <t>減值測試</t>
        </is>
      </c>
      <c r="C22" s="18" t="inlineStr">
        <is>
          <t>high</t>
        </is>
      </c>
      <c r="D22" s="11" t="inlineStr">
        <is>
          <t>impairment loss</t>
        </is>
      </c>
      <c r="E22" s="11" t="inlineStr">
        <is>
          <t>PDF p.92 (印刷頁 90)</t>
        </is>
      </c>
      <c r="F22" s="11" t="inlineStr">
        <is>
          <t>value less cost of disposal, which amounted to approximately HK$41,776,000 (2025: HK$49,300,000). At the end of reporting period, an impairment loss of HK$5,819,000 (2025: HK$31,847,000) was recognised as the commercial properties market in Hong Kong was deteriorated during to recession of global economic environment during the year ended 31 March 2026. The fair value of commercial property is determined based on the market observable comparable prices of similar properties ranging from HK$22,314 to HK$24,921 per sq. feet (2025</t>
        </is>
      </c>
    </row>
    <row r="23">
      <c r="A23" s="8" t="inlineStr">
        <is>
          <t>Impairment Testing</t>
        </is>
      </c>
      <c r="B23" s="8" t="inlineStr">
        <is>
          <t>減值測試</t>
        </is>
      </c>
      <c r="C23" s="18" t="inlineStr">
        <is>
          <t>high</t>
        </is>
      </c>
      <c r="D23" s="11" t="inlineStr">
        <is>
          <t>impairment loss</t>
        </is>
      </c>
      <c r="E23" s="11" t="inlineStr">
        <is>
          <t>PDF p.93 (印刷頁 91)</t>
        </is>
      </c>
      <c r="F23" s="11" t="inlineStr">
        <is>
          <t>8 1,610 1,278 4,691 17. TRADE AND OTHER RECEIVABLES 2026 2025 HK$’000 HK$’000 Trade receivables (Note a) 458 334 Less: Provision for impairment loss (Note a) (8) (136) 450 198 Retention receivable (Note b) 5,672 7,880 Less: Provision for impairment loss (Note b) (98) (246) 5,574 7,634 Deposits 1,007 1,477 Deposit receivable (Note c) – 76,500 Prepayments 2,850 9,054 Other receivables 176 101 4,033 87,132 10,057 94,964 91 2026 ANNUAL REPORT</t>
        </is>
      </c>
    </row>
    <row r="24">
      <c r="A24" s="8" t="inlineStr">
        <is>
          <t>Impairment Testing</t>
        </is>
      </c>
      <c r="B24" s="8" t="inlineStr">
        <is>
          <t>減值測試</t>
        </is>
      </c>
      <c r="C24" s="18" t="inlineStr">
        <is>
          <t>high</t>
        </is>
      </c>
      <c r="D24" s="11" t="inlineStr">
        <is>
          <t>impairment loss</t>
        </is>
      </c>
      <c r="E24" s="11" t="inlineStr">
        <is>
          <t>PDF p.94 (印刷頁 92)</t>
        </is>
      </c>
      <c r="F24" s="11" t="inlineStr">
        <is>
          <t>90 45 Over 30 days but less than 60 days 52 – Over 60 days but less than 90 days – – Over 90 days 16 289 458 334 Less: Allowance for impairment losses (8) (136) 450 198 Under the segments of trading of building materials and fit-out construction service, trade receivables have been grouped based on shared credit risk characteristics and the days past due. Normally, other than those receivables secured by deposits, the Group does not hold any collateral over these receivables. The movement in the allowance for impairment losses</t>
        </is>
      </c>
    </row>
    <row r="25">
      <c r="A25" s="8" t="inlineStr">
        <is>
          <t>Impairment Testing</t>
        </is>
      </c>
      <c r="B25" s="8" t="inlineStr">
        <is>
          <t>減值測試</t>
        </is>
      </c>
      <c r="C25" s="18" t="inlineStr">
        <is>
          <t>high</t>
        </is>
      </c>
      <c r="D25" s="11" t="inlineStr">
        <is>
          <t>impairment loss</t>
        </is>
      </c>
      <c r="E25" s="11" t="inlineStr">
        <is>
          <t>PDF p.96 (印刷頁 94)</t>
        </is>
      </c>
      <c r="F25" s="11" t="inlineStr">
        <is>
          <t>ement in the allowance for impairment losses during the year is as follows: 2026 2025 HK$’000 HK$’000 At 1 April 246 350 Reversal of impairment loss for the year (148) (104) At 31 March 98 246 Note c: It represents the deposit paid by the purchaser for the acquisition of the hotel property and furniture, which was held by the Company’s solicitors on behalf of Group. 18. TIME DEPOSITS WITH A MATURITY LESS THAN THREE MONTHS, SECURED BANK DEPOSITS AND CASH AND BANK BALANCES 2026 2025 HK$’000 HK$’000 Time deposits with a maturity l</t>
        </is>
      </c>
    </row>
    <row r="26">
      <c r="A26" s="8" t="inlineStr">
        <is>
          <t>Impairment Testing</t>
        </is>
      </c>
      <c r="B26" s="8" t="inlineStr">
        <is>
          <t>減值測試</t>
        </is>
      </c>
      <c r="C26" s="18" t="inlineStr">
        <is>
          <t>high</t>
        </is>
      </c>
      <c r="D26" s="11" t="inlineStr">
        <is>
          <t>impairment loss</t>
        </is>
      </c>
      <c r="E26" s="11" t="inlineStr">
        <is>
          <t>PDF p.97 (印刷頁 95)</t>
        </is>
      </c>
      <c r="F26" s="11" t="inlineStr">
        <is>
          <t>CONTRACT ASSETS 2026 2025 HK$’000 HK$’000 Contract assets arising from: Fit-out construction service 6,451 4,841 Less: Allowance for impairment losses (12) (138) 6,439 4,703 Contract asset, net of contract liability related to the same contract, is recognised over the period in which the construction services are performed representing the Group’s right to consideration for the services performed and not billed because the rights are conditioned on the Group’s future performance accepted by the customers. The contract assets ar</t>
        </is>
      </c>
    </row>
    <row r="27">
      <c r="A27" s="8" t="inlineStr">
        <is>
          <t>Impairment Testing</t>
        </is>
      </c>
      <c r="B27" s="8" t="inlineStr">
        <is>
          <t>減值測試</t>
        </is>
      </c>
      <c r="C27" s="18" t="inlineStr">
        <is>
          <t>high</t>
        </is>
      </c>
      <c r="D27" s="11" t="inlineStr">
        <is>
          <t>impairment loss</t>
        </is>
      </c>
      <c r="E27" s="11" t="inlineStr">
        <is>
          <t>PDF p.107 (印刷頁 105)</t>
        </is>
      </c>
      <c r="F27" s="11" t="inlineStr">
        <is>
          <t>00 HK$’000 Unlisted shares, at cost – 500 Amounts due from subsidiaries (Note a) 235,035 410,010 235,035 410,510 Less: Provision for impairment loss (176,635) (158,239) 58,400 252,271 Notes: (a) Amounts due from subsidiaries are unsecured, non-interest bearing and in substance represent the Company’s interest in the subsidiaries in the form of quasi-equity loans, except for an amount due from a subsidiary of HK$216 million (2025: HK$211 million) bear interest at HIBOR plus 1.5% per annum. (b) Amounts due to subsidiaries are uns</t>
        </is>
      </c>
    </row>
    <row r="28">
      <c r="A28" s="8" t="inlineStr">
        <is>
          <t>Impairment Testing</t>
        </is>
      </c>
      <c r="B28" s="8" t="inlineStr">
        <is>
          <t>減值測試</t>
        </is>
      </c>
      <c r="C28" s="18" t="inlineStr">
        <is>
          <t>high</t>
        </is>
      </c>
      <c r="D28" s="11" t="inlineStr">
        <is>
          <t>impairment loss</t>
        </is>
      </c>
      <c r="E28" s="11" t="inlineStr">
        <is>
          <t>PDF p.110 (印刷頁 108)</t>
        </is>
      </c>
      <c r="F28" s="11" t="inlineStr">
        <is>
          <t>’000 HK$’000 HK$’000 HK$’000 At 1 April 2024 356,004 83,949 7,020 3,185 450,158 Depreciation (17,157) (2,802) (303) (2,461) (22,723) Impairment loss – (31,847) – – (31,847) At 31 March 2025 and 1 April 2025 338,847 49,300 6,717 724 395,588 Depreciation – (1,705) (302) (724) (2,731) Impairment loss – (5,819) – – (5,819) Disposals (338,847) – – – (338,847) At 31 March 2026 – 41,776 6,415 – 48,191 108 MEXAN LIMITED</t>
        </is>
      </c>
    </row>
    <row r="29">
      <c r="A29" s="8" t="inlineStr">
        <is>
          <t>Impairment Testing</t>
        </is>
      </c>
      <c r="B29" s="8" t="inlineStr">
        <is>
          <t>減值測試</t>
        </is>
      </c>
      <c r="C29" s="18" t="inlineStr">
        <is>
          <t>high</t>
        </is>
      </c>
      <c r="D29" s="11" t="inlineStr">
        <is>
          <t>impairment loss</t>
        </is>
      </c>
      <c r="E29" s="11" t="inlineStr">
        <is>
          <t>PDF p.115 (印刷頁 113)</t>
        </is>
      </c>
      <c r="F29" s="11" t="inlineStr">
        <is>
          <t>y international credit agencies. The amounts presented in the consolidated statement of financial position are net of provisions for impairment losses. Provision for impairment is made where there are expected credit losses from assessment by past events, current conditions and forecasts of future economic conditions. In respect of trade and retention receivables, individual credit evaluations are performed on all customers requiring credit over a certain amount. These evaluations focus on the customer’s credit history and take</t>
        </is>
      </c>
    </row>
    <row r="30">
      <c r="A30" s="8" t="inlineStr">
        <is>
          <t>Intangible Assets &amp; Goodwill</t>
        </is>
      </c>
      <c r="B30" s="8" t="inlineStr">
        <is>
          <t>無形資產及商譽</t>
        </is>
      </c>
      <c r="C30" s="18" t="inlineStr">
        <is>
          <t>high</t>
        </is>
      </c>
      <c r="D30" s="11" t="inlineStr">
        <is>
          <t>useful life</t>
        </is>
      </c>
      <c r="E30" s="11" t="inlineStr">
        <is>
          <t>PDF p.67 (印刷頁 65)</t>
        </is>
      </c>
      <c r="F30" s="11" t="inlineStr">
        <is>
          <t>ny initial direct costs; and • restoration costs. The right-of-use asset is subsequently depreciated over the shorter of the asset’s useful life and the lease term on a straight-line basis. In addition, the right-of-use asset is periodically reduced by any impairment loss and adjusted for certain remeasurements of lease liability. Leasehold land and buildings which are held for own use are accounted for under HKAS 16 and are stated at cost less accumulated depreciation and impairment. Leasehold land and buildings that meet the</t>
        </is>
      </c>
    </row>
    <row r="31">
      <c r="A31" s="8" t="inlineStr">
        <is>
          <t>Intangible Assets &amp; Goodwill</t>
        </is>
      </c>
      <c r="B31" s="8" t="inlineStr">
        <is>
          <t>無形資產及商譽</t>
        </is>
      </c>
      <c r="C31" s="18" t="inlineStr">
        <is>
          <t>high</t>
        </is>
      </c>
      <c r="D31" s="11" t="inlineStr">
        <is>
          <t>goodwill</t>
        </is>
      </c>
      <c r="E31" s="11" t="inlineStr">
        <is>
          <t>PDF p.68 (印刷頁 66)</t>
        </is>
      </c>
      <c r="F31" s="11" t="inlineStr">
        <is>
          <t>olidated statement of financial position differs from its tax base, except for differences arising on: i) The initial recognition of goodwill; ii) The initial recognition of an asset or liability in a transaction which is not a business combination and at the time of the transaction affects neither accounting or taxable profit and does not give rise to equal taxable and deductible temporary differences; and iii) Investments in subsidiaries where the Group is able to control the timing of the reversal of the temporary difference</t>
        </is>
      </c>
    </row>
    <row r="32">
      <c r="A32" s="8" t="inlineStr">
        <is>
          <t>Intangible Assets &amp; Goodwill</t>
        </is>
      </c>
      <c r="B32" s="8" t="inlineStr">
        <is>
          <t>無形資產及商譽</t>
        </is>
      </c>
      <c r="C32" s="18" t="inlineStr">
        <is>
          <t>high</t>
        </is>
      </c>
      <c r="D32" s="11" t="inlineStr">
        <is>
          <t>amortisation</t>
        </is>
      </c>
      <c r="E32" s="11" t="inlineStr">
        <is>
          <t>PDF p.99 (印刷頁 97)</t>
        </is>
      </c>
      <c r="F32" s="11" t="inlineStr">
        <is>
          <t>pedient under paragraph 94 of HKFRS 15 and recognises the sales commission of obtaining contracts as an expense when incurred if the amortisation period of the asset that the Group otherwise would have recognised is one year or less. The directors of the Company considered the carrying amounts of trade and other payables, deposits received and accrued charges approximate to their fair values. 21. BANK LOANS 2026 2025 HK$’000 HK$’000 Secured: Letter of credit (Note c) – 2,630 Bank term loans (Notes a and b) – 84,318 – 86,948 Cur</t>
        </is>
      </c>
    </row>
    <row r="33">
      <c r="A33" s="8" t="inlineStr">
        <is>
          <t>ESG Data</t>
        </is>
      </c>
      <c r="B33" s="8" t="inlineStr">
        <is>
          <t>環境社會及管治數據</t>
        </is>
      </c>
      <c r="C33" s="8" t="inlineStr">
        <is>
          <t>medium</t>
        </is>
      </c>
      <c r="D33" s="11" t="inlineStr">
        <is>
          <t>ESG</t>
        </is>
      </c>
      <c r="E33" s="11" t="inlineStr">
        <is>
          <t>PDF p.14 (印刷頁 12)</t>
        </is>
      </c>
      <c r="F33" s="11" t="inlineStr">
        <is>
          <t>onsibility for the management of issues, policies, and the reporting of matters pertaining to environmental, social and governance (“ESG”) within the Group. The Board exercises top-down supervision of the implementation of the Group’s sustainability strategy, recognising the crucial significance of identifying and addressing ESG-related risks, including those related to climate. The Board firmly believes that a focus on managing these factors can result in enhanced and long-lasting business value for the Group. Executive Direct</t>
        </is>
      </c>
    </row>
    <row r="34">
      <c r="A34" s="8" t="inlineStr">
        <is>
          <t>ESG Data</t>
        </is>
      </c>
      <c r="B34" s="8" t="inlineStr">
        <is>
          <t>環境社會及管治數據</t>
        </is>
      </c>
      <c r="C34" s="8" t="inlineStr">
        <is>
          <t>medium</t>
        </is>
      </c>
      <c r="D34" s="11" t="inlineStr">
        <is>
          <t>sustainability</t>
        </is>
      </c>
      <c r="E34" s="11" t="inlineStr">
        <is>
          <t>PDF p.16 (印刷頁 14)</t>
        </is>
      </c>
      <c r="F34" s="11" t="inlineStr">
        <is>
          <t>ues of the Company provide a strong foundation for its core governance structure, working in tandem to support the Group’s long-term sustainability amid business challenges and an evolving regulatory and market environment. By putting in place the right governance framework and ensuring strong emphasis on culture in the recruitment and conduct of senior management, our Board has incorporated a culture of integrity, accountability and transparency that permeates throughout the Group. This in turn fosters productivity, strong bra</t>
        </is>
      </c>
    </row>
    <row r="35">
      <c r="A35" s="8" t="inlineStr">
        <is>
          <t>ESG Data</t>
        </is>
      </c>
      <c r="B35" s="8" t="inlineStr">
        <is>
          <t>環境社會及管治數據</t>
        </is>
      </c>
      <c r="C35" s="8" t="inlineStr">
        <is>
          <t>medium</t>
        </is>
      </c>
      <c r="D35" s="11" t="inlineStr">
        <is>
          <t>ESG</t>
        </is>
      </c>
      <c r="E35" s="11" t="inlineStr">
        <is>
          <t>PDF p.17 (印刷頁 15)</t>
        </is>
      </c>
      <c r="F35" s="11" t="inlineStr">
        <is>
          <t>developments regarding Listing Rules and other applicable regulations. During the year, training on the Stock Exchange’s guidance on ESG and Corporate Governance Code Update were arranged, at the Company’s expense, for Directors and management. All Directors have participated in continuous professional development and provided a record of training they received for the year ended 31 March 2026 and up to the date of this report to the Company. The Directors participated in the following types of continuous professional developme</t>
        </is>
      </c>
    </row>
    <row r="36">
      <c r="A36" s="8" t="inlineStr">
        <is>
          <t>ESG Data</t>
        </is>
      </c>
      <c r="B36" s="8" t="inlineStr">
        <is>
          <t>環境社會及管治數據</t>
        </is>
      </c>
      <c r="C36" s="8" t="inlineStr">
        <is>
          <t>medium</t>
        </is>
      </c>
      <c r="D36" s="11" t="inlineStr">
        <is>
          <t>ESG</t>
        </is>
      </c>
      <c r="E36" s="11" t="inlineStr">
        <is>
          <t>PDF p.28 (印刷頁 26)</t>
        </is>
      </c>
      <c r="F36" s="11" t="inlineStr">
        <is>
          <t>s and sustainable development. The Board is responsible for evaluating and determining the nature and extent of the risks (including ESG risks) it is willing to take in achieving the Group’s strategic objectives and ensuring that the Group establishes and maintains appropriate and effective risk management and internal control systems and reviewing their effectiveness. The Board is also responsible for overseeing the design, implementation and monitoring of the risk management and internal control systems. The risk management a</t>
        </is>
      </c>
    </row>
    <row r="37">
      <c r="A37" s="8" t="inlineStr">
        <is>
          <t>ESG Data</t>
        </is>
      </c>
      <c r="B37" s="8" t="inlineStr">
        <is>
          <t>環境社會及管治數據</t>
        </is>
      </c>
      <c r="C37" s="8" t="inlineStr">
        <is>
          <t>medium</t>
        </is>
      </c>
      <c r="D37" s="11" t="inlineStr">
        <is>
          <t>sustainability</t>
        </is>
      </c>
      <c r="E37" s="11" t="inlineStr">
        <is>
          <t>PDF p.30 (印刷頁 28)</t>
        </is>
      </c>
      <c r="F37" s="11" t="inlineStr">
        <is>
          <t>sclosed in note 35 to the financial statements. ENVIRONMENTAL POLICIES AND PERFORMANCE The Group is committed to contributing to the sustainability of the environment and is committed to becoming an environmentally-friendly corporation. Details of our environmental, social and governance policies and performance during the year ended 31 March 2026 shall be published separately in the Environmental, Social and Governance Report in parallel with this annual report on the websites of the Company and the Stock Exchange. The Board b</t>
        </is>
      </c>
    </row>
    <row r="38">
      <c r="A38" s="8" t="inlineStr">
        <is>
          <t>Segment Information</t>
        </is>
      </c>
      <c r="B38" s="8" t="inlineStr">
        <is>
          <t>分部資料</t>
        </is>
      </c>
      <c r="C38" s="8" t="inlineStr">
        <is>
          <t>medium</t>
        </is>
      </c>
      <c r="D38" s="11" t="inlineStr">
        <is>
          <t>segment information</t>
        </is>
      </c>
      <c r="E38" s="11" t="inlineStr">
        <is>
          <t>PDF p.78 (印刷頁 76)</t>
        </is>
      </c>
      <c r="F38" s="11" t="inlineStr">
        <is>
          <t>NOTES TO THE CONSOLIDATED FINANCIAL STATEMENTS Year ended 31 March 2026 6. SEGMENT INFORMATION (a) Operating segment information The executive directors of the Company are the chief operating decision makers of the Group, review the Group’s internal reporting in order to assess performance and allocate resources. Management has determined the operating segments based on reports reviewed by the executive directors of the Company that are used to make strategy decision. Du</t>
        </is>
      </c>
    </row>
    <row r="39">
      <c r="A39" s="8" t="inlineStr">
        <is>
          <t>Segment Information</t>
        </is>
      </c>
      <c r="B39" s="8" t="inlineStr">
        <is>
          <t>分部資料</t>
        </is>
      </c>
      <c r="C39" s="8" t="inlineStr">
        <is>
          <t>medium</t>
        </is>
      </c>
      <c r="D39" s="11" t="inlineStr">
        <is>
          <t>segment information</t>
        </is>
      </c>
      <c r="E39" s="11" t="inlineStr">
        <is>
          <t>PDF p.79 (印刷頁 77)</t>
        </is>
      </c>
      <c r="F39" s="11" t="inlineStr">
        <is>
          <t>NOTES TO THE CONSOLIDATED FINANCIAL STATEMENTS Year ended 31 March 2026 6. SEGMENT INFORMATION – CONTINUED (a) Operating segment information – continued Reconciliation of reportable segment profit or loss, assets and liabilities are as follows: 2026 2025 HK$’000 HK$’000 Reportable segments profit before tax 414,643 6,868 Less: P rofit before income tax from a discontinued operation (402,966) (9,087) Impairment loss on investment properties (5,819) (31,847) Depreciation f</t>
        </is>
      </c>
    </row>
    <row r="40">
      <c r="A40" s="8" t="inlineStr">
        <is>
          <t>Segment Information</t>
        </is>
      </c>
      <c r="B40" s="8" t="inlineStr">
        <is>
          <t>分部資料</t>
        </is>
      </c>
      <c r="C40" s="8" t="inlineStr">
        <is>
          <t>medium</t>
        </is>
      </c>
      <c r="D40" s="11" t="inlineStr">
        <is>
          <t>segment information</t>
        </is>
      </c>
      <c r="E40" s="11" t="inlineStr">
        <is>
          <t>PDF p.80 (印刷頁 78)</t>
        </is>
      </c>
      <c r="F40" s="11" t="inlineStr">
        <is>
          <t>NOTES TO THE CONSOLIDATED FINANCIAL STATEMENTS Year ended 31 March 2026 6. SEGMENT INFORMATION – CONTINUED (b) Geographical segment information During the years ended 31 March 2026 and 2025, the Group’s operations and non-current assets are situated in Hong Kong in which all of its revenue was derived. (c) Information about major customers Revenues from each of the major customers accounted for 10% or more of the Group’s total revenue are set out below: 2026 2025 HK$’000</t>
        </is>
      </c>
    </row>
    <row r="41">
      <c r="A41" s="8" t="inlineStr">
        <is>
          <t>Related Party Transactions</t>
        </is>
      </c>
      <c r="B41" s="8" t="inlineStr">
        <is>
          <t>關聯方交易</t>
        </is>
      </c>
      <c r="C41" s="8" t="inlineStr">
        <is>
          <t>low</t>
        </is>
      </c>
      <c r="D41" s="11" t="inlineStr">
        <is>
          <t>connected transaction</t>
        </is>
      </c>
      <c r="E41" s="11" t="inlineStr">
        <is>
          <t>PDF p.23 (印刷頁 21)</t>
        </is>
      </c>
      <c r="F41" s="11" t="inlineStr">
        <is>
          <t>(o) to act as the key representative body for overseeing the Company’s relationship with the external auditor; (p) to review ongoing connected transactions of the Company and ensure compliance with terms of approval by shareholders of the Company; and (q) to consider such other matters as the Board may from time to time determine. Number of Audit Committee meetings held during the member’s term of office Number of during the year ended meetings Name of Members 31 March 2026 attended Mr. Lau Shu Kan (resigned on 8 April 2026) 3</t>
        </is>
      </c>
    </row>
    <row r="42">
      <c r="A42" s="8" t="inlineStr">
        <is>
          <t>Related Party Transactions</t>
        </is>
      </c>
      <c r="B42" s="8" t="inlineStr">
        <is>
          <t>關聯方交易</t>
        </is>
      </c>
      <c r="C42" s="8" t="inlineStr">
        <is>
          <t>low</t>
        </is>
      </c>
      <c r="D42" s="11" t="inlineStr">
        <is>
          <t>related party</t>
        </is>
      </c>
      <c r="E42" s="11" t="inlineStr">
        <is>
          <t>PDF p.39 (印刷頁 37)</t>
        </is>
      </c>
      <c r="F42" s="11" t="inlineStr">
        <is>
          <t>e note 13(a) to the consolidated financial statements for further details of emolument for each Director. Connected Transactions and Related Party Transactions Save as disclosed in this annual report, there were no connected transactions or continuing connected transactions which are required to be disclosed by the Company during the Reporting Period in accordance with the provisions concerning the disclosure of connected transactions under Chapter 14A of the Listing Rules. Other related party transactions entered into by the G</t>
        </is>
      </c>
    </row>
    <row r="43">
      <c r="A43" s="8" t="inlineStr">
        <is>
          <t>Related Party Transactions</t>
        </is>
      </c>
      <c r="B43" s="8" t="inlineStr">
        <is>
          <t>關聯方交易</t>
        </is>
      </c>
      <c r="C43" s="8" t="inlineStr">
        <is>
          <t>low</t>
        </is>
      </c>
      <c r="D43" s="11" t="inlineStr">
        <is>
          <t>related party</t>
        </is>
      </c>
      <c r="E43" s="11" t="inlineStr">
        <is>
          <t>PDF p.104 (印刷頁 102)</t>
        </is>
      </c>
      <c r="F43" s="11" t="inlineStr">
        <is>
          <t>2025 and 1 April 2025 (14,826) 20,207 5,381 Credited to profit or loss 12,673 (18,054) (5,381) At 31 March 2026 (2,153) 2,153 – 26. RELATED PARTY TRANSACTIONS At 31 March 2026, the directors consider the ultimate holding company of the Company to be Winland Stock (BVI) Limited which was incorporated in the British Virgin Islands. Transactions between the Company and its subsidiaries have been eliminated on consolidation and are not disclosed in this note. Other than disclosed elsewhere in the consolidated financial statements,</t>
        </is>
      </c>
    </row>
    <row r="44">
      <c r="A44" s="8" t="inlineStr">
        <is>
          <t>Related Party Transactions</t>
        </is>
      </c>
      <c r="B44" s="8" t="inlineStr">
        <is>
          <t>關聯方交易</t>
        </is>
      </c>
      <c r="C44" s="8" t="inlineStr">
        <is>
          <t>low</t>
        </is>
      </c>
      <c r="D44" s="11" t="inlineStr">
        <is>
          <t>related party</t>
        </is>
      </c>
      <c r="E44" s="11" t="inlineStr">
        <is>
          <t>PDF p.105 (印刷頁 103)</t>
        </is>
      </c>
      <c r="F44" s="11" t="inlineStr">
        <is>
          <t>NOTES TO THE CONSOLIDATED FINANCIAL STATEMENTS Year ended 31 March 2026 26. RELATED PARTY TRANSACTIONS – CONTINUED (b) Compensation of key management personnel The emoluments of key management personnel (comprising of directors only) during the year were as follows: 2026 2025 HK$’000 HK$’000 Salaries, bonus, allowance and benefits in kind 1,611 1,598 Contributions to retirement benefit scheme 18 28 1,629 1,626 The emoluments paid or payable to key management personnel (co</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42"/>
  <sheetViews>
    <sheetView workbookViewId="0">
      <pane ySplit="40" topLeftCell="A41" activePane="bottomLeft" state="frozen"/>
      <selection pane="bottomLeft" activeCell="A1" sqref="A1"/>
    </sheetView>
  </sheetViews>
  <sheetFormatPr baseColWidth="8" defaultRowHeight="15"/>
  <cols>
    <col width="16" customWidth="1" min="1" max="1"/>
    <col width="40" customWidth="1" min="2" max="2"/>
  </cols>
  <sheetData>
    <row r="1">
      <c r="A1" s="1" t="inlineStr">
        <is>
          <t>需要人手處理的項目</t>
        </is>
      </c>
    </row>
    <row r="2">
      <c r="A2" s="2" t="inlineStr">
        <is>
          <t>工具沒抓到的東西會列在這裡,不會靜靜消失 —— 請人手翻閱原文補入。</t>
        </is>
      </c>
    </row>
    <row r="4">
      <c r="A4" s="5" t="inlineStr">
        <is>
          <t>一、未擷取到的財務科目</t>
        </is>
      </c>
    </row>
    <row r="5">
      <c r="A5" s="2" t="inlineStr">
        <is>
          <t>可能原因:該公司未單獨揭露此科目 / 用了工具不認得的措辭 / 位於跨頁或附註中。措辭問題可在 config.py 補上別名。</t>
        </is>
      </c>
    </row>
    <row r="7">
      <c r="A7" s="7" t="inlineStr">
        <is>
          <t>報表 Statement</t>
        </is>
      </c>
      <c r="B7" s="7" t="inlineStr">
        <is>
          <t>未擷取科目 Missing item</t>
        </is>
      </c>
    </row>
    <row r="8">
      <c r="A8" s="8" t="inlineStr">
        <is>
          <t>Income Statement</t>
        </is>
      </c>
      <c r="B8" s="8" t="inlineStr">
        <is>
          <t>Revenue</t>
        </is>
      </c>
    </row>
    <row r="9">
      <c r="A9" s="8" t="inlineStr">
        <is>
          <t>Income Statement</t>
        </is>
      </c>
      <c r="B9" s="8" t="inlineStr">
        <is>
          <t>Cost of Sales</t>
        </is>
      </c>
    </row>
    <row r="10">
      <c r="A10" s="8" t="inlineStr">
        <is>
          <t>Income Statement</t>
        </is>
      </c>
      <c r="B10" s="8" t="inlineStr">
        <is>
          <t>Gross Profit</t>
        </is>
      </c>
    </row>
    <row r="11">
      <c r="A11" s="8" t="inlineStr">
        <is>
          <t>Income Statement</t>
        </is>
      </c>
      <c r="B11" s="8" t="inlineStr">
        <is>
          <t>Operating Profit</t>
        </is>
      </c>
    </row>
    <row r="12">
      <c r="A12" s="8" t="inlineStr">
        <is>
          <t>Income Statement</t>
        </is>
      </c>
      <c r="B12" s="8" t="inlineStr">
        <is>
          <t>Finance Costs</t>
        </is>
      </c>
    </row>
    <row r="13">
      <c r="A13" s="8" t="inlineStr">
        <is>
          <t>Income Statement</t>
        </is>
      </c>
      <c r="B13" s="8" t="inlineStr">
        <is>
          <t>Profit Before Tax</t>
        </is>
      </c>
    </row>
    <row r="14">
      <c r="A14" s="8" t="inlineStr">
        <is>
          <t>Income Statement</t>
        </is>
      </c>
      <c r="B14" s="8" t="inlineStr">
        <is>
          <t>Income Tax</t>
        </is>
      </c>
    </row>
    <row r="15">
      <c r="A15" s="8" t="inlineStr">
        <is>
          <t>Income Statement</t>
        </is>
      </c>
      <c r="B15" s="8" t="inlineStr">
        <is>
          <t>Profit for the Year</t>
        </is>
      </c>
    </row>
    <row r="16">
      <c r="A16" s="8" t="inlineStr">
        <is>
          <t>Income Statement</t>
        </is>
      </c>
      <c r="B16" s="8" t="inlineStr">
        <is>
          <t>R&amp;D Expenses</t>
        </is>
      </c>
    </row>
    <row r="17">
      <c r="A17" s="8" t="inlineStr">
        <is>
          <t>Income Statement</t>
        </is>
      </c>
      <c r="B17" s="8" t="inlineStr">
        <is>
          <t>Depreciation</t>
        </is>
      </c>
    </row>
    <row r="18">
      <c r="A18" s="8" t="inlineStr">
        <is>
          <t>Income Statement</t>
        </is>
      </c>
      <c r="B18" s="8" t="inlineStr">
        <is>
          <t>Amortisation</t>
        </is>
      </c>
    </row>
    <row r="19">
      <c r="A19" s="8" t="inlineStr">
        <is>
          <t>Balance Sheet</t>
        </is>
      </c>
      <c r="B19" s="8" t="inlineStr">
        <is>
          <t>Total Assets</t>
        </is>
      </c>
    </row>
    <row r="20">
      <c r="A20" s="8" t="inlineStr">
        <is>
          <t>Balance Sheet</t>
        </is>
      </c>
      <c r="B20" s="8" t="inlineStr">
        <is>
          <t>Total Current Assets</t>
        </is>
      </c>
    </row>
    <row r="21">
      <c r="A21" s="8" t="inlineStr">
        <is>
          <t>Balance Sheet</t>
        </is>
      </c>
      <c r="B21" s="8" t="inlineStr">
        <is>
          <t>Cash and Equivalents</t>
        </is>
      </c>
    </row>
    <row r="22">
      <c r="A22" s="8" t="inlineStr">
        <is>
          <t>Balance Sheet</t>
        </is>
      </c>
      <c r="B22" s="8" t="inlineStr">
        <is>
          <t>Inventories</t>
        </is>
      </c>
    </row>
    <row r="23">
      <c r="A23" s="8" t="inlineStr">
        <is>
          <t>Balance Sheet</t>
        </is>
      </c>
      <c r="B23" s="8" t="inlineStr">
        <is>
          <t>Trade Receivables</t>
        </is>
      </c>
    </row>
    <row r="24">
      <c r="A24" s="8" t="inlineStr">
        <is>
          <t>Balance Sheet</t>
        </is>
      </c>
      <c r="B24" s="8" t="inlineStr">
        <is>
          <t>Goodwill</t>
        </is>
      </c>
    </row>
    <row r="25">
      <c r="A25" s="8" t="inlineStr">
        <is>
          <t>Balance Sheet</t>
        </is>
      </c>
      <c r="B25" s="8" t="inlineStr">
        <is>
          <t>Intangible Assets</t>
        </is>
      </c>
    </row>
    <row r="26">
      <c r="A26" s="8" t="inlineStr">
        <is>
          <t>Balance Sheet</t>
        </is>
      </c>
      <c r="B26" s="8" t="inlineStr">
        <is>
          <t>Investment Properties</t>
        </is>
      </c>
    </row>
    <row r="27">
      <c r="A27" s="8" t="inlineStr">
        <is>
          <t>Balance Sheet</t>
        </is>
      </c>
      <c r="B27" s="8" t="inlineStr">
        <is>
          <t>Property Plant and Equipment</t>
        </is>
      </c>
    </row>
    <row r="28">
      <c r="A28" s="8" t="inlineStr">
        <is>
          <t>Balance Sheet</t>
        </is>
      </c>
      <c r="B28" s="8" t="inlineStr">
        <is>
          <t>Total Liabilities</t>
        </is>
      </c>
    </row>
    <row r="29">
      <c r="A29" s="8" t="inlineStr">
        <is>
          <t>Balance Sheet</t>
        </is>
      </c>
      <c r="B29" s="8" t="inlineStr">
        <is>
          <t>Total Current Liabilities</t>
        </is>
      </c>
    </row>
    <row r="30">
      <c r="A30" s="8" t="inlineStr">
        <is>
          <t>Balance Sheet</t>
        </is>
      </c>
      <c r="B30" s="8" t="inlineStr">
        <is>
          <t>Borrowings</t>
        </is>
      </c>
    </row>
    <row r="31">
      <c r="A31" s="8" t="inlineStr">
        <is>
          <t>Balance Sheet</t>
        </is>
      </c>
      <c r="B31" s="8" t="inlineStr">
        <is>
          <t>Total Equity</t>
        </is>
      </c>
    </row>
    <row r="32">
      <c r="A32" s="8" t="inlineStr">
        <is>
          <t>Cash Flow</t>
        </is>
      </c>
      <c r="B32" s="8" t="inlineStr">
        <is>
          <t>Operating Cash Flow</t>
        </is>
      </c>
    </row>
    <row r="33">
      <c r="A33" s="8" t="inlineStr">
        <is>
          <t>Cash Flow</t>
        </is>
      </c>
      <c r="B33" s="8" t="inlineStr">
        <is>
          <t>Investing Cash Flow</t>
        </is>
      </c>
    </row>
    <row r="34">
      <c r="A34" s="8" t="inlineStr">
        <is>
          <t>Cash Flow</t>
        </is>
      </c>
      <c r="B34" s="8" t="inlineStr">
        <is>
          <t>Capital Expenditure</t>
        </is>
      </c>
    </row>
    <row r="37">
      <c r="A37" s="5" t="inlineStr">
        <is>
          <t>二、文字量過低的頁面(疑似掃描頁)</t>
        </is>
      </c>
    </row>
    <row r="38">
      <c r="A38" s="2" t="inlineStr">
        <is>
          <t>這些頁面幾乎抓不到文字,通常是掃描件或純圖表,建議人手翻閱或另行 OCR。</t>
        </is>
      </c>
    </row>
    <row r="40">
      <c r="A40" s="7" t="inlineStr">
        <is>
          <t>PDF 頁碼</t>
        </is>
      </c>
      <c r="B40" s="7" t="inlineStr">
        <is>
          <t>狀態</t>
        </is>
      </c>
    </row>
    <row r="41">
      <c r="A41" s="8" t="n">
        <v>1</v>
      </c>
      <c r="B41" s="8" t="inlineStr">
        <is>
          <t>文字量過低 — 可能為掃描頁/圖表頁</t>
        </is>
      </c>
    </row>
    <row r="42">
      <c r="A42" s="8" t="n">
        <v>127</v>
      </c>
      <c r="B42" s="8" t="inlineStr">
        <is>
          <t>文字量過低 — 可能為掃描頁/圖表頁</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2026-08-30T14:15:44Z</dcterms:created>
  <dcterms:modified xsi:type="dcterms:W3CDTF">2026-08-30T14:15:44Z</dcterms:modified>
</cp:coreProperties>
</file>
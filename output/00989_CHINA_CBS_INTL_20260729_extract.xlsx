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趨勢圖'!$A$5:$A$7</f>
            </numRef>
          </cat>
          <val>
            <numRef>
              <f>'Chart 趨勢圖'!$B$5:$B$7</f>
            </numRef>
          </val>
        </ser>
        <ser>
          <idx val="1"/>
          <order val="1"/>
          <tx>
            <strRef>
              <f>'Chart 趨勢圖'!C4</f>
            </strRef>
          </tx>
          <spPr>
            <a:ln>
              <a:prstDash val="solid"/>
            </a:ln>
          </spPr>
          <cat>
            <numRef>
              <f>'Chart 趨勢圖'!$A$5:$A$7</f>
            </numRef>
          </cat>
          <val>
            <numRef>
              <f>'Chart 趨勢圖'!$C$5:$C$7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00989_CHINA_CBS_INTL_20260729.pdf</t>
        </is>
      </c>
    </row>
    <row r="5">
      <c r="A5" s="3" t="inlineStr">
        <is>
          <t>產生時間 Generated</t>
        </is>
      </c>
      <c r="B5" s="4" t="inlineStr">
        <is>
          <t>2026-08-30 22:16</t>
        </is>
      </c>
    </row>
    <row r="6">
      <c r="A6" s="4" t="inlineStr"/>
      <c r="B6" s="4" t="inlineStr"/>
    </row>
    <row r="7">
      <c r="A7" s="3" t="inlineStr">
        <is>
          <t>總頁數 Total pages</t>
        </is>
      </c>
      <c r="B7" s="4" t="n">
        <v>274</v>
      </c>
    </row>
    <row r="8">
      <c r="A8" s="3" t="inlineStr">
        <is>
          <t>已擷取字元 Characters extracted</t>
        </is>
      </c>
      <c r="B8" s="4" t="n">
        <v>547080</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6</v>
      </c>
    </row>
    <row r="13">
      <c r="A13" s="3" t="inlineStr">
        <is>
          <t>財務科目擷取筆數 Financial line items</t>
        </is>
      </c>
      <c r="B13" s="4" t="n">
        <v>12</v>
      </c>
    </row>
    <row r="14">
      <c r="A14" s="3" t="inlineStr">
        <is>
          <t>主題段落擷取筆數 Topic extracts</t>
        </is>
      </c>
      <c r="B14" s="4" t="n">
        <v>206</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413,492 − 895,002 = -481,510</t>
        </is>
      </c>
    </row>
    <row r="20">
      <c r="A20" s="6" t="inlineStr">
        <is>
          <t>✓ 收入 − 銷售成本 = 毛利</t>
        </is>
      </c>
      <c r="B20" s="4" t="inlineStr">
        <is>
          <t>52,686 − 49,428 = 3,258 vs 毛利 3,258</t>
        </is>
      </c>
    </row>
    <row r="21">
      <c r="A21" s="6" t="inlineStr">
        <is>
          <t>✓ 三大報表應相鄰</t>
        </is>
      </c>
      <c r="B21" s="4" t="inlineStr">
        <is>
          <t>Income Statement: p.130、Balance Sheet: p.133、Cash Flow: p.137(相距 7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Expected Volatility</t>
        </is>
      </c>
      <c r="B5" s="8" t="inlineStr">
        <is>
          <t>預期波幅</t>
        </is>
      </c>
      <c r="C5" s="9" t="n">
        <v>57.34</v>
      </c>
      <c r="D5" s="10" t="n">
        <v>57.34</v>
      </c>
      <c r="E5" s="11" t="inlineStr">
        <is>
          <t>57.34%</t>
        </is>
      </c>
      <c r="F5" s="11" t="inlineStr">
        <is>
          <t>High</t>
        </is>
      </c>
      <c r="G5" s="11" t="inlineStr">
        <is>
          <t>PDF p.242 (印刷頁 241)</t>
        </is>
      </c>
      <c r="H5" s="11" t="inlineStr">
        <is>
          <t>輸入資料： Date of grant 授出日期 18 April 2016 二零一六年 四月十八日 Dividend yield (%) 股息率(%) 0% Expected volatility (%) 預期波幅(%) 57.34% Risk-free interest rate (%) 無風險利率(%) 1.26% Expected life of share options (year) 購股權預計年期（年） 10 Fair value at measurement date (HK$) 於計量日之公允價</t>
        </is>
      </c>
    </row>
    <row r="6">
      <c r="A6" s="8" t="inlineStr">
        <is>
          <t>Expected Volatility</t>
        </is>
      </c>
      <c r="B6" s="8" t="inlineStr">
        <is>
          <t>預期波幅</t>
        </is>
      </c>
      <c r="C6" s="9" t="n">
        <v>87.5</v>
      </c>
      <c r="D6" s="10" t="n">
        <v>87.5</v>
      </c>
      <c r="E6" s="11" t="inlineStr">
        <is>
          <t>87.5%</t>
        </is>
      </c>
      <c r="F6" s="11" t="inlineStr">
        <is>
          <t>High</t>
        </is>
      </c>
      <c r="G6" s="11" t="inlineStr">
        <is>
          <t>PDF p.262 (印刷頁 261)</t>
        </is>
      </c>
      <c r="H6" s="11" t="inlineStr">
        <is>
          <t>ange 估值技巧 重大不可觀察輸入數據 範圍 Early redemption rights embedded Binomial pricing model Expected volatility 預期波幅 87.5% in the CBs 二項式期權定價模型 (2025: 87.5%) 嵌入可換股債券之提前贖回權 （二零二五年：87.5%） Annual Report 2025/26 年報 261</t>
        </is>
      </c>
    </row>
    <row r="7">
      <c r="A7" s="8" t="inlineStr">
        <is>
          <t>Gross Margin</t>
        </is>
      </c>
      <c r="B7" s="8" t="inlineStr">
        <is>
          <t>毛利率</t>
        </is>
      </c>
      <c r="C7" s="9" t="n">
        <v>0</v>
      </c>
      <c r="D7" s="10" t="n">
        <v>0</v>
      </c>
      <c r="E7" s="11" t="inlineStr">
        <is>
          <t>000 %</t>
        </is>
      </c>
      <c r="F7" s="11" t="inlineStr">
        <is>
          <t>High</t>
        </is>
      </c>
      <c r="G7" s="11" t="inlineStr">
        <is>
          <t>PDF p.17 (印刷頁 16)</t>
        </is>
      </c>
      <c r="H7" s="11" t="inlineStr">
        <is>
          <t>零二五年 三月三十一日止年度 三月三十一日止年度 Gross profit/ Gross profit/ (loss) Gross margin (loss) Gross margin 毛利╱（毛損） 毛利率 毛利╱（毛損） 毛利率 RMB’000 % RMB’000 % 人民幣千元 人民幣千元 Property development 物業開發 (1,273) (4.2) (26,134) (20.0) Property management 物業管理服務 service 4,531 20.2 9</t>
        </is>
      </c>
    </row>
    <row r="8">
      <c r="A8" s="8" t="inlineStr">
        <is>
          <t>Gross Margin</t>
        </is>
      </c>
      <c r="B8" s="8" t="inlineStr">
        <is>
          <t>毛利率</t>
        </is>
      </c>
      <c r="C8" s="9" t="n">
        <v>6.2</v>
      </c>
      <c r="D8" s="10" t="n">
        <v>6.2</v>
      </c>
      <c r="E8" s="11" t="inlineStr">
        <is>
          <t>6.2%</t>
        </is>
      </c>
      <c r="F8" s="11" t="inlineStr">
        <is>
          <t>High</t>
        </is>
      </c>
      <c r="G8" s="11" t="inlineStr">
        <is>
          <t>PDF p.17 (印刷頁 16)</t>
        </is>
      </c>
      <c r="H8" s="11" t="inlineStr">
        <is>
          <t>2025: gross loss 團錄得毛利約人民幣3,300,000元（截至二 of approximately RMB2.7 million) and a gross margin of approximately 零二五年三月三十一日止年度：毛損約人民 6.2% (year ended 31 March 2025: gross loss of 1.6%). The increase 幣2,700,000元）及毛利率約6.2%（截至二 in overall gross profit and gr</t>
        </is>
      </c>
    </row>
    <row r="9">
      <c r="A9" s="8" t="inlineStr">
        <is>
          <t>Gross Margin</t>
        </is>
      </c>
      <c r="B9" s="8" t="inlineStr">
        <is>
          <t>毛利率</t>
        </is>
      </c>
      <c r="C9" s="9" t="n">
        <v>1.6</v>
      </c>
      <c r="D9" s="10" t="n">
        <v>1.6</v>
      </c>
      <c r="E9" s="11" t="inlineStr">
        <is>
          <t>1.6%</t>
        </is>
      </c>
      <c r="F9" s="11" t="inlineStr">
        <is>
          <t>Medium</t>
        </is>
      </c>
      <c r="G9" s="11" t="inlineStr">
        <is>
          <t>PDF p.17 (印刷頁 16)</t>
        </is>
      </c>
      <c r="H9" s="11" t="inlineStr">
        <is>
          <t>rgin for the year was primarily 零二五年三月三十一日止年：毛損1.6%）。 attributable to the lower gross profit margin in respect of the Group’s 年內整體毛利及毛利率增加主要由於截至二 property project of Guangze China House – Phases IIA which was 零二五年三月三十一日止年度，本集團物業 resulted from a significant re</t>
        </is>
      </c>
    </row>
    <row r="10">
      <c r="A10" s="8" t="inlineStr">
        <is>
          <t>Risk-free Rate</t>
        </is>
      </c>
      <c r="B10" s="8" t="inlineStr">
        <is>
          <t>無風險利率</t>
        </is>
      </c>
      <c r="C10" s="9" t="n">
        <v>1.26</v>
      </c>
      <c r="D10" s="10" t="n">
        <v>1.26</v>
      </c>
      <c r="E10" s="11" t="inlineStr">
        <is>
          <t>1.26%</t>
        </is>
      </c>
      <c r="F10" s="11" t="inlineStr">
        <is>
          <t>High</t>
        </is>
      </c>
      <c r="G10" s="11" t="inlineStr">
        <is>
          <t>PDF p.242 (印刷頁 241)</t>
        </is>
      </c>
      <c r="H10" s="11" t="inlineStr">
        <is>
          <t>%) 股息率(%) 0% Expected volatility (%) 預期波幅(%) 57.34% Risk-free interest rate (%) 無風險利率(%) 1.26% Expected life of share options (year) 購股權預計年期（年） 10 Fair value at measurement date (HK$) 於計量日之公允價值（港元） 0.34 Weighted average share price (HK$) 加權平均股價（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52686</v>
      </c>
      <c r="D5" s="13" t="n">
        <v>173105</v>
      </c>
      <c r="E5" s="14">
        <f>IF(ISERROR((C5-D5)/ABS(D5)),"",(C5-D5)/ABS(D5))</f>
        <v>-0.6956413737327056</v>
      </c>
      <c r="F5" s="11" t="inlineStr">
        <is>
          <t>PDF p.130 (印刷頁 129)</t>
        </is>
      </c>
      <c r="G5" s="11" t="inlineStr">
        <is>
          <t>Revenue 收益 5 52,686 173,105</t>
        </is>
      </c>
    </row>
    <row r="6">
      <c r="A6" s="8" t="inlineStr">
        <is>
          <t>Income Statement</t>
        </is>
      </c>
      <c r="B6" s="8" t="inlineStr">
        <is>
          <t>Cost of Sales</t>
        </is>
      </c>
      <c r="C6" s="12" t="n">
        <v>-49428</v>
      </c>
      <c r="D6" s="13" t="n">
        <v>-175818</v>
      </c>
      <c r="E6" s="14">
        <f>IF(ISERROR((C6-D6)/ABS(D6)),"",(C6-D6)/ABS(D6))</f>
        <v>0.7188683752516807</v>
      </c>
      <c r="F6" s="11" t="inlineStr">
        <is>
          <t>PDF p.130 (印刷頁 129)</t>
        </is>
      </c>
      <c r="G6" s="11" t="inlineStr">
        <is>
          <t>Cost of sales and services 銷售及服務成本 (49,428) (175,818)</t>
        </is>
      </c>
    </row>
    <row r="7">
      <c r="A7" s="8" t="inlineStr">
        <is>
          <t>Income Statement</t>
        </is>
      </c>
      <c r="B7" s="8" t="inlineStr">
        <is>
          <t>Gross Profit</t>
        </is>
      </c>
      <c r="C7" s="12" t="n">
        <v>3258</v>
      </c>
      <c r="D7" s="13" t="n">
        <v>-2713</v>
      </c>
      <c r="E7" s="14">
        <f>IF(ISERROR((C7-D7)/ABS(D7)),"",(C7-D7)/ABS(D7))</f>
        <v>2.2008846295613713</v>
      </c>
      <c r="F7" s="11" t="inlineStr">
        <is>
          <t>PDF p.130 (印刷頁 129)</t>
        </is>
      </c>
      <c r="G7" s="11" t="inlineStr">
        <is>
          <t>Gross profit (loss) 毛利（毛損） 3,258 (2,713)</t>
        </is>
      </c>
    </row>
    <row r="8">
      <c r="A8" s="8" t="inlineStr">
        <is>
          <t>Income Statement</t>
        </is>
      </c>
      <c r="B8" s="8" t="inlineStr">
        <is>
          <t>Finance Costs</t>
        </is>
      </c>
      <c r="C8" s="12" t="n">
        <v>-42910</v>
      </c>
      <c r="D8" s="13" t="n">
        <v>-49450</v>
      </c>
      <c r="E8" s="14">
        <f>IF(ISERROR((C8-D8)/ABS(D8)),"",(C8-D8)/ABS(D8))</f>
        <v>0.13225480283114258</v>
      </c>
      <c r="F8" s="11" t="inlineStr">
        <is>
          <t>PDF p.130 (印刷頁 129)</t>
        </is>
      </c>
      <c r="G8" s="11" t="inlineStr">
        <is>
          <t>Finance costs 融資成本 7 (42,910) (49,450)</t>
        </is>
      </c>
    </row>
    <row r="9">
      <c r="A9" s="8" t="inlineStr">
        <is>
          <t>Income Statement</t>
        </is>
      </c>
      <c r="B9" s="8" t="inlineStr">
        <is>
          <t>Income Tax</t>
        </is>
      </c>
      <c r="C9" s="12" t="n">
        <v>-10313</v>
      </c>
      <c r="D9" s="13" t="n">
        <v>70516</v>
      </c>
      <c r="E9" s="14">
        <f>IF(ISERROR((C9-D9)/ABS(D9)),"",(C9-D9)/ABS(D9))</f>
        <v>-1.1462504963412559</v>
      </c>
      <c r="F9" s="11" t="inlineStr">
        <is>
          <t>PDF p.130 (印刷頁 129)</t>
        </is>
      </c>
      <c r="G9" s="11" t="inlineStr">
        <is>
          <t>Income tax 所得稅 10 (10,313) 70,516</t>
        </is>
      </c>
    </row>
    <row r="10">
      <c r="A10" s="8" t="inlineStr">
        <is>
          <t>Income Statement</t>
        </is>
      </c>
      <c r="B10" s="8" t="inlineStr">
        <is>
          <t>Profit for the Year</t>
        </is>
      </c>
      <c r="C10" s="12" t="n">
        <v>122249</v>
      </c>
      <c r="D10" s="13" t="n">
        <v>-852906</v>
      </c>
      <c r="E10" s="14">
        <f>IF(ISERROR((C10-D10)/ABS(D10)),"",(C10-D10)/ABS(D10))</f>
        <v>1.1433323250158869</v>
      </c>
      <c r="F10" s="11" t="inlineStr">
        <is>
          <t>PDF p.130 (印刷頁 129)</t>
        </is>
      </c>
      <c r="G10" s="11" t="inlineStr">
        <is>
          <t>PROFIT (LOSS) FOR THE YEAR 年內利潤（虧損） 122,249 (852,906)</t>
        </is>
      </c>
    </row>
    <row r="11">
      <c r="A11" s="8" t="inlineStr">
        <is>
          <t>Balance Sheet</t>
        </is>
      </c>
      <c r="B11" s="8" t="inlineStr">
        <is>
          <t>Property Plant and Equipment</t>
        </is>
      </c>
      <c r="C11" s="12" t="n">
        <v>134</v>
      </c>
      <c r="D11" s="13" t="n">
        <v>687</v>
      </c>
      <c r="E11" s="14">
        <f>IF(ISERROR((C11-D11)/ABS(D11)),"",(C11-D11)/ABS(D11))</f>
        <v>-0.8049490538573508</v>
      </c>
      <c r="F11" s="11" t="inlineStr">
        <is>
          <t>PDF p.133 (印刷頁 132)</t>
        </is>
      </c>
      <c r="G11" s="11" t="inlineStr">
        <is>
          <t>Property, plant and equipment 物業、機器及設備 13 134 687</t>
        </is>
      </c>
    </row>
    <row r="12">
      <c r="A12" s="8" t="inlineStr">
        <is>
          <t>Balance Sheet</t>
        </is>
      </c>
      <c r="B12" s="8" t="inlineStr">
        <is>
          <t>Investment Properties</t>
        </is>
      </c>
      <c r="C12" s="12" t="n">
        <v>0</v>
      </c>
      <c r="D12" s="13" t="n">
        <v>315288</v>
      </c>
      <c r="E12" s="14">
        <f>IF(ISERROR((C12-D12)/ABS(D12)),"",(C12-D12)/ABS(D12))</f>
        <v>-1.0</v>
      </c>
      <c r="F12" s="11" t="inlineStr">
        <is>
          <t>PDF p.133 (印刷頁 132)</t>
        </is>
      </c>
      <c r="G12" s="11" t="inlineStr">
        <is>
          <t>Investment properties 投資物業 14 – 315,288</t>
        </is>
      </c>
    </row>
    <row r="13">
      <c r="A13" s="8" t="inlineStr">
        <is>
          <t>Balance Sheet</t>
        </is>
      </c>
      <c r="B13" s="8" t="inlineStr">
        <is>
          <t>Trade Receivables</t>
        </is>
      </c>
      <c r="C13" s="12" t="n">
        <v>41484</v>
      </c>
      <c r="D13" s="13" t="n">
        <v>55861</v>
      </c>
      <c r="E13" s="14">
        <f>IF(ISERROR((C13-D13)/ABS(D13)),"",(C13-D13)/ABS(D13))</f>
        <v>-0.2573709743828431</v>
      </c>
      <c r="F13" s="11" t="inlineStr">
        <is>
          <t>PDF p.133 (印刷頁 132)</t>
        </is>
      </c>
      <c r="G13" s="11" t="inlineStr">
        <is>
          <t>Trade and other receivables 應收貿易賬款 … 及其他應收款項 19 41,484 55,861</t>
        </is>
      </c>
    </row>
    <row r="14">
      <c r="A14" s="8" t="inlineStr">
        <is>
          <t>Balance Sheet</t>
        </is>
      </c>
      <c r="B14" s="8" t="inlineStr">
        <is>
          <t>Cash and Equivalents</t>
        </is>
      </c>
      <c r="C14" s="12" t="n">
        <v>4152</v>
      </c>
      <c r="D14" s="13" t="n">
        <v>5103</v>
      </c>
      <c r="E14" s="14">
        <f>IF(ISERROR((C14-D14)/ABS(D14)),"",(C14-D14)/ABS(D14))</f>
        <v>-0.18636096413874192</v>
      </c>
      <c r="F14" s="11" t="inlineStr">
        <is>
          <t>PDF p.133 (印刷頁 132)</t>
        </is>
      </c>
      <c r="G14" s="11" t="inlineStr">
        <is>
          <t>Cash and cash equivalents 現金及現金等價物 20 4,152 5,103</t>
        </is>
      </c>
    </row>
    <row r="15">
      <c r="A15" s="8" t="inlineStr">
        <is>
          <t>Balance Sheet</t>
        </is>
      </c>
      <c r="B15" s="8" t="inlineStr">
        <is>
          <t>Total Current Assets</t>
        </is>
      </c>
      <c r="C15" s="12" t="n">
        <v>413492</v>
      </c>
      <c r="D15" s="13" t="n">
        <v>914401</v>
      </c>
      <c r="E15" s="14">
        <f>IF(ISERROR((C15-D15)/ABS(D15)),"",(C15-D15)/ABS(D15))</f>
        <v>-0.54780014457552</v>
      </c>
      <c r="F15" s="11" t="inlineStr">
        <is>
          <t>PDF p.133 (印刷頁 132)</t>
        </is>
      </c>
      <c r="G15" s="11" t="inlineStr">
        <is>
          <t>Total current assets 流動資產總值 413,492 914,401</t>
        </is>
      </c>
    </row>
    <row r="16">
      <c r="A16" s="8" t="inlineStr">
        <is>
          <t>Balance Sheet</t>
        </is>
      </c>
      <c r="B16" s="8" t="inlineStr">
        <is>
          <t>Total Current Liabilities</t>
        </is>
      </c>
      <c r="C16" s="12" t="n">
        <v>895002</v>
      </c>
      <c r="D16" s="13" t="n">
        <v>1856925</v>
      </c>
      <c r="E16" s="14">
        <f>IF(ISERROR((C16-D16)/ABS(D16)),"",(C16-D16)/ABS(D16))</f>
        <v>-0.5180193061109092</v>
      </c>
      <c r="F16" s="11" t="inlineStr">
        <is>
          <t>PDF p.133 (印刷頁 132)</t>
        </is>
      </c>
      <c r="G16" s="11" t="inlineStr">
        <is>
          <t>Total current liabilities 流動負債總額 895,002 1,856,925</t>
        </is>
      </c>
    </row>
    <row r="18">
      <c r="A18"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財務數據'!$C$5:$C$16,MATCH("Gross Profit",'Financials 財務數據'!$B$5:$B$16,0))/INDEX('Financials 財務數據'!$C$5:$C$16,MATCH("Revenue",'Financials 財務數據'!$B$5:$B$16,0))),"n/a",INDEX('Financials 財務數據'!$C$5:$C$16,MATCH("Gross Profit",'Financials 財務數據'!$B$5:$B$16,0))/INDEX('Financials 財務數據'!$C$5:$C$16,MATCH("Revenue",'Financials 財務數據'!$B$5:$B$16,0)))</f>
        <v>0.061838059446532284</v>
      </c>
      <c r="C5" s="15">
        <f>IF(ISERROR(INDEX('Financials 財務數據'!$D$5:$D$16,MATCH("Gross Profit",'Financials 財務數據'!$B$5:$B$16,0))/INDEX('Financials 財務數據'!$D$5:$D$16,MATCH("Revenue",'Financials 財務數據'!$B$5:$B$16,0))),"n/a",INDEX('Financials 財務數據'!$D$5:$D$16,MATCH("Gross Profit",'Financials 財務數據'!$B$5:$B$16,0))/INDEX('Financials 財務數據'!$D$5:$D$16,MATCH("Revenue",'Financials 財務數據'!$B$5:$B$16,0)))</f>
        <v>-0.015672568672193177</v>
      </c>
      <c r="D5" s="2" t="inlineStr">
        <is>
          <t>毛利 ÷ 收入</t>
        </is>
      </c>
    </row>
    <row r="6">
      <c r="A6" s="4" t="inlineStr">
        <is>
          <t>Net Margin 淨利率</t>
        </is>
      </c>
      <c r="B6" s="15">
        <f>IF(ISERROR(INDEX('Financials 財務數據'!$C$5:$C$16,MATCH("Profit for the Year",'Financials 財務數據'!$B$5:$B$16,0))/INDEX('Financials 財務數據'!$C$5:$C$16,MATCH("Revenue",'Financials 財務數據'!$B$5:$B$16,0))),"n/a",INDEX('Financials 財務數據'!$C$5:$C$16,MATCH("Profit for the Year",'Financials 財務數據'!$B$5:$B$16,0))/INDEX('Financials 財務數據'!$C$5:$C$16,MATCH("Revenue",'Financials 財務數據'!$B$5:$B$16,0)))</f>
        <v>2.3203317769426413</v>
      </c>
      <c r="C6" s="15">
        <f>IF(ISERROR(INDEX('Financials 財務數據'!$D$5:$D$16,MATCH("Profit for the Year",'Financials 財務數據'!$B$5:$B$16,0))/INDEX('Financials 財務數據'!$D$5:$D$16,MATCH("Revenue",'Financials 財務數據'!$B$5:$B$16,0))),"n/a",INDEX('Financials 財務數據'!$D$5:$D$16,MATCH("Profit for the Year",'Financials 財務數據'!$B$5:$B$16,0))/INDEX('Financials 財務數據'!$D$5:$D$16,MATCH("Revenue",'Financials 財務數據'!$B$5:$B$16,0)))</f>
        <v>-4.927102047890009</v>
      </c>
      <c r="D6" s="2" t="inlineStr">
        <is>
          <t>年內溢利 ÷ 收入</t>
        </is>
      </c>
    </row>
    <row r="7">
      <c r="A7" s="4" t="inlineStr">
        <is>
          <t>Current Ratio 流動比率</t>
        </is>
      </c>
      <c r="B7" s="16">
        <f>IF(ISERROR(INDEX('Financials 財務數據'!$C$5:$C$16,MATCH("Total Current Assets",'Financials 財務數據'!$B$5:$B$16,0))/INDEX('Financials 財務數據'!$C$5:$C$16,MATCH("Total Current Liabilities",'Financials 財務數據'!$B$5:$B$16,0))),"n/a",INDEX('Financials 財務數據'!$C$5:$C$16,MATCH("Total Current Assets",'Financials 財務數據'!$B$5:$B$16,0))/INDEX('Financials 財務數據'!$C$5:$C$16,MATCH("Total Current Liabilities",'Financials 財務數據'!$B$5:$B$16,0)))</f>
        <v>0.4620012022319503</v>
      </c>
      <c r="C7" s="16">
        <f>IF(ISERROR(INDEX('Financials 財務數據'!$D$5:$D$16,MATCH("Total Current Assets",'Financials 財務數據'!$B$5:$B$16,0))/INDEX('Financials 財務數據'!$D$5:$D$16,MATCH("Total Current Liabilities",'Financials 財務數據'!$B$5:$B$16,0))),"n/a",INDEX('Financials 財務數據'!$D$5:$D$16,MATCH("Total Current Assets",'Financials 財務數據'!$B$5:$B$16,0))/INDEX('Financials 財務數據'!$D$5:$D$16,MATCH("Total Current Liabilities",'Financials 財務數據'!$B$5:$B$16,0)))</f>
        <v>0.4924275347685017</v>
      </c>
      <c r="D7" s="2" t="inlineStr">
        <is>
          <t>流動資產 ÷ 流動負債</t>
        </is>
      </c>
    </row>
    <row r="8">
      <c r="A8" s="4" t="inlineStr">
        <is>
          <t>Debt / Equity 負債權益比</t>
        </is>
      </c>
      <c r="B8" s="16" t="str">
        <f>IF(ISERROR(INDEX('Financials 財務數據'!$C$5:$C$16,MATCH("Total Liabilities",'Financials 財務數據'!$B$5:$B$16,0))/INDEX('Financials 財務數據'!$C$5:$C$16,MATCH("Total Equity",'Financials 財務數據'!$B$5:$B$16,0))),"n/a",INDEX('Financials 財務數據'!$C$5:$C$16,MATCH("Total Liabilities",'Financials 財務數據'!$B$5:$B$16,0))/INDEX('Financials 財務數據'!$C$5:$C$16,MATCH("Total Equity",'Financials 財務數據'!$B$5:$B$16,0)))</f>
        <v>n/a</v>
      </c>
      <c r="C8" s="16" t="str">
        <f>IF(ISERROR(INDEX('Financials 財務數據'!$D$5:$D$16,MATCH("Total Liabilities",'Financials 財務數據'!$B$5:$B$16,0))/INDEX('Financials 財務數據'!$D$5:$D$16,MATCH("Total Equity",'Financials 財務數據'!$B$5:$B$16,0))),"n/a",INDEX('Financials 財務數據'!$D$5:$D$16,MATCH("Total Liabilities",'Financials 財務數據'!$B$5:$B$16,0))/INDEX('Financials 財務數據'!$D$5:$D$16,MATCH("Total Equity",'Financials 財務數據'!$B$5:$B$16,0)))</f>
        <v>n/a</v>
      </c>
      <c r="D8" s="2" t="inlineStr">
        <is>
          <t>總負債 ÷ 總權益</t>
        </is>
      </c>
    </row>
    <row r="9">
      <c r="A9" s="4" t="inlineStr">
        <is>
          <t>Goodwill / Total Assets</t>
        </is>
      </c>
      <c r="B9" s="15" t="str">
        <f>IF(ISERROR(INDEX('Financials 財務數據'!$C$5:$C$16,MATCH("Goodwill",'Financials 財務數據'!$B$5:$B$16,0))/INDEX('Financials 財務數據'!$C$5:$C$16,MATCH("Total Assets",'Financials 財務數據'!$B$5:$B$16,0))),"n/a",INDEX('Financials 財務數據'!$C$5:$C$16,MATCH("Goodwill",'Financials 財務數據'!$B$5:$B$16,0))/INDEX('Financials 財務數據'!$C$5:$C$16,MATCH("Total Assets",'Financials 財務數據'!$B$5:$B$16,0)))</f>
        <v>n/a</v>
      </c>
      <c r="C9" s="15" t="str">
        <f>IF(ISERROR(INDEX('Financials 財務數據'!$D$5:$D$16,MATCH("Goodwill",'Financials 財務數據'!$B$5:$B$16,0))/INDEX('Financials 財務數據'!$D$5:$D$16,MATCH("Total Assets",'Financials 財務數據'!$B$5:$B$16,0))),"n/a",INDEX('Financials 財務數據'!$D$5:$D$16,MATCH("Goodwill",'Financials 財務數據'!$B$5:$B$16,0))/INDEX('Financials 財務數據'!$D$5:$D$16,MATCH("Total Assets",'Financials 財務數據'!$B$5:$B$16,0)))</f>
        <v>n/a</v>
      </c>
      <c r="D9" s="2" t="inlineStr">
        <is>
          <t>商譽佔總資產比重 — 減值風險指標</t>
        </is>
      </c>
    </row>
    <row r="10">
      <c r="A10" s="4" t="inlineStr">
        <is>
          <t>Intangibles / Total Assets</t>
        </is>
      </c>
      <c r="B10" s="15" t="str">
        <f>IF(ISERROR(INDEX('Financials 財務數據'!$C$5:$C$16,MATCH("Intangible Assets",'Financials 財務數據'!$B$5:$B$16,0))/INDEX('Financials 財務數據'!$C$5:$C$16,MATCH("Total Assets",'Financials 財務數據'!$B$5:$B$16,0))),"n/a",INDEX('Financials 財務數據'!$C$5:$C$16,MATCH("Intangible Assets",'Financials 財務數據'!$B$5:$B$16,0))/INDEX('Financials 財務數據'!$C$5:$C$16,MATCH("Total Assets",'Financials 財務數據'!$B$5:$B$16,0)))</f>
        <v>n/a</v>
      </c>
      <c r="C10" s="15" t="str">
        <f>IF(ISERROR(INDEX('Financials 財務數據'!$D$5:$D$16,MATCH("Intangible Assets",'Financials 財務數據'!$B$5:$B$16,0))/INDEX('Financials 財務數據'!$D$5:$D$16,MATCH("Total Assets",'Financials 財務數據'!$B$5:$B$16,0))),"n/a",INDEX('Financials 財務數據'!$D$5:$D$16,MATCH("Intangible Assets",'Financials 財務數據'!$B$5:$B$16,0))/INDEX('Financials 財務數據'!$D$5:$D$16,MATCH("Total Assets",'Financials 財務數據'!$B$5:$B$16,0)))</f>
        <v>n/a</v>
      </c>
      <c r="D10" s="2" t="inlineStr">
        <is>
          <t>無形資產佔比</t>
        </is>
      </c>
    </row>
    <row r="11">
      <c r="A11" s="4" t="inlineStr">
        <is>
          <t>ROE 股本回報率</t>
        </is>
      </c>
      <c r="B11" s="15" t="str">
        <f>IF(ISERROR(INDEX('Financials 財務數據'!$C$5:$C$16,MATCH("Profit for the Year",'Financials 財務數據'!$B$5:$B$16,0))/INDEX('Financials 財務數據'!$C$5:$C$16,MATCH("Total Equity",'Financials 財務數據'!$B$5:$B$16,0))),"n/a",INDEX('Financials 財務數據'!$C$5:$C$16,MATCH("Profit for the Year",'Financials 財務數據'!$B$5:$B$16,0))/INDEX('Financials 財務數據'!$C$5:$C$16,MATCH("Total Equity",'Financials 財務數據'!$B$5:$B$16,0)))</f>
        <v>n/a</v>
      </c>
      <c r="C11" s="15" t="str">
        <f>IF(ISERROR(INDEX('Financials 財務數據'!$D$5:$D$16,MATCH("Profit for the Year",'Financials 財務數據'!$B$5:$B$16,0))/INDEX('Financials 財務數據'!$D$5:$D$16,MATCH("Total Equity",'Financials 財務數據'!$B$5:$B$16,0))),"n/a",INDEX('Financials 財務數據'!$D$5:$D$16,MATCH("Profit for the Year",'Financials 財務數據'!$B$5:$B$16,0))/INDEX('Financials 財務數據'!$D$5:$D$16,MATCH("Total Equity",'Financials 財務數據'!$B$5:$B$16,0)))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173105</v>
      </c>
      <c r="C5" s="18" t="n">
        <v>52686</v>
      </c>
    </row>
    <row r="6">
      <c r="A6" s="4" t="inlineStr">
        <is>
          <t>Gross Profit</t>
        </is>
      </c>
      <c r="B6" s="18" t="n">
        <v>-2713</v>
      </c>
      <c r="C6" s="18" t="n">
        <v>3258</v>
      </c>
    </row>
    <row r="7">
      <c r="A7" s="4" t="inlineStr">
        <is>
          <t>Profit for the Year</t>
        </is>
      </c>
      <c r="B7" s="18" t="n">
        <v>-852906</v>
      </c>
      <c r="C7" s="18" t="n">
        <v>122249</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209"/>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公允價值</t>
        </is>
      </c>
      <c r="E4" s="11" t="inlineStr">
        <is>
          <t>PDF p.13 (印刷頁 12)</t>
        </is>
      </c>
      <c r="F4" s="11" t="inlineStr">
        <is>
          <t>ince. As at 31 March 2026, the fair 富的地區之一。於二零二六年三月三十一 value of these Linxia Ginsengs is approximately RMB101.7 million with 日，該等林下參的公允價值約為人民幣 a gain on initial recognition of approximately RMB45.7 million and a 101,700,000元，並已於年內在損益中確認 subsequent change in fair value of approximately 3.7 million recognised 初次確認收益約人民幣45,700,000元及公允 in the profit or loss for the year. 價值的隨後變動約人民幣3,700,000元。 Currently, the Group expects to have a product range from fresh Linxia 目前，本集團預期產品線將涵蓋新鮮林下 Ginsengs, dry Linxia Ginsengs to Linxia Ginseng su</t>
        </is>
      </c>
    </row>
    <row r="5">
      <c r="A5" s="8" t="inlineStr">
        <is>
          <t>Fair Value Measurement</t>
        </is>
      </c>
      <c r="B5" s="8" t="inlineStr">
        <is>
          <t>公允價值計量</t>
        </is>
      </c>
      <c r="C5" s="19" t="inlineStr">
        <is>
          <t>high</t>
        </is>
      </c>
      <c r="D5" s="11" t="inlineStr">
        <is>
          <t>公允價值</t>
        </is>
      </c>
      <c r="E5" s="11" t="inlineStr">
        <is>
          <t>PDF p.19 (印刷頁 18)</t>
        </is>
      </c>
      <c r="F5" s="11" t="inlineStr">
        <is>
          <t>ecognition of the ginseng assets held for sale 初始確認持作出售之人參資產之收益以 and change in fair value of ginseng assets held for sale 及持作出售之人參資產之公允價值變動 During the year ended 31 March 2026, the Group purchased ginseng 截至二零二六年三月三十一日止年度，本集 assets located in Ji’an City, Jilin Province at a consideration of RMB52.3 團以代價人民幣52,300,000元購買位於吉林 million. A gain on initial recognition amounting to approximately 省集安市之人參資產。於損益錄得初始確認 RMB45.7 million was recorded in profit or loss mainly reflecting a bulk 收益約人民幣45,700,000元，主要反映經公 discount after arm’s leng</t>
        </is>
      </c>
    </row>
    <row r="6">
      <c r="A6" s="8" t="inlineStr">
        <is>
          <t>Fair Value Measurement</t>
        </is>
      </c>
      <c r="B6" s="8" t="inlineStr">
        <is>
          <t>公允價值計量</t>
        </is>
      </c>
      <c r="C6" s="19" t="inlineStr">
        <is>
          <t>high</t>
        </is>
      </c>
      <c r="D6" s="11" t="inlineStr">
        <is>
          <t>公允價值</t>
        </is>
      </c>
      <c r="E6" s="11" t="inlineStr">
        <is>
          <t>PDF p.20 (印刷頁 19)</t>
        </is>
      </c>
      <c r="F6" s="11" t="inlineStr">
        <is>
          <t>tinued) 財務回顧（續） Key changes to profit or loss (continued) 損益之主要變動（續） Change in fair value of derivative financial instruments 衍生金融工具之公允價值變動 The derivative financial instruments represented the Company’s early 衍生金融工具為本公司可換股債券的提前贖 redemption right feature of the Convertible Bonds. A loss in fair value 回權特色。由於其時間價值下降，於截至二 of approximately RMB0.2 million was recorded for the year ended 31 零二六年三月三十一日止年度錄得公允價值 March 2026 as a result of deterioration of its time value. 虧損約人民幣200,000元。 Income tax 所得稅 Year ended 31 March 截至三月三十一日止年度 202</t>
        </is>
      </c>
    </row>
    <row r="7">
      <c r="A7" s="8" t="inlineStr">
        <is>
          <t>Fair Value Measurement</t>
        </is>
      </c>
      <c r="B7" s="8" t="inlineStr">
        <is>
          <t>公允價值計量</t>
        </is>
      </c>
      <c r="C7" s="19" t="inlineStr">
        <is>
          <t>high</t>
        </is>
      </c>
      <c r="D7" s="11" t="inlineStr">
        <is>
          <t>公允價值</t>
        </is>
      </c>
      <c r="E7" s="11" t="inlineStr">
        <is>
          <t>PDF p.21 (印刷頁 20)</t>
        </is>
      </c>
      <c r="F7" s="11" t="inlineStr">
        <is>
          <t>attributable to the gain on initial 延稅項之稅項支出人民幣12,300,000元，主 recognition and change in fair value of ginseng assets. 要由於人參資產之初始確認收益及公允價值 變動所致。 A tax credit from deferred tax of RMB70.6 million was recorded for the 截至二零二五年三月三十一日止年度（經 year ended 31 March 2025 (restated) was mainly attributable to the 重列）錄得遞延稅項之稅項抵免人民幣 reversal of taxable temporary difference resulting from the write-down 70,600,000元，主要由於撫松物業項目發展 of the properties under development in respect of the Fusong Property 中物業撇減而產生應納稅暫時性差異撥回。 Project made. No such items</t>
        </is>
      </c>
    </row>
    <row r="8">
      <c r="A8" s="8" t="inlineStr">
        <is>
          <t>Fair Value Measurement</t>
        </is>
      </c>
      <c r="B8" s="8" t="inlineStr">
        <is>
          <t>公允價值計量</t>
        </is>
      </c>
      <c r="C8" s="19" t="inlineStr">
        <is>
          <t>high</t>
        </is>
      </c>
      <c r="D8" s="11" t="inlineStr">
        <is>
          <t>公允價值</t>
        </is>
      </c>
      <c r="E8" s="11" t="inlineStr">
        <is>
          <t>PDF p.22 (印刷頁 21)</t>
        </is>
      </c>
      <c r="F8" s="11" t="inlineStr">
        <is>
          <t>ginseng assets held for sale were 於二零二六年三月三十一日，本集團持作 stated at fair value and were valued by Colliers Appraisal and Advisory 出售之人參資產按公允價值列賬，並由高 Service Company Limited (independent professional qualified valuers) 力國際土地房地產資產評估有限公司（獨 with a fair value of RMB101.7 million. 立專業合資格估值師）以公允價值人民幣 101,700,000元進行估值。 Trade and other receivables 應收貿易賬款及其他應收款項 As at 31 March 於三月三十一日 2026 2025 二零二六年 二零二五年 Notes RMB’000 RMB’000 附註 人民幣千元 人民幣千元 Trade receivables, gross 應收貿易賬款總額 (i) 18,814 19,697 Less: Provision for impairment 減：減值撥備 (i) (13,751</t>
        </is>
      </c>
    </row>
    <row r="9">
      <c r="A9" s="8" t="inlineStr">
        <is>
          <t>Fair Value Measurement</t>
        </is>
      </c>
      <c r="B9" s="8" t="inlineStr">
        <is>
          <t>公允價值計量</t>
        </is>
      </c>
      <c r="C9" s="19" t="inlineStr">
        <is>
          <t>high</t>
        </is>
      </c>
      <c r="D9" s="11" t="inlineStr">
        <is>
          <t>公允價值</t>
        </is>
      </c>
      <c r="E9" s="11" t="inlineStr">
        <is>
          <t>PDF p.27 (印刷頁 26)</t>
        </is>
      </c>
      <c r="F9" s="11" t="inlineStr">
        <is>
          <t>d classified as an asset to the Group 關，並被分類為本集團的一項資產，並於各 which is re-measured at fair value at the end of each reporting date. 報告日末以公允價值重新計量。負債部分指 The liability component represents the debt portion and is classified as 債務部分，分類為本集團之負債，以攤銷成 a liability to the Group which is carried at amortised cost. The equity 本計量。權益部分指可換股債券所附的轉換 component represents the conversion rights attached to the convertible 權，並分類為本集團之權益，其後不再重新 bonds and is classified as equity to the Group which is not re-measured 計量。 subsequently. 26 CHINA CHANGBAISH</t>
        </is>
      </c>
    </row>
    <row r="10">
      <c r="A10" s="8" t="inlineStr">
        <is>
          <t>Fair Value Measurement</t>
        </is>
      </c>
      <c r="B10" s="8" t="inlineStr">
        <is>
          <t>公允價值計量</t>
        </is>
      </c>
      <c r="C10" s="19" t="inlineStr">
        <is>
          <t>high</t>
        </is>
      </c>
      <c r="D10" s="11" t="inlineStr">
        <is>
          <t>公允價值</t>
        </is>
      </c>
      <c r="E10" s="11" t="inlineStr">
        <is>
          <t>PDF p.32 (印刷頁 31)</t>
        </is>
      </c>
      <c r="F10" s="11" t="inlineStr">
        <is>
          <t>ot incur any material losses in respect 發生買家拖欠付款之可能性極低，因此，初 of any of these guarantees. The Directors consider that the likelihood 步按公允價值計量之財務擔保並不重大。此 of default in payments by the purchasers is minimal and therefore the 外，如拖欠付款，則相關物業單位之可變現 financial guarantee measured at fair value initially is immaterial. Also, 淨值將足以償還未付按揭貸款連同任何應計 in case of default in payments, the net realisable value of the related 利息及罰款，故並無就該等擔保計提任何撥 property units would be sufficient to repay the outstanding mortgage 備。 loans together with any accrued in</t>
        </is>
      </c>
    </row>
    <row r="11">
      <c r="A11" s="8" t="inlineStr">
        <is>
          <t>Fair Value Measurement</t>
        </is>
      </c>
      <c r="B11" s="8" t="inlineStr">
        <is>
          <t>公允價值計量</t>
        </is>
      </c>
      <c r="C11" s="19" t="inlineStr">
        <is>
          <t>high</t>
        </is>
      </c>
      <c r="D11" s="11" t="inlineStr">
        <is>
          <t>公允價值</t>
        </is>
      </c>
      <c r="E11" s="11" t="inlineStr">
        <is>
          <t>PDF p.130 (印刷頁 129)</t>
        </is>
      </c>
      <c r="F11" s="11" t="inlineStr">
        <is>
          <t>45,675 – Change in fair value of ginseng assets 持作出售之人參資產之公允 held for sale 價值變動 18 3,700 – Change in fair value of derivative 衍生金融工具的公允價值變動 financial instruments 26 (228) (282) PROFIT (LOSS) BEFORE 持續經營業務之除稅前利潤 TAX FROM CONTINUING （虧損） OPERATIONS 6 138,627 (782,550) Income tax 所得稅 10 (10,313) 70,516 PROFIT (LOSS) FOR THE 持續經營業務之年內利潤 YEAR FROM CONTINUING （虧損） OPERATIONS 128,314 (712,034) Discontinued operation 已終止經營業務 Loss for the year from discontinued 已終止經營業務之年內虧損 operation 30(c)(ii) (6,065) (140,872) PROFIT (LOSS) FOR THE YEA</t>
        </is>
      </c>
    </row>
    <row r="12">
      <c r="A12" s="8" t="inlineStr">
        <is>
          <t>Fair Value Measurement</t>
        </is>
      </c>
      <c r="B12" s="8" t="inlineStr">
        <is>
          <t>公允價值計量</t>
        </is>
      </c>
      <c r="C12" s="19" t="inlineStr">
        <is>
          <t>high</t>
        </is>
      </c>
      <c r="D12" s="11" t="inlineStr">
        <is>
          <t>公允價值</t>
        </is>
      </c>
      <c r="E12" s="11" t="inlineStr">
        <is>
          <t>PDF p.137 (印刷頁 136)</t>
        </is>
      </c>
      <c r="F12" s="11" t="inlineStr">
        <is>
          <t>on initial recognition of 初始確認持作出售之人參 the ginseng assets held for sale 資產之收益 18 (45,675) – Change in fair value of derivative 衍生金融工具公允價值 financial instruments 變動 26 228 282 Change of fair value of investment 投資物業公允價值變動 properties 14 9,188 170,912 Depreciation 折舊 15(a) 5,576 6,611 Loss on transfer to investment 轉撥分租物業至投資物業時 properties upon sublease 之虧損 241 – (18,400) (42,552) Decrease in properties under 發展中物業及持作出售 development and completed 已落成物業減少 properties held for sale 28,661 100,116 Increase in ginseng assets held for 持作出售</t>
        </is>
      </c>
    </row>
    <row r="13">
      <c r="A13" s="8" t="inlineStr">
        <is>
          <t>Fair Value Measurement</t>
        </is>
      </c>
      <c r="B13" s="8" t="inlineStr">
        <is>
          <t>公允價值計量</t>
        </is>
      </c>
      <c r="C13" s="19" t="inlineStr">
        <is>
          <t>high</t>
        </is>
      </c>
      <c r="D13" s="11" t="inlineStr">
        <is>
          <t>公允價值</t>
        </is>
      </c>
      <c r="E13" s="11" t="inlineStr">
        <is>
          <t>PDF p.142 (印刷頁 141)</t>
        </is>
      </c>
      <c r="F13" s="11" t="inlineStr">
        <is>
          <t>icable disclosure provisions of the Rules 證券上市規則（「上市規則」）之適用披露 Governing the Listing of Securities on the Stock Exchange (the 條文之規定。除按公允價值計量之投資 “Listing Rules”). They have been prepared under the historical cost 物業、衍生金融工具及生物資產（即持作 convention, except for investment properties, derivative financial 出售之人參資產）外，編製綜合財務報表 instruments and biological assets (i.e. ginseng assets held for 時乃以歷史成本作為計量基準。綜合財 sale) which have been measured at fair value. These consolidated 務報表以人民幣（「人民幣」）呈列，除另 financial statements are presented in Renminbi (“R</t>
        </is>
      </c>
    </row>
    <row r="14">
      <c r="A14" s="8" t="inlineStr">
        <is>
          <t>Fair Value Measurement</t>
        </is>
      </c>
      <c r="B14" s="8" t="inlineStr">
        <is>
          <t>公允價值計量</t>
        </is>
      </c>
      <c r="C14" s="19" t="inlineStr">
        <is>
          <t>high</t>
        </is>
      </c>
      <c r="D14" s="11" t="inlineStr">
        <is>
          <t>公允價值</t>
        </is>
      </c>
      <c r="E14" s="11" t="inlineStr">
        <is>
          <t>PDF p.146 (印刷頁 145)</t>
        </is>
      </c>
      <c r="F14" s="11" t="inlineStr">
        <is>
          <t>erest and recognises (i) 譽）及負債；及(ii)任何非控股權益之賬 the fair value of the consideration received, (ii) the fair value of any 面值；並確認(i)已收代價之公允價值；(ii) investment retained and (iii) any resulting surplus or deficit in profit 任何獲保留投資之公允價值；及(iii)其因 or loss. The Group’s share of components previously recognised 而產生計入損益之任何盈餘或虧蝕。先 in other comprehensive income is reclassified to profit or loss or 前已於其他全面收入確認之本集團應佔 retained earnings, as appropriate, on the same basis as would be 部分，乃按照本集團直接出售相關資產 required if the Group had directly disposed of</t>
        </is>
      </c>
    </row>
    <row r="15">
      <c r="A15" s="8" t="inlineStr">
        <is>
          <t>Fair Value Measurement</t>
        </is>
      </c>
      <c r="B15" s="8" t="inlineStr">
        <is>
          <t>公允價值計量</t>
        </is>
      </c>
      <c r="C15" s="19" t="inlineStr">
        <is>
          <t>high</t>
        </is>
      </c>
      <c r="D15" s="11" t="inlineStr">
        <is>
          <t>公允價值</t>
        </is>
      </c>
      <c r="E15" s="11" t="inlineStr">
        <is>
          <t>PDF p.148 (印刷頁 147)</t>
        </is>
      </c>
      <c r="F15" s="11" t="inlineStr">
        <is>
          <t>re accounted for using the acquisition 業務合併乃以收購法入賬。轉讓之代價 method. The consideration transferred is measured at the acquisition 乃以收購日期之公允價值計算，該公允 date fair value which is the sum of the acquisition date fair values of 價值為本集團轉讓之資產、本集團自被 assets transferred by the Group, liabilities assumed by the Group to 收購方之前擁有人承擔之負債及本集團 the former owners of the acquiree and the equity interests issued 發行以換取被收購方控制權之股本權益 by the Group in exchange for control of the acquiree. For each 於收購日期之公允價值總和。於各業務 business combination, the Group elects whether</t>
        </is>
      </c>
    </row>
    <row r="16">
      <c r="A16" s="8" t="inlineStr">
        <is>
          <t>Fair Value Measurement</t>
        </is>
      </c>
      <c r="B16" s="8" t="inlineStr">
        <is>
          <t>公允價值計量</t>
        </is>
      </c>
      <c r="C16" s="19" t="inlineStr">
        <is>
          <t>high</t>
        </is>
      </c>
      <c r="D16" s="11" t="inlineStr">
        <is>
          <t>公允價值</t>
        </is>
      </c>
      <c r="E16" s="11" t="inlineStr">
        <is>
          <t>PDF p.149 (印刷頁 148)</t>
        </is>
      </c>
      <c r="F16" s="11" t="inlineStr">
        <is>
          <t>tion transferred, the amount recognised 價、已確認非控股權益及本集團先前持 for non-controlling interests and any fair value of the Group’s 有之被收購方股權之任何公允價值，超 previously held equity interests in the acquiree over the identifiable 逾與所收購可識別資產淨值及所承擔負 net assets acquired and liabilities assumed. If the sum of this 債之差額。如總代價及其他項目之總額 consideration and other items is lower than the fair value of the net 低於所收購資產淨值之公允價值，於重 assets acquired, the difference is, after reassessment, recognised in 新評估後其差額將於損益內確認為議價 profit or loss as a gain on bargain purchase.</t>
        </is>
      </c>
    </row>
    <row r="17">
      <c r="A17" s="8" t="inlineStr">
        <is>
          <t>Fair Value Measurement</t>
        </is>
      </c>
      <c r="B17" s="8" t="inlineStr">
        <is>
          <t>公允價值計量</t>
        </is>
      </c>
      <c r="C17" s="19" t="inlineStr">
        <is>
          <t>high</t>
        </is>
      </c>
      <c r="D17" s="11" t="inlineStr">
        <is>
          <t>unobservable input</t>
        </is>
      </c>
      <c r="E17" s="11" t="inlineStr">
        <is>
          <t>PDF p.150 (印刷頁 149)</t>
        </is>
      </c>
      <c r="F17" s="11" t="inlineStr">
        <is>
          <t>o measure 數據以供計量公允價值之估值方法，以 fair value, maximising the use of relevant observable inputs and 盡量使用相關可觀察輸入數據及盡量減 minimising the use of unobservable inputs. 少使用不可觀察輸入數據。 Annual Report 2025/26 年報 149</t>
        </is>
      </c>
    </row>
    <row r="18">
      <c r="A18" s="8" t="inlineStr">
        <is>
          <t>Fair Value Measurement</t>
        </is>
      </c>
      <c r="B18" s="8" t="inlineStr">
        <is>
          <t>公允價值計量</t>
        </is>
      </c>
      <c r="C18" s="19" t="inlineStr">
        <is>
          <t>high</t>
        </is>
      </c>
      <c r="D18" s="11" t="inlineStr">
        <is>
          <t>fair value hierarchy</t>
        </is>
      </c>
      <c r="E18" s="11" t="inlineStr">
        <is>
          <t>PDF p.151 (印刷頁 150)</t>
        </is>
      </c>
      <c r="F18" s="11" t="inlineStr">
        <is>
          <t>lue is measured or disclosed 所有公允價值於綜合財務報表計量或披 in the consolidated financial statements are categorised within the 露之資產及負債乃基於對公允價值計量 fair value hierarchy, described as follows, based on the lowest level 整體而言屬重大之最低層輸入數據按以 input that is significant to the fair value measurement as a whole: 下公允價值等級分類： Level 1 – based on quoted prices (unadjusted) in active 第一級 – 基於相同資產或負債於活 markets for identical assets or liabilities 躍市場之報價（未經調整） Level 2 – based on valuation techniques for which the 第二級 – 基於對公允價值計量而言 lowest level input that is sig</t>
        </is>
      </c>
    </row>
    <row r="19">
      <c r="A19" s="8" t="inlineStr">
        <is>
          <t>Fair Value Measurement</t>
        </is>
      </c>
      <c r="B19" s="8" t="inlineStr">
        <is>
          <t>公允價值計量</t>
        </is>
      </c>
      <c r="C19" s="19" t="inlineStr">
        <is>
          <t>high</t>
        </is>
      </c>
      <c r="D19" s="11" t="inlineStr">
        <is>
          <t>公允價值</t>
        </is>
      </c>
      <c r="E19" s="11" t="inlineStr">
        <is>
          <t>PDF p.157 (印刷頁 156)</t>
        </is>
      </c>
      <c r="F19" s="11" t="inlineStr">
        <is>
          <t>es are measured initially at cost, including （包括交易成本）計量。初始確認後，投 transaction costs. Subsequent to initial recognition, investment 資物業按公允價值列賬，反映報告期末 properties are stated at fair value, which reflects market conditions 之市況。 at the end of the reporting period. Leases 租賃 The Group assesses at contract inception whether a contract is, or 本集團於合約開始時評估合約是否屬於 contains, a lease. A contract is, or contains, a lease if the contract 或包含租賃。倘合約為換取代價而給予 conveys the right to control the use of an identified asset for a 在一段時間內控制可識別資產使用之權 period</t>
        </is>
      </c>
    </row>
    <row r="20">
      <c r="A20" s="8" t="inlineStr">
        <is>
          <t>Fair Value Measurement</t>
        </is>
      </c>
      <c r="B20" s="8" t="inlineStr">
        <is>
          <t>公允價值計量</t>
        </is>
      </c>
      <c r="C20" s="19" t="inlineStr">
        <is>
          <t>high</t>
        </is>
      </c>
      <c r="D20" s="11" t="inlineStr">
        <is>
          <t>公允價值</t>
        </is>
      </c>
      <c r="E20" s="11" t="inlineStr">
        <is>
          <t>PDF p.163 (印刷頁 162)</t>
        </is>
      </c>
      <c r="F20" s="11" t="inlineStr">
        <is>
          <t>receivables without a significant 金融資產（除並無重大融資部分的應收貿 financing component) are initially recognised at their fair value plus, 易賬款外）初步按公允價值確認，而倘金 in the case of financial assets not carried at fair value through profit 融資產並非按公允價值計入損益（「按公 and loss (“FVPL”), transaction costs that are directly attributable to 允價值計入損益」），則另加收購金融資 the acquisition of the financial assets. Such trade receivables are 產直接應佔之交易成本。有關應收貿易 initially measured at their transaction price. 賬款初步按彼等的交易價計量。 On initial recognition, a financial asset is classified as</t>
        </is>
      </c>
    </row>
    <row r="21">
      <c r="A21" s="8" t="inlineStr">
        <is>
          <t>Fair Value Measurement</t>
        </is>
      </c>
      <c r="B21" s="8" t="inlineStr">
        <is>
          <t>公允價值計量</t>
        </is>
      </c>
      <c r="C21" s="19" t="inlineStr">
        <is>
          <t>high</t>
        </is>
      </c>
      <c r="D21" s="11" t="inlineStr">
        <is>
          <t>公允價值</t>
        </is>
      </c>
      <c r="E21" s="11" t="inlineStr">
        <is>
          <t>PDF p.164 (印刷頁 163)</t>
        </is>
      </c>
      <c r="F21" s="11" t="inlineStr">
        <is>
          <t>et is measured at amortised cost if it meets both 於金融資產同時符合以下條件，且並 of the following conditions and is not designated as at FVPL: 無指定按公允價值計入損益，則該金 融資產按攤銷成本計量： (i) it is held within a business model whose objective is to hold (i) 該金融資產由一個旨在通過持有 financial assets in order to collect contractual cash flows; 金融資產收取合約現金流量之業 and 務模式所持有；及 (ii) its contractual terms give rise on specified dates to cash (ii) 合約條款於指定日期產生之現金 flows that are solely payments of principal and interest on the 流量純粹為支付本金及未償還本 principal amount outstanding. 金之利息。 Fi</t>
        </is>
      </c>
    </row>
    <row r="22">
      <c r="A22" s="8" t="inlineStr">
        <is>
          <t>Fair Value Measurement</t>
        </is>
      </c>
      <c r="B22" s="8" t="inlineStr">
        <is>
          <t>公允價值計量</t>
        </is>
      </c>
      <c r="C22" s="19" t="inlineStr">
        <is>
          <t>high</t>
        </is>
      </c>
      <c r="D22" s="11" t="inlineStr">
        <is>
          <t>公允價值</t>
        </is>
      </c>
      <c r="E22" s="11" t="inlineStr">
        <is>
          <t>PDF p.165 (印刷頁 164)</t>
        </is>
      </c>
      <c r="F22" s="11" t="inlineStr">
        <is>
          <t>) 金融工具（續） Financial assets (Continued) 金融資產（續） Classification and measurement (Continued) 分類及計量（續） (2) Financial assets at FVPL (2) 按公允價值計入損益的金融資產 These investments include financial assets that are not measured 該等投資包括並非按攤銷成本或按公 at amortised cost or FVOCI, including financial assets held for 允價值計入其他全面收入的金融資 trading, financial assets designated upon initial recognition as at 產，包括持作買賣的金融資產、於初 FVPL, financial assets resulting from a contingent consideration 始確認時指定為按公允價值計入損益 arrangement in a business combination to which HKFRS 3 的金</t>
        </is>
      </c>
    </row>
    <row r="23">
      <c r="A23" s="8" t="inlineStr">
        <is>
          <t>Fair Value Measurement</t>
        </is>
      </c>
      <c r="B23" s="8" t="inlineStr">
        <is>
          <t>公允價值計量</t>
        </is>
      </c>
      <c r="C23" s="19" t="inlineStr">
        <is>
          <t>high</t>
        </is>
      </c>
      <c r="D23" s="11" t="inlineStr">
        <is>
          <t>公允價值</t>
        </is>
      </c>
      <c r="E23" s="11" t="inlineStr">
        <is>
          <t>PDF p.166 (印刷頁 165)</t>
        </is>
      </c>
      <c r="F23" s="11" t="inlineStr">
        <is>
          <t>expires. 確認。 Classification and measurement 分類及計量 Financial liabilities are initially recognised at their fair value plus, in 金融負債初步按公允價值確認，而倘金 the case of financial liabilities not carried at FVPL, transaction costs 融負債並非按公允價值計入損益，則另 that are directly attributable to the issue of the financial liabilities. 加發行金融負債直接應佔之交易成本。 The Group’s financial liabilities include trade and other payables, 本集團之金融負債包括應付貿易賬款及 loans from a substantial/controlling shareholder, loans from related 其他應付款項、一名主要╱控股股東貸 parties, lease liabilities and ba</t>
        </is>
      </c>
    </row>
    <row r="24">
      <c r="A24" s="8" t="inlineStr">
        <is>
          <t>Fair Value Measurement</t>
        </is>
      </c>
      <c r="B24" s="8" t="inlineStr">
        <is>
          <t>公允價值計量</t>
        </is>
      </c>
      <c r="C24" s="19" t="inlineStr">
        <is>
          <t>high</t>
        </is>
      </c>
      <c r="D24" s="11" t="inlineStr">
        <is>
          <t>公允價值</t>
        </is>
      </c>
      <c r="E24" s="11" t="inlineStr">
        <is>
          <t>PDF p.167 (印刷頁 166)</t>
        </is>
      </c>
      <c r="F24" s="11" t="inlineStr">
        <is>
          <t>initial recognition, the derivative component 分離。於初始確認時，可換股債券之衍 of the convertible bonds is measured at fair value and presented 生部分按公允價值計量，並作為衍生金 as part of derivative financial instruments. The component of 融工具一部分呈列。展示負債部分特點 the convertible bonds that exhibits characteristics of a liability 之可換股債券部分於財務狀況表中確認 is recognised as a liability in the statement of financial position, 為負債，並扣除交易成本。於初始確認 net of transaction costs. On initial recognition, the fair value of 時，負債部分之公允價值乃利用等同非 the liability component is determined using a ma</t>
        </is>
      </c>
    </row>
    <row r="25">
      <c r="A25" s="8" t="inlineStr">
        <is>
          <t>Fair Value Measurement</t>
        </is>
      </c>
      <c r="B25" s="8" t="inlineStr">
        <is>
          <t>公允價值計量</t>
        </is>
      </c>
      <c r="C25" s="19" t="inlineStr">
        <is>
          <t>high</t>
        </is>
      </c>
      <c r="D25" s="11" t="inlineStr">
        <is>
          <t>公允價值</t>
        </is>
      </c>
      <c r="E25" s="11" t="inlineStr">
        <is>
          <t>PDF p.169 (印刷頁 168)</t>
        </is>
      </c>
      <c r="F25" s="11" t="inlineStr">
        <is>
          <t>ain or loss in profit or loss with a 損益中確認為減值收益或虧損，並相應 corresponding adjustment to the carrying amount of the financial 調整金融工具的賬面值，惟按公允價值 instrument, except in the case of debt instruments at FVOCI, the 計入其他全面收入的債務工具除外，其 loss allowance is recognised in other comprehensive income and 中虧損撥備乃於其他全面收入中確認及 accumulated in the recycling fair value reserve. 於公允價值儲備（回收）累計。 Definition of default 違約之定義 The Group considers the following as constituting an event of 本集團認為以下情況就內部信貸風險管 default for internal credit risk management purposes as his</t>
        </is>
      </c>
    </row>
    <row r="26">
      <c r="A26" s="8" t="inlineStr">
        <is>
          <t>Fair Value Measurement</t>
        </is>
      </c>
      <c r="B26" s="8" t="inlineStr">
        <is>
          <t>公允價值計量</t>
        </is>
      </c>
      <c r="C26" s="19" t="inlineStr">
        <is>
          <t>high</t>
        </is>
      </c>
      <c r="D26" s="11" t="inlineStr">
        <is>
          <t>公允價值</t>
        </is>
      </c>
      <c r="E26" s="11" t="inlineStr">
        <is>
          <t>PDF p.173 (印刷頁 172)</t>
        </is>
      </c>
      <c r="F26" s="11" t="inlineStr">
        <is>
          <t>counted for as biological assets 持作出售之人參資產在收穫前按生物資 until the point of harvest and are stated at fair value less costs to 產核算，並於各報告期末按公允價值減 sell at the end of each reporting period. The fair value of the ginseng 銷售成本列賬。持作出售之人參資產之 assets held for sale is based on the market price of ginseng of 公允價值是根據具有相似特徵（包括參 similar characteristics including age, quality etc. 齡、品質等）的人參市場價格確定。 172 CHINA CHANGBAISHAN INTERNATIONAL HOLDINGS LIMITED 中國長白山國際控股有限公司</t>
        </is>
      </c>
    </row>
    <row r="27">
      <c r="A27" s="8" t="inlineStr">
        <is>
          <t>Fair Value Measurement</t>
        </is>
      </c>
      <c r="B27" s="8" t="inlineStr">
        <is>
          <t>公允價值計量</t>
        </is>
      </c>
      <c r="C27" s="19" t="inlineStr">
        <is>
          <t>high</t>
        </is>
      </c>
      <c r="D27" s="11" t="inlineStr">
        <is>
          <t>公允價值</t>
        </is>
      </c>
      <c r="E27" s="11" t="inlineStr">
        <is>
          <t>PDF p.178 (印刷頁 177)</t>
        </is>
      </c>
      <c r="F27" s="11" t="inlineStr">
        <is>
          <t>sactions with employees for grants is 與僱員進行以權益結算交易之成本，乃 measured by reference to the fair value at the date at which they are 參照授出當日之公允價值計算。該公允 granted. The fair value is determined by an external valuer using a 價值乃由外部估值師採用二項式期權定 binomial option pricing model. 價模式釐定。 Annual Report 2025/26 年報 177</t>
        </is>
      </c>
    </row>
    <row r="28">
      <c r="A28" s="8" t="inlineStr">
        <is>
          <t>Fair Value Measurement</t>
        </is>
      </c>
      <c r="B28" s="8" t="inlineStr">
        <is>
          <t>公允價值計量</t>
        </is>
      </c>
      <c r="C28" s="19" t="inlineStr">
        <is>
          <t>high</t>
        </is>
      </c>
      <c r="D28" s="11" t="inlineStr">
        <is>
          <t>公允價值</t>
        </is>
      </c>
      <c r="E28" s="11" t="inlineStr">
        <is>
          <t>PDF p.179 (印刷頁 178)</t>
        </is>
      </c>
      <c r="F28" s="11" t="inlineStr">
        <is>
          <t>as 支於期初及期末確認時之變動。 at the beginning and end of that period. Service and non-market performance conditions are not taken into 釐定獎勵之授出日期公允價值並不考慮 account when determining the grant date fair value of awards, but 服務及非市場表現條件，惟能達成條件 the likelihood of the conditions being met is assessed as part of the 之可能性則被評定為將最終歸屬為本集 Group’s best estimate of the number of equity instruments that will 團權益工具數目之最佳估計之一部分。 ultimately vest. Market performance conditions are reflected within 市場表現條件將反映在授出日期之公允 the grant date fair value. Any other conditions</t>
        </is>
      </c>
    </row>
    <row r="29">
      <c r="A29" s="8" t="inlineStr">
        <is>
          <t>Fair Value Measurement</t>
        </is>
      </c>
      <c r="B29" s="8" t="inlineStr">
        <is>
          <t>公允價值計量</t>
        </is>
      </c>
      <c r="C29" s="19" t="inlineStr">
        <is>
          <t>high</t>
        </is>
      </c>
      <c r="D29" s="11" t="inlineStr">
        <is>
          <t>公允價值</t>
        </is>
      </c>
      <c r="E29" s="11" t="inlineStr">
        <is>
          <t>PDF p.181 (印刷頁 180)</t>
        </is>
      </c>
      <c r="F29" s="11" t="inlineStr">
        <is>
          <t>are translated using the exchange rates at the 採用初始交易日期之匯率換算。以外幣 dates of the initial transactions. Non-monetary items measured at 按公允價值計量之非貨幣項目，採用計 fair value in a foreign currency are translated using the exchange 量公允價值當日之匯率換算。因換算按 rates at the date when the fair value was measured. The gain or loss 公允價值計量之非貨幣項目而產生之損 arising on translation of a non-monetary item measured at fair value 益，亦按該項目公允價值變動之損益確 is treated in line with the recognition of the gain or loss on change 認（即於其他全面收入或損益中確認其公 in fair value of the item (i.e., tr</t>
        </is>
      </c>
    </row>
    <row r="30">
      <c r="A30" s="8" t="inlineStr">
        <is>
          <t>Fair Value Measurement</t>
        </is>
      </c>
      <c r="B30" s="8" t="inlineStr">
        <is>
          <t>公允價值計量</t>
        </is>
      </c>
      <c r="C30" s="19" t="inlineStr">
        <is>
          <t>high</t>
        </is>
      </c>
      <c r="D30" s="11" t="inlineStr">
        <is>
          <t>market approach</t>
        </is>
      </c>
      <c r="E30" s="11" t="inlineStr">
        <is>
          <t>PDF p.185 (印刷頁 184)</t>
        </is>
      </c>
      <c r="F30" s="11" t="inlineStr">
        <is>
          <t>tated at fair value less 本集團之持作出售之人參資產按公允價 costs to sell. In determining the fair value of the ginseng assets, the 值減銷售成本列賬。在釐定持作出售之 market approach has been adopted which requires a number of key 人參資產之公允價值時已採用市場法， assumptions and estimates to be made such as the age, quantity, 該方法需要作出多項關鍵假設及估計， weight, survival rate, and market price for ginseng. Any change 例如參齡、數量、重量、存活率及市場 in the assumptions and estimates may affect the fair value of the 售價情況。任何假設及估計變動均可能 ginseng assets significantly. Management reviews the assumptions 對持作出售</t>
        </is>
      </c>
    </row>
    <row r="31">
      <c r="A31" s="8" t="inlineStr">
        <is>
          <t>Fair Value Measurement</t>
        </is>
      </c>
      <c r="B31" s="8" t="inlineStr">
        <is>
          <t>公允價值計量</t>
        </is>
      </c>
      <c r="C31" s="19" t="inlineStr">
        <is>
          <t>high</t>
        </is>
      </c>
      <c r="D31" s="11" t="inlineStr">
        <is>
          <t>公允價值</t>
        </is>
      </c>
      <c r="E31" s="11" t="inlineStr">
        <is>
          <t>PDF p.187 (印刷頁 186)</t>
        </is>
      </c>
      <c r="F31" s="11" t="inlineStr">
        <is>
          <t>its recoverable amount, which is the 值減出售成本與其使用價值之較高者）， higher of its fair value less costs of disposal and its value in use. 則出現減值。公允價值減出售成本乃根 The calculation of the fair value less costs of disposal is based 據從類似資產經公平磋商進行受約束銷 on available data from binding sales transactions in an arm’s 售交易可用之數據或可觀察之市價減出 length transaction of similar assets or observable market prices 售該資產之遞增成本而計量。於計算使 less incremental costs for disposing of the asset. When value in 用價值時，管理層須估計有關資產或現 use calculations are undertaken, management must estimate</t>
        </is>
      </c>
    </row>
    <row r="32">
      <c r="A32" s="8" t="inlineStr">
        <is>
          <t>Fair Value Measurement</t>
        </is>
      </c>
      <c r="B32" s="8" t="inlineStr">
        <is>
          <t>公允價值計量</t>
        </is>
      </c>
      <c r="C32" s="19" t="inlineStr">
        <is>
          <t>high</t>
        </is>
      </c>
      <c r="D32" s="11" t="inlineStr">
        <is>
          <t>公允價值</t>
        </is>
      </c>
      <c r="E32" s="11" t="inlineStr">
        <is>
          <t>PDF p.190 (印刷頁 189)</t>
        </is>
      </c>
      <c r="F32" s="11" t="inlineStr">
        <is>
          <t>,773 (4,726) Bank interest income 銀行利息收入 6 – Finance costs 融資成本 (42,910) (1,339) Change in fair value of derivative financial 衍生金融工具之公允價值變 instruments 動 (228) – Gain on disposals of subsidiaries and disposal 出售附屬公司及分類為持作 group classified as held for sale 出售之出售組別收益 166,097 – Unallocated head office expenses 未分配總部開支 (16,111) – Profit (loss) before tax 除稅前利潤（虧損） 138,627 (6,065) Income tax 所得稅 (10,313) – Profit (loss) for the year 年內利潤（虧損） 128,314 (6,065) Segment assets: 分部資產： Reportable segment assets 可呈報分部資產 292,018 116,235 408,2</t>
        </is>
      </c>
    </row>
    <row r="33">
      <c r="A33" s="8" t="inlineStr">
        <is>
          <t>Fair Value Measurement</t>
        </is>
      </c>
      <c r="B33" s="8" t="inlineStr">
        <is>
          <t>公允價值計量</t>
        </is>
      </c>
      <c r="C33" s="19" t="inlineStr">
        <is>
          <t>high</t>
        </is>
      </c>
      <c r="D33" s="11" t="inlineStr">
        <is>
          <t>公允價值</t>
        </is>
      </c>
      <c r="E33" s="11" t="inlineStr">
        <is>
          <t>PDF p.192 (印刷頁 191)</t>
        </is>
      </c>
      <c r="F33" s="11" t="inlineStr">
        <is>
          <t>ued) 三十一日止年度（經 重列） （續） Other segment information 其他分部資料 Capital expenditure* 資本開支* – – – 573 Change in fair value of investment 投資物業之公允價值 properties 變動 – – – 170,912 Depreciation** 折舊** 635 2,880 3,515 161 Reversal of impairment on trade and 應收貿易賬款及其他 other receivables, net 應收款項減值撥回淨 值 (234) – (234) – Write-down of properties under 發展中物業撇減至可 development to net realisable value 變現淨值 643,285 – 643,285 – * During the year, the head office incurred capital expenditure of RMBnil * 年內，總部產生資本開支人民幣零元（二 (2025: RMB20,000) which represent</t>
        </is>
      </c>
    </row>
    <row r="34">
      <c r="A34" s="8" t="inlineStr">
        <is>
          <t>Fair Value Measurement</t>
        </is>
      </c>
      <c r="B34" s="8" t="inlineStr">
        <is>
          <t>公允價值計量</t>
        </is>
      </c>
      <c r="C34" s="19" t="inlineStr">
        <is>
          <t>high</t>
        </is>
      </c>
      <c r="D34" s="11" t="inlineStr">
        <is>
          <t>公允價值</t>
        </is>
      </c>
      <c r="E34" s="11" t="inlineStr">
        <is>
          <t>PDF p.204 (印刷頁 203)</t>
        </is>
      </c>
      <c r="F34" s="11" t="inlineStr">
        <is>
          <t>852,906) Effect of interest on the liability 利息對可換股債券負債部分之影響 component of the Convertible Bonds – – Effect of fair value loss on the 公允價值虧損對可換股債券衍生 derivative component of the 部分之影響 Convertible Bonds – – Adjusted profit (loss) attributable to 用於計算每股攤薄盈利（虧損）之母 owners of the parent used in the 公司擁有人應佔經調整利潤（虧 diluted earnings (loss) per share 損） calculation – continuing operations – 持續經營業務 128,314 (687,415) – discontinued operation – 已終止經營業務 (6,065) (165,491) 122,249 (852,906) (687,415) Annual Report 2025/26 年報 203</t>
        </is>
      </c>
    </row>
    <row r="35">
      <c r="A35" s="8" t="inlineStr">
        <is>
          <t>Fair Value Measurement</t>
        </is>
      </c>
      <c r="B35" s="8" t="inlineStr">
        <is>
          <t>公允價值計量</t>
        </is>
      </c>
      <c r="C35" s="19" t="inlineStr">
        <is>
          <t>high</t>
        </is>
      </c>
      <c r="D35" s="11" t="inlineStr">
        <is>
          <t>公允價值</t>
        </is>
      </c>
      <c r="E35" s="11" t="inlineStr">
        <is>
          <t>PDF p.205 (印刷頁 204)</t>
        </is>
      </c>
      <c r="F35" s="11" t="inlineStr">
        <is>
          <t>nt of the Convertible Bonds; and divided 考慮到可換股債券負債部分利息及可換 by the weighted average number of ordinary shares of 360,182,000 股債券衍生工具部分公允價值變動並無 (31 March 2025: 360,182,000 shares) considering there are no 調整影響；及除以普通股加權平均數為 dilutive effect on the Convertible Bonds and the exercise price of 360,182,000股（二零二五年三月三十一 the outstanding share options were out of money compared to the 日：360,182,000股），乃考慮到可換股 average stock prices of the Company for the years ended 31 March 債券並無攤薄影響以及截至二零二六年 2026 and 2025. 及二零二五年三月三十一日止年度尚未 行使購股權之行使價對比本公司之平均</t>
        </is>
      </c>
    </row>
    <row r="36">
      <c r="A36" s="8" t="inlineStr">
        <is>
          <t>Fair Value Measurement</t>
        </is>
      </c>
      <c r="B36" s="8" t="inlineStr">
        <is>
          <t>公允價值計量</t>
        </is>
      </c>
      <c r="C36" s="19" t="inlineStr">
        <is>
          <t>high</t>
        </is>
      </c>
      <c r="D36" s="11" t="inlineStr">
        <is>
          <t>公允價值</t>
        </is>
      </c>
      <c r="E36" s="11" t="inlineStr">
        <is>
          <t>PDF p.208 (印刷頁 207)</t>
        </is>
      </c>
      <c r="F36" s="11" t="inlineStr">
        <is>
          <t>五年 RMB’000 RMB’000 人民幣千元 人民幣千元 At the beginning of the 於報告期初 reporting period 315,288 486,200 Additions 添置 32,480 – Net loss on fair 公允價值調整之淨虧損 value adjustment (9,188) (170,912) Reclassified to disposal group 重新分類至分類為持作出售之 classified as held for sale 出售組別（附註30(c)） (note 30(c)) (338,580) – Reclassified to disposal group 重新分類至分類為持作出售之 classified as held for sale 出售組別 At the end of the 於報告期末 reporting period – 315,288 At 31 March 2025, the Group’s investment properties included 於二零二五年三月三十一日，本集團之 certain units of a shopping mall i</t>
        </is>
      </c>
    </row>
    <row r="37">
      <c r="A37" s="8" t="inlineStr">
        <is>
          <t>Fair Value Measurement</t>
        </is>
      </c>
      <c r="B37" s="8" t="inlineStr">
        <is>
          <t>公允價值計量</t>
        </is>
      </c>
      <c r="C37" s="19" t="inlineStr">
        <is>
          <t>high</t>
        </is>
      </c>
      <c r="D37" s="11" t="inlineStr">
        <is>
          <t>公允價值</t>
        </is>
      </c>
      <c r="E37" s="11" t="inlineStr">
        <is>
          <t>PDF p.214 (印刷頁 213)</t>
        </is>
      </c>
      <c r="F37" s="11" t="inlineStr">
        <is>
          <t>ation of ginseng investment properties assets properties under held for sale 投資物業 development 持作出售之 折舊撥備及 發展中 人參資產 Prepaid tax Total 公允價值變動 物業之重估 公允價值變動 預付稅項 總計 RMB’000 RMB’000 RMB’000 RMB’000 RMB’000 人民幣千元 人民幣千元 人民幣千元 人民幣千元 人民幣千元 At 1 April 2024 於二零二四年四月一日 24,619 73,181 – 105 97,905 (Credited)/Charged to profit or loss （計入）╱扣除自損益 (24,619) (73,181) – 21 (97,779) At 31 March 2025 於二零二五年三月三十一日 – – – 126 126 At 1 April 2025 於二零二五年四月一日 – – – 126 126 Reclassified to disposal group 重新分類為持作出售之 classified as held for sale 出售組別（附註30(c)）</t>
        </is>
      </c>
    </row>
    <row r="38">
      <c r="A38" s="8" t="inlineStr">
        <is>
          <t>Fair Value Measurement</t>
        </is>
      </c>
      <c r="B38" s="8" t="inlineStr">
        <is>
          <t>公允價值計量</t>
        </is>
      </c>
      <c r="C38" s="19" t="inlineStr">
        <is>
          <t>high</t>
        </is>
      </c>
      <c r="D38" s="11" t="inlineStr">
        <is>
          <t>公允價值</t>
        </is>
      </c>
      <c r="E38" s="11" t="inlineStr">
        <is>
          <t>PDF p.217 (印刷頁 216)</t>
        </is>
      </c>
      <c r="F38" s="11" t="inlineStr">
        <is>
          <t>f the reporting period 於報告期初 – Additions 添置 52,325 Gain on initial recognition 初始確認收益 45,675 Changes in fair value less cost to sell 公允價值減出售成本變動 3,700 At the end of the reporting period 於報告期末 101,700 During the year ended 31 March 2026, the Group purchased 截至二零二六年三月三十一日止年度， ginseng assets grown under forest land of approximately 本集團購買位於吉林省集安市約86.557 86.557 hectares, which is located in Ji’an City, Jilin Province 公頃於林下生長之人參資產，代價為人 at a consideration of RMB52,325,000. These ginseng assets 民幣52,325,000元。該等持作出售之 held for sale are a</t>
        </is>
      </c>
    </row>
    <row r="39">
      <c r="A39" s="8" t="inlineStr">
        <is>
          <t>Fair Value Measurement</t>
        </is>
      </c>
      <c r="B39" s="8" t="inlineStr">
        <is>
          <t>公允價值計量</t>
        </is>
      </c>
      <c r="C39" s="19" t="inlineStr">
        <is>
          <t>high</t>
        </is>
      </c>
      <c r="D39" s="11" t="inlineStr">
        <is>
          <t>公允價值</t>
        </is>
      </c>
      <c r="E39" s="11" t="inlineStr">
        <is>
          <t>PDF p.218 (印刷頁 217)</t>
        </is>
      </c>
      <c r="F39" s="11" t="inlineStr">
        <is>
          <t>GINSENG ASSETS HELD FOR SALE (Continued) 18. 持作出售之人參資產（續） Subsequent to the initial recognition, a change of fair value less 於初步確認後，公允價值變動減出售成 costs to sell of RMB3,700,000 was recognised in profit or loss. 本於損益確認為人民幣3,700,000元。 Valuation of ginseng assets 人參資產估值 The Group’s ginseng assets held for sale are carried at fair value 本集團的持作出售之人參資產按公允價 less costs to sell, which were valued by the Valuer at acquisition 值減銷售成本列賬，由估值師於收購日 date and at the end of reporting period. In determining the fair 期及報告期末進行估值。於釐定該等持 value of these</t>
        </is>
      </c>
    </row>
    <row r="40">
      <c r="A40" s="8" t="inlineStr">
        <is>
          <t>Fair Value Measurement</t>
        </is>
      </c>
      <c r="B40" s="8" t="inlineStr">
        <is>
          <t>公允價值計量</t>
        </is>
      </c>
      <c r="C40" s="19" t="inlineStr">
        <is>
          <t>high</t>
        </is>
      </c>
      <c r="D40" s="11" t="inlineStr">
        <is>
          <t>fair value hierarchy</t>
        </is>
      </c>
      <c r="E40" s="11" t="inlineStr">
        <is>
          <t>PDF p.220 (印刷頁 219)</t>
        </is>
      </c>
      <c r="F40" s="11" t="inlineStr">
        <is>
          <t>18. GINSENG ASSETS HELD FOR SALE (Continued) 18. 持作出售之人參資產（續） Fair value hierarchy 公允價值等級 The following table illustrates the fair value measurement hierarchy 下表載列本集團持作出售之人參資產之 of the Group’s ginseng assets held for sale: 公允價值計量等級： Quoted Significant Significant prices in observable unobservable active markets inputs inputs (Level 1) (Level 2) (Level 3) Total 重大可觀察 重大不可觀察 活躍市場報價 輸入數據 輸入數據 （第一級） （第二級） （第三級） 總計 RMB’000 RMB’000 RMB’000 RMB’000 人民幣千元 人民幣千元 人民幣千元</t>
        </is>
      </c>
    </row>
    <row r="41">
      <c r="A41" s="8" t="inlineStr">
        <is>
          <t>Fair Value Measurement</t>
        </is>
      </c>
      <c r="B41" s="8" t="inlineStr">
        <is>
          <t>公允價值計量</t>
        </is>
      </c>
      <c r="C41" s="19" t="inlineStr">
        <is>
          <t>high</t>
        </is>
      </c>
      <c r="D41" s="11" t="inlineStr">
        <is>
          <t>fair value hierarchy</t>
        </is>
      </c>
      <c r="E41" s="11" t="inlineStr">
        <is>
          <t>PDF p.221 (印刷頁 220)</t>
        </is>
      </c>
      <c r="F41" s="11" t="inlineStr">
        <is>
          <t>Statements 綜合財務報表附註 For the year ended 31 March 2026 截至二零二六年三月三十一日止年度 18. GINSENG ASSETS HELD FOR SALE (Continued) 18. 持作出售之人參資產（續） Fair value hierarchy (Continued) 公允價值等級（續） The following table sets out the quantitative information of the key 下表載列持作出售之人參資產之關鍵輸 inputs to the valuation of the ginseng assets held for sale: 入數據之量化資料： At initial At 31 March recognition 2026 於二零二六年 於初步確認時 三月三十一日 Range Range (weighted (weighted average, average, if applicable) if applicable) 範圍 範圍 （加權平均， （加權平均， Key inputs 關鍵輸入數據 如適用） 如適用） Comparable</t>
        </is>
      </c>
    </row>
    <row r="42">
      <c r="A42" s="8" t="inlineStr">
        <is>
          <t>Fair Value Measurement</t>
        </is>
      </c>
      <c r="B42" s="8" t="inlineStr">
        <is>
          <t>公允價值計量</t>
        </is>
      </c>
      <c r="C42" s="19" t="inlineStr">
        <is>
          <t>high</t>
        </is>
      </c>
      <c r="D42" s="11" t="inlineStr">
        <is>
          <t>fair value hierarchy</t>
        </is>
      </c>
      <c r="E42" s="11" t="inlineStr">
        <is>
          <t>PDF p.222 (印刷頁 221)</t>
        </is>
      </c>
      <c r="F42" s="11" t="inlineStr">
        <is>
          <t>18. GINSENG ASSETS HELD FOR SALE (Continued) 18. 持作出售之人參資產（續） Fair value hierarchy (Continued) 公允價值等級（續） The following table demonstrates the sensitivity analysis for the 下表顯示報告期末因關鍵輸入數據出現 change of the carrying amount of the ginseng assets held for sale at 合理可能變動而產生的持作出售之人參 the end of the reporting period as a result of a reasonable possible 資產賬面值變動的敏感度分析，所有變 change in key inputs, with all the variables taken in isolation: 數均獨立計算： At 31 March 2026 於二零二六年三月三</t>
        </is>
      </c>
    </row>
    <row r="43">
      <c r="A43" s="8" t="inlineStr">
        <is>
          <t>Fair Value Measurement</t>
        </is>
      </c>
      <c r="B43" s="8" t="inlineStr">
        <is>
          <t>公允價值計量</t>
        </is>
      </c>
      <c r="C43" s="19" t="inlineStr">
        <is>
          <t>high</t>
        </is>
      </c>
      <c r="D43" s="11" t="inlineStr">
        <is>
          <t>公允價值</t>
        </is>
      </c>
      <c r="E43" s="11" t="inlineStr">
        <is>
          <t>PDF p.223 (印刷頁 222)</t>
        </is>
      </c>
      <c r="F43" s="11" t="inlineStr">
        <is>
          <t>deposits are received to minimise credit risk. 金按金以盡量降低信貸風險。應收款 The carrying amounts of the receivables approximate to their 項之賬面值與其公允價值相若。應收 fair values. Trade receivables are non-interest-bearing. The trade 貿易賬款不計利息。投資物業之應收 receivables of property investment were reclassified to the assets 貿易賬款於年內重新分類至與持作出 associated with disposal group held for sale during the year and 售之出售組別有關之資產，並於報告 disposed of at the end of the reporting period. 期末出售。 222 CHINA CHANGBAISHAN INTERNATIONAL HOLDINGS LIMITED 中國長白山國際控股有限公司</t>
        </is>
      </c>
    </row>
    <row r="44">
      <c r="A44" s="8" t="inlineStr">
        <is>
          <t>Impairment Testing</t>
        </is>
      </c>
      <c r="B44" s="8" t="inlineStr">
        <is>
          <t>減值測試</t>
        </is>
      </c>
      <c r="C44" s="19" t="inlineStr">
        <is>
          <t>high</t>
        </is>
      </c>
      <c r="D44" s="11" t="inlineStr">
        <is>
          <t>impairment loss</t>
        </is>
      </c>
      <c r="E44" s="11" t="inlineStr">
        <is>
          <t>PDF p.18 (印刷頁 17)</t>
        </is>
      </c>
      <c r="F44" s="11" t="inlineStr">
        <is>
          <t>31 元減少約人民幣681,100,000元至截至二 March 2026, mainly attributable to the write-down of properties under 零二六年三月三十一日止年度的約人民幣 development and impairment loss on assets associated with disposal 11,000,000元，主要由於截至二零二五年三 group classified as held for sale in respect of the Fusong Property 月三十一日止年度撫松物業項目發展中物業 Project of approximately RMB637.9 million and RMB47.1 million 撇減約人民幣637,900,000元及與分類為持 respectively for the year ended 31 March 2025. There were no such 作出售之出售組別有關之資產減值虧損約人 write-downs and impairment during the year ended 31 March 2026.</t>
        </is>
      </c>
    </row>
    <row r="45">
      <c r="A45" s="8" t="inlineStr">
        <is>
          <t>Impairment Testing</t>
        </is>
      </c>
      <c r="B45" s="8" t="inlineStr">
        <is>
          <t>減值測試</t>
        </is>
      </c>
      <c r="C45" s="19" t="inlineStr">
        <is>
          <t>high</t>
        </is>
      </c>
      <c r="D45" s="11" t="inlineStr">
        <is>
          <t>recoverable amount</t>
        </is>
      </c>
      <c r="E45" s="11" t="inlineStr">
        <is>
          <t>PDF p.73 (印刷頁 72)</t>
        </is>
      </c>
      <c r="F45" s="11" t="inlineStr">
        <is>
          <t>djustment would have been 減至其可收回金額，並就可能產生的進一步 made to reduce the carrying amount of assets of the Group to their 負債作出撥備，以及將非流動資產及負債分 recoverable amounts, to provide for further liabilities which might arise 別重新分類為流動資產及負債。 and to reclassify non-current assets and liabilities to current assets and liabilities respectively. 72 CHINA CHANGBAISHAN INTERNATIONAL HOLDINGS LIMITED 中國長白山國際控股有限公司</t>
        </is>
      </c>
    </row>
    <row r="46">
      <c r="A46" s="8" t="inlineStr">
        <is>
          <t>Impairment Testing</t>
        </is>
      </c>
      <c r="B46" s="8" t="inlineStr">
        <is>
          <t>減值測試</t>
        </is>
      </c>
      <c r="C46" s="19" t="inlineStr">
        <is>
          <t>high</t>
        </is>
      </c>
      <c r="D46" s="11" t="inlineStr">
        <is>
          <t>可收回金額</t>
        </is>
      </c>
      <c r="E46" s="11" t="inlineStr">
        <is>
          <t>PDF p.127 (印刷頁 126)</t>
        </is>
      </c>
      <c r="F46" s="11" t="inlineStr">
        <is>
          <t>ustments may have to be made 別將非流動資產及負債重新分類為流動資產 to reclassify non-current assets and liabilities as current assets and 及負債，將資產價值撇減至其可收回金額， liabilities respectively, write-down the value of assets to their recoverable 並就可能產生的進一步負債作出撥備。 amounts and to provide for further liabilities which may arise. 126 CHINA CHANGBAISHAN INTERNATIONAL HOLDINGS LIMITED 中國長白山國際控股有限公司</t>
        </is>
      </c>
    </row>
    <row r="47">
      <c r="A47" s="8" t="inlineStr">
        <is>
          <t>Impairment Testing</t>
        </is>
      </c>
      <c r="B47" s="8" t="inlineStr">
        <is>
          <t>減值測試</t>
        </is>
      </c>
      <c r="C47" s="19" t="inlineStr">
        <is>
          <t>high</t>
        </is>
      </c>
      <c r="D47" s="11" t="inlineStr">
        <is>
          <t>recoverable amount</t>
        </is>
      </c>
      <c r="E47" s="11" t="inlineStr">
        <is>
          <t>PDF p.145 (印刷頁 144)</t>
        </is>
      </c>
      <c r="F47" s="11" t="inlineStr">
        <is>
          <t>s, adjustment would 出調整以將本集團資產的賬面值減至其 have been made to reduce the carrying amount of assets of the 可收回金額，並就可能產生的進一步負 Group to their recoverable amounts, to provide for further liabilities 債作出撥備，以及將非流動資產及負債 which might arise and to reclassify non-current assets and liabilities 分別重新分類為流動資產及負債。 to current assets and liabilities respectively. Basis of consolidation 綜合基準 The consolidated financial statements include the financial 綜合財務報表包括本公司及其附屬公司 statements of the Company and its subsidiaries. A subsidiary is an 之財務報表。附屬公司為本公司直接或</t>
        </is>
      </c>
    </row>
    <row r="48">
      <c r="A48" s="8" t="inlineStr">
        <is>
          <t>Impairment Testing</t>
        </is>
      </c>
      <c r="B48" s="8" t="inlineStr">
        <is>
          <t>減值測試</t>
        </is>
      </c>
      <c r="C48" s="19" t="inlineStr">
        <is>
          <t>high</t>
        </is>
      </c>
      <c r="D48" s="11" t="inlineStr">
        <is>
          <t>impairment test</t>
        </is>
      </c>
      <c r="E48" s="11" t="inlineStr">
        <is>
          <t>PDF p.149 (印刷頁 148)</t>
        </is>
      </c>
      <c r="F48" s="11" t="inlineStr">
        <is>
          <t>in circumstances 試，若有事件發生或情況改變顯示賬面 indicate that the carrying value may be impaired. The Group 值有可能減值時，則會更頻密地進行檢 performs its annual impairment test of goodwill as at 31 March. 討。本集團每年於三月三十一日對商譽 進行年度減值測試。 For the purpose of impairment testing, goodwill acquired in a 就減值測試而言，於業務合併所收購之 business combination is, from the acquisition date, allocated to 商譽，乃自收購日期起分配至預期於合 each of the Group’s cash-generating units, or groups of cash- 併之協同效益中受惠之本集團每個現金 generating units, that are expected to benefit from the synergies of 產生單位或現金產生單位組，而不論</t>
        </is>
      </c>
    </row>
    <row r="49">
      <c r="A49" s="8" t="inlineStr">
        <is>
          <t>Impairment Testing</t>
        </is>
      </c>
      <c r="B49" s="8" t="inlineStr">
        <is>
          <t>減值測試</t>
        </is>
      </c>
      <c r="C49" s="19" t="inlineStr">
        <is>
          <t>high</t>
        </is>
      </c>
      <c r="D49" s="11" t="inlineStr">
        <is>
          <t>impairment test</t>
        </is>
      </c>
      <c r="E49" s="11" t="inlineStr">
        <is>
          <t>PDF p.151 (印刷頁 150)</t>
        </is>
      </c>
      <c r="F49" s="11" t="inlineStr">
        <is>
          <t>of non-financial assets other than 非金融資產（商譽除外）減值 goodwill Where an indication of impairment exists, or when annual 倘存在減值跡象，或須每年對資產（存 impairment testing for an asset is required (other than inventories, 貨、金融資產及投資物業除外）作減值測 financial assets and investment properties), the asset’s recoverable 試時，資產之可收回金額會予以估計。 amount is estimated. An asset’s recoverable amount is the higher 資產之可收回金額乃資產或現金產生單 of the asset’s or cash-generating unit’s value in use and its fair value 位之使用價值，以及其公允價值減出售 less costs of disposal, and is determined for an in</t>
        </is>
      </c>
    </row>
    <row r="50">
      <c r="A50" s="8" t="inlineStr">
        <is>
          <t>Impairment Testing</t>
        </is>
      </c>
      <c r="B50" s="8" t="inlineStr">
        <is>
          <t>減值測試</t>
        </is>
      </c>
      <c r="C50" s="19" t="inlineStr">
        <is>
          <t>high</t>
        </is>
      </c>
      <c r="D50" s="11" t="inlineStr">
        <is>
          <t>impairment loss</t>
        </is>
      </c>
      <c r="E50" s="11" t="inlineStr">
        <is>
          <t>PDF p.152 (印刷頁 151)</t>
        </is>
      </c>
      <c r="F50" s="11" t="inlineStr">
        <is>
          <t>COUNTING 2.4 主要會計政策概要（續） POLICIES (Continued) Impairment of non-financial assets other than 非金融資產（商譽除外）減值（續） goodwill (Continued) An impairment loss is recognised only if the carrying amount of an 減值虧損僅於資產之賬面金額超過其可 asset exceeds its recoverable amount. In assessing value in use, 收回金額時確認。在評估使用價值時， the estimated future cash flows are discounted to their present 估計日後現金流量按能反映當時市場對 value using a pre-tax discount rate that reflects current market 貨幣時值及該項資產特定風險之評估之 assessments of the time value of money and the risks specific to the 除</t>
        </is>
      </c>
    </row>
    <row r="51">
      <c r="A51" s="8" t="inlineStr">
        <is>
          <t>Impairment Testing</t>
        </is>
      </c>
      <c r="B51" s="8" t="inlineStr">
        <is>
          <t>減值測試</t>
        </is>
      </c>
      <c r="C51" s="19" t="inlineStr">
        <is>
          <t>high</t>
        </is>
      </c>
      <c r="D51" s="11" t="inlineStr">
        <is>
          <t>impairment loss</t>
        </is>
      </c>
      <c r="E51" s="11" t="inlineStr">
        <is>
          <t>PDF p.154 (印刷頁 153)</t>
        </is>
      </c>
      <c r="F51" s="11" t="inlineStr">
        <is>
          <t>nd depreciation 物業、機器及設備及折舊 Property, plant and equipment are stated at cost less accumulated 物業、機器及設備按成本減累計折舊及 depreciation and any impairment losses. The cost of an item of 任何減值虧損列賬。物業、機器及設備 property, plant and equipment comprises its purchase price and 項目之成本包括其購買價，及促使有關 any directly attributable costs of bringing the asset to its working 資產達致其營運狀況及地點作擬定用途 condition and location for its intended use. 所產生之任何直接應佔成本。 Expenditure incurred after items of property, plant and equipment 物業、機器及設備項目投產後所產生之 have been put into operation,</t>
        </is>
      </c>
    </row>
    <row r="52">
      <c r="A52" s="8" t="inlineStr">
        <is>
          <t>Impairment Testing</t>
        </is>
      </c>
      <c r="B52" s="8" t="inlineStr">
        <is>
          <t>減值測試</t>
        </is>
      </c>
      <c r="C52" s="19" t="inlineStr">
        <is>
          <t>high</t>
        </is>
      </c>
      <c r="D52" s="11" t="inlineStr">
        <is>
          <t>impairment loss</t>
        </is>
      </c>
      <c r="E52" s="11" t="inlineStr">
        <is>
          <t>PDF p.158 (印刷頁 157)</t>
        </is>
      </c>
      <c r="F52" s="11" t="inlineStr">
        <is>
          <t>able 資產可供使用當日）予以確認。使用 for use). Right-of-use assets are measured at cost, less any 權資產按成本減任何累計折舊及減值 accumulated depreciation and any impairment losses, and 虧損計量，並就任何重新計量租賃負 adjusted for any remeasurement of lease liabilities. The cost 債作出調整。使用權資產成本包括已 of right-of-use assets includes the amount of lease liabilities 確認租賃負債之款額、已產生初始直 recognised, initial direct costs incurred, and lease payments 接成本及於開始日期或之前作出之租 made at or before the commencement date less any lease 賃款項減任何已收租賃獎勵，以及本 incentives received, and an estimate of costs to</t>
        </is>
      </c>
    </row>
    <row r="53">
      <c r="A53" s="8" t="inlineStr">
        <is>
          <t>Impairment Testing</t>
        </is>
      </c>
      <c r="B53" s="8" t="inlineStr">
        <is>
          <t>減值測試</t>
        </is>
      </c>
      <c r="C53" s="19" t="inlineStr">
        <is>
          <t>high</t>
        </is>
      </c>
      <c r="D53" s="11" t="inlineStr">
        <is>
          <t>fair value less costs</t>
        </is>
      </c>
      <c r="E53" s="11" t="inlineStr">
        <is>
          <t>PDF p.173 (印刷頁 172)</t>
        </is>
      </c>
      <c r="F53" s="11" t="inlineStr">
        <is>
          <t>。 Ginseng assets held for sale are accounted for as biological assets 持作出售之人參資產在收穫前按生物資 until the point of harvest and are stated at fair value less costs to 產核算，並於各報告期末按公允價值減 sell at the end of each reporting period. The fair value of the ginseng 銷售成本列賬。持作出售之人參資產之 assets held for sale is based on the market price of ginseng of 公允價值是根據具有相似特徵（包括參 similar characteristics including age, quality etc. 齡、品質等）的人參市場價格確定。 172 CHINA CHANGBAISHAN INTERNATIONAL HOLDINGS LIMITED 中國長白山國際控股有限公司</t>
        </is>
      </c>
    </row>
    <row r="54">
      <c r="A54" s="8" t="inlineStr">
        <is>
          <t>Impairment Testing</t>
        </is>
      </c>
      <c r="B54" s="8" t="inlineStr">
        <is>
          <t>減值測試</t>
        </is>
      </c>
      <c r="C54" s="19" t="inlineStr">
        <is>
          <t>high</t>
        </is>
      </c>
      <c r="D54" s="11" t="inlineStr">
        <is>
          <t>fair value less costs</t>
        </is>
      </c>
      <c r="E54" s="11" t="inlineStr">
        <is>
          <t>PDF p.185 (印刷頁 184)</t>
        </is>
      </c>
      <c r="F54" s="11" t="inlineStr">
        <is>
          <t>ent reviews the assumptions 對持作出售之人參資產之公允價值產生 and estimates periodically to identify any significant change in the 重大影響。管理層會定期檢討該等假設 fair value less costs to sell of the ginseng assets held for sale. 及估計，以識別種植人參資產之公允價 值減銷售成本是否出現任何重大變動。 The carrying amount of the Group’s ginseng assets held for sale as 本集團於二零二六年三月三十一日之持 at 31 March 2026 is approximately RMB101,700,000 (2025: Nil). 作出售之人參資產賬面值約為人民幣 101,700,000元（二零二五年：無）。 PRC Land Appreciation Tax (“LAT”) 中國土地增值稅（「土地增值稅」） LAT in the PRC is levied at progressive rates ranging from</t>
        </is>
      </c>
    </row>
    <row r="55">
      <c r="A55" s="8" t="inlineStr">
        <is>
          <t>Impairment Testing</t>
        </is>
      </c>
      <c r="B55" s="8" t="inlineStr">
        <is>
          <t>減值測試</t>
        </is>
      </c>
      <c r="C55" s="19" t="inlineStr">
        <is>
          <t>high</t>
        </is>
      </c>
      <c r="D55" s="11" t="inlineStr">
        <is>
          <t>recoverable amount</t>
        </is>
      </c>
      <c r="E55" s="11" t="inlineStr">
        <is>
          <t>PDF p.187 (印刷頁 186)</t>
        </is>
      </c>
      <c r="F55" s="11" t="inlineStr">
        <is>
          <t>進行減值測試。倘資產或現金產生單位 An impairment exists when the carrying value of an asset or a 之賬面值超出其可收回金額（即其公允價 cash-generating unit exceeds its recoverable amount, which is the 值減出售成本與其使用價值之較高者）， higher of its fair value less costs of disposal and its value in use. 則出現減值。公允價值減出售成本乃根 The calculation of the fair value less costs of disposal is based 據從類似資產經公平磋商進行受約束銷 on available data from binding sales transactions in an arm’s 售交易可用之數據或可觀察之市價減出 length transaction of similar assets or observable market prices 售該資產之遞增成本而計量。於計算使 less incremen</t>
        </is>
      </c>
    </row>
    <row r="56">
      <c r="A56" s="8" t="inlineStr">
        <is>
          <t>Impairment Testing</t>
        </is>
      </c>
      <c r="B56" s="8" t="inlineStr">
        <is>
          <t>減值測試</t>
        </is>
      </c>
      <c r="C56" s="19" t="inlineStr">
        <is>
          <t>high</t>
        </is>
      </c>
      <c r="D56" s="11" t="inlineStr">
        <is>
          <t>impairment loss</t>
        </is>
      </c>
      <c r="E56" s="11" t="inlineStr">
        <is>
          <t>PDF p.191 (印刷頁 190)</t>
        </is>
      </c>
      <c r="F56" s="11" t="inlineStr">
        <is>
          <t>come 銀行利息收入 13 – Finance costs 融資成本 (49,450) (1,990) Change in fair value of derivative 衍生金融工具之公允 financial instruments 價值變動 (282) – Impairment loss on the disposal 分類為持作出售之出 group classified as held for sale 售組別減值虧損 (47,082) – Unallocated head office expenses 未分配總部開支 (24,896) – Loss before tax 除稅前虧損 (782,550) (165,491) Income tax 所得稅 70,516 24,619 Loss for the year 年內虧損 (712,034) (140,872) Segment assets: 分部資產： Reportable segment assets 可呈報分部資產 349,731 32,426 382,157 318,600 Deferred tax assets 遞延稅項資產 10,737 – Prepaid income t</t>
        </is>
      </c>
    </row>
    <row r="57">
      <c r="A57" s="8" t="inlineStr">
        <is>
          <t>Impairment Testing</t>
        </is>
      </c>
      <c r="B57" s="8" t="inlineStr">
        <is>
          <t>減值測試</t>
        </is>
      </c>
      <c r="C57" s="19" t="inlineStr">
        <is>
          <t>high</t>
        </is>
      </c>
      <c r="D57" s="11" t="inlineStr">
        <is>
          <t>impairment loss</t>
        </is>
      </c>
      <c r="E57" s="11" t="inlineStr">
        <is>
          <t>PDF p.197 (印刷頁 196)</t>
        </is>
      </c>
      <c r="F57" s="11" t="inlineStr">
        <is>
          <t>write-down of properties 發展中物業及已落成物業 under development and completed 撇減至可變現淨值增加 properties to net realisable value 4,502*** 643,285* Impairment loss on assets associated 與分類為持作出售之 with disposal group classified as 出售組別有關之資產減值虧損 held for sale – 47,082* * These items are included in other expenses in the consolidated * 有關項目計入綜合損益表之其他開支。 statement of profit or loss. ** These items are included in other income and gains in the consolidated ** 有關項目計入綜合損益表之其他收入及收 statement of profit or loss. 益。 *** This item is included in cost of sa</t>
        </is>
      </c>
    </row>
    <row r="58">
      <c r="A58" s="8" t="inlineStr">
        <is>
          <t>Impairment Testing</t>
        </is>
      </c>
      <c r="B58" s="8" t="inlineStr">
        <is>
          <t>減值測試</t>
        </is>
      </c>
      <c r="C58" s="19" t="inlineStr">
        <is>
          <t>high</t>
        </is>
      </c>
      <c r="D58" s="11" t="inlineStr">
        <is>
          <t>impairment loss</t>
        </is>
      </c>
      <c r="E58" s="11" t="inlineStr">
        <is>
          <t>PDF p.206 (印刷頁 205)</t>
        </is>
      </c>
      <c r="F58" s="11" t="inlineStr">
        <is>
          <t>年 amount 三月三十一日， 賬面淨值 134 – – 134 At 31 March 2026: 於二零二六年 三月三十一日： Cost 成本 5,702 7,887 273 13,862 Accumulated depreciation 累計折舊及 and impairment loss 減值虧損 (5,568) (7,887) (273) (13,728) Net carrying amount 賬面淨值 134 – – 134 Annual Report 2025/26 年報 205</t>
        </is>
      </c>
    </row>
    <row r="59">
      <c r="A59" s="8" t="inlineStr">
        <is>
          <t>Impairment Testing</t>
        </is>
      </c>
      <c r="B59" s="8" t="inlineStr">
        <is>
          <t>減值測試</t>
        </is>
      </c>
      <c r="C59" s="19" t="inlineStr">
        <is>
          <t>high</t>
        </is>
      </c>
      <c r="D59" s="11" t="inlineStr">
        <is>
          <t>impairment loss</t>
        </is>
      </c>
      <c r="E59" s="11" t="inlineStr">
        <is>
          <t>PDF p.207 (印刷頁 206)</t>
        </is>
      </c>
      <c r="F59" s="11" t="inlineStr">
        <is>
          <t>年 amount 三月三十一日， 賬面淨值 687 – – 687 At 31 March 2025: 於二零二五年 三月三十一日： Cost 成本 5,395 7,887 273 13,555 Accumulated depreciation 累計折舊及 and impairment loss 減值虧損 (4,708) (7,887) (273) (12,868) Net carrying amount 賬面淨值 687 – – 687 206 CHINA CHANGBAISHAN INTERNATIONAL HOLDINGS LIMITED 中國長白山國際控股有限公司</t>
        </is>
      </c>
    </row>
    <row r="60">
      <c r="A60" s="8" t="inlineStr">
        <is>
          <t>Impairment Testing</t>
        </is>
      </c>
      <c r="B60" s="8" t="inlineStr">
        <is>
          <t>減值測試</t>
        </is>
      </c>
      <c r="C60" s="19" t="inlineStr">
        <is>
          <t>high</t>
        </is>
      </c>
      <c r="D60" s="11" t="inlineStr">
        <is>
          <t>減值虧損</t>
        </is>
      </c>
      <c r="E60" s="11" t="inlineStr">
        <is>
          <t>PDF p.215 (印刷頁 214)</t>
        </is>
      </c>
      <c r="F60" s="11" t="inlineStr">
        <is>
          <t>一日止年度 16. DEFERRED TAX (Continued) 16. 遞延稅項（續） Deferred tax assets 遞延稅項資產 Deemed profit Impairment for pre-sales losses Total 視作預售溢利 減值虧損 總計 RMB’000 RMB’000 RMB’000 人民幣千元 人民幣千元 人民幣千元 At 1 April 2024 於二零二四年四月一日 3,981 9,306 13,287 Charged to profit or loss 扣除自損益 (2,550) – (2,550) At 31 March 2025 於二零二五年三月三十一日 1,431 9,306 10,737 At 1 April 2025 於二零二五年四月一日 1,431 9,306 10,737 Reclassified to disposal group 重新分類為持作出售之 classified as held for sale 出售組別（附註30(c)） (note 30(c)) (1,118) (8,442) (9,560) At 31 March 2026 於二零二六年三月三十一日 313 864</t>
        </is>
      </c>
    </row>
    <row r="61">
      <c r="A61" s="8" t="inlineStr">
        <is>
          <t>Impairment Testing</t>
        </is>
      </c>
      <c r="B61" s="8" t="inlineStr">
        <is>
          <t>減值測試</t>
        </is>
      </c>
      <c r="C61" s="19" t="inlineStr">
        <is>
          <t>high</t>
        </is>
      </c>
      <c r="D61" s="11" t="inlineStr">
        <is>
          <t>fair value less costs</t>
        </is>
      </c>
      <c r="E61" s="11" t="inlineStr">
        <is>
          <t>PDF p.222 (印刷頁 221)</t>
        </is>
      </c>
      <c r="F61" s="11" t="inlineStr">
        <is>
          <t>價上升，則公允 value less costs to sell. The higher the unit cost of harvesting and 價值減銷售成本上升。收穫單位成本及 other selling expenses, the lower the fair value less costs to sell. 其他銷售開支上升，則公允價值減銷售 成本下降。 Annual Report 2025/26 年報 221</t>
        </is>
      </c>
    </row>
    <row r="62">
      <c r="A62" s="8" t="inlineStr">
        <is>
          <t>Impairment Testing</t>
        </is>
      </c>
      <c r="B62" s="8" t="inlineStr">
        <is>
          <t>減值測試</t>
        </is>
      </c>
      <c r="C62" s="19" t="inlineStr">
        <is>
          <t>high</t>
        </is>
      </c>
      <c r="D62" s="11" t="inlineStr">
        <is>
          <t>impairment loss</t>
        </is>
      </c>
      <c r="E62" s="11" t="inlineStr">
        <is>
          <t>PDF p.225 (印刷頁 224)</t>
        </is>
      </c>
      <c r="F62" s="11" t="inlineStr">
        <is>
          <t>uction of 各項已付當地政府機關之按金，可於 property projects which would be refundable upon completion 發展項目完成時退還。該等結餘已於 of the development projects. Impairment loss had been provided 過往年度全數計提減值虧損。 on the entire balances in prior years. (d) Movement in provision for impairment of other receivables are as (d) 其他應收款項減值撥備之變動如下： follows: 2026 2025 二零二六年 二零二五年 RMB’000 RMB’000 人民幣千元 人民幣千元 At the beginning of the reporting 於報告期初 period 24,087 70,934 Increase in provision for impairment 減值撥備增加 530 – Reclassified to disposal group 重新分類為持作出售之出售組別 classif</t>
        </is>
      </c>
    </row>
    <row r="63">
      <c r="A63" s="8" t="inlineStr">
        <is>
          <t>Impairment Testing</t>
        </is>
      </c>
      <c r="B63" s="8" t="inlineStr">
        <is>
          <t>減值測試</t>
        </is>
      </c>
      <c r="C63" s="19" t="inlineStr">
        <is>
          <t>high</t>
        </is>
      </c>
      <c r="D63" s="11" t="inlineStr">
        <is>
          <t>impairment loss</t>
        </is>
      </c>
      <c r="E63" s="11" t="inlineStr">
        <is>
          <t>PDF p.265 (印刷頁 264)</t>
        </is>
      </c>
      <c r="F63" s="11" t="inlineStr">
        <is>
          <t>經驗以及歷史結算及過往經 management income is assessed to be 10% to 100% (2025: 驗計算。來自物業管理收入的整體應收 10% to 100%). The Group has a policy of making impairment loss 貿易賬款及租賃應收款項的預期虧損率 allowance on the gross carrying amount when the financial asset is 估算為10%至100%（二零二五年：10% 1 year past due. At the end of the reporting period, certain trade and 至100%）。本集團政策規定，須在金融 lease receivables were considered as credit-impaired and provision 資產逾期一年時計提賬面值總額減值虧 for impairment of RMB13,751,000 (2025: RMB13,920,000) were 損撥備。於報告期末，若干應收貿易賬 provided. 款及租賃應收款項被視為已作出</t>
        </is>
      </c>
    </row>
    <row r="64">
      <c r="A64" s="8" t="inlineStr">
        <is>
          <t>Intangible Assets &amp; Goodwill</t>
        </is>
      </c>
      <c r="B64" s="8" t="inlineStr">
        <is>
          <t>無形資產及商譽</t>
        </is>
      </c>
      <c r="C64" s="19" t="inlineStr">
        <is>
          <t>high</t>
        </is>
      </c>
      <c r="D64" s="11" t="inlineStr">
        <is>
          <t>攤銷</t>
        </is>
      </c>
      <c r="E64" s="11" t="inlineStr">
        <is>
          <t>PDF p.27 (印刷頁 26)</t>
        </is>
      </c>
      <c r="F64" s="11" t="inlineStr">
        <is>
          <t>of each reporting date. 報告日末以公允價值重新計量。負債部分指 The liability component represents the debt portion and is classified as 債務部分，分類為本集團之負債，以攤銷成 a liability to the Group which is carried at amortised cost. The equity 本計量。權益部分指可換股債券所附的轉換 component represents the conversion rights attached to the convertible 權，並分類為本集團之權益，其後不再重新 bonds and is classified as equity to the Group which is not re-measured 計量。 subsequently. 26 CHINA CHANGBAISHAN INTERNATIONAL HOLDINGS LIMITED 中國長白山國際控股有限公司</t>
        </is>
      </c>
    </row>
    <row r="65">
      <c r="A65" s="8" t="inlineStr">
        <is>
          <t>Intangible Assets &amp; Goodwill</t>
        </is>
      </c>
      <c r="B65" s="8" t="inlineStr">
        <is>
          <t>無形資產及商譽</t>
        </is>
      </c>
      <c r="C65" s="19" t="inlineStr">
        <is>
          <t>high</t>
        </is>
      </c>
      <c r="D65" s="11" t="inlineStr">
        <is>
          <t>goodwill</t>
        </is>
      </c>
      <c r="E65" s="11" t="inlineStr">
        <is>
          <t>PDF p.146 (印刷頁 145)</t>
        </is>
      </c>
      <c r="F65" s="11" t="inlineStr">
        <is>
          <t>saction. 喪失控制權）於入賬時列作權益交易。 If the Group loses control over a subsidiary, it derecognises (i) the 倘本集團失去附屬公司之控制權，則會 assets (including goodwill) and liabilities of the subsidiary, and (ii) the 終止確認(i)該附屬公司之資產（包括商 carrying amount of any non-controlling interest and recognises (i) 譽）及負債；及(ii)任何非控股權益之賬 the fair value of the consideration received, (ii) the fair value of any 面值；並確認(i)已收代價之公允價值；(ii) investment retained and (iii) any resulting surplus or deficit in profit 任何獲保留投資之公允價值；及(iii)其因 or loss. The Group’s share of components p</t>
        </is>
      </c>
    </row>
    <row r="66">
      <c r="A66" s="8" t="inlineStr">
        <is>
          <t>Intangible Assets &amp; Goodwill</t>
        </is>
      </c>
      <c r="B66" s="8" t="inlineStr">
        <is>
          <t>無形資產及商譽</t>
        </is>
      </c>
      <c r="C66" s="19" t="inlineStr">
        <is>
          <t>high</t>
        </is>
      </c>
      <c r="D66" s="11" t="inlineStr">
        <is>
          <t>goodwill</t>
        </is>
      </c>
      <c r="E66" s="11" t="inlineStr">
        <is>
          <t>PDF p.148 (印刷頁 147)</t>
        </is>
      </c>
      <c r="F66" s="11" t="inlineStr">
        <is>
          <t>2.4 SUMMARY OF SIGNIFICANT ACCOUNTING 2.4 主要會計政策概要 POLICIES Business combinations and goodwill 業務合併及商譽 Business combinations are accounted for using the acquisition 業務合併乃以收購法入賬。轉讓之代價 method. The consideration transferred is measured at the acquisition 乃以收購日期之公允價值計算，該公允 date fair value which is the sum of the acquisition date fair values of 價值為本集團轉讓之資產、本集團自被 assets transferred by the Group, liabilities assumed by the Group to 收購方之前擁有人承擔之負債及本集團 the former owners of the acquiree and t</t>
        </is>
      </c>
    </row>
    <row r="67">
      <c r="A67" s="8" t="inlineStr">
        <is>
          <t>Intangible Assets &amp; Goodwill</t>
        </is>
      </c>
      <c r="B67" s="8" t="inlineStr">
        <is>
          <t>無形資產及商譽</t>
        </is>
      </c>
      <c r="C67" s="19" t="inlineStr">
        <is>
          <t>high</t>
        </is>
      </c>
      <c r="D67" s="11" t="inlineStr">
        <is>
          <t>goodwill</t>
        </is>
      </c>
      <c r="E67" s="11" t="inlineStr">
        <is>
          <t>PDF p.149 (印刷頁 148)</t>
        </is>
      </c>
      <c r="F67" s="11" t="inlineStr">
        <is>
          <t>31 March 2026 截至二零二六年三月三十一日止年度 2.4 SUMMARY OF SIGNIFICANT ACCOUNTING 2.4 主要會計政策概要（續） POLICIES (Continued) Business combinations and goodwill (Continued) 業務合併及商譽（續） Goodwill is initially measured at cost, being the excess of the 商譽初步按成本計量，即已轉讓總代 aggregate of the consideration transferred, the amount recognised 價、已確認非控股權益及本集團先前持 for non-controlling interests and any fair value of the Group’s 有之被收購方股權之任何公允價值，超 previously held equity interests in the acquiree over the identifiable 逾與所收購可識別資產淨值及所承擔負 net assets acquired and liabilit</t>
        </is>
      </c>
    </row>
    <row r="68">
      <c r="A68" s="8" t="inlineStr">
        <is>
          <t>Intangible Assets &amp; Goodwill</t>
        </is>
      </c>
      <c r="B68" s="8" t="inlineStr">
        <is>
          <t>無形資產及商譽</t>
        </is>
      </c>
      <c r="C68" s="19" t="inlineStr">
        <is>
          <t>high</t>
        </is>
      </c>
      <c r="D68" s="11" t="inlineStr">
        <is>
          <t>goodwill</t>
        </is>
      </c>
      <c r="E68" s="11" t="inlineStr">
        <is>
          <t>PDF p.150 (印刷頁 149)</t>
        </is>
      </c>
      <c r="F68" s="11" t="inlineStr">
        <is>
          <t>2.4 SUMMARY OF SIGNIFICANT ACCOUNTING 2.4 主要會計政策概要（續） POLICIES (Continued) Business combinations and goodwill (Continued) 業務合併及商譽（續） For the business combination under common control, the financial 對於受共同控制之業務合併，本集團之 statements of the Group and the acquired subsidiaries have been 財務報表及所收購附屬公司已綜合入 combined, as if the Group acquired such subsidiaries from the 賬，猶如本集團於出現共同控制之最早 beginning of the earliest financial period that common control 財務期間初所收購該等附屬公司。本集 existed. The net assets of the Group and th</t>
        </is>
      </c>
    </row>
    <row r="69">
      <c r="A69" s="8" t="inlineStr">
        <is>
          <t>Intangible Assets &amp; Goodwill</t>
        </is>
      </c>
      <c r="B69" s="8" t="inlineStr">
        <is>
          <t>無形資產及商譽</t>
        </is>
      </c>
      <c r="C69" s="19" t="inlineStr">
        <is>
          <t>high</t>
        </is>
      </c>
      <c r="D69" s="11" t="inlineStr">
        <is>
          <t>goodwill</t>
        </is>
      </c>
      <c r="E69" s="11" t="inlineStr">
        <is>
          <t>PDF p.151 (印刷頁 150)</t>
        </is>
      </c>
      <c r="F69" s="11" t="inlineStr">
        <is>
          <t>measurement as a whole) at the end of 是否發生不同等級轉移。 each reporting period. Impairment of non-financial assets other than 非金融資產（商譽除外）減值 goodwill Where an indication of impairment exists, or when annual 倘存在減值跡象，或須每年對資產（存 impairment testing for an asset is required (other than inventories, 貨、金融資產及投資物業除外）作減值測 financial assets and investment properties), the asset’s recoverable 試時，資產之可收回金額會予以估計。 amount is estimated. An asset’s recoverable amount is the higher 資產之可收回金額乃資產或現金產生單 of the asset’s or cash-generating unit’s value in use and</t>
        </is>
      </c>
    </row>
    <row r="70">
      <c r="A70" s="8" t="inlineStr">
        <is>
          <t>Intangible Assets &amp; Goodwill</t>
        </is>
      </c>
      <c r="B70" s="8" t="inlineStr">
        <is>
          <t>無形資產及商譽</t>
        </is>
      </c>
      <c r="C70" s="19" t="inlineStr">
        <is>
          <t>high</t>
        </is>
      </c>
      <c r="D70" s="11" t="inlineStr">
        <is>
          <t>goodwill</t>
        </is>
      </c>
      <c r="E70" s="11" t="inlineStr">
        <is>
          <t>PDF p.152 (印刷頁 151)</t>
        </is>
      </c>
      <c r="F70" s="11" t="inlineStr">
        <is>
          <t>UMMARY OF SIGNIFICANT ACCOUNTING 2.4 主要會計政策概要（續） POLICIES (Continued) Impairment of non-financial assets other than 非金融資產（商譽除外）減值（續） goodwill (Continued) An impairment loss is recognised only if the carrying amount of an 減值虧損僅於資產之賬面金額超過其可 asset exceeds its recoverable amount. In assessing value in use, 收回金額時確認。在評估使用價值時， the estimated future cash flows are discounted to their present 估計日後現金流量按能反映當時市場對 value using a pre-tax discount rate that reflects current market 貨幣時值及該項資產特定風險之評估之 assessments of the time value of money and the</t>
        </is>
      </c>
    </row>
    <row r="71">
      <c r="A71" s="8" t="inlineStr">
        <is>
          <t>Intangible Assets &amp; Goodwill</t>
        </is>
      </c>
      <c r="B71" s="8" t="inlineStr">
        <is>
          <t>無形資產及商譽</t>
        </is>
      </c>
      <c r="C71" s="19" t="inlineStr">
        <is>
          <t>high</t>
        </is>
      </c>
      <c r="D71" s="11" t="inlineStr">
        <is>
          <t>useful life</t>
        </is>
      </c>
      <c r="E71" s="11" t="inlineStr">
        <is>
          <t>PDF p.154 (印刷頁 153)</t>
        </is>
      </c>
      <c r="F71" s="11" t="inlineStr">
        <is>
          <t>the 折舊乃按其估計可使用年期以直線法撇 cost of each item of property, plant and equipment to its residual 銷各物業、機器及設備項目之成本至其 value over its estimated useful life. The principal annual rates used 剩餘價值。就此所使用之主要年折舊率 for this purpose are as follows: 如下： Furniture and fixtures and office equipment 20% to 33% 傢俱、裝置及辦公設備 20%至33% Leasehold improvements Over the shorter of the 租賃裝修 於租賃年期內或20% lease terms and 20% （以較短者為準） Motor vehicles 20% to 30% 汽車 20%至30% Where parts of an item of property, plant and equipment have 倘物業、機器及設備項目之各部分有不 different useful l</t>
        </is>
      </c>
    </row>
    <row r="72">
      <c r="A72" s="8" t="inlineStr">
        <is>
          <t>Intangible Assets &amp; Goodwill</t>
        </is>
      </c>
      <c r="B72" s="8" t="inlineStr">
        <is>
          <t>無形資產及商譽</t>
        </is>
      </c>
      <c r="C72" s="19" t="inlineStr">
        <is>
          <t>high</t>
        </is>
      </c>
      <c r="D72" s="11" t="inlineStr">
        <is>
          <t>useful life</t>
        </is>
      </c>
      <c r="E72" s="11" t="inlineStr">
        <is>
          <t>PDF p.158 (印刷頁 157)</t>
        </is>
      </c>
      <c r="F72" s="11" t="inlineStr">
        <is>
          <t>roup will exercise a 本反映本集團將行使購買選擇權 – 在 purchase option – in which case depreciation is provided over 此情況下，將於相關資產估計可使用 the estimated useful life of the underlying asset) as follows: 年期內計提折舊）如下： Office and other premises 1-3 years 辦公室及其他物業 1-3年 Annual Report 2025/26 年報 157</t>
        </is>
      </c>
    </row>
    <row r="73">
      <c r="A73" s="8" t="inlineStr">
        <is>
          <t>Intangible Assets &amp; Goodwill</t>
        </is>
      </c>
      <c r="B73" s="8" t="inlineStr">
        <is>
          <t>無形資產及商譽</t>
        </is>
      </c>
      <c r="C73" s="19" t="inlineStr">
        <is>
          <t>high</t>
        </is>
      </c>
      <c r="D73" s="11" t="inlineStr">
        <is>
          <t>攤銷</t>
        </is>
      </c>
      <c r="E73" s="11" t="inlineStr">
        <is>
          <t>PDF p.163 (印刷頁 162)</t>
        </is>
      </c>
      <c r="F73" s="11" t="inlineStr">
        <is>
          <t>at their transaction price. 賬款初步按彼等的交易價計量。 On initial recognition, a financial asset is classified as (i) measured 初步確認時，金融資產分類為(i)按攤銷 at amortised cost; (ii) debt instruments at fair value through other 成本計量；(ii)按公允價值計入其他全面 comprehensive income (“FVOCI”); (iii) equity instruments at FVOCI; 收入（「按公允價值計入其他全面收入」） or (iv) measured at FVPL. 的債務工具；(iii)按公允價值計入其他全 面收入的股本投資；或(iv)按公允價值計 入損益計量。 The classification of financial assets at initial recognition depends on 初步確認時的金融資產分類取決於本集 the Group’s business model for managing the financial</t>
        </is>
      </c>
    </row>
    <row r="74">
      <c r="A74" s="8" t="inlineStr">
        <is>
          <t>Intangible Assets &amp; Goodwill</t>
        </is>
      </c>
      <c r="B74" s="8" t="inlineStr">
        <is>
          <t>無形資產及商譽</t>
        </is>
      </c>
      <c r="C74" s="19" t="inlineStr">
        <is>
          <t>high</t>
        </is>
      </c>
      <c r="D74" s="11" t="inlineStr">
        <is>
          <t>amortisation</t>
        </is>
      </c>
      <c r="E74" s="11" t="inlineStr">
        <is>
          <t>PDF p.164 (印刷頁 163)</t>
        </is>
      </c>
      <c r="F74" s="11" t="inlineStr">
        <is>
          <t>are subject 實際利率法計量並可能會出現減值。 to impairment. Gains and losses arising from impairment, 減值、終止確認或攤銷過程中產生的 derecognition or through the amortisation process are 收益及虧損於損益中確認。 recognised in profit or loss. The Group’s financial assets at amortised cost include trade and 本集團按攤銷成本計量的金融資產包 other receivables, pledged and restricted deposits and cash and 括應收貿易賬款及其他應收款項、已 cash equivalents. 抵押及受限制存款以及現金及現金等 價物。 Annual Report 2025/26 年報 163</t>
        </is>
      </c>
    </row>
    <row r="75">
      <c r="A75" s="8" t="inlineStr">
        <is>
          <t>Intangible Assets &amp; Goodwill</t>
        </is>
      </c>
      <c r="B75" s="8" t="inlineStr">
        <is>
          <t>無形資產及商譽</t>
        </is>
      </c>
      <c r="C75" s="19" t="inlineStr">
        <is>
          <t>high</t>
        </is>
      </c>
      <c r="D75" s="11" t="inlineStr">
        <is>
          <t>攤銷</t>
        </is>
      </c>
      <c r="E75" s="11" t="inlineStr">
        <is>
          <t>PDF p.165 (印刷頁 164)</t>
        </is>
      </c>
      <c r="F75" s="11" t="inlineStr">
        <is>
          <t>) 分類及計量（續） (2) Financial assets at FVPL (2) 按公允價值計入損益的金融資產 These investments include financial assets that are not measured 該等投資包括並非按攤銷成本或按公 at amortised cost or FVOCI, including financial assets held for 允價值計入其他全面收入的金融資 trading, financial assets designated upon initial recognition as at 產，包括持作買賣的金融資產、於初 FVPL, financial assets resulting from a contingent consideration 始確認時指定為按公允價值計入損益 arrangement in a business combination to which HKFRS 3 的金融資產及因香港財務報告準則 applies and financial assets that are otherwise required to be 第3號適用的業務合併中</t>
        </is>
      </c>
    </row>
    <row r="76">
      <c r="A76" s="8" t="inlineStr">
        <is>
          <t>Intangible Assets &amp; Goodwill</t>
        </is>
      </c>
      <c r="B76" s="8" t="inlineStr">
        <is>
          <t>無形資產及商譽</t>
        </is>
      </c>
      <c r="C76" s="19" t="inlineStr">
        <is>
          <t>high</t>
        </is>
      </c>
      <c r="D76" s="11" t="inlineStr">
        <is>
          <t>攤銷</t>
        </is>
      </c>
      <c r="E76" s="11" t="inlineStr">
        <is>
          <t>PDF p.166 (印刷頁 165)</t>
        </is>
      </c>
      <c r="F76" s="11" t="inlineStr">
        <is>
          <t>using the effective interest method, 初步按其公允價值確認，並於其後採用 unless the effect of discounting would be insignificant, in which case 實際利率法按攤銷成本計量，除非貼現 they are stated at cost. 影響並不重大，則按成本列賬。 Derivatives embedded in a hybrid contract with a host that is not 嵌入混合合約（其主要資產並非為香港財 an asset within the scope of HKFRS 9 are treated as separate 務報告準則第9號範圍內的資產）中的衍 derivatives when they meet the definition of a derivative, their 生工具在符合衍生工具的定義時會被視 economic characteristics and risks are not closely related to those 為獨立衍生工具，其經濟特徵及風險與 of the host, a</t>
        </is>
      </c>
    </row>
    <row r="77">
      <c r="A77" s="8" t="inlineStr">
        <is>
          <t>Intangible Assets &amp; Goodwill</t>
        </is>
      </c>
      <c r="B77" s="8" t="inlineStr">
        <is>
          <t>無形資產及商譽</t>
        </is>
      </c>
      <c r="C77" s="19" t="inlineStr">
        <is>
          <t>high</t>
        </is>
      </c>
      <c r="D77" s="11" t="inlineStr">
        <is>
          <t>攤銷</t>
        </is>
      </c>
      <c r="E77" s="11" t="inlineStr">
        <is>
          <t>PDF p.167 (印刷頁 166)</t>
        </is>
      </c>
      <c r="F77" s="11" t="inlineStr">
        <is>
          <t>omponent is determined using a market rate for an 可換股債券之市率釐定，而此金額按經 equivalent non-convertible bond; and this amount is carried as a 攤銷成本列賬為長期負債，直至於轉換 long term liability on the amortised cost basis until extinguished 或贖回時取消為止。餘下所得款項分配 on conversion or redemption. The remainder of the proceeds is 至換股權，然後於股東權益中確認及入 allocated to the conversion option that is recognised and included 賬，並扣除交易成本。換股權賬面值於 in shareholders’ equity, net of transaction costs. The carrying 其後年度不予重新計量。交易成本乃根 amount of the conversion option is not remeasured</t>
        </is>
      </c>
    </row>
    <row r="78">
      <c r="A78" s="8" t="inlineStr">
        <is>
          <t>Intangible Assets &amp; Goodwill</t>
        </is>
      </c>
      <c r="B78" s="8" t="inlineStr">
        <is>
          <t>無形資產及商譽</t>
        </is>
      </c>
      <c r="C78" s="19" t="inlineStr">
        <is>
          <t>high</t>
        </is>
      </c>
      <c r="D78" s="11" t="inlineStr">
        <is>
          <t>goodwill</t>
        </is>
      </c>
      <c r="E78" s="11" t="inlineStr">
        <is>
          <t>PDF p.174 (印刷頁 173)</t>
        </is>
      </c>
      <c r="F78" s="11" t="inlineStr">
        <is>
          <t>課稅暫時差額 differences, except: 而確認，惟下列情況除外： • when the deferred tax liability arises from the initial recognition • 遞延稅項負債乃因在一項並非業務合 of goodwill or an asset or liability in a transaction that is not 併之交易中初始確認商譽或資產或負 a business combination and, at the time of the transaction, 債而產生，且於交易時並不影響會計 affects neither the accounting profit nor taxable profit or loss and 溢利或應課稅溢利或虧損，且不會產 does not give rise to equal taxable and deductible temporary 生同等可課稅及可扣稅暫時差額；及 difference; and • in respect of taxable temporary differences associated with •</t>
        </is>
      </c>
    </row>
    <row r="79">
      <c r="A79" s="8" t="inlineStr">
        <is>
          <t>Intangible Assets &amp; Goodwill</t>
        </is>
      </c>
      <c r="B79" s="8" t="inlineStr">
        <is>
          <t>無形資產及商譽</t>
        </is>
      </c>
      <c r="C79" s="19" t="inlineStr">
        <is>
          <t>high</t>
        </is>
      </c>
      <c r="D79" s="11" t="inlineStr">
        <is>
          <t>攤銷</t>
        </is>
      </c>
      <c r="E79" s="11" t="inlineStr">
        <is>
          <t>PDF p.232 (印刷頁 231)</t>
        </is>
      </c>
      <c r="F79" s="11" t="inlineStr">
        <is>
          <t>cing 定價模型按各期末之公允價值重新計 model. The liability component of the 2023 CBs are subsequently 量。二零二三年可換股債券負債部分其 carried at amortised cost. 後按攤銷成本列賬。 At the date of conversion, the carrying values of the liability 於轉換日期，二零二三年可換股債券負 component of the 2023 CBs and of the early redemption right 債部分及提前贖回權特色之賬面值轉撥 features are transferred to equity. 至權益。 Up to the date of maturity of the 2023 CBs, if the bond holder 於二零二三年可換股債券到期日，若債 had not exercised the conversion option of the 2023 CBs. The 券持有人並沒有行使二零二三年可換股 equity component of the 2023 CB</t>
        </is>
      </c>
    </row>
    <row r="80">
      <c r="A80" s="8" t="inlineStr">
        <is>
          <t>Intangible Assets &amp; Goodwill</t>
        </is>
      </c>
      <c r="B80" s="8" t="inlineStr">
        <is>
          <t>無形資產及商譽</t>
        </is>
      </c>
      <c r="C80" s="19" t="inlineStr">
        <is>
          <t>high</t>
        </is>
      </c>
      <c r="D80" s="11" t="inlineStr">
        <is>
          <t>攤銷</t>
        </is>
      </c>
      <c r="E80" s="11" t="inlineStr">
        <is>
          <t>PDF p.258 (印刷頁 257)</t>
        </is>
      </c>
      <c r="F80" s="11" t="inlineStr">
        <is>
          <t>26 二零二六年 Financial assets 金融資產 Financial assets at fair value through Financial assets profit or loss at amortised 按公允價值 cost 計入損益之 按攤銷成本列賬 Total 金融資產 之金融資產 總計 RMB’000 RMB’000 RMB’000 人民幣千元 人民幣千元 人民幣千元 Financial assets included in trade and other 計入應收貿易賬款及其他應 receivables 收款項之金融資產 – 30,199 30,199 Derivative financial instruments 衍生金融工具 50 – 50 Pledged and restricted deposits 已抵押及受限制存款 – 797 797 Lease receivables 租賃應收款項 – 975 975 Cash and cash equivalents 現金及現金等價物 – 4,152 4,152 50 36,123 36,173 7, Financial liabilities 金融負債 Finan</t>
        </is>
      </c>
    </row>
    <row r="81">
      <c r="A81" s="8" t="inlineStr">
        <is>
          <t>Intangible Assets &amp; Goodwill</t>
        </is>
      </c>
      <c r="B81" s="8" t="inlineStr">
        <is>
          <t>無形資產及商譽</t>
        </is>
      </c>
      <c r="C81" s="19" t="inlineStr">
        <is>
          <t>high</t>
        </is>
      </c>
      <c r="D81" s="11" t="inlineStr">
        <is>
          <t>攤銷</t>
        </is>
      </c>
      <c r="E81" s="11" t="inlineStr">
        <is>
          <t>PDF p.259 (印刷頁 258)</t>
        </is>
      </c>
      <c r="F81" s="11" t="inlineStr">
        <is>
          <t>25 二零二五年 Financial assets 金融資產 Financial assets at fair value through profit or loss Financial assets at 按公允價值 amortised cost 計入損益之 按攤銷成本列賬 Total 金融資產 之金融資產 總計 RMB’000 RMB’000 RMB’000 人民幣千元 人民幣千元 人民幣千元 Financial assets included in trade and 計入應收貿易賬款及其他應 other receivables 收款項之金融資產 – 40,304 40,304 Derivative financial instruments 衍生金融工具 288 – 288 Pledged and restricted deposits 已抵押及受限制存款 – 3,324 3,324 Lease receivables 租賃應收款項 – 4,212 4,212 Cash and cash equivalents 現金及現金等價物 – 5,103 5,103 288 52,943 53,231 Financial liabilities 金融</t>
        </is>
      </c>
    </row>
    <row r="82">
      <c r="A82" s="8" t="inlineStr">
        <is>
          <t>Investment Properties</t>
        </is>
      </c>
      <c r="B82" s="8" t="inlineStr">
        <is>
          <t>投資物業</t>
        </is>
      </c>
      <c r="C82" s="19" t="inlineStr">
        <is>
          <t>high</t>
        </is>
      </c>
      <c r="D82" s="11" t="inlineStr">
        <is>
          <t>建築面積</t>
        </is>
      </c>
      <c r="E82" s="11" t="inlineStr">
        <is>
          <t>PDF p.12 (印刷頁 11)</t>
        </is>
      </c>
      <c r="F82" s="11" t="inlineStr">
        <is>
          <t>GFA of the remaining unsold units from 於二零二六年三月三十一日，二期餘下待 Phase Two comprised approximately 45,182 sq.m. of residential units, 售單位之總建築面積包括約45,182平方米 1,127 sq.m. of commercial units and 102 car park units, representing 住宅單位、1,127平方米商業單位及102個 approximately 84.3%, 81.4% and 95.3% of the respective total units 停車場單位，分別佔可供出售單位總數約 available for sale. 84.3%、81.4%及95.3%。 In order to maintain the Group’s sustainability, the Group’s management 鑒於吉林省物業市場持續低迷，為維持本集 has carried out a prudent search of new property projects in view of the 團</t>
        </is>
      </c>
    </row>
    <row r="83">
      <c r="A83" s="8" t="inlineStr">
        <is>
          <t>Investment Properties</t>
        </is>
      </c>
      <c r="B83" s="8" t="inlineStr">
        <is>
          <t>投資物業</t>
        </is>
      </c>
      <c r="C83" s="19" t="inlineStr">
        <is>
          <t>high</t>
        </is>
      </c>
      <c r="D83" s="11" t="inlineStr">
        <is>
          <t>投資物業</t>
        </is>
      </c>
      <c r="E83" s="11" t="inlineStr">
        <is>
          <t>PDF p.13 (印刷頁 12)</t>
        </is>
      </c>
      <c r="F83" s="11" t="inlineStr">
        <is>
          <t>of property projects in Baishan and 出售位於白山和延吉的物業項目，其中包 Yanji. This included the Group’s investment properties of Guangze 括本集團廣澤國際購物中心投資物業（自有 International Shopping Centre – self owned and leased portion. Such 及租賃部分）。截至二零二六年三月三十一 property investment segment was disposed of as at 31 March 2026. 日，已出售該物業投資分部。 Despite of the Group’s presentation of the property investment business 儘管本集團就會計目的而言根據香港財務報 segment as a discontinued operation in accordance with HKFRS5 for 告準則第5號將物業投資業務分部呈列為已 accounting purpose, the Group’s management cons</t>
        </is>
      </c>
    </row>
    <row r="84">
      <c r="A84" s="8" t="inlineStr">
        <is>
          <t>Investment Properties</t>
        </is>
      </c>
      <c r="B84" s="8" t="inlineStr">
        <is>
          <t>投資物業</t>
        </is>
      </c>
      <c r="C84" s="19" t="inlineStr">
        <is>
          <t>high</t>
        </is>
      </c>
      <c r="D84" s="11" t="inlineStr">
        <is>
          <t>投資物業</t>
        </is>
      </c>
      <c r="E84" s="11" t="inlineStr">
        <is>
          <t>PDF p.21 (印刷頁 20)</t>
        </is>
      </c>
      <c r="F84" s="11" t="inlineStr">
        <is>
          <t>ems were recorded during the current financial 本財政年度概無錄得該項目。 year. Key changes to financial position 財務狀況之主要變動 Investment properties 投資物業 As at 31 March 2025, the Group’s investment properties are primarily 於二零二五年三月三十一日，本集團投資物 certain shopping mall units in Baishan City, Jilin Province, namely 業主要為位於吉林省白山市之若干購物中 Guangze International Shopping Centre, which include self-owned 心單位（即廣澤國際購物中心），其中包括 portion and leased portion. These investment properties were stated at 自持部分及租賃部分。該等投資物業按公允 fair value and were valued by Colliers Appra</t>
        </is>
      </c>
    </row>
    <row r="85">
      <c r="A85" s="8" t="inlineStr">
        <is>
          <t>Investment Properties</t>
        </is>
      </c>
      <c r="B85" s="8" t="inlineStr">
        <is>
          <t>投資物業</t>
        </is>
      </c>
      <c r="C85" s="19" t="inlineStr">
        <is>
          <t>high</t>
        </is>
      </c>
      <c r="D85" s="11" t="inlineStr">
        <is>
          <t>投資物業</t>
        </is>
      </c>
      <c r="E85" s="11" t="inlineStr">
        <is>
          <t>PDF p.32 (印刷頁 31)</t>
        </is>
      </c>
      <c r="F85" s="11" t="inlineStr">
        <is>
          <t>or sale) granted: 分類為持作出售之出售組別有關之資產）： As at 31 March 於三月三十一日 2026 2025 二零二六年 二零二五年 RMB’000 RMB’000 人民幣千元 人民幣千元 Investment properties 投資物業 — 216,980 Completed properties held for sale 持作出售已落成物業 — 8,833 Assets associated with disposal group 與分類為持作出售之出售組別有關 classified as held for sale 之資產 — 494,128 Annual Report 2025/26 年報 31</t>
        </is>
      </c>
    </row>
    <row r="86">
      <c r="A86" s="8" t="inlineStr">
        <is>
          <t>Investment Properties</t>
        </is>
      </c>
      <c r="B86" s="8" t="inlineStr">
        <is>
          <t>投資物業</t>
        </is>
      </c>
      <c r="C86" s="19" t="inlineStr">
        <is>
          <t>high</t>
        </is>
      </c>
      <c r="D86" s="11" t="inlineStr">
        <is>
          <t>投資物業</t>
        </is>
      </c>
      <c r="E86" s="11" t="inlineStr">
        <is>
          <t>PDF p.133 (印刷頁 132)</t>
        </is>
      </c>
      <c r="F86" s="11" t="inlineStr">
        <is>
          <t>otes RMB’000 RMB’000 附註 人民幣千元 人民幣千元 NON-CURRENT ASSETS 非流動資產 Property, plant and equipment 物業、機器及設備 13 134 687 Investment properties 投資物業 14 – 315,288 Right-of-use assets 使用權資產 15 2,257 7,144 Lease receivables 租賃應收款項 15 910 4,107 Deferred tax assets 遞延稅項資產 16 1,177 10,737 Total non-current assets 非流動資產總值 4,478 337,963 CURRENT ASSETS 流動資產 Properties under development and 發展中物業及持作出售 completed properties held for sale 已落成物業 17 261,460 335,304 Ginseng assets held for sale 持作出售之人參資產 18 101,700 – Trade and other receivables 應收貿易賬款 及其</t>
        </is>
      </c>
    </row>
    <row r="87">
      <c r="A87" s="8" t="inlineStr">
        <is>
          <t>Investment Properties</t>
        </is>
      </c>
      <c r="B87" s="8" t="inlineStr">
        <is>
          <t>投資物業</t>
        </is>
      </c>
      <c r="C87" s="19" t="inlineStr">
        <is>
          <t>high</t>
        </is>
      </c>
      <c r="D87" s="11" t="inlineStr">
        <is>
          <t>投資物業</t>
        </is>
      </c>
      <c r="E87" s="11" t="inlineStr">
        <is>
          <t>PDF p.137 (印刷頁 136)</t>
        </is>
      </c>
      <c r="F87" s="11" t="inlineStr">
        <is>
          <t>益 18 (45,675) – Change in fair value of derivative 衍生金融工具公允價值 financial instruments 變動 26 228 282 Change of fair value of investment 投資物業公允價值變動 properties 14 9,188 170,912 Depreciation 折舊 15(a) 5,576 6,611 Loss on transfer to investment 轉撥分租物業至投資物業時 properties upon sublease 之虧損 241 – (18,400) (42,552) Decrease in properties under 發展中物業及持作出售 development and completed 已落成物業減少 properties held for sale 28,661 100,116 Increase in ginseng assets held for 持作出售之人參資產增加 sale (52,325) – (Increase)/decrease in trade and other 應收貿易賬款及其他應收 r</t>
        </is>
      </c>
    </row>
    <row r="88">
      <c r="A88" s="8" t="inlineStr">
        <is>
          <t>Investment Properties</t>
        </is>
      </c>
      <c r="B88" s="8" t="inlineStr">
        <is>
          <t>投資物業</t>
        </is>
      </c>
      <c r="C88" s="19" t="inlineStr">
        <is>
          <t>high</t>
        </is>
      </c>
      <c r="D88" s="11" t="inlineStr">
        <is>
          <t>投資物業</t>
        </is>
      </c>
      <c r="E88" s="11" t="inlineStr">
        <is>
          <t>PDF p.150 (印刷頁 149)</t>
        </is>
      </c>
      <c r="F88" s="11" t="inlineStr">
        <is>
          <t>its investment properties, derivative financial 本集團於各報告期末按公允價值計量其 instruments and biological assets at fair value at the end of each 投資物業、衍生金融工具及生物資產。 reporting period. Fair value is the price that would be received to 公允價值為市場參與者於計量日期在有 sell an asset or paid to transfer a liability in an orderly transaction 序交易中出售資產所收取或轉讓負債所 between market participants at the measurement date. Fair value 支付之價格。公允價值計量乃假設出售 measurement is based on the presumption that the transaction to 資產或轉讓負債之交易於資產或負債主 sell the asset or transfer the liability t</t>
        </is>
      </c>
    </row>
    <row r="89">
      <c r="A89" s="8" t="inlineStr">
        <is>
          <t>Investment Properties</t>
        </is>
      </c>
      <c r="B89" s="8" t="inlineStr">
        <is>
          <t>投資物業</t>
        </is>
      </c>
      <c r="C89" s="19" t="inlineStr">
        <is>
          <t>high</t>
        </is>
      </c>
      <c r="D89" s="11" t="inlineStr">
        <is>
          <t>投資物業</t>
        </is>
      </c>
      <c r="E89" s="11" t="inlineStr">
        <is>
          <t>PDF p.151 (印刷頁 150)</t>
        </is>
      </c>
      <c r="F89" s="11" t="inlineStr">
        <is>
          <t>n of impairment exists, or when annual 倘存在減值跡象，或須每年對資產（存 impairment testing for an asset is required (other than inventories, 貨、金融資產及投資物業除外）作減值測 financial assets and investment properties), the asset’s recoverable 試時，資產之可收回金額會予以估計。 amount is estimated. An asset’s recoverable amount is the higher 資產之可收回金額乃資產或現金產生單 of the asset’s or cash-generating unit’s value in use and its fair value 位之使用價值，以及其公允價值減出售 less costs of disposal, and is determined for an individual asset, 成本兩者之較高者，並就個別資產進行 unless the asset does not generate cash in</t>
        </is>
      </c>
    </row>
    <row r="90">
      <c r="A90" s="8" t="inlineStr">
        <is>
          <t>Investment Properties</t>
        </is>
      </c>
      <c r="B90" s="8" t="inlineStr">
        <is>
          <t>投資物業</t>
        </is>
      </c>
      <c r="C90" s="19" t="inlineStr">
        <is>
          <t>high</t>
        </is>
      </c>
      <c r="D90" s="11" t="inlineStr">
        <is>
          <t>investment property</t>
        </is>
      </c>
      <c r="E90" s="11" t="inlineStr">
        <is>
          <t>PDF p.157 (印刷頁 156)</t>
        </is>
      </c>
      <c r="F90" s="11" t="inlineStr">
        <is>
          <t>╱或作 the leasehold interest under an operating lease for a property which 資本增值而非用於生產或供應貨品或服 would otherwise meet the definition of an investment property) 務或行政目的，或在日常業務過程中出 held to earn rental income and/or for capital appreciation, rather 售之土地及樓宇之權益（包括以經營租 than for use in the production or supply of goods or services or 賃持有在其他方面符合投資物業定義之 for administrative purposes; or for sale in the ordinary course of 物業之租賃權益）。該等物業初步按成本 business. Such properties are measured initially at cost, including （包括交易成本）計量。初始確認後，投 transaction costs. S</t>
        </is>
      </c>
    </row>
    <row r="91">
      <c r="A91" s="8" t="inlineStr">
        <is>
          <t>Investment Properties</t>
        </is>
      </c>
      <c r="B91" s="8" t="inlineStr">
        <is>
          <t>投資物業</t>
        </is>
      </c>
      <c r="C91" s="19" t="inlineStr">
        <is>
          <t>high</t>
        </is>
      </c>
      <c r="D91" s="11" t="inlineStr">
        <is>
          <t>投資物業</t>
        </is>
      </c>
      <c r="E91" s="11" t="inlineStr">
        <is>
          <t>PDF p.190 (印刷頁 189)</t>
        </is>
      </c>
      <c r="F91" s="11" t="inlineStr">
        <is>
          <t>lities 負債總額 907,463 – Other segment information 其他分部資料 Capital expenditure* 資本開支* 474 – 474 2,403 Change in fair value of investment 投資物業之公允價值變動 properties – – – 9,188 Depreciation** 折舊** 472 2,880 3,352 388 Impairment on trade and 應收貿易賬款及其他 other receivables, net 應收款項減值淨值 361 – 361 – Write-down of completed properties 已落成物業撇減至可變現 to net realisable value 淨值 4,502 – 4,502 – Gain on initial recognition of ginseng assets 初始確認持作出售之人參資 held for sale 產之收益 – 45,675 45,675 – Change in fair value of ginseng assets held for 持作出售之人參資產之公允</t>
        </is>
      </c>
    </row>
    <row r="92">
      <c r="A92" s="8" t="inlineStr">
        <is>
          <t>Investment Properties</t>
        </is>
      </c>
      <c r="B92" s="8" t="inlineStr">
        <is>
          <t>投資物業</t>
        </is>
      </c>
      <c r="C92" s="19" t="inlineStr">
        <is>
          <t>high</t>
        </is>
      </c>
      <c r="D92" s="11" t="inlineStr">
        <is>
          <t>投資物業</t>
        </is>
      </c>
      <c r="E92" s="11" t="inlineStr">
        <is>
          <t>PDF p.192 (印刷頁 191)</t>
        </is>
      </c>
      <c r="F92" s="11" t="inlineStr">
        <is>
          <t>ontinued) 三十一日止年度（經 重列） （續） Other segment information 其他分部資料 Capital expenditure* 資本開支* – – – 573 Change in fair value of investment 投資物業之公允價值 properties 變動 – – – 170,912 Depreciation** 折舊** 635 2,880 3,515 161 Reversal of impairment on trade and 應收貿易賬款及其他 other receivables, net 應收款項減值撥回淨 值 (234) – (234) – Write-down of properties under 發展中物業撇減至可 development to net realisable value 變現淨值 643,285 – 643,285 – * During the year, the head office incurred capital expenditure of RMBnil * 年內，總部產生資本開支人民幣零元（二 (2025: RMB20,000) which repr</t>
        </is>
      </c>
    </row>
    <row r="93">
      <c r="A93" s="8" t="inlineStr">
        <is>
          <t>Investment Properties</t>
        </is>
      </c>
      <c r="B93" s="8" t="inlineStr">
        <is>
          <t>投資物業</t>
        </is>
      </c>
      <c r="C93" s="19" t="inlineStr">
        <is>
          <t>high</t>
        </is>
      </c>
      <c r="D93" s="11" t="inlineStr">
        <is>
          <t>投資物業</t>
        </is>
      </c>
      <c r="E93" s="11" t="inlineStr">
        <is>
          <t>PDF p.208 (印刷頁 207)</t>
        </is>
      </c>
      <c r="F93" s="11" t="inlineStr">
        <is>
          <t>14. INVESTMENT PROPERTIES 14. 投資物業 2026 2025 二零二六年 二零二五年 RMB’000 RMB’000 人民幣千元 人民幣千元 At the beginning of the 於報告期初 reporting period 315,288 486,200 Additions 添置 32,480 – Net loss on fair 公允價值調整之淨虧損 value adjustment (9,188) (170,912) Reclassified to disposal group 重新分類至分類為持作出售之 classified as held for sale 出售組別（附註30(c)） (note 30(c)) (338,580) – Reclassified to disposal group 重新分類至分類為持作出售之 classified as held for sale 出售組別 At the</t>
        </is>
      </c>
    </row>
    <row r="94">
      <c r="A94" s="8" t="inlineStr">
        <is>
          <t>Investment Properties</t>
        </is>
      </c>
      <c r="B94" s="8" t="inlineStr">
        <is>
          <t>投資物業</t>
        </is>
      </c>
      <c r="C94" s="19" t="inlineStr">
        <is>
          <t>high</t>
        </is>
      </c>
      <c r="D94" s="11" t="inlineStr">
        <is>
          <t>投資物業</t>
        </is>
      </c>
      <c r="E94" s="11" t="inlineStr">
        <is>
          <t>PDF p.209 (印刷頁 208)</t>
        </is>
      </c>
      <c r="F94" s="11" t="inlineStr">
        <is>
          <t>nsolidated Financial Statements 綜合財務報表附註 For the year ended 31 March 2026 截至二零二六年三月三十一日止年度 14. INVESTMENT PROPERTIES (Continued) 14. 投資物業（續） Leasing arrangement – the Group as lessor 租賃安排 – 本集團作為出租人 At the end of the reporting period, the Group leases out certain units 於報告期末，本集團根據經營租賃出租 of the shopping mall under operating leases with average lease 若干購物中心單位，平均租賃期為1至 terms of 1 to 10 years (2025: 1 to 10 years). These leases do not 10年（二零二五年：1至10年）。該等租 contain renewal or termination options. 賃並不包含續租或終止選擇權。 Accounting policies of</t>
        </is>
      </c>
    </row>
    <row r="95">
      <c r="A95" s="8" t="inlineStr">
        <is>
          <t>Investment Properties</t>
        </is>
      </c>
      <c r="B95" s="8" t="inlineStr">
        <is>
          <t>投資物業</t>
        </is>
      </c>
      <c r="C95" s="19" t="inlineStr">
        <is>
          <t>high</t>
        </is>
      </c>
      <c r="D95" s="11" t="inlineStr">
        <is>
          <t>投資物業</t>
        </is>
      </c>
      <c r="E95" s="11" t="inlineStr">
        <is>
          <t>PDF p.210 (印刷頁 209)</t>
        </is>
      </c>
      <c r="F95" s="11" t="inlineStr">
        <is>
          <t>5 於二零二五年四月一日 7,144 – 7,144 Additions 添置 – 32,271 32,271 Depreciation 折舊 (4,716) – (4,716) Classified as investment properties 在分租時分類為投資物業 upon subleases – (32,271) (32,271) Reclassified to disposal group classified as 重新分類為持作出售之出售組別 held for sale (note 30(c)) （附註30(c)） (159) – (159) Exchange realignment 匯兌調整 (12) (12) At 31 March 2026 於二零二六年三月三十一日 2,257 – 2,257 At 31 March 2026 於二零二六年三月三十一日 Cost 成本 13,155 – 13,155 Accumulated depreciation 累計折舊 (10,898) – (10,898) 2,257 – 2,257 Reconciliation of carrying amount 賬面值之對賬 – 截至 – yea</t>
        </is>
      </c>
    </row>
    <row r="96">
      <c r="A96" s="8" t="inlineStr">
        <is>
          <t>Investment Properties</t>
        </is>
      </c>
      <c r="B96" s="8" t="inlineStr">
        <is>
          <t>投資物業</t>
        </is>
      </c>
      <c r="C96" s="19" t="inlineStr">
        <is>
          <t>high</t>
        </is>
      </c>
      <c r="D96" s="11" t="inlineStr">
        <is>
          <t>投資物業</t>
        </is>
      </c>
      <c r="E96" s="11" t="inlineStr">
        <is>
          <t>PDF p.211 (印刷頁 210)</t>
        </is>
      </c>
      <c r="F96" s="11" t="inlineStr">
        <is>
          <t>團作為承租人（續） (a) Right-of-use assets (Continued) (a) 使用權資產（續） A loss of revaluation by RMB241,000 (2025: Nil) was recognised 於使用權資產重新分類為投資物業當 in the statement of profit or loss at the date of reclassification 日，已於損益表中確認重估虧損人民 from right-of-use assets to investment properties. 幣241,000元（二零二五年：無）。 Restrictions or covenants 限制或契諾 Most of the leases impose a restriction that, unless approval is 除非取得出租人批准，否則大部分租 obtained from the lessor, the right-of-use asset can only be used 賃訂有限制，使用權資產僅可供本集 by the Group. The Group is prohibited from</t>
        </is>
      </c>
    </row>
    <row r="97">
      <c r="A97" s="8" t="inlineStr">
        <is>
          <t>Investment Properties</t>
        </is>
      </c>
      <c r="B97" s="8" t="inlineStr">
        <is>
          <t>投資物業</t>
        </is>
      </c>
      <c r="C97" s="19" t="inlineStr">
        <is>
          <t>high</t>
        </is>
      </c>
      <c r="D97" s="11" t="inlineStr">
        <is>
          <t>投資物業</t>
        </is>
      </c>
      <c r="E97" s="11" t="inlineStr">
        <is>
          <t>PDF p.212 (印刷頁 211)</t>
        </is>
      </c>
      <c r="F97" s="11" t="inlineStr">
        <is>
          <t>At 31 March 2026, lease liabilities of RMB2,692,000 and 於二零二六年三月三十一日，與使用 RMBnil were related to right-of-use assets and leased 權資產及租賃投資物業相關之租賃 investment properties respectively (2025: RMB7,717,000 and 負債分別為人民幣2,692,000元及人 RMB17,847,000 respectively). 民幣零元（二零二五年：分別為人民 幣7,717,000元及人民幣17,847,000 元）。 The Group as lessor 本集團作為出租人 (c) Lease receivables under finance leases (c) 融資租賃項下之租賃應收款項 2026 2025 二零二六年 二零二五年 RMB’000 RMB’000 人民幣千元 人民幣千元 Net investment 投資淨額 975 4,212 The Group entered into finance leases arrangements as the 本集團作為若</t>
        </is>
      </c>
    </row>
    <row r="98">
      <c r="A98" s="8" t="inlineStr">
        <is>
          <t>Investment Properties</t>
        </is>
      </c>
      <c r="B98" s="8" t="inlineStr">
        <is>
          <t>投資物業</t>
        </is>
      </c>
      <c r="C98" s="19" t="inlineStr">
        <is>
          <t>high</t>
        </is>
      </c>
      <c r="D98" s="11" t="inlineStr">
        <is>
          <t>投資物業</t>
        </is>
      </c>
      <c r="E98" s="11" t="inlineStr">
        <is>
          <t>PDF p.214 (印刷頁 213)</t>
        </is>
      </c>
      <c r="F98" s="11" t="inlineStr">
        <is>
          <t>nce Fair value and fair value change of change of Revaluation of ginseng investment properties assets properties under held for sale 投資物業 development 持作出售之 折舊撥備及 發展中 人參資產 Prepaid tax Total 公允價值變動 物業之重估 公允價值變動 預付稅項 總計 RMB’000 RMB’000 RMB’000 RMB’000 RMB’000 人民幣千元 人民幣千元 人民幣千元 人民幣千元 人民幣千元 At 1 April 2024 於二零二四年四月一日 24,619 73,181 – 105 97,905 (Credited)/Charged to profit or loss （計入）╱扣除自損益 (24,619) (73,181) – 21 (97,779) At 31 March 2025 於二零二五年三月三十一日 – – – 126 126 At 1 April 2025 於二零二五年四月一日 – – – 126 126 Reclassified to disposal gr</t>
        </is>
      </c>
    </row>
    <row r="99">
      <c r="A99" s="8" t="inlineStr">
        <is>
          <t>Investment Properties</t>
        </is>
      </c>
      <c r="B99" s="8" t="inlineStr">
        <is>
          <t>投資物業</t>
        </is>
      </c>
      <c r="C99" s="19" t="inlineStr">
        <is>
          <t>high</t>
        </is>
      </c>
      <c r="D99" s="11" t="inlineStr">
        <is>
          <t>投資物業</t>
        </is>
      </c>
      <c r="E99" s="11" t="inlineStr">
        <is>
          <t>PDF p.223 (印刷頁 222)</t>
        </is>
      </c>
      <c r="F99" s="11" t="inlineStr">
        <is>
          <t>of the receivables approximate to their 項之賬面值與其公允價值相若。應收 fair values. Trade receivables are non-interest-bearing. The trade 貿易賬款不計利息。投資物業之應收 receivables of property investment were reclassified to the assets 貿易賬款於年內重新分類至與持作出 associated with disposal group held for sale during the year and 售之出售組別有關之資產，並於報告 disposed of at the end of the reporting period. 期末出售。 222 CHINA CHANGBAISHAN INTERNATIONAL HOLDINGS LIMITED 中國長白山國際控股有限公司</t>
        </is>
      </c>
    </row>
    <row r="100">
      <c r="A100" s="8" t="inlineStr">
        <is>
          <t>Investment Properties</t>
        </is>
      </c>
      <c r="B100" s="8" t="inlineStr">
        <is>
          <t>投資物業</t>
        </is>
      </c>
      <c r="C100" s="19" t="inlineStr">
        <is>
          <t>high</t>
        </is>
      </c>
      <c r="D100" s="11" t="inlineStr">
        <is>
          <t>投資物業</t>
        </is>
      </c>
      <c r="E100" s="11" t="inlineStr">
        <is>
          <t>PDF p.230 (印刷頁 229)</t>
        </is>
      </c>
      <c r="F100" s="11" t="inlineStr">
        <is>
          <t>tain connected parties of the Group. 二五年三月三十一日公允價值為人 These bank loans were reclassified to the liabilities associated 民幣217,000,000元之投資物業作抵 with disposal group classified as held for sale (note 30(c)) during 押，並由本集團若干關聯方之個人及 the year and disposed of at the and of the reporting period. 公司擔保作擔保。該等銀行貸款於年 內重新分類為與分類為持作出售之出 售組別相關之負債（附註30(c)），並 於報告期末出售。 (ii) As at 31 March 2025, the bank loan of RMB2.1 million (31 (ii) 於二零二五年三月三十一日，銀行貸 March 2025: RMB2.1 million) that bore interests at a floating rate 款人民幣2,100,000元（二零二六年 of loan prim</t>
        </is>
      </c>
    </row>
    <row r="101">
      <c r="A101" s="8" t="inlineStr">
        <is>
          <t>Investment Properties</t>
        </is>
      </c>
      <c r="B101" s="8" t="inlineStr">
        <is>
          <t>投資物業</t>
        </is>
      </c>
      <c r="C101" s="19" t="inlineStr">
        <is>
          <t>high</t>
        </is>
      </c>
      <c r="D101" s="11" t="inlineStr">
        <is>
          <t>投資物業</t>
        </is>
      </c>
      <c r="E101" s="11" t="inlineStr">
        <is>
          <t>PDF p.250 (印刷頁 249)</t>
        </is>
      </c>
      <c r="F101" s="11" t="inlineStr">
        <is>
          <t>MB’000 附註 人民幣千元 Assets and (liabilities) disposed of: 所出售資產及（負債）： Property, plant and equipment 物業、機器及設備 2,492 Investment properties 投資物業 338,580 Deferred tax assets 遞延稅項資產 16 9,560 Right-of-use assets 使用權資產 15 159 Properties under development and 發展中物業及持作出售已落成物業 completed properties held for sale 40,681 Trade and other receivables 應收貿易賬款及其他應收款項 9,235 Prepaid income tax 預付所得稅 5,993 Cash and cash equivalents 現金及現金等價物 14 2,771 Trade and other payables 應付貿易賬款及其他應付款項 (220,029) Contract liabilities 合約負債 22 (9,814) Lease liabilities</t>
        </is>
      </c>
    </row>
    <row r="102">
      <c r="A102" s="8" t="inlineStr">
        <is>
          <t>Investment Properties</t>
        </is>
      </c>
      <c r="B102" s="8" t="inlineStr">
        <is>
          <t>投資物業</t>
        </is>
      </c>
      <c r="C102" s="19" t="inlineStr">
        <is>
          <t>high</t>
        </is>
      </c>
      <c r="D102" s="11" t="inlineStr">
        <is>
          <t>投資物業</t>
        </is>
      </c>
      <c r="E102" s="11" t="inlineStr">
        <is>
          <t>PDF p.251 (印刷頁 250)</t>
        </is>
      </c>
      <c r="F102" s="11" t="inlineStr">
        <is>
          <t>e expenses 行政開支 (3,197) (2,438) Finance costs 融資成本 (1,339) (1,990) Other expenses 其他開支 (243) (89) Change in fair value of investment 投資物業的公允價值變動 properties (9,188) (170,912) Loss before tax for the year from 已終止經營業務之年內稅前虧損 discontinued operation (6,065) (165,491) Income tax 所得稅 – 24,619 Loss for the year from 已終止經營業務之年內虧損 discontinued operation (6,065) (140,872) 250 CHINA CHANGBAISHAN INTERNATIONAL HOLDINGS LIMITED 中國長白山國際控股有限公司</t>
        </is>
      </c>
    </row>
    <row r="103">
      <c r="A103" s="8" t="inlineStr">
        <is>
          <t>Investment Properties</t>
        </is>
      </c>
      <c r="B103" s="8" t="inlineStr">
        <is>
          <t>投資物業</t>
        </is>
      </c>
      <c r="C103" s="19" t="inlineStr">
        <is>
          <t>high</t>
        </is>
      </c>
      <c r="D103" s="11" t="inlineStr">
        <is>
          <t>投資物業</t>
        </is>
      </c>
      <c r="E103" s="11" t="inlineStr">
        <is>
          <t>PDF p.252 (印刷頁 251)</t>
        </is>
      </c>
      <c r="F103" s="11" t="inlineStr">
        <is>
          <t>f rental 租賃成本 2,713 1,745 Depreciation 折舊 – Property, plant and equipment – 物業、機器及設備 338 161 Direct operating expenses arising 來自產生收入投資物業之 from investment properties that 直接經營開支 generated income 91 80 Direct operating expenses arising 來自沒有產生租金收入投 from investment properties that did 資物業之直接經營開支 not generate income 66 57 The net cash flows incurred by discontinued operation 已終止經營業務所發生的淨 are as follows: 現金流如下： 2026 2025 二零二六年 二零二五年 RMB’000 RMB’000 人民幣千元 人民幣千元 Operating activities 經營活動 12,770 6,374 Investing activities 投資活動 (2,555)</t>
        </is>
      </c>
    </row>
    <row r="104">
      <c r="A104" s="8" t="inlineStr">
        <is>
          <t>Investment Properties</t>
        </is>
      </c>
      <c r="B104" s="8" t="inlineStr">
        <is>
          <t>投資物業</t>
        </is>
      </c>
      <c r="C104" s="19" t="inlineStr">
        <is>
          <t>high</t>
        </is>
      </c>
      <c r="D104" s="11" t="inlineStr">
        <is>
          <t>建築面積</t>
        </is>
      </c>
      <c r="E104" s="11" t="inlineStr">
        <is>
          <t>PDF p.272 (印刷頁 271)</t>
        </is>
      </c>
      <c r="F104" s="11" t="inlineStr">
        <is>
          <t>d gross Expected Percentage floor area Stage of date of held by Address (sq.m.) Uses Lease expiry completion completion the Group 預計總建築面積 預計 本集團 地址 （平方米） 用途 租期屆滿 完工階段 完工日期 所持百分比 1. Guangze Jiuxi Red House – Phase II 58,923 Residential Residential: 2090 Construction in 2026 100% （廣澤九溪紅府二期） commercial and Commercial: 2060 progress 二零二六年 Intersection of Jiutai Yinbin Road car parks 住宅：二零九零年 在建中 and Wenti Avenue, 住宅、商業及 商業：二零六零年 Jiutai District, 停車場 Changchun, Jilin Province, PRC 中國 吉林省長春市 九台區 九台迎賓路與文體大街交會處 廣澤九溪紅府二期 持作出售已落成物業 COMPL</t>
        </is>
      </c>
    </row>
    <row r="105">
      <c r="A105" s="8" t="inlineStr">
        <is>
          <t>ESG Data</t>
        </is>
      </c>
      <c r="B105" s="8" t="inlineStr">
        <is>
          <t>環境社會及管治數據</t>
        </is>
      </c>
      <c r="C105" s="8" t="inlineStr">
        <is>
          <t>medium</t>
        </is>
      </c>
      <c r="D105" s="11" t="inlineStr">
        <is>
          <t>環境、社會及管治</t>
        </is>
      </c>
      <c r="E105" s="11" t="inlineStr">
        <is>
          <t>PDF p.2</t>
        </is>
      </c>
      <c r="F105" s="11" t="inlineStr">
        <is>
          <t>agement 董事及高級管理層履歷資料 39 Directors’ Report 董事會報告 51 Corporate Governance Report 企業管治報告 78 Environmental, Social and Governance Report 環境、社會及管治報告 125 Independent Auditor’s Report 獨立核數師報告 129 Consolidated Statement of Profit or Loss 綜合損益表 131 Consolidated Statement of Comprehensive Income 綜合全面收入表 132 Consolidated Statement of Financial Position 綜合財務狀況表 134 Consolidated Statement of Changes in Equity 綜合權益變動表 136 Consolidated Statement of Cash Flows 綜合現金流量表 138 Notes to the Consolidated Financial Statements 綜合財務報表附註 271 Schedule of</t>
        </is>
      </c>
    </row>
    <row r="106">
      <c r="A106" s="8" t="inlineStr">
        <is>
          <t>ESG Data</t>
        </is>
      </c>
      <c r="B106" s="8" t="inlineStr">
        <is>
          <t>環境社會及管治數據</t>
        </is>
      </c>
      <c r="C106" s="8" t="inlineStr">
        <is>
          <t>medium</t>
        </is>
      </c>
      <c r="D106" s="11" t="inlineStr">
        <is>
          <t>sustainability</t>
        </is>
      </c>
      <c r="E106" s="11" t="inlineStr">
        <is>
          <t>PDF p.10 (印刷頁 9)</t>
        </is>
      </c>
      <c r="F106" s="11" t="inlineStr">
        <is>
          <t>financing 整了業務運營、資產組合、融資及資本結 and capital structure in order to better prepare the Group’s long-term 構，以更好地為本集團的長期發展前景和可 prospect and sustainability. With the disposals of loss-making property 持續性做好準備。隨著虧損物業項目的處置 projects and proposed debt restructuring likely to be completed in the 以及擬議的債務重組預計將於二零二六年第 fourth quarter of 2026, it is expected that the Group’s debt level will be 四季完成，預計本集團的債務水平將顯著改 significantly improved; and the Group will turnaround from a net liabilities 善；本集團亦將由淨負債轉為淨資產。 position into net assets. Annual Report</t>
        </is>
      </c>
    </row>
    <row r="107">
      <c r="A107" s="8" t="inlineStr">
        <is>
          <t>ESG Data</t>
        </is>
      </c>
      <c r="B107" s="8" t="inlineStr">
        <is>
          <t>環境社會及管治數據</t>
        </is>
      </c>
      <c r="C107" s="8" t="inlineStr">
        <is>
          <t>medium</t>
        </is>
      </c>
      <c r="D107" s="11" t="inlineStr">
        <is>
          <t>sustainability</t>
        </is>
      </c>
      <c r="E107" s="11" t="inlineStr">
        <is>
          <t>PDF p.12 (印刷頁 11)</t>
        </is>
      </c>
      <c r="F107" s="11" t="inlineStr">
        <is>
          <t>% and 95.3% of the respective total units 停車場單位，分別佔可供出售單位總數約 available for sale. 84.3%、81.4%及95.3%。 In order to maintain the Group’s sustainability, the Group’s management 鑒於吉林省物業市場持續低迷，為維持本集 has carried out a prudent search of new property projects in view of the 團的可持續發展，本集團管理層已審慎物色 persistently stagnant property market in Jilin Province. 新物業項目。 Properties completed, delivered and sale of properties 截至二零二六年三月三十一日止年度已 recognised during the year ended 31 March 2026 竣工、已交付物業及已確認物業銷售 The Group recorded a decrease in sale of proper</t>
        </is>
      </c>
    </row>
    <row r="108">
      <c r="A108" s="8" t="inlineStr">
        <is>
          <t>ESG Data</t>
        </is>
      </c>
      <c r="B108" s="8" t="inlineStr">
        <is>
          <t>環境社會及管治數據</t>
        </is>
      </c>
      <c r="C108" s="8" t="inlineStr">
        <is>
          <t>medium</t>
        </is>
      </c>
      <c r="D108" s="11" t="inlineStr">
        <is>
          <t>sustainability</t>
        </is>
      </c>
      <c r="E108" s="11" t="inlineStr">
        <is>
          <t>PDF p.29 (印刷頁 28)</t>
        </is>
      </c>
      <c r="F108" s="11" t="inlineStr">
        <is>
          <t>ent of the Linxia Ginsengs are by far the most important 本集團維持業務持續發展至關重要。本集團 factor to the Group in order to maintain the business’s sustainability. 將持續致力於從個別獨立的第三方農民補充 The Group will continuously concentrate on replenishing more Linxia 更多林下參基地。 Ginseng base (林下參基地) from individual independent third party farmers. 28 CHINA CHANGBAISHAN INTERNATIONAL HOLDINGS LIMITED 中國長白山國際控股有限公司</t>
        </is>
      </c>
    </row>
    <row r="109">
      <c r="A109" s="8" t="inlineStr">
        <is>
          <t>ESG Data</t>
        </is>
      </c>
      <c r="B109" s="8" t="inlineStr">
        <is>
          <t>環境社會及管治數據</t>
        </is>
      </c>
      <c r="C109" s="8" t="inlineStr">
        <is>
          <t>medium</t>
        </is>
      </c>
      <c r="D109" s="11" t="inlineStr">
        <is>
          <t>sustainability</t>
        </is>
      </c>
      <c r="E109" s="11" t="inlineStr">
        <is>
          <t>PDF p.39 (印刷頁 38)</t>
        </is>
      </c>
      <c r="F109" s="11" t="inlineStr">
        <is>
          <t>業合作夥伴的關係，發展、指導及管理團隊 developing, coaching and managing a team to deliver professional 提供專業服務並確保業務可持續發展。從二 service and ensure business sustainability. Ms. Cui was an assistant 零一三年九月至二零一五年二月，崔女士曾 president of 廣澤投資控股集團有限公司 (Ground Investment Holding 擔任廣澤投資控股集團有限公司（一家於中 (Group) Limited*, a related company established in the PRC) from 國成立之關聯公司）之總裁助理。崔女士於 September 2013 to February 2015. Ms. Cui obtained her Bachelor 二零一三年八月取得美國波士頓東北大學工 degree of Science in Business Administration from Northeastern 商管理科學學士學位。崔女士為本公司非執 University, Bos</t>
        </is>
      </c>
    </row>
    <row r="110">
      <c r="A110" s="8" t="inlineStr">
        <is>
          <t>ESG Data</t>
        </is>
      </c>
      <c r="B110" s="8" t="inlineStr">
        <is>
          <t>環境社會及管治數據</t>
        </is>
      </c>
      <c r="C110" s="8" t="inlineStr">
        <is>
          <t>medium</t>
        </is>
      </c>
      <c r="D110" s="11" t="inlineStr">
        <is>
          <t>環境、社會及管治</t>
        </is>
      </c>
      <c r="E110" s="11" t="inlineStr">
        <is>
          <t>PDF p.40 (印刷頁 39)</t>
        </is>
      </c>
      <c r="F110" s="11" t="inlineStr">
        <is>
          <t>environmental policies and performance can 保政策及表現載於本年報第78至第124頁 be found in “Environmental, Social and Governance Report” on pages 「環境、社會及管治報告」。於本年度，本公 78 to 124 to this annual report. During the year, the Company has 司已遵守對本公司有重大影響之一切相關法 complied with all the relevant laws and regulations that have a significant 律法規。 impact on the Company. In addition to the above mentioned, the Directors would like to maintain 除上述者外，董事願保持本集團與其持份者 the Group’s relationships with its stakeholders. The Group’s success 間的關係。本集團的成功依賴（其中包括）主 depends</t>
        </is>
      </c>
    </row>
    <row r="111">
      <c r="A111" s="8" t="inlineStr">
        <is>
          <t>ESG Data</t>
        </is>
      </c>
      <c r="B111" s="8" t="inlineStr">
        <is>
          <t>環境社會及管治數據</t>
        </is>
      </c>
      <c r="C111" s="8" t="inlineStr">
        <is>
          <t>medium</t>
        </is>
      </c>
      <c r="D111" s="11" t="inlineStr">
        <is>
          <t>ESG</t>
        </is>
      </c>
      <c r="E111" s="11" t="inlineStr">
        <is>
          <t>PDF p.56 (印刷頁 55)</t>
        </is>
      </c>
      <c r="F111" s="11" t="inlineStr">
        <is>
          <t>e governance duties and 效，包括檢討本公司會計、財務匯報職能方 reviewing the effectiveness of the risk management and internal control 面以及與本公司環境、社會及管治（「ESG」） systems which include reviewing the adequacy of resources and budget 表現及匯報相關之資源及預算是否充足。此 of the Company’s accounting, financial reporting functions, as well as 外，董事會轄下設有不同之董事委員會，並 those relating to the Company’s environmental, social and governance 已授予該等委員會各自職權範圍內所載之不 (“ESG”) performance and reporting. In addition, the Board has various 同職責。 Board committees and delegates to these committees</t>
        </is>
      </c>
    </row>
    <row r="112">
      <c r="A112" s="8" t="inlineStr">
        <is>
          <t>ESG Data</t>
        </is>
      </c>
      <c r="B112" s="8" t="inlineStr">
        <is>
          <t>環境社會及管治數據</t>
        </is>
      </c>
      <c r="C112" s="8" t="inlineStr">
        <is>
          <t>medium</t>
        </is>
      </c>
      <c r="D112" s="11" t="inlineStr">
        <is>
          <t>ESG</t>
        </is>
      </c>
      <c r="E112" s="11" t="inlineStr">
        <is>
          <t>PDF p.79 (印刷頁 78)</t>
        </is>
      </c>
      <c r="F112" s="11" t="inlineStr">
        <is>
          <t>以及種植及銷售人參資 產。 2. REPORTING APPROACH 2. 報告方式 2.1. Reporting Period and Boundary 2.1. 報告範圍 This Environmental, Social and Governance (“ESG”) Report 本環境、社會及管治（「ESG」）報告 (the “Report”) covers the financial reporting period from 1 April （「本報告」）涵蓋二零二五年四月一日 2025 to 31 March 2026 (the “Reporting Period”). The Group’s 至二零二六年三月三十一日（「報告 operation in its Hong Kong and PRC Office and six property 期」）的財務報告期。除非另有清楚說 management premises in Jilin Province are included in the scope 明，本報告的範圍涵蓋本集團於香港 of the Report, unless explicitly stated otherwis</t>
        </is>
      </c>
    </row>
    <row r="113">
      <c r="A113" s="8" t="inlineStr">
        <is>
          <t>ESG Data</t>
        </is>
      </c>
      <c r="B113" s="8" t="inlineStr">
        <is>
          <t>環境社會及管治數據</t>
        </is>
      </c>
      <c r="C113" s="8" t="inlineStr">
        <is>
          <t>medium</t>
        </is>
      </c>
      <c r="D113" s="11" t="inlineStr">
        <is>
          <t>ESG</t>
        </is>
      </c>
      <c r="E113" s="11" t="inlineStr">
        <is>
          <t>PDF p.80 (印刷頁 79)</t>
        </is>
      </c>
      <c r="F113" s="11" t="inlineStr">
        <is>
          <t>ncy Where feasible and unless stated otherwise, the Group adopted consistent 一致性 measurement methodology to facilitate comparison of ESG data. 在可行的情況下，除非另有說明，否則本集團採用一致的計量方法，ESG 數據進行比較。 Balance The ESG report should provide an unbiased picture of the issuer’s 平衡 performance. The report should avoid selections, omissions, or presentation formats that may inappropriately influence a decision or judgment by the report reader. 在切實可行的範圍內，除非另有說明，否則本集團採用一致的計量方法， 以便對ESG數據隨時間進行有意義的比較。 3. OUR SUSTAINABILITY GOVERNANCE 3. 我們的可持續發展方針 APPROA</t>
        </is>
      </c>
    </row>
    <row r="114">
      <c r="A114" s="8" t="inlineStr">
        <is>
          <t>ESG Data</t>
        </is>
      </c>
      <c r="B114" s="8" t="inlineStr">
        <is>
          <t>環境社會及管治數據</t>
        </is>
      </c>
      <c r="C114" s="8" t="inlineStr">
        <is>
          <t>medium</t>
        </is>
      </c>
      <c r="D114" s="11" t="inlineStr">
        <is>
          <t>ESG</t>
        </is>
      </c>
      <c r="E114" s="11" t="inlineStr">
        <is>
          <t>PDF p.81 (印刷頁 80)</t>
        </is>
      </c>
      <c r="F114" s="11" t="inlineStr">
        <is>
          <t>(continued) 3.2. Governance Structure for Sustainable 3.2. 可持續發展治理結構 Development The Board is responsible for overseeing the Group’s ESG 董事會負責監督本集團的ESG管治， governance and ensuring compliance with the Stock Exchange 並確保遵守聯交所上市規則。董事 Listing Rules. The Environmental, Social and Governance 會已成立環境、社會和治理委員會 Committee (the “ESG Committee”) including its constitution （「ESG委員會」），包括其章程及特定 and duties have been established by the Board. The chairman, 職責。ESG委員會的主席、秘書和成 secretary and members of the ESG Committee shall be 員由董事會委任。ESG委員會的職責 des</t>
        </is>
      </c>
    </row>
    <row r="115">
      <c r="A115" s="8" t="inlineStr">
        <is>
          <t>ESG Data</t>
        </is>
      </c>
      <c r="B115" s="8" t="inlineStr">
        <is>
          <t>環境社會及管治數據</t>
        </is>
      </c>
      <c r="C115" s="8" t="inlineStr">
        <is>
          <t>medium</t>
        </is>
      </c>
      <c r="D115" s="11" t="inlineStr">
        <is>
          <t>greenhouse gas</t>
        </is>
      </c>
      <c r="E115" s="11" t="inlineStr">
        <is>
          <t>PDF p.82 (印刷頁 81)</t>
        </is>
      </c>
      <c r="F115" s="11" t="inlineStr">
        <is>
          <t>olders’ concerns: 與本集團商業活動相關的重大環境和 社會議題： Environmental Aspect Social Aspect 環境層面 社會層面 • Energy saving • Labour standards 節約能源 勞工準則 • Greenhouse gas (“GHG”) emission control • Training and development 溫室氣體排放控制 培訓與發展 • Water conservation • Occupational health and safety 節約用水 職業健康及安全 • Waste management • Employees’ wellbeing 廢棄物管理 員工健康 • Supply chain management 供應鏈管理 • Quality assurance 質量保證 • Anti-corruption 反貪污 • Community investment 社區投資 • Customers’ privacy and data protection 客戶私隱和數據保護 Annual Report 2025/26 年報 81</t>
        </is>
      </c>
    </row>
    <row r="116">
      <c r="A116" s="8" t="inlineStr">
        <is>
          <t>ESG Data</t>
        </is>
      </c>
      <c r="B116" s="8" t="inlineStr">
        <is>
          <t>環境社會及管治數據</t>
        </is>
      </c>
      <c r="C116" s="8" t="inlineStr">
        <is>
          <t>medium</t>
        </is>
      </c>
      <c r="D116" s="11" t="inlineStr">
        <is>
          <t>carbon</t>
        </is>
      </c>
      <c r="E116" s="11" t="inlineStr">
        <is>
          <t>PDF p.83 (印刷頁 82)</t>
        </is>
      </c>
      <c r="F116" s="11" t="inlineStr">
        <is>
          <t>險（包括法規、市 expectations, technological developments and stakeholder 場期望、技術發展及持份者偏好等因 preferences relating to the transition to a lower-carbon economy. 素）。 To analyse climate-related risks and opportunities under the 為了分析集團策略下與氣候相關的風 Group’s strategy, the Group defines the short term as up to one 險和機遇，集團根據其內部規劃和資 year, the medium term as one to five years, and the long term as 本投資時間框架，將短期定義為一年 more than five years, in line with its internal planning and capital 以內，中期定義為一至五年，長期定 investment timeframes. 義為五年以上。 82 CHINA CHANGBAISHAN</t>
        </is>
      </c>
    </row>
    <row r="117">
      <c r="A117" s="8" t="inlineStr">
        <is>
          <t>ESG Data</t>
        </is>
      </c>
      <c r="B117" s="8" t="inlineStr">
        <is>
          <t>環境社會及管治數據</t>
        </is>
      </c>
      <c r="C117" s="8" t="inlineStr">
        <is>
          <t>medium</t>
        </is>
      </c>
      <c r="D117" s="11" t="inlineStr">
        <is>
          <t>carbon</t>
        </is>
      </c>
      <c r="E117" s="11" t="inlineStr">
        <is>
          <t>PDF p.84 (印刷頁 83)</t>
        </is>
      </c>
      <c r="F117" s="11" t="inlineStr">
        <is>
          <t>on Legal 相關排放披露責任增加 短至中期 sustainability and climate-related 轉型風險 – • Tighter environmental and reporting which leads to higher 政策及法規 carbon related regulations compliance cost on manufacturing, energy 與可持續發展及氣候相關的法規及 and wastewater 披露要求日趨嚴格，導致合規成本 製造、能源及廢水排放面 增加 臨更嚴格的環境及碳相關 • Increasing stakeholder 法規 expectations regarding sustainability performance, climate action, and transparency may expose the Group to reputational risks 隨著持份者對可持續發展表現、氣 候行動及資訊透明度的期望不斷提 高，集團可能面臨聲譽受損的風險 • Early retirement of current assets including stranded</t>
        </is>
      </c>
    </row>
    <row r="118">
      <c r="A118" s="8" t="inlineStr">
        <is>
          <t>ESG Data</t>
        </is>
      </c>
      <c r="B118" s="8" t="inlineStr">
        <is>
          <t>環境社會及管治數據</t>
        </is>
      </c>
      <c r="C118" s="8" t="inlineStr">
        <is>
          <t>medium</t>
        </is>
      </c>
      <c r="D118" s="11" t="inlineStr">
        <is>
          <t>ESG</t>
        </is>
      </c>
      <c r="E118" s="11" t="inlineStr">
        <is>
          <t>PDF p.85 (印刷頁 84)</t>
        </is>
      </c>
      <c r="F118" s="11" t="inlineStr">
        <is>
          <t>ment services may reduce 市場 efficient, and climate- the competitiveness of properties resilient properties that do not meet evolving ESG 市場對可持續發展、高能 expectations. 源效益及具氣候韌性物業 市場對可持續建築及物業管理服務 的需求增加 的需求持續上升，未能符合日益提 高 ESG 要求的物業，其市場競爭 Transition Risk • Rising customer Medium to long 力可能受到削弱。 – Reputation awareness of ESG issues term • Failure to adapt to changing 轉型風險 – 客戶對ESG議題的關注程 中至長期 market preferences may result in 聲譽 度持續上升 reputational damage, leading to lower occupancy rates, reduced tenant retention and diminished asset val</t>
        </is>
      </c>
    </row>
    <row r="119">
      <c r="A119" s="8" t="inlineStr">
        <is>
          <t>ESG Data</t>
        </is>
      </c>
      <c r="B119" s="8" t="inlineStr">
        <is>
          <t>環境社會及管治數據</t>
        </is>
      </c>
      <c r="C119" s="8" t="inlineStr">
        <is>
          <t>medium</t>
        </is>
      </c>
      <c r="D119" s="11" t="inlineStr">
        <is>
          <t>carbon</t>
        </is>
      </c>
      <c r="E119" s="11" t="inlineStr">
        <is>
          <t>PDF p.86 (印刷頁 85)</t>
        </is>
      </c>
      <c r="F119" s="11" t="inlineStr">
        <is>
          <t>fects 風險╱機遇 說明 時間範疇 潛在影響 Opportunity – • Growing demand for Short to long • Additional revenue streams Products and sustainable, low-carbon, term through value-added services such Services and energy-efficient 短至長期 as energy management, carbon 機遇 – 產品及 property management reporting and green building 服務 service certification support 對可持續發展、低碳及高 拓展相關服務範疇，創造新增收入 能源效益物業管理服務的 來源，包括能源管理、碳排放管 需求持續增加 理、綠色建築認證支援服務等增值 服務 Opportunity – • Increasing market demand Medium to long • Enhanced service capabilities Market for low-carbon, energy</t>
        </is>
      </c>
    </row>
    <row r="120">
      <c r="A120" s="8" t="inlineStr">
        <is>
          <t>ESG Data</t>
        </is>
      </c>
      <c r="B120" s="8" t="inlineStr">
        <is>
          <t>環境社會及管治數據</t>
        </is>
      </c>
      <c r="C120" s="8" t="inlineStr">
        <is>
          <t>medium</t>
        </is>
      </c>
      <c r="D120" s="11" t="inlineStr">
        <is>
          <t>greenhouse gas</t>
        </is>
      </c>
      <c r="E120" s="11" t="inlineStr">
        <is>
          <t>PDF p.87 (印刷頁 86)</t>
        </is>
      </c>
      <c r="F120" s="11" t="inlineStr">
        <is>
          <t>的風險敞口，從而穩定營運成本及 提升成本韌性 • Improvements in energy efficiency can significantly reduce operational cost 提升所管理物業的能源效益可顯著 降低營運成本 • Lower greenhouse gas emissions, supporting the Group’s climate goals and regulatory compliance 減少溫室氣體排放，有助支持本集 團達成氣候相關目標，並確保符合 相關監管及披露要求 The Group recognises that climate change presents both 本集團認識到氣候變化可能對其營 risks and opportunities that may affect its operations, financial 運、財務表現及長遠發展帶來風險及 performance and long-term development. The identified climate- 機遇。上述氣候相關風險及機遇將持 related risks and opportunities wil</t>
        </is>
      </c>
    </row>
    <row r="121">
      <c r="A121" s="8" t="inlineStr">
        <is>
          <t>ESG Data</t>
        </is>
      </c>
      <c r="B121" s="8" t="inlineStr">
        <is>
          <t>環境社會及管治數據</t>
        </is>
      </c>
      <c r="C121" s="8" t="inlineStr">
        <is>
          <t>medium</t>
        </is>
      </c>
      <c r="D121" s="11" t="inlineStr">
        <is>
          <t>greenhouse gas</t>
        </is>
      </c>
      <c r="E121" s="11" t="inlineStr">
        <is>
          <t>PDF p.88 (印刷頁 87)</t>
        </is>
      </c>
      <c r="F121" s="11" t="inlineStr">
        <is>
          <t>披露，如第三方驗證及所 and the methodologies employed. Furthermore, performance 採用的方法論，並加強對各目標，特 tracking against each target, particularly for greenhouse gas 別是溫室氣體排放目標的績效追蹤。 emissions, will be strengthened. Where relevant, the Group 若相關，本集團將闡明碳信用額的使 will clarify its use of carbon credits, including details on offset 用，包括抵銷類型、驗證機制及支持 types, verification schemes, and assumptions informing its 減碳路徑的假設。 decarbonisation pathway. Annual Report 2025/26 年報 87</t>
        </is>
      </c>
    </row>
    <row r="122">
      <c r="A122" s="8" t="inlineStr">
        <is>
          <t>ESG Data</t>
        </is>
      </c>
      <c r="B122" s="8" t="inlineStr">
        <is>
          <t>環境社會及管治數據</t>
        </is>
      </c>
      <c r="C122" s="8" t="inlineStr">
        <is>
          <t>medium</t>
        </is>
      </c>
      <c r="D122" s="11" t="inlineStr">
        <is>
          <t>greenhouse gas</t>
        </is>
      </c>
      <c r="E122" s="11" t="inlineStr">
        <is>
          <t>PDF p.89 (印刷頁 88)</t>
        </is>
      </c>
      <c r="F122" s="11" t="inlineStr">
        <is>
          <t>icators relevant to 以應用，並考慮與本集團業務活動相 the Group’s business activities and referencing cross-industry 關的行業指標，同時參照跨行業指標 metrics such as greenhouse gas emissions, climate-related 如溫室氣體排放、氣候相關資本支出 capital expenditure, and internal carbon pricing when assessing 及內部碳定價以評估及溝通氣候議題 and communicating the financial and strategic implications of 的財務與策略影響。 climate-related issues. 4.2. Environmental Policy 4.2. 環保政策 To support the Group’s sustainability goals and meeting 為支持本集團的可持續發展目標及滿 stakeholders’ expectations, the Group has established a</t>
        </is>
      </c>
    </row>
    <row r="123">
      <c r="A123" s="8" t="inlineStr">
        <is>
          <t>ESG Data</t>
        </is>
      </c>
      <c r="B123" s="8" t="inlineStr">
        <is>
          <t>環境社會及管治數據</t>
        </is>
      </c>
      <c r="C123" s="8" t="inlineStr">
        <is>
          <t>medium</t>
        </is>
      </c>
      <c r="D123" s="11" t="inlineStr">
        <is>
          <t>GHG emission</t>
        </is>
      </c>
      <c r="E123" s="11" t="inlineStr">
        <is>
          <t>PDF p.90 (印刷頁 89)</t>
        </is>
      </c>
      <c r="F123" s="11" t="inlineStr">
        <is>
          <t>nd reduce long-term energy use Conservation and wherever feasible. The implementation of the target will enable the Group to further GHG Emission reduce its GHG emissions from its operations. Management 本集團的目標是保持其能源使用，並在可行的情況下減少長期能源使用。目標的實 節能與溫室氣體排放 施也將使本集團進一步減少其營運中的溫室氣體排放。 管理 The Group aims to achieve the above-mentioned energy efficiency and GHG emission reduction goals through the following measures: 本集團旨在通過以下措施實現上述能源效率和溫室氣體減排目標： — Maintain air conditioning temperature to maintain efficient energy use; 保持空調溫度以保持高效能源使用； — Con</t>
        </is>
      </c>
    </row>
    <row r="124">
      <c r="A124" s="8" t="inlineStr">
        <is>
          <t>ESG Data</t>
        </is>
      </c>
      <c r="B124" s="8" t="inlineStr">
        <is>
          <t>環境社會及管治數據</t>
        </is>
      </c>
      <c r="C124" s="8" t="inlineStr">
        <is>
          <t>medium</t>
        </is>
      </c>
      <c r="D124" s="11" t="inlineStr">
        <is>
          <t>GHG emission</t>
        </is>
      </c>
      <c r="E124" s="11" t="inlineStr">
        <is>
          <t>PDF p.91 (印刷頁 90)</t>
        </is>
      </c>
      <c r="F124" s="11" t="inlineStr">
        <is>
          <t>. 保護我們的環境（續） 4.3. Management of Energy Conservation and GHG 4.3. 節能和溫室氣體排放管理 Emission The Group is committed to reducing significant GHG emissions 本集團積極提升日常營運中的能源效 through enhancing energy efficiency in its daily operations. Given 率，以有效減少主要的溫室氣體排 that electricity consumption accounts for the majority of its GHG 放。鑒於電力消耗為本集團溫室氣體 emissions, the Group has implemented extensive measures 排放的主要來源之一，本集團已制定 to regulate electricity consumption. Employees and tenants 全面的用電管理政策，以加強對電力 are encouraged to turn off all lighting, air condition</t>
        </is>
      </c>
    </row>
    <row r="125">
      <c r="A125" s="8" t="inlineStr">
        <is>
          <t>ESG Data</t>
        </is>
      </c>
      <c r="B125" s="8" t="inlineStr">
        <is>
          <t>環境社會及管治數據</t>
        </is>
      </c>
      <c r="C125" s="8" t="inlineStr">
        <is>
          <t>medium</t>
        </is>
      </c>
      <c r="D125" s="11" t="inlineStr">
        <is>
          <t>GHG emission</t>
        </is>
      </c>
      <c r="E125" s="11" t="inlineStr">
        <is>
          <t>PDF p.92 (印刷頁 91)</t>
        </is>
      </c>
      <c r="F125" s="11" t="inlineStr">
        <is>
          <t>ONMENT (continued) 4. 保護我們的環境（續） 4.3. Management of Energy Conservation and GHG 4.3. 節能和溫室氣體排放管理（續） Emission (continued) Overview of GHG Emissions 溫室氣體排放概覽 Unit 2026 2025 單位 Scope 1 Emissions tonnes of CO2 equivalent (“tCO2e”) N/Ab 2.36 範圍一溫室氣體排放 噸二氧化碳當量 Scope 2 Emissions tonnes of CO2 equivalent (“tCO2e”) 4,573.65 4,668.10 範圍二溫室氣體排放 噸二氧化碳當量 Total GHG Emissions tonnes of CO2 equivalent (“tCO2e”) 4,573.65 4,670.46 總溫室氣體排放 噸二氧化碳當量 Total GHG Emissions Intensity tCO2e/RMB’M revenue 86.81 26.98c 總溫室氣體排放強度 噸二氧化碳當量╱每百萬人民幣收入 PM emissio</t>
        </is>
      </c>
    </row>
    <row r="126">
      <c r="A126" s="8" t="inlineStr">
        <is>
          <t>ESG Data</t>
        </is>
      </c>
      <c r="B126" s="8" t="inlineStr">
        <is>
          <t>環境社會及管治數據</t>
        </is>
      </c>
      <c r="C126" s="8" t="inlineStr">
        <is>
          <t>medium</t>
        </is>
      </c>
      <c r="D126" s="11" t="inlineStr">
        <is>
          <t>carbon</t>
        </is>
      </c>
      <c r="E126" s="11" t="inlineStr">
        <is>
          <t>PDF p.93 (印刷頁 92)</t>
        </is>
      </c>
      <c r="F126" s="11" t="inlineStr">
        <is>
          <t>sumption in the office. During the reporting year, in response 於報告年度內，因響應政府節能減碳 to the government’s call for energy conservation and carbon 的號召，辦公室積極採用環保紙張並 reduction, the office actively adopted environmentally friendly 優化用紙管理，減少用紙及廢紙產生 paper and optimised paper usage management, resulting in a 量，整體印刷量有所下降。本集團亦 reduction in paper consumption and waste paper generation, 透過在物業及辦公室設置回收設施以 as well as an overall decrease in printing volume. The Group 推廣廢物分類實踐。不可回收的廢棄 has also facilitated waste sorting practices by placing recycling</t>
        </is>
      </c>
    </row>
    <row r="127">
      <c r="A127" s="8" t="inlineStr">
        <is>
          <t>ESG Data</t>
        </is>
      </c>
      <c r="B127" s="8" t="inlineStr">
        <is>
          <t>環境社會及管治數據</t>
        </is>
      </c>
      <c r="C127" s="8" t="inlineStr">
        <is>
          <t>medium</t>
        </is>
      </c>
      <c r="D127" s="11" t="inlineStr">
        <is>
          <t>可持續</t>
        </is>
      </c>
      <c r="E127" s="11" t="inlineStr">
        <is>
          <t>PDF p.94 (印刷頁 93)</t>
        </is>
      </c>
      <c r="F127" s="11" t="inlineStr">
        <is>
          <t>uccess. Therefore, the Group is keen to employ talented 功的關鍵。因此，本集團熱衷於聘用 personnel to advance its sustainable business growth. 人才以推動其可持續業務增長。 To support the professional growth and well-being of our 為支持員工職業發展及福祉，本集團 employees, the Group has established policies on promotion, 已制定有關晉升、工作時間、薪酬、 working hours, remuneration, other benefits and well-being. 其他福利及福祉的政策。本集團根據 The Group conducts annual performance appraisals with its 《績效考核管理指引》，每年與員工進 employees to review promotion and remuneration adjustments 行年度績效評估，以審核晉升和薪酬 in accordan</t>
        </is>
      </c>
    </row>
    <row r="128">
      <c r="A128" s="8" t="inlineStr">
        <is>
          <t>ESG Data</t>
        </is>
      </c>
      <c r="B128" s="8" t="inlineStr">
        <is>
          <t>環境社會及管治數據</t>
        </is>
      </c>
      <c r="C128" s="8" t="inlineStr">
        <is>
          <t>medium</t>
        </is>
      </c>
      <c r="D128" s="11" t="inlineStr">
        <is>
          <t>環境、社會及管治</t>
        </is>
      </c>
      <c r="E128" s="11" t="inlineStr">
        <is>
          <t>PDF p.95 (印刷頁 94)</t>
        </is>
      </c>
      <c r="F128" s="11" t="inlineStr">
        <is>
          <t>Environmental, Social and Governance Report 環境、社會及管治報告 5. OUR SUCCESSFUL WORKFORCE (continued) 5. 我們的成功團隊（續） 5.1. Growth of the Workforce (continued) 5.1. 我們團隊的增長（續） The group has a fair employment policy that prohibits any forms 本集團實行公平的就業政策，禁止任 of discrimination. Each candidate has equal opportunities during 何形式的歧視。每個候選人在招聘過 the recruitment process and is objectively evaluated based 程中都擁有平等機會，並根據其技 on their skills, experience and potentia</t>
        </is>
      </c>
    </row>
    <row r="129">
      <c r="A129" s="8" t="inlineStr">
        <is>
          <t>ESG Data</t>
        </is>
      </c>
      <c r="B129" s="8" t="inlineStr">
        <is>
          <t>環境社會及管治數據</t>
        </is>
      </c>
      <c r="C129" s="8" t="inlineStr">
        <is>
          <t>medium</t>
        </is>
      </c>
      <c r="D129" s="11" t="inlineStr">
        <is>
          <t>ESG</t>
        </is>
      </c>
      <c r="E129" s="11" t="inlineStr">
        <is>
          <t>PDF p.97 (印刷頁 96)</t>
        </is>
      </c>
      <c r="F129" s="11" t="inlineStr">
        <is>
          <t>China, the Regulation on the Implementation of the 府採購法》及其他相關法律法規。本 Tendering and Bidding Law of the People’s Republic of China, 集團已將ESG因素納入供應商遴選 the Government Procurement Law of the People’s Republic 及評估過程，包括勞工標準、職業健 of China, and other laws and regulations. The Group has 康與安全、產品質量、環境保護、反 incorporated ESG considerations, including labour standards, 貪腐及商業道德等，以確保採購活動 occupational health and safety, product quality, environmental 合規，降低供應鏈風險，並推動可持 protection, anti-corruption, business ethics, into its supplier 續採購實踐。供應商及承包商的可靠 se</t>
        </is>
      </c>
    </row>
    <row r="130">
      <c r="A130" s="8" t="inlineStr">
        <is>
          <t>ESG Data</t>
        </is>
      </c>
      <c r="B130" s="8" t="inlineStr">
        <is>
          <t>環境社會及管治數據</t>
        </is>
      </c>
      <c r="C130" s="8" t="inlineStr">
        <is>
          <t>medium</t>
        </is>
      </c>
      <c r="D130" s="11" t="inlineStr">
        <is>
          <t>ESG</t>
        </is>
      </c>
      <c r="E130" s="11" t="inlineStr">
        <is>
          <t>PDF p.99 (印刷頁 98)</t>
        </is>
      </c>
      <c r="F130" s="11" t="inlineStr">
        <is>
          <t>iety and commit to social 任的承諾。 responsibilities. 8. LOOKING FORWARD 8. 展望未來 Looking forward, the Group will continue to enhance its ESG 展望未來，本集團將持續提升ESG績效 performance and response to the stakeholders’ concerns. With 及回應持份者意見。秉持著「創造美好 the vision of “Create a better life and bring dreams to duration”, 生活，讓夢想永續」的願景。本集團致 the Group strives to consistently deliver high-quality services to its 力於始終如一地為客戶提供優質服務， customers and encourage sustainability ideas in its daily operations. 並在日常營運中鼓勵可持續發展的理念。 9. SOCIAL PERFORMANCES INDICATOR 9.</t>
        </is>
      </c>
    </row>
    <row r="131">
      <c r="A131" s="8" t="inlineStr">
        <is>
          <t>ESG Data</t>
        </is>
      </c>
      <c r="B131" s="8" t="inlineStr">
        <is>
          <t>環境社會及管治數據</t>
        </is>
      </c>
      <c r="C131" s="8" t="inlineStr">
        <is>
          <t>medium</t>
        </is>
      </c>
      <c r="D131" s="11" t="inlineStr">
        <is>
          <t>環境、社會及管治</t>
        </is>
      </c>
      <c r="E131" s="11" t="inlineStr">
        <is>
          <t>PDF p.101 (印刷頁 100)</t>
        </is>
      </c>
      <c r="F131" s="11" t="inlineStr">
        <is>
          <t>Environmental, Social and Governance Report 環境、社會及管治報告 9. SOCIAL PERFORMANCES INDICATOR 9. 社會表現指標（續） (continued) Unit 2026 2025 單位 Percentage of Employee Trained8 % 63.83 2.25 受過培訓的員工百分比 Average Training Hours of Employees9 Hours 0.64 0.27 員工平均培訓時間 小時 By Gender Group10 按性別劃分 Male % 84.51 75.00 男 Hours 3.60 0.52 小時 Female % 42.86 25.00 女 Hours 3.00 0.20 小時 By Employment Type 按僱傭類型劃分 Management Hours 3.60 1.90 管理層 小時 Senior Hours 3.00 2.00 主任</t>
        </is>
      </c>
    </row>
    <row r="132">
      <c r="A132" s="8" t="inlineStr">
        <is>
          <t>ESG Data</t>
        </is>
      </c>
      <c r="B132" s="8" t="inlineStr">
        <is>
          <t>環境社會及管治數據</t>
        </is>
      </c>
      <c r="C132" s="8" t="inlineStr">
        <is>
          <t>medium</t>
        </is>
      </c>
      <c r="D132" s="11" t="inlineStr">
        <is>
          <t>greenhouse gas</t>
        </is>
      </c>
      <c r="E132" s="11" t="inlineStr">
        <is>
          <t>PDF p.102 (印刷頁 101)</t>
        </is>
      </c>
      <c r="F132" s="11" t="inlineStr">
        <is>
          <t>onment (b) compliance with relevant laws and 4. 保護我們的環境 regulations that have a significant impact on the issuer relating to air and greenhouse gas emissions, discharges into water and land, and generation of hazardous and non-hazardous waste. 有關廢氣及溫室氣體排放、向水及土地的 排污、有害及無害廢棄物的產生等的： (a) 政策；及 (b) 遵守對發行人有重大影響的相關法律及 規例。 A1.1 The types of emissions and respective 4.3 Management of Energy emissions data. Conservation and GHG 排放物種類及相關排放數據。 Emission 4.3 節能和溫室氣體排放管理 A1.3 Total hazardous waste produced (in tonnes) The Group did not generat</t>
        </is>
      </c>
    </row>
    <row r="133">
      <c r="A133" s="8" t="inlineStr">
        <is>
          <t>ESG Data</t>
        </is>
      </c>
      <c r="B133" s="8" t="inlineStr">
        <is>
          <t>環境社會及管治數據</t>
        </is>
      </c>
      <c r="C133" s="8" t="inlineStr">
        <is>
          <t>medium</t>
        </is>
      </c>
      <c r="D133" s="11" t="inlineStr">
        <is>
          <t>energy consumption</t>
        </is>
      </c>
      <c r="E133" s="11" t="inlineStr">
        <is>
          <t>PDF p.103 (印刷頁 102)</t>
        </is>
      </c>
      <c r="F133" s="11" t="inlineStr">
        <is>
          <t>r 一般披露 including energy, water and other raw Environment materials. 4. 保護我們的環境 有效使用資源（包括能源、水及其他原材 料）的政策。 A2.1 Direct and/or indirect energy consumption 4.3 Management of Energy by type (e.g. electricity, gas or oil) in total Conservation and GHG (kWh in '000s) and intensity (e.g. per unit of Emission production volume, per facility). 4.3 節能和溫室氣體排放管理 按類型劃分的直接及╱或間接能源（如電、 氣或油）總耗量（以千個千瓦時計算）及密 度（如以每產量單位、每項設施計算）。 A2.2 Water consumption in total and intensity 4.4 Conserving Water (e.g. per unit of production volume, per Resources A2 f</t>
        </is>
      </c>
    </row>
    <row r="134">
      <c r="A134" s="8" t="inlineStr">
        <is>
          <t>ESG Data</t>
        </is>
      </c>
      <c r="B134" s="8" t="inlineStr">
        <is>
          <t>環境社會及管治數據</t>
        </is>
      </c>
      <c r="C134" s="8" t="inlineStr">
        <is>
          <t>medium</t>
        </is>
      </c>
      <c r="D134" s="11" t="inlineStr">
        <is>
          <t>環境、社會及管治</t>
        </is>
      </c>
      <c r="E134" s="11" t="inlineStr">
        <is>
          <t>PDF p.105 (印刷頁 104)</t>
        </is>
      </c>
      <c r="F134" s="11" t="inlineStr">
        <is>
          <t>Environmental, Social and Governance Report 環境、社會及管治報告 Aspect KPI Description Statement/Section 層面 關鍵績效指標 描述 聲明╱部分 SUBJECT AREA (B) SOCIAL 社會 B1: EMPLOYMENT 僱傭 General disclosure Information on: 5. Our Successful 一般披露 (a) the policies; and Workforce (b) compliance with relevant laws and 5. 我們的成功團隊 regulations that have a significant impact on the issuer relating to compensation and dismissal, recruitment and promotion, working hours, rest p</t>
        </is>
      </c>
    </row>
    <row r="135">
      <c r="A135" s="8" t="inlineStr">
        <is>
          <t>ESG Data</t>
        </is>
      </c>
      <c r="B135" s="8" t="inlineStr">
        <is>
          <t>環境社會及管治數據</t>
        </is>
      </c>
      <c r="C135" s="8" t="inlineStr">
        <is>
          <t>medium</t>
        </is>
      </c>
      <c r="D135" s="11" t="inlineStr">
        <is>
          <t>環境、社會及管治</t>
        </is>
      </c>
      <c r="E135" s="11" t="inlineStr">
        <is>
          <t>PDF p.107 (印刷頁 106)</t>
        </is>
      </c>
      <c r="F135" s="11" t="inlineStr">
        <is>
          <t>Environmental, Social and Governance Report 環境、社會及管治報告 Aspect KPI Description Statement/Section 層面 關鍵績效指標 描述 聲明╱部分 SUBJECT AREA (B) SOCIAL 社會 B4: LABOUR STANDARDS 勞工準則 B4.1 Description of measures to review 5.1 Growth of the Workforce employment practices to avoid child and 5.1 我們團隊的增長 forced labour. 描述檢討招聘慣例的措施以避免童工及強 B4 制勞工。 B4.2 Description of steps taken to eliminate 5.1 Growth of the Workforce such practices when discovered. 5.1 我們團隊的增</t>
        </is>
      </c>
    </row>
    <row r="136">
      <c r="A136" s="8" t="inlineStr">
        <is>
          <t>ESG Data</t>
        </is>
      </c>
      <c r="B136" s="8" t="inlineStr">
        <is>
          <t>環境社會及管治數據</t>
        </is>
      </c>
      <c r="C136" s="8" t="inlineStr">
        <is>
          <t>medium</t>
        </is>
      </c>
      <c r="D136" s="11" t="inlineStr">
        <is>
          <t>環境、社會及管治</t>
        </is>
      </c>
      <c r="E136" s="11" t="inlineStr">
        <is>
          <t>PDF p.109 (印刷頁 108)</t>
        </is>
      </c>
      <c r="F136" s="11" t="inlineStr">
        <is>
          <t>Environmental, Social and Governance Report 環境、社會及管治報告 Aspect KPI Description Statement/Section 層面 關鍵績效指標 描述 聲明╱部分 SUBJECT AREA (B) SOCIAL 社會 B6: PRODUCT RESPONSIBILITY 產品責任 B6.4 Description of quality assurance process Product responsibility is not a and recall procedures. material issue to the Group’s 描述質量檢定過程及產品回收程序。 operation. Thus, it is not disclosed. 產品責任對本集團的營運而 言不是重大問題。因此，它 B6 沒有被公開。 B6.5 Description of consumer data protection 6.2</t>
        </is>
      </c>
    </row>
    <row r="137">
      <c r="A137" s="8" t="inlineStr">
        <is>
          <t>ESG Data</t>
        </is>
      </c>
      <c r="B137" s="8" t="inlineStr">
        <is>
          <t>環境社會及管治數據</t>
        </is>
      </c>
      <c r="C137" s="8" t="inlineStr">
        <is>
          <t>medium</t>
        </is>
      </c>
      <c r="D137" s="11" t="inlineStr">
        <is>
          <t>sustainability</t>
        </is>
      </c>
      <c r="E137" s="11" t="inlineStr">
        <is>
          <t>PDF p.111 (印刷頁 110)</t>
        </is>
      </c>
      <c r="F137" s="11" t="inlineStr">
        <is>
          <t>會或其他同 等治理機構）或個人的資訊。具體而言，發行人須指出有關機構或個人及披 露以下資訊： (i) how the body(s) or individual(s) determines whether appropriate skills and 3. Our Sustainability competencies are available or will be developed to oversee strategies Governance Approach designed to respond to climate-related risks and opportunities; 3. 我們的可持續發展方針 (i) 該機構或個人如何釐定當前或將來是否有適當的技能和勝任能力來監督 應對氣候相關風險和機遇的策略； 4.1 Climate Change – Governance 4.1 氣候變化 – 管治 (ii) how and how often the body(s) or individual(s) is informed about climate- 3. Our Sustainability related risks and</t>
        </is>
      </c>
    </row>
    <row r="138">
      <c r="A138" s="8" t="inlineStr">
        <is>
          <t>ESG Data</t>
        </is>
      </c>
      <c r="B138" s="8" t="inlineStr">
        <is>
          <t>環境社會及管治數據</t>
        </is>
      </c>
      <c r="C138" s="8" t="inlineStr">
        <is>
          <t>medium</t>
        </is>
      </c>
      <c r="D138" s="11" t="inlineStr">
        <is>
          <t>sustainability</t>
        </is>
      </c>
      <c r="E138" s="11" t="inlineStr">
        <is>
          <t>PDF p.112 (印刷頁 111)</t>
        </is>
      </c>
      <c r="F138" s="11" t="inlineStr">
        <is>
          <t>理層在用以監察、管理及監督氣候相關風險和機遇的管治流程、監控措施 及程序中的角色，包括以下資訊： (i) whether the role is delegated to a specific management-level position or 3. Our Sustainability management-level committee and how oversight is exercised over that Governance Approach position or committee; and 3. 我們的可持續發展方針 (i) 該角色是否被委託給特定的管理層人員或管理層委員會以及如何對該人 員或委員會進行監督；及 4.1 Climate Change – Governance 4.1 氣候變化 – 管治 (ii) whether management uses controls and procedures to support the 3. Our Sustainability oversight of climate-related risks and opportunities and, if so, how the</t>
        </is>
      </c>
    </row>
    <row r="139">
      <c r="A139" s="8" t="inlineStr">
        <is>
          <t>ESG Data</t>
        </is>
      </c>
      <c r="B139" s="8" t="inlineStr">
        <is>
          <t>環境社會及管治數據</t>
        </is>
      </c>
      <c r="C139" s="8" t="inlineStr">
        <is>
          <t>medium</t>
        </is>
      </c>
      <c r="D139" s="11" t="inlineStr">
        <is>
          <t>環境、社會及管治</t>
        </is>
      </c>
      <c r="E139" s="11" t="inlineStr">
        <is>
          <t>PDF p.113 (印刷頁 112)</t>
        </is>
      </c>
      <c r="F139" s="11" t="inlineStr">
        <is>
          <t>Environmental, Social and Governance Report 環境、社會及管治報告 Description Statement/Section 描述 聲明╱章節 (d) explain how the issuer defines ‘short term’, ‘medium term’ and ‘long term’ 4.1 Climate Change – and how these definitions are linked to the planning horizons used by the Strategy issuer for strategic decision-making. 4.1 氣候變化 – 策略 (d) 解釋發行人如何定義短期、中期及長期，以及這些定義如何與其策略決定規 劃範圍掛鈎。 21. An issuer shall disclose information that enables an understanding</t>
        </is>
      </c>
    </row>
    <row r="140">
      <c r="A140" s="8" t="inlineStr">
        <is>
          <t>ESG Data</t>
        </is>
      </c>
      <c r="B140" s="8" t="inlineStr">
        <is>
          <t>環境社會及管治數據</t>
        </is>
      </c>
      <c r="C140" s="8" t="inlineStr">
        <is>
          <t>medium</t>
        </is>
      </c>
      <c r="D140" s="11" t="inlineStr">
        <is>
          <t>greenhouse gas</t>
        </is>
      </c>
      <c r="E140" s="11" t="inlineStr">
        <is>
          <t>PDF p.114 (印刷頁 113)</t>
        </is>
      </c>
      <c r="F140" s="11" t="inlineStr">
        <is>
          <t>運考量，並在 適當及可行情況下，考慮於 未來制定相關轉型計劃。 (iv) how the issuer plans to achieve any climate-related targets (including any 4.1 Climate Change – greenhouse gas emissions targets (if any)), described in accordance with Strategy paragraphs 37 to 40; and 4.1 氣候變化 – 策略 (iv) 發行人計劃如何實現第37至40段所述的任何氣候相關目標（包括任何溫 室氣體排放目標（如有））；及 (b) information about how the issuer is resourcing, and plans to resource, the 4.1 Climate Change – activities disclosed in accordance with paragraph 22(a). Strategy (b) 有關發行人當前及將來計劃如何為根據第22(a)段披露的行動提供資源。 4.1 氣候變化 – 策略 23. An</t>
        </is>
      </c>
    </row>
    <row r="141">
      <c r="A141" s="8" t="inlineStr">
        <is>
          <t>ESG Data</t>
        </is>
      </c>
      <c r="B141" s="8" t="inlineStr">
        <is>
          <t>環境社會及管治數據</t>
        </is>
      </c>
      <c r="C141" s="8" t="inlineStr">
        <is>
          <t>medium</t>
        </is>
      </c>
      <c r="D141" s="11" t="inlineStr">
        <is>
          <t>環境、社會及管治</t>
        </is>
      </c>
      <c r="E141" s="11" t="inlineStr">
        <is>
          <t>PDF p.115 (印刷頁 114)</t>
        </is>
      </c>
      <c r="F141" s="11" t="inlineStr">
        <is>
          <t>Environmental, Social and Governance Report 環境、社會及管治報告 Description Statement/Section 描述 聲明╱章節 24. An issuer shall disclose qualitative and quantitative information about: The Group is at the 發行人須披露以下定性和量化資料： initial stage of assessing (a) how climate-related risks and opportunities have affected its financial climate-related risks position, financial performance and cash flows for the reporting period; and and opportunities and (a) 氣候相關風險和機</t>
        </is>
      </c>
    </row>
    <row r="142">
      <c r="A142" s="8" t="inlineStr">
        <is>
          <t>ESG Data</t>
        </is>
      </c>
      <c r="B142" s="8" t="inlineStr">
        <is>
          <t>環境社會及管治數據</t>
        </is>
      </c>
      <c r="C142" s="8" t="inlineStr">
        <is>
          <t>medium</t>
        </is>
      </c>
      <c r="D142" s="11" t="inlineStr">
        <is>
          <t>環境、社會及管治</t>
        </is>
      </c>
      <c r="E142" s="11" t="inlineStr">
        <is>
          <t>PDF p.117 (印刷頁 116)</t>
        </is>
      </c>
      <c r="F142" s="11" t="inlineStr">
        <is>
          <t>Environmental, Social and Governance Report 環境、社會及管治報告 Description Statement/Section 描述 聲明╱章節 (III) RISK MANAGEMENT (III) 風險管理 27. An issuer shall disclose information about: / 發行人須披露以下資訊： (a) the processes and related policies it uses to identify, assess, prioritise and / monitor climate-related risks, including information about: (a) 發行人用於識別、評估氣候相關風險，以及釐定當中輕重緩急並保持監察的 流程及相關政策，包括有關以下方面的資訊； (i) the inputs and parameters the issuer uses (for</t>
        </is>
      </c>
    </row>
    <row r="143">
      <c r="A143" s="8" t="inlineStr">
        <is>
          <t>ESG Data</t>
        </is>
      </c>
      <c r="B143" s="8" t="inlineStr">
        <is>
          <t>環境社會及管治數據</t>
        </is>
      </c>
      <c r="C143" s="8" t="inlineStr">
        <is>
          <t>medium</t>
        </is>
      </c>
      <c r="D143" s="11" t="inlineStr">
        <is>
          <t>greenhouse gas</t>
        </is>
      </c>
      <c r="E143" s="11" t="inlineStr">
        <is>
          <t>PDF p.118 (印刷頁 117)</t>
        </is>
      </c>
      <c r="F143" s="11" t="inlineStr">
        <is>
          <t>機遇的識別、評估、優次排列和監察流程，是如何融入發行 人的整體風險管理流程，以及融入的程度如何。 (IV) Metrics and Targets (IV) 指標及目標 28. An issuer shall disclose its absolute gross greenhouse gas emissions generated / during the reporting period, expressed as metric tons of CO2 equivalent, classified as: 發行人須披露匯報期內的溫室氣體絕對總排放量（以公噸二氧化碳當量表示）， 並分為： (a) Scope 1 greenhouse gas emissions; 4.3 Management of Energy (a) 範圍1溫室氣體排放； Conservation and GHG Emission 4.3 節能和溫室氣體排放管理 The Group recorded no Scope 1 GHG emissions during the Reporting Year as it no longer maintained any company-o</t>
        </is>
      </c>
    </row>
    <row r="144">
      <c r="A144" s="8" t="inlineStr">
        <is>
          <t>ESG Data</t>
        </is>
      </c>
      <c r="B144" s="8" t="inlineStr">
        <is>
          <t>環境社會及管治數據</t>
        </is>
      </c>
      <c r="C144" s="8" t="inlineStr">
        <is>
          <t>medium</t>
        </is>
      </c>
      <c r="D144" s="11" t="inlineStr">
        <is>
          <t>greenhouse gas</t>
        </is>
      </c>
      <c r="E144" s="11" t="inlineStr">
        <is>
          <t>PDF p.119 (印刷頁 118)</t>
        </is>
      </c>
      <c r="F144" s="11" t="inlineStr">
        <is>
          <t>Environmental, Social and Governance Report 環境、社會及管治報告 Description Statement/Section 描述 聲明╱章節 (b) Scope 2 greenhouse gas emissions; and 4.3 Management of Energy (b) 範圍2溫室氣體排放；及 Conservation and GHG Emission 4.3 節能和溫室氣體排放管理 (c) Scope 3 greenhouse gas emissions. The Group has not disclosed (c) 範圍3溫室氣體排放。 Scope 3 GHG emissions for the Reporting Year due to current limitations in data availability and measurement capabilities across its value chain. The Group is enhancing its data collection and managemen</t>
        </is>
      </c>
    </row>
    <row r="145">
      <c r="A145" s="8" t="inlineStr">
        <is>
          <t>R&amp;D Expenditure</t>
        </is>
      </c>
      <c r="B145" s="8" t="inlineStr">
        <is>
          <t>研發開支</t>
        </is>
      </c>
      <c r="C145" s="8" t="inlineStr">
        <is>
          <t>medium</t>
        </is>
      </c>
      <c r="D145" s="11" t="inlineStr">
        <is>
          <t>research and development</t>
        </is>
      </c>
      <c r="E145" s="11" t="inlineStr">
        <is>
          <t>PDF p.34 (印刷頁 33)</t>
        </is>
      </c>
      <c r="F145" s="11" t="inlineStr">
        <is>
          <t>sign 團（「地產集團」），任職設計總監，負責吉林 management of Amethyst City in Jilin City. He was promoted to vice 市紫晶城的設計管理。彼於二零一零年十一 general manager of research and development centre of the Real Estate 月被擢升為地產集團研發中心之副總經理， Group in November 2010 and responsible for the design management 專責地產集團旗下紫晶城及廣澤國際購物中 of Amethyst City and Guangze International Shopping Centre of the 心之設計管理工作。彼於二零一一年九月再 Real Estate Group. He was further promoted to the general manager 被擢升為地產集團研究開發中心總經理，負 of the research and development centre of the Real Estate Group in 責地產集團</t>
        </is>
      </c>
    </row>
    <row r="146">
      <c r="A146" s="8" t="inlineStr">
        <is>
          <t>Segment Information</t>
        </is>
      </c>
      <c r="B146" s="8" t="inlineStr">
        <is>
          <t>分部資料</t>
        </is>
      </c>
      <c r="C146" s="8" t="inlineStr">
        <is>
          <t>medium</t>
        </is>
      </c>
      <c r="D146" s="11" t="inlineStr">
        <is>
          <t>operating segment</t>
        </is>
      </c>
      <c r="E146" s="11" t="inlineStr">
        <is>
          <t>PDF p.13 (印刷頁 12)</t>
        </is>
      </c>
      <c r="F146" s="11" t="inlineStr">
        <is>
          <t>為已 accounting purpose, the Group’s management considers the property 終止經營業務，本集團管理層認為物業投資 investment segment remains to be one of the operating segments of 分部仍為本集團經營分部之一部分，而本集 the Group and the Group is actively seeking for potential properties to 團正積極物色可持作賺取租金收入或資本增 hold for rental income or capital appreciation, subject to the investment 值的潛在物業，惟須視乎任何機會的投資回 return, synergy and exit potentials of any opportunities. The Group’s 報、協同效應及退出潛力而定。本集團之房 real estate team has explored a number of potential properties for 地產團隊已物色若干潛在物業進行</t>
        </is>
      </c>
    </row>
    <row r="147">
      <c r="A147" s="8" t="inlineStr">
        <is>
          <t>Segment Information</t>
        </is>
      </c>
      <c r="B147" s="8" t="inlineStr">
        <is>
          <t>分部資料</t>
        </is>
      </c>
      <c r="C147" s="8" t="inlineStr">
        <is>
          <t>medium</t>
        </is>
      </c>
      <c r="D147" s="11" t="inlineStr">
        <is>
          <t>operating segment</t>
        </is>
      </c>
      <c r="E147" s="11" t="inlineStr">
        <is>
          <t>PDF p.40 (印刷頁 39)</t>
        </is>
      </c>
      <c r="F147" s="11" t="inlineStr">
        <is>
          <t>o the consolidated financial statements. Details of the analysis of the performance of the Group for the year by 本集團於本年度之業績表現按經營分部之分 operating segments are set out in note 4 to the consolidated financial 析詳情載於綜合財務報表附註4內。 statements. BUSINESS REVIEW 業務回顧 A fair review of the business of the Group, including description of the 有關本集團業務的中肯審視（包括本集團面 principal risks and uncertainties facing the Group, important events 對主要風險及不確定性的概述、自財政年結 since the end of the financial year, future development and analysis 日以來的重要事件、日後發展及本集團主要 of the G</t>
        </is>
      </c>
    </row>
    <row r="148">
      <c r="A148" s="8" t="inlineStr">
        <is>
          <t>Segment Information</t>
        </is>
      </c>
      <c r="B148" s="8" t="inlineStr">
        <is>
          <t>分部資料</t>
        </is>
      </c>
      <c r="C148" s="8" t="inlineStr">
        <is>
          <t>medium</t>
        </is>
      </c>
      <c r="D148" s="11" t="inlineStr">
        <is>
          <t>geographical</t>
        </is>
      </c>
      <c r="E148" s="11" t="inlineStr">
        <is>
          <t>PDF p.99 (印刷頁 98)</t>
        </is>
      </c>
      <c r="F148" s="11" t="inlineStr">
        <is>
          <t>級員工 人 By Age Group 30 or below Persons 28 22 按年齡組別劃分 30歲或以下 人 31 – 50 Persons 97 115 31歲-50歲 人 51 or above Persons 16 41 51歲或以上 人 By Geographical Region Hong Kong Persons 8 6 按地區類型劃分 香港 人 China Persons 133 172 中國 人 98 CHINA CHANGBAISHAN INTERNATIONAL HOLDINGS LIMITED 中國長白山國際控股有限公司</t>
        </is>
      </c>
    </row>
    <row r="149">
      <c r="A149" s="8" t="inlineStr">
        <is>
          <t>Segment Information</t>
        </is>
      </c>
      <c r="B149" s="8" t="inlineStr">
        <is>
          <t>分部資料</t>
        </is>
      </c>
      <c r="C149" s="8" t="inlineStr">
        <is>
          <t>medium</t>
        </is>
      </c>
      <c r="D149" s="11" t="inlineStr">
        <is>
          <t>geographical</t>
        </is>
      </c>
      <c r="E149" s="11" t="inlineStr">
        <is>
          <t>PDF p.100 (印刷頁 99)</t>
        </is>
      </c>
      <c r="F149" s="11" t="inlineStr">
        <is>
          <t>14.57 19.32 女 By Age Group 30 or below % 20.00 10.26 按年齡組別劃分 30歲或以下 31 – 50 % 18.01 1.40 31歲-50歲 51 or above % 17.54 70.00 51歲或以上 By Geographical Region Hong Kong % 13.33 0.00 按地區類型劃分 香港 China % 18.48 16.33 中國 6 Turnover is defined as employees who leave the company voluntarily 6 離職是指自願離職或因退休、解僱或其他 or due to retirement, dismissal or other reasons. The turnover rate 原因離開公司的員工。離職率 = NELDY/ is calculated based on the following formula: Turnover % = NELDY/ ((NEBY+NEEY)/2) (NEBY+NEEY)/2) Where: 離職率根據以下公式計算： NELDY = Number of Employe</t>
        </is>
      </c>
    </row>
    <row r="150">
      <c r="A150" s="8" t="inlineStr">
        <is>
          <t>Segment Information</t>
        </is>
      </c>
      <c r="B150" s="8" t="inlineStr">
        <is>
          <t>分部資料</t>
        </is>
      </c>
      <c r="C150" s="8" t="inlineStr">
        <is>
          <t>medium</t>
        </is>
      </c>
      <c r="D150" s="11" t="inlineStr">
        <is>
          <t>geographical</t>
        </is>
      </c>
      <c r="E150" s="11" t="inlineStr">
        <is>
          <t>PDF p.105 (印刷頁 104)</t>
        </is>
      </c>
      <c r="F150" s="11" t="inlineStr">
        <is>
          <t>他待遇及福利的： (a) 政策；及 (b) 遵守對發行人有重大影響的相關法律及 規例的資料。 B1.1 Total workforce by gender, employment 9. Social Performances type, age group and geographical region. Indicator 按性別、僱傭類型（如全職或兼職）、年齡 9. 社會表現指標 組別及地區劃分的僱員總數。 B1.2 Employee turnover rate by gender, age 9. Social Performances group and geographical region. Indicator 按性別、年齡組別及地區劃分的僱員流失 9. 社會表現指標 比率。 B2: HEALTH AND SAFETY 健康與安全 General disclosure Information on: 5.2 Protecting our Employees 一般披露 (a) the policies; and 5.2 保障我們的團隊 (b) compliance with relevant laws and regulations that</t>
        </is>
      </c>
    </row>
    <row r="151">
      <c r="A151" s="8" t="inlineStr">
        <is>
          <t>Segment Information</t>
        </is>
      </c>
      <c r="B151" s="8" t="inlineStr">
        <is>
          <t>分部資料</t>
        </is>
      </c>
      <c r="C151" s="8" t="inlineStr">
        <is>
          <t>medium</t>
        </is>
      </c>
      <c r="D151" s="11" t="inlineStr">
        <is>
          <t>geographical</t>
        </is>
      </c>
      <c r="E151" s="11" t="inlineStr">
        <is>
          <t>PDF p.107 (印刷頁 106)</t>
        </is>
      </c>
      <c r="F151" s="11" t="inlineStr">
        <is>
          <t>mental and 6.1 Supply Chain 一般披露 social risks of the supply chain. Management 管理供應鏈的環境及社會風險政策。 6.1 供應鏈管理 B5.1 Number of suppliers by geographical The Group currently does region. not report the information 按地區劃分的供應商數目。 of number of suppliers by geographical region. However, the Group plans to disclose the information in the future. 本集團目前並無報告按地區 劃分的供應商數目。 B5 然而，本集團計劃於日後披 露有關資料。 B5.2 Description of practices relating to engaging 6.1 Supply Chain suppliers, number of suppliers where the Management practices are being implemented,</t>
        </is>
      </c>
    </row>
    <row r="152">
      <c r="A152" s="8" t="inlineStr">
        <is>
          <t>Segment Information</t>
        </is>
      </c>
      <c r="B152" s="8" t="inlineStr">
        <is>
          <t>分部資料</t>
        </is>
      </c>
      <c r="C152" s="8" t="inlineStr">
        <is>
          <t>medium</t>
        </is>
      </c>
      <c r="D152" s="11" t="inlineStr">
        <is>
          <t>geographical</t>
        </is>
      </c>
      <c r="E152" s="11" t="inlineStr">
        <is>
          <t>PDF p.113 (印刷頁 112)</t>
        </is>
      </c>
      <c r="F152" s="11" t="inlineStr">
        <is>
          <t>n The Group is in the process climate-related risks and opportunities are concentrated (for example, of establishing tools to define geographical areas, facilities and types of assets). the boundaries of its value (b) 描述在發行人的業務模式和價值鏈中，氣候相關風險和機遇集中的地方（例 chain and identify vulnerable 如，地理區域、設施及資產類型）。 areas to climate-related risks, both geographically and at the asset level. 本集團正在逐步建立相關機 制，以界定其價值鏈的範 圍，並從地理和資產層面識 別易受氣候相關風險影響的 脆弱區域。 22. An issuer shall disclose information that enables an understanding of the effects / of climate-re</t>
        </is>
      </c>
    </row>
    <row r="153">
      <c r="A153" s="8" t="inlineStr">
        <is>
          <t>Segment Information</t>
        </is>
      </c>
      <c r="B153" s="8" t="inlineStr">
        <is>
          <t>分部資料</t>
        </is>
      </c>
      <c r="C153" s="8" t="inlineStr">
        <is>
          <t>medium</t>
        </is>
      </c>
      <c r="D153" s="11" t="inlineStr">
        <is>
          <t>geographical</t>
        </is>
      </c>
      <c r="E153" s="11" t="inlineStr">
        <is>
          <t>PDF p.155 (印刷頁 154)</t>
        </is>
      </c>
      <c r="F153" s="11" t="inlineStr">
        <is>
          <t>porting purposes, 言，可與本集團其他組成部分明確區分 from the rest of the Group. It represents a separate major line of 之業務及現金流量。已終止經營業務代 business or geographical area of operations, or is part of a single 表單獨主要業務線或經營地區，或屬出 co-ordinated plan to dispose of a separate major line of business 售單獨主要業務線或經營地區之單一協 or geographical area of operations, or is a subsidiary acquired 調計劃的一部分，或屬純粹為轉售而收 exclusively with a view to resale. Classification as a discontinued 購之附屬公司。分類乃於出售時或當該 operation occurs upon disposal or when the operation meets the 業務符合將分類為持作出</t>
        </is>
      </c>
    </row>
    <row r="154">
      <c r="A154" s="8" t="inlineStr">
        <is>
          <t>Segment Information</t>
        </is>
      </c>
      <c r="B154" s="8" t="inlineStr">
        <is>
          <t>分部資料</t>
        </is>
      </c>
      <c r="C154" s="8" t="inlineStr">
        <is>
          <t>medium</t>
        </is>
      </c>
      <c r="D154" s="11" t="inlineStr">
        <is>
          <t>geographical</t>
        </is>
      </c>
      <c r="E154" s="11" t="inlineStr">
        <is>
          <t>PDF p.169 (印刷頁 168)</t>
        </is>
      </c>
      <c r="F154" s="11" t="inlineStr">
        <is>
          <t>sets and other items 金融資產及其他項目減值（續） (Continued) Measurement of ECL (Continued) 預期信貸虧損計量（續） (iv) industry of debtors (iv) 債務人所處行業 (v) geographical location of debtors (v) 債務人所處地理位置 (vi) external credit risk ratings (vi) 外部信貸風險評級 Loss allowance is remeasured at each reporting date to reflect 虧損撥備於各報告日期進行重新計量以 changes in the financial instrument’s credit risk and loss since 反映金融工具自初步確認以來的信貸風 initial recognition. The resulting changes in the loss allowance are 險及虧損變動。虧損撥備產生的變動於 recognised as an impairment gain or loss in profit or</t>
        </is>
      </c>
    </row>
    <row r="155">
      <c r="A155" s="8" t="inlineStr">
        <is>
          <t>Segment Information</t>
        </is>
      </c>
      <c r="B155" s="8" t="inlineStr">
        <is>
          <t>分部資料</t>
        </is>
      </c>
      <c r="C155" s="8" t="inlineStr">
        <is>
          <t>medium</t>
        </is>
      </c>
      <c r="D155" s="11" t="inlineStr">
        <is>
          <t>operating segment</t>
        </is>
      </c>
      <c r="E155" s="11" t="inlineStr">
        <is>
          <t>PDF p.182 (印刷頁 181)</t>
        </is>
      </c>
      <c r="F155" s="11" t="inlineStr">
        <is>
          <t>現金流量則按年內之加 the year are translated into RMB at the weighted average exchange 權平均匯率換算為人民幣。 rates for the year. Segment Reporting 分部報告 Operating segments, and the amounts of each segment item 綜合財務報表內所呈報經營分部及各分 reported in the consolidated financial statements, are identified 部項目之金額，與定期就本集團各業務 from the financial information provided regularly to the Group’s chief 線及地域之資源分配及表現評估而向本 operating decision maker i.e. the executive directors for the purpose 集團主要運營決策者（即執行董事）提供 of allocating resources to, and assessing the performance of, t</t>
        </is>
      </c>
    </row>
    <row r="156">
      <c r="A156" s="8" t="inlineStr">
        <is>
          <t>Segment Information</t>
        </is>
      </c>
      <c r="B156" s="8" t="inlineStr">
        <is>
          <t>分部資料</t>
        </is>
      </c>
      <c r="C156" s="8" t="inlineStr">
        <is>
          <t>medium</t>
        </is>
      </c>
      <c r="D156" s="11" t="inlineStr">
        <is>
          <t>segment information</t>
        </is>
      </c>
      <c r="E156" s="11" t="inlineStr">
        <is>
          <t>PDF p.188 (印刷頁 187)</t>
        </is>
      </c>
      <c r="F156" s="11" t="inlineStr">
        <is>
          <t>4. OPERATING SEGMENT INFORMATION 4. 經營分部資料 The Group manages its businesses by divisions, which are 本集團按分部管理其業務，由業務線及 organised by a mixture of both business lines and geography. In 地區之組合組成。本集團以與本集團執 a manner consistent with the way in which information is reported 行董事用於資源分配和表現評估之內部 internally to the Group’s executive directors for the purposes of 報告資料一致之方式，呈列下列持續經 resource allocation and performance assessmen</t>
        </is>
      </c>
    </row>
    <row r="157">
      <c r="A157" s="8" t="inlineStr">
        <is>
          <t>Segment Information</t>
        </is>
      </c>
      <c r="B157" s="8" t="inlineStr">
        <is>
          <t>分部資料</t>
        </is>
      </c>
      <c r="C157" s="8" t="inlineStr">
        <is>
          <t>medium</t>
        </is>
      </c>
      <c r="D157" s="11" t="inlineStr">
        <is>
          <t>segment information</t>
        </is>
      </c>
      <c r="E157" s="11" t="inlineStr">
        <is>
          <t>PDF p.189 (印刷頁 188)</t>
        </is>
      </c>
      <c r="F157" s="11" t="inlineStr">
        <is>
          <t>Notes to the Consolidated Financial Statements 綜合財務報表附註 For the year ended 31 March 2026 截至二零二六年三月三十一日止年度 4. OPERATING SEGMENT INFORMATION 4. 經營分部資料（續） (Continued) The Group’s management monitors the results of the Group’s 本集團管理層會分別獨立監察本集團經 operating segments separately for the purpose of making decisions 營分部之業績，以就資源分配及表現評 about resource allocation and performance assessment. Segment 估方面作出決定。分部表現根據可呈報 performance is evaluated based on reportable segment profit/ 分部溢利╱虧損而評估，即計量經調整 loss, which is a measure of adjuste</t>
        </is>
      </c>
    </row>
    <row r="158">
      <c r="A158" s="8" t="inlineStr">
        <is>
          <t>Segment Information</t>
        </is>
      </c>
      <c r="B158" s="8" t="inlineStr">
        <is>
          <t>分部資料</t>
        </is>
      </c>
      <c r="C158" s="8" t="inlineStr">
        <is>
          <t>medium</t>
        </is>
      </c>
      <c r="D158" s="11" t="inlineStr">
        <is>
          <t>segment information</t>
        </is>
      </c>
      <c r="E158" s="11" t="inlineStr">
        <is>
          <t>PDF p.190 (印刷頁 189)</t>
        </is>
      </c>
      <c r="F158" s="11" t="inlineStr">
        <is>
          <t>4. OPERATING SEGMENT INFORMATION 4. 經營分部資料（續） (Continued) Year ended 31 March 2026 截至二零二六年三月三十一日止年度 Discontinued Continuing operations operations 持續經營業務 已終止經營業務 Property development and management Changbaishan Property 物業發展 resources business Total investment 及管理 長白山資源業務 總計 物業投資 RMB’000 RMB’000 RMB’000 RMB’000 人民幣千元 人民幣千元 人民幣千元 人民幣千元 Segment revenue 分部收益 Sales to external customers 向外部客戶之銷售 52,686 – 52,686 12,</t>
        </is>
      </c>
    </row>
    <row r="159">
      <c r="A159" s="8" t="inlineStr">
        <is>
          <t>Segment Information</t>
        </is>
      </c>
      <c r="B159" s="8" t="inlineStr">
        <is>
          <t>分部資料</t>
        </is>
      </c>
      <c r="C159" s="8" t="inlineStr">
        <is>
          <t>medium</t>
        </is>
      </c>
      <c r="D159" s="11" t="inlineStr">
        <is>
          <t>segment information</t>
        </is>
      </c>
      <c r="E159" s="11" t="inlineStr">
        <is>
          <t>PDF p.191 (印刷頁 190)</t>
        </is>
      </c>
      <c r="F159" s="11" t="inlineStr">
        <is>
          <t>Notes to the Consolidated Financial Statements 綜合財務報表附註 For the year ended 31 March 2026 截至二零二六年三月三十一日止年度 4. OPERATING SEGMENT INFORMATION 4. 經營分部資料（續） (Continued) Year ended 31 March 2025 截至二零二五年三月三十一日止年度 Discontinued operation Continuing operations 已終止 持續經營業務 經營業務 Property development Changbaishan and resources management business Property 物業發展 長白山 Total investment 及管理 資源業務 總計 物業投資 RMB’000 RMB’000 RMB’000 RMB’000 Year ended 31 March 2025 截至二零二五年三月 (restated) 三十一日止年度（經 重列） Segment revenue 分部收益 Sales to external c</t>
        </is>
      </c>
    </row>
    <row r="160">
      <c r="A160" s="8" t="inlineStr">
        <is>
          <t>Segment Information</t>
        </is>
      </c>
      <c r="B160" s="8" t="inlineStr">
        <is>
          <t>分部資料</t>
        </is>
      </c>
      <c r="C160" s="8" t="inlineStr">
        <is>
          <t>medium</t>
        </is>
      </c>
      <c r="D160" s="11" t="inlineStr">
        <is>
          <t>segment information</t>
        </is>
      </c>
      <c r="E160" s="11" t="inlineStr">
        <is>
          <t>PDF p.192 (印刷頁 191)</t>
        </is>
      </c>
      <c r="F160" s="11" t="inlineStr">
        <is>
          <t>4. OPERATING SEGMENT INFORMATION 4. 經營分部資料（續） (Continued) Discontinued operation Continuing operations 已終止 持續經營業務 經營業務 Property development Changbaishan and resources management business Property 物業發展 長白山 Total investment 及管理 資源業務 總計 物業投資 RMB’000 RMB’000 RMB’000 RMB’000 Year ended 31 March 2025 (restated) 截至二零二五年三月 (Continued) 三十一日止年度（經 重列） （續） Other segment information 其他分部資料 Capital expenditure* 資本開支* – – –</t>
        </is>
      </c>
    </row>
    <row r="161">
      <c r="A161" s="8" t="inlineStr">
        <is>
          <t>Segment Information</t>
        </is>
      </c>
      <c r="B161" s="8" t="inlineStr">
        <is>
          <t>分部資料</t>
        </is>
      </c>
      <c r="C161" s="8" t="inlineStr">
        <is>
          <t>medium</t>
        </is>
      </c>
      <c r="D161" s="11" t="inlineStr">
        <is>
          <t>segment information</t>
        </is>
      </c>
      <c r="E161" s="11" t="inlineStr">
        <is>
          <t>PDF p.193 (印刷頁 192)</t>
        </is>
      </c>
      <c r="F161" s="11" t="inlineStr">
        <is>
          <t>Notes to the Consolidated Financial Statements 綜合財務報表附註 For the year ended 31 March 2026 截至二零二六年三月三十一日止年度 4. OPERATING SEGMENT INFORMATION 4. 經營分部資料（續） (Continued) Geographical information 地區資料 (a) Revenue from external customers (a) 外部客戶收益 2026 2025 二零二六年 二零二五年 RMB’000 RMB’000 人民幣千元 人民幣千元 (Restated) （經重列） The PRC 中國 – Continuing operations – 持續經營業務 52,686 173,105 – Discontinued operation – 已終止經營業務 12,413 13,236 65,099 186,341 The revenue information above is based on the locations of the 上文之收益資料乃基於客戶所在地得 customer</t>
        </is>
      </c>
    </row>
    <row r="162">
      <c r="A162" s="8" t="inlineStr">
        <is>
          <t>Segment Information</t>
        </is>
      </c>
      <c r="B162" s="8" t="inlineStr">
        <is>
          <t>分部資料</t>
        </is>
      </c>
      <c r="C162" s="8" t="inlineStr">
        <is>
          <t>medium</t>
        </is>
      </c>
      <c r="D162" s="11" t="inlineStr">
        <is>
          <t>geographical</t>
        </is>
      </c>
      <c r="E162" s="11" t="inlineStr">
        <is>
          <t>PDF p.194 (印刷頁 193)</t>
        </is>
      </c>
      <c r="F162" s="11" t="inlineStr">
        <is>
          <t>1 130,720 Property management service income 物業管理服務收入 22,445 28,520 Project management service income 項目管理服務收入 – 13,865 Representing geographical markets of: 所指地區市場： The PRC 中國 52,686 173,105 52,686 173,105 Timing of revenue recognition 收益確認之時間 – At a point in time – 在某一時間點 30,241 130,720 – Over time – 經過一段時間 22,445 42,385 52,686 173,105 Annual Report 2025/26 年報 193</t>
        </is>
      </c>
    </row>
    <row r="163">
      <c r="A163" s="8" t="inlineStr">
        <is>
          <t>Segment Information</t>
        </is>
      </c>
      <c r="B163" s="8" t="inlineStr">
        <is>
          <t>分部資料</t>
        </is>
      </c>
      <c r="C163" s="8" t="inlineStr">
        <is>
          <t>medium</t>
        </is>
      </c>
      <c r="D163" s="11" t="inlineStr">
        <is>
          <t>geographical</t>
        </is>
      </c>
      <c r="E163" s="11" t="inlineStr">
        <is>
          <t>PDF p.249 (印刷頁 248)</t>
        </is>
      </c>
      <c r="F163" s="11" t="inlineStr">
        <is>
          <t>ease 山市及延吉市業務的計劃，旨在將資 the Group’s presence in Baishan City and Yanji City and 源集中於其他地區及╱或其他商業機 plans to focus its resources to other geographical locations 遇。因此，物業投資分部仍為本集團 and/or other business opportunities. Hence, the property 的經營分部之一，本集團正積極物色 investment segment remains to be one of the operating 潛在物業作持有以獲取租金收入或資 segments of the Group and the Group is actively seeking 本增值，將視乎具體機會之投資回 for potential properties to hold for rental income or capital 報、協同效應及退出潛力而定。 appreciation, subject to the investment return, synergy and exit p</t>
        </is>
      </c>
    </row>
    <row r="164">
      <c r="A164" s="8" t="inlineStr">
        <is>
          <t>Share-based Payment</t>
        </is>
      </c>
      <c r="B164" s="8" t="inlineStr">
        <is>
          <t>以股份為基礎的付款</t>
        </is>
      </c>
      <c r="C164" s="8" t="inlineStr">
        <is>
          <t>medium</t>
        </is>
      </c>
      <c r="D164" s="11" t="inlineStr">
        <is>
          <t>share option</t>
        </is>
      </c>
      <c r="E164" s="11" t="inlineStr">
        <is>
          <t>PDF p.33 (印刷頁 32)</t>
        </is>
      </c>
      <c r="F164" s="11" t="inlineStr">
        <is>
          <t>of individual staff. In addition to salaries, the Group also 23,000,000元）；該減少主要由於員工減少 offers other benefits to its staff, including share options, discretionary 所致。本集團之薪酬政策與現行市場慣例及 bonus, training allowance and provident fund. 員工個人表現掛鈎。除薪金外，本集團亦為 其員工提供其他福利，包括購股權、酌情花 紅、培訓津貼及公積金。 32 CHINA CHANGBAISHAN INTERNATIONAL HOLDINGS LIMITED 中國長白山國際控股有限公司</t>
        </is>
      </c>
    </row>
    <row r="165">
      <c r="A165" s="8" t="inlineStr">
        <is>
          <t>Share-based Payment</t>
        </is>
      </c>
      <c r="B165" s="8" t="inlineStr">
        <is>
          <t>以股份為基礎的付款</t>
        </is>
      </c>
      <c r="C165" s="8" t="inlineStr">
        <is>
          <t>medium</t>
        </is>
      </c>
      <c r="D165" s="11" t="inlineStr">
        <is>
          <t>share option</t>
        </is>
      </c>
      <c r="E165" s="11" t="inlineStr">
        <is>
          <t>PDF p.49 (印刷頁 48)</t>
        </is>
      </c>
      <c r="F165" s="11" t="inlineStr">
        <is>
          <t>in the register 本公司須備存的登記冊內根據證券及期貨條 required to be kept by the Company under Section 336 of the SFO. 例第XV部第2及3分部條文須向本公司披露 之任何權益或淡倉。 SHARE OPTION SCHEME 購股權計劃 Details of the share option scheme of the Company and the movements 有關本公司購股權計劃及購股權變動之詳情 in the share options are set out in note 28 to the consolidated financial 載於綜合財務報表附註28內。 statements. MANAGEMENT CONTRACTS 管理合約 No contracts concerning the management and administration of the 於本財政年度內，概無訂立或存在任何與本 whole or any substantial part of the business of the Group were entered 集團</t>
        </is>
      </c>
    </row>
    <row r="166">
      <c r="A166" s="8" t="inlineStr">
        <is>
          <t>Share-based Payment</t>
        </is>
      </c>
      <c r="B166" s="8" t="inlineStr">
        <is>
          <t>以股份為基礎的付款</t>
        </is>
      </c>
      <c r="C166" s="8" t="inlineStr">
        <is>
          <t>medium</t>
        </is>
      </c>
      <c r="D166" s="11" t="inlineStr">
        <is>
          <t>share option</t>
        </is>
      </c>
      <c r="E166" s="11" t="inlineStr">
        <is>
          <t>PDF p.50 (印刷頁 49)</t>
        </is>
      </c>
      <c r="F166" s="11" t="inlineStr">
        <is>
          <t>uncement dated 12 January 詳情載於本公司日期為二零二六年一月十二 2026. 日的公告。 EQUITY-LINKED AGREEMENTS 股本掛鈎協議 Save for disclosed in the sections headed “Share Option Scheme” and 除本報告「購股權計劃」及「發行股份及可換 “Issue of Shares and Convertible Bonds” in this report, the Company 股債券」等章節所披露者外，本公司於本財 did not enter into any equity-linked agreements during the financial year. 政年度並無訂立任何股本掛鈎協議。 ISSUE OF SHARES AND CONVERTIBLE BONDS 發行股份及可換股債券 Details of the shares and convertible bonds issued by the Company and 本公司於截至二零二六年三月三十一日止年 their movements during the year end</t>
        </is>
      </c>
    </row>
    <row r="167">
      <c r="A167" s="8" t="inlineStr">
        <is>
          <t>Share-based Payment</t>
        </is>
      </c>
      <c r="B167" s="8" t="inlineStr">
        <is>
          <t>以股份為基礎的付款</t>
        </is>
      </c>
      <c r="C167" s="8" t="inlineStr">
        <is>
          <t>medium</t>
        </is>
      </c>
      <c r="D167" s="11" t="inlineStr">
        <is>
          <t>購股權</t>
        </is>
      </c>
      <c r="E167" s="11" t="inlineStr">
        <is>
          <t>PDF p.56 (印刷頁 55)</t>
        </is>
      </c>
      <c r="F167" s="11" t="inlineStr">
        <is>
          <t>sults announcements, considering dividend 售本公司證券或債券或授予有關本公司證券 policy and approving the issue, allotment or disposal, or grant of 或債券之購股權。董事會亦負責履行企業管 options, in respect of securities or debentures of the Company. It is 治職責及檢討風險管理及內部監控系統之成 also responsible for performing the corporate governance duties and 效，包括檢討本公司會計、財務匯報職能方 reviewing the effectiveness of the risk management and internal control 面以及與本公司環境、社會及管治（「ESG」） systems which include reviewing the adequacy of resources and budget 表現及匯報相關之資源及預算是否充足。此 of the Company’s accou</t>
        </is>
      </c>
    </row>
    <row r="168">
      <c r="A168" s="8" t="inlineStr">
        <is>
          <t>Share-based Payment</t>
        </is>
      </c>
      <c r="B168" s="8" t="inlineStr">
        <is>
          <t>以股份為基礎的付款</t>
        </is>
      </c>
      <c r="C168" s="8" t="inlineStr">
        <is>
          <t>medium</t>
        </is>
      </c>
      <c r="D168" s="11" t="inlineStr">
        <is>
          <t>購股權</t>
        </is>
      </c>
      <c r="E168" s="11" t="inlineStr">
        <is>
          <t>PDF p.61 (印刷頁 60)</t>
        </is>
      </c>
      <c r="F168" s="11" t="inlineStr">
        <is>
          <t>kages for individual Directors and senior 董事及高級管理層之薪酬待遇，以及管理及 management, and administering and overseeing the Company’s share 監督本公司之購股權計劃。任何董事或其任 option scheme(s). No Director or any of his/her associates is involved 何聯繫人士不得參與決定其本身之薪酬。訂 in deciding his/her own remuneration. The terms of reference of the 明薪酬委員會職能及職責之職權範圍於聯交 Remuneration Committee setting out its role and responsibilities are 所網站及本公司網站可供查閱。 available on the Stock Exchange’s website and the Company’s website. 60 CHINA CHANGBAISHAN INTERNATIONAL HOLDINGS LIMITED 中</t>
        </is>
      </c>
    </row>
    <row r="169">
      <c r="A169" s="8" t="inlineStr">
        <is>
          <t>Share-based Payment</t>
        </is>
      </c>
      <c r="B169" s="8" t="inlineStr">
        <is>
          <t>以股份為基礎的付款</t>
        </is>
      </c>
      <c r="C169" s="8" t="inlineStr">
        <is>
          <t>medium</t>
        </is>
      </c>
      <c r="D169" s="11" t="inlineStr">
        <is>
          <t>share option</t>
        </is>
      </c>
      <c r="E169" s="11" t="inlineStr">
        <is>
          <t>PDF p.63 (印刷頁 62)</t>
        </is>
      </c>
      <c r="F169" s="11" t="inlineStr">
        <is>
          <t>remuneration (c) 檢討全體董事及高級管理層之薪酬待遇 packages of all Directors and senior management; and 及就此向董事會作出建議；及 (d) administer and oversee the share options granted under the share (d) 管理及監督根據本公司之購股權計劃授 option scheme of the Company. 出之購股權。 Nomination Committee 提名委員會 As at 31 March 2026, the Nomination Committee comprises one 於二零二六年三月三十一日，提名委員會包 Executive Director and three Independent Non-executive Directors, 括一名執行董事和三名獨立非執行董事，即 namely Ms. Cui Xintong (Chairperson of the Nomination Committee 崔薪瞳女士（提名委員會主席，於二零二五 who resigned as Executive</t>
        </is>
      </c>
    </row>
    <row r="170">
      <c r="A170" s="8" t="inlineStr">
        <is>
          <t>Share-based Payment</t>
        </is>
      </c>
      <c r="B170" s="8" t="inlineStr">
        <is>
          <t>以股份為基礎的付款</t>
        </is>
      </c>
      <c r="C170" s="8" t="inlineStr">
        <is>
          <t>medium</t>
        </is>
      </c>
      <c r="D170" s="11" t="inlineStr">
        <is>
          <t>購股權</t>
        </is>
      </c>
      <c r="E170" s="11" t="inlineStr">
        <is>
          <t>PDF p.135 (印刷頁 134)</t>
        </is>
      </c>
      <c r="F170" s="11" t="inlineStr">
        <is>
          <t>ributed option Other Statutory Retained Total capital Bonds reserve surplus reserve reserves reserve earnings Sub-total equity 可換股債券 購股權 權益 股本 之權益部分 外匯儲備 繳入盈餘 儲備 其他儲備 法定儲備 保留盈利 小計 總額 RMB’000 RMB’000 RMB’000 RMB’000 RMB’000 RMB’000 RMB’000 RMB’000 RMB’000 RMB’000 人民幣千元 人民幣千元 人民幣千元 人民幣千元 人民幣千元 人民幣千元 人民幣千元 人民幣千元 人民幣千元 人民幣千元 (Note 27) (Note 26) (Note 29 (ii)) (Note 29 (iii)) (Note 29 (iv)) (Note 29 (v)) (Note 29 (vi)) （附註27） （附註26） （附註29(ii)） （附註29(iii)） （附註29(iv)） （附註29(v)） （附註29(vi)） At 1 April 2025 於二零二五年四月一日 3,115 38,029 (65,69</t>
        </is>
      </c>
    </row>
    <row r="171">
      <c r="A171" s="8" t="inlineStr">
        <is>
          <t>Share-based Payment</t>
        </is>
      </c>
      <c r="B171" s="8" t="inlineStr">
        <is>
          <t>以股份為基礎的付款</t>
        </is>
      </c>
      <c r="C171" s="8" t="inlineStr">
        <is>
          <t>medium</t>
        </is>
      </c>
      <c r="D171" s="11" t="inlineStr">
        <is>
          <t>share option</t>
        </is>
      </c>
      <c r="E171" s="11" t="inlineStr">
        <is>
          <t>PDF p.136 (印刷頁 135)</t>
        </is>
      </c>
      <c r="F171" s="11" t="inlineStr">
        <is>
          <t>reorganisation and the share premium 股本重組及股份溢價削減 reduction (308,338) – (4,719,934) – 5,028,272 – – – – 308,338 – Lapse/forfeiture of share options 購股權失效╱沒收 – – – – – (16,328) – – 16,328 – – (308,338) (60,276) (4,719,934) – 5,028,272 (16,328) – – 76,604 368,614 – At 31 March 2025 於二零二五年三月三十一日 3,115 38,029 – (65,695) 5,212,956 4,004 (3,253,782) 25,600 (2,587,528) (664,445) (623,301) Annual Report 2025/26 年報 135</t>
        </is>
      </c>
    </row>
    <row r="172">
      <c r="A172" s="8" t="inlineStr">
        <is>
          <t>Share-based Payment</t>
        </is>
      </c>
      <c r="B172" s="8" t="inlineStr">
        <is>
          <t>以股份為基礎的付款</t>
        </is>
      </c>
      <c r="C172" s="8" t="inlineStr">
        <is>
          <t>medium</t>
        </is>
      </c>
      <c r="D172" s="11" t="inlineStr">
        <is>
          <t>share-based payment</t>
        </is>
      </c>
      <c r="E172" s="11" t="inlineStr">
        <is>
          <t>PDF p.178 (印刷頁 177)</t>
        </is>
      </c>
      <c r="F172" s="11" t="inlineStr">
        <is>
          <t>line with 客戶收取的付款大致與收益確認時間一 the timing of revenue recognition and no significant contract liabilities 致且概無重大合約負債獲確認。 are recognised. Share-based payments 股份支付 The Company operates a share option scheme for the purpose 本公司設立購股權計劃，旨在向對本集 of providing incentives and rewards to eligible participants who 團業務成功作出貢獻之合資格參與者給 contributes to the success of the Group’s operations. Employees 予獎勵及報酬。本集團僱員（包括董事） (including directors) of the Group receive remuneration in the form 以股份支付之方式收取報酬，而僱員提 of share-based payments, whereby employees re</t>
        </is>
      </c>
    </row>
    <row r="173">
      <c r="A173" s="8" t="inlineStr">
        <is>
          <t>Share-based Payment</t>
        </is>
      </c>
      <c r="B173" s="8" t="inlineStr">
        <is>
          <t>以股份為基礎的付款</t>
        </is>
      </c>
      <c r="C173" s="8" t="inlineStr">
        <is>
          <t>medium</t>
        </is>
      </c>
      <c r="D173" s="11" t="inlineStr">
        <is>
          <t>share-based payment</t>
        </is>
      </c>
      <c r="E173" s="11" t="inlineStr">
        <is>
          <t>PDF p.179 (印刷頁 178)</t>
        </is>
      </c>
      <c r="F173" s="11" t="inlineStr">
        <is>
          <t>合財務報表附註 For the year ended 31 March 2026 截至二零二六年三月三十一日止年度 2.4 SUMMARY OF SIGNIFICANT ACCOUNTING 2.4 主要會計政策概要（續） POLICIES (Continued) Share-based payments (Continued) 股份支付（續） The cost of equity-settled transactions is recognised in employee 以權益結算交易之成本在績效及╱或服 benefit expense, together with a corresponding increase in equity, 務條件獲得履行之期間內連同權益相應 over the period in which the performance and/or service conditions 增加部分，於僱員福利開支中確認。於 are fulfilled. The cumulative expense recognised for equity-settled 各報告期末直至歸屬日期止已確認之以 transactions at the</t>
        </is>
      </c>
    </row>
    <row r="174">
      <c r="A174" s="8" t="inlineStr">
        <is>
          <t>Share-based Payment</t>
        </is>
      </c>
      <c r="B174" s="8" t="inlineStr">
        <is>
          <t>以股份為基礎的付款</t>
        </is>
      </c>
      <c r="C174" s="8" t="inlineStr">
        <is>
          <t>medium</t>
        </is>
      </c>
      <c r="D174" s="11" t="inlineStr">
        <is>
          <t>購股權</t>
        </is>
      </c>
      <c r="E174" s="11" t="inlineStr">
        <is>
          <t>PDF p.199 (印刷頁 198)</t>
        </is>
      </c>
      <c r="F174" s="11" t="inlineStr">
        <is>
          <t>hare Pension and benefits option scheme in kind Discretionary expense contributions Fees 薪金、津貼 bonuses 以權益結算 退休金 Total 袍金 及實物利益 酌情花紅 購股權開支 計劃供款 總計 RMB’000 RMB’000 RMB’000 RMB’000 RMB’000 RMB’000 人民幣千元 人民幣千元 人民幣千元 人民幣千元 人民幣千元 人民幣千元 2026 二零二六年 Executive directors: 執行董事： Cui Xintong (a) 崔薪瞳(a) – 418 – – 3 421 Li Junjie 李俊傑 – 602 – – – 602 Xu Yingchuan 徐映川 – 292 – – 85 377 Cong Peifeng 叢佩峰 – 288 – – 81 369 – 1,600 – – 169 1,769 Non-executive directors: 非執行董事： Cui Mindong 崔民東 220 – – – – 220 Chiu Sin Nang, Kenny (b) 趙善能(b) 183 – – –</t>
        </is>
      </c>
    </row>
    <row r="175">
      <c r="A175" s="8" t="inlineStr">
        <is>
          <t>Share-based Payment</t>
        </is>
      </c>
      <c r="B175" s="8" t="inlineStr">
        <is>
          <t>以股份為基礎的付款</t>
        </is>
      </c>
      <c r="C175" s="8" t="inlineStr">
        <is>
          <t>medium</t>
        </is>
      </c>
      <c r="D175" s="11" t="inlineStr">
        <is>
          <t>購股權</t>
        </is>
      </c>
      <c r="E175" s="11" t="inlineStr">
        <is>
          <t>PDF p.200 (印刷頁 199)</t>
        </is>
      </c>
      <c r="F175" s="11" t="inlineStr">
        <is>
          <t>hare Pension and benefits option scheme in kind Discretionary expense contributions Fees 薪金、津貼 bonuses 以權益結算 退休金 Total 袍金 及實物利益 酌情花紅 購股權開支 計劃供款 RMB’000 RMB’000 RMB’000 RMB’000 RMB’000 RMB’000 人民幣千元 人民幣千元 人民幣千元 人民幣千元 人民幣千元 人民幣千元 2025 二零二五年 Executive directors: 執行董事： Cui Xintong (“Ms. Cui”) (a) 崔薪瞳（「崔女士」）(a) – 2,591 – – 17 2,608 Li Junjie 李俊傑 – 602 – – – 602 Xu Yingchuan 徐映川 – 293 – – 42 335 Cong Peifeng 叢佩峰 – 288 – – 79 367 – 3,774 – – 138 3,912 Non-executive directors: 非執行董事： Cui Mindong 崔民東 220 – – – – 220 220 – – – – 220 Inde</t>
        </is>
      </c>
    </row>
    <row r="176">
      <c r="A176" s="8" t="inlineStr">
        <is>
          <t>Share-based Payment</t>
        </is>
      </c>
      <c r="B176" s="8" t="inlineStr">
        <is>
          <t>以股份為基礎的付款</t>
        </is>
      </c>
      <c r="C176" s="8" t="inlineStr">
        <is>
          <t>medium</t>
        </is>
      </c>
      <c r="D176" s="11" t="inlineStr">
        <is>
          <t>share option</t>
        </is>
      </c>
      <c r="E176" s="11" t="inlineStr">
        <is>
          <t>PDF p.205 (印刷頁 204)</t>
        </is>
      </c>
      <c r="F176" s="11" t="inlineStr">
        <is>
          <t>lation 360,182 360,182 Effect of dilution – weighted average 攤薄影響 – 普通股加權平均數： number of ordinary shares: Convertible Bonds 可換股債券 – – Share options 購股權 – – Weighted average number of 普通股加權平均數（攤薄） ordinary shares (diluted) 360,182 360,182 The calculation of the diluted earnings (loss) per share is based on 每股攤薄盈利（虧損）乃根據截至二零 the profit attributable to owners of the parent of RMB128,314,000 二六年及二零二五年三月三十一日止年 (2025: loss of RMB712,034,000) from continuing operations 度母公司擁有人應佔持續經營業務溢利 and profit for the Group of RMB122,249,000 (2005:</t>
        </is>
      </c>
    </row>
    <row r="177">
      <c r="A177" s="8" t="inlineStr">
        <is>
          <t>Share-based Payment</t>
        </is>
      </c>
      <c r="B177" s="8" t="inlineStr">
        <is>
          <t>以股份為基礎的付款</t>
        </is>
      </c>
      <c r="C177" s="8" t="inlineStr">
        <is>
          <t>medium</t>
        </is>
      </c>
      <c r="D177" s="11" t="inlineStr">
        <is>
          <t>share option</t>
        </is>
      </c>
      <c r="E177" s="11" t="inlineStr">
        <is>
          <t>PDF p.236 (印刷頁 235)</t>
        </is>
      </c>
      <c r="F177" s="11" t="inlineStr">
        <is>
          <t>’s circular dated 29 進一步詳情載於本公司日期為二零二四 November 2024 and the announcements dated 15 January 2025. 年十一月二十九日之通函及日期為二零 二五年一月十五日之公告。 28. SHARE OPTION SCHEME 28. 購股權計劃 The Company operates a share option scheme (the “Scheme”) 本公司設有一項購股權計劃（「計劃」）， for the purpose of providing incentives and rewards to eligible 作為對本集團經營成果有貢獻之合資格 participants who contribute to the success of the Group’s 參與者之鼓勵及回報。 operations. The summary of the Scheme’s key terms is as follows: 計劃主要條款之概要如下： (1) Purpose To recognise and acknowledge the (1) 目的 表揚及肯定參與人士 c</t>
        </is>
      </c>
    </row>
    <row r="178">
      <c r="A178" s="8" t="inlineStr">
        <is>
          <t>Share-based Payment</t>
        </is>
      </c>
      <c r="B178" s="8" t="inlineStr">
        <is>
          <t>以股份為基礎的付款</t>
        </is>
      </c>
      <c r="C178" s="8" t="inlineStr">
        <is>
          <t>medium</t>
        </is>
      </c>
      <c r="D178" s="11" t="inlineStr">
        <is>
          <t>share option</t>
        </is>
      </c>
      <c r="E178" s="11" t="inlineStr">
        <is>
          <t>PDF p.237 (印刷頁 236)</t>
        </is>
      </c>
      <c r="F178" s="11" t="inlineStr">
        <is>
          <t>Notes to the Consolidated Financial Statements 綜合財務報表附註 For the year ended 31 March 2026 截至二零二六年三月三十一日止年度 28. SHARE OPTION SCHEME (Continued) 28. 購股權計劃（續） The summary of the Scheme’s key terms is as follows: (Continued) 計劃主要條款之概要如下：（續） (2) Participants Share options may be granted to the (2) 參與者 購股權可授予參與 participants, being: 者，即： (a) any person being an employee (including (a) 為本公司或任何附 any executive director), officer (including 屬公司或任何投資 a n y n o n - e x e c u t i v e d i re c t o r a n d 實體之僱員（包括 indepe</t>
        </is>
      </c>
    </row>
    <row r="179">
      <c r="A179" s="8" t="inlineStr">
        <is>
          <t>Share-based Payment</t>
        </is>
      </c>
      <c r="B179" s="8" t="inlineStr">
        <is>
          <t>以股份為基礎的付款</t>
        </is>
      </c>
      <c r="C179" s="8" t="inlineStr">
        <is>
          <t>medium</t>
        </is>
      </c>
      <c r="D179" s="11" t="inlineStr">
        <is>
          <t>share option</t>
        </is>
      </c>
      <c r="E179" s="11" t="inlineStr">
        <is>
          <t>PDF p.238 (印刷頁 237)</t>
        </is>
      </c>
      <c r="F179" s="11" t="inlineStr">
        <is>
          <t>28. SHARE OPTION SCHEME (Continued) 28. 購股權計劃（續） The summary of the Scheme’s key terms is as follows: (Continued) 計劃主要條款之概要如下：（續） (3) Total number 137,145,000 shares, being 10% of the total (3) 可供發行 137,145,000股股份， of shares number of shares in issue as at the date of 之股份 即於二零一六年九月 available for refreshment of the scheme mandate limit on 總數 十四日更新計劃授權 issue 14 September 2016 and being 1.90% of th</t>
        </is>
      </c>
    </row>
    <row r="180">
      <c r="A180" s="8" t="inlineStr">
        <is>
          <t>Share-based Payment</t>
        </is>
      </c>
      <c r="B180" s="8" t="inlineStr">
        <is>
          <t>以股份為基礎的付款</t>
        </is>
      </c>
      <c r="C180" s="8" t="inlineStr">
        <is>
          <t>medium</t>
        </is>
      </c>
      <c r="D180" s="11" t="inlineStr">
        <is>
          <t>share option</t>
        </is>
      </c>
      <c r="E180" s="11" t="inlineStr">
        <is>
          <t>PDF p.239 (印刷頁 238)</t>
        </is>
      </c>
      <c r="F180" s="11" t="inlineStr">
        <is>
          <t>Notes to the Consolidated Financial Statements 綜合財務報表附註 For the year ended 31 March 2026 截至二零二六年三月三十一日止年度 28. SHARE OPTION SCHEME (Continued) 28. 購股權計劃（續） The summary of the Scheme’s key terms is as follows: (Continued) 計劃主要條款之概要如下：（續） (6) Minimum period No minimum period before the options can be (6) 購股權在 除董事會全權決定另 for which an exercised unless otherwise imposed by the 歸屬前須 行規定者外，購股權 option must Board at its absolute discretion. 持有之 之行使並無最短持有 be held 最短期限 期限。 before it can vest (7) Payment on H</t>
        </is>
      </c>
    </row>
    <row r="181">
      <c r="A181" s="8" t="inlineStr">
        <is>
          <t>Share-based Payment</t>
        </is>
      </c>
      <c r="B181" s="8" t="inlineStr">
        <is>
          <t>以股份為基礎的付款</t>
        </is>
      </c>
      <c r="C181" s="8" t="inlineStr">
        <is>
          <t>medium</t>
        </is>
      </c>
      <c r="D181" s="11" t="inlineStr">
        <is>
          <t>share option</t>
        </is>
      </c>
      <c r="E181" s="11" t="inlineStr">
        <is>
          <t>PDF p.240 (印刷頁 239)</t>
        </is>
      </c>
      <c r="F181" s="11" t="inlineStr">
        <is>
          <t>28. SHARE OPTION SCHEME (Continued) 28. 購股權計劃（續） The terms and conditions of the share options granted under the 根據計劃授出之購股權之條款及條件如 Scheme were as follows: 下： Number of share options 購股權數目 Adjusted As at Exercised Forfeited/ by share As at Exercise 1 April during lapsed during consolidation 31 March Exercise price per Grantees 2025 the year the year during the year 2026 Date of grant period (Note 1) sh</t>
        </is>
      </c>
    </row>
    <row r="182">
      <c r="A182" s="8" t="inlineStr">
        <is>
          <t>Share-based Payment</t>
        </is>
      </c>
      <c r="B182" s="8" t="inlineStr">
        <is>
          <t>以股份為基礎的付款</t>
        </is>
      </c>
      <c r="C182" s="8" t="inlineStr">
        <is>
          <t>medium</t>
        </is>
      </c>
      <c r="D182" s="11" t="inlineStr">
        <is>
          <t>share option</t>
        </is>
      </c>
      <c r="E182" s="11" t="inlineStr">
        <is>
          <t>PDF p.241 (印刷頁 240)</t>
        </is>
      </c>
      <c r="F182" s="11" t="inlineStr">
        <is>
          <t>Notes to the Consolidated Financial Statements 綜合財務報表附註 For the year ended 31 March 2026 截至二零二六年三月三十一日止年度 28. SHARE OPTION SCHEME (Continued) 28. 購股權計劃（續） The following share options were outstanding under the Scheme 年內根據計劃尚未行使之購股權如下： during the year: 2026 2025 二零二六年 二零二五年 Weighted Weighted average average exercise price exercise price per share Number of per share Number of 每股加權 options 每股加權 options 平均行使價 購股權數目 平均行使價 購股權數目 HK$ ’000 HK$ ’000 港元 千股 港元 千股 Outstanding at 1 April 於四月一日尚未行使 19.6 515 1.0018 51,</t>
        </is>
      </c>
    </row>
    <row r="183">
      <c r="A183" s="8" t="inlineStr">
        <is>
          <t>Share-based Payment</t>
        </is>
      </c>
      <c r="B183" s="8" t="inlineStr">
        <is>
          <t>以股份為基礎的付款</t>
        </is>
      </c>
      <c r="C183" s="8" t="inlineStr">
        <is>
          <t>medium</t>
        </is>
      </c>
      <c r="D183" s="11" t="inlineStr">
        <is>
          <t>share option</t>
        </is>
      </c>
      <c r="E183" s="11" t="inlineStr">
        <is>
          <t>PDF p.242 (印刷頁 241)</t>
        </is>
      </c>
      <c r="F183" s="11" t="inlineStr">
        <is>
          <t>28. SHARE OPTION SCHEME (Continued) 28. 購股權計劃（續） No share option expense was recognised during the years ended 截至二零二六年及二零二五年三月 31 March 2026 and 2025 as all the above share options had been 三十一日止年度，並無確認購股權開 fully vested in prior years. 支，此乃由於上述購股權於過往年度悉 數歸屬。 The fair value of equity-settled share options granted, was estimated 已授出以權益結算之購股權公允價值利 as at the respective dates of grant using a binomial mode</t>
        </is>
      </c>
    </row>
    <row r="184">
      <c r="A184" s="8" t="inlineStr">
        <is>
          <t>Share-based Payment</t>
        </is>
      </c>
      <c r="B184" s="8" t="inlineStr">
        <is>
          <t>以股份為基礎的付款</t>
        </is>
      </c>
      <c r="C184" s="8" t="inlineStr">
        <is>
          <t>medium</t>
        </is>
      </c>
      <c r="D184" s="11" t="inlineStr">
        <is>
          <t>share-based payment</t>
        </is>
      </c>
      <c r="E184" s="11" t="inlineStr">
        <is>
          <t>PDF p.244 (印刷頁 243)</t>
        </is>
      </c>
      <c r="F184" s="11" t="inlineStr">
        <is>
          <t>e 購股權儲備乃已授出惟尚未行使之購 options granted which are yet to be exercised, as further 股權之公允價值，於綜合財務報表附 explained in the accounting policy for share-based payment 註中以股份支付交易之會計政策中有 transactions in the notes to the consolidated financial 進一步闡述。 statements. (v) Other reserves (v) 其他儲備 2026 2025 二零二六年 二零二五年 Notes RMB’000 RMB’000 附註 人民幣千元 人民幣千元 Merger reserve 合併儲備 (a) (3,316,856) (3,316,856) Deemed capital contribution 視作出資儲備 reserve (b) 58,382 58,382 Others 其他 4,692 4,692 (3,253,782) (3,253,782) (a) The merger reserve represents the differen</t>
        </is>
      </c>
    </row>
    <row r="185">
      <c r="A185" s="8" t="inlineStr">
        <is>
          <t>Share-based Payment</t>
        </is>
      </c>
      <c r="B185" s="8" t="inlineStr">
        <is>
          <t>以股份為基礎的付款</t>
        </is>
      </c>
      <c r="C185" s="8" t="inlineStr">
        <is>
          <t>medium</t>
        </is>
      </c>
      <c r="D185" s="11" t="inlineStr">
        <is>
          <t>expected volatility</t>
        </is>
      </c>
      <c r="E185" s="11" t="inlineStr">
        <is>
          <t>PDF p.262 (印刷頁 261)</t>
        </is>
      </c>
      <c r="F185" s="11" t="inlineStr">
        <is>
          <t>aluation techniques Significant unobservable inputs Range 估值技巧 重大不可觀察輸入數據 範圍 Early redemption rights embedded Binomial pricing model Expected volatility 預期波幅 87.5% in the CBs 二項式期權定價模型 (2025: 87.5%) 嵌入可換股債券之提前贖回權 （二零二五年：87.5%） Annual Report 2025/26 年報 261</t>
        </is>
      </c>
    </row>
    <row r="186">
      <c r="A186" s="8" t="inlineStr">
        <is>
          <t>Share-based Payment</t>
        </is>
      </c>
      <c r="B186" s="8" t="inlineStr">
        <is>
          <t>以股份為基礎的付款</t>
        </is>
      </c>
      <c r="C186" s="8" t="inlineStr">
        <is>
          <t>medium</t>
        </is>
      </c>
      <c r="D186" s="11" t="inlineStr">
        <is>
          <t>expected volatility</t>
        </is>
      </c>
      <c r="E186" s="11" t="inlineStr">
        <is>
          <t>PDF p.263 (印刷頁 262)</t>
        </is>
      </c>
      <c r="F186" s="11" t="inlineStr">
        <is>
          <t>l pricing model and the 值乃使用二項式期權定價模型釐定，而 significant unobservable input used in the fair value measurement 公允價值計量所用之重大不可觀察輸入 is the expected volatility. The fair value measurement is positively 數據為預期波幅。公允價值計量與預期 correlated to the expected volatility. 波幅有正面關係。 During the year, there were no transfers of fair value measurements 年內，就金融資產及金融負債而言，第 between Level 1 and Level 2 and no transfers into or out of Level 3 一級與第二級公允價值計量之間並無轉 for both financial assets and financial liabilities (2025: Nil). 撥，亦無轉撥至或轉撥自第三級公允價 值計量（二零二五年：無）。 The</t>
        </is>
      </c>
    </row>
    <row r="187">
      <c r="A187" s="8" t="inlineStr">
        <is>
          <t>Share-based Payment</t>
        </is>
      </c>
      <c r="B187" s="8" t="inlineStr">
        <is>
          <t>以股份為基礎的付款</t>
        </is>
      </c>
      <c r="C187" s="8" t="inlineStr">
        <is>
          <t>medium</t>
        </is>
      </c>
      <c r="D187" s="11" t="inlineStr">
        <is>
          <t>share option</t>
        </is>
      </c>
      <c r="E187" s="11" t="inlineStr">
        <is>
          <t>PDF p.271 (印刷頁 270)</t>
        </is>
      </c>
      <c r="F187" s="11" t="inlineStr">
        <is>
          <t>公司財務狀況表（續） COMPANY (Continued) Note: 附註： The movement of the Company’s reserves is as follows: 本公司儲備變動如下： Share Exchange Contributed Share option Retained premium reserve surplus reserve earnings Other reserves Total 股份溢價 外匯儲備 實繳盈餘 購股權儲備 保留盈利 其他儲備 總計 RMB’000 RMB’000 RMB’000 RMB’000 RMB’000 RMB’000 RMB’000 人民幣千元 人民幣千元 人民幣千元 人民幣千元 人民幣千元 人民幣千元 人民幣千元 At 1 April 2025 於二零二五年四月一日 – 230,541 5,212,956 4,004 (5,566,102) 46,748 (71,853) Loss for the year 年內虧損 – – – – (210,935) – (210,935) Other comprehensive income for the year 年內其他全面收入 E</t>
        </is>
      </c>
    </row>
    <row r="188">
      <c r="A188" s="8" t="inlineStr">
        <is>
          <t>Related Party Transactions</t>
        </is>
      </c>
      <c r="B188" s="8" t="inlineStr">
        <is>
          <t>關聯方交易</t>
        </is>
      </c>
      <c r="C188" s="8" t="inlineStr">
        <is>
          <t>low</t>
        </is>
      </c>
      <c r="D188" s="11" t="inlineStr">
        <is>
          <t>關聯方</t>
        </is>
      </c>
      <c r="E188" s="11" t="inlineStr">
        <is>
          <t>PDF p.27 (印刷頁 26)</t>
        </is>
      </c>
      <c r="F188" s="11" t="inlineStr">
        <is>
          <t>顧（續） Liquidity and financial resources (continued) 流動資金及財務資源（續） Debt and gearing (continued) 債務及資本負債比率（續） Loans from related parties 關聯方貸款 Loans from related parties are unsecured, interest-free and repayable 關聯方貸款為無抵押、免息及須於一年內或 within one year or on demand for the primary purpose of financing the 按需求還款，主要用於為本集團日常營運提 Group’s daily operation. 供資金。 Convertible Bonds 可換股債券 The Group’s Convertible Bonds as at 31 March 2026 is related to the 本集團於二零二六年三月三十一日之可換 convertible bonds with principal amount of HK$60,000,000 issued in 股債券與於二</t>
        </is>
      </c>
    </row>
    <row r="189">
      <c r="A189" s="8" t="inlineStr">
        <is>
          <t>Related Party Transactions</t>
        </is>
      </c>
      <c r="B189" s="8" t="inlineStr">
        <is>
          <t>關聯方交易</t>
        </is>
      </c>
      <c r="C189" s="8" t="inlineStr">
        <is>
          <t>low</t>
        </is>
      </c>
      <c r="D189" s="11" t="inlineStr">
        <is>
          <t>關聯方</t>
        </is>
      </c>
      <c r="E189" s="11" t="inlineStr">
        <is>
          <t>PDF p.28 (印刷頁 27)</t>
        </is>
      </c>
      <c r="F189" s="11" t="inlineStr">
        <is>
          <t>025 二零二六年 二零二五年 RMB’000 RMB’000 人民幣千元 人民幣千元 Loans from a substantial shareholder 一名主要股東貸款 369,743 449,363 Loans from related parties 關聯方貸款 35,750 50,060 Bank and other borrowings 銀行及其他借貸 183,375 243,090 Trade and other payables 應付貿易賬款及其他應付款項 176,718 435,912 Less: Cash and cash equivalents 減：現金及現金等價物 (4,152) (5,103) Pledged and restricted deposits 有抵押及受限制存款 (797) (3,324) Net debt 債務淨額 760,637 1,169,998 Liability component of 可換股債券負債部分 Convertible Bonds 51,733 48,517 (Deficit) （虧絀） (489,493) (623,301) Adjusted Capital 經調整資本 (437,</t>
        </is>
      </c>
    </row>
    <row r="190">
      <c r="A190" s="8" t="inlineStr">
        <is>
          <t>Related Party Transactions</t>
        </is>
      </c>
      <c r="B190" s="8" t="inlineStr">
        <is>
          <t>關聯方交易</t>
        </is>
      </c>
      <c r="C190" s="8" t="inlineStr">
        <is>
          <t>low</t>
        </is>
      </c>
      <c r="D190" s="11" t="inlineStr">
        <is>
          <t>connected transaction</t>
        </is>
      </c>
      <c r="E190" s="11" t="inlineStr">
        <is>
          <t>PDF p.49 (印刷頁 48)</t>
        </is>
      </c>
      <c r="F190" s="11" t="inlineStr">
        <is>
          <t>any substantial part of the business of the Group were entered 集團整體或任何重大部分業務有關之管理及 into or existed during the financial year. 行政合約。 CONNECTED TRANSACTION 關連交易 On 12 January 2026, Ground Group (Hong Kong) Co., Ltd. (“Ground 廣澤集團（香港）有限公司（「廣澤集團香 Group HK”), the Company, and Ka Yun Investments Limited (an 港」）、本公司及家潤投資有限公司（本公司 indirect wholly owned subsidiary of the Company) entered into a 間接全資附屬公司）於二零二六年一月十二 funding agreement (the “Funding Agreement”), pursuant to which 日訂立融資協議（「融資協議」），據此，廣 Ground Group HK agreed to grant a credit</t>
        </is>
      </c>
    </row>
    <row r="191">
      <c r="A191" s="8" t="inlineStr">
        <is>
          <t>Related Party Transactions</t>
        </is>
      </c>
      <c r="B191" s="8" t="inlineStr">
        <is>
          <t>關聯方交易</t>
        </is>
      </c>
      <c r="C191" s="8" t="inlineStr">
        <is>
          <t>low</t>
        </is>
      </c>
      <c r="D191" s="11" t="inlineStr">
        <is>
          <t>connected transaction</t>
        </is>
      </c>
      <c r="E191" s="11" t="inlineStr">
        <is>
          <t>PDF p.50 (印刷頁 49)</t>
        </is>
      </c>
      <c r="F191" s="11" t="inlineStr">
        <is>
          <t>CONNECTED TRANSACTION (continued) 關連交易（續） Up to the date of this report, an amount of approximately HK$14.6 截至本報告日期，根據融資協議已提取約 million has been drawn down under the Funding Agreement. 14,600,000港元。 Details are set out in the Company’s announcement dated 12 January 詳情載於本公司日期為二零二六年一月十二 2026. 日的公告。 EQUITY-LINKED AGREEMENTS 股本掛鈎協議 Save for disclosed in the sections headed “Share Option Scheme” and 除本報</t>
        </is>
      </c>
    </row>
    <row r="192">
      <c r="A192" s="8" t="inlineStr">
        <is>
          <t>Related Party Transactions</t>
        </is>
      </c>
      <c r="B192" s="8" t="inlineStr">
        <is>
          <t>關聯方交易</t>
        </is>
      </c>
      <c r="C192" s="8" t="inlineStr">
        <is>
          <t>low</t>
        </is>
      </c>
      <c r="D192" s="11" t="inlineStr">
        <is>
          <t>connected transaction</t>
        </is>
      </c>
      <c r="E192" s="11" t="inlineStr">
        <is>
          <t>PDF p.67 (印刷頁 66)</t>
        </is>
      </c>
      <c r="F192" s="11" t="inlineStr">
        <is>
          <t>in relation thereto; 該等業績之外聘核數師報告、管理層聲 明書及管理層回應； (b) reviewed the respective reports on the Group’s continuing (b) 審閱本集團持續關連交易及內部監控之 connected transactions and internal control; 相關報告； (c) reviewed the accounting policies and practices as well as the (c) 檢討本集團會計政策及慣例以及財務申 financial reporting system and risk management and internal control 報制度及風險管理及內部監控制度； system of the Group; (d) reviewed the terms of reference in compliance with prevailing CG (d) 遵照現行企管守則檢討職權範圍； Code; (e) reviewed the continuing connected transactions of the Gr</t>
        </is>
      </c>
    </row>
    <row r="193">
      <c r="A193" s="8" t="inlineStr">
        <is>
          <t>Related Party Transactions</t>
        </is>
      </c>
      <c r="B193" s="8" t="inlineStr">
        <is>
          <t>關聯方交易</t>
        </is>
      </c>
      <c r="C193" s="8" t="inlineStr">
        <is>
          <t>low</t>
        </is>
      </c>
      <c r="D193" s="11" t="inlineStr">
        <is>
          <t>關聯方</t>
        </is>
      </c>
      <c r="E193" s="11" t="inlineStr">
        <is>
          <t>PDF p.73 (印刷頁 72)</t>
        </is>
      </c>
      <c r="F193" s="11" t="inlineStr">
        <is>
          <t>cash flow forecast covering a period 在債務重組將取得成功，而本集團的負債 up to 30 June 2027 on the basis that the Debt Restructuring would （包括來自主要股東和關聯方的貸款、其他 be successful such that the Group’s liabilities (including loans from a 借款和可換股債券）將被解除，並免除償還 substantial shareholder and related parties, other borrowings and the 義務；人參業務約人民幣3,450萬元的現金 Convertible Bonds) would be discharged and released from repayment 流入將得以實現；以及融資協議剩餘餘額產 obligations; the cash inflow from the ginseng business of approximately 生的現金流入將得以提供的基礎上，管理層 RMB34.5 million would be re</t>
        </is>
      </c>
    </row>
    <row r="194">
      <c r="A194" s="8" t="inlineStr">
        <is>
          <t>Related Party Transactions</t>
        </is>
      </c>
      <c r="B194" s="8" t="inlineStr">
        <is>
          <t>關聯方交易</t>
        </is>
      </c>
      <c r="C194" s="8" t="inlineStr">
        <is>
          <t>low</t>
        </is>
      </c>
      <c r="D194" s="11" t="inlineStr">
        <is>
          <t>關聯方</t>
        </is>
      </c>
      <c r="E194" s="11" t="inlineStr">
        <is>
          <t>PDF p.133 (印刷頁 132)</t>
        </is>
      </c>
      <c r="F194" s="11" t="inlineStr">
        <is>
          <t>45 Lease liabilities 租賃負債 15 2,692 6,950 Loans from a substantial shareholder 一名主要股東貸款 23 369,743 449,363 Loans from related parties 關聯方貸款 24 35,750 50,060 Bank and other borrowings 銀行及其他借貸 25 183,375 243,090 Liability component 可換股債券負債部分 of the Convertible Bonds 26 51,733 48,517 Income tax payable 應付所得稅 2,504 52,219 895,002 1,352,756 Liabilities associated with disposal 與分類為持作出售之出售組別 group classified as held for sale 有關之負債 30(a) – 504,169 Total current liabilities 流動負債總額 895,002 1,856,925 NET CURRENT LIABILITIES 流動負債淨值 (481,51</t>
        </is>
      </c>
    </row>
    <row r="195">
      <c r="A195" s="8" t="inlineStr">
        <is>
          <t>Related Party Transactions</t>
        </is>
      </c>
      <c r="B195" s="8" t="inlineStr">
        <is>
          <t>關聯方交易</t>
        </is>
      </c>
      <c r="C195" s="8" t="inlineStr">
        <is>
          <t>low</t>
        </is>
      </c>
      <c r="D195" s="11" t="inlineStr">
        <is>
          <t>關聯方</t>
        </is>
      </c>
      <c r="E195" s="11" t="inlineStr">
        <is>
          <t>PDF p.138 (印刷頁 137)</t>
        </is>
      </c>
      <c r="F195" s="11" t="inlineStr">
        <is>
          <t>行及其他借貸 borrowings (12,211) (10,240) New loans from a substantial 一名主要股東新增貸款 shareholder 29,842 22,628 New loans from related parties 關聯方新增貸款 – 684 Repayment of a substantial 償還一名主要股東貸款 shareholder’s loan (17,990) (18,459) Repayment of loans from 償還關聯方貸款 related parties (214) (410) Payment of lease liabilities 租賃負債付款 (16,740) (11,513) Net cash flows from (used in) financing 融資活動所得（所用）之現金流 activities 量淨額 44,576 (7,310) NET DECREASE IN 現金及現金等價物之 CASH AND CASH EQUIVALENTS 減少淨額 (951) (48,527) Cash and cash equivalents at the 年初現金及現金</t>
        </is>
      </c>
    </row>
    <row r="196">
      <c r="A196" s="8" t="inlineStr">
        <is>
          <t>Related Party Transactions</t>
        </is>
      </c>
      <c r="B196" s="8" t="inlineStr">
        <is>
          <t>關聯方交易</t>
        </is>
      </c>
      <c r="C196" s="8" t="inlineStr">
        <is>
          <t>low</t>
        </is>
      </c>
      <c r="D196" s="11" t="inlineStr">
        <is>
          <t>related party</t>
        </is>
      </c>
      <c r="E196" s="11" t="inlineStr">
        <is>
          <t>PDF p.154 (印刷頁 153)</t>
        </is>
      </c>
      <c r="F196" s="11" t="inlineStr">
        <is>
          <t>連人士（續） (c) dependants of that person or that person’s spouse or domestic (c) 該名人士或該名人士之配偶或家庭夥 partner. 伴之受養人。 In the definition of a related party, an associate includes subsidiaries 界定關連人士時，聯營公司包括該聯營 of the associate and a joint venture includes subsidiaries of the joint 公司之附屬公司，而合營公司包括該合 venture. 營公司之附屬公司。 Property, plant and equipment and depreciation 物業、機器及設備及折舊 Property, plant and equipment are stated at cost less accumulated 物業、機器及設備按成本減累計折舊及 depreciation and any impairment losses. The cost of an item of 任何減值虧損列賬。物業、機器及設備</t>
        </is>
      </c>
    </row>
    <row r="197">
      <c r="A197" s="8" t="inlineStr">
        <is>
          <t>Related Party Transactions</t>
        </is>
      </c>
      <c r="B197" s="8" t="inlineStr">
        <is>
          <t>關聯方交易</t>
        </is>
      </c>
      <c r="C197" s="8" t="inlineStr">
        <is>
          <t>low</t>
        </is>
      </c>
      <c r="D197" s="11" t="inlineStr">
        <is>
          <t>關聯方</t>
        </is>
      </c>
      <c r="E197" s="11" t="inlineStr">
        <is>
          <t>PDF p.166 (印刷頁 165)</t>
        </is>
      </c>
      <c r="F197" s="11" t="inlineStr">
        <is>
          <t>antial/controlling shareholder, loans from related 其他應付款項、一名主要╱控股股東貸 parties, lease liabilities and bank and other borrowings, and 款、關聯方貸款、租賃負債、銀行及其 convertible bonds. All financial liabilities, except for financial liabilities 他借貸以及可換股債券。除按公允價值 at FVPL, are recognised initially at their fair value and subsequently 計入損益之金融負債外，所有金融負債 measured at amortised cost, using the effective interest method, 初步按其公允價值確認，並於其後採用 unless the effect of discounting would be insignificant, in which case 實際利率法按攤銷成本計量，除非貼現 they are stated at cost. 影</t>
        </is>
      </c>
    </row>
    <row r="198">
      <c r="A198" s="8" t="inlineStr">
        <is>
          <t>Related Party Transactions</t>
        </is>
      </c>
      <c r="B198" s="8" t="inlineStr">
        <is>
          <t>關聯方交易</t>
        </is>
      </c>
      <c r="C198" s="8" t="inlineStr">
        <is>
          <t>low</t>
        </is>
      </c>
      <c r="D198" s="11" t="inlineStr">
        <is>
          <t>關聯方</t>
        </is>
      </c>
      <c r="E198" s="11" t="inlineStr">
        <is>
          <t>PDF p.229 (印刷頁 228)</t>
        </is>
      </c>
      <c r="F198" s="11" t="inlineStr">
        <is>
          <t>23. 一名主要股東貸款 The amounts are unsecured, interest fee and repayable on demand. 該等款項為無抵押、免息及按要求償還。 24. LOANS FROM RELATED PARTIES 24. 關聯方貸款 The amounts are unsecured, interest free and repayable within one 該等款項為無抵押、免息及須於一年內 year or on demand. 或按要求還款。 25. BANK AND OTHER BORROWINGS 25. 銀行及其他借貸 2026 2025 二零二六年 二零二五年 Notes RMB’000 RMB’000 附註 人民幣千元 人民幣千元 Current 即期 Bank loans – secured 銀行貸款 – 有抵押 (i) – 240,980 Bank loans – unsecured 銀行貸款 – 無抵押 (ii) – 2,110 Other borrowings – unsecured 其他借貸 – 無抵押 (iii) 183,375 – 183,375 243,090 228 CH</t>
        </is>
      </c>
    </row>
    <row r="199">
      <c r="A199" s="8" t="inlineStr">
        <is>
          <t>Related Party Transactions</t>
        </is>
      </c>
      <c r="B199" s="8" t="inlineStr">
        <is>
          <t>關聯方交易</t>
        </is>
      </c>
      <c r="C199" s="8" t="inlineStr">
        <is>
          <t>low</t>
        </is>
      </c>
      <c r="D199" s="11" t="inlineStr">
        <is>
          <t>關聯方</t>
        </is>
      </c>
      <c r="E199" s="11" t="inlineStr">
        <is>
          <t>PDF p.230 (印刷頁 229)</t>
        </is>
      </c>
      <c r="F199" s="11" t="inlineStr">
        <is>
          <t>ied to the liabilities associated 民幣217,000,000元之投資物業作抵 with disposal group classified as held for sale (note 30(c)) during 押，並由本集團若干關聯方之個人及 the year and disposed of at the and of the reporting period. 公司擔保作擔保。該等銀行貸款於年 內重新分類為與分類為持作出售之出 售組別相關之負債（附註30(c)），並 於報告期末出售。 (ii) As at 31 March 2025, the bank loan of RMB2.1 million (31 (ii) 於二零二五年三月三十一日，銀行貸 March 2025: RMB2.1 million) that bore interests at a floating rate 款人民幣2,100,000元（二零二六年 of loan prime rate plus 0.28% per annum was unsecured and 三月三十一日：人民幣2,100,000元） unguaranteed. Su</t>
        </is>
      </c>
    </row>
    <row r="200">
      <c r="A200" s="8" t="inlineStr">
        <is>
          <t>Related Party Transactions</t>
        </is>
      </c>
      <c r="B200" s="8" t="inlineStr">
        <is>
          <t>關聯方交易</t>
        </is>
      </c>
      <c r="C200" s="8" t="inlineStr">
        <is>
          <t>low</t>
        </is>
      </c>
      <c r="D200" s="11" t="inlineStr">
        <is>
          <t>關聯方</t>
        </is>
      </c>
      <c r="E200" s="11" t="inlineStr">
        <is>
          <t>PDF p.247 (印刷頁 246)</t>
        </is>
      </c>
      <c r="F200" s="11" t="inlineStr">
        <is>
          <t>les 按金及其他應收款項 45,520 Cash and cash equivalents 現金及現金等價物 8 Trade and other payables 應付貿易賬款及其他應付款項 (31,874) Loans from related parties 關聯方貸款 (14,338) Net liabilities 淨負債 (123) Total consideration: 總代價： Cash consideration received 已收現金代價 –* Liabilities disposed of 所出售負債 (123) Gain on Dunhua Disposal 敦化出售事項收益 123 246 CHINA CHANGBAISHAN INTERNATIONAL HOLDINGS LIMITED 中國長白山國際控股有限公司</t>
        </is>
      </c>
    </row>
    <row r="201">
      <c r="A201" s="8" t="inlineStr">
        <is>
          <t>Related Party Transactions</t>
        </is>
      </c>
      <c r="B201" s="8" t="inlineStr">
        <is>
          <t>關聯方交易</t>
        </is>
      </c>
      <c r="C201" s="8" t="inlineStr">
        <is>
          <t>low</t>
        </is>
      </c>
      <c r="D201" s="11" t="inlineStr">
        <is>
          <t>related party</t>
        </is>
      </c>
      <c r="E201" s="11" t="inlineStr">
        <is>
          <t>PDF p.255 (印刷頁 254)</t>
        </is>
      </c>
      <c r="F201" s="11" t="inlineStr">
        <is>
          <t>Notes to the Consolidated Financial Statements 綜合財務報表附註 For the year ended 31 March 2026 截至二零二六年三月三十一日止年度 33. RELATED PARTY TRANSACTIONS 33. 與關聯方之交易 (a) Other than disclosed elsewhere in the consolidated financial (a) 除綜合財務報表其他部分所披露者 statements, the Group had the following significant transactions 外，本集團於年內與關聯方有以下重 with related parties during the year: 大交易： 2026 2025 二零二六年 二零二五年 RMB’000 RMB’000 人民幣千元 人民幣千元 (i) Entities controlled by a close family (i) 本公司主要╱控股股東直屬 member of a substantial/controlling 家庭成員所控</t>
        </is>
      </c>
    </row>
    <row r="202">
      <c r="A202" s="8" t="inlineStr">
        <is>
          <t>Related Party Transactions</t>
        </is>
      </c>
      <c r="B202" s="8" t="inlineStr">
        <is>
          <t>關聯方交易</t>
        </is>
      </c>
      <c r="C202" s="8" t="inlineStr">
        <is>
          <t>low</t>
        </is>
      </c>
      <c r="D202" s="11" t="inlineStr">
        <is>
          <t>related party</t>
        </is>
      </c>
      <c r="E202" s="11" t="inlineStr">
        <is>
          <t>PDF p.256 (印刷頁 255)</t>
        </is>
      </c>
      <c r="F202" s="11" t="inlineStr">
        <is>
          <t>33. RELATED PARTY TRANSACTIONS (Continued) 33. 與關聯方之交易（續） (b) Key management personnel (b) 主要管理人員 2026 2025 二零二六年 二零二五年 RMB’000 RMB’000 人民幣千元 人民幣千元 Compensation for key management 主要管理人員之報酬（包括付予 personnel, including the amounts 本公司董事及若干最高薪僱員 paid to the Company’s directors and 之款項（於附註8及9披露））如 certain of the highest paid employees, 下： as disclosed in notes 8 and 9, is as follows: Fees 袍金 981 880 Other</t>
        </is>
      </c>
    </row>
    <row r="203">
      <c r="A203" s="8" t="inlineStr">
        <is>
          <t>Related Party Transactions</t>
        </is>
      </c>
      <c r="B203" s="8" t="inlineStr">
        <is>
          <t>關聯方交易</t>
        </is>
      </c>
      <c r="C203" s="8" t="inlineStr">
        <is>
          <t>low</t>
        </is>
      </c>
      <c r="D203" s="11" t="inlineStr">
        <is>
          <t>關聯方</t>
        </is>
      </c>
      <c r="E203" s="11" t="inlineStr">
        <is>
          <t>PDF p.257 (印刷頁 256)</t>
        </is>
      </c>
      <c r="F203" s="11" t="inlineStr">
        <is>
          <t>l bank and other the Convertible shareholder Loans from borrowings Bonds Lease liabilities 一名主要 related parties 計息銀行 可換股債券 租賃負債 股東貸款 關聯方貸款 及其他借貸 負債部分 RMB’000 RMB’000 RMB’000 RMB’000 RMB’000 人民幣千元 人民幣千元 人民幣千元 人民幣千元 人民幣千元 At 1 April 2025 於二零二五年 四月一日 25,564 449,363 50,060 243,090 48,517 Net cash flows 現金流量淨額 (16,740) 11,852 (214) 49,678 – Exchange realignment 匯兌調整 (67) (10,318) 28 (1,272) (1,180) Interest on lease liabilities 租賃負債利息 1,165 – – – – New leases 新租賃 32,721 – – – – Accrued effective interest 應計實際利息 – – – – 7,733 Interes</t>
        </is>
      </c>
    </row>
    <row r="204">
      <c r="A204" s="8" t="inlineStr">
        <is>
          <t>Related Party Transactions</t>
        </is>
      </c>
      <c r="B204" s="8" t="inlineStr">
        <is>
          <t>關聯方交易</t>
        </is>
      </c>
      <c r="C204" s="8" t="inlineStr">
        <is>
          <t>low</t>
        </is>
      </c>
      <c r="D204" s="11" t="inlineStr">
        <is>
          <t>關聯方</t>
        </is>
      </c>
      <c r="E204" s="11" t="inlineStr">
        <is>
          <t>PDF p.258 (印刷頁 257)</t>
        </is>
      </c>
      <c r="F204" s="11" t="inlineStr">
        <is>
          <t>component of the Convertible Bonds 可換股債券負債部分 51,733 Loans from a substantial shareholder 一名主要股東貸款 369,743 Loans from related parties 關聯方貸款 35,750 Bank and other borrowings 銀行及其他借貸 183,375 820,011 Annual Report 2025/26 年報 257</t>
        </is>
      </c>
    </row>
    <row r="205">
      <c r="A205" s="8" t="inlineStr">
        <is>
          <t>Related Party Transactions</t>
        </is>
      </c>
      <c r="B205" s="8" t="inlineStr">
        <is>
          <t>關聯方交易</t>
        </is>
      </c>
      <c r="C205" s="8" t="inlineStr">
        <is>
          <t>low</t>
        </is>
      </c>
      <c r="D205" s="11" t="inlineStr">
        <is>
          <t>關聯方</t>
        </is>
      </c>
      <c r="E205" s="11" t="inlineStr">
        <is>
          <t>PDF p.259 (印刷頁 258)</t>
        </is>
      </c>
      <c r="F205" s="11" t="inlineStr">
        <is>
          <t>e Convertible Bonds 可換股債券負債部分 48,517 Loans from a substantial/controlling shareholder 一名主要╱控股股東貸款 449,363 Loans from related parties 關聯方貸款 50,060 Bank and other borrowings 銀行及其他借貸 243,090 1,252,506 258 CHINA CHANGBAISHAN INTERNATIONAL HOLDINGS LIMITED 中國長白山國際控股有限公司</t>
        </is>
      </c>
    </row>
    <row r="206">
      <c r="A206" s="8" t="inlineStr">
        <is>
          <t>Related Party Transactions</t>
        </is>
      </c>
      <c r="B206" s="8" t="inlineStr">
        <is>
          <t>關聯方交易</t>
        </is>
      </c>
      <c r="C206" s="8" t="inlineStr">
        <is>
          <t>low</t>
        </is>
      </c>
      <c r="D206" s="11" t="inlineStr">
        <is>
          <t>關聯方</t>
        </is>
      </c>
      <c r="E206" s="11" t="inlineStr">
        <is>
          <t>PDF p.260 (印刷頁 259)</t>
        </is>
      </c>
      <c r="F206" s="11" t="inlineStr">
        <is>
          <t>Financial liabilities 金融負債 Loans from a substantial shareholder 一名主要股東貸款 369,743 449,363 369,743 449,363 Loans from related parties 關聯方貸款 35,750 50,060 35,750 50,060 Lease liabilities 租賃負債 2,692 25,564 2,692 25,564 Bank and other borrowings 銀行及其他借貸 183,375 243,090 185,239 252,129 Liability component of the Convertible 可換股債券負債部分 Bonds 51,733 48,517 53,681 60,140 643,293 816,594 647,105 837,256 Management has assessed that the fair values of cash and cash 管理層已評估現金及現金等價物、已抵 equivalents, pledged and restricted deposits and financi</t>
        </is>
      </c>
    </row>
    <row r="207">
      <c r="A207" s="8" t="inlineStr">
        <is>
          <t>Related Party Transactions</t>
        </is>
      </c>
      <c r="B207" s="8" t="inlineStr">
        <is>
          <t>關聯方交易</t>
        </is>
      </c>
      <c r="C207" s="8" t="inlineStr">
        <is>
          <t>low</t>
        </is>
      </c>
      <c r="D207" s="11" t="inlineStr">
        <is>
          <t>關聯方</t>
        </is>
      </c>
      <c r="E207" s="11" t="inlineStr">
        <is>
          <t>PDF p.268 (印刷頁 267)</t>
        </is>
      </c>
      <c r="F207" s="11" t="inlineStr">
        <is>
          <t>iabilities 租賃負債 1,152 1,655 – – 2,807 Loans from a substantial shareholder 一名主要股東貸款 369,743 – – – 369,743 Loans from related parties 關聯方貸款 35,750 – – – 35,750 Bank and other borrowings 銀行及其他借貸 146,095 39,144 – – 185,239 Liability component of the 可換股債券負債部分 Convertible Bonds 53,681 – – – 53,681 783,139 40,799 – – 823,938 2025 二零二五年 Less than 3 months or on demand 3 to less than 1 to less than 少於三個月 12 months 2 years 2 to 5 years Total 或按要求償還 三至少於十二個月 一至少於兩年 兩年至五年 總計 RMB’000 RMB’000 RMB’000 RMB’000 RMB’000 人民幣千元 人民幣千元 人民幣千元 人民幣千元</t>
        </is>
      </c>
    </row>
    <row r="208">
      <c r="A208" s="8" t="inlineStr">
        <is>
          <t>Related Party Transactions</t>
        </is>
      </c>
      <c r="B208" s="8" t="inlineStr">
        <is>
          <t>關聯方交易</t>
        </is>
      </c>
      <c r="C208" s="8" t="inlineStr">
        <is>
          <t>low</t>
        </is>
      </c>
      <c r="D208" s="11" t="inlineStr">
        <is>
          <t>關聯方</t>
        </is>
      </c>
      <c r="E208" s="11" t="inlineStr">
        <is>
          <t>PDF p.269 (印刷頁 268)</t>
        </is>
      </c>
      <c r="F208" s="11" t="inlineStr">
        <is>
          <t>025 二零二六年 二零二五年 RMB’000 RMB’000 人民幣千元 人民幣千元 Loans from a substantial shareholder 一名主要股東貸款 369,743 449,363 Loans from related parties 關聯方貸款 35,750 50,060 Bank and other borrowings 銀行及其他借貸 183,375 243,090 Trade and other payables 應付貿易賬款及其他應付款項 176,718 435,912 Less: Cash and cash equivalents 減:現金及現金等價物 (4,152) (5,103) Pledged and restricted deposits 已抵押及受限制存款 (797) (3,324) Net debt 淨債項 760,637 1,169,998 Liability component of the Convertible 可換股債券負債部分 Bonds 51,733 48,517 Equity 權益 (489,493) (623,301) Adjusted capital 經調整資本 (437,76</t>
        </is>
      </c>
    </row>
    <row r="209">
      <c r="A209" s="8" t="inlineStr">
        <is>
          <t>Related Party Transactions</t>
        </is>
      </c>
      <c r="B209" s="8" t="inlineStr">
        <is>
          <t>關聯方交易</t>
        </is>
      </c>
      <c r="C209" s="8" t="inlineStr">
        <is>
          <t>low</t>
        </is>
      </c>
      <c r="D209" s="11" t="inlineStr">
        <is>
          <t>關聯方</t>
        </is>
      </c>
      <c r="E209" s="11" t="inlineStr">
        <is>
          <t>PDF p.270 (印刷頁 269)</t>
        </is>
      </c>
      <c r="F209" s="11" t="inlineStr">
        <is>
          <t>TIES 流動負債 Other payables 其他應付款項 6,647 5,203 Loans from a substantial shareholder 一名主要股東貸款 106,752 115,495 Loans from related parties 關聯方貸款 13,376 13,722 Bank and other borrowings 銀行及其他借貸 147,625 – Liability component of the Convertible 可換股債券負債部分 Bonds 51,733 48,517 Total current liabilities 流動負債總額 326,133 182,937 NET CURRENT LIABILITIES 流動負債淨額 (325,502) (181,984) TOTAL ASSETS LESS CURRENT 總資產減流動負債 LIABILITIES (235,020) (30,709) Total non-current liabilities 非流動負債總額 – – NET ASSETS 淨資產 (235,020) (30,709) EQUITY 權益 Share capital 股</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0"/>
  <sheetViews>
    <sheetView workbookViewId="0">
      <pane ySplit="29" topLeftCell="A30"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Profit Before Tax</t>
        </is>
      </c>
    </row>
    <row r="10">
      <c r="A10" s="8" t="inlineStr">
        <is>
          <t>Income Statement</t>
        </is>
      </c>
      <c r="B10" s="8" t="inlineStr">
        <is>
          <t>R&amp;D Expenses</t>
        </is>
      </c>
    </row>
    <row r="11">
      <c r="A11" s="8" t="inlineStr">
        <is>
          <t>Income Statement</t>
        </is>
      </c>
      <c r="B11" s="8" t="inlineStr">
        <is>
          <t>Depreciation</t>
        </is>
      </c>
    </row>
    <row r="12">
      <c r="A12" s="8" t="inlineStr">
        <is>
          <t>Income Statement</t>
        </is>
      </c>
      <c r="B12" s="8" t="inlineStr">
        <is>
          <t>Amortisation</t>
        </is>
      </c>
    </row>
    <row r="13">
      <c r="A13" s="8" t="inlineStr">
        <is>
          <t>Balance Sheet</t>
        </is>
      </c>
      <c r="B13" s="8" t="inlineStr">
        <is>
          <t>Total Assets</t>
        </is>
      </c>
    </row>
    <row r="14">
      <c r="A14" s="8" t="inlineStr">
        <is>
          <t>Balance Sheet</t>
        </is>
      </c>
      <c r="B14" s="8" t="inlineStr">
        <is>
          <t>Inventories</t>
        </is>
      </c>
    </row>
    <row r="15">
      <c r="A15" s="8" t="inlineStr">
        <is>
          <t>Balance Sheet</t>
        </is>
      </c>
      <c r="B15" s="8" t="inlineStr">
        <is>
          <t>Goodwill</t>
        </is>
      </c>
    </row>
    <row r="16">
      <c r="A16" s="8" t="inlineStr">
        <is>
          <t>Balance Sheet</t>
        </is>
      </c>
      <c r="B16" s="8" t="inlineStr">
        <is>
          <t>Intangible Assets</t>
        </is>
      </c>
    </row>
    <row r="17">
      <c r="A17" s="8" t="inlineStr">
        <is>
          <t>Balance Sheet</t>
        </is>
      </c>
      <c r="B17" s="8" t="inlineStr">
        <is>
          <t>Total Liabilities</t>
        </is>
      </c>
    </row>
    <row r="18">
      <c r="A18" s="8" t="inlineStr">
        <is>
          <t>Balance Sheet</t>
        </is>
      </c>
      <c r="B18" s="8" t="inlineStr">
        <is>
          <t>Borrowings</t>
        </is>
      </c>
    </row>
    <row r="19">
      <c r="A19" s="8" t="inlineStr">
        <is>
          <t>Balance Sheet</t>
        </is>
      </c>
      <c r="B19" s="8" t="inlineStr">
        <is>
          <t>Total Equity</t>
        </is>
      </c>
    </row>
    <row r="20">
      <c r="A20" s="8" t="inlineStr">
        <is>
          <t>Cash Flow</t>
        </is>
      </c>
      <c r="B20" s="8" t="inlineStr">
        <is>
          <t>Operating Cash Flow</t>
        </is>
      </c>
    </row>
    <row r="21">
      <c r="A21" s="8" t="inlineStr">
        <is>
          <t>Cash Flow</t>
        </is>
      </c>
      <c r="B21" s="8" t="inlineStr">
        <is>
          <t>Investing Cash Flow</t>
        </is>
      </c>
    </row>
    <row r="22">
      <c r="A22" s="8" t="inlineStr">
        <is>
          <t>Cash Flow</t>
        </is>
      </c>
      <c r="B22" s="8" t="inlineStr">
        <is>
          <t>Financing Cash Flow</t>
        </is>
      </c>
    </row>
    <row r="23">
      <c r="A23" s="8" t="inlineStr">
        <is>
          <t>Cash Flow</t>
        </is>
      </c>
      <c r="B23" s="8" t="inlineStr">
        <is>
          <t>Capital Expenditure</t>
        </is>
      </c>
    </row>
    <row r="26">
      <c r="A26" s="5" t="inlineStr">
        <is>
          <t>二、文字量過低的頁面(疑似掃描頁)</t>
        </is>
      </c>
    </row>
    <row r="27">
      <c r="A27" s="2" t="inlineStr">
        <is>
          <t>這些頁面幾乎抓不到文字,通常是掃描件或純圖表,建議人手翻閱或另行 OCR。</t>
        </is>
      </c>
    </row>
    <row r="29">
      <c r="A29" s="7" t="inlineStr">
        <is>
          <t>PDF 頁碼</t>
        </is>
      </c>
      <c r="B29" s="7" t="inlineStr">
        <is>
          <t>狀態</t>
        </is>
      </c>
    </row>
    <row r="30">
      <c r="A30"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2026-08-30T14:16:33Z</dcterms:created>
  <dcterms:modified xsi:type="dcterms:W3CDTF">2026-08-30T14:16:33Z</dcterms:modified>
</cp:coreProperties>
</file>
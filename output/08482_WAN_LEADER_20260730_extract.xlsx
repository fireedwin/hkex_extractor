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08482_WAN_LEADER_20260730.pdf</t>
        </is>
      </c>
    </row>
    <row r="5">
      <c r="A5" s="3" t="inlineStr">
        <is>
          <t>產生時間 Generated</t>
        </is>
      </c>
      <c r="B5" s="4" t="inlineStr">
        <is>
          <t>2026-08-30 22:15</t>
        </is>
      </c>
    </row>
    <row r="6">
      <c r="A6" s="4" t="inlineStr"/>
      <c r="B6" s="4" t="inlineStr"/>
    </row>
    <row r="7">
      <c r="A7" s="3" t="inlineStr">
        <is>
          <t>總頁數 Total pages</t>
        </is>
      </c>
      <c r="B7" s="4" t="n">
        <v>207</v>
      </c>
    </row>
    <row r="8">
      <c r="A8" s="3" t="inlineStr">
        <is>
          <t>已擷取字元 Characters extracted</t>
        </is>
      </c>
      <c r="B8" s="4" t="n">
        <v>380736</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12</v>
      </c>
    </row>
    <row r="14">
      <c r="A14" s="3" t="inlineStr">
        <is>
          <t>主題段落擷取筆數 Topic extracts</t>
        </is>
      </c>
      <c r="B14" s="4" t="n">
        <v>69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54,365 − 29,778 = 24,587</t>
        </is>
      </c>
    </row>
    <row r="20">
      <c r="A20" s="6" t="inlineStr">
        <is>
          <t>✓ 收入 − 銷售成本 = 毛利</t>
        </is>
      </c>
      <c r="B20" s="4" t="inlineStr">
        <is>
          <t>189,922 − 185,186 = 4,736 vs 毛利 4,736</t>
        </is>
      </c>
    </row>
    <row r="21">
      <c r="A21" s="6" t="inlineStr">
        <is>
          <t>✓ 除稅前溢利 ± 稅項 = 年內溢利</t>
        </is>
      </c>
      <c r="B21" s="4" t="inlineStr">
        <is>
          <t>-14,296 + 11 = -14,285 vs -14,285</t>
        </is>
      </c>
    </row>
    <row r="22">
      <c r="A22" s="6" t="inlineStr">
        <is>
          <t>✓ 三大報表應相鄰</t>
        </is>
      </c>
      <c r="B22" s="4" t="inlineStr">
        <is>
          <t>Income Statement: p.84、Balance Sheet: p.85、Cash Flow: p.89(相距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1.4</v>
      </c>
      <c r="D5" s="10" t="n">
        <v>1.4</v>
      </c>
      <c r="E5" s="11" t="inlineStr">
        <is>
          <t>1.4%</t>
        </is>
      </c>
      <c r="F5" s="11" t="inlineStr">
        <is>
          <t>High</t>
        </is>
      </c>
      <c r="G5" s="11" t="inlineStr">
        <is>
          <t>PDF p.12 (印刷頁 10)</t>
        </is>
      </c>
      <c r="H5" s="11" t="inlineStr">
        <is>
          <t>vious Year to 加約112.9%至本年度的約4.7百萬港元。 approximately HK$4.7 million for the Year. Gross profit margin 毛利率由過往年度約1.4%增加至本年度約 increased from approximately 1.4% for the Previous Year to 2.5%。該增加乃主要由於i)儘管地緣政治 approximately 2.5% for the Year. Such increase was mainly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189922</v>
      </c>
      <c r="D5" s="13" t="n">
        <v>157584</v>
      </c>
      <c r="E5" s="14">
        <f>IF(ISERROR((C5-D5)/ABS(D5)),"",(C5-D5)/ABS(D5))</f>
        <v>0.2052111889531932</v>
      </c>
      <c r="F5" s="11" t="inlineStr">
        <is>
          <t>PDF p.84 (印刷頁 82)</t>
        </is>
      </c>
      <c r="G5" s="11" t="inlineStr">
        <is>
          <t>Revenue 收益 6 189,922 157,584</t>
        </is>
      </c>
    </row>
    <row r="6">
      <c r="A6" s="8" t="inlineStr">
        <is>
          <t>Income Statement</t>
        </is>
      </c>
      <c r="B6" s="8" t="inlineStr">
        <is>
          <t>Cost of Sales</t>
        </is>
      </c>
      <c r="C6" s="12" t="n">
        <v>-185186</v>
      </c>
      <c r="D6" s="13" t="n">
        <v>-155360</v>
      </c>
      <c r="E6" s="14">
        <f>IF(ISERROR((C6-D6)/ABS(D6)),"",(C6-D6)/ABS(D6))</f>
        <v>-0.19197991761071062</v>
      </c>
      <c r="F6" s="11" t="inlineStr">
        <is>
          <t>PDF p.84 (印刷頁 82)</t>
        </is>
      </c>
      <c r="G6" s="11" t="inlineStr">
        <is>
          <t>Cost of sales and services 銷售及服務成本 (185,186) (155,360)</t>
        </is>
      </c>
    </row>
    <row r="7">
      <c r="A7" s="8" t="inlineStr">
        <is>
          <t>Income Statement</t>
        </is>
      </c>
      <c r="B7" s="8" t="inlineStr">
        <is>
          <t>Gross Profit</t>
        </is>
      </c>
      <c r="C7" s="12" t="n">
        <v>4736</v>
      </c>
      <c r="D7" s="13" t="n">
        <v>2224</v>
      </c>
      <c r="E7" s="14">
        <f>IF(ISERROR((C7-D7)/ABS(D7)),"",(C7-D7)/ABS(D7))</f>
        <v>1.129496402877698</v>
      </c>
      <c r="F7" s="11" t="inlineStr">
        <is>
          <t>PDF p.84 (印刷頁 82)</t>
        </is>
      </c>
      <c r="G7" s="11" t="inlineStr">
        <is>
          <t>Gross profit 毛利 4,736 2,224</t>
        </is>
      </c>
    </row>
    <row r="8">
      <c r="A8" s="8" t="inlineStr">
        <is>
          <t>Income Statement</t>
        </is>
      </c>
      <c r="B8" s="8" t="inlineStr">
        <is>
          <t>Finance Costs</t>
        </is>
      </c>
      <c r="C8" s="12" t="n">
        <v>-1412</v>
      </c>
      <c r="D8" s="13" t="n">
        <v>-1363</v>
      </c>
      <c r="E8" s="14">
        <f>IF(ISERROR((C8-D8)/ABS(D8)),"",(C8-D8)/ABS(D8))</f>
        <v>-0.0359501100513573</v>
      </c>
      <c r="F8" s="11" t="inlineStr">
        <is>
          <t>PDF p.84 (印刷頁 82)</t>
        </is>
      </c>
      <c r="G8" s="11" t="inlineStr">
        <is>
          <t>Finance costs 融資成本 9 (1,412) (1,363)</t>
        </is>
      </c>
    </row>
    <row r="9">
      <c r="A9" s="8" t="inlineStr">
        <is>
          <t>Income Statement</t>
        </is>
      </c>
      <c r="B9" s="8" t="inlineStr">
        <is>
          <t>Profit Before Tax</t>
        </is>
      </c>
      <c r="C9" s="12" t="n">
        <v>-14296</v>
      </c>
      <c r="D9" s="13" t="n">
        <v>-25132</v>
      </c>
      <c r="E9" s="14">
        <f>IF(ISERROR((C9-D9)/ABS(D9)),"",(C9-D9)/ABS(D9))</f>
        <v>0.43116345694731817</v>
      </c>
      <c r="F9" s="11" t="inlineStr">
        <is>
          <t>PDF p.84 (印刷頁 82)</t>
        </is>
      </c>
      <c r="G9" s="11" t="inlineStr">
        <is>
          <t>Loss before income tax 除所得稅前虧損 10 (14,296) (25,132)</t>
        </is>
      </c>
    </row>
    <row r="10">
      <c r="A10" s="8" t="inlineStr">
        <is>
          <t>Income Statement</t>
        </is>
      </c>
      <c r="B10" s="8" t="inlineStr">
        <is>
          <t>Income Tax</t>
        </is>
      </c>
      <c r="C10" s="12" t="n">
        <v>11</v>
      </c>
      <c r="D10" s="13" t="n">
        <v>-81</v>
      </c>
      <c r="E10" s="14">
        <f>IF(ISERROR((C10-D10)/ABS(D10)),"",(C10-D10)/ABS(D10))</f>
        <v>1.1358024691358024</v>
      </c>
      <c r="F10" s="11" t="inlineStr">
        <is>
          <t>PDF p.84 (印刷頁 82)</t>
        </is>
      </c>
      <c r="G10" s="11" t="inlineStr">
        <is>
          <t>Income tax credit (expenses) 所得稅抵免（開支） 11 11 (81)</t>
        </is>
      </c>
    </row>
    <row r="11">
      <c r="A11" s="8" t="inlineStr">
        <is>
          <t>Income Statement</t>
        </is>
      </c>
      <c r="B11" s="8" t="inlineStr">
        <is>
          <t>Profit for the Year</t>
        </is>
      </c>
      <c r="C11" s="12" t="n">
        <v>-14285</v>
      </c>
      <c r="D11" s="13" t="n">
        <v>-25213</v>
      </c>
      <c r="E11" s="14">
        <f>IF(ISERROR((C11-D11)/ABS(D11)),"",(C11-D11)/ABS(D11))</f>
        <v>0.4334272002538373</v>
      </c>
      <c r="F11" s="11" t="inlineStr">
        <is>
          <t>PDF p.84 (印刷頁 82)</t>
        </is>
      </c>
      <c r="G11" s="11" t="inlineStr">
        <is>
          <t>Loss for the year 年內虧損 (14,285) (25,213)</t>
        </is>
      </c>
    </row>
    <row r="12">
      <c r="A12" s="8" t="inlineStr">
        <is>
          <t>Balance Sheet</t>
        </is>
      </c>
      <c r="B12" s="8" t="inlineStr">
        <is>
          <t>Property Plant and Equipment</t>
        </is>
      </c>
      <c r="C12" s="12" t="n">
        <v>1131</v>
      </c>
      <c r="D12" s="13" t="n">
        <v>651</v>
      </c>
      <c r="E12" s="14">
        <f>IF(ISERROR((C12-D12)/ABS(D12)),"",(C12-D12)/ABS(D12))</f>
        <v>0.7373271889400922</v>
      </c>
      <c r="F12" s="11" t="inlineStr">
        <is>
          <t>PDF p.85 (印刷頁 83)</t>
        </is>
      </c>
      <c r="G12" s="11" t="inlineStr">
        <is>
          <t>Property, plant and equipment 物業、廠房及設備 16 1,131 651</t>
        </is>
      </c>
    </row>
    <row r="13">
      <c r="A13" s="8" t="inlineStr">
        <is>
          <t>Balance Sheet</t>
        </is>
      </c>
      <c r="B13" s="8" t="inlineStr">
        <is>
          <t>Trade Receivables</t>
        </is>
      </c>
      <c r="C13" s="12" t="n">
        <v>54365</v>
      </c>
      <c r="D13" s="13" t="n">
        <v>71166</v>
      </c>
      <c r="E13" s="14">
        <f>IF(ISERROR((C13-D13)/ABS(D13)),"",(C13-D13)/ABS(D13))</f>
        <v>-0.23608183683219516</v>
      </c>
      <c r="F13" s="11" t="inlineStr">
        <is>
          <t>PDF p.85 (印刷頁 83)</t>
        </is>
      </c>
      <c r="G13" s="11" t="inlineStr">
        <is>
          <t>Trade and other receivables, deposits 貿易及其他應收款項、 … 54,365 71,166</t>
        </is>
      </c>
    </row>
    <row r="14">
      <c r="A14" s="8" t="inlineStr">
        <is>
          <t>Balance Sheet</t>
        </is>
      </c>
      <c r="B14" s="8" t="inlineStr">
        <is>
          <t>Total Current Assets</t>
        </is>
      </c>
      <c r="C14" s="12" t="n">
        <v>54365</v>
      </c>
      <c r="D14" s="13" t="n">
        <v>71166</v>
      </c>
      <c r="E14" s="14">
        <f>IF(ISERROR((C14-D14)/ABS(D14)),"",(C14-D14)/ABS(D14))</f>
        <v>-0.23608183683219516</v>
      </c>
      <c r="F14" s="11" t="inlineStr">
        <is>
          <t>PDF p.85 (印刷頁 83)</t>
        </is>
      </c>
      <c r="G14" s="11" t="inlineStr">
        <is>
          <t>[current assets 區段小計] 54,365 71,166</t>
        </is>
      </c>
    </row>
    <row r="15">
      <c r="A15" s="8" t="inlineStr">
        <is>
          <t>Balance Sheet</t>
        </is>
      </c>
      <c r="B15" s="8" t="inlineStr">
        <is>
          <t>Total Current Liabilities</t>
        </is>
      </c>
      <c r="C15" s="12" t="n">
        <v>29778</v>
      </c>
      <c r="D15" s="13" t="n">
        <v>34652</v>
      </c>
      <c r="E15" s="14">
        <f>IF(ISERROR((C15-D15)/ABS(D15)),"",(C15-D15)/ABS(D15))</f>
        <v>-0.14065566201085075</v>
      </c>
      <c r="F15" s="11" t="inlineStr">
        <is>
          <t>PDF p.85 (印刷頁 83)</t>
        </is>
      </c>
      <c r="G15" s="11" t="inlineStr">
        <is>
          <t>[current liabilities 區段小計] 29,778 34,652</t>
        </is>
      </c>
    </row>
    <row r="16">
      <c r="A16" s="8" t="inlineStr">
        <is>
          <t>Cash Flow</t>
        </is>
      </c>
      <c r="B16" s="8" t="inlineStr">
        <is>
          <t>Capital Expenditure</t>
        </is>
      </c>
      <c r="C16" s="12" t="n">
        <v>-1101</v>
      </c>
      <c r="D16" s="13" t="n">
        <v>0</v>
      </c>
      <c r="E16" s="14" t="str">
        <f>IF(ISERROR((C16-D16)/ABS(D16)),"",(C16-D16)/ABS(D16))</f>
        <v/>
      </c>
      <c r="F16" s="11" t="inlineStr">
        <is>
          <t>PDF p.89 (印刷頁 87)</t>
        </is>
      </c>
      <c r="G16" s="11" t="inlineStr">
        <is>
          <t>Purchase of property, plant and equipment 購買物業、廠房及設備 (1,101) –</t>
        </is>
      </c>
    </row>
    <row r="18">
      <c r="A18"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財務數據'!$C$5:$C$16,MATCH("Gross Profit",'Financials 財務數據'!$B$5:$B$16,0))/INDEX('Financials 財務數據'!$C$5:$C$16,MATCH("Revenue",'Financials 財務數據'!$B$5:$B$16,0))),"n/a",INDEX('Financials 財務數據'!$C$5:$C$16,MATCH("Gross Profit",'Financials 財務數據'!$B$5:$B$16,0))/INDEX('Financials 財務數據'!$C$5:$C$16,MATCH("Revenue",'Financials 財務數據'!$B$5:$B$16,0)))</f>
        <v>0.024936552900664485</v>
      </c>
      <c r="C5" s="15">
        <f>IF(ISERROR(INDEX('Financials 財務數據'!$D$5:$D$16,MATCH("Gross Profit",'Financials 財務數據'!$B$5:$B$16,0))/INDEX('Financials 財務數據'!$D$5:$D$16,MATCH("Revenue",'Financials 財務數據'!$B$5:$B$16,0))),"n/a",INDEX('Financials 財務數據'!$D$5:$D$16,MATCH("Gross Profit",'Financials 財務數據'!$B$5:$B$16,0))/INDEX('Financials 財務數據'!$D$5:$D$16,MATCH("Revenue",'Financials 財務數據'!$B$5:$B$16,0)))</f>
        <v>0.01411310792973906</v>
      </c>
      <c r="D5" s="2" t="inlineStr">
        <is>
          <t>毛利 ÷ 收入</t>
        </is>
      </c>
    </row>
    <row r="6">
      <c r="A6" s="4" t="inlineStr">
        <is>
          <t>Net Margin 淨利率</t>
        </is>
      </c>
      <c r="B6" s="15">
        <f>IF(ISERROR(INDEX('Financials 財務數據'!$C$5:$C$16,MATCH("Profit for the Year",'Financials 財務數據'!$B$5:$B$16,0))/INDEX('Financials 財務數據'!$C$5:$C$16,MATCH("Revenue",'Financials 財務數據'!$B$5:$B$16,0))),"n/a",INDEX('Financials 財務數據'!$C$5:$C$16,MATCH("Profit for the Year",'Financials 財務數據'!$B$5:$B$16,0))/INDEX('Financials 財務數據'!$C$5:$C$16,MATCH("Revenue",'Financials 財務數據'!$B$5:$B$16,0)))</f>
        <v>-0.07521508829940712</v>
      </c>
      <c r="C6" s="15">
        <f>IF(ISERROR(INDEX('Financials 財務數據'!$D$5:$D$16,MATCH("Profit for the Year",'Financials 財務數據'!$B$5:$B$16,0))/INDEX('Financials 財務數據'!$D$5:$D$16,MATCH("Revenue",'Financials 財務數據'!$B$5:$B$16,0))),"n/a",INDEX('Financials 財務數據'!$D$5:$D$16,MATCH("Profit for the Year",'Financials 財務數據'!$B$5:$B$16,0))/INDEX('Financials 財務數據'!$D$5:$D$16,MATCH("Revenue",'Financials 財務數據'!$B$5:$B$16,0)))</f>
        <v>-0.15999720783835922</v>
      </c>
      <c r="D6" s="2" t="inlineStr">
        <is>
          <t>年內溢利 ÷ 收入</t>
        </is>
      </c>
    </row>
    <row r="7">
      <c r="A7" s="4" t="inlineStr">
        <is>
          <t>Current Ratio 流動比率</t>
        </is>
      </c>
      <c r="B7" s="16">
        <f>IF(ISERROR(INDEX('Financials 財務數據'!$C$5:$C$16,MATCH("Total Current Assets",'Financials 財務數據'!$B$5:$B$16,0))/INDEX('Financials 財務數據'!$C$5:$C$16,MATCH("Total Current Liabilities",'Financials 財務數據'!$B$5:$B$16,0))),"n/a",INDEX('Financials 財務數據'!$C$5:$C$16,MATCH("Total Current Assets",'Financials 財務數據'!$B$5:$B$16,0))/INDEX('Financials 財務數據'!$C$5:$C$16,MATCH("Total Current Liabilities",'Financials 財務數據'!$B$5:$B$16,0)))</f>
        <v>1.8256766740546713</v>
      </c>
      <c r="C7" s="16">
        <f>IF(ISERROR(INDEX('Financials 財務數據'!$D$5:$D$16,MATCH("Total Current Assets",'Financials 財務數據'!$B$5:$B$16,0))/INDEX('Financials 財務數據'!$D$5:$D$16,MATCH("Total Current Liabilities",'Financials 財務數據'!$B$5:$B$16,0))),"n/a",INDEX('Financials 財務數據'!$D$5:$D$16,MATCH("Total Current Assets",'Financials 財務數據'!$B$5:$B$16,0))/INDEX('Financials 財務數據'!$D$5:$D$16,MATCH("Total Current Liabilities",'Financials 財務數據'!$B$5:$B$16,0)))</f>
        <v>2.0537342721920813</v>
      </c>
      <c r="D7" s="2" t="inlineStr">
        <is>
          <t>流動資產 ÷ 流動負債</t>
        </is>
      </c>
    </row>
    <row r="8">
      <c r="A8" s="4" t="inlineStr">
        <is>
          <t>Debt / Equity 負債權益比</t>
        </is>
      </c>
      <c r="B8" s="16" t="str">
        <f>IF(ISERROR(INDEX('Financials 財務數據'!$C$5:$C$16,MATCH("Total Liabilities",'Financials 財務數據'!$B$5:$B$16,0))/INDEX('Financials 財務數據'!$C$5:$C$16,MATCH("Total Equity",'Financials 財務數據'!$B$5:$B$16,0))),"n/a",INDEX('Financials 財務數據'!$C$5:$C$16,MATCH("Total Liabilities",'Financials 財務數據'!$B$5:$B$16,0))/INDEX('Financials 財務數據'!$C$5:$C$16,MATCH("Total Equity",'Financials 財務數據'!$B$5:$B$16,0)))</f>
        <v>n/a</v>
      </c>
      <c r="C8" s="16" t="str">
        <f>IF(ISERROR(INDEX('Financials 財務數據'!$D$5:$D$16,MATCH("Total Liabilities",'Financials 財務數據'!$B$5:$B$16,0))/INDEX('Financials 財務數據'!$D$5:$D$16,MATCH("Total Equity",'Financials 財務數據'!$B$5:$B$16,0))),"n/a",INDEX('Financials 財務數據'!$D$5:$D$16,MATCH("Total Liabilities",'Financials 財務數據'!$B$5:$B$16,0))/INDEX('Financials 財務數據'!$D$5:$D$16,MATCH("Total Equity",'Financials 財務數據'!$B$5:$B$16,0)))</f>
        <v>n/a</v>
      </c>
      <c r="D8" s="2" t="inlineStr">
        <is>
          <t>總負債 ÷ 總權益</t>
        </is>
      </c>
    </row>
    <row r="9">
      <c r="A9" s="4" t="inlineStr">
        <is>
          <t>Goodwill / Total Assets</t>
        </is>
      </c>
      <c r="B9" s="15" t="str">
        <f>IF(ISERROR(INDEX('Financials 財務數據'!$C$5:$C$16,MATCH("Goodwill",'Financials 財務數據'!$B$5:$B$16,0))/INDEX('Financials 財務數據'!$C$5:$C$16,MATCH("Total Assets",'Financials 財務數據'!$B$5:$B$16,0))),"n/a",INDEX('Financials 財務數據'!$C$5:$C$16,MATCH("Goodwill",'Financials 財務數據'!$B$5:$B$16,0))/INDEX('Financials 財務數據'!$C$5:$C$16,MATCH("Total Assets",'Financials 財務數據'!$B$5:$B$16,0)))</f>
        <v>n/a</v>
      </c>
      <c r="C9" s="15" t="str">
        <f>IF(ISERROR(INDEX('Financials 財務數據'!$D$5:$D$16,MATCH("Goodwill",'Financials 財務數據'!$B$5:$B$16,0))/INDEX('Financials 財務數據'!$D$5:$D$16,MATCH("Total Assets",'Financials 財務數據'!$B$5:$B$16,0))),"n/a",INDEX('Financials 財務數據'!$D$5:$D$16,MATCH("Goodwill",'Financials 財務數據'!$B$5:$B$16,0))/INDEX('Financials 財務數據'!$D$5:$D$16,MATCH("Total Assets",'Financials 財務數據'!$B$5:$B$16,0)))</f>
        <v>n/a</v>
      </c>
      <c r="D9" s="2" t="inlineStr">
        <is>
          <t>商譽佔總資產比重 — 減值風險指標</t>
        </is>
      </c>
    </row>
    <row r="10">
      <c r="A10" s="4" t="inlineStr">
        <is>
          <t>Intangibles / Total Assets</t>
        </is>
      </c>
      <c r="B10" s="15" t="str">
        <f>IF(ISERROR(INDEX('Financials 財務數據'!$C$5:$C$16,MATCH("Intangible Assets",'Financials 財務數據'!$B$5:$B$16,0))/INDEX('Financials 財務數據'!$C$5:$C$16,MATCH("Total Assets",'Financials 財務數據'!$B$5:$B$16,0))),"n/a",INDEX('Financials 財務數據'!$C$5:$C$16,MATCH("Intangible Assets",'Financials 財務數據'!$B$5:$B$16,0))/INDEX('Financials 財務數據'!$C$5:$C$16,MATCH("Total Assets",'Financials 財務數據'!$B$5:$B$16,0)))</f>
        <v>n/a</v>
      </c>
      <c r="C10" s="15" t="str">
        <f>IF(ISERROR(INDEX('Financials 財務數據'!$D$5:$D$16,MATCH("Intangible Assets",'Financials 財務數據'!$B$5:$B$16,0))/INDEX('Financials 財務數據'!$D$5:$D$16,MATCH("Total Assets",'Financials 財務數據'!$B$5:$B$16,0))),"n/a",INDEX('Financials 財務數據'!$D$5:$D$16,MATCH("Intangible Assets",'Financials 財務數據'!$B$5:$B$16,0))/INDEX('Financials 財務數據'!$D$5:$D$16,MATCH("Total Assets",'Financials 財務數據'!$B$5:$B$16,0)))</f>
        <v>n/a</v>
      </c>
      <c r="D10" s="2" t="inlineStr">
        <is>
          <t>無形資產佔比</t>
        </is>
      </c>
    </row>
    <row r="11">
      <c r="A11" s="4" t="inlineStr">
        <is>
          <t>ROE 股本回報率</t>
        </is>
      </c>
      <c r="B11" s="15" t="str">
        <f>IF(ISERROR(INDEX('Financials 財務數據'!$C$5:$C$16,MATCH("Profit for the Year",'Financials 財務數據'!$B$5:$B$16,0))/INDEX('Financials 財務數據'!$C$5:$C$16,MATCH("Total Equity",'Financials 財務數據'!$B$5:$B$16,0))),"n/a",INDEX('Financials 財務數據'!$C$5:$C$16,MATCH("Profit for the Year",'Financials 財務數據'!$B$5:$B$16,0))/INDEX('Financials 財務數據'!$C$5:$C$16,MATCH("Total Equity",'Financials 財務數據'!$B$5:$B$16,0)))</f>
        <v>n/a</v>
      </c>
      <c r="C11" s="15" t="str">
        <f>IF(ISERROR(INDEX('Financials 財務數據'!$D$5:$D$16,MATCH("Profit for the Year",'Financials 財務數據'!$B$5:$B$16,0))/INDEX('Financials 財務數據'!$D$5:$D$16,MATCH("Total Equity",'Financials 財務數據'!$B$5:$B$16,0))),"n/a",INDEX('Financials 財務數據'!$D$5:$D$16,MATCH("Profit for the Year",'Financials 財務數據'!$B$5:$B$16,0))/INDEX('Financials 財務數據'!$D$5:$D$16,MATCH("Total Equity",'Financials 財務數據'!$B$5:$B$16,0)))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157584</v>
      </c>
      <c r="C5" s="18" t="n">
        <v>189922</v>
      </c>
    </row>
    <row r="6">
      <c r="A6" s="4" t="inlineStr">
        <is>
          <t>Gross Profit</t>
        </is>
      </c>
      <c r="B6" s="18" t="n">
        <v>2224</v>
      </c>
      <c r="C6" s="18" t="n">
        <v>4736</v>
      </c>
    </row>
    <row r="7">
      <c r="A7" s="4" t="inlineStr">
        <is>
          <t>Profit Before Tax</t>
        </is>
      </c>
      <c r="B7" s="18" t="n">
        <v>-25132</v>
      </c>
      <c r="C7" s="18" t="n">
        <v>-14296</v>
      </c>
    </row>
    <row r="8">
      <c r="A8" s="4" t="inlineStr">
        <is>
          <t>Profit for the Year</t>
        </is>
      </c>
      <c r="B8" s="18" t="n">
        <v>-25213</v>
      </c>
      <c r="C8" s="18" t="n">
        <v>-14285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p.96 (印刷頁 94)</t>
        </is>
      </c>
      <c r="F4" s="11" t="inlineStr">
        <is>
          <t>Impairment of Assets. 價值。 In addition, for financial reporting purposes, fair 此外，就財務報告而言，公平值 value measurements are categorised into Level 1, 計量根據公平值計量的輸入數 2 or 3 based on the degree to which the inputs to 據可觀察程度及公平值計量的 the fair value measurements are observable and the 輸入數據對其整體的重要性分 significance of the inputs to the fair value measurement 類為第1級、第2級或第3級，詳 in its entirety, which are described as follows: 情如下： • Level 1 inputs are quoted prices (unadjusted) in • 第1級輸入數據為實體在計 active markets for identical assets or liabilities that</t>
        </is>
      </c>
    </row>
    <row r="5">
      <c r="A5" s="8" t="inlineStr">
        <is>
          <t>Fair Value Measurement</t>
        </is>
      </c>
      <c r="B5" s="8" t="inlineStr">
        <is>
          <t>公允價值計量</t>
        </is>
      </c>
      <c r="C5" s="19" t="inlineStr">
        <is>
          <t>high</t>
        </is>
      </c>
      <c r="D5" s="11" t="inlineStr">
        <is>
          <t>level 3</t>
        </is>
      </c>
      <c r="E5" s="11" t="inlineStr">
        <is>
          <t>PDF p.97 (印刷頁 95)</t>
        </is>
      </c>
      <c r="F5" s="11" t="inlineStr">
        <is>
          <t>L ACCOUNTING INFORMATION (Continued) 3.1 Basis of preparation of consolidated 3.1 綜合財務報表的編製基 financial statements 準（續） (Continued) • Level 3 inputs are unobservable inputs for the • 第3級輸入數據為資產或負 asset or liability. 債的不可觀察輸入數據。 The preparation of the consolidated financial 編製符合香港財務報告準則的 statements in conformity with HKFRSs requires the use 綜合財務報表需要運用若干關 of certain critical accounting estimates. It also requires 鍵會計估計。其亦需要管理層 management to exercise its judgement in the process 在應用本集團的會計政策過程 of applying the accounting policies of</t>
        </is>
      </c>
    </row>
    <row r="6">
      <c r="A6" s="8" t="inlineStr">
        <is>
          <t>Fair Value Measurement</t>
        </is>
      </c>
      <c r="B6" s="8" t="inlineStr">
        <is>
          <t>公允價值計量</t>
        </is>
      </c>
      <c r="C6" s="19" t="inlineStr">
        <is>
          <t>high</t>
        </is>
      </c>
      <c r="D6" s="11" t="inlineStr">
        <is>
          <t>valuation technique</t>
        </is>
      </c>
      <c r="E6" s="11" t="inlineStr">
        <is>
          <t>PDF p.194 (印刷頁 192)</t>
        </is>
      </c>
      <c r="F6" s="11" t="inlineStr">
        <is>
          <t>464) 464 – Provision for impairment loss 已確認減值虧損撥回 recognised – 92 92 At 31 March 2026 於二零二六年三月三十一日 – 556 556 There has no change in valuation technique and 貿易及其他應收款項預 assumption for measurement of expected credit loss 期信貸虧損計量的估值 in trade and other receivables. 方法及假設概無變動。 192 Wan Leader International Limited Annual Report 2025 – 2026</t>
        </is>
      </c>
    </row>
    <row r="7">
      <c r="A7" s="8" t="inlineStr">
        <is>
          <t>Impairment Testing</t>
        </is>
      </c>
      <c r="B7" s="8" t="inlineStr">
        <is>
          <t>減值測試</t>
        </is>
      </c>
      <c r="C7" s="19" t="inlineStr">
        <is>
          <t>high</t>
        </is>
      </c>
      <c r="D7" s="11" t="inlineStr">
        <is>
          <t>impairment loss</t>
        </is>
      </c>
      <c r="E7" s="11" t="inlineStr">
        <is>
          <t>PDF p.13 (印刷頁 11)</t>
        </is>
      </c>
      <c r="F7" s="11" t="inlineStr">
        <is>
          <t>ded staff costs and benefits, audit fees, legal and professional 專業費用、折舊、水電費及其他開支。 fees, depreciation, utilities and other expenses. Impairment losses under expected credit 預期信貸虧損模式下的減值虧 losses model, net of reversal 損（已扣除撥回部分） Under the Hong Kong Financial Reporting Standard 9 “Financial 根據香港財務報告準則第9號「金融工具」， Instruments”, the management assessed the measurement of 管理層評估有關貿易應收款項、按金及其 expected credit losses (“ECL”) in relation to trade receivable, 他應收款項的預期信貸虧損（「預期信貸虧 deposit and other receivables and used a collectively assessed</t>
        </is>
      </c>
    </row>
    <row r="8">
      <c r="A8" s="8" t="inlineStr">
        <is>
          <t>Impairment Testing</t>
        </is>
      </c>
      <c r="B8" s="8" t="inlineStr">
        <is>
          <t>減值測試</t>
        </is>
      </c>
      <c r="C8" s="19" t="inlineStr">
        <is>
          <t>high</t>
        </is>
      </c>
      <c r="D8" s="11" t="inlineStr">
        <is>
          <t>impairment loss</t>
        </is>
      </c>
      <c r="E8" s="11" t="inlineStr">
        <is>
          <t>PDF p.19 (印刷頁 17)</t>
        </is>
      </c>
      <c r="F8" s="11" t="inlineStr">
        <is>
          <t>t of each individual trade 貿易債務的可收回金額，以確保可及時收 debtor to ensure prompt recovery and if necessary, to make 回及於必要時就不可收回款項計提足夠減 adequate impairment losses for irrecoverable amounts. During 值虧損。於本年度，已確認預期信貸虧損 the Year, a sum of approximately HK$0.2 million of impairment 模式項下貿易及其他應收款項及按金減值 losses recognised under expected credit loss model on trade and 虧損總額約0.2百萬港元（過往年度：已確 other receivables and deposits was recognised (Previous Year: 認約0.3百萬港元）。 approximately HK$0.3 million was recognised.) OUTLOOK AND PROSPECTS 前景及展望 The global frei</t>
        </is>
      </c>
    </row>
    <row r="9">
      <c r="A9" s="8" t="inlineStr">
        <is>
          <t>Impairment Testing</t>
        </is>
      </c>
      <c r="B9" s="8" t="inlineStr">
        <is>
          <t>減值測試</t>
        </is>
      </c>
      <c r="C9" s="19" t="inlineStr">
        <is>
          <t>high</t>
        </is>
      </c>
      <c r="D9" s="11" t="inlineStr">
        <is>
          <t>impairment loss</t>
        </is>
      </c>
      <c r="E9" s="11" t="inlineStr">
        <is>
          <t>PDF p.79 (印刷頁 77)</t>
        </is>
      </c>
      <c r="F9" s="11" t="inlineStr">
        <is>
          <t>tements, as at 31 March 2026, the Group has trade allowances on trade receivables included, among receivables, net of allowances for impairment loss others, the following: under expected credit loss model of approximately 吾等就貿易應收款項預期信貸虧損撥備估計之審核 HK$35,045,000. 程序包括（其中包括）以下各項： 誠如綜合財務報表附註18所披露，於二零二六年三月 三十一日， 貴集團貿易應收款項（扣除預期信貸虧損模 • To understand the approach applied on the 式項下減值虧損撥備）約為35,045,000港元。 ECL model of trade receivables; 了解應用於貿易應收款項預期信貸虧損模式的 At end of each reporting period, in determining the 方法； ECL allowance in trade rec</t>
        </is>
      </c>
    </row>
    <row r="10">
      <c r="A10" s="8" t="inlineStr">
        <is>
          <t>Impairment Testing</t>
        </is>
      </c>
      <c r="B10" s="8" t="inlineStr">
        <is>
          <t>減值測試</t>
        </is>
      </c>
      <c r="C10" s="19" t="inlineStr">
        <is>
          <t>high</t>
        </is>
      </c>
      <c r="D10" s="11" t="inlineStr">
        <is>
          <t>impairment loss</t>
        </is>
      </c>
      <c r="E10" s="11" t="inlineStr">
        <is>
          <t>PDF p.84 (印刷頁 82)</t>
        </is>
      </c>
      <c r="F10" s="11" t="inlineStr">
        <is>
          <t>益及 losses, net 虧損淨額 7 11 (1,388) Sales and marketing expenses 銷售及營銷開支 (2,557) (3,527) Administrative expenses 行政開支 (14,912) (22,693) Impairment losses under expected credit 預期信貸虧損模式下的減值 loss model, net of reversal 虧損（已扣除撥回部分） 8 (165) (264) Gain on disposal of subsidiaries 出售附屬公司之收益 31 3 1,879 Finance costs 融資成本 9 (1,412) (1,363) Loss before income tax 除所得稅前虧損 10 (14,296) (25,132) Income tax credit (expenses) 所得稅抵免（開支） 11 11 (81) Loss for the year 年內虧損 (14,285) (25,213) Other comprehensive expense 年內其他全面開支： for the year: Items t</t>
        </is>
      </c>
    </row>
    <row r="11">
      <c r="A11" s="8" t="inlineStr">
        <is>
          <t>Impairment Testing</t>
        </is>
      </c>
      <c r="B11" s="8" t="inlineStr">
        <is>
          <t>減值測試</t>
        </is>
      </c>
      <c r="C11" s="19" t="inlineStr">
        <is>
          <t>high</t>
        </is>
      </c>
      <c r="D11" s="11" t="inlineStr">
        <is>
          <t>impairment loss</t>
        </is>
      </c>
      <c r="E11" s="11" t="inlineStr">
        <is>
          <t>PDF p.89 (印刷頁 87)</t>
        </is>
      </c>
      <c r="F11" s="11" t="inlineStr">
        <is>
          <t>ore income tax 除所得稅前虧損 (14,296) (25,132) Adjustments for: 下列作出調整： Depreciation of property, plant and equipment 物業、廠房及設備折舊 621 1,349 Impairment losses under expected credit loss 預期信貸虧損模式項下減值虧損 model, net of reversal 撥回淨額 165 264 Loss on written-off and disposal of property, 撇銷及出售物業、廠房及設備之 plant and equipment 虧損 – 1,460 Gain on disposal of subsidiaries 出售附屬公司之收益 (3) (1,879) Interest income 利息收入 (9) (75) Finance costs 融資成本 1,412 1,363 Operating cash flow before movements in 營運資金變動前的經營現金流量 working capital (12,110) (22,650) Changes</t>
        </is>
      </c>
    </row>
    <row r="12">
      <c r="A12" s="8" t="inlineStr">
        <is>
          <t>Impairment Testing</t>
        </is>
      </c>
      <c r="B12" s="8" t="inlineStr">
        <is>
          <t>減值測試</t>
        </is>
      </c>
      <c r="C12" s="19" t="inlineStr">
        <is>
          <t>high</t>
        </is>
      </c>
      <c r="D12" s="11" t="inlineStr">
        <is>
          <t>impairment loss</t>
        </is>
      </c>
      <c r="E12" s="11" t="inlineStr">
        <is>
          <t>PDF p.104 (印刷頁 102)</t>
        </is>
      </c>
      <c r="F12" s="11" t="inlineStr">
        <is>
          <t>s and conditions of the lease. 生的估計成本。 Right-of-use assets are measured at cost, less any 使用權資產按成本減任何累計 accumulated depreciation and impairment losses, and 折舊及減值虧損計量，並就租 adjusted for any remeasurement of lease liabilities. 賃負債的任何重新計量作出調 整。 Right-of-use assets in which the Group is reasonably 本集團合理確定於租期結束時 certain to obtain ownership of the underlying leased 取得相關租賃資產擁有權的使 assets at the end of the lease term are depreciated 用權資產由開始日期至可使用 from commencement date to the end of the useful 年期結束予以折舊。否則，使用 life. Otherwise, right-of-use</t>
        </is>
      </c>
    </row>
    <row r="13">
      <c r="A13" s="8" t="inlineStr">
        <is>
          <t>Impairment Testing</t>
        </is>
      </c>
      <c r="B13" s="8" t="inlineStr">
        <is>
          <t>減值測試</t>
        </is>
      </c>
      <c r="C13" s="19" t="inlineStr">
        <is>
          <t>high</t>
        </is>
      </c>
      <c r="D13" s="11" t="inlineStr">
        <is>
          <t>impairment loss</t>
        </is>
      </c>
      <c r="E13" s="11" t="inlineStr">
        <is>
          <t>PDF p.105 (印刷頁 103)</t>
        </is>
      </c>
      <c r="F13" s="11" t="inlineStr">
        <is>
          <t>chase options, the cost of the relevant 權後，相關使用權資產及相關 right-of-use assets and the related accumulated 累計折舊及減值虧損的成本轉 depreciation and impairment loss are transferred to 撥至物業、廠房及設備。 property, plant and equipment. The Group presents right-of-use assets in “property, 本集團於「物業、廠房及設備」 plant and equipment”, which is the same line item 呈列使用權資產，倘擁有相應 within the corresponding underlying assets would be 相關資產，將於同一項目呈列。 presented if they were owned. Refundable rental deposits 可退還租賃按金 Refundable rental deposits paid are accounted under 已付可退還租</t>
        </is>
      </c>
    </row>
    <row r="14">
      <c r="A14" s="8" t="inlineStr">
        <is>
          <t>Impairment Testing</t>
        </is>
      </c>
      <c r="B14" s="8" t="inlineStr">
        <is>
          <t>減值測試</t>
        </is>
      </c>
      <c r="C14" s="19" t="inlineStr">
        <is>
          <t>high</t>
        </is>
      </c>
      <c r="D14" s="11" t="inlineStr">
        <is>
          <t>減值虧損</t>
        </is>
      </c>
      <c r="E14" s="11" t="inlineStr">
        <is>
          <t>PDF p.115 (印刷頁 113)</t>
        </is>
      </c>
      <c r="F14" s="11" t="inlineStr">
        <is>
          <t>、廠房及設備乃按成 equipment are stated in the consolidated statement of 本減其後累計折舊及其後累計 financial position at cost less subsequent accumulated 減值虧損（如有）於綜合財務狀 depreciation and subsequent accumulated impairment 況表列賬。 losses, if any. 113 萬勵達國際有限公司 二○二五－二○二六年年報</t>
        </is>
      </c>
    </row>
    <row r="15">
      <c r="A15" s="8" t="inlineStr">
        <is>
          <t>Impairment Testing</t>
        </is>
      </c>
      <c r="B15" s="8" t="inlineStr">
        <is>
          <t>減值測試</t>
        </is>
      </c>
      <c r="C15" s="19" t="inlineStr">
        <is>
          <t>high</t>
        </is>
      </c>
      <c r="D15" s="11" t="inlineStr">
        <is>
          <t>impairment loss</t>
        </is>
      </c>
      <c r="E15" s="11" t="inlineStr">
        <is>
          <t>PDF p.117 (印刷頁 115)</t>
        </is>
      </c>
      <c r="F15" s="11" t="inlineStr">
        <is>
          <t>and right-of-use assets to determine 產之賬面值，以釐定是否有跡 whether there is any indication that these assets have 象顯示該等資產已出現減值虧 suffered an impairment loss. If any such indication 損。倘出現任何有關跡象，則估 exists, the recoverable amount of the relevant asset 計相關資產之可收回金額，以 is estimated in order to determine the extent of the 釐定減值虧損（如有）之程度。 impairment loss (if any). The recoverable amount of property, plant and 物業、廠房及設備以及使用權 equipment and right-of-use assets is estimated 資產之可收回金額乃個別估計。 individually. When it is not possible to estimate the 在不可能個別估計</t>
        </is>
      </c>
    </row>
    <row r="16">
      <c r="A16" s="8" t="inlineStr">
        <is>
          <t>Impairment Testing</t>
        </is>
      </c>
      <c r="B16" s="8" t="inlineStr">
        <is>
          <t>減值測試</t>
        </is>
      </c>
      <c r="C16" s="19" t="inlineStr">
        <is>
          <t>high</t>
        </is>
      </c>
      <c r="D16" s="11" t="inlineStr">
        <is>
          <t>impairment loss</t>
        </is>
      </c>
      <c r="E16" s="11" t="inlineStr">
        <is>
          <t>PDF p.118 (印刷頁 116)</t>
        </is>
      </c>
      <c r="F16" s="11" t="inlineStr">
        <is>
          <t>-generating units, with 產的賬面值）與該組現金產生單 the recoverable amount of the group of cash-generating 位的可收回金額。於分配減值 units. In allocating the impairment loss, the impairment 虧損時，減值虧損首先分配至 loss is allocated first to reduce the carrying amount of 削減任何商譽（倘適用）的賬面 any goodwill (if applicable) and then to the other assets 值，然後根據各資產於單位或 on a pro-rata basis based on the carrying amount of 一組現金產生單位的賬面值按 each asset in the unit or the group of cash-generating 比例分配至其他資產。 units. 116 Wan Leader International Limited Annual Report 2025 – 2026</t>
        </is>
      </c>
    </row>
    <row r="17">
      <c r="A17" s="8" t="inlineStr">
        <is>
          <t>Impairment Testing</t>
        </is>
      </c>
      <c r="B17" s="8" t="inlineStr">
        <is>
          <t>減值測試</t>
        </is>
      </c>
      <c r="C17" s="19" t="inlineStr">
        <is>
          <t>high</t>
        </is>
      </c>
      <c r="D17" s="11" t="inlineStr">
        <is>
          <t>impairment loss</t>
        </is>
      </c>
      <c r="E17" s="11" t="inlineStr">
        <is>
          <t>PDF p.119 (印刷頁 117)</t>
        </is>
      </c>
      <c r="F17" s="11" t="inlineStr">
        <is>
          <t>ess costs of disposal (if 其公平值減去出售成本（如可計 measurable), its value in use (if determinable) and 量）、其使用價值（如釐定）及零 zero. The amount of the impairment loss that would 之中之最高值。已另行分配至 otherwise have been allocated to the asset is allocated 資產的減值虧損數額按比例分 pro rata to the other assets of the unit or the group of 配至該單位或現金產生單位組 cash-generating units. An impairment loss is recognised 別的其他資產。減值虧損會即 immediately in profit or loss. 時於損益內確認。 Where an impairment loss subsequently reverses, the 倘減值虧損其後撥回，則該資 carrying amount of the asset (or cash-gene</t>
        </is>
      </c>
    </row>
    <row r="18">
      <c r="A18" s="8" t="inlineStr">
        <is>
          <t>Impairment Testing</t>
        </is>
      </c>
      <c r="B18" s="8" t="inlineStr">
        <is>
          <t>減值測試</t>
        </is>
      </c>
      <c r="C18" s="19" t="inlineStr">
        <is>
          <t>high</t>
        </is>
      </c>
      <c r="D18" s="11" t="inlineStr">
        <is>
          <t>impairment loss</t>
        </is>
      </c>
      <c r="E18" s="11" t="inlineStr">
        <is>
          <t>PDF p.140 (印刷頁 138)</t>
        </is>
      </c>
      <c r="F18" s="11" t="inlineStr">
        <is>
          <t>能對評估結果產生重 estimates could materially affect the result of the assessment 大影響，並可能需要就損益作出額外 and it may be necessary to make additional impairment loss 減值虧損。 to profit or loss. At the end of the reporting period, the details of the carrying 於報告期末，貿易應收款項的賬面值 amounts of trade receivables are set out in note 18. 詳情載於附註18。 5. SEGMENT INFORMATION 5. 分部資料 The Group’s revenue from provision of freight forwarding and 當客戶於本集團履約時同時接受及使 related logistics services and entrusted management service 用本集團履約所提供之利益，本集團 for operating an online e-com</t>
        </is>
      </c>
    </row>
    <row r="19">
      <c r="A19" s="8" t="inlineStr">
        <is>
          <t>Impairment Testing</t>
        </is>
      </c>
      <c r="B19" s="8" t="inlineStr">
        <is>
          <t>減值測試</t>
        </is>
      </c>
      <c r="C19" s="19" t="inlineStr">
        <is>
          <t>high</t>
        </is>
      </c>
      <c r="D19" s="11" t="inlineStr">
        <is>
          <t>impairment loss</t>
        </is>
      </c>
      <c r="E19" s="11" t="inlineStr">
        <is>
          <t>PDF p.141 (印刷頁 139)</t>
        </is>
      </c>
      <c r="F19" s="11" t="inlineStr">
        <is>
          <t>ut allocation of certain other income, 損（未分配若干其他收入）、若干中央 certain central administrative expenses, finance costs 行政開支、財務成本及按預期信貸虧 and impairment losses or reversal of impairment losses 損模式就貿易及其他應收款項以及按 recognised under expected credit loss model for trade and 金確認之減值虧損或減值虧損撥回。 other receivables and deposits. This is the measure reported 此為向最高營運決策人匯報之方式， to the CODM for the purpose of resource allocation and 以分配資源及評估表現。 performance assessment. 139 萬勵達國際有限公司 二○二五－二○二六年年報</t>
        </is>
      </c>
    </row>
    <row r="20">
      <c r="A20" s="8" t="inlineStr">
        <is>
          <t>Impairment Testing</t>
        </is>
      </c>
      <c r="B20" s="8" t="inlineStr">
        <is>
          <t>減值測試</t>
        </is>
      </c>
      <c r="C20" s="19" t="inlineStr">
        <is>
          <t>high</t>
        </is>
      </c>
      <c r="D20" s="11" t="inlineStr">
        <is>
          <t>impairment loss</t>
        </is>
      </c>
      <c r="E20" s="11" t="inlineStr">
        <is>
          <t>PDF p.143 (印刷頁 141)</t>
        </is>
      </c>
      <c r="F20" s="11" t="inlineStr">
        <is>
          <t>－添置非流動資產 (note below) （見下文附註） 1,101 – – – 1,101 – Depreciation of property, －物業、廠房及設備 plant and equipment 折舊 (446) – – (175) (621) – Impairment losses under expected －預期信貸虧損模式項下 credit loss model, net of reversal 減值虧損撥回淨額 (66) – (99) – (165) Amounts regularly provided to the chief 定期匯報予最高營運決策 operating decision maker but not 人但不計入分部之 included in the measure of segment: 款項： – Interest income －利息收入 9 – – – 9 – Finance costs －融資成本 – – – (1,412) (1,412) – Income tax credit －所得稅抵免 11 – – – 11 Year ended 31 March 2025 截至二零二五年三月 三十一日止</t>
        </is>
      </c>
    </row>
    <row r="21">
      <c r="A21" s="8" t="inlineStr">
        <is>
          <t>Impairment Testing</t>
        </is>
      </c>
      <c r="B21" s="8" t="inlineStr">
        <is>
          <t>減值測試</t>
        </is>
      </c>
      <c r="C21" s="19" t="inlineStr">
        <is>
          <t>high</t>
        </is>
      </c>
      <c r="D21" s="11" t="inlineStr">
        <is>
          <t>impairment loss</t>
        </is>
      </c>
      <c r="E21" s="11" t="inlineStr">
        <is>
          <t>PDF p.152 (印刷頁 150)</t>
        </is>
      </c>
      <c r="F21" s="11" t="inlineStr">
        <is>
          <t>ses 匯兌虧損 – (5) Loss on written off and disposal of 撇銷及出售物業、廠房及 property, plant and equipment 設備之虧損 – (1,460) – (1,465) 11 (1,388) 8. IMPAIRMENT LOSSES UNDER 8. 預期信貸虧損模式項下減 EXPECTED CREDIT LOSS MODEL, 值虧損撥回淨額 NET OF REVERSAL 2026 2025 二零二六年 二零二五年 HK$’000 HK$’000 千港元 千港元 Impairment losses under expected credit 預期信貸虧損模式項下減值 loss model, net of reversal, comprise: 虧損撥回淨額包括： (Provision for) reversal of impairment 貿易應收款項減值虧損 losses on trade receivables （撥備）撥回 (73) 198 Provision for impairment losses on deposits 按金及其他應收款項以及應 and other</t>
        </is>
      </c>
    </row>
    <row r="22">
      <c r="A22" s="8" t="inlineStr">
        <is>
          <t>Impairment Testing</t>
        </is>
      </c>
      <c r="B22" s="8" t="inlineStr">
        <is>
          <t>減值測試</t>
        </is>
      </c>
      <c r="C22" s="19" t="inlineStr">
        <is>
          <t>high</t>
        </is>
      </c>
      <c r="D22" s="11" t="inlineStr">
        <is>
          <t>impairment loss</t>
        </is>
      </c>
      <c r="E22" s="11" t="inlineStr">
        <is>
          <t>PDF p.192 (印刷頁 190)</t>
        </is>
      </c>
      <c r="F22" s="11" t="inlineStr">
        <is>
          <t>er the simplified approach: 全期預期信貸虧損變動： Lifetime ECL Not credit– impaired 全期預期信貸虧損 －非信貸減值 HK$’000 千港元 At 1 April 2024 於二零二四年四月一日 705 Impairment loss recognised 已確認之減值虧損 (198) At 31 March 2025 and 1 April 2025 於二零二五年三月三十一日及 二零二五年四月一日 507 Impairment loss recognised 已確認之減值虧損 73 At 31 March 2026 於二零二六年三月三十一日 580 190 Wan Leader International Limited Annual Report 2025 – 2026</t>
        </is>
      </c>
    </row>
    <row r="23">
      <c r="A23" s="8" t="inlineStr">
        <is>
          <t>Impairment Testing</t>
        </is>
      </c>
      <c r="B23" s="8" t="inlineStr">
        <is>
          <t>減值測試</t>
        </is>
      </c>
      <c r="C23" s="19" t="inlineStr">
        <is>
          <t>high</t>
        </is>
      </c>
      <c r="D23" s="11" t="inlineStr">
        <is>
          <t>impairment loss</t>
        </is>
      </c>
      <c r="E23" s="11" t="inlineStr">
        <is>
          <t>PDF p.193 (印刷頁 191)</t>
        </is>
      </c>
      <c r="F23" s="11" t="inlineStr">
        <is>
          <t>期信貸虧損第二階 loss allowance for them are 4.47% (2025: 2.25%) 段內進行評估（二零二五 respectively. During the year ended 31 March 2026, 年︰12個月預期信貸虧損 impairment loss of approximately HK$92,000 (2025: 第一階段）。對此釐定虧 impairment loss of HK$462,000) is recognised in 損撥備平均虧損率分別 profit or loss. 為4.47%（二零二五年︰ 2.25% ）。截至二零二六 年三月三十一日止年度， 減值虧損約92,000港元 （二零二五年︰減值虧損 462,000港元）已於損益 中確認。 The following table shows the movement in ECL that 下表顯示預期信貸虧損 has been recognised for amount due from a related 中已確認之應收一間關 company: 聯公司款項的變動情況︰ Stage 1 第一階段 12m ECL 12個月預期信貸虧損</t>
        </is>
      </c>
    </row>
    <row r="24">
      <c r="A24" s="8" t="inlineStr">
        <is>
          <t>Impairment Testing</t>
        </is>
      </c>
      <c r="B24" s="8" t="inlineStr">
        <is>
          <t>減值測試</t>
        </is>
      </c>
      <c r="C24" s="19" t="inlineStr">
        <is>
          <t>high</t>
        </is>
      </c>
      <c r="D24" s="11" t="inlineStr">
        <is>
          <t>impairment loss</t>
        </is>
      </c>
      <c r="E24" s="11" t="inlineStr">
        <is>
          <t>PDF p.194 (印刷頁 192)</t>
        </is>
      </c>
      <c r="F24" s="11" t="inlineStr">
        <is>
          <t>CL impaired Total 全期預期 12個月預期 信貸虧損 信貸虧損 －非信貸減值 總計 HK$’000 HK$’000 HK$’000 千港元 千港元 千港元 At 1 April 2024 於二零二四年四月一日 2 – 2 Provision for impairment loss 已確認減值虧損撥回 recognised 462 – 462 At 31 March 2025 and 於二零二五年三月三十一日 1 April 2025 及二零二五年四月一日 464 – 464 Transfer to not credit-impaired 轉撥至非信貸減值 (464) 464 – Provision for impairment loss 已確認減值虧損撥回 recognised – 92 92 At 31 March 2026 於二零二六年三月三十一日 – 556 556 There has no change in valuation technique and 貿易及其他應收款項預 assumption for measurement of expected credit loss 期信貸虧損計量的估值 in trade and</t>
        </is>
      </c>
    </row>
    <row r="25">
      <c r="A25" s="8" t="inlineStr">
        <is>
          <t>Intangible Assets &amp; Goodwill</t>
        </is>
      </c>
      <c r="B25" s="8" t="inlineStr">
        <is>
          <t>無形資產及商譽</t>
        </is>
      </c>
      <c r="C25" s="19" t="inlineStr">
        <is>
          <t>high</t>
        </is>
      </c>
      <c r="D25" s="11" t="inlineStr">
        <is>
          <t>useful life</t>
        </is>
      </c>
      <c r="E25" s="11" t="inlineStr">
        <is>
          <t>PDF p.104 (印刷頁 102)</t>
        </is>
      </c>
      <c r="F25" s="11" t="inlineStr">
        <is>
          <t>herwise, right-of-use assets are depreciated on 權資產則於估計可使用年期或 a straight-line basis over the shorter of its estimated 租賃期（以較短者為準）按直線 useful life and the lease term. 法折舊。 102 Wan Leader International Limited Annual Report 2025 – 2026</t>
        </is>
      </c>
    </row>
    <row r="26">
      <c r="A26" s="8" t="inlineStr">
        <is>
          <t>Intangible Assets &amp; Goodwill</t>
        </is>
      </c>
      <c r="B26" s="8" t="inlineStr">
        <is>
          <t>無形資產及商譽</t>
        </is>
      </c>
      <c r="C26" s="19" t="inlineStr">
        <is>
          <t>high</t>
        </is>
      </c>
      <c r="D26" s="11" t="inlineStr">
        <is>
          <t>可使用年期</t>
        </is>
      </c>
      <c r="E26" s="11" t="inlineStr">
        <is>
          <t>PDF p.116 (印刷頁 114)</t>
        </is>
      </c>
      <c r="F26" s="11" t="inlineStr">
        <is>
          <t>use. 折舊。 Depreciation is recognised so as to write off the 物業、廠房及設備資產乃以直 cost of assets of property, plant and equipment less 線法按其估計可使用年期減其 their residual values over their estimated useful lives, 剩餘價值確認折舊，以撇銷成 using the straight-line method. The estimated useful 本。估計使用年限、剩餘價值及 lives, residual values and depreciation method are 折舊方法會於各報告期末予以 reviewed at the end of each reporting period, with the 檢討，而任何估計變動之影響 effect of any changes in estimate accounted for on a 按前瞻基準入賬。 prospective basis. An item of property, plant and equipme</t>
        </is>
      </c>
    </row>
    <row r="27">
      <c r="A27" s="8" t="inlineStr">
        <is>
          <t>Intangible Assets &amp; Goodwill</t>
        </is>
      </c>
      <c r="B27" s="8" t="inlineStr">
        <is>
          <t>無形資產及商譽</t>
        </is>
      </c>
      <c r="C27" s="19" t="inlineStr">
        <is>
          <t>high</t>
        </is>
      </c>
      <c r="D27" s="11" t="inlineStr">
        <is>
          <t>goodwill</t>
        </is>
      </c>
      <c r="E27" s="11" t="inlineStr">
        <is>
          <t>PDF p.118 (印刷頁 116)</t>
        </is>
      </c>
      <c r="F27" s="11" t="inlineStr">
        <is>
          <t>cating the impairment loss, the impairment 虧損時，減值虧損首先分配至 loss is allocated first to reduce the carrying amount of 削減任何商譽（倘適用）的賬面 any goodwill (if applicable) and then to the other assets 值，然後根據各資產於單位或 on a pro-rata basis based on the carrying amount of 一組現金產生單位的賬面值按 each asset in the unit or the group of cash-generating 比例分配至其他資產。 units. 116 Wan Leader International Limited Annual Report 2025 – 2026</t>
        </is>
      </c>
    </row>
    <row r="28">
      <c r="A28" s="8" t="inlineStr">
        <is>
          <t>Intangible Assets &amp; Goodwill</t>
        </is>
      </c>
      <c r="B28" s="8" t="inlineStr">
        <is>
          <t>無形資產及商譽</t>
        </is>
      </c>
      <c r="C28" s="19" t="inlineStr">
        <is>
          <t>high</t>
        </is>
      </c>
      <c r="D28" s="11" t="inlineStr">
        <is>
          <t>攤銷</t>
        </is>
      </c>
      <c r="E28" s="11" t="inlineStr">
        <is>
          <t>PDF p.123 (印刷頁 121)</t>
        </is>
      </c>
      <c r="F28" s="11" t="inlineStr">
        <is>
          <t>（續） The effective interest method is a method of calculating 實際利率法為計算金融資產或 the amortised cost of a financial asset or financial 金融負債的攤銷成本及於有關 liability and of allocating interest income and interest 期間分配利息收入及利息開支 expense over the relevant period. The effective interest 的方法。實際利率為將金融資 rate is the rate that exactly discounts estimated future 產或金融負債於預計年期或較 cash receipts and payments (including all fees and 短期間（如適用）內估計未來現 points paid or received that form an integral part of 金收入及付款（包括構成實際利 the effective interest rate, transaction co</t>
        </is>
      </c>
    </row>
    <row r="29">
      <c r="A29" s="8" t="inlineStr">
        <is>
          <t>Intangible Assets &amp; Goodwill</t>
        </is>
      </c>
      <c r="B29" s="8" t="inlineStr">
        <is>
          <t>無形資產及商譽</t>
        </is>
      </c>
      <c r="C29" s="19" t="inlineStr">
        <is>
          <t>high</t>
        </is>
      </c>
      <c r="D29" s="11" t="inlineStr">
        <is>
          <t>攤銷</t>
        </is>
      </c>
      <c r="E29" s="11" t="inlineStr">
        <is>
          <t>PDF p.124 (印刷頁 122)</t>
        </is>
      </c>
      <c r="F29" s="11" t="inlineStr">
        <is>
          <t>y payments of principal 的現金流量純粹為支付本 and interest on the principal amount outstanding. 金及未償還本金的利息。 Amortised cost and interest income 攤銷成本及利息收入 Interest income is recognised using the effective 利息收入使用實際利率法確認， interest method for financial assets measured 適用於其後按攤銷成本計量的 subsequently at amortised cost. Interest income is 金融資產。利息收入透過將實 calculated by applying the effective interest rate to 際利率應用於金融資產的總賬 the gross carrying amount of a financial asset, except 面值來計算，惟其後成為信貸 for financial assets that have subsequently become 減值的金融資產除外（見下</t>
        </is>
      </c>
    </row>
    <row r="30">
      <c r="A30" s="8" t="inlineStr">
        <is>
          <t>Intangible Assets &amp; Goodwill</t>
        </is>
      </c>
      <c r="B30" s="8" t="inlineStr">
        <is>
          <t>無形資產及商譽</t>
        </is>
      </c>
      <c r="C30" s="19" t="inlineStr">
        <is>
          <t>high</t>
        </is>
      </c>
      <c r="D30" s="11" t="inlineStr">
        <is>
          <t>攤銷</t>
        </is>
      </c>
      <c r="E30" s="11" t="inlineStr">
        <is>
          <t>PDF p.133 (印刷頁 131)</t>
        </is>
      </c>
      <c r="F30" s="11" t="inlineStr">
        <is>
          <t>edit-impaired, in which case 資產已信貸減值，在該情 interest income is calculated based on amortised 況下，利息收入按金融資 cost of the financial asset. 產之攤銷成本計算。 The Group recognises an impairment gain or loss 本集團藉由調整金融工具 in profit or loss for all financial instruments by 的賬面值於損益中確認其 adjusting their carrying amount with the exception 減值收益或虧損，惟相應 of trade and other receivables and contract 調整於虧損撥備賬中確認 assets where the correspondence adjustment is 的貿易及其他應收款項及 recognised through a loss allowance account. 合約資產除外。 Foreign exchange gains and losses 外匯收益及</t>
        </is>
      </c>
    </row>
    <row r="31">
      <c r="A31" s="8" t="inlineStr">
        <is>
          <t>Intangible Assets &amp; Goodwill</t>
        </is>
      </c>
      <c r="B31" s="8" t="inlineStr">
        <is>
          <t>無形資產及商譽</t>
        </is>
      </c>
      <c r="C31" s="19" t="inlineStr">
        <is>
          <t>high</t>
        </is>
      </c>
      <c r="D31" s="11" t="inlineStr">
        <is>
          <t>攤銷</t>
        </is>
      </c>
      <c r="E31" s="11" t="inlineStr">
        <is>
          <t>PDF p.134 (印刷頁 132)</t>
        </is>
      </c>
      <c r="F31" s="11" t="inlineStr">
        <is>
          <t>ollateralised borrowing for the proceeds received. 融資產，並同時將已收所得款 項確認為一項抵押借款。 On derecognition of a financial asset measured at 於終止確認按攤銷成本計量之 amortised cost, the difference between the asset’s 金融資產時，資產賬面值與已 carrying amount and the sum of the consideration 收及應收代價的總和的差額將 received and receivable is recognised in profit or loss. 於損益中確認。 132 Wan Leader International Limited Annual Report 2025 – 2026</t>
        </is>
      </c>
    </row>
    <row r="32">
      <c r="A32" s="8" t="inlineStr">
        <is>
          <t>Intangible Assets &amp; Goodwill</t>
        </is>
      </c>
      <c r="B32" s="8" t="inlineStr">
        <is>
          <t>無形資產及商譽</t>
        </is>
      </c>
      <c r="C32" s="19" t="inlineStr">
        <is>
          <t>high</t>
        </is>
      </c>
      <c r="D32" s="11" t="inlineStr">
        <is>
          <t>攤銷</t>
        </is>
      </c>
      <c r="E32" s="11" t="inlineStr">
        <is>
          <t>PDF p.135 (印刷頁 133)</t>
        </is>
      </c>
      <c r="F32" s="11" t="inlineStr">
        <is>
          <t>ies 金融負債 All financial liabilities are subsequently measured at 所有金融負債其後採用實際利 amortised cost using the effective interest method. 率法以攤銷成本計量。 Financial liabilities at amortised cost 按攤銷成本計量之金融負債 The Group’s financial liabilities including trade and 本集團金融負債（包括貿易及其 other payables and amount due to a director are 他應付款項以及應付一名董事 subsequently measured at amortised cost, using the 款項）其後採用實際利率法按攤 effective interest method. 銷成本計量。 133 萬勵達國際有限公司 二○二五－二○二六年年報</t>
        </is>
      </c>
    </row>
    <row r="33">
      <c r="A33" s="8" t="inlineStr">
        <is>
          <t>Intangible Assets &amp; Goodwill</t>
        </is>
      </c>
      <c r="B33" s="8" t="inlineStr">
        <is>
          <t>無形資產及商譽</t>
        </is>
      </c>
      <c r="C33" s="19" t="inlineStr">
        <is>
          <t>high</t>
        </is>
      </c>
      <c r="D33" s="11" t="inlineStr">
        <is>
          <t>攤銷</t>
        </is>
      </c>
      <c r="E33" s="11" t="inlineStr">
        <is>
          <t>PDF p.136 (印刷頁 134)</t>
        </is>
      </c>
      <c r="F33" s="11" t="inlineStr">
        <is>
          <t>and losses 外匯收益及虧損 For financial liabilities that are denominated in a 就以外幣計值及於各報告期末 foreign currency and are measured at amortised 按攤銷成本計量的金融負債而 cost at the end of each reporting period, the foreign 言，匯兌收益及虧損根據該等 exchange gains and losses are determined based on 工具的攤銷成本釐定。對於並 the amortised cost of the instruments. These foreign 非指定對沖關係一部分的金融 exchange gains and losses are recognised in the 負債，該等外匯收益及虧損於 ‘General and administrative expenses’ line item in profit 損益中的「一般及行政開支」項 or loss as part of net foreign exchange gains/(losses</t>
        </is>
      </c>
    </row>
    <row r="34">
      <c r="A34" s="8" t="inlineStr">
        <is>
          <t>Intangible Assets &amp; Goodwill</t>
        </is>
      </c>
      <c r="B34" s="8" t="inlineStr">
        <is>
          <t>無形資產及商譽</t>
        </is>
      </c>
      <c r="C34" s="19" t="inlineStr">
        <is>
          <t>high</t>
        </is>
      </c>
      <c r="D34" s="11" t="inlineStr">
        <is>
          <t>攤銷</t>
        </is>
      </c>
      <c r="E34" s="11" t="inlineStr">
        <is>
          <t>PDF p.151 (印刷頁 149)</t>
        </is>
      </c>
      <c r="F34" s="11" t="inlineStr">
        <is>
          <t>the effective 際利率法以時間比例確 interest method. For financial assets measured 認。對於並無信貸減值之 at amortised cost that are not credit-impaired, 按攤銷成本計量的金融資 the effective interest rate is applied to the gross 產，對資產的賬面總值應 carrying amount of the asset. 用實際利率。 (ii) Government grants (ii) 政府補助 Government grants that compensate the Group 補償本集團所產生開支的 for expenses incurred are recognised as income 政府補助於產生開支的同 in profit or loss on a systematic basis in the same 一期間有系統地於損益確 period in which the expenses are incurred. 認為收入。 Further information about t</t>
        </is>
      </c>
    </row>
    <row r="35">
      <c r="A35" s="8" t="inlineStr">
        <is>
          <t>Intangible Assets &amp; Goodwill</t>
        </is>
      </c>
      <c r="B35" s="8" t="inlineStr">
        <is>
          <t>無形資產及商譽</t>
        </is>
      </c>
      <c r="C35" s="19" t="inlineStr">
        <is>
          <t>high</t>
        </is>
      </c>
      <c r="D35" s="11" t="inlineStr">
        <is>
          <t>攤銷</t>
        </is>
      </c>
      <c r="E35" s="11" t="inlineStr">
        <is>
          <t>PDF p.165 (印刷頁 163)</t>
        </is>
      </c>
      <c r="F35" s="11" t="inlineStr">
        <is>
          <t>. 貿易及其他應收款項、按 DEPOSITS AND PREPAYMENTS 金及預付款項 2026 2025 二零二六年 二零二五年 HK$’000 HK$’000 千港元 千港元 Receivables at amortised cost comprise: 按攤銷成本計量之應收款項 包括： Trade receivables 貿易應收款項 35,625 32,286 Less: Allowances 減：撥備 (580) (507) 35,045 31,779 Prepayment, deposits and 預付款項、按金及其他應收 other receivables comprise: 款項包括： – Rental deposits – 租賃按金 92 92 – Logistics and warehouse services – 物流及倉儲服務 – 2,160 – Suppliers of fashion items – 時尚商品的供應商 12,425 20,625 – Other deposits and prepayment – 其他按金及預付款項 305 348 – Other receivables – 其他應收款項 – 1,20</t>
        </is>
      </c>
    </row>
    <row r="36">
      <c r="A36" s="8" t="inlineStr">
        <is>
          <t>Intangible Assets &amp; Goodwill</t>
        </is>
      </c>
      <c r="B36" s="8" t="inlineStr">
        <is>
          <t>無形資產及商譽</t>
        </is>
      </c>
      <c r="C36" s="19" t="inlineStr">
        <is>
          <t>high</t>
        </is>
      </c>
      <c r="D36" s="11" t="inlineStr">
        <is>
          <t>攤銷</t>
        </is>
      </c>
      <c r="E36" s="11" t="inlineStr">
        <is>
          <t>PDF p.181 (印刷頁 179)</t>
        </is>
      </c>
      <c r="F36" s="11" t="inlineStr">
        <is>
          <t>ncial instruments (a) 金融工具類別 2026 2025 二零二六年 二零二五年 HK$’000 HK$’000 千港元 千港元 Financial assets 金融資產 Financial assets at amortised cost 按攤銷成本計量的金融資產 54,060 68,743 Financial liabilities 金融負債 At amortised cost 按攤銷成本 29,562 34,500 179 萬勵達國際有限公司 二○二五－二○二六年年報</t>
        </is>
      </c>
    </row>
    <row r="37">
      <c r="A37" s="8" t="inlineStr">
        <is>
          <t>Intangible Assets &amp; Goodwill</t>
        </is>
      </c>
      <c r="B37" s="8" t="inlineStr">
        <is>
          <t>無形資產及商譽</t>
        </is>
      </c>
      <c r="C37" s="19" t="inlineStr">
        <is>
          <t>high</t>
        </is>
      </c>
      <c r="D37" s="11" t="inlineStr">
        <is>
          <t>攤銷</t>
        </is>
      </c>
      <c r="E37" s="11" t="inlineStr">
        <is>
          <t>PDF p.197 (印刷頁 195)</t>
        </is>
      </c>
      <c r="F37" s="11" t="inlineStr">
        <is>
          <t>金融工具的公平值 The directors of the Company consider that the 本公司董事認為，由於屬短期 carrying amounts of financial assets and financial 到期，綜合財務報表內按攤銷 liabilities recorded at amortised cost in the consolidated 成本記賬的金融資產及金融負 financial statements approximate to their fair values 債的賬面值與其公平值相若。 due to their short-term maturities. 30. RECONCILIATION OF LIABILITIES 30. 融資活動產生的負債對賬 ARISING FROM FINANCING ACTIVITIES The table below details changes in the Group’s liabilities 下表詳述有關本集團融資活動產生的 arising from financing activities, including both cash and n</t>
        </is>
      </c>
    </row>
    <row r="38">
      <c r="A38" s="8" t="inlineStr">
        <is>
          <t>Investment Properties</t>
        </is>
      </c>
      <c r="B38" s="8" t="inlineStr">
        <is>
          <t>投資物業</t>
        </is>
      </c>
      <c r="C38" s="19" t="inlineStr">
        <is>
          <t>high</t>
        </is>
      </c>
      <c r="D38" s="11" t="inlineStr">
        <is>
          <t>market rent</t>
        </is>
      </c>
      <c r="E38" s="11" t="inlineStr">
        <is>
          <t>PDF p.107 (印刷頁 105)</t>
        </is>
      </c>
      <c r="F38" s="11" t="inlineStr">
        <is>
          <t>evised discount rate at the 經修訂折讓率折算經修訂 date of reassessment. 租賃付款而重新計量。 • the lease payments change due to changes • 租賃付款因市場租金審查 in market rental rates following a market rent 後的市場租金率變化而變 review, in which cases the related lease liability 化，在此情況下，使用初 is remeasured by discounting the revised lease 始貼現率對經修訂的租賃 payments using the initial discount rate. 付款進行貼現來重新計量 相關的租賃負債。 • a lease contract is modified and the lease • 租賃合約已予修改且租賃 modification is not accounted for as a separate 修改不作為一項單獨租賃 lease (see below for the accounting poli</t>
        </is>
      </c>
    </row>
    <row r="39">
      <c r="A39" s="8" t="inlineStr">
        <is>
          <t>ESG Data</t>
        </is>
      </c>
      <c r="B39" s="8" t="inlineStr">
        <is>
          <t>環境社會及管治數據</t>
        </is>
      </c>
      <c r="C39" s="8" t="inlineStr">
        <is>
          <t>medium</t>
        </is>
      </c>
      <c r="D39" s="11" t="inlineStr">
        <is>
          <t>可持續</t>
        </is>
      </c>
      <c r="E39" s="11" t="inlineStr">
        <is>
          <t>PDF p.7 (印刷頁 5)</t>
        </is>
      </c>
      <c r="F39" s="11" t="inlineStr">
        <is>
          <t>and flexibility of our freight forwarding and 擴闊我們的收益來源，並最終為股東及投 logistics services, broaden our revenue streams, and ultimately 資者創造可持續的長遠價值。 deliver sustainable, long-term value for our shareholders and investors. 5 萬勵達國際有限公司 二○二五－二○二六年年報</t>
        </is>
      </c>
    </row>
    <row r="40">
      <c r="A40" s="8" t="inlineStr">
        <is>
          <t>ESG Data</t>
        </is>
      </c>
      <c r="B40" s="8" t="inlineStr">
        <is>
          <t>環境社會及管治數據</t>
        </is>
      </c>
      <c r="C40" s="8" t="inlineStr">
        <is>
          <t>medium</t>
        </is>
      </c>
      <c r="D40" s="11" t="inlineStr">
        <is>
          <t>可持續</t>
        </is>
      </c>
      <c r="E40" s="11" t="inlineStr">
        <is>
          <t>PDF p.11 (印刷頁 9)</t>
        </is>
      </c>
      <c r="F40" s="11" t="inlineStr">
        <is>
          <t>ess and broaden our revenue base. The Company 基礎。本公司將持續檢討業務策略，提升 will continuously review its business strategies, enhance 營運效率，並致力實現可持續增長，從而 operational efficiency, and commit itself to achieving sustainable 為股東及投資者創造長期價值。 growth, thereby creating long-term value for shareholders and investors. FINANCIAL REVIEW 財務回顧 Revenue 收益 The Group’s revenue was primarily derived from (i) provision of air 本集團的收益主要來自(i)提供空運代理及 freight forwarding and related logistics services; (ii) provision of 相關物流服務；(ii)提供海運代理及相關物 sea freight forwarding</t>
        </is>
      </c>
    </row>
    <row r="41">
      <c r="A41" s="8" t="inlineStr">
        <is>
          <t>ESG Data</t>
        </is>
      </c>
      <c r="B41" s="8" t="inlineStr">
        <is>
          <t>環境社會及管治數據</t>
        </is>
      </c>
      <c r="C41" s="8" t="inlineStr">
        <is>
          <t>medium</t>
        </is>
      </c>
      <c r="D41" s="11" t="inlineStr">
        <is>
          <t>energy consumption</t>
        </is>
      </c>
      <c r="E41" s="11" t="inlineStr">
        <is>
          <t>PDF p.21 (印刷頁 19)</t>
        </is>
      </c>
      <c r="F41" s="11" t="inlineStr">
        <is>
          <t>本集團提升辦公室的照明系統，本集團已 improved the lighting of the office, the Group already considered 考慮採用LED燈以減低用電量，並指示僱 using LED lights to reduce energy consumption. Employees are 員於不使用時關掉冷氣及電器。於本年度， encouraged to switch off air conditioning and electrical appliances 本集團的營運已在所有重大方面遵守香港 when they are not in use. The Group’s operation has complied in 及中國現時適用的當地環保法律及規例。 all material respects with currently applicable local environmental protection laws and regulations in Hong Kong and the PRC during the Year. For details of environmental, soci</t>
        </is>
      </c>
    </row>
    <row r="42">
      <c r="A42" s="8" t="inlineStr">
        <is>
          <t>ESG Data</t>
        </is>
      </c>
      <c r="B42" s="8" t="inlineStr">
        <is>
          <t>環境社會及管治數據</t>
        </is>
      </c>
      <c r="C42" s="8" t="inlineStr">
        <is>
          <t>medium</t>
        </is>
      </c>
      <c r="D42" s="11" t="inlineStr">
        <is>
          <t>可持續</t>
        </is>
      </c>
      <c r="E42" s="11" t="inlineStr">
        <is>
          <t>PDF p.37 (印刷頁 35)</t>
        </is>
      </c>
      <c r="F42" s="11" t="inlineStr">
        <is>
          <t>oard level as an essential element in supporting 員多元化，並將其視為支持達致其策略目 the attainment of its strategic objectives and its sustainable 標及可持續發展的必要元素。在設計適當 development. In designing an appropriate composition of the 的董事會成員組合時，本公司已從多項因 Board, the diversity of the Board has been considered from a 素考慮董事會成員多元化，當中包括但不 number of perspectives, including but not limited to gender, age, 限於性別、年齡、性取向、殘疾、國籍、 sexual orientation, disability, nationality, religious or philosophical 宗教或哲學信仰、家庭狀況、教育背景、 belief, family status, educational background, p</t>
        </is>
      </c>
    </row>
    <row r="43">
      <c r="A43" s="8" t="inlineStr">
        <is>
          <t>ESG Data</t>
        </is>
      </c>
      <c r="B43" s="8" t="inlineStr">
        <is>
          <t>環境社會及管治數據</t>
        </is>
      </c>
      <c r="C43" s="8" t="inlineStr">
        <is>
          <t>medium</t>
        </is>
      </c>
      <c r="D43" s="11" t="inlineStr">
        <is>
          <t>可持續</t>
        </is>
      </c>
      <c r="E43" s="11" t="inlineStr">
        <is>
          <t>PDF p.42 (印刷頁 40)</t>
        </is>
      </c>
      <c r="F43" s="11" t="inlineStr">
        <is>
          <t>as below. 連同其執行情況於下文披露。 Summary of Dividend Policy 股息政策概要 The Company considers stable and sustainable returns to its 本公司將向本公司股東提供穩定及可持續 shareholders of the Company to be its goal. The Company’s 回報視為其目標。本公司的股息政策旨在 Dividend Policy aims to allow shareholders to participate in 讓股東分享本公司溢利，以及預留足夠儲 the Company’s profit and for the Company to retain adequate 備以供日後發展之用。於建議派發任何股 reserves for future growth. In proposing any dividend payout, the 息時，董事會將考慮以下因素： Board would consider the following factors: • general business conditions and o</t>
        </is>
      </c>
    </row>
    <row r="44">
      <c r="A44" s="8" t="inlineStr">
        <is>
          <t>ESG Data</t>
        </is>
      </c>
      <c r="B44" s="8" t="inlineStr">
        <is>
          <t>環境社會及管治數據</t>
        </is>
      </c>
      <c r="C44" s="8" t="inlineStr">
        <is>
          <t>medium</t>
        </is>
      </c>
      <c r="D44" s="11" t="inlineStr">
        <is>
          <t>ESG</t>
        </is>
      </c>
      <c r="E44" s="11" t="inlineStr">
        <is>
          <t>PDF p.57 (印刷頁 55)</t>
        </is>
      </c>
      <c r="F44" s="11" t="inlineStr">
        <is>
          <t>ormulated policy on whistle-blowing and 本集團已制定舉報及反貪污政策，以處理 anti-corruption to handle advices and complaints from the 僱員的意見及投訴。有關詳情將載於ESG employees. Details of which will be set out in the ESG Report. 報告。 COMMUNICATIONS WITH SHAREHOLDERS 與股東之溝通及投資者關係 AND INVESTOR RELATIONS Recognising the importance of maintaining on-going 董事會認同持續與股東保持溝通的重要性， communication with shareholders, the Board established a 因而於二零一八年八月二十四日制定股東 shareholders’ communication policy on 24 August 2018 and 溝通政策，並定期進行檢討以確保其成效。 reviews it on a regular basis to ens</t>
        </is>
      </c>
    </row>
    <row r="45">
      <c r="A45" s="8" t="inlineStr">
        <is>
          <t>ESG Data</t>
        </is>
      </c>
      <c r="B45" s="8" t="inlineStr">
        <is>
          <t>環境社會及管治數據</t>
        </is>
      </c>
      <c r="C45" s="8" t="inlineStr">
        <is>
          <t>medium</t>
        </is>
      </c>
      <c r="D45" s="11" t="inlineStr">
        <is>
          <t>ESG</t>
        </is>
      </c>
      <c r="E45" s="11" t="inlineStr">
        <is>
          <t>PDF p.61 (印刷頁 59)</t>
        </is>
      </c>
      <c r="F45" s="11" t="inlineStr">
        <is>
          <t>t have a significant impact 年財務概要」、第138至143頁之「分部資 on the Group as well as an account of the key relationships with 料」、第19頁之「環境政策及表現」、ESG報 its stakeholders are contained in “Five Year Financial Summary” 告及本董事會報告之「主要客戶及供應商」 on page 201 to 202, “Segment Information” on pages 138 to 內。上述討論為本董事會報告之一部分。 143, “Environmental Policies and Performance” on page 19, ESG Report, and “Major Customers and Suppliers” of this Directors’ Report respectively. The above discussions form part of this Directors’ Report. 59 萬勵達國際有限公司 二○二五－二○二六年年報</t>
        </is>
      </c>
    </row>
    <row r="46">
      <c r="A46" s="8" t="inlineStr">
        <is>
          <t>ESG Data</t>
        </is>
      </c>
      <c r="B46" s="8" t="inlineStr">
        <is>
          <t>環境社會及管治數據</t>
        </is>
      </c>
      <c r="C46" s="8" t="inlineStr">
        <is>
          <t>medium</t>
        </is>
      </c>
      <c r="D46" s="11" t="inlineStr">
        <is>
          <t>ESG</t>
        </is>
      </c>
      <c r="E46" s="11" t="inlineStr">
        <is>
          <t>PDF p.205</t>
        </is>
      </c>
      <c r="F46" s="11" t="inlineStr">
        <is>
          <t>Rules 企業管治守則 GEM上市規則附錄C1所載之企業管治守則 COVID-19 2019 Novel Coronavirus COVID-19 2019年新型冠狀病毒 Director(s) directors of the Company 董事 本公司董事 ESG Environmental, Social and Governance 環境、社會及管治 環境、社會及管治 GEM Listing Rules The Rules Governing the Listing of Securities on GEM of The Stock Exchange of Hong Kong Limited GEM上市規則 香港聯合交易所有限公司GEM證券上市規則 Group Company and its subsidiaries 本集團 本公司及其附屬公司 HK Hong Kong Special Administrative Region of the PRC 香港 中國香港特別行政區 二○二五－二○二六年年報203 萬勵達國際有限公司</t>
        </is>
      </c>
    </row>
    <row r="47">
      <c r="A47" s="8" t="inlineStr">
        <is>
          <t>Segment Information</t>
        </is>
      </c>
      <c r="B47" s="8" t="inlineStr">
        <is>
          <t>分部資料</t>
        </is>
      </c>
      <c r="C47" s="8" t="inlineStr">
        <is>
          <t>medium</t>
        </is>
      </c>
      <c r="D47" s="11" t="inlineStr">
        <is>
          <t>segment information</t>
        </is>
      </c>
      <c r="E47" s="11" t="inlineStr">
        <is>
          <t>PDF p.61 (印刷頁 59)</t>
        </is>
      </c>
      <c r="F47" s="11" t="inlineStr">
        <is>
          <t>with 料」、第19頁之「環境政策及表現」、ESG報 its stakeholders are contained in “Five Year Financial Summary” 告及本董事會報告之「主要客戶及供應商」 on page 201 to 202, “Segment Information” on pages 138 to 內。上述討論為本董事會報告之一部分。 143, “Environmental Policies and Performance” on page 19, ESG Report, and “Major Customers and Suppliers” of this Directors’ Report respectively. The above discussions form part of this Directors’ Report. 59 萬勵達國際有限公司 二○二五－二○二六年年報</t>
        </is>
      </c>
    </row>
    <row r="48">
      <c r="A48" s="8" t="inlineStr">
        <is>
          <t>Segment Information</t>
        </is>
      </c>
      <c r="B48" s="8" t="inlineStr">
        <is>
          <t>分部資料</t>
        </is>
      </c>
      <c r="C48" s="8" t="inlineStr">
        <is>
          <t>medium</t>
        </is>
      </c>
      <c r="D48" s="11" t="inlineStr">
        <is>
          <t>operating segment</t>
        </is>
      </c>
      <c r="E48" s="11" t="inlineStr">
        <is>
          <t>PDF p.137 (印刷頁 135)</t>
        </is>
      </c>
      <c r="F48" s="11" t="inlineStr">
        <is>
          <t>IAL ACCOUNTING INFORMATION (Continued) 3.2 Material accounting policy information 3.2 重大會計政策資料（續） (Continued) Segment reporting 分部報告 Operating segments are reported in a manner 經營分部的呈報方式與向最高 consistent with the internal reporting provided to the 營運決策人（「最高營運決策人」） chief operating decision maker (the “CODM”). The 所提供內部呈報一致。最高營 CODM, who is responsible for allocating resources and 運決策人（負責分配經營分部資 assessing performance of the operating segments, has 源及評估其表現）已確定為作出 been identified as the executive directors that make 策略決定之執行董事。 strate</t>
        </is>
      </c>
    </row>
    <row r="49">
      <c r="A49" s="8" t="inlineStr">
        <is>
          <t>Segment Information</t>
        </is>
      </c>
      <c r="B49" s="8" t="inlineStr">
        <is>
          <t>分部資料</t>
        </is>
      </c>
      <c r="C49" s="8" t="inlineStr">
        <is>
          <t>medium</t>
        </is>
      </c>
      <c r="D49" s="11" t="inlineStr">
        <is>
          <t>segment information</t>
        </is>
      </c>
      <c r="E49" s="11" t="inlineStr">
        <is>
          <t>PDF p.140 (印刷頁 138)</t>
        </is>
      </c>
      <c r="F49" s="11" t="inlineStr">
        <is>
          <t>the reporting period, the details of the carrying 於報告期末，貿易應收款項的賬面值 amounts of trade receivables are set out in note 18. 詳情載於附註18。 5. SEGMENT INFORMATION 5. 分部資料 The Group’s revenue from provision of freight forwarding and 當客戶於本集團履約時同時接受及使 related logistics services and entrusted management service 用本集團履約所提供之利益，本集團 for operating an online e-commerce platform is recognised 來自提供貨運代理及相關物流服務及 over time when the customer simultaneously receives and 營運在線電子商務平台的委託管理服 consumes the benefits provided by the Group’s performance 務的收益以輸出法確認。</t>
        </is>
      </c>
    </row>
    <row r="50">
      <c r="A50" s="8" t="inlineStr">
        <is>
          <t>Segment Information</t>
        </is>
      </c>
      <c r="B50" s="8" t="inlineStr">
        <is>
          <t>分部資料</t>
        </is>
      </c>
      <c r="C50" s="8" t="inlineStr">
        <is>
          <t>medium</t>
        </is>
      </c>
      <c r="D50" s="11" t="inlineStr">
        <is>
          <t>segment information</t>
        </is>
      </c>
      <c r="E50" s="11" t="inlineStr">
        <is>
          <t>PDF p.141 (印刷頁 139)</t>
        </is>
      </c>
      <c r="F50" s="11" t="inlineStr">
        <is>
          <t>Notes to the Consolidated Financial Statements (Continued) 綜合財務報表附註（續） For the year ended 31 March 2026 截至二零二六年三月三十一日止年度 5. SEGMENT INFORMATION 5. 分部資料（續） (Continued) The Group’s operating segments are determined based on 本集團的經營分部乃根據向本集團最 information reported to the chief operating decision maker 高營運決策人（「最高營運決策人」） （即 (the “CODM”) of the Group, being Mr. Thomas Loy, an 本集團執行董事呂克宜先生）呈報的 executive director of the Group, for the purpose of resource 資料釐定，以分配資源及評估表現， allocation and performance assessment focuses on the 專注於不同</t>
        </is>
      </c>
    </row>
    <row r="51">
      <c r="A51" s="8" t="inlineStr">
        <is>
          <t>Segment Information</t>
        </is>
      </c>
      <c r="B51" s="8" t="inlineStr">
        <is>
          <t>分部資料</t>
        </is>
      </c>
      <c r="C51" s="8" t="inlineStr">
        <is>
          <t>medium</t>
        </is>
      </c>
      <c r="D51" s="11" t="inlineStr">
        <is>
          <t>segment information</t>
        </is>
      </c>
      <c r="E51" s="11" t="inlineStr">
        <is>
          <t>PDF p.142 (印刷頁 140)</t>
        </is>
      </c>
      <c r="F51" s="11" t="inlineStr">
        <is>
          <t>Notes to the Consolidated Financial Statements (Continued) 綜合財務報表附註（續） For the year ended 31 March 2026 截至二零二六年三月三十一日止年度 5. SEGMENT INFORMATION 5. 分部資料（續） (Continued) (a) Revenue and results by reportable and (a) 可呈報及營運分部的收 operating segment 益及業績 The following is an analysis of the Group’s revenue and 以下為本集團按可呈報及營運 results by reportable and operating segments. 分部劃分的收益及業績分析。 Entrusted Management Freight Service for Forwarding Operating and Related an Online Trading of Logistics E-commerce Fashion Service Platform Items</t>
        </is>
      </c>
    </row>
    <row r="52">
      <c r="A52" s="8" t="inlineStr">
        <is>
          <t>Segment Information</t>
        </is>
      </c>
      <c r="B52" s="8" t="inlineStr">
        <is>
          <t>分部資料</t>
        </is>
      </c>
      <c r="C52" s="8" t="inlineStr">
        <is>
          <t>medium</t>
        </is>
      </c>
      <c r="D52" s="11" t="inlineStr">
        <is>
          <t>segment information</t>
        </is>
      </c>
      <c r="E52" s="11" t="inlineStr">
        <is>
          <t>PDF p.143 (印刷頁 141)</t>
        </is>
      </c>
      <c r="F52" s="11" t="inlineStr">
        <is>
          <t>Notes to the Consolidated Financial Statements (Continued) 綜合財務報表附註（續） For the year ended 31 March 2026 截至二零二六年三月三十一日止年度 5. SEGMENT INFORMATION 5. 分部資料（續） (Continued) (b) Other information (b) 其他資料 Entrusted Management Freight Service for Forwarding Operating and Related an Online Trading of Logistics E-commerce Fashion Service Platform Items Unallocated Total 營運在線電子 貨運代理及 商務平台的 相關物流服務 委託管理服務 時尚物品貿易 未分配 總計 HK$’000 HK$’000 HK$’000 HK$’000 HK$’000 千港元 千港元 千港元 千港元 千港元 Year ended 31 March 2026 截至二零二六年三月 三十一日止年度 Amounts inc</t>
        </is>
      </c>
    </row>
    <row r="53">
      <c r="A53" s="8" t="inlineStr">
        <is>
          <t>Segment Information</t>
        </is>
      </c>
      <c r="B53" s="8" t="inlineStr">
        <is>
          <t>分部資料</t>
        </is>
      </c>
      <c r="C53" s="8" t="inlineStr">
        <is>
          <t>medium</t>
        </is>
      </c>
      <c r="D53" s="11" t="inlineStr">
        <is>
          <t>segment information</t>
        </is>
      </c>
      <c r="E53" s="11" t="inlineStr">
        <is>
          <t>PDF p.144 (印刷頁 142)</t>
        </is>
      </c>
      <c r="F53" s="11" t="inlineStr">
        <is>
          <t>Notes to the Consolidated Financial Statements (Continued) 綜合財務報表附註（續） For the year ended 31 March 2026 截至二零二六年三月三十一日止年度 5. SEGMENT INFORMATION 5. 分部資料（續） (Continued) (b) Other information (b) 其他資料（續） (Continued) Note: Non-current assets excluded deferred tax assets. Addition 附註： 非流動資產不包括遞延稅項 of non-current assets during the years ended 31 March 資產。截至二零二六年三月 2026 and 31 March 2025 represented purchase of property, 三十一日及二零二五年三月 plant and equipment and addition of right-of-use assets. 三十一日止年度添置的非流動 資產指購買物業、廠房及設備 及添置使用權資產</t>
        </is>
      </c>
    </row>
    <row r="54">
      <c r="A54" s="8" t="inlineStr">
        <is>
          <t>Segment Information</t>
        </is>
      </c>
      <c r="B54" s="8" t="inlineStr">
        <is>
          <t>分部資料</t>
        </is>
      </c>
      <c r="C54" s="8" t="inlineStr">
        <is>
          <t>medium</t>
        </is>
      </c>
      <c r="D54" s="11" t="inlineStr">
        <is>
          <t>segment information</t>
        </is>
      </c>
      <c r="E54" s="11" t="inlineStr">
        <is>
          <t>PDF p.145 (印刷頁 143)</t>
        </is>
      </c>
      <c r="F54" s="11" t="inlineStr">
        <is>
          <t>Notes to the Consolidated Financial Statements (Continued) 綜合財務報表附註（續） For the year ended 31 March 2026 截至二零二六年三月三十一日止年度 5. SEGMENT INFORMATION 5. 分部資料（續） (Continued) (d) Information about major customers (d) 有關主要客戶的資料 Revenue from customers of the corresponding years 於相關年度，來自客戶的收益 contributing over 10% of the total revenue of the Group 佔本集團收益總額10%以上的 are as follows: 資料如下： 2026 2025 二零二六年 二零二五年 HK$’000 HK$’000 千港元 千港元 Relating to Freight Forwarding and 有關貨運代理及相關物流服 Related Logistics Service segment 務分部 – Customer A －客戶</t>
        </is>
      </c>
    </row>
    <row r="55">
      <c r="A55" s="8" t="inlineStr">
        <is>
          <t>Segment Information</t>
        </is>
      </c>
      <c r="B55" s="8" t="inlineStr">
        <is>
          <t>分部資料</t>
        </is>
      </c>
      <c r="C55" s="8" t="inlineStr">
        <is>
          <t>medium</t>
        </is>
      </c>
      <c r="D55" s="11" t="inlineStr">
        <is>
          <t>呈報分部</t>
        </is>
      </c>
      <c r="E55" s="11" t="inlineStr">
        <is>
          <t>PDF p.146 (印刷頁 144)</t>
        </is>
      </c>
      <c r="F55" s="11" t="inlineStr">
        <is>
          <t>’000 千港元 千港元 Revenue from contracts with 香港財務報告準則第15號 customers within the scope of 範圍內的客戶合約收益 HKFRS 15 Disaggregate by reportable 按可呈報分部分列： segments: Provision of freight forwarding and 提供貨運代理及相關物流 related logistics services 服務 – Air freight －空運 189,922 156,880 – Sea freight －海運 – 121 189,922 157,001 Trading of fashion items 時尚物品貿易 – 583 189,922 157,584 144 Wan Leader International Limited Annual Report 2025 – 2026</t>
        </is>
      </c>
    </row>
    <row r="56">
      <c r="A56" s="8" t="inlineStr">
        <is>
          <t>Segment Information</t>
        </is>
      </c>
      <c r="B56" s="8" t="inlineStr">
        <is>
          <t>分部資料</t>
        </is>
      </c>
      <c r="C56" s="8" t="inlineStr">
        <is>
          <t>medium</t>
        </is>
      </c>
      <c r="D56" s="11" t="inlineStr">
        <is>
          <t>geographical</t>
        </is>
      </c>
      <c r="E56" s="11" t="inlineStr">
        <is>
          <t>PDF p.147 (印刷頁 145)</t>
        </is>
      </c>
      <c r="F56" s="11" t="inlineStr">
        <is>
          <t>. 157,001,000港元）的收益 隨時間轉移，而餘額則於 某一時點轉移。 (iii) The Group derives revenue from the transfer of (iii) 本集團按地區市場劃分從 goods and services by geographical markets 轉讓貨品及服務中產生收 益 Information regarding the Group’s revenue 有關本集團按地區市場劃 from the transfer of goods and services by 分的轉讓貨品及服務產生 geographical markets is set out in note 5 above. 收益的資料載於上文附註 5。 (b) Contract balances (b) 合約結餘 As at As at 31 March 1 April 2024 於二零二四 於三月三十一日 年四月一日 Notes 2026 2025 附註 二零二六年 二零二五年 HK$’000 HK$’000 HK$’000 千港元 千港元 千港元 Trade receivables 貿易應收款項 18 35,625 32,28</t>
        </is>
      </c>
    </row>
    <row r="57">
      <c r="A57" s="8" t="inlineStr">
        <is>
          <t>Segment Information</t>
        </is>
      </c>
      <c r="B57" s="8" t="inlineStr">
        <is>
          <t>分部資料</t>
        </is>
      </c>
      <c r="C57" s="8" t="inlineStr">
        <is>
          <t>medium</t>
        </is>
      </c>
      <c r="D57" s="11" t="inlineStr">
        <is>
          <t>geographical</t>
        </is>
      </c>
      <c r="E57" s="11" t="inlineStr">
        <is>
          <t>PDF p.186 (印刷頁 184)</t>
        </is>
      </c>
      <c r="F57" s="11" t="inlineStr">
        <is>
          <t>及政 and policies 策（續） (Continued) (iii) Credit risk (Continued) (iii) 信貸風險（續） The Group’s concentration of credit risk by 本集團按地區劃分的信貸 geographical locations is in Hong Kong, which 風險集中於香港，香港佔 accounted for 100% (31 March 2025: 100%) of 於二零二六年三月三十一 the total trade receivables as at 31 March 2026. 日的貿易應收款項總額的 100%（二零二五年三月 三十一日：100%）。 The Group’s exposure to credit risk 本集團所面臨的信貸風險 In order to minimise credit risk, the Group has 為最大限度降低信貸風 tasked its operation management to develop 險，本集團已委派其營運 and maintain the Group’s credit risk g</t>
        </is>
      </c>
    </row>
    <row r="58">
      <c r="A58" s="8" t="inlineStr">
        <is>
          <t>Share-based Payment</t>
        </is>
      </c>
      <c r="B58" s="8" t="inlineStr">
        <is>
          <t>以股份為基礎的付款</t>
        </is>
      </c>
      <c r="C58" s="8" t="inlineStr">
        <is>
          <t>medium</t>
        </is>
      </c>
      <c r="D58" s="11" t="inlineStr">
        <is>
          <t>share option</t>
        </is>
      </c>
      <c r="E58" s="11" t="inlineStr">
        <is>
          <t>PDF p.20 (印刷頁 18)</t>
        </is>
      </c>
      <c r="F58" s="11" t="inlineStr">
        <is>
          <t>員的表現、資 industrial norms and the performance, qualifications and 歷及經驗而釐定。 experience of the employees. Apart from basic remuneration, share options may be granted by 除基本薪酬外，經參考本集團的表現及僱 the Company to eligible employees with reference to the Group’s 員的個人貢獻後，本公司可向合資格僱員 performance as well as the individual’s contribution. As disclosed 授出購股權。誠如招股章程所披露，本公 in the Prospectus, the Company adopted a share option scheme 司於二零一八年八月十四日採納購股權計 on 14 August 2018 (“Share Option Scheme”) to incentivize and 劃（「購股權計劃」），以激勵及挽留為本集 retain staff membe</t>
        </is>
      </c>
    </row>
    <row r="59">
      <c r="A59" s="8" t="inlineStr">
        <is>
          <t>Share-based Payment</t>
        </is>
      </c>
      <c r="B59" s="8" t="inlineStr">
        <is>
          <t>以股份為基礎的付款</t>
        </is>
      </c>
      <c r="C59" s="8" t="inlineStr">
        <is>
          <t>medium</t>
        </is>
      </c>
      <c r="D59" s="11" t="inlineStr">
        <is>
          <t>share option</t>
        </is>
      </c>
      <c r="E59" s="11" t="inlineStr">
        <is>
          <t>PDF p.48 (印刷頁 46)</t>
        </is>
      </c>
      <c r="F59" s="11" t="inlineStr">
        <is>
          <t>orate goals and 權。 objectives; and (d) considering and approving the grant of share options to eligible participants pursuant to the Share Option Scheme. During the Year, the Remuneration Committee met once and the 於本年度內，薪酬委員會曾舉行一次會議， attendance of each individual Director is set out on page 48 of 而各個別董事的出席記錄載於本年報第48 this Annual Report. The Remuneration Committee reviewed and 頁。薪酬委員會檢討及批准董事及高級管 approved the remuneration packages of the Directors and senior 理人員的薪酬待遇。 management. The remuneration of the executive Directors and me</t>
        </is>
      </c>
    </row>
    <row r="60">
      <c r="A60" s="8" t="inlineStr">
        <is>
          <t>Share-based Payment</t>
        </is>
      </c>
      <c r="B60" s="8" t="inlineStr">
        <is>
          <t>以股份為基礎的付款</t>
        </is>
      </c>
      <c r="C60" s="8" t="inlineStr">
        <is>
          <t>medium</t>
        </is>
      </c>
      <c r="D60" s="11" t="inlineStr">
        <is>
          <t>share option</t>
        </is>
      </c>
      <c r="E60" s="11" t="inlineStr">
        <is>
          <t>PDF p.67 (印刷頁 65)</t>
        </is>
      </c>
      <c r="F60" s="11" t="inlineStr">
        <is>
          <t>ers have complied with the provisions of the Deed of Non-competition during the Year. EQUITY-LINKED AGREEMENTS 股票掛鈎協議 Other than the share option scheme of the Company as disclosed 除下文所披露之本公司購股權計劃外，本 below, no equity-linked agreements were entered into by the 公司於本年度或本年度終結日並無訂立或 Company during the Year or subsisted at the end of the Year. 仍然存續任何股票掛鈎協議。 65 萬勵達國際有限公司 二○二五－二○二六年年報</t>
        </is>
      </c>
    </row>
    <row r="61">
      <c r="A61" s="8" t="inlineStr">
        <is>
          <t>Share-based Payment</t>
        </is>
      </c>
      <c r="B61" s="8" t="inlineStr">
        <is>
          <t>以股份為基礎的付款</t>
        </is>
      </c>
      <c r="C61" s="8" t="inlineStr">
        <is>
          <t>medium</t>
        </is>
      </c>
      <c r="D61" s="11" t="inlineStr">
        <is>
          <t>share option</t>
        </is>
      </c>
      <c r="E61" s="11" t="inlineStr">
        <is>
          <t>PDF p.72 (印刷頁 70)</t>
        </is>
      </c>
      <c r="F61" s="11" t="inlineStr">
        <is>
          <t>or underlying 例第336條記錄之本公司股份或相關股份 shares of the Company that was required to be recorded pursuant 之權益或淡倉。 to Section 336 of the SFO. SHARE OPTION SCHEME 購股權計劃 The Company adopted a Share Option Scheme on 14 August 本公司於二零一八年八月十四日採納購股 2018. The purpose of the Share Option Scheme is to recognise 權計劃。購股權計劃之目的乃肯定為本集 the contribution of, and to provide an incentive to, key staff of 團已作出貢獻或將作出貢獻的本集團主要 the Group who have contributed or will contribute to the Group 員工之貢獻，以及向彼等提供獎勵，以激 in order to motivate and retain them for the operatio</t>
        </is>
      </c>
    </row>
    <row r="62">
      <c r="A62" s="8" t="inlineStr">
        <is>
          <t>Share-based Payment</t>
        </is>
      </c>
      <c r="B62" s="8" t="inlineStr">
        <is>
          <t>以股份為基礎的付款</t>
        </is>
      </c>
      <c r="C62" s="8" t="inlineStr">
        <is>
          <t>medium</t>
        </is>
      </c>
      <c r="D62" s="11" t="inlineStr">
        <is>
          <t>share option</t>
        </is>
      </c>
      <c r="E62" s="11" t="inlineStr">
        <is>
          <t>PDF p.73 (印刷頁 71)</t>
        </is>
      </c>
      <c r="F62" s="11" t="inlineStr">
        <is>
          <t>日止年度 ended 31 March 2026 (i.e. 161,390,572) was 5.2%. 之已發行股份加權平均數（即161,390,572 股）為5.2%。 Up to the date of this Directors’ Report, no share option has been 截至本董事會報告日期，概無購股權根據 granted, exercised, lapsed or cancelled under the Share Option 購股權計劃獲授出、行使、失效或註銷， Scheme and there were no outstanding share options under the 且於二零二六年三月三十一日及於本董事 Share Option Scheme at 31 March 2026 and at the date of this 會報告日期，購股權計劃項下概無尚未行 Directors’ Report. 使的購股權。 PURCHASE, SALE OR REDEMPTION OF 購買、出售或贖回本公司上 THE COMPANY’S LISTED SECURITIES 市證券或庫存股份 OR TR</t>
        </is>
      </c>
    </row>
    <row r="63">
      <c r="A63" s="8" t="inlineStr">
        <is>
          <t>Share-based Payment</t>
        </is>
      </c>
      <c r="B63" s="8" t="inlineStr">
        <is>
          <t>以股份為基礎的付款</t>
        </is>
      </c>
      <c r="C63" s="8" t="inlineStr">
        <is>
          <t>medium</t>
        </is>
      </c>
      <c r="D63" s="11" t="inlineStr">
        <is>
          <t>risk-free rate</t>
        </is>
      </c>
      <c r="E63" s="11" t="inlineStr">
        <is>
          <t>PDF p.106 (印刷頁 104)</t>
        </is>
      </c>
      <c r="F63" s="11" t="inlineStr">
        <is>
          <t>term, 賃期、貨幣及租賃開始日期，並 currency and start date of the lease and is determined 根據一系列輸入數據釐定，包 based on a series of inputs including: the risk-free rate 括：基於政府債券利率的無風 based on government bond rates; a country-specific 險利率；國家特定風險調整；基 risk adjustment; a credit risk adjustment based on 於債券收益率的信貸風險調整； bond yields; and an entity-specific adjustment whether 及針對特定實體的調整，訂立 the risk profile of the entity that enters into the lease 租賃的實體之風險狀況是否與 is different to that of the Group and whether the lease 本集團不同，以及該租賃是否 benefit from a guarantee fro</t>
        </is>
      </c>
    </row>
    <row r="64">
      <c r="A64" s="8" t="inlineStr">
        <is>
          <t>Share-based Payment</t>
        </is>
      </c>
      <c r="B64" s="8" t="inlineStr">
        <is>
          <t>以股份為基礎的付款</t>
        </is>
      </c>
      <c r="C64" s="8" t="inlineStr">
        <is>
          <t>medium</t>
        </is>
      </c>
      <c r="D64" s="11" t="inlineStr">
        <is>
          <t>share option</t>
        </is>
      </c>
      <c r="E64" s="11" t="inlineStr">
        <is>
          <t>PDF p.177 (印刷頁 175)</t>
        </is>
      </c>
      <c r="F64" s="11" t="inlineStr">
        <is>
          <t>務報表附註（續） For the year ended 31 March 2026 截至二零二六年三月三十一日止年度 25. EQUITY SETTLED SHARE.BASED 25. 股權結算以股份為基礎的 PAYMENTS TRANSACTIONS 付款交易 Share option scheme 購股權計劃 The Company’s share option scheme (the “Scheme”) was 本公司的購股權計劃（「該計劃」）乃按 adopted pursuant to a resolution passed on 14 August 2018 於二零一八年八月十四日通過的決議 for the primary purpose of providing incentives to directors 案獲採納，該計劃的主要目的為向董 and eligible employees, and will expire on 13 August 2028. 事及合資格的僱員提供獎勵，而該計 Under the Scheme, the Board of Directors of the Company 劃將於二零二八年八月十三日屆滿。</t>
        </is>
      </c>
    </row>
    <row r="65">
      <c r="A65" s="8" t="inlineStr">
        <is>
          <t>Share-based Payment</t>
        </is>
      </c>
      <c r="B65" s="8" t="inlineStr">
        <is>
          <t>以股份為基礎的付款</t>
        </is>
      </c>
      <c r="C65" s="8" t="inlineStr">
        <is>
          <t>medium</t>
        </is>
      </c>
      <c r="D65" s="11" t="inlineStr">
        <is>
          <t>share option</t>
        </is>
      </c>
      <c r="E65" s="11" t="inlineStr">
        <is>
          <t>PDF p.206 (印刷頁 204)</t>
        </is>
      </c>
      <c r="F65" s="11" t="inlineStr">
        <is>
          <t>Hong Kong) 證券及期貨條例 證券及期貨條例（香港法例第571章） Share Offer the Public Offer and the Placing as defined in the Prospectus 股份發售 招股章程所界定的公開發售及配售 Share Option Scheme share option scheme adopted by the Company on 14 August 2018 購股權計劃 本公司於二零一八年八月十四日採納之購股權計劃 Stock Exchange the Stock Exchange of Hong Kong Limited 聯交所 香港聯合交易所有限公司 Year financial year ended 31 March 2026 本年度 截至二零二六年三月三十一日止財政年度 HK$ or HKD Hong Kong dollar 港元 港元 US$ or USD United States dollar 美元 美元 % per cent % 百分比 204 Wan Leader International Limited Annual Report 2025 – 2026</t>
        </is>
      </c>
    </row>
    <row r="66">
      <c r="A66" s="8" t="inlineStr">
        <is>
          <t>Related Party Transactions</t>
        </is>
      </c>
      <c r="B66" s="8" t="inlineStr">
        <is>
          <t>關聯方交易</t>
        </is>
      </c>
      <c r="C66" s="8" t="inlineStr">
        <is>
          <t>low</t>
        </is>
      </c>
      <c r="D66" s="11" t="inlineStr">
        <is>
          <t>related party</t>
        </is>
      </c>
      <c r="E66" s="11" t="inlineStr">
        <is>
          <t>PDF p.73 (印刷頁 71)</t>
        </is>
      </c>
      <c r="F66" s="11" t="inlineStr">
        <is>
          <t>during 購買、出售或贖回本公司任何上市證券（包 the Year (including sale of treasury shares (as defined in the GEM 括出售庫存股份（定義見GEM上市規則））。 Listing Rules)). RELATED PARTY TRANSACTIONS 關聯方交易 Details of the related party transactions undertaken by the Group 本集團於日常業務過程中進行的關聯方交 in its normal course of business are set out in note 27 to the 易詳情載於本年報綜合財務報表附註27。 consolidated financial statements in this annual report. For the 就根據GEM上市規則構成關連交易或持續 related party transaction which constituted connected transactions 關連交易的關聯方交易而言，其載於本報 or continuing connected tran</t>
        </is>
      </c>
    </row>
    <row r="67">
      <c r="A67" s="8" t="inlineStr">
        <is>
          <t>Related Party Transactions</t>
        </is>
      </c>
      <c r="B67" s="8" t="inlineStr">
        <is>
          <t>關聯方交易</t>
        </is>
      </c>
      <c r="C67" s="8" t="inlineStr">
        <is>
          <t>low</t>
        </is>
      </c>
      <c r="D67" s="11" t="inlineStr">
        <is>
          <t>related party</t>
        </is>
      </c>
      <c r="E67" s="11" t="inlineStr">
        <is>
          <t>PDF p.74 (印刷頁 72)</t>
        </is>
      </c>
      <c r="F67" s="11" t="inlineStr">
        <is>
          <t>Directors’ Report (Continued) 董事會報告（續） CONNECTED TRANSACTION AND 關連交易及持續關連交易 CONTINUED CONNECTED TRANSACTION The related party transactions disclosed in note 27 to the 在綜合財務報表附註27披露的關聯方交 consolidated financial statements are either exempted or 易為豁免或非豁免持續關連交易或已遵守 non-exempted continuing connected transactions or connected GEM上市規則第20章的披露規定的關連交 transactions which have complied with the disclosure requirements 易，或並非GEM上市規則第20章所界定的 in accordance with Chapter 20 of the GEM Listing Rules, or not 關連交易。 connected tra</t>
        </is>
      </c>
    </row>
    <row r="68">
      <c r="A68" s="8" t="inlineStr">
        <is>
          <t>Related Party Transactions</t>
        </is>
      </c>
      <c r="B68" s="8" t="inlineStr">
        <is>
          <t>關聯方交易</t>
        </is>
      </c>
      <c r="C68" s="8" t="inlineStr">
        <is>
          <t>low</t>
        </is>
      </c>
      <c r="D68" s="11" t="inlineStr">
        <is>
          <t>關聯方</t>
        </is>
      </c>
      <c r="E68" s="11" t="inlineStr">
        <is>
          <t>PDF p.137 (印刷頁 135)</t>
        </is>
      </c>
      <c r="F68" s="11" t="inlineStr">
        <is>
          <t>ng segments, has 源及評估其表現）已確定為作出 been identified as the executive directors that make 策略決定之執行董事。 strategic decisions. Related parties 關聯方 For the purposes of the consolidated financial 就綜合財務報表而言，倘一方 statements, a party is considered to be related to the 被視為與本集團有關聯： Group if: (a) the party is a person or a close member of that (a) 該方為一名人士或該名人 person’s family and if that person: 士的近親家族成員，而該 人士： (i) has control or joint control of the Group; (i) 對本集團有控制權或 共同控制權； (ii) has significant influence over the Group; or (ii) 對本集團有重大影 響；或 (i</t>
        </is>
      </c>
    </row>
    <row r="69">
      <c r="A69" s="8" t="inlineStr">
        <is>
          <t>Related Party Transactions</t>
        </is>
      </c>
      <c r="B69" s="8" t="inlineStr">
        <is>
          <t>關聯方交易</t>
        </is>
      </c>
      <c r="C69" s="8" t="inlineStr">
        <is>
          <t>low</t>
        </is>
      </c>
      <c r="D69" s="11" t="inlineStr">
        <is>
          <t>關聯方</t>
        </is>
      </c>
      <c r="E69" s="11" t="inlineStr">
        <is>
          <t>PDF p.138 (印刷頁 136)</t>
        </is>
      </c>
      <c r="F69" s="11" t="inlineStr">
        <is>
          <t>CCOUNTING INFORMATION (Continued) 3.2 Material accounting policy information 3.2 重大會計政策資料（續） (Continued) Related parties (Continued) 關聯方（續） (b) the party is an entity and if any of the following (b) 該方為一間實體且符合以 conditions applies: (Continued) 下任何條件：（續） (iii) the entity and the Group are joint ventures (iii) 該實體與本集團均為 of the same third party. 同一第三方的合營企 業。 (iv) one entity is a joint venture of a third entity (iv) 一間實體為第三方實 and the other entity is an associate of the 體之合營企業，而另 third entity. 一實體為該第三方實 體之聯營公司。 (v) the entity is a po</t>
        </is>
      </c>
    </row>
    <row r="70">
      <c r="A70" s="8" t="inlineStr">
        <is>
          <t>Related Party Transactions</t>
        </is>
      </c>
      <c r="B70" s="8" t="inlineStr">
        <is>
          <t>關聯方交易</t>
        </is>
      </c>
      <c r="C70" s="8" t="inlineStr">
        <is>
          <t>low</t>
        </is>
      </c>
      <c r="D70" s="11" t="inlineStr">
        <is>
          <t>關聯方</t>
        </is>
      </c>
      <c r="E70" s="11" t="inlineStr">
        <is>
          <t>PDF p.139 (印刷頁 137)</t>
        </is>
      </c>
      <c r="F70" s="11" t="inlineStr">
        <is>
          <t>CCOUNTING INFORMATION (Continued) 3.2 Material accounting policy information 3.2 重大會計政策資料（續） (Continued) Related parties (Continued) 關聯方（續） Close members of the family of a person are those 該人士之近親家族成員指預計 family members who may be expected to influence, or 可影響該人士處理該實體事務 be influenced by, that person in their dealings with the 之家族成員或預計在該人士處 entity and include: 理該實體事務時受影響之家族 成員，包括： (i) that person’s children and spouse or domestic (i) 該人士之子女及配偶或家 partner; 庭伴侶； (ii) children of that person’s spouse or domestic (ii) 該人士之配偶或家庭伴侶 part</t>
        </is>
      </c>
    </row>
    <row r="71">
      <c r="A71" s="8" t="inlineStr">
        <is>
          <t>Related Party Transactions</t>
        </is>
      </c>
      <c r="B71" s="8" t="inlineStr">
        <is>
          <t>關聯方交易</t>
        </is>
      </c>
      <c r="C71" s="8" t="inlineStr">
        <is>
          <t>low</t>
        </is>
      </c>
      <c r="D71" s="11" t="inlineStr">
        <is>
          <t>related party</t>
        </is>
      </c>
      <c r="E71" s="11" t="inlineStr">
        <is>
          <t>PDF p.179 (印刷頁 177)</t>
        </is>
      </c>
      <c r="F71" s="11" t="inlineStr">
        <is>
          <t>Notes to the Consolidated Financial Statements (Continued) 綜合財務報表附註（續） For the year ended 31 March 2026 截至二零二六年三月三十一日止年度 27. RELATED PARTY TRANSACTIONS 27. 關聯方交易 Saved as disclosed elsewhere in the consolidated financial 除於綜合財務報表其他部分所披露者 statements, the Group entered into the following transactions 外，本集團與關聯方訂立下列交易： with related parties: (i) Compensation of key management (i) 主要管理人員的酬金 personnel The remuneration of the directors of the Company and 本公司董事及其他主要管理人 other members of key management during the year 員於年內的報酬如下： w</t>
        </is>
      </c>
    </row>
    <row r="72">
      <c r="A72" s="8" t="inlineStr">
        <is>
          <t>Related Party Transactions</t>
        </is>
      </c>
      <c r="B72" s="8" t="inlineStr">
        <is>
          <t>關聯方交易</t>
        </is>
      </c>
      <c r="C72" s="8" t="inlineStr">
        <is>
          <t>low</t>
        </is>
      </c>
      <c r="D72" s="11" t="inlineStr">
        <is>
          <t>related party</t>
        </is>
      </c>
      <c r="E72" s="11" t="inlineStr">
        <is>
          <t>PDF p.180 (印刷頁 178)</t>
        </is>
      </c>
      <c r="F72" s="11" t="inlineStr">
        <is>
          <t>Notes to the Consolidated Financial Statements (Continued) 綜合財務報表附註（續） For the year ended 31 March 2026 截至二零二六年三月三十一日止年度 27. RELATED PARTY TRANSACTIONS 27. 關聯方交易（續） (Continued) (iii) Related party transactions (iii) 關聯方交易（續） Saved as disclosed elsewhere in the consolidated 除於綜合財務報表之其他部分 financial statements, the Group entered into the 所披露者外，本集團與關聯方 following transactions with related party: 訂立下列交易： Name of the related party Relationship Nature of transactions 2026 2025 關聯方名稱 關係 交易性質 二零二六年 二零二五年 HK$’000 HK$’000 千港元 千港元 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9" topLeftCell="A30"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Inventories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Total Liabilities</t>
        </is>
      </c>
    </row>
    <row r="19">
      <c r="A19" s="8" t="inlineStr">
        <is>
          <t>Balance Sheet</t>
        </is>
      </c>
      <c r="B19" s="8" t="inlineStr">
        <is>
          <t>Borrowings</t>
        </is>
      </c>
    </row>
    <row r="20">
      <c r="A20" s="8" t="inlineStr">
        <is>
          <t>Balance Sheet</t>
        </is>
      </c>
      <c r="B20" s="8" t="inlineStr">
        <is>
          <t>Total Equity</t>
        </is>
      </c>
    </row>
    <row r="21">
      <c r="A21" s="8" t="inlineStr">
        <is>
          <t>Cash Flow</t>
        </is>
      </c>
      <c r="B21" s="8" t="inlineStr">
        <is>
          <t>Operating Cash Flow</t>
        </is>
      </c>
    </row>
    <row r="22">
      <c r="A22" s="8" t="inlineStr">
        <is>
          <t>Cash Flow</t>
        </is>
      </c>
      <c r="B22" s="8" t="inlineStr">
        <is>
          <t>Investing Cash Flow</t>
        </is>
      </c>
    </row>
    <row r="23">
      <c r="A23" s="8" t="inlineStr">
        <is>
          <t>Cash Flow</t>
        </is>
      </c>
      <c r="B23" s="8" t="inlineStr">
        <is>
          <t>Financing Cash Flow</t>
        </is>
      </c>
    </row>
    <row r="26">
      <c r="A26" s="5" t="inlineStr">
        <is>
          <t>二、文字量過低的頁面(疑似掃描頁)</t>
        </is>
      </c>
    </row>
    <row r="27">
      <c r="A27" s="2" t="inlineStr">
        <is>
          <t>這些頁面幾乎抓不到文字,通常是掃描件或純圖表,建議人手翻閱或另行 OCR。</t>
        </is>
      </c>
    </row>
    <row r="29">
      <c r="A29" s="7" t="inlineStr">
        <is>
          <t>PDF 頁碼</t>
        </is>
      </c>
      <c r="B29" s="7" t="inlineStr">
        <is>
          <t>狀態</t>
        </is>
      </c>
    </row>
    <row r="30">
      <c r="A30" s="8" t="n">
        <v>207</v>
      </c>
      <c r="B30"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2026-08-30T14:15:42Z</dcterms:created>
  <dcterms:modified xsi:type="dcterms:W3CDTF">2026-08-30T14:15:42Z</dcterms:modified>
</cp:coreProperties>
</file>
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01660_SEVEN_ELEMENTS_20260731.pdf</t>
        </is>
      </c>
    </row>
    <row r="5">
      <c r="A5" s="3" t="inlineStr">
        <is>
          <t>產生時間 Generated</t>
        </is>
      </c>
      <c r="B5" s="4" t="inlineStr">
        <is>
          <t>2026-08-30 22:16</t>
        </is>
      </c>
    </row>
    <row r="6">
      <c r="A6" s="4" t="inlineStr"/>
      <c r="B6" s="4" t="inlineStr"/>
    </row>
    <row r="7">
      <c r="A7" s="3" t="inlineStr">
        <is>
          <t>總頁數 Total pages</t>
        </is>
      </c>
      <c r="B7" s="4" t="n">
        <v>210</v>
      </c>
    </row>
    <row r="8">
      <c r="A8" s="3" t="inlineStr">
        <is>
          <t>已擷取字元 Characters extracted</t>
        </is>
      </c>
      <c r="B8" s="4" t="n">
        <v>399220</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9</v>
      </c>
    </row>
    <row r="13">
      <c r="A13" s="3" t="inlineStr">
        <is>
          <t>財務科目擷取筆數 Financial line items</t>
        </is>
      </c>
      <c r="B13" s="4" t="n">
        <v>19</v>
      </c>
    </row>
    <row r="14">
      <c r="A14" s="3" t="inlineStr">
        <is>
          <t>主題段落擷取筆數 Topic extracts</t>
        </is>
      </c>
      <c r="B14" s="4" t="n">
        <v>93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220,084 − 100,027 = 120,057</t>
        </is>
      </c>
    </row>
    <row r="20">
      <c r="A20" s="6" t="inlineStr">
        <is>
          <t>✓ 收入 − 銷售成本 = 毛利</t>
        </is>
      </c>
      <c r="B20" s="4" t="inlineStr">
        <is>
          <t>171,716 − 136,954 = 34,762 vs 毛利 34,762</t>
        </is>
      </c>
    </row>
    <row r="21">
      <c r="A21" s="6" t="inlineStr">
        <is>
          <t>✓ 除稅前溢利 ± 稅項 = 年內溢利</t>
        </is>
      </c>
      <c r="B21" s="4" t="inlineStr">
        <is>
          <t>-6,681 + 3,412 = -10,093 vs -10,093</t>
        </is>
      </c>
    </row>
    <row r="22">
      <c r="A22" s="6" t="inlineStr">
        <is>
          <t>✓ 三大報表應相鄰</t>
        </is>
      </c>
      <c r="B22" s="4" t="inlineStr">
        <is>
          <t>Income Statement: p.79、Balance Sheet: p.81、Cash Flow: p.85(相距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7.68</v>
      </c>
      <c r="D5" s="10" t="n">
        <v>11.33</v>
      </c>
      <c r="E5" s="11" t="inlineStr">
        <is>
          <t>7.68% to 11.33%</t>
        </is>
      </c>
      <c r="F5" s="11" t="inlineStr">
        <is>
          <t>Medium</t>
        </is>
      </c>
      <c r="G5" s="11" t="inlineStr">
        <is>
          <t>PDF p.20 (印刷頁 19)</t>
        </is>
      </c>
      <c r="H5" s="11" t="inlineStr">
        <is>
          <t>oximately HK$5.1 可收回金額約為5.1百萬港元，現金 million as at 31 March 2026, and the pre-tax discount rates 流量預測所採用之除稅前貼現率介乎 applied in the cash flow projections ranged from 7.68% to 11.33% 7.68%至11.33%（二零二五年：9.39% (2025: 9.39% to 9.50%). 至9.50%）之間。 (ii) ECL on fina</t>
        </is>
      </c>
    </row>
    <row r="6">
      <c r="A6" s="8" t="inlineStr">
        <is>
          <t>Discount Rate</t>
        </is>
      </c>
      <c r="B6" s="8" t="inlineStr">
        <is>
          <t>折現率</t>
        </is>
      </c>
      <c r="C6" s="9" t="n">
        <v>9.390000000000001</v>
      </c>
      <c r="D6" s="10" t="n">
        <v>9.5</v>
      </c>
      <c r="E6" s="11" t="inlineStr">
        <is>
          <t>9.39% to 9.50%</t>
        </is>
      </c>
      <c r="F6" s="11" t="inlineStr">
        <is>
          <t>High</t>
        </is>
      </c>
      <c r="G6" s="11" t="inlineStr">
        <is>
          <t>PDF p.162 (印刷頁 161)</t>
        </is>
      </c>
      <c r="H6" s="11" t="inlineStr">
        <is>
          <t>貼現現金流量法的主要假設 for the cash flow projection was ranging from 7.68% to 11.33% 為期內有關貼現率、增長率及收益的 (2025: 9.39% to 9.50%). 假設。現金流量預測所採用的除稅前 貼現率介乎7.68%至11.33%（二零二五 年：9.39%至9.50%）。 20. 使用權資產 20. RIGHT-OF-USE ASSETS Leased properties 租賃物業 HK$'000 千港元 At</t>
        </is>
      </c>
    </row>
    <row r="7">
      <c r="A7" s="8" t="inlineStr">
        <is>
          <t>Discount Rate</t>
        </is>
      </c>
      <c r="B7" s="8" t="inlineStr">
        <is>
          <t>折現率</t>
        </is>
      </c>
      <c r="C7" s="9" t="n">
        <v>7.68</v>
      </c>
      <c r="D7" s="10" t="n">
        <v>11.33</v>
      </c>
      <c r="E7" s="11" t="inlineStr">
        <is>
          <t>7.68%至11.33%</t>
        </is>
      </c>
      <c r="F7" s="11" t="inlineStr">
        <is>
          <t>High</t>
        </is>
      </c>
      <c r="G7" s="11" t="inlineStr">
        <is>
          <t>PDF p.162 (印刷頁 161)</t>
        </is>
      </c>
      <c r="H7" s="11" t="inlineStr">
        <is>
          <t xml:space="preserve"> from 7.68% to 11.33% 為期內有關貼現率、增長率及收益的 (2025: 9.39% to 9.50%). 假設。現金流量預測所採用的除稅前 貼現率介乎7.68%至11.33%（二零二五 年：9.39%至9.50%）。 20. 使用權資產 20. RIGHT-OF-USE ASSETS Leased properties 租賃物業 HK$'000 千港元 At 1 April 2024 於二零二四年四月一日 22,044 Addition or modificat</t>
        </is>
      </c>
    </row>
    <row r="8">
      <c r="A8" s="8" t="inlineStr">
        <is>
          <t>Discount Rate</t>
        </is>
      </c>
      <c r="B8" s="8" t="inlineStr">
        <is>
          <t>折現率</t>
        </is>
      </c>
      <c r="C8" s="9" t="n">
        <v>12</v>
      </c>
      <c r="D8" s="10" t="n">
        <v>12</v>
      </c>
      <c r="E8" s="11" t="inlineStr">
        <is>
          <t>12%</t>
        </is>
      </c>
      <c r="F8" s="11" t="inlineStr">
        <is>
          <t>High</t>
        </is>
      </c>
      <c r="G8" s="11" t="inlineStr">
        <is>
          <t>PDF p.185 (印刷頁 184)</t>
        </is>
      </c>
      <c r="H8" s="11" t="inlineStr">
        <is>
          <t>0.5年 1.5年 Discount rate that corresponds to the expected 與預期風險水平相對應的 risk level 貼現率 12% 15% As at 31 March 2026, the decrease in the discount rate that 於二零二六年三月三十一日，單獨使 correspond to the expected recovery of the assignor used in 用的與出讓方的預期收回性相對</t>
        </is>
      </c>
    </row>
    <row r="9">
      <c r="A9" s="8" t="inlineStr">
        <is>
          <t>Discount Rate</t>
        </is>
      </c>
      <c r="B9" s="8" t="inlineStr">
        <is>
          <t>折現率</t>
        </is>
      </c>
      <c r="C9" s="9" t="n">
        <v>15</v>
      </c>
      <c r="D9" s="10" t="n">
        <v>15</v>
      </c>
      <c r="E9" s="11" t="inlineStr">
        <is>
          <t>15%</t>
        </is>
      </c>
      <c r="F9" s="11" t="inlineStr">
        <is>
          <t>Medium</t>
        </is>
      </c>
      <c r="G9" s="11" t="inlineStr">
        <is>
          <t>PDF p.185 (印刷頁 184)</t>
        </is>
      </c>
      <c r="H9" s="11" t="inlineStr">
        <is>
          <t>ted 與預期風險水平相對應的 risk level 貼現率 12% 15% As at 31 March 2026, the decrease in the discount rate that 於二零二六年三月三十一日，單獨使 correspond to the expected recovery of the assignor used in 用的與出讓方的預期收回性相對應的 isolation would result in an increase in the fair value meas</t>
        </is>
      </c>
    </row>
    <row r="10">
      <c r="A10" s="8" t="inlineStr">
        <is>
          <t>Discount Rate</t>
        </is>
      </c>
      <c r="B10" s="8" t="inlineStr">
        <is>
          <t>折現率</t>
        </is>
      </c>
      <c r="C10" s="9" t="n">
        <v>13</v>
      </c>
      <c r="D10" s="10" t="n">
        <v>13</v>
      </c>
      <c r="E10" s="11" t="inlineStr">
        <is>
          <t>13%</t>
        </is>
      </c>
      <c r="F10" s="12" t="inlineStr">
        <is>
          <t>Low</t>
        </is>
      </c>
      <c r="G10" s="11" t="inlineStr">
        <is>
          <t>PDF p.185 (印刷頁 184)</t>
        </is>
      </c>
      <c r="H10" s="11" t="inlineStr">
        <is>
          <t>itivity analysis. A 13% (2025: 零二五年：13%至17%），以進行敏 13%) increase/decrease in the discount rates that correspond to 感度分析。預期風險水平相對應的貼 the expected risk level holding all other variables constant would 現比率上升╱下降13%（二零二五年： (decrease)/increase the carrying amo</t>
        </is>
      </c>
    </row>
    <row r="11">
      <c r="A11" s="8" t="inlineStr">
        <is>
          <t>Gross Margin</t>
        </is>
      </c>
      <c r="B11" s="8" t="inlineStr">
        <is>
          <t>毛利率</t>
        </is>
      </c>
      <c r="C11" s="9" t="n">
        <v>10.6</v>
      </c>
      <c r="D11" s="10" t="n">
        <v>20.2</v>
      </c>
      <c r="E11" s="11" t="inlineStr">
        <is>
          <t>10.6% to 20.2%</t>
        </is>
      </c>
      <c r="F11" s="11" t="inlineStr">
        <is>
          <t>High</t>
        </is>
      </c>
      <c r="G11" s="11" t="inlineStr">
        <is>
          <t>PDF p.6 (印刷頁 5)</t>
        </is>
      </c>
      <c r="H11" s="11" t="inlineStr">
        <is>
          <t>n), representing an increase of approximately 65.4%, with 20.2%，彰顯成本優化及業務重組之成效。 gross profit margin improving from 10.6% to 20.2%, demonstrating the effectiveness of our cost optimisation and business restructuring efforts. 七元投資控股有限公司 • 二零二六年年報 5</t>
        </is>
      </c>
    </row>
    <row r="12">
      <c r="A12" s="8" t="inlineStr">
        <is>
          <t>Gross Margin</t>
        </is>
      </c>
      <c r="B12" s="8" t="inlineStr">
        <is>
          <t>毛利率</t>
        </is>
      </c>
      <c r="C12" s="9" t="n">
        <v>10.6</v>
      </c>
      <c r="D12" s="10" t="n">
        <v>10.6</v>
      </c>
      <c r="E12" s="11" t="inlineStr">
        <is>
          <t>10.6%</t>
        </is>
      </c>
      <c r="F12" s="11" t="inlineStr">
        <is>
          <t>High</t>
        </is>
      </c>
      <c r="G12" s="11" t="inlineStr">
        <is>
          <t>PDF p.13 (印刷頁 12)</t>
        </is>
      </c>
      <c r="H12" s="11" t="inlineStr">
        <is>
          <t>ar to approximately HK$34.8 million for the Year, and our 約34.8百萬港元，而毛利率由上一年度的約 gross profit margin improved from approximately 10.6% for the previous 10.6%提升至本年度的約20.2%，乃因優化 year to approximately 20.2% for the Year, as a result of improved 業務結構及高效成本管理所致。 bus</t>
        </is>
      </c>
    </row>
    <row r="13">
      <c r="A13" s="8" t="inlineStr">
        <is>
          <t>Gross Margin</t>
        </is>
      </c>
      <c r="B13" s="8" t="inlineStr">
        <is>
          <t>毛利率</t>
        </is>
      </c>
      <c r="C13" s="9" t="n">
        <v>65.40000000000001</v>
      </c>
      <c r="D13" s="10" t="n">
        <v>65.40000000000001</v>
      </c>
      <c r="E13" s="11" t="inlineStr">
        <is>
          <t>65.4%</t>
        </is>
      </c>
      <c r="F13" s="12" t="inlineStr">
        <is>
          <t>Low</t>
        </is>
      </c>
      <c r="G13" s="11" t="inlineStr">
        <is>
          <t>PDF p.13 (印刷頁 12)</t>
        </is>
      </c>
      <c r="H13" s="11" t="inlineStr">
        <is>
          <t>Management Discussion and Analysis 管理層討論及分析 Gross Profit and Gross Profit Margin 毛利及毛利率 Our Group’s gross profit increased by approximately HK$13.7 million, 本集團的毛利由上一年度的約21.0百萬港元 or approximately 65.4%, from approximately HK$21.0 million fo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171716</v>
      </c>
      <c r="D5" s="14" t="n">
        <v>197899</v>
      </c>
      <c r="E5" s="15">
        <f>IF(ISERROR((C5-D5)/ABS(D5)),"",(C5-D5)/ABS(D5))</f>
        <v>-0.1323048625814178</v>
      </c>
      <c r="F5" s="11" t="inlineStr">
        <is>
          <t>PDF p.79 (印刷頁 78)</t>
        </is>
      </c>
      <c r="G5" s="11" t="inlineStr">
        <is>
          <t>Revenue 收益 8 171,716 197,899</t>
        </is>
      </c>
    </row>
    <row r="6">
      <c r="A6" s="8" t="inlineStr">
        <is>
          <t>Income Statement</t>
        </is>
      </c>
      <c r="B6" s="8" t="inlineStr">
        <is>
          <t>Cost of Sales</t>
        </is>
      </c>
      <c r="C6" s="13" t="n">
        <v>-136954</v>
      </c>
      <c r="D6" s="14" t="n">
        <v>-176879</v>
      </c>
      <c r="E6" s="15">
        <f>IF(ISERROR((C6-D6)/ABS(D6)),"",(C6-D6)/ABS(D6))</f>
        <v>0.22571927701988365</v>
      </c>
      <c r="F6" s="11" t="inlineStr">
        <is>
          <t>PDF p.79 (印刷頁 78)</t>
        </is>
      </c>
      <c r="G6" s="11" t="inlineStr">
        <is>
          <t>Cost of sales and services 銷售及服務成本 (136,954) (176,879)</t>
        </is>
      </c>
    </row>
    <row r="7">
      <c r="A7" s="8" t="inlineStr">
        <is>
          <t>Income Statement</t>
        </is>
      </c>
      <c r="B7" s="8" t="inlineStr">
        <is>
          <t>Gross Profit</t>
        </is>
      </c>
      <c r="C7" s="13" t="n">
        <v>34762</v>
      </c>
      <c r="D7" s="14" t="n">
        <v>21020</v>
      </c>
      <c r="E7" s="15">
        <f>IF(ISERROR((C7-D7)/ABS(D7)),"",(C7-D7)/ABS(D7))</f>
        <v>0.6537583254043768</v>
      </c>
      <c r="F7" s="11" t="inlineStr">
        <is>
          <t>PDF p.79 (印刷頁 78)</t>
        </is>
      </c>
      <c r="G7" s="11" t="inlineStr">
        <is>
          <t>Gross profit 毛利 34,762 21,020</t>
        </is>
      </c>
    </row>
    <row r="8">
      <c r="A8" s="8" t="inlineStr">
        <is>
          <t>Income Statement</t>
        </is>
      </c>
      <c r="B8" s="8" t="inlineStr">
        <is>
          <t>Operating Profit</t>
        </is>
      </c>
      <c r="C8" s="13" t="n">
        <v>-8026</v>
      </c>
      <c r="D8" s="14" t="n">
        <v>-86607</v>
      </c>
      <c r="E8" s="15">
        <f>IF(ISERROR((C8-D8)/ABS(D8)),"",(C8-D8)/ABS(D8))</f>
        <v>0.9073285069336197</v>
      </c>
      <c r="F8" s="11" t="inlineStr">
        <is>
          <t>PDF p.79 (印刷頁 78)</t>
        </is>
      </c>
      <c r="G8" s="11" t="inlineStr">
        <is>
          <t>Loss from operations 經營所得虧損 (8,026) (86,607)</t>
        </is>
      </c>
    </row>
    <row r="9">
      <c r="A9" s="8" t="inlineStr">
        <is>
          <t>Income Statement</t>
        </is>
      </c>
      <c r="B9" s="8" t="inlineStr">
        <is>
          <t>Finance Costs</t>
        </is>
      </c>
      <c r="C9" s="13" t="n">
        <v>-388</v>
      </c>
      <c r="D9" s="14" t="n">
        <v>-1074</v>
      </c>
      <c r="E9" s="15">
        <f>IF(ISERROR((C9-D9)/ABS(D9)),"",(C9-D9)/ABS(D9))</f>
        <v>0.638733705772812</v>
      </c>
      <c r="F9" s="11" t="inlineStr">
        <is>
          <t>PDF p.79 (印刷頁 78)</t>
        </is>
      </c>
      <c r="G9" s="11" t="inlineStr">
        <is>
          <t>Finance costs 財務成本 (388) (1,074)</t>
        </is>
      </c>
    </row>
    <row r="10">
      <c r="A10" s="8" t="inlineStr">
        <is>
          <t>Income Statement</t>
        </is>
      </c>
      <c r="B10" s="8" t="inlineStr">
        <is>
          <t>Profit Before Tax</t>
        </is>
      </c>
      <c r="C10" s="13" t="n">
        <v>-6681</v>
      </c>
      <c r="D10" s="14" t="n">
        <v>-86066</v>
      </c>
      <c r="E10" s="15">
        <f>IF(ISERROR((C10-D10)/ABS(D10)),"",(C10-D10)/ABS(D10))</f>
        <v>0.9223735272930077</v>
      </c>
      <c r="F10" s="11" t="inlineStr">
        <is>
          <t>PDF p.79 (印刷頁 78)</t>
        </is>
      </c>
      <c r="G10" s="11" t="inlineStr">
        <is>
          <t>Loss before income tax 除所得稅前虧損 (6,681) (86,066)</t>
        </is>
      </c>
    </row>
    <row r="11">
      <c r="A11" s="8" t="inlineStr">
        <is>
          <t>Income Statement</t>
        </is>
      </c>
      <c r="B11" s="8" t="inlineStr">
        <is>
          <t>Income Tax</t>
        </is>
      </c>
      <c r="C11" s="13" t="n">
        <v>-3412</v>
      </c>
      <c r="D11" s="14" t="n">
        <v>8261</v>
      </c>
      <c r="E11" s="15">
        <f>IF(ISERROR((C11-D11)/ABS(D11)),"",(C11-D11)/ABS(D11))</f>
        <v>-1.4130250574990921</v>
      </c>
      <c r="F11" s="11" t="inlineStr">
        <is>
          <t>PDF p.79 (印刷頁 78)</t>
        </is>
      </c>
      <c r="G11" s="11" t="inlineStr">
        <is>
          <t>Income tax (expense)/credit 所得稅（支出）╱抵免 12 (3,412) 8,261</t>
        </is>
      </c>
    </row>
    <row r="12">
      <c r="A12" s="8" t="inlineStr">
        <is>
          <t>Income Statement</t>
        </is>
      </c>
      <c r="B12" s="8" t="inlineStr">
        <is>
          <t>Profit for the Year</t>
        </is>
      </c>
      <c r="C12" s="13" t="n">
        <v>-10093</v>
      </c>
      <c r="D12" s="14" t="n">
        <v>-77805</v>
      </c>
      <c r="E12" s="15">
        <f>IF(ISERROR((C12-D12)/ABS(D12)),"",(C12-D12)/ABS(D12))</f>
        <v>0.870278259751944</v>
      </c>
      <c r="F12" s="11" t="inlineStr">
        <is>
          <t>PDF p.79 (印刷頁 78)</t>
        </is>
      </c>
      <c r="G12" s="11" t="inlineStr">
        <is>
          <t>Loss for the year 年內虧損 13 (10,093) (77,805)</t>
        </is>
      </c>
    </row>
    <row r="13">
      <c r="A13" s="8" t="inlineStr">
        <is>
          <t>Balance Sheet</t>
        </is>
      </c>
      <c r="B13" s="8" t="inlineStr">
        <is>
          <t>Property Plant and Equipment</t>
        </is>
      </c>
      <c r="C13" s="13" t="n">
        <v>50844</v>
      </c>
      <c r="D13" s="14" t="n">
        <v>67180</v>
      </c>
      <c r="E13" s="15">
        <f>IF(ISERROR((C13-D13)/ABS(D13)),"",(C13-D13)/ABS(D13))</f>
        <v>-0.24316760940756177</v>
      </c>
      <c r="F13" s="11" t="inlineStr">
        <is>
          <t>PDF p.81 (印刷頁 80)</t>
        </is>
      </c>
      <c r="G13" s="11" t="inlineStr">
        <is>
          <t>Property, plant and equipment 物業、廠房及設備 19 50,844 67,180</t>
        </is>
      </c>
    </row>
    <row r="14">
      <c r="A14" s="8" t="inlineStr">
        <is>
          <t>Balance Sheet</t>
        </is>
      </c>
      <c r="B14" s="8" t="inlineStr">
        <is>
          <t>Goodwill</t>
        </is>
      </c>
      <c r="C14" s="13" t="n">
        <v>150</v>
      </c>
      <c r="D14" s="14" t="n">
        <v>0</v>
      </c>
      <c r="E14" s="15" t="str">
        <f>IF(ISERROR((C14-D14)/ABS(D14)),"",(C14-D14)/ABS(D14))</f>
        <v/>
      </c>
      <c r="F14" s="11" t="inlineStr">
        <is>
          <t>PDF p.81 (印刷頁 80)</t>
        </is>
      </c>
      <c r="G14" s="11" t="inlineStr">
        <is>
          <t>Goodwill 商譽 21 150 –</t>
        </is>
      </c>
    </row>
    <row r="15">
      <c r="A15" s="8" t="inlineStr">
        <is>
          <t>Balance Sheet</t>
        </is>
      </c>
      <c r="B15" s="8" t="inlineStr">
        <is>
          <t>Inventories</t>
        </is>
      </c>
      <c r="C15" s="13" t="n">
        <v>1168</v>
      </c>
      <c r="D15" s="14" t="n">
        <v>1799</v>
      </c>
      <c r="E15" s="15">
        <f>IF(ISERROR((C15-D15)/ABS(D15)),"",(C15-D15)/ABS(D15))</f>
        <v>-0.3507504168982768</v>
      </c>
      <c r="F15" s="11" t="inlineStr">
        <is>
          <t>PDF p.81 (印刷頁 80)</t>
        </is>
      </c>
      <c r="G15" s="11" t="inlineStr">
        <is>
          <t>Inventories 存貨 24 1,168 1,799</t>
        </is>
      </c>
    </row>
    <row r="16">
      <c r="A16" s="8" t="inlineStr">
        <is>
          <t>Balance Sheet</t>
        </is>
      </c>
      <c r="B16" s="8" t="inlineStr">
        <is>
          <t>Trade Receivables</t>
        </is>
      </c>
      <c r="C16" s="13" t="n">
        <v>92742</v>
      </c>
      <c r="D16" s="14" t="n">
        <v>106482</v>
      </c>
      <c r="E16" s="15">
        <f>IF(ISERROR((C16-D16)/ABS(D16)),"",(C16-D16)/ABS(D16))</f>
        <v>-0.1290358933904322</v>
      </c>
      <c r="F16" s="11" t="inlineStr">
        <is>
          <t>PDF p.81 (印刷頁 80)</t>
        </is>
      </c>
      <c r="G16" s="11" t="inlineStr">
        <is>
          <t>Trade receivables 貿易應收款項 25 92,742 106,482</t>
        </is>
      </c>
    </row>
    <row r="17">
      <c r="A17" s="8" t="inlineStr">
        <is>
          <t>Balance Sheet</t>
        </is>
      </c>
      <c r="B17" s="8" t="inlineStr">
        <is>
          <t>Borrowings</t>
        </is>
      </c>
      <c r="C17" s="13" t="n">
        <v>0</v>
      </c>
      <c r="D17" s="14" t="n">
        <v>2677</v>
      </c>
      <c r="E17" s="15">
        <f>IF(ISERROR((C17-D17)/ABS(D17)),"",(C17-D17)/ABS(D17))</f>
        <v>-1.0</v>
      </c>
      <c r="F17" s="11" t="inlineStr">
        <is>
          <t>PDF p.82 (印刷頁 81)</t>
        </is>
      </c>
      <c r="G17" s="11" t="inlineStr">
        <is>
          <t>Borrowings 借款 31 – 2,677</t>
        </is>
      </c>
    </row>
    <row r="18">
      <c r="A18" s="8" t="inlineStr">
        <is>
          <t>Balance Sheet</t>
        </is>
      </c>
      <c r="B18" s="8" t="inlineStr">
        <is>
          <t>Total Equity</t>
        </is>
      </c>
      <c r="C18" s="13" t="n">
        <v>314335</v>
      </c>
      <c r="D18" s="14" t="n">
        <v>317361</v>
      </c>
      <c r="E18" s="15">
        <f>IF(ISERROR((C18-D18)/ABS(D18)),"",(C18-D18)/ABS(D18))</f>
        <v>-0.00953488298814284</v>
      </c>
      <c r="F18" s="11" t="inlineStr">
        <is>
          <t>PDF p.83 (印刷頁 82)</t>
        </is>
      </c>
      <c r="G18" s="11" t="inlineStr">
        <is>
          <t>TOTAL EQUITY 權益總額 314,335 317,361</t>
        </is>
      </c>
    </row>
    <row r="19">
      <c r="A19" s="8" t="inlineStr">
        <is>
          <t>Balance Sheet</t>
        </is>
      </c>
      <c r="B19" s="8" t="inlineStr">
        <is>
          <t>Total Current Assets</t>
        </is>
      </c>
      <c r="C19" s="13" t="n">
        <v>220084</v>
      </c>
      <c r="D19" s="14" t="n">
        <v>247945</v>
      </c>
      <c r="E19" s="15">
        <f>IF(ISERROR((C19-D19)/ABS(D19)),"",(C19-D19)/ABS(D19))</f>
        <v>-0.11236766218314545</v>
      </c>
      <c r="F19" s="11" t="inlineStr">
        <is>
          <t>PDF p.81 (印刷頁 80)</t>
        </is>
      </c>
      <c r="G19" s="11" t="inlineStr">
        <is>
          <t>[current assets 區段小計] 220,084 247,945</t>
        </is>
      </c>
    </row>
    <row r="20">
      <c r="A20" s="8" t="inlineStr">
        <is>
          <t>Balance Sheet</t>
        </is>
      </c>
      <c r="B20" s="8" t="inlineStr">
        <is>
          <t>Total Current Liabilities</t>
        </is>
      </c>
      <c r="C20" s="13" t="n">
        <v>100027</v>
      </c>
      <c r="D20" s="14" t="n">
        <v>93311</v>
      </c>
      <c r="E20" s="15">
        <f>IF(ISERROR((C20-D20)/ABS(D20)),"",(C20-D20)/ABS(D20))</f>
        <v>0.07197436529455263</v>
      </c>
      <c r="F20" s="11" t="inlineStr">
        <is>
          <t>PDF p.82 (印刷頁 81)</t>
        </is>
      </c>
      <c r="G20" s="11" t="inlineStr">
        <is>
          <t>[current liabilities 區段小計] 100,027 93,311</t>
        </is>
      </c>
    </row>
    <row r="21">
      <c r="A21" s="8" t="inlineStr">
        <is>
          <t>Cash Flow</t>
        </is>
      </c>
      <c r="B21" s="8" t="inlineStr">
        <is>
          <t>Operating Cash Flow</t>
        </is>
      </c>
      <c r="C21" s="13" t="n">
        <v>29432</v>
      </c>
      <c r="D21" s="14" t="n">
        <v>45923</v>
      </c>
      <c r="E21" s="15">
        <f>IF(ISERROR((C21-D21)/ABS(D21)),"",(C21-D21)/ABS(D21))</f>
        <v>-0.3591011040219498</v>
      </c>
      <c r="F21" s="11" t="inlineStr">
        <is>
          <t>PDF p.86 (印刷頁 85)</t>
        </is>
      </c>
      <c r="G21" s="11" t="inlineStr">
        <is>
          <t>Net cash from operating activities 經營活動所得現金淨額 29,432 45,923</t>
        </is>
      </c>
    </row>
    <row r="22">
      <c r="A22" s="8" t="inlineStr">
        <is>
          <t>Cash Flow</t>
        </is>
      </c>
      <c r="B22" s="8" t="inlineStr">
        <is>
          <t>Investing Cash Flow</t>
        </is>
      </c>
      <c r="C22" s="13" t="n">
        <v>-16946</v>
      </c>
      <c r="D22" s="14" t="n">
        <v>-23655</v>
      </c>
      <c r="E22" s="15">
        <f>IF(ISERROR((C22-D22)/ABS(D22)),"",(C22-D22)/ABS(D22))</f>
        <v>0.2836186852673853</v>
      </c>
      <c r="F22" s="11" t="inlineStr">
        <is>
          <t>PDF p.86 (印刷頁 85)</t>
        </is>
      </c>
      <c r="G22" s="11" t="inlineStr">
        <is>
          <t>Net cash used in investing activities 投資活動所用現金淨額 (16,946) (23,655)</t>
        </is>
      </c>
    </row>
    <row r="23">
      <c r="A23" s="8" t="inlineStr">
        <is>
          <t>Cash Flow</t>
        </is>
      </c>
      <c r="B23" s="8" t="inlineStr">
        <is>
          <t>Financing Cash Flow</t>
        </is>
      </c>
      <c r="C23" s="13" t="n">
        <v>-14923</v>
      </c>
      <c r="D23" s="14" t="n">
        <v>-27626</v>
      </c>
      <c r="E23" s="15">
        <f>IF(ISERROR((C23-D23)/ABS(D23)),"",(C23-D23)/ABS(D23))</f>
        <v>0.45982045898790996</v>
      </c>
      <c r="F23" s="11" t="inlineStr">
        <is>
          <t>PDF p.87 (印刷頁 86)</t>
        </is>
      </c>
      <c r="G23" s="11" t="inlineStr">
        <is>
          <t>Net cash used in financing activities 融資活動所用現金淨額 (14,923) (27,626)</t>
        </is>
      </c>
    </row>
    <row r="25">
      <c r="A2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財務數據'!$C$5:$C$23,MATCH("Gross Profit",'Financials 財務數據'!$B$5:$B$23,0))/INDEX('Financials 財務數據'!$C$5:$C$23,MATCH("Revenue",'Financials 財務數據'!$B$5:$B$23,0))),"n/a",INDEX('Financials 財務數據'!$C$5:$C$23,MATCH("Gross Profit",'Financials 財務數據'!$B$5:$B$23,0))/INDEX('Financials 財務數據'!$C$5:$C$23,MATCH("Revenue",'Financials 財務數據'!$B$5:$B$23,0)))</f>
        <v>0.20243891075962636</v>
      </c>
      <c r="C5" s="16">
        <f>IF(ISERROR(INDEX('Financials 財務數據'!$D$5:$D$23,MATCH("Gross Profit",'Financials 財務數據'!$B$5:$B$23,0))/INDEX('Financials 財務數據'!$D$5:$D$23,MATCH("Revenue",'Financials 財務數據'!$B$5:$B$23,0))),"n/a",INDEX('Financials 財務數據'!$D$5:$D$23,MATCH("Gross Profit",'Financials 財務數據'!$B$5:$B$23,0))/INDEX('Financials 財務數據'!$D$5:$D$23,MATCH("Revenue",'Financials 財務數據'!$B$5:$B$23,0)))</f>
        <v>0.10621579694692747</v>
      </c>
      <c r="D5" s="2" t="inlineStr">
        <is>
          <t>毛利 ÷ 收入</t>
        </is>
      </c>
    </row>
    <row r="6">
      <c r="A6" s="4" t="inlineStr">
        <is>
          <t>Net Margin 淨利率</t>
        </is>
      </c>
      <c r="B6" s="16">
        <f>IF(ISERROR(INDEX('Financials 財務數據'!$C$5:$C$23,MATCH("Profit for the Year",'Financials 財務數據'!$B$5:$B$23,0))/INDEX('Financials 財務數據'!$C$5:$C$23,MATCH("Revenue",'Financials 財務數據'!$B$5:$B$23,0))),"n/a",INDEX('Financials 財務數據'!$C$5:$C$23,MATCH("Profit for the Year",'Financials 財務數據'!$B$5:$B$23,0))/INDEX('Financials 財務數據'!$C$5:$C$23,MATCH("Revenue",'Financials 財務數據'!$B$5:$B$23,0)))</f>
        <v>-0.05877728342146334</v>
      </c>
      <c r="C6" s="16">
        <f>IF(ISERROR(INDEX('Financials 財務數據'!$D$5:$D$23,MATCH("Profit for the Year",'Financials 財務數據'!$B$5:$B$23,0))/INDEX('Financials 財務數據'!$D$5:$D$23,MATCH("Revenue",'Financials 財務數據'!$B$5:$B$23,0))),"n/a",INDEX('Financials 財務數據'!$D$5:$D$23,MATCH("Profit for the Year",'Financials 財務數據'!$B$5:$B$23,0))/INDEX('Financials 財務數據'!$D$5:$D$23,MATCH("Revenue",'Financials 財務數據'!$B$5:$B$23,0)))</f>
        <v>-0.3931550942652565</v>
      </c>
      <c r="D6" s="2" t="inlineStr">
        <is>
          <t>年內溢利 ÷ 收入</t>
        </is>
      </c>
    </row>
    <row r="7">
      <c r="A7" s="4" t="inlineStr">
        <is>
          <t>Current Ratio 流動比率</t>
        </is>
      </c>
      <c r="B7" s="17">
        <f>IF(ISERROR(INDEX('Financials 財務數據'!$C$5:$C$23,MATCH("Total Current Assets",'Financials 財務數據'!$B$5:$B$23,0))/INDEX('Financials 財務數據'!$C$5:$C$23,MATCH("Total Current Liabilities",'Financials 財務數據'!$B$5:$B$23,0))),"n/a",INDEX('Financials 財務數據'!$C$5:$C$23,MATCH("Total Current Assets",'Financials 財務數據'!$B$5:$B$23,0))/INDEX('Financials 財務數據'!$C$5:$C$23,MATCH("Total Current Liabilities",'Financials 財務數據'!$B$5:$B$23,0)))</f>
        <v>2.2002459335979285</v>
      </c>
      <c r="C7" s="17">
        <f>IF(ISERROR(INDEX('Financials 財務數據'!$D$5:$D$23,MATCH("Total Current Assets",'Financials 財務數據'!$B$5:$B$23,0))/INDEX('Financials 財務數據'!$D$5:$D$23,MATCH("Total Current Liabilities",'Financials 財務數據'!$B$5:$B$23,0))),"n/a",INDEX('Financials 財務數據'!$D$5:$D$23,MATCH("Total Current Assets",'Financials 財務數據'!$B$5:$B$23,0))/INDEX('Financials 財務數據'!$D$5:$D$23,MATCH("Total Current Liabilities",'Financials 財務數據'!$B$5:$B$23,0)))</f>
        <v>2.6571893988918776</v>
      </c>
      <c r="D7" s="2" t="inlineStr">
        <is>
          <t>流動資產 ÷ 流動負債</t>
        </is>
      </c>
    </row>
    <row r="8">
      <c r="A8" s="4" t="inlineStr">
        <is>
          <t>Debt / Equity 負債權益比</t>
        </is>
      </c>
      <c r="B8" s="17" t="str">
        <f>IF(ISERROR(INDEX('Financials 財務數據'!$C$5:$C$23,MATCH("Total Liabilities",'Financials 財務數據'!$B$5:$B$23,0))/INDEX('Financials 財務數據'!$C$5:$C$23,MATCH("Total Equity",'Financials 財務數據'!$B$5:$B$23,0))),"n/a",INDEX('Financials 財務數據'!$C$5:$C$23,MATCH("Total Liabilities",'Financials 財務數據'!$B$5:$B$23,0))/INDEX('Financials 財務數據'!$C$5:$C$23,MATCH("Total Equity",'Financials 財務數據'!$B$5:$B$23,0)))</f>
        <v>n/a</v>
      </c>
      <c r="C8" s="17" t="str">
        <f>IF(ISERROR(INDEX('Financials 財務數據'!$D$5:$D$23,MATCH("Total Liabilities",'Financials 財務數據'!$B$5:$B$23,0))/INDEX('Financials 財務數據'!$D$5:$D$23,MATCH("Total Equity",'Financials 財務數據'!$B$5:$B$23,0))),"n/a",INDEX('Financials 財務數據'!$D$5:$D$23,MATCH("Total Liabilities",'Financials 財務數據'!$B$5:$B$23,0))/INDEX('Financials 財務數據'!$D$5:$D$23,MATCH("Total Equity",'Financials 財務數據'!$B$5:$B$23,0)))</f>
        <v>n/a</v>
      </c>
      <c r="D8" s="2" t="inlineStr">
        <is>
          <t>總負債 ÷ 總權益</t>
        </is>
      </c>
    </row>
    <row r="9">
      <c r="A9" s="4" t="inlineStr">
        <is>
          <t>Goodwill / Total Assets</t>
        </is>
      </c>
      <c r="B9" s="16" t="str">
        <f>IF(ISERROR(INDEX('Financials 財務數據'!$C$5:$C$23,MATCH("Goodwill",'Financials 財務數據'!$B$5:$B$23,0))/INDEX('Financials 財務數據'!$C$5:$C$23,MATCH("Total Assets",'Financials 財務數據'!$B$5:$B$23,0))),"n/a",INDEX('Financials 財務數據'!$C$5:$C$23,MATCH("Goodwill",'Financials 財務數據'!$B$5:$B$23,0))/INDEX('Financials 財務數據'!$C$5:$C$23,MATCH("Total Assets",'Financials 財務數據'!$B$5:$B$23,0)))</f>
        <v>n/a</v>
      </c>
      <c r="C9" s="16" t="str">
        <f>IF(ISERROR(INDEX('Financials 財務數據'!$D$5:$D$23,MATCH("Goodwill",'Financials 財務數據'!$B$5:$B$23,0))/INDEX('Financials 財務數據'!$D$5:$D$23,MATCH("Total Assets",'Financials 財務數據'!$B$5:$B$23,0))),"n/a",INDEX('Financials 財務數據'!$D$5:$D$23,MATCH("Goodwill",'Financials 財務數據'!$B$5:$B$23,0))/INDEX('Financials 財務數據'!$D$5:$D$23,MATCH("Total Assets",'Financials 財務數據'!$B$5:$B$23,0)))</f>
        <v>n/a</v>
      </c>
      <c r="D9" s="2" t="inlineStr">
        <is>
          <t>商譽佔總資產比重 — 減值風險指標</t>
        </is>
      </c>
    </row>
    <row r="10">
      <c r="A10" s="4" t="inlineStr">
        <is>
          <t>Intangibles / Total Assets</t>
        </is>
      </c>
      <c r="B10" s="16" t="str">
        <f>IF(ISERROR(INDEX('Financials 財務數據'!$C$5:$C$23,MATCH("Intangible Assets",'Financials 財務數據'!$B$5:$B$23,0))/INDEX('Financials 財務數據'!$C$5:$C$23,MATCH("Total Assets",'Financials 財務數據'!$B$5:$B$23,0))),"n/a",INDEX('Financials 財務數據'!$C$5:$C$23,MATCH("Intangible Assets",'Financials 財務數據'!$B$5:$B$23,0))/INDEX('Financials 財務數據'!$C$5:$C$23,MATCH("Total Assets",'Financials 財務數據'!$B$5:$B$23,0)))</f>
        <v>n/a</v>
      </c>
      <c r="C10" s="16" t="str">
        <f>IF(ISERROR(INDEX('Financials 財務數據'!$D$5:$D$23,MATCH("Intangible Assets",'Financials 財務數據'!$B$5:$B$23,0))/INDEX('Financials 財務數據'!$D$5:$D$23,MATCH("Total Assets",'Financials 財務數據'!$B$5:$B$23,0))),"n/a",INDEX('Financials 財務數據'!$D$5:$D$23,MATCH("Intangible Assets",'Financials 財務數據'!$B$5:$B$23,0))/INDEX('Financials 財務數據'!$D$5:$D$23,MATCH("Total Assets",'Financials 財務數據'!$B$5:$B$23,0)))</f>
        <v>n/a</v>
      </c>
      <c r="D10" s="2" t="inlineStr">
        <is>
          <t>無形資產佔比</t>
        </is>
      </c>
    </row>
    <row r="11">
      <c r="A11" s="4" t="inlineStr">
        <is>
          <t>ROE 股本回報率</t>
        </is>
      </c>
      <c r="B11" s="16">
        <f>IF(ISERROR(INDEX('Financials 財務數據'!$C$5:$C$23,MATCH("Profit for the Year",'Financials 財務數據'!$B$5:$B$23,0))/INDEX('Financials 財務數據'!$C$5:$C$23,MATCH("Total Equity",'Financials 財務數據'!$B$5:$B$23,0))),"n/a",INDEX('Financials 財務數據'!$C$5:$C$23,MATCH("Profit for the Year",'Financials 財務數據'!$B$5:$B$23,0))/INDEX('Financials 財務數據'!$C$5:$C$23,MATCH("Total Equity",'Financials 財務數據'!$B$5:$B$23,0)))</f>
        <v>-0.03210905562536784</v>
      </c>
      <c r="C11" s="16">
        <f>IF(ISERROR(INDEX('Financials 財務數據'!$D$5:$D$23,MATCH("Profit for the Year",'Financials 財務數據'!$B$5:$B$23,0))/INDEX('Financials 財務數據'!$D$5:$D$23,MATCH("Total Equity",'Financials 財務數據'!$B$5:$B$23,0))),"n/a",INDEX('Financials 財務數據'!$D$5:$D$23,MATCH("Profit for the Year",'Financials 財務數據'!$B$5:$B$23,0))/INDEX('Financials 財務數據'!$D$5:$D$23,MATCH("Total Equity",'Financials 財務數據'!$B$5:$B$23,0)))</f>
        <v>-0.24516244907219223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197899</v>
      </c>
      <c r="C5" s="19" t="n">
        <v>171716</v>
      </c>
    </row>
    <row r="6">
      <c r="A6" s="4" t="inlineStr">
        <is>
          <t>Gross Profit</t>
        </is>
      </c>
      <c r="B6" s="19" t="n">
        <v>21020</v>
      </c>
      <c r="C6" s="19" t="n">
        <v>34762</v>
      </c>
    </row>
    <row r="7">
      <c r="A7" s="4" t="inlineStr">
        <is>
          <t>Profit Before Tax</t>
        </is>
      </c>
      <c r="B7" s="19" t="n">
        <v>-86066</v>
      </c>
      <c r="C7" s="19" t="n">
        <v>-6681</v>
      </c>
    </row>
    <row r="8">
      <c r="A8" s="4" t="inlineStr">
        <is>
          <t>Profit for the Year</t>
        </is>
      </c>
      <c r="B8" s="19" t="n">
        <v>-77805</v>
      </c>
      <c r="C8" s="19" t="n">
        <v>-10093</v>
      </c>
    </row>
    <row r="9">
      <c r="A9" s="4" t="inlineStr">
        <is>
          <t>Total Equity</t>
        </is>
      </c>
      <c r="B9" s="19" t="n">
        <v>317361</v>
      </c>
      <c r="C9" s="19" t="n">
        <v>314335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level 1</t>
        </is>
      </c>
      <c r="E4" s="11" t="inlineStr">
        <is>
          <t>PDF p.5 (印刷頁 4)</t>
        </is>
      </c>
      <c r="F4" s="11" t="inlineStr">
        <is>
          <t>02 Cayman Islands Cayman Islands HONG KONG SHARE REGISTRAR AND 香港股份過戶登記處 TRANSFER OFFICE Tricor Investor Services Limited 卓佳證券登記有限公司 Level 17, Far East Finance Centre 香港 16 Harcourt Road 夏慤道16號 Hong Kong 遠東金融中心17樓 PRINCIPAL BANKER 主要往來銀行 DBS Bank (Hong Kong) Limited 星展银行（香港）有限公司 REGISTERED OFFICE 註冊辦事處 Maples Corporate Services Limited Maples Corporate Services Limited P.O. Box 309 P.O. Box 309 Ugland House Ugland House Grand Cayman Grand Cayman KY1-1104 KY1-1104 Cayman Islands Cayman Islands HEAD OFFICE AND PRINCIPAL PLACE OF</t>
        </is>
      </c>
    </row>
    <row r="5">
      <c r="A5" s="8" t="inlineStr">
        <is>
          <t>Fair Value Measurement</t>
        </is>
      </c>
      <c r="B5" s="8" t="inlineStr">
        <is>
          <t>公允價值計量</t>
        </is>
      </c>
      <c r="C5" s="20" t="inlineStr">
        <is>
          <t>high</t>
        </is>
      </c>
      <c r="D5" s="11" t="inlineStr">
        <is>
          <t>unobservable input</t>
        </is>
      </c>
      <c r="E5" s="11" t="inlineStr">
        <is>
          <t>PDF p.21 (印刷頁 20)</t>
        </is>
      </c>
      <c r="F5" s="11" t="inlineStr">
        <is>
          <t>ear. The fair value 認公平值收益約9.7百萬港元。公平 measurements were determined using valuation techniques 值計量採用涉及重大不可觀察輸入數 involving significant unobservable inputs, including expected 據的估值技術，包括預期可收回金額 recoverable amounts and discount rates. The Group engaged 及貼現率。本集團委聘外部獨立估值 independent external valuers to perform the valuations and the 師進行估值，審核委員會已審閱估值 Audit Committee has reviewed the valuation methodology and 方法及假設。 assumptions. MONEY LENDING BUSINESS 放債業務 The Group holds a money lenders license under the Money Lender’s 本集團持有香港法例第163章放債</t>
        </is>
      </c>
    </row>
    <row r="6">
      <c r="A6" s="8" t="inlineStr">
        <is>
          <t>Fair Value Measurement</t>
        </is>
      </c>
      <c r="B6" s="8" t="inlineStr">
        <is>
          <t>公允價值計量</t>
        </is>
      </c>
      <c r="C6" s="20" t="inlineStr">
        <is>
          <t>high</t>
        </is>
      </c>
      <c r="D6" s="11" t="inlineStr">
        <is>
          <t>level 3</t>
        </is>
      </c>
      <c r="E6" s="11" t="inlineStr">
        <is>
          <t>PDF p.73 (印刷頁 72)</t>
        </is>
      </c>
      <c r="F6" s="11" t="inlineStr">
        <is>
          <t>tressed asset; The distressed asset was measured based on significant • 了解有關不良資產的按公平值計入損益之金融資 unobservable inputs and classified as “Level 3 financial 產之公平值計量評估的內部控制設計及實施； instruments”. Management engaged the independent external valuers to assist to determine the fair value of • Assessing the competency, capability and objectivity distressed asset. The determination of the fair value of of the independent external valuers for the fair value distressed asset required management to make judgments measurement of distressed asset</t>
        </is>
      </c>
    </row>
    <row r="7">
      <c r="A7" s="8" t="inlineStr">
        <is>
          <t>Fair Value Measurement</t>
        </is>
      </c>
      <c r="B7" s="8" t="inlineStr">
        <is>
          <t>公允價值計量</t>
        </is>
      </c>
      <c r="C7" s="20" t="inlineStr">
        <is>
          <t>high</t>
        </is>
      </c>
      <c r="D7" s="11" t="inlineStr">
        <is>
          <t>valuation technique</t>
        </is>
      </c>
      <c r="E7" s="11" t="inlineStr">
        <is>
          <t>PDF p.127 (印刷頁 126)</t>
        </is>
      </c>
      <c r="F7" s="11" t="inlineStr">
        <is>
          <t>2025: HK$2,168,000 產）按公平值分別為796,000港元 and HK$56,966,000), respectively. The fair values are 及70,494,000港元（二零二五年： determined by using valuation techniques, details of which 2,168,000 港元及56,966,000 港 are set out in notes 23 and 28. This involves developing 元）列值。公平值乃採用估值技 estimates and assumptions consistent with how market 術釐定，有關詳情載於附註23及 participants would price the instrument. The Group bases 28。此涉及制定與市場參與者如 its assumptions on observable data as far as possible but 何為工具定價相符之估計及假設。 this is not always available. In that case the</t>
        </is>
      </c>
    </row>
    <row r="8">
      <c r="A8" s="8" t="inlineStr">
        <is>
          <t>Fair Value Measurement</t>
        </is>
      </c>
      <c r="B8" s="8" t="inlineStr">
        <is>
          <t>公允價值計量</t>
        </is>
      </c>
      <c r="C8" s="20" t="inlineStr">
        <is>
          <t>high</t>
        </is>
      </c>
      <c r="D8" s="11" t="inlineStr">
        <is>
          <t>fair value hierarchy</t>
        </is>
      </c>
      <c r="E8" s="11" t="inlineStr">
        <is>
          <t>PDF p.136 (印刷頁 135)</t>
        </is>
      </c>
      <c r="F8" s="11" t="inlineStr">
        <is>
          <t>t 有序交易出售一項資產將收取或轉讓 participants at the measurement date. The following disclosures of 負債時將支付之價格。以下對公平值 fair value measurements use a fair value hierarchy that categorises 計量的披露使用公平值層次結構，該 into three levels the inputs to valuation techniques used to 層次結構將用於計量公平值的估值法 measure fair value: 的輸入分為三級： Level 1 inputs: quoted prices (unadjusted) in active markets 第一級輸入 本集團於計量日期可以 for identical assets or liabilities that the Group 數據是： 取得的相同資產或負債 can access at the measurement date. 於活躍市場之報價（未經 調整）。 Level 2 inputs: inputs other than quoted</t>
        </is>
      </c>
    </row>
    <row r="9">
      <c r="A9" s="8" t="inlineStr">
        <is>
          <t>Fair Value Measurement</t>
        </is>
      </c>
      <c r="B9" s="8" t="inlineStr">
        <is>
          <t>公允價值計量</t>
        </is>
      </c>
      <c r="C9" s="20" t="inlineStr">
        <is>
          <t>high</t>
        </is>
      </c>
      <c r="D9" s="11" t="inlineStr">
        <is>
          <t>fair value hierarchy</t>
        </is>
      </c>
      <c r="E9" s="11" t="inlineStr">
        <is>
          <t>PDF p.137 (印刷頁 136)</t>
        </is>
      </c>
      <c r="F9" s="11" t="inlineStr">
        <is>
          <t>表附註 For the year ended 31 March 2026 截至二零二六年三月三十一日止年度 7. FAIR VALUE MEASUREMENTS (Continued) 7. 公平值計量（續） (a) Disclosures of level in fair value hierarchy: (a) 公平值等級水平披露： Fair value measurements as at 31 March 2026 using: 於二零二六年三月三十一日之公平值計量採用： Description 詳情 Level 1 Level 2 Level 3 Total 第一級 第二級 第三級 總計 HK$’000 HK$’000 HK$’000 HK$’000 千港元 千港元 千港元 千港元 Recurring fair value measurements: 經常性公平值計量： Financial assets at FVTPL 按公平值計入損益之 金融資產 – listed equity securities (note 28) －上市股本證券（附註28） 5,303 – – 5,303 Financial assets at FVTPL 按公平</t>
        </is>
      </c>
    </row>
    <row r="10">
      <c r="A10" s="8" t="inlineStr">
        <is>
          <t>Fair Value Measurement</t>
        </is>
      </c>
      <c r="B10" s="8" t="inlineStr">
        <is>
          <t>公允價值計量</t>
        </is>
      </c>
      <c r="C10" s="20" t="inlineStr">
        <is>
          <t>high</t>
        </is>
      </c>
      <c r="D10" s="11" t="inlineStr">
        <is>
          <t>fair value hierarchy</t>
        </is>
      </c>
      <c r="E10" s="11" t="inlineStr">
        <is>
          <t>PDF p.138 (印刷頁 137)</t>
        </is>
      </c>
      <c r="F10" s="11" t="inlineStr">
        <is>
          <t>表附註 For the year ended 31 March 2026 截至二零二六年三月三十一日止年度 7. FAIR VALUE MEASUREMENTS (Continued) 7. 公平值計量（續） (a) Disclosures of level in fair value hierarchy: (a) 公平值等級水平披露：（續） (Continued) Fair value measurements as at 31 March 2025 using: 於二零二五年三月三十一日之公平值計量採用： Description 詳情 Level 1 Level 2 Level 3 Total 第一級 第二級 第三級 總計 HK$’000 HK$’000 HK$’000 HK$’000 千港元 千港元 千港元 千港元 Recurring fair value measurements: 經常性公平值計量： Financial assets at FVTPL 按公平值計入損益之 金融資產 – listed equity securities (note 28) －上市股本證券（附註28） 1,449 – – 1,449 Financial asse</t>
        </is>
      </c>
    </row>
    <row r="11">
      <c r="A11" s="8" t="inlineStr">
        <is>
          <t>Fair Value Measurement</t>
        </is>
      </c>
      <c r="B11" s="8" t="inlineStr">
        <is>
          <t>公允價值計量</t>
        </is>
      </c>
      <c r="C11" s="20" t="inlineStr">
        <is>
          <t>high</t>
        </is>
      </c>
      <c r="D11" s="11" t="inlineStr">
        <is>
          <t>level 3</t>
        </is>
      </c>
      <c r="E11" s="11" t="inlineStr">
        <is>
          <t>PDF p.139 (印刷頁 138)</t>
        </is>
      </c>
      <c r="F11" s="11" t="inlineStr">
        <is>
          <t>止年度 7. FAIR VALUE MEASUREMENTS (Continued) 7. 公平值計量（續） (b) Reconciliation of assets measured at fair value based (b) 根據第三級按公平值計量之 on Level 3: 資產之對賬： Financial assets at FVOCIunlisted equity Distressed securities asset Total 按公平值計入 其他全面收益之 金融資產– 非上市股本證券 不良資產 總計 HK$’000 HK$’000 HK$’000 千港元 千港元 千港元 At 1 April 2024 於二零二四年四月一日 5,003 70,389 75,392 Total gains or losses recognised 已確認收益或虧損總額 – in profit or loss －於損益內 – (12,797) (12,797) – in other comprehensive income －於其他全面收益內 (2,827) – (2,827) Exchange realignment 匯兌調整 (8) (626) (</t>
        </is>
      </c>
    </row>
    <row r="12">
      <c r="A12" s="8" t="inlineStr">
        <is>
          <t>Fair Value Measurement</t>
        </is>
      </c>
      <c r="B12" s="8" t="inlineStr">
        <is>
          <t>公允價值計量</t>
        </is>
      </c>
      <c r="C12" s="20" t="inlineStr">
        <is>
          <t>high</t>
        </is>
      </c>
      <c r="D12" s="11" t="inlineStr">
        <is>
          <t>level 3</t>
        </is>
      </c>
      <c r="E12" s="11" t="inlineStr">
        <is>
          <t>PDF p.140 (印刷頁 139)</t>
        </is>
      </c>
      <c r="F12" s="11" t="inlineStr">
        <is>
          <t>value measurements of assets 務報告目的所需資產及負債之公平值 and liabilities required for financial reporting purposes, including 計量（包括第三級公平值計量）。管理 Level 3 fair value measurements. The management reports directly 層直接向董事會匯報該等公平值計量。 to the Board of Directors for these fair value measurements. 負責財務申報之管理層與董事會至少 Discussions of valuation processes and results are held between 每年進行兩次估值程序及結果之討論。 the management, who is responsible to the financial reporting, and the Board of Directors at least twice a year. For Level 3 fair value measurements, the Gro</t>
        </is>
      </c>
    </row>
    <row r="13">
      <c r="A13" s="8" t="inlineStr">
        <is>
          <t>Impairment Testing</t>
        </is>
      </c>
      <c r="B13" s="8" t="inlineStr">
        <is>
          <t>減值測試</t>
        </is>
      </c>
      <c r="C13" s="20" t="inlineStr">
        <is>
          <t>high</t>
        </is>
      </c>
      <c r="D13" s="11" t="inlineStr">
        <is>
          <t>impairment loss</t>
        </is>
      </c>
      <c r="E13" s="11" t="inlineStr">
        <is>
          <t>PDF p.7 (印刷頁 6)</t>
        </is>
      </c>
      <c r="F13" s="11" t="inlineStr">
        <is>
          <t>e 約19.7百萬港元）；及(iv)行政開支減少所致， reduction in administrative expenses, which were partially offset by the 惟部分被物業、廠房及設備減值虧損由上一 increase in impairment losses on property, plant and equipment from 年度約19.1百萬港元增加至本年度約26.6百 approximately HK$19.1 million for the previous year to approximately 萬港元所抵銷。 HK$26.6 million for the Year. Strategic Acquisitions and Financial Services Expansion 戰略收購及金融服務擴張 The Group has been actively executing its strategic transformation by 本集團通過收購金融服務領域的企業積極推 pursuing acquisitions in the financial services sector.</t>
        </is>
      </c>
    </row>
    <row r="14">
      <c r="A14" s="8" t="inlineStr">
        <is>
          <t>Impairment Testing</t>
        </is>
      </c>
      <c r="B14" s="8" t="inlineStr">
        <is>
          <t>減值測試</t>
        </is>
      </c>
      <c r="C14" s="20" t="inlineStr">
        <is>
          <t>high</t>
        </is>
      </c>
      <c r="D14" s="11" t="inlineStr">
        <is>
          <t>減值虧損</t>
        </is>
      </c>
      <c r="E14" s="11" t="inlineStr">
        <is>
          <t>PDF p.13 (印刷頁 12)</t>
        </is>
      </c>
      <c r="F14" s="11" t="inlineStr">
        <is>
          <t>itten-off of property, plant 售及撇銷物業、廠房及設備之虧損減少，惟 and equipment, which were partially offset by the increase in impairment 部分被物業、廠房及設備減值虧損由上一年 losses on property, plant and equipment from approximately HK$19.1 度的約19.1百萬港元增至本年度的約26.6百 million for the previous year to approximately HK$26.6 million for the 萬港元所抵銷。 Year. Reversal of/(Provision for) ECL Allowance of Financial 金融資產預期信貸虧損撥備撥回 Assets, Net ╱（撥備）淨額 During the Year, the Group recognised a reversal of expected credit 於本年度，本集團就金融資產確認預期信貸 loss (“ECL”) allowance on financial a</t>
        </is>
      </c>
    </row>
    <row r="15">
      <c r="A15" s="8" t="inlineStr">
        <is>
          <t>Impairment Testing</t>
        </is>
      </c>
      <c r="B15" s="8" t="inlineStr">
        <is>
          <t>減值測試</t>
        </is>
      </c>
      <c r="C15" s="20" t="inlineStr">
        <is>
          <t>high</t>
        </is>
      </c>
      <c r="D15" s="11" t="inlineStr">
        <is>
          <t>recoverable amount</t>
        </is>
      </c>
      <c r="E15" s="11" t="inlineStr">
        <is>
          <t>PDF p.19 (印刷頁 18)</t>
        </is>
      </c>
      <c r="F15" s="11" t="inlineStr">
        <is>
          <t>由獨立合資格估值師亞 Valuation and Consulting Limited, using the discounted cash flow 太資產評估及顧問有限公司採用貼現 approach with reference to the expected recoverable amounts, 現金流量法進行，並參考預期可收回 expected recovery date, relevant cost incurred to realise the asset 金額、預期收回日期、變現資產所產 and the rate that corresponding to expected risk level and the fair 生的相關成本以及與預期風險水平相 value of the put option. The collaterals have been seized by order 對應的費率以及認沽期權的公平值。 of the relevant PRC court and the Group, with the assistance of 抵押物已由相關中國法院頒令查封， the assignor, is in the pro</t>
        </is>
      </c>
    </row>
    <row r="16">
      <c r="A16" s="8" t="inlineStr">
        <is>
          <t>Impairment Testing</t>
        </is>
      </c>
      <c r="B16" s="8" t="inlineStr">
        <is>
          <t>減值測試</t>
        </is>
      </c>
      <c r="C16" s="20" t="inlineStr">
        <is>
          <t>high</t>
        </is>
      </c>
      <c r="D16" s="11" t="inlineStr">
        <is>
          <t>impairment loss</t>
        </is>
      </c>
      <c r="E16" s="11" t="inlineStr">
        <is>
          <t>PDF p.20 (印刷頁 19)</t>
        </is>
      </c>
      <c r="F16" s="11" t="inlineStr">
        <is>
          <t>(i) 物業、廠房及設備減值：於二零二六 2026, the Group’s property, plant and equipment amounted 年三月三十一日，本集團的物業、廠 to approximately HK$50.8 million. An impairment loss of 房及設備約為50.8百萬港元。本年度 approximately HK$26.6 million was recognised during the Year, 確認減值虧損約26.6百萬港元，主要 principally due to the continued downturn in the construction and 由於建築及房地產市場持續低迷，影 real estate markets which affected the recoverable amount of 響機械及設備的可收回金額。管理層 machinery and equipment. Management assessed the value in 基於預期收入增長率及貼現率等假設 use of the relevant cash-generating units bas</t>
        </is>
      </c>
    </row>
    <row r="17">
      <c r="A17" s="8" t="inlineStr">
        <is>
          <t>Impairment Testing</t>
        </is>
      </c>
      <c r="B17" s="8" t="inlineStr">
        <is>
          <t>減值測試</t>
        </is>
      </c>
      <c r="C17" s="20" t="inlineStr">
        <is>
          <t>high</t>
        </is>
      </c>
      <c r="D17" s="11" t="inlineStr">
        <is>
          <t>recoverable amount</t>
        </is>
      </c>
      <c r="E17" s="11" t="inlineStr">
        <is>
          <t>PDF p.21 (印刷頁 20)</t>
        </is>
      </c>
      <c r="F17" s="11" t="inlineStr">
        <is>
          <t>etermined using valuation techniques 值計量採用涉及重大不可觀察輸入數 involving significant unobservable inputs, including expected 據的估值技術，包括預期可收回金額 recoverable amounts and discount rates. The Group engaged 及貼現率。本集團委聘外部獨立估值 independent external valuers to perform the valuations and the 師進行估值，審核委員會已審閱估值 Audit Committee has reviewed the valuation methodology and 方法及假設。 assumptions. MONEY LENDING BUSINESS 放債業務 The Group holds a money lenders license under the Money Lender’s 本集團持有香港法例第163章放債人條例項 Ordinance (Chapter 163 of the Laws of Hong Kong) and</t>
        </is>
      </c>
    </row>
    <row r="18">
      <c r="A18" s="8" t="inlineStr">
        <is>
          <t>Impairment Testing</t>
        </is>
      </c>
      <c r="B18" s="8" t="inlineStr">
        <is>
          <t>減值測試</t>
        </is>
      </c>
      <c r="C18" s="20" t="inlineStr">
        <is>
          <t>high</t>
        </is>
      </c>
      <c r="D18" s="11" t="inlineStr">
        <is>
          <t>impairment loss</t>
        </is>
      </c>
      <c r="E18" s="11" t="inlineStr">
        <is>
          <t>PDF p.69 (印刷頁 68)</t>
        </is>
      </c>
      <c r="F18" s="11" t="inlineStr">
        <is>
          <t>Our audit procedures in relation to management’s and equipment of approximately HK$50.8 million and impairment assessment included: impairment loss of approximately HK$26.6 million was 我們有關管理層進行減值評估之審計程序包括： recognised during the year ended 31 March 2026. At each reporting date, the Group assess whether there are • Assessing the reasonableness of the bases and indicators of impairment and if there are such indicators, assumptions adopted in the valuation for estimating an estimate is made of the recoverable amount of the the va</t>
        </is>
      </c>
    </row>
    <row r="19">
      <c r="A19" s="8" t="inlineStr">
        <is>
          <t>Impairment Testing</t>
        </is>
      </c>
      <c r="B19" s="8" t="inlineStr">
        <is>
          <t>減值測試</t>
        </is>
      </c>
      <c r="C19" s="20" t="inlineStr">
        <is>
          <t>high</t>
        </is>
      </c>
      <c r="D19" s="11" t="inlineStr">
        <is>
          <t>可收回金額</t>
        </is>
      </c>
      <c r="E19" s="11" t="inlineStr">
        <is>
          <t>PDF p.73 (印刷頁 72)</t>
        </is>
      </c>
      <c r="F19" s="11" t="inlineStr">
        <is>
          <t>通過評估獨立外部估值師的資質、相關經驗以及 「第三級金融工具」。管理層聘請獨立外部估值師來協助 與 貴集團的關係，評估獨立外部估值師對不良資 確定不良資產的公平值。不良資產的公平值確定需要管 產公平值計量的勝任能力、專業素質和客觀性； 理層作出判斷和估計，包括預期可收回金額、收回年限 及貼現率等。 • Involving auditor’s experts to discuss with management and the independent external valuers and assess the appropriateness of valuation methodology and certain assumptions used; • 核數師專家參與與管理層和獨立外部估值師討論 和評估所用估值方法及若干假設的適當性； 72 Annual Report 2026 • Seven Elements Investment Holdings Limited</t>
        </is>
      </c>
    </row>
    <row r="20">
      <c r="A20" s="8" t="inlineStr">
        <is>
          <t>Impairment Testing</t>
        </is>
      </c>
      <c r="B20" s="8" t="inlineStr">
        <is>
          <t>減值測試</t>
        </is>
      </c>
      <c r="C20" s="20" t="inlineStr">
        <is>
          <t>high</t>
        </is>
      </c>
      <c r="D20" s="11" t="inlineStr">
        <is>
          <t>recoverable amount</t>
        </is>
      </c>
      <c r="E20" s="11" t="inlineStr">
        <is>
          <t>PDF p.74 (印刷頁 73)</t>
        </is>
      </c>
      <c r="F20" s="11" t="inlineStr">
        <is>
          <t>ating the reasonableness of the underlying at fair value through profit or loss on distressed asset as assumptions, such as expected recoverable amounts a key audit matter because of the fair value is subject and the discount rate that corresponds to the to high degree of estimation uncertainty. The inherent expected risk level by comparing the rate used by the risk in relation to the fair value assessment is considered Group to those of comparable companies; significant due to subjectivity of significant assumptions • 評估相關假設的合</t>
        </is>
      </c>
    </row>
    <row r="21">
      <c r="A21" s="8" t="inlineStr">
        <is>
          <t>Impairment Testing</t>
        </is>
      </c>
      <c r="B21" s="8" t="inlineStr">
        <is>
          <t>減值測試</t>
        </is>
      </c>
      <c r="C21" s="20" t="inlineStr">
        <is>
          <t>high</t>
        </is>
      </c>
      <c r="D21" s="11" t="inlineStr">
        <is>
          <t>impairment loss</t>
        </is>
      </c>
      <c r="E21" s="11" t="inlineStr">
        <is>
          <t>PDF p.85 (印刷頁 84)</t>
        </is>
      </c>
      <c r="F21" s="11" t="inlineStr">
        <is>
          <t>of inventories 13 254 (470) Fair value (gain)/loss on financial 按公平值計入損益之 assets at FVTPL, net 金融資產之公平值 （收益）╱虧損淨額 9 (13,735) 18,254 Impairment loss on property, plant 物業、廠房及設備減值 and equipment 虧損 19 26,645 19,077 Interest income on loans receivable 應收貸款利息收入 8 (14,748) (4,889) Finance income 財務收入 11 (1,733) (1,615) Finance costs 財務成本 11 388 1,074 84 Annual Report 2026 • Seven Elements Investment Holdings Limited</t>
        </is>
      </c>
    </row>
    <row r="22">
      <c r="A22" s="8" t="inlineStr">
        <is>
          <t>Impairment Testing</t>
        </is>
      </c>
      <c r="B22" s="8" t="inlineStr">
        <is>
          <t>減值測試</t>
        </is>
      </c>
      <c r="C22" s="20" t="inlineStr">
        <is>
          <t>high</t>
        </is>
      </c>
      <c r="D22" s="11" t="inlineStr">
        <is>
          <t>impairment loss</t>
        </is>
      </c>
      <c r="E22" s="11" t="inlineStr">
        <is>
          <t>PDF p.94 (印刷頁 93)</t>
        </is>
      </c>
      <c r="F22" s="11" t="inlineStr">
        <is>
          <t>icit balance. In the Company’s statement of financial position, investments in 於本公司財務狀況表中，於附屬公司 subsidiaries are stated at cost less impairment loss, unless the 的投資按成本減值虧損列賬，除非該 investment is classified as held for sale (or included in a disposal 投資被分類為持作出售（或計入被分類 group that is classified as held for sale). 為持作出售的出售組別）。 七元投資控股有限公司 • 二零二六年年報 93</t>
        </is>
      </c>
    </row>
    <row r="23">
      <c r="A23" s="8" t="inlineStr">
        <is>
          <t>Impairment Testing</t>
        </is>
      </c>
      <c r="B23" s="8" t="inlineStr">
        <is>
          <t>減值測試</t>
        </is>
      </c>
      <c r="C23" s="20" t="inlineStr">
        <is>
          <t>high</t>
        </is>
      </c>
      <c r="D23" s="11" t="inlineStr">
        <is>
          <t>impairment loss</t>
        </is>
      </c>
      <c r="E23" s="11" t="inlineStr">
        <is>
          <t>PDF p.96 (印刷頁 95)</t>
        </is>
      </c>
      <c r="F23" s="11" t="inlineStr">
        <is>
          <t>。 profit or loss as bargain purchase gain. After initial recognition, goodwill is measured at cost less 於初次確認後，商譽乃按成本減累計 accumulated impairment losses. For the purpose of impairment 減值虧損計量。就減值測試而言，業務 testing, goodwill acquired in a business combination is allocated to 合併所獲得之商譽會分配至預期將受 each of the cash-generating units (“CGUs”) or groups of CGUs that 益於合併協同效應之各現金產生單位 is expected to benefit from the synergies of the combination. Each （「現金產生單位」）或現金產生單位組 unit or group of units to which the goodwill is allocated represents 別。商譽所分配之各</t>
        </is>
      </c>
    </row>
    <row r="24">
      <c r="A24" s="8" t="inlineStr">
        <is>
          <t>Impairment Testing</t>
        </is>
      </c>
      <c r="B24" s="8" t="inlineStr">
        <is>
          <t>減值測試</t>
        </is>
      </c>
      <c r="C24" s="20" t="inlineStr">
        <is>
          <t>high</t>
        </is>
      </c>
      <c r="D24" s="11" t="inlineStr">
        <is>
          <t>impairment loss</t>
        </is>
      </c>
      <c r="E24" s="11" t="inlineStr">
        <is>
          <t>PDF p.99 (印刷頁 98)</t>
        </is>
      </c>
      <c r="F24" s="11" t="inlineStr">
        <is>
          <t>financial 乃按成本減其後累計折舊及其後累計 position at cost, less subsequent accumulated depreciation and 減值虧損（如有）於綜合財務狀況表列賬。 subsequent accumulated impairment losses, if any. Subsequent costs are included in the asset’s carrying amount or 僅在與該項目有關的未來經濟利益可 recognised as a separate asset, as appropriate, only when it is 能流向本集團及該項目的成本能夠可 probable that future economic benefits associated with the item 靠計量的情況下，後續成本計入資產 will flow to the Group and the cost of the item can be measured 的賬面值或確認為單獨資產（如適當）。 reliably. All other repairs and maintenance are</t>
        </is>
      </c>
    </row>
    <row r="25">
      <c r="A25" s="8" t="inlineStr">
        <is>
          <t>Impairment Testing</t>
        </is>
      </c>
      <c r="B25" s="8" t="inlineStr">
        <is>
          <t>減值測試</t>
        </is>
      </c>
      <c r="C25" s="20" t="inlineStr">
        <is>
          <t>high</t>
        </is>
      </c>
      <c r="D25" s="11" t="inlineStr">
        <is>
          <t>impairment loss</t>
        </is>
      </c>
      <c r="E25" s="11" t="inlineStr">
        <is>
          <t>PDF p.101 (印刷頁 100)</t>
        </is>
      </c>
      <c r="F25" s="11" t="inlineStr">
        <is>
          <t>ves received. The right- 的估計成本，按其現值貼現並扣 of-use asset is subsequently stated at cost less accumulated 減任何所收的租賃優惠。使用權 depreciation and impairment losses. 資產隨後按成本減累計折舊及減 值虧損列賬。 Right-of-use assets in which the Group is reasonably certain 本集團已合理地確定可於租賃期 to obtain ownership of the underlying leased assets at the 結束時取得相關租賃資產所有權 end of the lease term are depreciated from commencement 的使用權資產由開始日期起至可 date to the end of the useful life. Otherwise, right-of-use 使用年期結束止計提折舊。在其 assets are depreciated on a straight-line basis over the 他情況下，使</t>
        </is>
      </c>
    </row>
    <row r="26">
      <c r="A26" s="8" t="inlineStr">
        <is>
          <t>Impairment Testing</t>
        </is>
      </c>
      <c r="B26" s="8" t="inlineStr">
        <is>
          <t>減值測試</t>
        </is>
      </c>
      <c r="C26" s="20" t="inlineStr">
        <is>
          <t>high</t>
        </is>
      </c>
      <c r="D26" s="11" t="inlineStr">
        <is>
          <t>impairment loss</t>
        </is>
      </c>
      <c r="E26" s="11" t="inlineStr">
        <is>
          <t>PDF p.113 (印刷頁 112)</t>
        </is>
      </c>
      <c r="F26" s="11" t="inlineStr">
        <is>
          <t>ey 幣時間值及資產╱現金產生單位（已計 and the risks specific to the asset/cash-generating unit whose 量減值）的特有風險的稅前貼現率計算。 impairment is being measured. Impairment losses for cash-generating units are allocated first 現金產生單位的減值虧損首先用於抵 against the goodwill of the unit and then pro rata amongst the 銷單位商譽，然後於現金產生單位的 other assets of the cash-generating unit. Subsequent increases 其他資產之間按比例分配。隨後估計 in the recoverable amount caused by changes in estimates 變動導致的可收回金額增長計入損益， are credited to profit or loss to the extent that they reverse the 以撥回減值為限。 impairme</t>
        </is>
      </c>
    </row>
    <row r="27">
      <c r="A27" s="8" t="inlineStr">
        <is>
          <t>Impairment Testing</t>
        </is>
      </c>
      <c r="B27" s="8" t="inlineStr">
        <is>
          <t>減值測試</t>
        </is>
      </c>
      <c r="C27" s="20" t="inlineStr">
        <is>
          <t>high</t>
        </is>
      </c>
      <c r="D27" s="11" t="inlineStr">
        <is>
          <t>impairment loss</t>
        </is>
      </c>
      <c r="E27" s="11" t="inlineStr">
        <is>
          <t>PDF p.125 (印刷頁 124)</t>
        </is>
      </c>
      <c r="F27" s="11" t="inlineStr">
        <is>
          <t>re less than expected, or 差額計算，並按初始確認時的實 being revised downward due to changes in facts and 際利率貼現。如果未來現金流量 circumstances, a material impairment loss may arise. 低於預期，或因事實及情況變化 而下調，則可能出現重大減值虧損。 As at 31 March 2026, the carrying amounts of trade 於二零二六年三月三十一日， receivables, other receivables and loans receivable are 貿易應收款項、其他應收款項 HK$92,742,000, HK$61,007,000 and HK$87,076,000 以及應收貸款的賬面值分別為 respectively (net of ECL allowance of HK$25,235,000, 92,742,000 港元、61,007,000 港 HK$6,944,000 and HK$16,378,000 respectively) (2025: 元及87,076,000</t>
        </is>
      </c>
    </row>
    <row r="28">
      <c r="A28" s="8" t="inlineStr">
        <is>
          <t>Impairment Testing</t>
        </is>
      </c>
      <c r="B28" s="8" t="inlineStr">
        <is>
          <t>減值測試</t>
        </is>
      </c>
      <c r="C28" s="20" t="inlineStr">
        <is>
          <t>high</t>
        </is>
      </c>
      <c r="D28" s="11" t="inlineStr">
        <is>
          <t>impairment loss</t>
        </is>
      </c>
      <c r="E28" s="11" t="inlineStr">
        <is>
          <t>PDF p.126 (印刷頁 125)</t>
        </is>
      </c>
      <c r="F28" s="11" t="inlineStr">
        <is>
          <t>ts were 產於二零二六年三月三十一日的 HK$50,844,000 and HK$11,696,000 (2025: HK$67,180,000 賬面值分別為50,844,000港元及 and HK$15,047,000) respectively. The impairment loss on 11,696,000 港元（二零二五年： property, plant and equipment of HK$26,645,000 (2025: 67,180,000港元及15,047,000港 HK$19,077,000) has been recognised during the year ended 元）。截至二零二六年三月三十一 31 March 2026. 日止年度已確認物業、廠房及設 備減值虧損26,645,000 港元（二 零二五年：19,077,000港元）。 七元投資控股有限公司 • 二零二六年年報 125</t>
        </is>
      </c>
    </row>
    <row r="29">
      <c r="A29" s="8" t="inlineStr">
        <is>
          <t>Impairment Testing</t>
        </is>
      </c>
      <c r="B29" s="8" t="inlineStr">
        <is>
          <t>減值測試</t>
        </is>
      </c>
      <c r="C29" s="20" t="inlineStr">
        <is>
          <t>high</t>
        </is>
      </c>
      <c r="D29" s="11" t="inlineStr">
        <is>
          <t>impairment loss</t>
        </is>
      </c>
      <c r="E29" s="11" t="inlineStr">
        <is>
          <t>PDF p.144 (印刷頁 143)</t>
        </is>
      </c>
      <c r="F29" s="11" t="inlineStr">
        <is>
          <t>Written-off on property, plant and 物業、廠房及設備撇銷 equipment (1,478) (3,217) Gain on early termination of leases, net 提前終止租賃之收益，淨額 11 255 Impairment losses on property, plant and 物業、廠房及設備減值虧損 equipment (26,645) (19,077) Compensation for damaged property, 物業、廠房及設備損害賠償 plant and equipment – 910 Loss on disposals of property, plant and 出售物業、廠房及設備的虧損 equipment (1,007) (4,260) Fair value gain/(loss) on financial assets at 按公平值計入損益之金融資產之 FVTPL, net 公平值收益╱（虧損）淨額 13,735 (18,254) Net foreign exchange losses 外匯虧損淨額 (148) (45) Others 其他 325 39</t>
        </is>
      </c>
    </row>
    <row r="30">
      <c r="A30" s="8" t="inlineStr">
        <is>
          <t>Impairment Testing</t>
        </is>
      </c>
      <c r="B30" s="8" t="inlineStr">
        <is>
          <t>減值測試</t>
        </is>
      </c>
      <c r="C30" s="20" t="inlineStr">
        <is>
          <t>high</t>
        </is>
      </c>
      <c r="D30" s="11" t="inlineStr">
        <is>
          <t>impairment loss</t>
        </is>
      </c>
      <c r="E30" s="11" t="inlineStr">
        <is>
          <t>PDF p.146 (印刷頁 145)</t>
        </is>
      </c>
      <c r="F30" s="11" t="inlineStr">
        <is>
          <t>(4,260) Written-off on property, plant 撇銷物業、廠房及設備 and equipment – – (172) (448) – – (1,306) (2,769) – – – – – – – – (1,478) (3,217) Impairment loss on property, 物業、廠房及設備減值虧損 plant and equipment – – (25,963) (15,312) – – (682) (3,765) – – – – – – – – (26,645) (19,077) Gain on early termination of 提前終止租賃之收益，淨額 leases, net – – – – – – 11 255 – – – – – – – – 11 255 (Write down)/Reversal of write 存貨（撇減）╱撇減撥回 down of inventories (254) 470 – – – – – – – – – – – – – – (254) 470 Finance income 財務收入 92 181 362 1,133 1,273 3 4 283 2 15 –</t>
        </is>
      </c>
    </row>
    <row r="31">
      <c r="A31" s="8" t="inlineStr">
        <is>
          <t>Impairment Testing</t>
        </is>
      </c>
      <c r="B31" s="8" t="inlineStr">
        <is>
          <t>減值測試</t>
        </is>
      </c>
      <c r="C31" s="20" t="inlineStr">
        <is>
          <t>high</t>
        </is>
      </c>
      <c r="D31" s="11" t="inlineStr">
        <is>
          <t>impairment loss</t>
        </is>
      </c>
      <c r="E31" s="11" t="inlineStr">
        <is>
          <t>PDF p.162 (印刷頁 161)</t>
        </is>
      </c>
      <c r="F31" s="11" t="inlineStr">
        <is>
          <t>及設備（續） (Continued) The directors considered that certain property, plant and 本集團若干物業、廠房及設備已計提 equipment of the Group were subject to impairment loss because 減值虧損，原因為董事認為該等物 cash-generating units of these property, plant and equipment 業、廠房及設備的現金產生單位於年 were non-performing for the year. An impairment provision of 內表現欠佳。於損益中確認的減值撥 HK$26,645,000 (2025: HK$19,077,000) was recognised in 備為26,645,000 港元（二零二五年： profit or loss to write down the carrying amounts of these items 19,077,000港元），以將該等物業、廠 of property, plant and equipment to the</t>
        </is>
      </c>
    </row>
    <row r="32">
      <c r="A32" s="8" t="inlineStr">
        <is>
          <t>Impairment Testing</t>
        </is>
      </c>
      <c r="B32" s="8" t="inlineStr">
        <is>
          <t>減值測試</t>
        </is>
      </c>
      <c r="C32" s="20" t="inlineStr">
        <is>
          <t>high</t>
        </is>
      </c>
      <c r="D32" s="11" t="inlineStr">
        <is>
          <t>impairment loss</t>
        </is>
      </c>
      <c r="E32" s="11" t="inlineStr">
        <is>
          <t>PDF p.164 (印刷頁 163)</t>
        </is>
      </c>
      <c r="F32" s="11" t="inlineStr">
        <is>
          <t>of a subsidiary 一間附屬公司註銷登記 (61) Acquisition of subsidiaries (note 43) 收購附屬公司（附註43） 150 At 31 March 2026 於二零二六年三月三十一日 150 Accumulated impairment losses 累計減值虧損 At 1 April 2024, 31 March 2025 and 於二零二四年四月一日、二零二五年三月 1 April 2025 三十一日及二零二五年四月一日 61 Deregistration of a subsidiary 一間附屬公司註銷登記 (61) At 31 March 2026 於二零二六年三月三十一日 – Carrying amount 賬面值 At 31 March 2026 於二零二六年三月三十一日 150 At 31 March 2025 於二零二五年三月三十一日 – 七元投資控股有限公司 • 二零二六年年報 163</t>
        </is>
      </c>
    </row>
    <row r="33">
      <c r="A33" s="8" t="inlineStr">
        <is>
          <t>Impairment Testing</t>
        </is>
      </c>
      <c r="B33" s="8" t="inlineStr">
        <is>
          <t>減值測試</t>
        </is>
      </c>
      <c r="C33" s="20" t="inlineStr">
        <is>
          <t>high</t>
        </is>
      </c>
      <c r="D33" s="11" t="inlineStr">
        <is>
          <t>recoverable amount</t>
        </is>
      </c>
      <c r="E33" s="11" t="inlineStr">
        <is>
          <t>PDF p.174 (印刷頁 173)</t>
        </is>
      </c>
      <c r="F33" s="11" t="inlineStr">
        <is>
          <t>up write down 截至二零二六年三月三十一日止年度， inventories of HK$254,000 (2025: reversal of write down of 本集團將存貨撇減254,000港元（二零 HK$470,000) to their recoverable amount. The reversal of write 二五年：撇減撥回470,000港元）至其 down of inventories during the year ended 31 March 2025 is due 可收回金額。於截至二零二五年三月 to the sale of inventories at net realisable value higher than the 三十一日止年度將存貨撇減撥回乃由 carrying amounts. 於按高於賬面值的可變現淨值銷售存 貨所致。 七元投資控股有限公司 • 二零二六年年報 173</t>
        </is>
      </c>
    </row>
    <row r="34">
      <c r="A34" s="8" t="inlineStr">
        <is>
          <t>Impairment Testing</t>
        </is>
      </c>
      <c r="B34" s="8" t="inlineStr">
        <is>
          <t>減值測試</t>
        </is>
      </c>
      <c r="C34" s="20" t="inlineStr">
        <is>
          <t>high</t>
        </is>
      </c>
      <c r="D34" s="11" t="inlineStr">
        <is>
          <t>recoverable amount</t>
        </is>
      </c>
      <c r="E34" s="11" t="inlineStr">
        <is>
          <t>PDF p.185 (印刷頁 184)</t>
        </is>
      </c>
      <c r="F34" s="11" t="inlineStr">
        <is>
          <t>31 March 2026 and 2025 該不良資產於二零二六年及二零二五 was valued on discounted cash flow approach with reference to the 年三月三十一日之公平值乃參考預期 expected recoverable amounts, expected recovery date, relevant 可收回金額、預期收回日期、變現資 cost incurred to realise the asset and the rate that corresponding to 產產生的相關成本、與預期風險水平 expected risk level and the fair value of the put option. The valuation 相對應的比率及認沽期權的公平值， was performed by an independent qualified valuation firm, APAC 按貼現現金流量法估值。估值由獨立 Asset Valuation and Consulting Limited. 合資格估值師行亞太資產評估及顧問 有限公司進行。 2026 202</t>
        </is>
      </c>
    </row>
    <row r="35">
      <c r="A35" s="8" t="inlineStr">
        <is>
          <t>Intangible Assets &amp; Goodwill</t>
        </is>
      </c>
      <c r="B35" s="8" t="inlineStr">
        <is>
          <t>無形資產及商譽</t>
        </is>
      </c>
      <c r="C35" s="20" t="inlineStr">
        <is>
          <t>high</t>
        </is>
      </c>
      <c r="D35" s="11" t="inlineStr">
        <is>
          <t>攤銷</t>
        </is>
      </c>
      <c r="E35" s="11" t="inlineStr">
        <is>
          <t>PDF p.71 (印刷頁 70)</t>
        </is>
      </c>
      <c r="F35" s="11" t="inlineStr">
        <is>
          <t>fic to the debtors and the macroeconomic 齡分析及準確性測試； environment where the debtors are located. 根據香港財務報告準則第9號「金融工具」 （「香港財務報 告準則第9號」），按攤銷成本計算的金融資產的預期信 貸虧損涉及重大的管理層判斷和高度估計的不確定性。 包括一些關鍵的假設，如違約概率、發生損失時的預期 回收率以及債務人和債務人所在的宏觀經濟環境的特定 前瞻性資料。 70 Annual Report 2026 • Seven Elements Investment Holdings Limited</t>
        </is>
      </c>
    </row>
    <row r="36">
      <c r="A36" s="8" t="inlineStr">
        <is>
          <t>Intangible Assets &amp; Goodwill</t>
        </is>
      </c>
      <c r="B36" s="8" t="inlineStr">
        <is>
          <t>無形資產及商譽</t>
        </is>
      </c>
      <c r="C36" s="20" t="inlineStr">
        <is>
          <t>high</t>
        </is>
      </c>
      <c r="D36" s="11" t="inlineStr">
        <is>
          <t>goodwill</t>
        </is>
      </c>
      <c r="E36" s="11" t="inlineStr">
        <is>
          <t>PDF p.81 (印刷頁 80)</t>
        </is>
      </c>
      <c r="F36" s="11" t="inlineStr">
        <is>
          <t>ES 資產及負債 Non-current assets 非流動資產 Property, plant and equipment 物業、廠房及設備 19 50,844 67,180 Right-of-use assets 使用權資產 20 11,696 15,047 Goodwill 商譽 21 150 – Financial assets at FVOCI 按公平值計入其他全面 收益之金融資產 23 – 2,168 Financial assets at fair value through 按公平值計入損益 profit or loss (“FVTPL”) （「按公平值計入損益」） 之金融資產 28 70,494 56,966 Deposits, prepayments and other 按金、預付款項及其他 receivables 應收款項 26 1,267 14,090 Loans receivable 應收貸款 27 62,910 12,569 197,361 168,020 Current assets 流動資產 Tax recoverable 可收回稅項 167 1,589 Inventories 存貨 24 1,168 1,799 T</t>
        </is>
      </c>
    </row>
    <row r="37">
      <c r="A37" s="8" t="inlineStr">
        <is>
          <t>Intangible Assets &amp; Goodwill</t>
        </is>
      </c>
      <c r="B37" s="8" t="inlineStr">
        <is>
          <t>無形資產及商譽</t>
        </is>
      </c>
      <c r="C37" s="20" t="inlineStr">
        <is>
          <t>high</t>
        </is>
      </c>
      <c r="D37" s="11" t="inlineStr">
        <is>
          <t>goodwill</t>
        </is>
      </c>
      <c r="E37" s="11" t="inlineStr">
        <is>
          <t>PDF p.93 (印刷頁 92)</t>
        </is>
      </c>
      <c r="F37" s="11" t="inlineStr">
        <is>
          <t>etained in that subsidiaries and (ii) the Company’s share of the net 應佔該附屬公司資產淨值加上與該附 assets of that subsidiaries plus any remaining goodwill and any 屬公司有關的任何餘下商譽及任何累 accumulated foreign currency translation reserve relating to that 計外幣換算儲備兩者間的差額。 subsidiaries. 92 Annual Report 2026 • Seven Elements Investment Holdings Limited</t>
        </is>
      </c>
    </row>
    <row r="38">
      <c r="A38" s="8" t="inlineStr">
        <is>
          <t>Intangible Assets &amp; Goodwill</t>
        </is>
      </c>
      <c r="B38" s="8" t="inlineStr">
        <is>
          <t>無形資產及商譽</t>
        </is>
      </c>
      <c r="C38" s="20" t="inlineStr">
        <is>
          <t>high</t>
        </is>
      </c>
      <c r="D38" s="11" t="inlineStr">
        <is>
          <t>goodwill</t>
        </is>
      </c>
      <c r="E38" s="11" t="inlineStr">
        <is>
          <t>PDF p.95 (印刷頁 94)</t>
        </is>
      </c>
      <c r="F38" s="11" t="inlineStr">
        <is>
          <t>RIAL ACCOUNTING POLICIES 4. 重大會計政策（續） (Continued) (b) Business combinations (other than under common (b) 業務合併（受共同控制者除外） control) and goodwill 及商譽 Business combinations are accounted for using the acquisition 業務合併採用收購法入賬。於業務合 method. The consideration transferred in a business combination 併轉撥之對價按公平值計量，並以本 is measured at fair value, which is calculated as the sum of 集團轉撥之資產、本集團對被收購方 the acquisition-date fair values of the assets transferred by the 前擁有人產生之負債及本集團就交換 Group, liabilities incurred by the Group to the former owners 被收購方</t>
        </is>
      </c>
    </row>
    <row r="39">
      <c r="A39" s="8" t="inlineStr">
        <is>
          <t>Intangible Assets &amp; Goodwill</t>
        </is>
      </c>
      <c r="B39" s="8" t="inlineStr">
        <is>
          <t>無形資產及商譽</t>
        </is>
      </c>
      <c r="C39" s="20" t="inlineStr">
        <is>
          <t>high</t>
        </is>
      </c>
      <c r="D39" s="11" t="inlineStr">
        <is>
          <t>goodwill</t>
        </is>
      </c>
      <c r="E39" s="11" t="inlineStr">
        <is>
          <t>PDF p.96 (印刷頁 95)</t>
        </is>
      </c>
      <c r="F39" s="11" t="inlineStr">
        <is>
          <t>RIAL ACCOUNTING POLICIES 4. 重大會計政策（續） (Continued) (b) Business combinations (other than under common (b) 業務合併（受共同控制者除外） control) and goodwill (Continued) 及商譽（續） Goodwill is measured as the excess of the sum of the 商譽按所轉撥對價、於被收購方的任何 consideration transferred, the amount of any non-controlling 非控股權益金額及收購方先前所持有 interests in the acquiree, and the fair value of the acquirer’s 被收購方股權（如有）的公平值的總和 previously held equity in the acquiree (if any) over the net of the 超出所收購的可識別資產及承擔的負 acquisition-date amounts of the identifiable assets acqu</t>
        </is>
      </c>
    </row>
    <row r="40">
      <c r="A40" s="8" t="inlineStr">
        <is>
          <t>Intangible Assets &amp; Goodwill</t>
        </is>
      </c>
      <c r="B40" s="8" t="inlineStr">
        <is>
          <t>無形資產及商譽</t>
        </is>
      </c>
      <c r="C40" s="20" t="inlineStr">
        <is>
          <t>high</t>
        </is>
      </c>
      <c r="D40" s="11" t="inlineStr">
        <is>
          <t>goodwill</t>
        </is>
      </c>
      <c r="E40" s="11" t="inlineStr">
        <is>
          <t>PDF p.98 (印刷頁 97)</t>
        </is>
      </c>
      <c r="F40" s="11" t="inlineStr">
        <is>
          <t>hange differences are reclassified to 額重新分類至綜合損益作為出售 consolidated profit or loss as part of the gain or loss on 收益或虧損的一部分。 disposal. Goodwill and fair value adjustments arising on the acquisition 就收購海外實體所產生之商譽及 of a foreign entity are treated as assets and liabilities of the 公平值調整乃視作海外實體之資 foreign entity and translated at the closing rate. 產及負債，並會以結算匯率換算。 七元投資控股有限公司 • 二零二六年年報 97</t>
        </is>
      </c>
    </row>
    <row r="41">
      <c r="A41" s="8" t="inlineStr">
        <is>
          <t>Intangible Assets &amp; Goodwill</t>
        </is>
      </c>
      <c r="B41" s="8" t="inlineStr">
        <is>
          <t>無形資產及商譽</t>
        </is>
      </c>
      <c r="C41" s="20" t="inlineStr">
        <is>
          <t>high</t>
        </is>
      </c>
      <c r="D41" s="11" t="inlineStr">
        <is>
          <t>可使用年期</t>
        </is>
      </c>
      <c r="E41" s="11" t="inlineStr">
        <is>
          <t>PDF p.99 (印刷頁 98)</t>
        </is>
      </c>
      <c r="F41" s="11" t="inlineStr">
        <is>
          <t>their cost less their residual values over 以撇銷其成本減剩餘價值之比率，於 the estimated useful lives on a straight-line basis. The useful lives 估計可使用年期計算。可使用年期如下： are as follows: Land and building 23 years 土地及房地產 23年 Leasehold improvements Over the lease term or 3 years 租賃物業裝修 整個租期或3年 Machinery 1.5–10 years 機器 1.5–10年 Equipment and tools 3–5 years 設備及工具 3–5年 Furniture, fixtures and equipment 5 years 傢具、固定裝置及 設備 5年 Motor vehicles 5–10 years 汽車 5–10年 The residual values, useful lives and depreciation method are 剩餘價值、可使用年期及折舊方法於 reviewed and a</t>
        </is>
      </c>
    </row>
    <row r="42">
      <c r="A42" s="8" t="inlineStr">
        <is>
          <t>Intangible Assets &amp; Goodwill</t>
        </is>
      </c>
      <c r="B42" s="8" t="inlineStr">
        <is>
          <t>無形資產及商譽</t>
        </is>
      </c>
      <c r="C42" s="20" t="inlineStr">
        <is>
          <t>high</t>
        </is>
      </c>
      <c r="D42" s="11" t="inlineStr">
        <is>
          <t>攤銷</t>
        </is>
      </c>
      <c r="E42" s="11" t="inlineStr">
        <is>
          <t>PDF p.100 (印刷頁 99)</t>
        </is>
      </c>
      <c r="F42" s="11" t="inlineStr">
        <is>
          <t>, using a relevant incremental borrowing rate. 相關增量借款利率貼現。於初步 After initial recognition, the lease liability is measured at 確認後，租賃負債按攤銷成本計 amortised cost and interest expense is calculated using the 量，而利息開支則採用實際利率 effective interest method. 法計量。 七元投資控股有限公司 • 二零二六年年報 99</t>
        </is>
      </c>
    </row>
    <row r="43">
      <c r="A43" s="8" t="inlineStr">
        <is>
          <t>Intangible Assets &amp; Goodwill</t>
        </is>
      </c>
      <c r="B43" s="8" t="inlineStr">
        <is>
          <t>無形資產及商譽</t>
        </is>
      </c>
      <c r="C43" s="20" t="inlineStr">
        <is>
          <t>high</t>
        </is>
      </c>
      <c r="D43" s="11" t="inlineStr">
        <is>
          <t>useful life</t>
        </is>
      </c>
      <c r="E43" s="11" t="inlineStr">
        <is>
          <t>PDF p.101 (印刷頁 100)</t>
        </is>
      </c>
      <c r="F43" s="11" t="inlineStr">
        <is>
          <t>ng leased assets at the 結束時取得相關租賃資產所有權 end of the lease term are depreciated from commencement 的使用權資產由開始日期起至可 date to the end of the useful life. Otherwise, right-of-use 使用年期結束止計提折舊。在其 assets are depreciated on a straight-line basis over the 他情況下，使用權資產按直線法 shorter of its estimated useful life and the lease term. 於其估計可使用年期及租賃期（以 較短者為準）內計提折舊。 The Group presents right-of-use assets as a separate line 本集團於綜合財務報表按照一項 item on the consolidated financial statements. 獨立項目呈列使用權資產。 Refundable rental deposits paid are accounted under 已付可退還</t>
        </is>
      </c>
    </row>
    <row r="44">
      <c r="A44" s="8" t="inlineStr">
        <is>
          <t>Intangible Assets &amp; Goodwill</t>
        </is>
      </c>
      <c r="B44" s="8" t="inlineStr">
        <is>
          <t>無形資產及商譽</t>
        </is>
      </c>
      <c r="C44" s="20" t="inlineStr">
        <is>
          <t>high</t>
        </is>
      </c>
      <c r="D44" s="11" t="inlineStr">
        <is>
          <t>攤銷</t>
        </is>
      </c>
      <c r="E44" s="11" t="inlineStr">
        <is>
          <t>PDF p.104 (印刷頁 103)</t>
        </is>
      </c>
      <c r="F44" s="11" t="inlineStr">
        <is>
          <t>y of assets within the time frame established 付資產的金融資產買賣。所有已確認 by regulation or convention in the marketplace. All recognised 金融資產其後按攤銷成本或公平值（視 financial assets are measured subsequently in their entirety at 金融資產分類而定）整體計量。 either amortised cost or fair value, depending on the classification of the financial assets. Debt investments 債務投資 Debt investments held by the Group are classified into one of the 本集團持有的債務投資分為以下計量 following measurement categories: 類別之一： – amortised cost, if the investment is held for the collection of － 攤銷成</t>
        </is>
      </c>
    </row>
    <row r="45">
      <c r="A45" s="8" t="inlineStr">
        <is>
          <t>Intangible Assets &amp; Goodwill</t>
        </is>
      </c>
      <c r="B45" s="8" t="inlineStr">
        <is>
          <t>無形資產及商譽</t>
        </is>
      </c>
      <c r="C45" s="20" t="inlineStr">
        <is>
          <t>high</t>
        </is>
      </c>
      <c r="D45" s="11" t="inlineStr">
        <is>
          <t>攤銷</t>
        </is>
      </c>
      <c r="E45" s="11" t="inlineStr">
        <is>
          <t>PDF p.105 (印刷頁 104)</t>
        </is>
      </c>
      <c r="F45" s="11" t="inlineStr">
        <is>
          <t>合約資產呈列。 Receivables are stated at amortised cost using the effective 應收款項採用實際利率法減去預期信 interest method less allowance for ECL. 貸虧損撥備，按攤銷成本列賬。 (k) Cash and cash equivalents (k) 現金及現金等價物 Cash and cash equivalents comprise cash at bank and on hand, 現金及現金等價物包括銀行及手頭現 demand deposits with banks and other financial institutions, and 金、存於銀行及其他金融機構之活期存 short-term, highly liquid investments that are readily convertible 款，以及可隨時轉換為已知數額現金 into known amounts of cash and which are subject to an 而價值變動風險不大並在購入後三個 insignificant risk of changes in</t>
        </is>
      </c>
    </row>
    <row r="46">
      <c r="A46" s="8" t="inlineStr">
        <is>
          <t>Intangible Assets &amp; Goodwill</t>
        </is>
      </c>
      <c r="B46" s="8" t="inlineStr">
        <is>
          <t>無形資產及商譽</t>
        </is>
      </c>
      <c r="C46" s="20" t="inlineStr">
        <is>
          <t>high</t>
        </is>
      </c>
      <c r="D46" s="11" t="inlineStr">
        <is>
          <t>攤銷</t>
        </is>
      </c>
      <c r="E46" s="11" t="inlineStr">
        <is>
          <t>PDF p.106 (印刷頁 105)</t>
        </is>
      </c>
      <c r="F46" s="11" t="inlineStr">
        <is>
          <t>借款於初始時按公平值扣除已產生的 costs incurred, and subsequently measured at amortised cost 交易成本確認，其後使用實際利率法 using the effective interest method. 按攤銷成本計量。 Borrowings are classified as current liabilities unless as at the end 除非於報告期末，本集團有權將負債 of the reporting period, the Group has a right to defer settlement 結算遞延至報告期末後至少十二個月， of the liability for at least 12 months after the end of the reporting 否則借款分類為流動負債。 period. (n) Trade and other payables (n) 貿易及其他應付款項 Trade and other payables are recognised initially at their fair 貿易及其他應付款項於初始時按彼等 valu</t>
        </is>
      </c>
    </row>
    <row r="47">
      <c r="A47" s="8" t="inlineStr">
        <is>
          <t>Intangible Assets &amp; Goodwill</t>
        </is>
      </c>
      <c r="B47" s="8" t="inlineStr">
        <is>
          <t>無形資產及商譽</t>
        </is>
      </c>
      <c r="C47" s="20" t="inlineStr">
        <is>
          <t>high</t>
        </is>
      </c>
      <c r="D47" s="11" t="inlineStr">
        <is>
          <t>攤銷</t>
        </is>
      </c>
      <c r="E47" s="11" t="inlineStr">
        <is>
          <t>PDF p.108 (印刷頁 107)</t>
        </is>
      </c>
      <c r="F47" s="11" t="inlineStr">
        <is>
          <t>s recognised as it accrues using the effective 利息收入於產生時根據實際利率法確 interest method. For financial assets measured at amortised cost 認。就按攤銷成本計量且並無信貸減 that are not credit-impaired, the effective interest rate is applied to 值的金融資產而言，實際利息法適用 the gross carrying amount of the asset. 於資產的總賬面值。 Rental income receivable under operating leases is recognised in 根據經營租賃應收的租金收入於租賃 profit or loss in equal instalments over the periods covered by the 期所涵蓋的期間以等額分期方式在損 lease term. 益中確認。 Revenue from transportation, repair and maintenance services is</t>
        </is>
      </c>
    </row>
    <row r="48">
      <c r="A48" s="8" t="inlineStr">
        <is>
          <t>Intangible Assets &amp; Goodwill</t>
        </is>
      </c>
      <c r="B48" s="8" t="inlineStr">
        <is>
          <t>無形資產及商譽</t>
        </is>
      </c>
      <c r="C48" s="20" t="inlineStr">
        <is>
          <t>high</t>
        </is>
      </c>
      <c r="D48" s="11" t="inlineStr">
        <is>
          <t>goodwill</t>
        </is>
      </c>
      <c r="E48" s="11" t="inlineStr">
        <is>
          <t>PDF p.111 (印刷頁 110)</t>
        </is>
      </c>
      <c r="F48" s="11" t="inlineStr">
        <is>
          <t>資產。倘暫時差額源自商 can be utilised. Such assets and liabilities are not recognised if 譽或初步確認不會影響應課稅溢利及 the temporary difference arises from goodwill or from the initial 會計溢利的交易（業務合併除外）中其 recognition (other than in a business combination) of other assets 他資產及負債及並不會產生相等應課 and liabilities in a transaction that affects neither the taxable profit 稅及可扣稅暫時差額，則不會確認有 nor the accounting profit and does not give rise to equal taxable 關資產及負債。 and deductible temporary differences. 110 Annual Report 2026 • Seven Elements Investment Holdings Limited</t>
        </is>
      </c>
    </row>
    <row r="49">
      <c r="A49" s="8" t="inlineStr">
        <is>
          <t>Intangible Assets &amp; Goodwill</t>
        </is>
      </c>
      <c r="B49" s="8" t="inlineStr">
        <is>
          <t>無形資產及商譽</t>
        </is>
      </c>
      <c r="C49" s="20" t="inlineStr">
        <is>
          <t>high</t>
        </is>
      </c>
      <c r="D49" s="11" t="inlineStr">
        <is>
          <t>goodwill</t>
        </is>
      </c>
      <c r="E49" s="11" t="inlineStr">
        <is>
          <t>PDF p.113 (印刷頁 112)</t>
        </is>
      </c>
      <c r="F49" s="11" t="inlineStr">
        <is>
          <t>的稅前貼現率計算。 impairment is being measured. Impairment losses for cash-generating units are allocated first 現金產生單位的減值虧損首先用於抵 against the goodwill of the unit and then pro rata amongst the 銷單位商譽，然後於現金產生單位的 other assets of the cash-generating unit. Subsequent increases 其他資產之間按比例分配。隨後估計 in the recoverable amount caused by changes in estimates 變動導致的可收回金額增長計入損益， are credited to profit or loss to the extent that they reverse the 以撥回減值為限。 impairment. 112 Annual Report 2026 • Seven Elements Investment Holdings Limited</t>
        </is>
      </c>
    </row>
    <row r="50">
      <c r="A50" s="8" t="inlineStr">
        <is>
          <t>Intangible Assets &amp; Goodwill</t>
        </is>
      </c>
      <c r="B50" s="8" t="inlineStr">
        <is>
          <t>無形資產及商譽</t>
        </is>
      </c>
      <c r="C50" s="20" t="inlineStr">
        <is>
          <t>high</t>
        </is>
      </c>
      <c r="D50" s="11" t="inlineStr">
        <is>
          <t>攤銷</t>
        </is>
      </c>
      <c r="E50" s="11" t="inlineStr">
        <is>
          <t>PDF p.114 (印刷頁 113)</t>
        </is>
      </c>
      <c r="F50" s="11" t="inlineStr">
        <is>
          <t>會計政策（續） (Continued) (v) Impairment of financial assets (v) 金融資產之減值 The Group recognises a loss allowance for ECL on investments 本集團就按攤銷成本計量的債務工具 in debt instruments that are measured at amortised cost. The 投資確認預期信貸虧損之虧損撥備。 amount of ECL is updated at each reporting date to reflect 預期信貸虧損金額於各報告日期更新， changes in credit risk since initial recognition of the respective 以反映信貸風險自初始確認有關金融 financial instrument. 工具以來之變動。 The Group considers a broader range of information when 本集團在評估信貸風險及計量預期信 assessing credit risk and measuring ECL, incl</t>
        </is>
      </c>
    </row>
    <row r="51">
      <c r="A51" s="8" t="inlineStr">
        <is>
          <t>Intangible Assets &amp; Goodwill</t>
        </is>
      </c>
      <c r="B51" s="8" t="inlineStr">
        <is>
          <t>無形資產及商譽</t>
        </is>
      </c>
      <c r="C51" s="20" t="inlineStr">
        <is>
          <t>high</t>
        </is>
      </c>
      <c r="D51" s="11" t="inlineStr">
        <is>
          <t>攤銷</t>
        </is>
      </c>
      <c r="E51" s="11" t="inlineStr">
        <is>
          <t>PDF p.119 (印刷頁 118)</t>
        </is>
      </c>
      <c r="F51" s="11" t="inlineStr">
        <is>
          <t>at the original effective interest rate. 量之間的差額，並按初步實際利率貼現。 The Group recognises an impairment gain or loss in profit or loss 本集團就全部按攤銷成本計量的金融 for all financial instruments measured at amortised cost with a 工具於損益確認減值收益或虧損，並 corresponding adjustment to their carrying amount through a loss 透過虧損撥備賬目對其賬面值進行相 allowance account. 應調整。 118 Annual Report 2026 • Seven Elements Investment Holdings Limited</t>
        </is>
      </c>
    </row>
    <row r="52">
      <c r="A52" s="8" t="inlineStr">
        <is>
          <t>Intangible Assets &amp; Goodwill</t>
        </is>
      </c>
      <c r="B52" s="8" t="inlineStr">
        <is>
          <t>無形資產及商譽</t>
        </is>
      </c>
      <c r="C52" s="20" t="inlineStr">
        <is>
          <t>high</t>
        </is>
      </c>
      <c r="D52" s="11" t="inlineStr">
        <is>
          <t>可使用年期</t>
        </is>
      </c>
      <c r="E52" s="11" t="inlineStr">
        <is>
          <t>PDF p.124 (印刷頁 123)</t>
        </is>
      </c>
      <c r="F52" s="11" t="inlineStr">
        <is>
          <t>） (i) Estimated useful lives and residual values of machinery (i) 分類在物業、廠房及設備項下 classified under property, plant and equipment 的機器的估計可使用年期及剩 餘價值 Management estimates useful lives of the machinery classified 管理層乃參考本集團的業務模式、 under property, plant and equipment by reference to the 其資產管理政策、行業慣例、資 Group’s business model, its assets management policy, the 產預期用途、預期維修及保養、 industry practice, expected usage of the assets, expected 因市場變化或改善導致的技術或 repair and maintenance, the technical or commercial 商業方面過時，以估計分類在物 obsolescence arising from</t>
        </is>
      </c>
    </row>
    <row r="53">
      <c r="A53" s="8" t="inlineStr">
        <is>
          <t>Intangible Assets &amp; Goodwill</t>
        </is>
      </c>
      <c r="B53" s="8" t="inlineStr">
        <is>
          <t>無形資產及商譽</t>
        </is>
      </c>
      <c r="C53" s="20" t="inlineStr">
        <is>
          <t>high</t>
        </is>
      </c>
      <c r="D53" s="11" t="inlineStr">
        <is>
          <t>攤銷</t>
        </is>
      </c>
      <c r="E53" s="11" t="inlineStr">
        <is>
          <t>PDF p.125 (印刷頁 124)</t>
        </is>
      </c>
      <c r="F53" s="11" t="inlineStr">
        <is>
          <t>sources of estimation uncertainty (Continued) (b) 估計不確定性之主要來源（續） (ii) Impairment of financial assets measure at amortised cost (ii) 按攤銷成本計量的金融資產減 值 The management of the Group estimates the amount of 本集團管理層根據十二個月或整 ECL allowance of financial assets measure at amortised cost 個存續期之預期信貸虧損評估按 based on 12-month or lifetime ECL assessment. The amount 攤銷成本計量的金融資產之預期 of the ECL allowance based on ECL model is measured as 信貸虧損撥備金額。根據預期信 the difference between all contractual cash flows that are 貸虧損模型計算的預期信貸虧損 due to the Group in accorda</t>
        </is>
      </c>
    </row>
    <row r="54">
      <c r="A54" s="8" t="inlineStr">
        <is>
          <t>Intangible Assets &amp; Goodwill</t>
        </is>
      </c>
      <c r="B54" s="8" t="inlineStr">
        <is>
          <t>無形資產及商譽</t>
        </is>
      </c>
      <c r="C54" s="20" t="inlineStr">
        <is>
          <t>high</t>
        </is>
      </c>
      <c r="D54" s="11" t="inlineStr">
        <is>
          <t>攤銷</t>
        </is>
      </c>
      <c r="E54" s="11" t="inlineStr">
        <is>
          <t>PDF p.129 (印刷頁 128)</t>
        </is>
      </c>
      <c r="F54" s="11" t="inlineStr">
        <is>
          <t>rom the provisions • 銷售貨品及提供服務之貿易應收 of services; 款項； • loans receivable; and • 應收貸款；及 • other financial assets at amortised cost. • 按攤銷成本列賬之其他金融資產。 (i) Bank and cash balances (i) 銀行及現金結餘 The Group’s bank deposits are placed with banks and 本集團之銀行存款存於知名跨國 financial institutions which are highly reputable with 銀行及金融機構。投資交易由具 multinational presences. Investment transactions are 有良好信用評級的金融機構執行， executed with financial institutions with sound credit ratings 本集團預計不會出現任何重大交 and the Group does not expect any significant counterparty 易對手</t>
        </is>
      </c>
    </row>
    <row r="55">
      <c r="A55" s="8" t="inlineStr">
        <is>
          <t>Intangible Assets &amp; Goodwill</t>
        </is>
      </c>
      <c r="B55" s="8" t="inlineStr">
        <is>
          <t>無形資產及商譽</t>
        </is>
      </c>
      <c r="C55" s="20" t="inlineStr">
        <is>
          <t>high</t>
        </is>
      </c>
      <c r="D55" s="11" t="inlineStr">
        <is>
          <t>攤銷</t>
        </is>
      </c>
      <c r="E55" s="11" t="inlineStr">
        <is>
          <t>PDF p.132 (印刷頁 131)</t>
        </is>
      </c>
      <c r="F55" s="11" t="inlineStr">
        <is>
          <t>ISK MANAGEMENT (Continued) 6. 財務風險管理（續） (c) Credit risk (Continued) (c) 信貸風險（續） (iv) Other financial assets at amortised costs (iv) 按攤銷成本列賬之其他金融資 產 The Group applies the ECL model on other financial assets 本集團將預期信貸虧損模型應用 at amortised cost. Impairment on other financial assets at 於按攤銷成本列賬之其他金融資 amortised cost are measured as either 12-month or lifetime 產。按攤銷成本列賬之其他金融 ECL, depending on whether there has been a significant 資產之減值按十二個月或整個存 increase in credit risk since initial recognition. If a significant 續期之預期信貸虧損計量，取決 increase in</t>
        </is>
      </c>
    </row>
    <row r="56">
      <c r="A56" s="8" t="inlineStr">
        <is>
          <t>Intangible Assets &amp; Goodwill</t>
        </is>
      </c>
      <c r="B56" s="8" t="inlineStr">
        <is>
          <t>無形資產及商譽</t>
        </is>
      </c>
      <c r="C56" s="20" t="inlineStr">
        <is>
          <t>high</t>
        </is>
      </c>
      <c r="D56" s="11" t="inlineStr">
        <is>
          <t>攤銷</t>
        </is>
      </c>
      <c r="E56" s="11" t="inlineStr">
        <is>
          <t>PDF p.135 (印刷頁 134)</t>
        </is>
      </c>
      <c r="F56" s="11" t="inlineStr">
        <is>
          <t>t FVTPL 強制按公平值計入損益計量 – Held for trading －持作買賣 7,785 3,753 – Distressed asset －不良資產 70,494 56,966 Financial assets at amortised cost 按攤銷成本計量的金融資產 273,831 262,632 Financial assets at FVOCI 按公平值計入其他全面收益之金 融資產 796 2,168 Financial liabilities: 金融負債： Financial liabilities at amortised cost 按攤銷成本計量的金融負債 74,375 72,196 Lease liabilities 租賃負債 12,702 15,202 (g) Fair values (g) 公平值 Except as disclosed in note 7 to the consolidated financial 除綜合財務報表附註7所披露者外，本 statements, the carrying amounts of the Group’s financial assets 集團計入綜合財務狀況表中的金融資</t>
        </is>
      </c>
    </row>
    <row r="57">
      <c r="A57" s="8" t="inlineStr">
        <is>
          <t>Intangible Assets &amp; Goodwill</t>
        </is>
      </c>
      <c r="B57" s="8" t="inlineStr">
        <is>
          <t>無形資產及商譽</t>
        </is>
      </c>
      <c r="C57" s="20" t="inlineStr">
        <is>
          <t>high</t>
        </is>
      </c>
      <c r="D57" s="11" t="inlineStr">
        <is>
          <t>amortisation</t>
        </is>
      </c>
      <c r="E57" s="11" t="inlineStr">
        <is>
          <t>PDF p.146 (印刷頁 145)</t>
        </is>
      </c>
      <c r="F57" s="11" t="inlineStr">
        <is>
          <t>稅前分部（虧損）╱溢利 (1,176) (5,009) (42,852) (32,109) 41,781 (7,580) (894) (3,984) 4,131 2,376 (554) – – – – – 436 (46,306) Depreciation and amortisation 折舊及攤銷 – – (29,950) (34,126) – – (18,298) (28,291) – – – – (619) (305) – – (48,867) (62,722) Loss on disposal of property, 出售物業、廠房及設備的虧損 plant and equipment – – (1,007) (4,260) – – – – – – – – – – – – (1,007) (4,260) Written-off on property, plant 撇銷物業、廠房及設備 and equipment – – (172) (448) – – (1,306) (2,769) – – – – – – – – (1,478) (3,217) Impairment loss on property, 物業、廠房及設備減值虧損 plant</t>
        </is>
      </c>
    </row>
    <row r="58">
      <c r="A58" s="8" t="inlineStr">
        <is>
          <t>Intangible Assets &amp; Goodwill</t>
        </is>
      </c>
      <c r="B58" s="8" t="inlineStr">
        <is>
          <t>無形資產及商譽</t>
        </is>
      </c>
      <c r="C58" s="20" t="inlineStr">
        <is>
          <t>high</t>
        </is>
      </c>
      <c r="D58" s="11" t="inlineStr">
        <is>
          <t>useful life</t>
        </is>
      </c>
      <c r="E58" s="11" t="inlineStr">
        <is>
          <t>PDF p.162 (印刷頁 161)</t>
        </is>
      </c>
      <c r="F58" s="11" t="inlineStr">
        <is>
          <t>lation using cash flow 港元）。物業、廠房及設備項目的可收 projections based on financial budgets covering a period of the 回金額根據使用價值計算釐定，而使用 remaining useful life or five years. The key assumptions for the 價值計算採用基於涵蓋剩餘可使用年 discounted cash flow method were the discount rate, growth rate 期或五年期間的財務預算所得現金流 and revenue during the period. The pre-tax discount rates applied 量預測。貼現現金流量法的主要假設 for the cash flow projection was ranging from 7.68% to 11.33% 為期內有關貼現率、增長率及收益的 (2025: 9.39% to 9.50%). 假設。現金流量預測所採用的除稅前 貼現率介乎7.68%至11.33%（二零二五 年：9.39%至9.50%）。 20. 使</t>
        </is>
      </c>
    </row>
    <row r="59">
      <c r="A59" s="8" t="inlineStr">
        <is>
          <t>Intangible Assets &amp; Goodwill</t>
        </is>
      </c>
      <c r="B59" s="8" t="inlineStr">
        <is>
          <t>無形資產及商譽</t>
        </is>
      </c>
      <c r="C59" s="20" t="inlineStr">
        <is>
          <t>high</t>
        </is>
      </c>
      <c r="D59" s="11" t="inlineStr">
        <is>
          <t>goodwill</t>
        </is>
      </c>
      <c r="E59" s="11" t="inlineStr">
        <is>
          <t>PDF p.164 (印刷頁 163)</t>
        </is>
      </c>
      <c r="F59" s="11" t="inlineStr">
        <is>
          <t>Notes to the Consolidated Financial Statements 綜合財務報表附註 For the year ended 31 March 2026 截至二零二六年三月三十一日止年度 21. GOODWILL 21. 商譽 HK$’000 千港元 Cost 成本 At 1 April 2024, 31 March 2025 and 於二零二四年四月一日、二零二五年三月 1 April 2025 三十一日及二零二五年四月一日 61 Deregistration of a subsidiary 一間附屬公司註銷登記 (61) Acquisition of subsidiaries (note 43) 收購附屬公司（附註43） 150 At 31 March 2026 於二零二六年三月三十一日 150 Accumulated impairment losses 累計減值虧損 At 1 April 2024, 31 March 2025 and 於二零二四年四月一日、二零二五年三月 1 April 2025 三十一日及二零二五年四月一日 61 Deregistration of a s</t>
        </is>
      </c>
    </row>
    <row r="60">
      <c r="A60" s="8" t="inlineStr">
        <is>
          <t>Intangible Assets &amp; Goodwill</t>
        </is>
      </c>
      <c r="B60" s="8" t="inlineStr">
        <is>
          <t>無形資產及商譽</t>
        </is>
      </c>
      <c r="C60" s="20" t="inlineStr">
        <is>
          <t>high</t>
        </is>
      </c>
      <c r="D60" s="11" t="inlineStr">
        <is>
          <t>goodwill</t>
        </is>
      </c>
      <c r="E60" s="11" t="inlineStr">
        <is>
          <t>PDF p.207 (印刷頁 206)</t>
        </is>
      </c>
      <c r="F60" s="11" t="inlineStr">
        <is>
          <t>保險經紀領域之良機。 brokerage in Hong Kong. Details of the purchase consideration, the identifiable net assets 購買對價、所收購可識別資產淨值及 acquired and goodwill are as follows: 商譽之詳情如下： HK$’000 千港元 Total purchase consideration payable 於二零二六年三月三十一日應付之 as at 31 March 2026 總購買對價 567 Fair value 公平值 HK$’000 千港元 Cash and cash equivalents 現金及現金等價物 756 Accruals and other payables 應計費用及其他應付款項 (189) 567 Less: Non-controlling interests 減：非控股權益 (150) Add: goodwill (note 21) 加：商譽（附註21） 150 567 Cash inflow on acquisition: 收購現金流入： Cash acquired in the subsidiar</t>
        </is>
      </c>
    </row>
    <row r="61">
      <c r="A61" s="8" t="inlineStr">
        <is>
          <t>Intangible Assets &amp; Goodwill</t>
        </is>
      </c>
      <c r="B61" s="8" t="inlineStr">
        <is>
          <t>無形資產及商譽</t>
        </is>
      </c>
      <c r="C61" s="20" t="inlineStr">
        <is>
          <t>high</t>
        </is>
      </c>
      <c r="D61" s="11" t="inlineStr">
        <is>
          <t>intangible asset</t>
        </is>
      </c>
      <c r="E61" s="11" t="inlineStr">
        <is>
          <t>PDF p.208 (印刷頁 207)</t>
        </is>
      </c>
      <c r="F61" s="11" t="inlineStr">
        <is>
          <t>資產的 not be separately recognised from goodwill because they do not 確認準則，故不能獨立於商譽以外確認。 meet the recognition criteria for identifiable intangible assets. 七元投資控股有限公司 • 二零二六年年報 207</t>
        </is>
      </c>
    </row>
    <row r="62">
      <c r="A62" s="8" t="inlineStr">
        <is>
          <t>Investment Properties</t>
        </is>
      </c>
      <c r="B62" s="8" t="inlineStr">
        <is>
          <t>投資物業</t>
        </is>
      </c>
      <c r="C62" s="20" t="inlineStr">
        <is>
          <t>high</t>
        </is>
      </c>
      <c r="D62" s="11" t="inlineStr">
        <is>
          <t>投資物業</t>
        </is>
      </c>
      <c r="E62" s="11" t="inlineStr">
        <is>
          <t>PDF p.12 (印刷頁 11)</t>
        </is>
      </c>
      <c r="F62" s="11" t="inlineStr">
        <is>
          <t>imately HK$32.8 million for the Year. Such 百萬港元。有關減少主要因室內遊戲室業務 decrease was mainly the result of lower income from our indoor 所得收入下降及投資物業租金收入減少所致。 amusement arcade business and reduced rental income from investment properties. Money Lending 放債 Our Group’s interest income on loans receivable increased by 本集團的應收貸款利息收入由約4.9百萬港 approximately HK$9.9 million, or approximately 201.7%, from 元增加約9.9百萬港元或約201.7%至約14.8 approximately HK$4.9 million to approximately HK$14.8 million. Such 百萬港元。有關增加主要是由於本年度貸款 increase was mainly due to higher</t>
        </is>
      </c>
    </row>
    <row r="63">
      <c r="A63" s="8" t="inlineStr">
        <is>
          <t>ESG Data</t>
        </is>
      </c>
      <c r="B63" s="8" t="inlineStr">
        <is>
          <t>環境社會及管治數據</t>
        </is>
      </c>
      <c r="C63" s="8" t="inlineStr">
        <is>
          <t>medium</t>
        </is>
      </c>
      <c r="D63" s="11" t="inlineStr">
        <is>
          <t>環境、社會及管治</t>
        </is>
      </c>
      <c r="E63" s="11" t="inlineStr">
        <is>
          <t>PDF p.46 (印刷頁 45)</t>
        </is>
      </c>
      <c r="F63" s="11" t="inlineStr">
        <is>
          <t>levels (including our senior management) 員工（包括高級管理層）的性別多樣性於本公 is disclosed in the Company’s Environmental, Social and Governance 司的「環境、社會及管治報告」中披露。 Report. DIRECTORS’ AND AUDITORS RESPONSIBILITY IN 董事及核數師編製財務報表 RESPECT OF THE FINANCIAL STATEMENTS 的責任 The Directors acknowledge their responsibility for the preparation of 董事知悉彼等就編製財務報表，以真實與公 financial statements which give a true and fair view of the state of affairs 平原則反映本集團狀況的責任。在編製該等 of the Group. In preparing the financial statements which give a true and 真實與公平的財務報表時，董事必須選擇及</t>
        </is>
      </c>
    </row>
    <row r="64">
      <c r="A64" s="8" t="inlineStr">
        <is>
          <t>Segment Information</t>
        </is>
      </c>
      <c r="B64" s="8" t="inlineStr">
        <is>
          <t>分部資料</t>
        </is>
      </c>
      <c r="C64" s="8" t="inlineStr">
        <is>
          <t>medium</t>
        </is>
      </c>
      <c r="D64" s="11" t="inlineStr">
        <is>
          <t>reportable segment</t>
        </is>
      </c>
      <c r="E64" s="11" t="inlineStr">
        <is>
          <t>PDF p.8 (印刷頁 7)</t>
        </is>
      </c>
      <c r="F64" s="11" t="inlineStr">
        <is>
          <t>ition marks the Group’s initial 收購標誌著本集團初步進入保險經紀 entry into the insurance brokerage business and constitutes 業務，並構成本集團一個新的可呈報分 a new reportable segment of the Group. For the period from 部。自收購日期起至二零二六年三月 the date of acquisition to 31 March 2026, the Seven Elements 三十一日期間，七元財富管理集團貢 Wealth Management Group contributed revenue of approximately 獻收益約16,000港元，並產生虧損約0.6 HK$16,000 and incurred a loss of approximately HK$0.6 million. 百萬港元。 4. Fu On Group Holdings Company Limited (“Fu On”): Subsequent 4. 富安集團控股有限公司（「富安」）：於報 to the end of</t>
        </is>
      </c>
    </row>
    <row r="65">
      <c r="A65" s="8" t="inlineStr">
        <is>
          <t>Segment Information</t>
        </is>
      </c>
      <c r="B65" s="8" t="inlineStr">
        <is>
          <t>分部資料</t>
        </is>
      </c>
      <c r="C65" s="8" t="inlineStr">
        <is>
          <t>medium</t>
        </is>
      </c>
      <c r="D65" s="11" t="inlineStr">
        <is>
          <t>reportable segment</t>
        </is>
      </c>
      <c r="E65" s="11" t="inlineStr">
        <is>
          <t>PDF p.19 (印刷頁 18)</t>
        </is>
      </c>
      <c r="F65" s="11" t="inlineStr">
        <is>
          <t>the Group’s initial entry 從事保險經紀業務，標誌著本集團初 into the financial services sector. Insurance brokerage has become 步進入金融服務領域，保險經紀已成 a new reportable segment of the Group. 為本集團新的可呈報分部。 (d) Significant investment held: As at 31 March 2026, the Group held (d) 持有的重大投資：於二零二六年三 a distressed asset measured at fair value through profit or loss 月三十一日，本集團持有賬面值為 with a carrying amount of approximately HK$70.5 million (2025: 約70.5 百萬港元（二零二五年：約 approximately HK$57.0 million), representing approximately 16.9% 57.0百萬港元）的按公平值計入損益 of the Group’s tot</t>
        </is>
      </c>
    </row>
    <row r="66">
      <c r="A66" s="8" t="inlineStr">
        <is>
          <t>Segment Information</t>
        </is>
      </c>
      <c r="B66" s="8" t="inlineStr">
        <is>
          <t>分部資料</t>
        </is>
      </c>
      <c r="C66" s="8" t="inlineStr">
        <is>
          <t>medium</t>
        </is>
      </c>
      <c r="D66" s="11" t="inlineStr">
        <is>
          <t>operating segment</t>
        </is>
      </c>
      <c r="E66" s="11" t="inlineStr">
        <is>
          <t>PDF p.120 (印刷頁 119)</t>
        </is>
      </c>
      <c r="F66" s="11" t="inlineStr">
        <is>
          <t>losed as 披露作或然負債，除非流出之機率很低， contingent liabilities unless the probability of outflow is remote. 則作別論。 (x) Segment reporting (x) 分部報告 Operating segments, and the amounts of each segment item 本集團為分配資源予本集團各項業務 reported in the consolidated financial statements, are identified 及各個地區以及評估各項業務及各個 from the financial information provided regularly to the executive 地區的業績，而定期向本集團執行董 directors of the Group, being the chief operating decision maker 事（即主要營運決策者）（「主要營運決 (the “CODM”), for the purposes of allocating resources to, and 策者」）提供財務資料。從</t>
        </is>
      </c>
    </row>
    <row r="67">
      <c r="A67" s="8" t="inlineStr">
        <is>
          <t>Segment Information</t>
        </is>
      </c>
      <c r="B67" s="8" t="inlineStr">
        <is>
          <t>分部資料</t>
        </is>
      </c>
      <c r="C67" s="8" t="inlineStr">
        <is>
          <t>medium</t>
        </is>
      </c>
      <c r="D67" s="11" t="inlineStr">
        <is>
          <t>geographical</t>
        </is>
      </c>
      <c r="E67" s="11" t="inlineStr">
        <is>
          <t>PDF p.142 (印刷頁 141)</t>
        </is>
      </c>
      <c r="F67" s="11" t="inlineStr">
        <is>
          <t>nd services 本集團按以下主要產品及服務線及地 over time and at a point in time in the following major product and 區隨時間及於某一時間點轉移貨品及 services lines and geographical regions: 服務產生收益： Revenue from contracts with customers within the scope of 香港財務報告準則第15號範圍內 HKFRS 15 的客戶合約收益 Sales of machinery and spare parts and Property leasing, provision of related Transportation Property management subletting, retail and Insurance brokerage services services services others commission income Total 銷售機械及 備用零件以及 物業租賃、轉租、 提供相關服務 運輸服務 物業管理服務 零售及其他 保險經紀佣金收入 總計 2026 2</t>
        </is>
      </c>
    </row>
    <row r="68">
      <c r="A68" s="8" t="inlineStr">
        <is>
          <t>Segment Information</t>
        </is>
      </c>
      <c r="B68" s="8" t="inlineStr">
        <is>
          <t>分部資料</t>
        </is>
      </c>
      <c r="C68" s="8" t="inlineStr">
        <is>
          <t>medium</t>
        </is>
      </c>
      <c r="D68" s="11" t="inlineStr">
        <is>
          <t>geographical</t>
        </is>
      </c>
      <c r="E68" s="11" t="inlineStr">
        <is>
          <t>PDF p.143 (印刷頁 142)</t>
        </is>
      </c>
      <c r="F68" s="11" t="inlineStr">
        <is>
          <t>零二六年 二零二五年 二零二五年 二零二五年 二零二五年 HK$’000 HK$’000 HK$’000 HK$’000 HK$’000 HK$’000 HK$’000 HK$’000 千港元 千港元 千港元 千港元 千港元 千港元 千港元 千港元 Primary geographical markets 主要地區市場 Hong Kong 香港 27,239 44,630 – – 13,782 3,608 41,021 48,238 The PRC except Hong Kong 中國（香港除外） – 3,760 455 2,684 966 1,281 1,421 7,725 Revenue from external customers 來自外部客戶的收益 27,239 48,390 455 2,684 14,748 4,889 42,442 55,963 All contracts with customers within the scope of HKFRS 15 are 香港財務報告準則第15號範圍內的所 for periods of one year or less. As permitted under HKFRS 15, the 有</t>
        </is>
      </c>
    </row>
    <row r="69">
      <c r="A69" s="8" t="inlineStr">
        <is>
          <t>Segment Information</t>
        </is>
      </c>
      <c r="B69" s="8" t="inlineStr">
        <is>
          <t>分部資料</t>
        </is>
      </c>
      <c r="C69" s="8" t="inlineStr">
        <is>
          <t>medium</t>
        </is>
      </c>
      <c r="D69" s="11" t="inlineStr">
        <is>
          <t>segment information</t>
        </is>
      </c>
      <c r="E69" s="11" t="inlineStr">
        <is>
          <t>PDF p.145 (印刷頁 144)</t>
        </is>
      </c>
      <c r="F69" s="11" t="inlineStr">
        <is>
          <t>Notes to the Consolidated Financial Statements 綜合財務報表附註 For the year ended 31 March 2026 截至二零二六年三月三十一日止年度 10. SEGMENT INFORMATION 10. 分部資料 The Group has six (2025: five) reportable segments as follows: 本集團有以下六個（二零二五年：五個） 可呈報分部： (i) Trading – Sales of machinery and spare parts (i) 貿易 －銷售機械及備用 and provision of related services 零件以及提供 相關服務 (ii) Leasing – Leasing of machinery and provision of (ii) 租賃 －租賃機械及提供 transportation and related services 運輸及相關服 務 (iii) Property – Provision of property management (iii)</t>
        </is>
      </c>
    </row>
    <row r="70">
      <c r="A70" s="8" t="inlineStr">
        <is>
          <t>Segment Information</t>
        </is>
      </c>
      <c r="B70" s="8" t="inlineStr">
        <is>
          <t>分部資料</t>
        </is>
      </c>
      <c r="C70" s="8" t="inlineStr">
        <is>
          <t>medium</t>
        </is>
      </c>
      <c r="D70" s="11" t="inlineStr">
        <is>
          <t>segment information</t>
        </is>
      </c>
      <c r="E70" s="11" t="inlineStr">
        <is>
          <t>PDF p.146 (印刷頁 145)</t>
        </is>
      </c>
      <c r="F70" s="11" t="inlineStr">
        <is>
          <t>Notes to the Consolidated Financial Statements 綜合財務報表附註 For the year ended 31 March 2026 截至二零二六年三月三十一日止年度 10. SEGMENT INFORMATION (Continued) 10. 分部資料（續） The accounting policies of the operating segments are the same as 經營分部的會計政策與綜合財務報表 those described in note 4 to the consolidated financial statements. 附註4所述者相同。分部溢利或虧損並 Segment profits or losses do not include corporate income and 不包括公司收入及開支、若干其他收 expenses, certain other gain and losses, finance income, finance 益及虧損、財務收入、財務成本及所得 costs and income tax. 稅。</t>
        </is>
      </c>
    </row>
    <row r="71">
      <c r="A71" s="8" t="inlineStr">
        <is>
          <t>Segment Information</t>
        </is>
      </c>
      <c r="B71" s="8" t="inlineStr">
        <is>
          <t>分部資料</t>
        </is>
      </c>
      <c r="C71" s="8" t="inlineStr">
        <is>
          <t>medium</t>
        </is>
      </c>
      <c r="D71" s="11" t="inlineStr">
        <is>
          <t>segment information</t>
        </is>
      </c>
      <c r="E71" s="11" t="inlineStr">
        <is>
          <t>PDF p.147 (印刷頁 146)</t>
        </is>
      </c>
      <c r="F71" s="11" t="inlineStr">
        <is>
          <t>Notes to the Consolidated Financial Statements 綜合財務報表附註 For the year ended 31 March 2026 截至二零二六年三月三十一日止年度 10. SEGMENT INFORMATION (Continued) 10. 分部資料（續） (ii) Recognition of reportable segments revenue and (ii) 可呈報分部收益與損益的對 profit or loss: 賬： 2026 2025 二零二六年 二零二五年 HK$’000 HK$’000 千港元 千港元 Revenue 收益 Total revenue of reportable segments 可呈報分部收益總額 171,716 197,899 Profit or loss 損益 Total profit or loss of reportable segments 可呈報分部損益總額 436 (46,306) Unallocated amounts (note): 未分配金額（附註）： Unallocated corporate i</t>
        </is>
      </c>
    </row>
    <row r="72">
      <c r="A72" s="8" t="inlineStr">
        <is>
          <t>Segment Information</t>
        </is>
      </c>
      <c r="B72" s="8" t="inlineStr">
        <is>
          <t>分部資料</t>
        </is>
      </c>
      <c r="C72" s="8" t="inlineStr">
        <is>
          <t>medium</t>
        </is>
      </c>
      <c r="D72" s="11" t="inlineStr">
        <is>
          <t>segment information</t>
        </is>
      </c>
      <c r="E72" s="11" t="inlineStr">
        <is>
          <t>PDF p.148 (印刷頁 147)</t>
        </is>
      </c>
      <c r="F72" s="11" t="inlineStr">
        <is>
          <t>Notes to the Consolidated Financial Statements 綜合財務報表附註 For the year ended 31 March 2026 截至二零二六年三月三十一日止年度 10. SEGMENT INFORMATION (Continued) 10. 分部資料（續） (iii) Geographical information: (iii) 地區資料： Revenue 收益 The Group’s revenue from external customers by location of 本集團按經營地點劃分的來自外部客 operations are detailed below: 戶的收益詳情如下： 2026 2025 二零二六年 二零二五年 HK$’000 HK$’000 千港元 千港元 Hong Kong 香港 41,859 50,810 PRC except Hong Kong 中國（香港除外） 129,857 147,089 Consolidated total 綜合總額 171,716 197,899 Non-current assets (exclu</t>
        </is>
      </c>
    </row>
    <row r="73">
      <c r="A73" s="8" t="inlineStr">
        <is>
          <t>Segment Information</t>
        </is>
      </c>
      <c r="B73" s="8" t="inlineStr">
        <is>
          <t>分部資料</t>
        </is>
      </c>
      <c r="C73" s="8" t="inlineStr">
        <is>
          <t>medium</t>
        </is>
      </c>
      <c r="D73" s="11" t="inlineStr">
        <is>
          <t>segment information</t>
        </is>
      </c>
      <c r="E73" s="11" t="inlineStr">
        <is>
          <t>PDF p.149 (印刷頁 148)</t>
        </is>
      </c>
      <c r="F73" s="11" t="inlineStr">
        <is>
          <t>Notes to the Consolidated Financial Statements 綜合財務報表附註 For the year ended 31 March 2026 截至二零二六年三月三十一日止年度 10. SEGMENT INFORMATION (Continued) 10. 分部資料（續） (iv) Revenue from major customers (iv) 主要客戶之收益 There were no customers individually contributed more than 10% 截至二零二六年及二零二五年三月 of the Group’s revenue during the years ended 31 March 2026 三十一日止年度，未有單一客戶貢獻 and 2025. 超出本集團收益的10%。 (v) Reportable segment assets (v) 可呈報分部資產 The following table provides an analysis of reportable segment 下表提供於二零二六年及二零二五年 assets o</t>
        </is>
      </c>
    </row>
    <row r="74">
      <c r="A74" s="8" t="inlineStr">
        <is>
          <t>Segment Information</t>
        </is>
      </c>
      <c r="B74" s="8" t="inlineStr">
        <is>
          <t>分部資料</t>
        </is>
      </c>
      <c r="C74" s="8" t="inlineStr">
        <is>
          <t>medium</t>
        </is>
      </c>
      <c r="D74" s="11" t="inlineStr">
        <is>
          <t>segment information</t>
        </is>
      </c>
      <c r="E74" s="11" t="inlineStr">
        <is>
          <t>PDF p.150 (印刷頁 149)</t>
        </is>
      </c>
      <c r="F74" s="11" t="inlineStr">
        <is>
          <t>Notes to the Consolidated Financial Statements 綜合財務報表附註 For the year ended 31 March 2026 截至二零二六年三月三十一日止年度 10. SEGMENT INFORMATION (Continued) 10. 分部資料（續） (vi) Reportable segment liabilities (vi) 可呈報分部負債 The following table provides an analysis of reportable segment 下表提供於二零二六年及二零二五年 liabilities of different reportable segments recognised as at 31 三月三十一日確認不同可呈報分部之 March 2026 and 2025: 可呈報分部負債分析： 2026 2025 二零二六年 二零二五年 HK$’000 HK$’000 千港元 千港元 Trading 貿易 4,468 9,065 Leasing 租賃 13,089 18,849 Property management</t>
        </is>
      </c>
    </row>
    <row r="75">
      <c r="A75" s="8" t="inlineStr">
        <is>
          <t>Share-based Payment</t>
        </is>
      </c>
      <c r="B75" s="8" t="inlineStr">
        <is>
          <t>以股份為基礎的付款</t>
        </is>
      </c>
      <c r="C75" s="8" t="inlineStr">
        <is>
          <t>medium</t>
        </is>
      </c>
      <c r="D75" s="11" t="inlineStr">
        <is>
          <t>share option</t>
        </is>
      </c>
      <c r="E75" s="11" t="inlineStr">
        <is>
          <t>PDF p.57 (印刷頁 56)</t>
        </is>
      </c>
      <c r="F75" s="11" t="inlineStr">
        <is>
          <t>d by 效，以就董事在本年度所招致的法律責任提 Directors during the Year. 供彌償。 EQUITY-LINKED AGREEMENTS 股本掛鈎協議 Save as disclosed under the section headed “Share Option Scheme” 除下文「購股權計劃」一節所披露者外，於本 below, no equity-linked agreements were entered into by the Group, or 年度，本集團並未訂立或存在任何股本掛鈎 existed during the Year. 協議。 DIRECTORS’ AND CHIEF EXECUTIVE’S INTERESTS 董事及最高行政人員於股份、 AND SHORT POSITIONS IN SHARES, UNDERLYING 相關股份及債權證的權益及 SHARES AND DEBENTURES 淡倉 As at 31 March 2026, none of the Directors of the Company had any 於二零二六年三月三十一日，本公司董事沒 interest or shor</t>
        </is>
      </c>
    </row>
    <row r="76">
      <c r="A76" s="8" t="inlineStr">
        <is>
          <t>Share-based Payment</t>
        </is>
      </c>
      <c r="B76" s="8" t="inlineStr">
        <is>
          <t>以股份為基礎的付款</t>
        </is>
      </c>
      <c r="C76" s="8" t="inlineStr">
        <is>
          <t>medium</t>
        </is>
      </c>
      <c r="D76" s="11" t="inlineStr">
        <is>
          <t>share option</t>
        </is>
      </c>
      <c r="E76" s="11" t="inlineStr">
        <is>
          <t>PDF p.58 (印刷頁 57)</t>
        </is>
      </c>
      <c r="F76" s="11" t="inlineStr">
        <is>
          <t>s recorded in the 政人員除外）於本公司股份或相關股份中， register required to be kept under section 336 of the SFO. 擁有根據證券及期貨條例第336條須登記於 該條所述登記冊的權益或淡倉。 SHARE OPTION SCHEME 購股權計劃 The Company’s share option scheme (the “Share Option Scheme”) 本公司根據於二零一七年一月二十三日通過 was adopted pursuant to the written resolutions passed on 23 January 的書面決議案採納購股權計劃（「購股權計 2017. From the date of the adoption of the Share Option Scheme and 劃」）。自購股權計劃採納日期起及直至報告 up to the end of the reporting period, no share option has been granted, 期末日，並無購股權根據購股權計劃已授出 or agreed to be grante</t>
        </is>
      </c>
    </row>
    <row r="77">
      <c r="A77" s="8" t="inlineStr">
        <is>
          <t>Share-based Payment</t>
        </is>
      </c>
      <c r="B77" s="8" t="inlineStr">
        <is>
          <t>以股份為基礎的付款</t>
        </is>
      </c>
      <c r="C77" s="8" t="inlineStr">
        <is>
          <t>medium</t>
        </is>
      </c>
      <c r="D77" s="11" t="inlineStr">
        <is>
          <t>share option</t>
        </is>
      </c>
      <c r="E77" s="11" t="inlineStr">
        <is>
          <t>PDF p.59 (印刷頁 58)</t>
        </is>
      </c>
      <c r="F77" s="11" t="inlineStr">
        <is>
          <t>Board of Directors’ Report 董事會報告 2. Participants of the Share Option Scheme and 2. 購股權計劃的參與者及釐定 the Basis of Determining the Eligibility of the 參與者資格的基準 Participants On and subject to the terms of the Share Option Scheme and the 根據購股權計劃條款及上市規則規定 requirements of the Listing Rules, the Board may offer to grant 以及在其規限下，董事會可向其全權 an option, to any Director(s) (including executive Directors, and 酌情認為及按其視為適合的條款根據 independent non-executive Directors) and full-</t>
        </is>
      </c>
    </row>
    <row r="78">
      <c r="A78" s="8" t="inlineStr">
        <is>
          <t>Share-based Payment</t>
        </is>
      </c>
      <c r="B78" s="8" t="inlineStr">
        <is>
          <t>以股份為基礎的付款</t>
        </is>
      </c>
      <c r="C78" s="8" t="inlineStr">
        <is>
          <t>medium</t>
        </is>
      </c>
      <c r="D78" s="11" t="inlineStr">
        <is>
          <t>share option</t>
        </is>
      </c>
      <c r="E78" s="11" t="inlineStr">
        <is>
          <t>PDF p.60 (印刷頁 59)</t>
        </is>
      </c>
      <c r="F78" s="11" t="inlineStr">
        <is>
          <t>h may be issued (a) 因行使根據購股權計劃及本公司 upon exercise of all outstanding options granted and yet 其他購股權計劃（及上市規則第 to be exercised under the Share Option Scheme and other 十七章條文適用者）已授出惟尚 share option schemes of the Company (and to which the 未行使的所有未行使購股權而可 provisions of Chapter 17 of the Listing Rules are applicable) 能發行的股份總數，不得超過不 must not exceed 30% of the Shares in issue from time to 時已發行股份的30%； time; (b) The Shares which may be issued upon exercise of all options (b) 因行使根據購股權計劃及本公司 to be granted under the Share Option Scheme and othe</t>
        </is>
      </c>
    </row>
    <row r="79">
      <c r="A79" s="8" t="inlineStr">
        <is>
          <t>Share-based Payment</t>
        </is>
      </c>
      <c r="B79" s="8" t="inlineStr">
        <is>
          <t>以股份為基礎的付款</t>
        </is>
      </c>
      <c r="C79" s="8" t="inlineStr">
        <is>
          <t>medium</t>
        </is>
      </c>
      <c r="D79" s="11" t="inlineStr">
        <is>
          <t>share option</t>
        </is>
      </c>
      <c r="E79" s="11" t="inlineStr">
        <is>
          <t>PDF p.61 (印刷頁 60)</t>
        </is>
      </c>
      <c r="F79" s="11" t="inlineStr">
        <is>
          <t>in issue as at the date of the aforesaid 上限不得超過上述股東批准當日 Shareholders’ approval. Options previously granted under 已發行股份的10%。此前根據購 the Share Option Scheme and other share option schemes 股權計劃及本公司其他購股權計 of our Company (and to which the provisions of Chapter 劃（及上市規則第十七章條文適 17 of the Listing Rules are applicable) (including those 用者）授出的購股權（包括根據其 outstanding, cancelled, lapsed in accordance with its terms 條款未行使、已註銷、已失效或 or exercised), shall not be counted for the purpose of 已行使的購股權）不應計入經更 calculating the limit as refreshed; 新上限； (d) T</t>
        </is>
      </c>
    </row>
    <row r="80">
      <c r="A80" s="8" t="inlineStr">
        <is>
          <t>Share-based Payment</t>
        </is>
      </c>
      <c r="B80" s="8" t="inlineStr">
        <is>
          <t>以股份為基礎的付款</t>
        </is>
      </c>
      <c r="C80" s="8" t="inlineStr">
        <is>
          <t>medium</t>
        </is>
      </c>
      <c r="D80" s="11" t="inlineStr">
        <is>
          <t>share option</t>
        </is>
      </c>
      <c r="E80" s="11" t="inlineStr">
        <is>
          <t>PDF p.62 (印刷頁 61)</t>
        </is>
      </c>
      <c r="F80" s="11" t="inlineStr">
        <is>
          <t>isting Rules. 章的規定。 During the Year, no options had been granted, exercised or cancelled or 於本年度，並無購股權根據購股權計劃已授 had lapsed under the Share Option Scheme. There were no outstanding 出、行使或註銷或已失效。於二零二五年四 options under the Share Option Scheme as at 1 April 2025 and 31 月一日及二零二六年三月三十一日，並無根 March 2026. The number of options available for grant under the Share 據購股權計劃未行使的購股權。於二零二五 Option Scheme was 600,000,000 as at 1 April 2025 and as at 31 March 年四月一日及二零二六年三月三十一日， 2026. 根據購股權計劃可供授出的購股權數目為 600,000,000份。 RELATED PARTY TRANSACTIONS 關聯方交易</t>
        </is>
      </c>
    </row>
    <row r="81">
      <c r="A81" s="8" t="inlineStr">
        <is>
          <t>Share-based Payment</t>
        </is>
      </c>
      <c r="B81" s="8" t="inlineStr">
        <is>
          <t>以股份為基礎的付款</t>
        </is>
      </c>
      <c r="C81" s="8" t="inlineStr">
        <is>
          <t>medium</t>
        </is>
      </c>
      <c r="D81" s="11" t="inlineStr">
        <is>
          <t>share option</t>
        </is>
      </c>
      <c r="E81" s="11" t="inlineStr">
        <is>
          <t>PDF p.63 (印刷頁 62)</t>
        </is>
      </c>
      <c r="F81" s="11" t="inlineStr">
        <is>
          <t>results, individual 統計數據釐定。本公司已採納購股權計劃作 performance and comparable market statistics. The Company has 為對合資格人士的鼓勵，有關詳情載於本年 adopted a Share Option Scheme as an incentive to eligible persons, 報「購股權計劃」。 details are set out under heading “Share Option Scheme” in this annual report. RETIREMENT BENEFIT SCHEME 退休福利計劃 Details of the Group’s retirement benefit schemes are set out in note 16 本集團的退休福利計劃詳情載於綜合財務報 to the consolidated financial statements. 表附註16。 PRE-EMPTIVE RIGHTS 優先認股權 There are no provisions for pre-emptive rights under t</t>
        </is>
      </c>
    </row>
    <row r="82">
      <c r="A82" s="8" t="inlineStr">
        <is>
          <t>Share-based Payment</t>
        </is>
      </c>
      <c r="B82" s="8" t="inlineStr">
        <is>
          <t>以股份為基礎的付款</t>
        </is>
      </c>
      <c r="C82" s="8" t="inlineStr">
        <is>
          <t>medium</t>
        </is>
      </c>
      <c r="D82" s="11" t="inlineStr">
        <is>
          <t>share-based payment</t>
        </is>
      </c>
      <c r="E82" s="11" t="inlineStr">
        <is>
          <t>PDF p.194 (印刷頁 193)</t>
        </is>
      </c>
      <c r="F82" s="11" t="inlineStr">
        <is>
          <t>float and it demonstrates continuing compliance with 益之報告，該報告顯示本公司於整個 the 25% limit throughout the year. 年度內一直遵守25%之最低公眾持股 量規定。 36. SHARE-BASED PAYMENTS 36. 以股份為基礎之付款 Share option scheme 購股權計劃 The Company operates a share option scheme (the “Scheme”) for 本公司運營一項購股權計劃（「該計 the purpose of retaining, incentivising, rewarding, remunerating, 劃」），旨在向該計劃的參與者作出挽 compensating and providing benefits to participants of the Scheme 留、激勵、獎勵、支付薪金、給予補償 in order to encourage participants to work towards enhancing the 及提供福利，從而鼓勵參與者努力提 value of t</t>
        </is>
      </c>
    </row>
    <row r="83">
      <c r="A83" s="8" t="inlineStr">
        <is>
          <t>Related Party Transactions</t>
        </is>
      </c>
      <c r="B83" s="8" t="inlineStr">
        <is>
          <t>關聯方交易</t>
        </is>
      </c>
      <c r="C83" s="8" t="inlineStr">
        <is>
          <t>low</t>
        </is>
      </c>
      <c r="D83" s="11" t="inlineStr">
        <is>
          <t>關聯方</t>
        </is>
      </c>
      <c r="E83" s="11" t="inlineStr">
        <is>
          <t>PDF p.56 (印刷頁 55)</t>
        </is>
      </c>
      <c r="F83" s="11" t="inlineStr">
        <is>
          <t>事於交易、安排或合約的 TRANSACTIONS, ARRANGEMENTS OR 重大權益 CONTRACTS Save for the transactions as disclosed in the sections headed “Related 除本報告「關聯方交易」章節所披露的交易外， Party Transactions” of this report, no Director nor an entity connected 於本年度內或本年底，概無董事或與董事有 with a Director had a material interest, either directly or indirectly, in any 關連的實體於任何重大交易、安排或合約中 transactions, arrangements or contracts of significance subsisting during 擁有直接或間接重大權益。 or at the end of the Year. 七元投資控股有限公司 • 二零二六年年報 55</t>
        </is>
      </c>
    </row>
    <row r="84">
      <c r="A84" s="8" t="inlineStr">
        <is>
          <t>Related Party Transactions</t>
        </is>
      </c>
      <c r="B84" s="8" t="inlineStr">
        <is>
          <t>關聯方交易</t>
        </is>
      </c>
      <c r="C84" s="8" t="inlineStr">
        <is>
          <t>low</t>
        </is>
      </c>
      <c r="D84" s="11" t="inlineStr">
        <is>
          <t>關聯方</t>
        </is>
      </c>
      <c r="E84" s="11" t="inlineStr">
        <is>
          <t>PDF p.57 (印刷頁 56)</t>
        </is>
      </c>
      <c r="F84" s="11" t="inlineStr">
        <is>
          <t>f Directors’ Report 董事會報告 CONTRACTS OF SIGNIFICANCE 重大合約 Save for the transactions as disclosed in the sections headed “Related 除本年報「關聯方交易」章節所披露的交易外， Party Transactions” of this annual report, no contract of significance 於本年度內或本年底，本公司（或其任何附 between the Company (or any of its subsidiaries) and a controlling 屬公司）與本公司控股股東（或其任何附屬公 shareholder of the Company (or any of its subsidiaries), or contract of 司）之間並無重大合約，亦並無由本公司控 significance for the provision of services to the Company (or any of its 股股東（或其任何附屬公司）向本公司（或其 subsidiaries) by a</t>
        </is>
      </c>
    </row>
    <row r="85">
      <c r="A85" s="8" t="inlineStr">
        <is>
          <t>Related Party Transactions</t>
        </is>
      </c>
      <c r="B85" s="8" t="inlineStr">
        <is>
          <t>關聯方交易</t>
        </is>
      </c>
      <c r="C85" s="8" t="inlineStr">
        <is>
          <t>low</t>
        </is>
      </c>
      <c r="D85" s="11" t="inlineStr">
        <is>
          <t>related party</t>
        </is>
      </c>
      <c r="E85" s="11" t="inlineStr">
        <is>
          <t>PDF p.62 (印刷頁 61)</t>
        </is>
      </c>
      <c r="F85" s="11" t="inlineStr">
        <is>
          <t>。於二零二五 Option Scheme was 600,000,000 as at 1 April 2025 and as at 31 March 年四月一日及二零二六年三月三十一日， 2026. 根據購股權計劃可供授出的購股權數目為 600,000,000份。 RELATED PARTY TRANSACTIONS 關聯方交易 The significant related party transactions entered into by the Group 本集團於本年度訂立的重大關聯方交易載於 during the Year are set out in note 42 to the consolidated financial 綜合財務報表附註42，並符合上市規則第 statements, and they fall under the definition of “connected transaction” 14A章所定義的「關連交易」或「持續關連交 or “continuing connected transaction” under Chapter 14A of the Listing 易」。然而，該等關聯方交易並非上市規則 Ru</t>
        </is>
      </c>
    </row>
    <row r="86">
      <c r="A86" s="8" t="inlineStr">
        <is>
          <t>Related Party Transactions</t>
        </is>
      </c>
      <c r="B86" s="8" t="inlineStr">
        <is>
          <t>關聯方交易</t>
        </is>
      </c>
      <c r="C86" s="8" t="inlineStr">
        <is>
          <t>low</t>
        </is>
      </c>
      <c r="D86" s="11" t="inlineStr">
        <is>
          <t>關聯方</t>
        </is>
      </c>
      <c r="E86" s="11" t="inlineStr">
        <is>
          <t>PDF p.87 (印刷頁 86)</t>
        </is>
      </c>
      <c r="F86" s="11" t="inlineStr">
        <is>
          <t>rowings 償還借款 39(b) (2,757) (7,491) Payment of lease liabilities 支付租賃負債 39(b) (17,672) (22,772) Advance received from then related 收取前關聯方墊款 parties 39(b) 2,634 3,618 Advance received from a shareholder 收取一名股東墊款 39(b) 3,260 – Advance received from the then 收取前控股股東墊款 controlling shareholder 39(b) – 93 Interest paid 已付利息 39(b) (388) (1,074) Net cash used in financing activities 融資活動所用現金淨額 (14,923) (27,626) Net decrease in cash and cash 現金及現金等價物減少 equivalents 淨額 (2,437) (5,358) Effect of foreign exchange rate changes 外匯匯率變動所產生之 影響 3</t>
        </is>
      </c>
    </row>
    <row r="87">
      <c r="A87" s="8" t="inlineStr">
        <is>
          <t>Related Party Transactions</t>
        </is>
      </c>
      <c r="B87" s="8" t="inlineStr">
        <is>
          <t>關聯方交易</t>
        </is>
      </c>
      <c r="C87" s="8" t="inlineStr">
        <is>
          <t>low</t>
        </is>
      </c>
      <c r="D87" s="11" t="inlineStr">
        <is>
          <t>關聯方</t>
        </is>
      </c>
      <c r="E87" s="11" t="inlineStr">
        <is>
          <t>PDF p.121 (印刷頁 120)</t>
        </is>
      </c>
      <c r="F87" s="11" t="inlineStr">
        <is>
          <t>註 For the year ended 31 March 2026 截至二零二六年三月三十一日止年度 4. MATERIAL ACCOUNTING POLICIES 4. 重大會計政策（續） (Continued) (y) Related parties (y) 關聯方 (a) A person or a close member of that person’s family is related (a) 倘適用下列情況，該名人士或該 to the Group if that person: 名人士的近親家屬成員便與本集 團有關聯： (i) has control or joint control over the Group; (i) 對本集團有控制權或共同控 制權； (ii) has significant influence over the Group; or (ii) 對本集團有重大影響力；或 (iii) is a member of key management personnel of the (iii) 為本集團或本集團母公司主 Group or of a parent of the Group. 要管理人員。 (b) An en</t>
        </is>
      </c>
    </row>
    <row r="88">
      <c r="A88" s="8" t="inlineStr">
        <is>
          <t>Related Party Transactions</t>
        </is>
      </c>
      <c r="B88" s="8" t="inlineStr">
        <is>
          <t>關聯方交易</t>
        </is>
      </c>
      <c r="C88" s="8" t="inlineStr">
        <is>
          <t>low</t>
        </is>
      </c>
      <c r="D88" s="11" t="inlineStr">
        <is>
          <t>關聯方</t>
        </is>
      </c>
      <c r="E88" s="11" t="inlineStr">
        <is>
          <t>PDF p.122 (印刷頁 121)</t>
        </is>
      </c>
      <c r="F88" s="11" t="inlineStr">
        <is>
          <t>ar ended 31 March 2026 截至二零二六年三月三十一日止年度 4. MATERIAL ACCOUNTING POLICIES 4. 重大會計政策（續） (Continued) (y) Related parties (Continued) (y) 關聯方（續） (b) (Continued) (b) （續） (v) The entity is a post-employment benefit plan for the (v) 該實體為本集團或與本集團 benefit of the employees of the Group or an entity 有關聯的實體為僱員福利而 related to the Group. 設的離職後福利計劃。 (vi) The entity is controlled or jointly controlled by a person (vi) 該實體受(a) 所識別的人士 identified in (a). 控制或共同控制。 (vii) A person identified in (a)(i) has significant influence (vii) 於(a)(i)所識別對實體有重大 o</t>
        </is>
      </c>
    </row>
    <row r="89">
      <c r="A89" s="8" t="inlineStr">
        <is>
          <t>Related Party Transactions</t>
        </is>
      </c>
      <c r="B89" s="8" t="inlineStr">
        <is>
          <t>關聯方交易</t>
        </is>
      </c>
      <c r="C89" s="8" t="inlineStr">
        <is>
          <t>low</t>
        </is>
      </c>
      <c r="D89" s="11" t="inlineStr">
        <is>
          <t>關聯方</t>
        </is>
      </c>
      <c r="E89" s="11" t="inlineStr">
        <is>
          <t>PDF p.132 (印刷頁 131)</t>
        </is>
      </c>
      <c r="F89" s="11" t="inlineStr">
        <is>
          <t>險主 receivables and amounts due from then related parties 要源自其物業管理業務的其他應 from its property management business. The management 收款項及應收前關聯方款項。本 of the Group has assessed the credibility and performed 集團管理層已評估信譽，並根據 impairment assessment under ECL model within the scope 香港財務報告準則第9號範圍內 of HKFRS 9 on the balances individually. Additionally, 的預期信貸虧損模型就結餘個別 the ECL assessment of the other receivables from its 進行減值評估。此外，就來自其 property management business has taking into account 物業管理業務的其他應收款項進 the undertakings provided by certain property</t>
        </is>
      </c>
    </row>
    <row r="90">
      <c r="A90" s="8" t="inlineStr">
        <is>
          <t>Related Party Transactions</t>
        </is>
      </c>
      <c r="B90" s="8" t="inlineStr">
        <is>
          <t>關聯方交易</t>
        </is>
      </c>
      <c r="C90" s="8" t="inlineStr">
        <is>
          <t>low</t>
        </is>
      </c>
      <c r="D90" s="11" t="inlineStr">
        <is>
          <t>related party</t>
        </is>
      </c>
      <c r="E90" s="11" t="inlineStr">
        <is>
          <t>PDF p.158 (印刷頁 157)</t>
        </is>
      </c>
      <c r="F90" s="11" t="inlineStr">
        <is>
          <t>reed to waive his remuneration (xii) 於二零二四年六月四日辭任，及同意 during the year ended 31 March 2025. 豁免其截至二零二五年三月三十一日 止年度的酬金。 Other than those related party transactions and balances disclosed 除該等綜合財務報表附註42內所披露 in note 42 to the consolidated financial statements, no significant 的關聯方交易及結餘外，本公司概無 transactions, arrangements and contracts in relation to the 訂立其他於年末或年內任何時間有效 Group’s business to which the Company was a party and in which 而本公司董事及董事關聯方於當中直 a director of the Company and the director’s connected party had 接或間接擁有重大權益的與本集團業 a materi</t>
        </is>
      </c>
    </row>
    <row r="91">
      <c r="A91" s="8" t="inlineStr">
        <is>
          <t>Related Party Transactions</t>
        </is>
      </c>
      <c r="B91" s="8" t="inlineStr">
        <is>
          <t>關聯方交易</t>
        </is>
      </c>
      <c r="C91" s="8" t="inlineStr">
        <is>
          <t>low</t>
        </is>
      </c>
      <c r="D91" s="11" t="inlineStr">
        <is>
          <t>關聯方</t>
        </is>
      </c>
      <c r="E91" s="11" t="inlineStr">
        <is>
          <t>PDF p.199 (印刷頁 198)</t>
        </is>
      </c>
      <c r="F91" s="11" t="inlineStr">
        <is>
          <t>borrowings 償還借款 (7,491) – – – – (7,491) Payment of lease liabilities 租賃負債付款 – (22,772) – – – (22,772) Advances from related parties 關聯方墊款 – – 3,618 – – 3,618 Advance from a shareholder 一名股東墊款 – – – 93 – 93 Interest paid 已付利息 (447) (627) – – – (1,074) Total changes from financing cash flows 融資現金流變動總額 (7,938) (23,399) 3,618 93 – (27,626) Other changes: 其他變動： Early termination of leases 提前終止租賃合同 – (5,281) – – – (5,281) Increase in lease liabilities from entering 來自訂立新租賃的租賃負債 into new tenancy 增加 – 20,633 – – – 20,633 Interest expe</t>
        </is>
      </c>
    </row>
    <row r="92">
      <c r="A92" s="8" t="inlineStr">
        <is>
          <t>Related Party Transactions</t>
        </is>
      </c>
      <c r="B92" s="8" t="inlineStr">
        <is>
          <t>關聯方交易</t>
        </is>
      </c>
      <c r="C92" s="8" t="inlineStr">
        <is>
          <t>low</t>
        </is>
      </c>
      <c r="D92" s="11" t="inlineStr">
        <is>
          <t>關聯方</t>
        </is>
      </c>
      <c r="E92" s="11" t="inlineStr">
        <is>
          <t>PDF p.200 (印刷頁 199)</t>
        </is>
      </c>
      <c r="F92" s="11" t="inlineStr">
        <is>
          <t>owings 償還借款 (2,757) – – – – (2,757) Payment of lease liabilities 租賃負債付款 – (17,672) – – – (17,672) Advances from then related parties 關聯方墊款 – – 2,634 – – 2,634 Advance from a shareholder 一名股東墊款 – – – – 3,260 3,260 Interest paid 已付利息 (51) (337) – – – (388) Total changes from financing cash flows 融資現金流變動總額 (2,808) (18,009) 2,634 – 3,260 (14,923) Other changes: 其他變動： Early termination of leases 提前終止租賃合同 – (652) – – – (652) Increase in lease liabilities from entering 來自訂立新租賃的租賃負債 into new tenancy 增加 – 15,114 – – – 15,114 Interest ex</t>
        </is>
      </c>
    </row>
    <row r="93">
      <c r="A93" s="8" t="inlineStr">
        <is>
          <t>Related Party Transactions</t>
        </is>
      </c>
      <c r="B93" s="8" t="inlineStr">
        <is>
          <t>關聯方交易</t>
        </is>
      </c>
      <c r="C93" s="8" t="inlineStr">
        <is>
          <t>low</t>
        </is>
      </c>
      <c r="D93" s="11" t="inlineStr">
        <is>
          <t>related party</t>
        </is>
      </c>
      <c r="E93" s="11" t="inlineStr">
        <is>
          <t>PDF p.203 (印刷頁 202)</t>
        </is>
      </c>
      <c r="F93" s="11" t="inlineStr">
        <is>
          <t>tatements 綜合財務報表附註 For the year ended 31 March 2026 截至二零二六年三月三十一日止年度 42. RELATED PARTIES TRANSACTIONS 42. 關聯方交易 In addition to those related party transactions and balances 除綜合財務報表其他部分披露之關聯 disclosed elsewhere in the consolidated financial statements, the 方交易及結餘外，本集團年內已與其 Group had entered into the following transactions and balances 關聯方訂立以下交易及結餘。 with its then related parties during the year. (a) Transactions with the then related parties (a) 與前關聯方的交易 Name of related parties Relationship Nature of transaction 2026 2025 關聯方名稱 關</t>
        </is>
      </c>
    </row>
    <row r="94">
      <c r="A94" s="8" t="inlineStr">
        <is>
          <t>Related Party Transactions</t>
        </is>
      </c>
      <c r="B94" s="8" t="inlineStr">
        <is>
          <t>關聯方交易</t>
        </is>
      </c>
      <c r="C94" s="8" t="inlineStr">
        <is>
          <t>low</t>
        </is>
      </c>
      <c r="D94" s="11" t="inlineStr">
        <is>
          <t>related party</t>
        </is>
      </c>
      <c r="E94" s="11" t="inlineStr">
        <is>
          <t>PDF p.204 (印刷頁 203)</t>
        </is>
      </c>
      <c r="F94" s="11" t="inlineStr">
        <is>
          <t>附註 For the year ended 31 March 2026 截至二零二六年三月三十一日止年度 42. RELATED PARTIES TRANSACTIONS 42. 關聯方交易（續） (Continued) (b) Balances with the related party/then related parties (b) 與關聯方╱前關聯方的結餘 Name of related parties Relationship Nature of transaction 2026 2025 關聯方名稱 關係 交易性質 二零二六年 二零二五年 HK$’000 HK$’000 千港元 千港元 Then related parties 前關聯方 深圳市立橋城商業管理 An entity controlled by Amounts due to then (197) (15) 有限公司 the nephew of the then related companies controlling shareholder (note (i)) of the Company 深圳市立橋城商業管理 本公司前控股股東的 應付前關聯公司款項 有限公司 侄子控制的</t>
        </is>
      </c>
    </row>
    <row r="95">
      <c r="A95" s="8" t="inlineStr">
        <is>
          <t>Related Party Transactions</t>
        </is>
      </c>
      <c r="B95" s="8" t="inlineStr">
        <is>
          <t>關聯方交易</t>
        </is>
      </c>
      <c r="C95" s="8" t="inlineStr">
        <is>
          <t>low</t>
        </is>
      </c>
      <c r="D95" s="11" t="inlineStr">
        <is>
          <t>related party</t>
        </is>
      </c>
      <c r="E95" s="11" t="inlineStr">
        <is>
          <t>PDF p.205 (印刷頁 204)</t>
        </is>
      </c>
      <c r="F95" s="11" t="inlineStr">
        <is>
          <t>附註 For the year ended 31 March 2026 截至二零二六年三月三十一日止年度 42. RELATED PARTIES TRANSACTIONS 42. 關聯方交易（續） (Continued) (b) Balances with the related party/then related parties (b) 與關聯方╱前關聯方的結餘 (Continued) （續） Name of related parties Relationship Nature of transaction 2026 2025 關聯方名稱 關係 交易性質 二零二六年 二零二五年 HK$’000 HK$’000 千港元 千港元 Then related parties 前關聯方（續） (Continued) Mr. Xu Chujia Then ultimate controlling Amount due to the then (1,918) (1,918) party of the Company controlling shareholder (note (ii)) 許楚家先生 本公司的前最終控股人 應付前控股股東款項 （附註(ii)）</t>
        </is>
      </c>
    </row>
    <row r="96">
      <c r="A96" s="8" t="inlineStr">
        <is>
          <t>Related Party Transactions</t>
        </is>
      </c>
      <c r="B96" s="8" t="inlineStr">
        <is>
          <t>關聯方交易</t>
        </is>
      </c>
      <c r="C96" s="8" t="inlineStr">
        <is>
          <t>low</t>
        </is>
      </c>
      <c r="D96" s="11" t="inlineStr">
        <is>
          <t>related party</t>
        </is>
      </c>
      <c r="E96" s="11" t="inlineStr">
        <is>
          <t>PDF p.206 (印刷頁 205)</t>
        </is>
      </c>
      <c r="F96" s="11" t="inlineStr">
        <is>
          <t>附註 For the year ended 31 March 2026 截至二零二六年三月三十一日止年度 42. RELATED PARTIES TRANSACTIONS 42. 關聯方交易（續） (Continued) (b) Balances with the related party/then related parties (b) 與關聯方╱前關聯方的結餘 (Continued) （續） The maximum outstanding balances due from then related parties 年內應收前關聯方之最高尚未償還結 during the year presented are as follows: 餘呈列如下： 2026 2025 二零二六年 二零二五年 HK$’000 HK$’000 千港元 千港元 Name of then related parties 前關聯方名稱 深圳立橋匯商務服務有限責任公司 深圳立橋匯商務服務有限責任公司 23 77 深圳市核客綜合娛樂有限公司 深圳市核客綜合娛樂有限公司 6 7 深圳市佳明投資發展有限公司 深圳市佳明投資發展有限公司 6,224 791 (c) Compensat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22" topLeftCell="A2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Cash and Equivalents</t>
        </is>
      </c>
    </row>
    <row r="13">
      <c r="A13" s="8" t="inlineStr">
        <is>
          <t>Balance Sheet</t>
        </is>
      </c>
      <c r="B13" s="8" t="inlineStr">
        <is>
          <t>Intangible Assets</t>
        </is>
      </c>
    </row>
    <row r="14">
      <c r="A14" s="8" t="inlineStr">
        <is>
          <t>Balance Sheet</t>
        </is>
      </c>
      <c r="B14" s="8" t="inlineStr">
        <is>
          <t>Investment Properties</t>
        </is>
      </c>
    </row>
    <row r="15">
      <c r="A15" s="8" t="inlineStr">
        <is>
          <t>Balance Sheet</t>
        </is>
      </c>
      <c r="B15" s="8" t="inlineStr">
        <is>
          <t>Total Liabilities</t>
        </is>
      </c>
    </row>
    <row r="16">
      <c r="A16" s="8" t="inlineStr">
        <is>
          <t>Cash Flow</t>
        </is>
      </c>
      <c r="B16" s="8" t="inlineStr">
        <is>
          <t>Capital Expenditure</t>
        </is>
      </c>
    </row>
    <row r="19">
      <c r="A19" s="5" t="inlineStr">
        <is>
          <t>二、文字量過低的頁面(疑似掃描頁)</t>
        </is>
      </c>
    </row>
    <row r="20">
      <c r="A20" s="2" t="inlineStr">
        <is>
          <t>這些頁面幾乎抓不到文字,通常是掃描件或純圖表,建議人手翻閱或另行 OCR。</t>
        </is>
      </c>
    </row>
    <row r="22">
      <c r="A22" s="7" t="inlineStr">
        <is>
          <t>PDF 頁碼</t>
        </is>
      </c>
      <c r="B22" s="7" t="inlineStr">
        <is>
          <t>狀態</t>
        </is>
      </c>
    </row>
    <row r="23">
      <c r="A23" s="8" t="n">
        <v>210</v>
      </c>
      <c r="B23"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2026-08-30T14:16:52Z</dcterms:created>
  <dcterms:modified xsi:type="dcterms:W3CDTF">2026-08-30T14:16:52Z</dcterms:modified>
</cp:coreProperties>
</file>
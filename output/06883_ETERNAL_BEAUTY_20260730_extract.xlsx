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趨勢圖'!$A$5:$A$6</f>
            </numRef>
          </cat>
          <val>
            <numRef>
              <f>'Chart 趨勢圖'!$B$5:$B$6</f>
            </numRef>
          </val>
        </ser>
        <ser>
          <idx val="1"/>
          <order val="1"/>
          <tx>
            <strRef>
              <f>'Chart 趨勢圖'!C4</f>
            </strRef>
          </tx>
          <spPr>
            <a:ln>
              <a:prstDash val="solid"/>
            </a:ln>
          </spPr>
          <cat>
            <numRef>
              <f>'Chart 趨勢圖'!$A$5:$A$6</f>
            </numRef>
          </cat>
          <val>
            <numRef>
              <f>'Chart 趨勢圖'!$C$5:$C$6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06883_ETERNAL_BEAUTY_20260730.pdf</t>
        </is>
      </c>
    </row>
    <row r="5">
      <c r="A5" s="3" t="inlineStr">
        <is>
          <t>產生時間 Generated</t>
        </is>
      </c>
      <c r="B5" s="4" t="inlineStr">
        <is>
          <t>2026-08-30 22:16</t>
        </is>
      </c>
    </row>
    <row r="6">
      <c r="A6" s="4" t="inlineStr"/>
      <c r="B6" s="4" t="inlineStr"/>
    </row>
    <row r="7">
      <c r="A7" s="3" t="inlineStr">
        <is>
          <t>總頁數 Total pages</t>
        </is>
      </c>
      <c r="B7" s="4" t="n">
        <v>306</v>
      </c>
    </row>
    <row r="8">
      <c r="A8" s="3" t="inlineStr">
        <is>
          <t>已擷取字元 Characters extracted</t>
        </is>
      </c>
      <c r="B8" s="4" t="n">
        <v>709950</v>
      </c>
    </row>
    <row r="9">
      <c r="A9" s="3" t="inlineStr">
        <is>
          <t>含表格頁數 Pages with tables</t>
        </is>
      </c>
      <c r="B9" s="4" t="n">
        <v>0</v>
      </c>
    </row>
    <row r="10">
      <c r="A10" s="3" t="inlineStr">
        <is>
          <t>需人手/OCR 頁數 Pages needing OCR</t>
        </is>
      </c>
      <c r="B10" s="4" t="n">
        <v>3</v>
      </c>
    </row>
    <row r="11">
      <c r="A11" s="4" t="inlineStr"/>
      <c r="B11" s="4" t="inlineStr"/>
    </row>
    <row r="12">
      <c r="A12" s="3" t="inlineStr">
        <is>
          <t>估值參數擷取筆數 Valuation parameters</t>
        </is>
      </c>
      <c r="B12" s="4" t="n">
        <v>9</v>
      </c>
    </row>
    <row r="13">
      <c r="A13" s="3" t="inlineStr">
        <is>
          <t>財務科目擷取筆數 Financial line items</t>
        </is>
      </c>
      <c r="B13" s="4" t="n">
        <v>14</v>
      </c>
    </row>
    <row r="14">
      <c r="A14" s="3" t="inlineStr">
        <is>
          <t>主題段落擷取筆數 Topic extracts</t>
        </is>
      </c>
      <c r="B14" s="4" t="n">
        <v>161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1,855,708 − 416,176 = 1,439,532</t>
        </is>
      </c>
    </row>
    <row r="20">
      <c r="A20" s="6" t="inlineStr">
        <is>
          <t>✓ 總資產 = 總負債 + 總權益</t>
        </is>
      </c>
      <c r="B20" s="4" t="inlineStr">
        <is>
          <t>1,936,115 vs 429,151 + 1,506,964 = 1,936,115</t>
        </is>
      </c>
    </row>
    <row r="21">
      <c r="A21" s="6" t="inlineStr">
        <is>
          <t>✓ 三大報表應相鄰</t>
        </is>
      </c>
      <c r="B21" s="4" t="inlineStr">
        <is>
          <t>Balance Sheet: p.214、Cash Flow: p.218(相距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9</v>
      </c>
      <c r="D5" s="10" t="n">
        <v>14</v>
      </c>
      <c r="E5" s="11" t="inlineStr">
        <is>
          <t>9%-14%</t>
        </is>
      </c>
      <c r="F5" s="11" t="inlineStr">
        <is>
          <t>High</t>
        </is>
      </c>
      <c r="G5" s="11" t="inlineStr">
        <is>
          <t>PDF p.266 (印刷頁 265)</t>
        </is>
      </c>
      <c r="H5" s="11" t="inlineStr">
        <is>
          <t>3月31日，用於釐定香港及中國可 determine the recoverable amounts for Hong Kong and the 收回金額的稅前貼現率分別為9%至 PRC are 9%-14% (2025: 12%-14%) respectively. 14%（2025年：12%至14%）。 (b) Depreciation charges of RMB11,034,000 (2025: (b) 年內，折舊費用人民幣11,034,000 RMB21,805,000)</t>
        </is>
      </c>
    </row>
    <row r="6">
      <c r="A6" s="8" t="inlineStr">
        <is>
          <t>Discount Rate</t>
        </is>
      </c>
      <c r="B6" s="8" t="inlineStr">
        <is>
          <t>折現率</t>
        </is>
      </c>
      <c r="C6" s="9" t="n">
        <v>9</v>
      </c>
      <c r="D6" s="10" t="n">
        <v>9</v>
      </c>
      <c r="E6" s="11" t="inlineStr">
        <is>
          <t>9%</t>
        </is>
      </c>
      <c r="F6" s="12" t="inlineStr">
        <is>
          <t>Low</t>
        </is>
      </c>
      <c r="G6" s="11" t="inlineStr">
        <is>
          <t>PDF p.266 (印刷頁 265)</t>
        </is>
      </c>
      <c r="H6" s="11" t="inlineStr">
        <is>
          <t>回金額的主要輸入數據包括 include average revenue growth and pre-tax discount rate. 平均收入增長及稅前貼現率。於2026 As at 31 March 2026, the pre-tax discount rates used to 年3月31日，用於釐定香港及中國可 determine the recoverable amounts for Hong Kong and the 收回金額的稅前貼現率分別為9%至 PRC ar</t>
        </is>
      </c>
    </row>
    <row r="7">
      <c r="A7" s="8" t="inlineStr">
        <is>
          <t>Expected Volatility</t>
        </is>
      </c>
      <c r="B7" s="8" t="inlineStr">
        <is>
          <t>預期波幅</t>
        </is>
      </c>
      <c r="C7" s="9" t="n">
        <v>50.07</v>
      </c>
      <c r="D7" s="10" t="n">
        <v>50.07</v>
      </c>
      <c r="E7" s="11" t="inlineStr">
        <is>
          <t>50.07%</t>
        </is>
      </c>
      <c r="F7" s="11" t="inlineStr">
        <is>
          <t>High</t>
        </is>
      </c>
      <c r="G7" s="11" t="inlineStr">
        <is>
          <t>PDF p.261 (印刷頁 260)</t>
        </is>
      </c>
      <c r="H7" s="11" t="inlineStr">
        <is>
          <t xml:space="preserve">f Pre-IPO ESOP granted (RMB) 已授出首次公開發售前僱員購股權 計劃的公允價值（人民幣） 12,835,000 13,595,000 Expected volatility (Note) 預期波幅（附註） 50.07% 52.13% Expected option life (years) 預計購股權年期（年） 10 10 Dividend yield 股息率 0% 0% Risk-free rate 無風險率 1.82% 3.70% Note: Expected volatility </t>
        </is>
      </c>
    </row>
    <row r="8">
      <c r="A8" s="8" t="inlineStr">
        <is>
          <t>Gross Margin</t>
        </is>
      </c>
      <c r="B8" s="8" t="inlineStr">
        <is>
          <t>毛利率</t>
        </is>
      </c>
      <c r="C8" s="9" t="n">
        <v>47</v>
      </c>
      <c r="D8" s="10" t="n">
        <v>47</v>
      </c>
      <c r="E8" s="11" t="inlineStr">
        <is>
          <t>47.0%</t>
        </is>
      </c>
      <c r="F8" s="11" t="inlineStr">
        <is>
          <t>High</t>
        </is>
      </c>
      <c r="G8" s="11" t="inlineStr">
        <is>
          <t>PDF p.16 (印刷頁 15)</t>
        </is>
      </c>
      <c r="H8" s="11" t="inlineStr">
        <is>
          <t>.4 million, representing a year-on- 243.4百萬元，同比增長7.2%。毛利 year increase of 7.2%. Gross profit margin was 47.0% and 率為47.0%，淨利率為11.3%。 net profit margin was 11.3%. To enhance overall profit resilience, during the year 為提升整體盈利韌性，本集團於截至 ended 31 March 2026, the G</t>
        </is>
      </c>
    </row>
    <row r="9">
      <c r="A9" s="8" t="inlineStr">
        <is>
          <t>Gross Margin</t>
        </is>
      </c>
      <c r="B9" s="8" t="inlineStr">
        <is>
          <t>毛利率</t>
        </is>
      </c>
      <c r="C9" s="9" t="n">
        <v>47</v>
      </c>
      <c r="D9" s="10" t="n">
        <v>47</v>
      </c>
      <c r="E9" s="11" t="inlineStr">
        <is>
          <t>47.0%</t>
        </is>
      </c>
      <c r="F9" s="11" t="inlineStr">
        <is>
          <t>High</t>
        </is>
      </c>
      <c r="G9" s="11" t="inlineStr">
        <is>
          <t>PDF p.31 (印刷頁 30)</t>
        </is>
      </c>
      <c r="H9" s="11" t="inlineStr">
        <is>
          <t>6年及2025 approximately 47.0% and 50.3% for the years ended 31 March 年3月31日止年度，我們的毛利率分別約為 2026 and 2025, respectively. 47.0%及50.3%。 The declines in gross profit and gross profit margin for the year 截至2026年3月31日止年度，毛利及毛利率 ended 31 March 2026 were</t>
        </is>
      </c>
    </row>
    <row r="10">
      <c r="A10" s="8" t="inlineStr">
        <is>
          <t>Gross Margin</t>
        </is>
      </c>
      <c r="B10" s="8" t="inlineStr">
        <is>
          <t>毛利率</t>
        </is>
      </c>
      <c r="C10" s="9" t="n">
        <v>47</v>
      </c>
      <c r="D10" s="10" t="n">
        <v>50.3</v>
      </c>
      <c r="E10" s="11" t="inlineStr">
        <is>
          <t>47.0% and 50.3%</t>
        </is>
      </c>
      <c r="F10" s="11" t="inlineStr">
        <is>
          <t>Medium</t>
        </is>
      </c>
      <c r="G10" s="11" t="inlineStr">
        <is>
          <t>PDF p.31 (印刷頁 30)</t>
        </is>
      </c>
      <c r="H10" s="11" t="inlineStr">
        <is>
          <t>nded 31 March 2026 and 年度，毛利分別約為人民幣1,012.5百萬元及 31 March 2025, respectively. Our gross profit margin was 人民幣1,048.1百萬元。截至2026年及2025 approximately 47.0% and 50.3% for the years ended 31 March 年3月31日止年度，我們的毛利率分別約為 2026 and 2025, respectively. 47.0%及50.3%。 The de</t>
        </is>
      </c>
    </row>
    <row r="11">
      <c r="A11" s="8" t="inlineStr">
        <is>
          <t>Gross Margin</t>
        </is>
      </c>
      <c r="B11" s="8" t="inlineStr">
        <is>
          <t>毛利率</t>
        </is>
      </c>
      <c r="C11" s="9" t="n">
        <v>70</v>
      </c>
      <c r="D11" s="10" t="n">
        <v>70</v>
      </c>
      <c r="E11" s="11" t="inlineStr">
        <is>
          <t>70%</t>
        </is>
      </c>
      <c r="F11" s="12" t="inlineStr">
        <is>
          <t>Low</t>
        </is>
      </c>
      <c r="G11" s="11" t="inlineStr">
        <is>
          <t>PDF p.31 (印刷頁 30)</t>
        </is>
      </c>
      <c r="H11" s="11" t="inlineStr">
        <is>
          <t>分別約為 2026 and 2025, respectively. 47.0%及50.3%。 The declines in gross profit and gross profit margin for the year 截至2026年3月31日止年度，毛利及毛利率 ended 31 March 2026 were mainly attributable to the following 下降主要歸因於以下因素： factors: (i) Over 70% of the Group’s cost of goo</t>
        </is>
      </c>
    </row>
    <row r="12">
      <c r="A12" s="8" t="inlineStr">
        <is>
          <t>Gross Margin</t>
        </is>
      </c>
      <c r="B12" s="8" t="inlineStr">
        <is>
          <t>毛利率</t>
        </is>
      </c>
      <c r="C12" s="9" t="n">
        <v>36.2</v>
      </c>
      <c r="D12" s="10" t="n">
        <v>36.2</v>
      </c>
      <c r="E12" s="11" t="inlineStr">
        <is>
          <t>36.2%</t>
        </is>
      </c>
      <c r="F12" s="11" t="inlineStr">
        <is>
          <t>High</t>
        </is>
      </c>
      <c r="G12" s="11" t="inlineStr">
        <is>
          <t>PDF p.32 (印刷頁 31)</t>
        </is>
      </c>
      <c r="H12" s="11" t="inlineStr">
        <is>
          <t xml:space="preserve"> for the year ended 31 增加至截至2026年3月31日止年度 March 2026. Such channels carry lower gross profit margin 的約36.2%。該等渠道的毛利率較自 compared with self-operated online and offline stores. 營線上及線下店舖為低。同時，自營 Meanwhile, the sales proportion of self-operated online 線上及線下店舖的銷售比例</t>
        </is>
      </c>
    </row>
    <row r="13">
      <c r="A13" s="8" t="inlineStr">
        <is>
          <t>Risk-free Rate</t>
        </is>
      </c>
      <c r="B13" s="8" t="inlineStr">
        <is>
          <t>無風險利率</t>
        </is>
      </c>
      <c r="C13" s="9" t="n">
        <v>1.82</v>
      </c>
      <c r="D13" s="10" t="n">
        <v>1.82</v>
      </c>
      <c r="E13" s="11" t="inlineStr">
        <is>
          <t>1.82%</t>
        </is>
      </c>
      <c r="F13" s="11" t="inlineStr">
        <is>
          <t>High</t>
        </is>
      </c>
      <c r="G13" s="11" t="inlineStr">
        <is>
          <t>PDF p.261 (印刷頁 260)</t>
        </is>
      </c>
      <c r="H13" s="11" t="inlineStr">
        <is>
          <t>% 52.13% Expected option life (years) 預計購股權年期（年） 10 10 Dividend yield 股息率 0% 0% Risk-free rate 無風險率 1.82% 3.70% Note: Expected volatility is assumed to be based on historical volatility of 附註： 預期波幅乃根據可比公司的歷史波幅而假 comparable companies. 設。 The variables and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Balance Sheet</t>
        </is>
      </c>
      <c r="B5" s="8" t="inlineStr">
        <is>
          <t>Property Plant and Equipment</t>
        </is>
      </c>
      <c r="C5" s="13" t="n">
        <v>9800</v>
      </c>
      <c r="D5" s="14" t="n">
        <v>17196</v>
      </c>
      <c r="E5" s="15">
        <f>IF(ISERROR((C5-D5)/ABS(D5)),"",(C5-D5)/ABS(D5))</f>
        <v>-0.43010002326122354</v>
      </c>
      <c r="F5" s="11" t="inlineStr">
        <is>
          <t>PDF p.214 (印刷頁 213)</t>
        </is>
      </c>
      <c r="G5" s="11" t="inlineStr">
        <is>
          <t>Property, plant and equipment 物業、廠房及設備 17 9,800 17,196</t>
        </is>
      </c>
    </row>
    <row r="6">
      <c r="A6" s="8" t="inlineStr">
        <is>
          <t>Balance Sheet</t>
        </is>
      </c>
      <c r="B6" s="8" t="inlineStr">
        <is>
          <t>Intangible Assets</t>
        </is>
      </c>
      <c r="C6" s="13" t="n">
        <v>6787</v>
      </c>
      <c r="D6" s="14" t="n">
        <v>8761</v>
      </c>
      <c r="E6" s="15">
        <f>IF(ISERROR((C6-D6)/ABS(D6)),"",(C6-D6)/ABS(D6))</f>
        <v>-0.22531674466385115</v>
      </c>
      <c r="F6" s="11" t="inlineStr">
        <is>
          <t>PDF p.214 (印刷頁 213)</t>
        </is>
      </c>
      <c r="G6" s="11" t="inlineStr">
        <is>
          <t>Intangible assets 無形資產 18 6,787 8,761</t>
        </is>
      </c>
    </row>
    <row r="7">
      <c r="A7" s="8" t="inlineStr">
        <is>
          <t>Balance Sheet</t>
        </is>
      </c>
      <c r="B7" s="8" t="inlineStr">
        <is>
          <t>Inventories</t>
        </is>
      </c>
      <c r="C7" s="13" t="n">
        <v>467714</v>
      </c>
      <c r="D7" s="14" t="n">
        <v>434059</v>
      </c>
      <c r="E7" s="15">
        <f>IF(ISERROR((C7-D7)/ABS(D7)),"",(C7-D7)/ABS(D7))</f>
        <v>0.07753554240322168</v>
      </c>
      <c r="F7" s="11" t="inlineStr">
        <is>
          <t>PDF p.214 (印刷頁 213)</t>
        </is>
      </c>
      <c r="G7" s="11" t="inlineStr">
        <is>
          <t>Inventories 存貨 24 467,714 434,059</t>
        </is>
      </c>
    </row>
    <row r="8">
      <c r="A8" s="8" t="inlineStr">
        <is>
          <t>Balance Sheet</t>
        </is>
      </c>
      <c r="B8" s="8" t="inlineStr">
        <is>
          <t>Trade Receivables</t>
        </is>
      </c>
      <c r="C8" s="13" t="n">
        <v>213774</v>
      </c>
      <c r="D8" s="14" t="n">
        <v>250399</v>
      </c>
      <c r="E8" s="15">
        <f>IF(ISERROR((C8-D8)/ABS(D8)),"",(C8-D8)/ABS(D8))</f>
        <v>-0.14626655857251827</v>
      </c>
      <c r="F8" s="11" t="inlineStr">
        <is>
          <t>PDF p.214 (印刷頁 213)</t>
        </is>
      </c>
      <c r="G8" s="11" t="inlineStr">
        <is>
          <t>Trade receivables 貿易應收款項 22(a) 213,774 250,399</t>
        </is>
      </c>
    </row>
    <row r="9">
      <c r="A9" s="8" t="inlineStr">
        <is>
          <t>Balance Sheet</t>
        </is>
      </c>
      <c r="B9" s="8" t="inlineStr">
        <is>
          <t>Cash and Equivalents</t>
        </is>
      </c>
      <c r="C9" s="13" t="n">
        <v>740990</v>
      </c>
      <c r="D9" s="14" t="n">
        <v>255998</v>
      </c>
      <c r="E9" s="15">
        <f>IF(ISERROR((C9-D9)/ABS(D9)),"",(C9-D9)/ABS(D9))</f>
        <v>1.894514800896882</v>
      </c>
      <c r="F9" s="11" t="inlineStr">
        <is>
          <t>PDF p.214 (印刷頁 213)</t>
        </is>
      </c>
      <c r="G9" s="11" t="inlineStr">
        <is>
          <t>Cash and cash equivalents 現金及現金等價物 23 740,990 255,998</t>
        </is>
      </c>
    </row>
    <row r="10">
      <c r="A10" s="8" t="inlineStr">
        <is>
          <t>Balance Sheet</t>
        </is>
      </c>
      <c r="B10" s="8" t="inlineStr">
        <is>
          <t>Total Assets</t>
        </is>
      </c>
      <c r="C10" s="13" t="n">
        <v>1936115</v>
      </c>
      <c r="D10" s="14" t="n">
        <v>1211111</v>
      </c>
      <c r="E10" s="15">
        <f>IF(ISERROR((C10-D10)/ABS(D10)),"",(C10-D10)/ABS(D10))</f>
        <v>0.5986272108832303</v>
      </c>
      <c r="F10" s="11" t="inlineStr">
        <is>
          <t>PDF p.214 (印刷頁 213)</t>
        </is>
      </c>
      <c r="G10" s="11" t="inlineStr">
        <is>
          <t>Total assets 總資產 1,936,115 1,211,111</t>
        </is>
      </c>
    </row>
    <row r="11">
      <c r="A11" s="8" t="inlineStr">
        <is>
          <t>Balance Sheet</t>
        </is>
      </c>
      <c r="B11" s="8" t="inlineStr">
        <is>
          <t>Total Equity</t>
        </is>
      </c>
      <c r="C11" s="13" t="n">
        <v>1506964</v>
      </c>
      <c r="D11" s="14" t="n">
        <v>690990</v>
      </c>
      <c r="E11" s="15">
        <f>IF(ISERROR((C11-D11)/ABS(D11)),"",(C11-D11)/ABS(D11))</f>
        <v>1.1808767131217528</v>
      </c>
      <c r="F11" s="11" t="inlineStr">
        <is>
          <t>PDF p.214 (印刷頁 213)</t>
        </is>
      </c>
      <c r="G11" s="11" t="inlineStr">
        <is>
          <t>Total equity 總權益 1,506,964 690,990</t>
        </is>
      </c>
    </row>
    <row r="12">
      <c r="A12" s="8" t="inlineStr">
        <is>
          <t>Balance Sheet</t>
        </is>
      </c>
      <c r="B12" s="8" t="inlineStr">
        <is>
          <t>Borrowings</t>
        </is>
      </c>
      <c r="C12" s="13" t="n">
        <v>18099</v>
      </c>
      <c r="D12" s="14" t="n">
        <v>33183</v>
      </c>
      <c r="E12" s="15">
        <f>IF(ISERROR((C12-D12)/ABS(D12)),"",(C12-D12)/ABS(D12))</f>
        <v>-0.45457011120151886</v>
      </c>
      <c r="F12" s="11" t="inlineStr">
        <is>
          <t>PDF p.215 (印刷頁 214)</t>
        </is>
      </c>
      <c r="G12" s="11" t="inlineStr">
        <is>
          <t>Bank borrowings 銀行借款 30 18,099 33,183</t>
        </is>
      </c>
    </row>
    <row r="13">
      <c r="A13" s="8" t="inlineStr">
        <is>
          <t>Balance Sheet</t>
        </is>
      </c>
      <c r="B13" s="8" t="inlineStr">
        <is>
          <t>Total Current Liabilities</t>
        </is>
      </c>
      <c r="C13" s="13" t="n">
        <v>416176</v>
      </c>
      <c r="D13" s="14" t="n">
        <v>497578</v>
      </c>
      <c r="E13" s="15">
        <f>IF(ISERROR((C13-D13)/ABS(D13)),"",(C13-D13)/ABS(D13))</f>
        <v>-0.16359646125833538</v>
      </c>
      <c r="F13" s="11" t="inlineStr">
        <is>
          <t>PDF p.215 (印刷頁 214)</t>
        </is>
      </c>
      <c r="G13" s="11" t="inlineStr">
        <is>
          <t>Total current liabilities 流動負債總額 416,176 497,578</t>
        </is>
      </c>
    </row>
    <row r="14">
      <c r="A14" s="8" t="inlineStr">
        <is>
          <t>Balance Sheet</t>
        </is>
      </c>
      <c r="B14" s="8" t="inlineStr">
        <is>
          <t>Total Liabilities</t>
        </is>
      </c>
      <c r="C14" s="13" t="n">
        <v>429151</v>
      </c>
      <c r="D14" s="14" t="n">
        <v>520121</v>
      </c>
      <c r="E14" s="15">
        <f>IF(ISERROR((C14-D14)/ABS(D14)),"",(C14-D14)/ABS(D14))</f>
        <v>-0.17490160943318958</v>
      </c>
      <c r="F14" s="11" t="inlineStr">
        <is>
          <t>PDF p.215 (印刷頁 214)</t>
        </is>
      </c>
      <c r="G14" s="11" t="inlineStr">
        <is>
          <t>Total liabilities 總負債 429,151 520,121</t>
        </is>
      </c>
    </row>
    <row r="15">
      <c r="A15" s="8" t="inlineStr">
        <is>
          <t>Balance Sheet</t>
        </is>
      </c>
      <c r="B15" s="8" t="inlineStr">
        <is>
          <t>Total Current Assets</t>
        </is>
      </c>
      <c r="C15" s="13" t="n">
        <v>1855708</v>
      </c>
      <c r="D15" s="14" t="n">
        <v>1071240</v>
      </c>
      <c r="E15" s="15">
        <f>IF(ISERROR((C15-D15)/ABS(D15)),"",(C15-D15)/ABS(D15))</f>
        <v>0.7322990179604943</v>
      </c>
      <c r="F15" s="11" t="inlineStr">
        <is>
          <t>PDF p.214 (印刷頁 213)</t>
        </is>
      </c>
      <c r="G15" s="11" t="inlineStr">
        <is>
          <t>[current assets 區段小計] 1,855,708 1,071,240</t>
        </is>
      </c>
    </row>
    <row r="16">
      <c r="A16" s="8" t="inlineStr">
        <is>
          <t>Cash Flow</t>
        </is>
      </c>
      <c r="B16" s="8" t="inlineStr">
        <is>
          <t>Operating Cash Flow</t>
        </is>
      </c>
      <c r="C16" s="13" t="n">
        <v>348169</v>
      </c>
      <c r="D16" s="14" t="n">
        <v>256649</v>
      </c>
      <c r="E16" s="15">
        <f>IF(ISERROR((C16-D16)/ABS(D16)),"",(C16-D16)/ABS(D16))</f>
        <v>0.35659597348908434</v>
      </c>
      <c r="F16" s="11" t="inlineStr">
        <is>
          <t>PDF p.218 (印刷頁 217)</t>
        </is>
      </c>
      <c r="G16" s="11" t="inlineStr">
        <is>
          <t>Cash generated from operations 經營產生的現金 31(a) 348,169 256,649</t>
        </is>
      </c>
    </row>
    <row r="17">
      <c r="A17" s="8" t="inlineStr">
        <is>
          <t>Cash Flow</t>
        </is>
      </c>
      <c r="B17" s="8" t="inlineStr">
        <is>
          <t>Capital Expenditure</t>
        </is>
      </c>
      <c r="C17" s="13" t="n">
        <v>-11325</v>
      </c>
      <c r="D17" s="14" t="n">
        <v>-26275</v>
      </c>
      <c r="E17" s="15">
        <f>IF(ISERROR((C17-D17)/ABS(D17)),"",(C17-D17)/ABS(D17))</f>
        <v>0.5689819219790676</v>
      </c>
      <c r="F17" s="11" t="inlineStr">
        <is>
          <t>PDF p.218 (印刷頁 217)</t>
        </is>
      </c>
      <c r="G17" s="11" t="inlineStr">
        <is>
          <t>Purchase of property, plant and equipment 購買物業、廠房及設備 17 (11,325) (26,275)</t>
        </is>
      </c>
    </row>
    <row r="18">
      <c r="A18" s="8" t="inlineStr">
        <is>
          <t>Cash Flow</t>
        </is>
      </c>
      <c r="B18" s="8" t="inlineStr">
        <is>
          <t>Investing Cash Flow</t>
        </is>
      </c>
      <c r="C18" s="13" t="n">
        <v>-192551</v>
      </c>
      <c r="D18" s="14" t="n">
        <v>-8515</v>
      </c>
      <c r="E18" s="15">
        <f>IF(ISERROR((C18-D18)/ABS(D18)),"",(C18-D18)/ABS(D18))</f>
        <v>-21.613153258954785</v>
      </c>
      <c r="F18" s="11" t="inlineStr">
        <is>
          <t>PDF p.218 (印刷頁 217)</t>
        </is>
      </c>
      <c r="G18" s="11" t="inlineStr">
        <is>
          <t>Net cash used in investing activities 投資活動所用現金淨額 (192,551) (8,515)</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t="str">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n/a</v>
      </c>
      <c r="C5" s="16" t="str">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n/a</v>
      </c>
      <c r="D5" s="2" t="inlineStr">
        <is>
          <t>毛利 ÷ 收入</t>
        </is>
      </c>
    </row>
    <row r="6">
      <c r="A6" s="4" t="inlineStr">
        <is>
          <t>Net Margin 淨利率</t>
        </is>
      </c>
      <c r="B6" s="16" t="str">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n/a</v>
      </c>
      <c r="C6" s="16" t="str">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n/a</v>
      </c>
      <c r="D6" s="2" t="inlineStr">
        <is>
          <t>年內溢利 ÷ 收入</t>
        </is>
      </c>
    </row>
    <row r="7">
      <c r="A7" s="4" t="inlineStr">
        <is>
          <t>Current Ratio 流動比率</t>
        </is>
      </c>
      <c r="B7" s="17">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4.458950059590173</v>
      </c>
      <c r="C7" s="17">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2.152908689692872</v>
      </c>
      <c r="D7" s="2" t="inlineStr">
        <is>
          <t>流動資產 ÷ 流動負債</t>
        </is>
      </c>
    </row>
    <row r="8">
      <c r="A8" s="4" t="inlineStr">
        <is>
          <t>Debt / Equity 負債權益比</t>
        </is>
      </c>
      <c r="B8" s="17">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0.2847785348555108</v>
      </c>
      <c r="C8" s="17">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0.7527185632208859</v>
      </c>
      <c r="D8" s="2" t="inlineStr">
        <is>
          <t>總負債 ÷ 總權益</t>
        </is>
      </c>
    </row>
    <row r="9">
      <c r="A9" s="4" t="inlineStr">
        <is>
          <t>Goodwill / Total Assets</t>
        </is>
      </c>
      <c r="B9" s="16"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6"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6">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0.0035054735901534776</v>
      </c>
      <c r="C10" s="16">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0.007233853874665493</v>
      </c>
      <c r="D10" s="2" t="inlineStr">
        <is>
          <t>無形資產佔比</t>
        </is>
      </c>
    </row>
    <row r="11">
      <c r="A11" s="4" t="inlineStr">
        <is>
          <t>ROE 股本回報率</t>
        </is>
      </c>
      <c r="B11" s="16" t="str">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n/a</v>
      </c>
      <c r="C11" s="16" t="str">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Total Assets</t>
        </is>
      </c>
      <c r="B5" s="19" t="n">
        <v>1211111</v>
      </c>
      <c r="C5" s="19" t="n">
        <v>1936115</v>
      </c>
    </row>
    <row r="6">
      <c r="A6" s="4" t="inlineStr">
        <is>
          <t>Total Equity</t>
        </is>
      </c>
      <c r="B6" s="19" t="n">
        <v>690990</v>
      </c>
      <c r="C6" s="19" t="n">
        <v>1506964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6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公允價值</t>
        </is>
      </c>
      <c r="E4" s="11" t="inlineStr">
        <is>
          <t>PDF p.34 (印刷頁 33)</t>
        </is>
      </c>
      <c r="F4" s="11" t="inlineStr">
        <is>
          <t>property, partially offset by the losses 資產的收益，部分被提前終止租賃╱修訂租 on early termination of leases/modification of leases and losses 賃的虧損以及按公允價值計入損益的金融資 on financial assets/liabilities at FVTPL. The Group recorded 產╱負債虧損所抵銷。截至2026年3月31日 other gains of approximately RMB48.0 million for the year ended 止年度，本集團錄得其他收益約人民幣48.0 31 March 2026, mainly consisting of the gains on disposal of 百萬元，主要包括出售附屬公司收益及短期 subsidiaries and interest income on short-term bank structured 銀行結構性存款利息收入。 deposits. Finance Income 財務收入 The finance income increased f</t>
        </is>
      </c>
    </row>
    <row r="5">
      <c r="A5" s="8" t="inlineStr">
        <is>
          <t>Fair Value Measurement</t>
        </is>
      </c>
      <c r="B5" s="8" t="inlineStr">
        <is>
          <t>公允價值計量</t>
        </is>
      </c>
      <c r="C5" s="20" t="inlineStr">
        <is>
          <t>high</t>
        </is>
      </c>
      <c r="D5" s="11" t="inlineStr">
        <is>
          <t>公允價值</t>
        </is>
      </c>
      <c r="E5" s="11" t="inlineStr">
        <is>
          <t>PDF p.214 (印刷頁 213)</t>
        </is>
      </c>
      <c r="F5" s="11" t="inlineStr">
        <is>
          <t>收關聯公司款項 33(e) 53 43,006 Amount due from a joint venture 應收一家合營企業款項 16(a) 10,452 4,161 Financial assets at fair value through profit 按公允價值計入損益（「按公允 or loss (“FVTPL”) 價值計入損益」）的金融資產 21 291,979 – Cash and cash equivalents 現金及現金等價物 23 740,990 255,998 1,855,708 1,071,240 Total assets 總資產 1,936,115 1,211,111 Equity and liabilities 權益及負債 Equity 權益 Share capital 股本 26 1,240 * Reserves 儲備 1,505,724 690,990 Total equity 總權益 1,506,964 690,990 * The amount as at 31 March 2025 was below RMB1,000. * 於2025年3月31日的金額低於人民幣1,000元。 穎通控股有限公司 2025/26</t>
        </is>
      </c>
    </row>
    <row r="6">
      <c r="A6" s="8" t="inlineStr">
        <is>
          <t>Fair Value Measurement</t>
        </is>
      </c>
      <c r="B6" s="8" t="inlineStr">
        <is>
          <t>公允價值計量</t>
        </is>
      </c>
      <c r="C6" s="20" t="inlineStr">
        <is>
          <t>high</t>
        </is>
      </c>
      <c r="D6" s="11" t="inlineStr">
        <is>
          <t>公允價值</t>
        </is>
      </c>
      <c r="E6" s="11" t="inlineStr">
        <is>
          <t>PDF p.215 (印刷頁 214)</t>
        </is>
      </c>
      <c r="F6" s="11" t="inlineStr">
        <is>
          <t>事款項 33(d) – 116,281 Bank borrowings 銀行借款 30 18,099 33,183 Lease liabilities 租賃負債 19(b) 24,947 58,507 Financial liabilities at FVTPL 按公允價值計入損益的金融負債 21 272 628 Total current liabilities 流動負債總額 416,176 497,578 Total liabilities 總負債 429,151 520,121 Total equity and liabilities 總權益及負債 1,936,115 1,211,111 The consolidated financial statements on pages 212 to 302 were 第212至302頁的綜合財務報表已於2026年6 approved by the Board of Directors on 18 June 2026 and are 月18日獲董事會批准，並由下列董事代表簽 signed on its behalf by: 署： Mr. Lau Kui Wing Mr. Chu Wai Tsun, B</t>
        </is>
      </c>
    </row>
    <row r="7">
      <c r="A7" s="8" t="inlineStr">
        <is>
          <t>Fair Value Measurement</t>
        </is>
      </c>
      <c r="B7" s="8" t="inlineStr">
        <is>
          <t>公允價值計量</t>
        </is>
      </c>
      <c r="C7" s="20" t="inlineStr">
        <is>
          <t>high</t>
        </is>
      </c>
      <c r="D7" s="11" t="inlineStr">
        <is>
          <t>公允價值</t>
        </is>
      </c>
      <c r="E7" s="11" t="inlineStr">
        <is>
          <t>PDF p.218 (印刷頁 217)</t>
        </is>
      </c>
      <c r="F7" s="11" t="inlineStr">
        <is>
          <t>11 11,203 1,692 Payment for acquisition of non-listed 收購非上市股份的付款 shares (26,155) – Net increase in financial assets/liabilities at 按公允價值計入損益的金融資 FVTPL 產╱負債增加淨額 (286,319) – Payment for investment in a joint venture 投資於一家合營企業的付款 16 – (7,233) Repayment from related companies 關聯公司還款 43,006 8,149 Net cash used in investing activities 投資活動所用現金淨額 (192,551) (8,515) Cash flows from financing activities 融資活動所得現金流量 Interest paid 已付利息 11, 31(c) (1,016) (1,383) Draw down of bank borrowings 提取銀行借款 31(c) – 41,395 Repayments of bank borrowing</t>
        </is>
      </c>
    </row>
    <row r="8">
      <c r="A8" s="8" t="inlineStr">
        <is>
          <t>Fair Value Measurement</t>
        </is>
      </c>
      <c r="B8" s="8" t="inlineStr">
        <is>
          <t>公允價值計量</t>
        </is>
      </c>
      <c r="C8" s="20" t="inlineStr">
        <is>
          <t>high</t>
        </is>
      </c>
      <c r="D8" s="11" t="inlineStr">
        <is>
          <t>公允價值</t>
        </is>
      </c>
      <c r="E8" s="11" t="inlineStr">
        <is>
          <t>PDF p.225 (印刷頁 224)</t>
        </is>
      </c>
      <c r="F8" s="11" t="inlineStr">
        <is>
          <t>consolidated financial statements have been prepared 綜合財務報表乃根據歷史成本慣例編製， under the historical cost convention, except for financial 惟按公允價值計入損益的金融資產╱負 assets/liabilities at FVTPL, which is measured at fair value. 債除外，其按公允價值計量。 The preparation of the consolidated financial statements in 編製符合香港財務報告準則會計準則的綜 conformity with HKFRS Accounting Standards requires the 合財務報表需要使用若干關鍵會計估計， use of certain critical accounting estimates. It also requires 亦要求管理層在應用本集團會計政策的過 management to exercise its judgment in the process of 程中作出判斷。涉及較高程度判斷或複雜</t>
        </is>
      </c>
    </row>
    <row r="9">
      <c r="A9" s="8" t="inlineStr">
        <is>
          <t>Fair Value Measurement</t>
        </is>
      </c>
      <c r="B9" s="8" t="inlineStr">
        <is>
          <t>公允價值計量</t>
        </is>
      </c>
      <c r="C9" s="20" t="inlineStr">
        <is>
          <t>high</t>
        </is>
      </c>
      <c r="D9" s="11" t="inlineStr">
        <is>
          <t>公允價值</t>
        </is>
      </c>
      <c r="E9" s="11" t="inlineStr">
        <is>
          <t>PDF p.230 (印刷頁 229)</t>
        </is>
      </c>
      <c r="F9" s="11" t="inlineStr">
        <is>
          <t>vities expose it to a variety of financial risks: 本集團的業務面對多種財務風險：外匯風 foreign exchange risk, cash flow and fair value interest 險、現金流量及公允價值利率風險、信貸 rate risk, credit risk and liquidity risk. The Group’s overall 風險及流動資金風險。本集團的整體風險 risk management program focuses on the unpredictability 管理計劃專注於金融市場的不可預測性， of financial markets and seeks to minimise potential 並尋求盡量減少對本集團財務表現的潛在 adverse effects on the Group’s financial performance. Risk 不利影響。風險管理乃根據董事批准的政 management is carried out under policies approved by the 策進行。董事提供整體風險管理原則。 direct</t>
        </is>
      </c>
    </row>
    <row r="10">
      <c r="A10" s="8" t="inlineStr">
        <is>
          <t>Fair Value Measurement</t>
        </is>
      </c>
      <c r="B10" s="8" t="inlineStr">
        <is>
          <t>公允價值計量</t>
        </is>
      </c>
      <c r="C10" s="20" t="inlineStr">
        <is>
          <t>high</t>
        </is>
      </c>
      <c r="D10" s="11" t="inlineStr">
        <is>
          <t>公允價值</t>
        </is>
      </c>
      <c r="E10" s="11" t="inlineStr">
        <is>
          <t>PDF p.232 (印刷頁 231)</t>
        </is>
      </c>
      <c r="F10" s="11" t="inlineStr">
        <is>
          <t>ion of MOP denominated 門元計值的現金及現金等價物的匯兌 cash and cash equivalents. 虧損╱收益所致。 (b) Cash flow and fair value interest rate risk (b) 現金流量及公允價值利率風險 The Group’s interest rate risk is mainly attributable to its 本集團的利率風險主要來自其現金及 cash and cash equivalents, short-term bank structured 現金等價物、短期銀行結構性存款及 deposits and bank borrowings with floating interest 以浮動利率計息的銀行借款。本集團 rates. Details of the Group’s cash and cash equivalents, 現金及現金等價物、短期銀行結構性 short-term bank structured deposits and bank borrowings 存款以及銀行借款的詳情已分別於綜 have been disclosed in Not</t>
        </is>
      </c>
    </row>
    <row r="11">
      <c r="A11" s="8" t="inlineStr">
        <is>
          <t>Fair Value Measurement</t>
        </is>
      </c>
      <c r="B11" s="8" t="inlineStr">
        <is>
          <t>公允價值計量</t>
        </is>
      </c>
      <c r="C11" s="20" t="inlineStr">
        <is>
          <t>high</t>
        </is>
      </c>
      <c r="D11" s="11" t="inlineStr">
        <is>
          <t>公允價值</t>
        </is>
      </c>
      <c r="E11" s="11" t="inlineStr">
        <is>
          <t>PDF p.233 (印刷頁 232)</t>
        </is>
      </c>
      <c r="F11" s="11" t="inlineStr">
        <is>
          <t>credit risk 的賬面值指本集團就其金融資產 in relation to its financial assets. 所面對的最大信貸風險。 The Group’s bank deposits and financial assets 本集團的銀行存款及按公允價值 at FVTPL are placed in those banks and financial 計入損益的金融資產存放於經獨 institutions which are independently rated with a high 立評級且獲高信貸評級的銀行及 credit rating. Management does not expect any losses 金融機構。由於該等銀行及金融 from non-performance by these banks and financial 機構過往並無違約記錄，管理層 institutions as they have no default history in the past. 並不預期因該等銀行及金融機構 不履約而產生任何損失。 For trade receivables, the normal credit te</t>
        </is>
      </c>
    </row>
    <row r="12">
      <c r="A12" s="8" t="inlineStr">
        <is>
          <t>Fair Value Measurement</t>
        </is>
      </c>
      <c r="B12" s="8" t="inlineStr">
        <is>
          <t>公允價值計量</t>
        </is>
      </c>
      <c r="C12" s="20" t="inlineStr">
        <is>
          <t>high</t>
        </is>
      </c>
      <c r="D12" s="11" t="inlineStr">
        <is>
          <t>公允價值</t>
        </is>
      </c>
      <c r="E12" s="11" t="inlineStr">
        <is>
          <t>PDF p.237 (印刷頁 236)</t>
        </is>
      </c>
      <c r="F12" s="11" t="inlineStr">
        <is>
          <t>) Net and gross settled financial asset/liability at (b) 其合約到期日對了解現金流量時 FVTPL financial instruments for which the contractual 間至關重要的按公允價值計入損 maturities are essential for an understanding of the 益的金融工具結算淨額和毛額的 timing of the cash flows. 金融資產╱負債。 As at 31 March 2026 於2026年3月31日 On demand Within 1 year 1 to 2 years 2 to 5 years Total 應要求 1年內 1至2年內 2至5年內 總計 RMB’000 RMB’000 RMB’000 RMB’000 RMB’000 人民幣千元 人民幣千元 人民幣千元 人民幣千元 人民幣千元 Trade payables 貿易應付款項 – 221,038 – – 221,038 Accruals and other payables 應計費用及其他應付款項 – 65,046 – – 65,046 Bank</t>
        </is>
      </c>
    </row>
    <row r="13">
      <c r="A13" s="8" t="inlineStr">
        <is>
          <t>Fair Value Measurement</t>
        </is>
      </c>
      <c r="B13" s="8" t="inlineStr">
        <is>
          <t>公允價值計量</t>
        </is>
      </c>
      <c r="C13" s="20" t="inlineStr">
        <is>
          <t>high</t>
        </is>
      </c>
      <c r="D13" s="11" t="inlineStr">
        <is>
          <t>公允價值</t>
        </is>
      </c>
      <c r="E13" s="11" t="inlineStr">
        <is>
          <t>PDF p.238 (印刷頁 237)</t>
        </is>
      </c>
      <c r="F13" s="11" t="inlineStr">
        <is>
          <t>terest payments 租賃負債及利息付款 – 60,979 17,457 3,574 82,010 149,464 251,133 17,457 3,574 421,628 Financial liabilities at its fair value 按公允價值計量的金融負債 Gross settled (foreign currency contract) 總額結算（外幣合約） – inflow －流入 – 18,916 – – 18,916 – (Outflow) －（流出） – (19,544) – – (19,544) – (628) – – (628) Where the loan agreement contains a repayable on 如貸款協議載有應要求償還條款，賦 demand clause which gives the lender the unconditional 予貸款人可隨時無條件要求償還貸款 right to call the loan at any time, the amounts repayable 的權利，則應付款項會分類至貸款人 are classified in the earlies</t>
        </is>
      </c>
    </row>
    <row r="14">
      <c r="A14" s="8" t="inlineStr">
        <is>
          <t>Fair Value Measurement</t>
        </is>
      </c>
      <c r="B14" s="8" t="inlineStr">
        <is>
          <t>公允價值計量</t>
        </is>
      </c>
      <c r="C14" s="20" t="inlineStr">
        <is>
          <t>high</t>
        </is>
      </c>
      <c r="D14" s="11" t="inlineStr">
        <is>
          <t>valuation technique</t>
        </is>
      </c>
      <c r="E14" s="11" t="inlineStr">
        <is>
          <t>PDF p.240 (印刷頁 239)</t>
        </is>
      </c>
      <c r="F14" s="11" t="inlineStr">
        <is>
          <t>資產用於最高及最佳用 to another market participant that would use the asset in its 途的另一名市場參與者而產生經濟利益的 highest and best use. 能力。 The Group uses valuation techniques that are appropriate 本集團針對情況使用適合的估值方法，且 in the circumstances and for which sufficient data are 有足夠數據可用以計量公允價值，並盡量 available to measure fair value, maximising the use of relevant 利用相關可觀察輸入數據及盡量減少使用 observable inputs and minimising the use of unobservable 不可觀察輸入數據。 inputs. 穎通控股有限公司 2025/26年報 239</t>
        </is>
      </c>
    </row>
    <row r="15">
      <c r="A15" s="8" t="inlineStr">
        <is>
          <t>Fair Value Measurement</t>
        </is>
      </c>
      <c r="B15" s="8" t="inlineStr">
        <is>
          <t>公允價值計量</t>
        </is>
      </c>
      <c r="C15" s="20" t="inlineStr">
        <is>
          <t>high</t>
        </is>
      </c>
      <c r="D15" s="11" t="inlineStr">
        <is>
          <t>fair value hierarchy</t>
        </is>
      </c>
      <c r="E15" s="11" t="inlineStr">
        <is>
          <t>PDF p.241 (印刷頁 240)</t>
        </is>
      </c>
      <c r="F15" s="11" t="inlineStr">
        <is>
          <t>e is measured 所有以公允價值計量或在綜合財務報表中 or disclosed in the consolidated financial statements are 披露公允價值的資產及負債，均基於對公 categorised within the fair value hierarchy, described as 允價值計量整體而言屬重要的最低層級輸 follows, based on the lowest level input that is significant to 入數據按下述公允價值層級分類： the fair value measurement as a whole: • Level 1 – Quoted (unadjusted) market prices in active • 第一級－相同資產或負債於活躍市場 markets for identical assets or liabilities 中的報價（未經調整）市價 • Level 2 – Valuation techniques for which the lowest level • 第二級－對公允價值計量而言屬重要 input that is si</t>
        </is>
      </c>
    </row>
    <row r="16">
      <c r="A16" s="8" t="inlineStr">
        <is>
          <t>Fair Value Measurement</t>
        </is>
      </c>
      <c r="B16" s="8" t="inlineStr">
        <is>
          <t>公允價值計量</t>
        </is>
      </c>
      <c r="C16" s="20" t="inlineStr">
        <is>
          <t>high</t>
        </is>
      </c>
      <c r="D16" s="11" t="inlineStr">
        <is>
          <t>level 1</t>
        </is>
      </c>
      <c r="E16" s="11" t="inlineStr">
        <is>
          <t>PDF p.242 (印刷頁 241)</t>
        </is>
      </c>
      <c r="F16" s="11" t="inlineStr">
        <is>
          <t>CH 2026 截至2026 年3 月31 日止年度 3. FINANCIAL RISK MANAGEMENT (CONTINUED) 3. 財務風險管理（續） 3.3 Fair value estimation (Continued) 3.3 公允價值估計（續） Level 1 Level 2 Level 3 Total 第一級 第二級 第三級 總計 RMB’000 RMB’000 RMB’000 RMB’000 人民幣千元 人民幣千元 人民幣千元 人民幣千元 As at 31 March 2026 於2026年3月31日 Financial assets 金融資產 Financial assets at FVTPL 按公允價值計入損益的 金融資產 Short-term bank structured 短期銀行結構性存款 deposits (Note) （附註） – 264,877 – 264,877 Unlisted equity funds 非上市股權基金 – 26,916 – 26,916 Derivatives financial 衍生金融工具 instruments – 186 – 186 – 291,979 – 291,979 Fina</t>
        </is>
      </c>
    </row>
    <row r="17">
      <c r="A17" s="8" t="inlineStr">
        <is>
          <t>Fair Value Measurement</t>
        </is>
      </c>
      <c r="B17" s="8" t="inlineStr">
        <is>
          <t>公允價值計量</t>
        </is>
      </c>
      <c r="C17" s="20" t="inlineStr">
        <is>
          <t>high</t>
        </is>
      </c>
      <c r="D17" s="11" t="inlineStr">
        <is>
          <t>level 2</t>
        </is>
      </c>
      <c r="E17" s="11" t="inlineStr">
        <is>
          <t>PDF p.243 (印刷頁 242)</t>
        </is>
      </c>
      <c r="F17" s="11" t="inlineStr">
        <is>
          <t>CH 2026 截至2026 年3 月31 日止年度 3. FINANCIAL RISK MANAGEMENT (CONTINUED) 3. 財務風險管理（續） 3.3 Fair value estimation (Continued) 3.3 公允價值估計（續） Level 2 fair value measurements Fair value 第二級公允價值計量 公允價值 Description Valuation technique Inputs 2026 2025 描述 估值技術 輸入數據 2026年 2025年 RMB’000 RMB’000 人民幣千元 人民幣千元 Assets Liabilities Assets Liabilities 資產 負債 資產 負債 Short-term bank structured Discounted cash flow Observable interest rates and deposits foreign exchange rates 264,877 – – – 短期銀行結構性存款 貼現現金流 可觀察的利率及外匯匯率 Unlisted equity funds Net asset value</t>
        </is>
      </c>
    </row>
    <row r="18">
      <c r="A18" s="8" t="inlineStr">
        <is>
          <t>Fair Value Measurement</t>
        </is>
      </c>
      <c r="B18" s="8" t="inlineStr">
        <is>
          <t>公允價值計量</t>
        </is>
      </c>
      <c r="C18" s="20" t="inlineStr">
        <is>
          <t>high</t>
        </is>
      </c>
      <c r="D18" s="11" t="inlineStr">
        <is>
          <t>公允價值</t>
        </is>
      </c>
      <c r="E18" s="11" t="inlineStr">
        <is>
          <t>PDF p.246 (印刷頁 245)</t>
        </is>
      </c>
      <c r="F18" s="11" t="inlineStr">
        <is>
          <t>時一年或以下的合約的一部分。 original expected duration of one year or less. Revenue is measured at the fair value of the consideration 收入按已收或應收代價的公允價值計量， received or receivable, and represents amounts receivable for 並指供應貨品的應收金額，並扣除已授出 goods supplied, stated net of discounts granted. Discounts 折扣列報。給予客戶的折扣分類為收入削 granted to customers are classified as a reduction of revenue. 減。本集團在以下情況時確認收入：收入 The Group recognises revenue when the amount of revenue 金額能夠可靠計量時；未來經濟利益很可 can be reliably measured; when it is probable that future 能流入本集團時；及當本集團的各項活動</t>
        </is>
      </c>
    </row>
    <row r="19">
      <c r="A19" s="8" t="inlineStr">
        <is>
          <t>Fair Value Measurement</t>
        </is>
      </c>
      <c r="B19" s="8" t="inlineStr">
        <is>
          <t>公允價值計量</t>
        </is>
      </c>
      <c r="C19" s="20" t="inlineStr">
        <is>
          <t>high</t>
        </is>
      </c>
      <c r="D19" s="11" t="inlineStr">
        <is>
          <t>公允價值</t>
        </is>
      </c>
      <c r="E19" s="11" t="inlineStr">
        <is>
          <t>PDF p.250 (印刷頁 249)</t>
        </is>
      </c>
      <c r="F19" s="11" t="inlineStr">
        <is>
          <t>e government are recognised at their fair 政府補助在能夠合理確定將收到補助且本集 value when there is a reasonable assurance that the grant 團將符合所有附帶條件時按其公允價值確認。 will be received and the Group will comply with all attached conditions. Government grants relating to costs are deferred and 與成本有關的政府補助會遞延，並在與擬補 recognised in the consolidated statement of comprehensive 償的成本相匹配的必要期間內在綜合全面收 income over the period necessary to match them with the 益表中確認。 costs that they are intended to compensate. 穎通控股有限公司 2025/26年報 249</t>
        </is>
      </c>
    </row>
    <row r="20">
      <c r="A20" s="8" t="inlineStr">
        <is>
          <t>Fair Value Measurement</t>
        </is>
      </c>
      <c r="B20" s="8" t="inlineStr">
        <is>
          <t>公允價值計量</t>
        </is>
      </c>
      <c r="C20" s="20" t="inlineStr">
        <is>
          <t>high</t>
        </is>
      </c>
      <c r="D20" s="11" t="inlineStr">
        <is>
          <t>公允價值</t>
        </is>
      </c>
      <c r="E20" s="11" t="inlineStr">
        <is>
          <t>PDF p.251 (印刷頁 250)</t>
        </is>
      </c>
      <c r="F20" s="11" t="inlineStr">
        <is>
          <t>5 2026年 2025年 RMB’000 RMB’000 人民幣千元 人民幣千元 Exchange losses, net 匯兌虧損淨額 (930) (183) Gains/(losses) on financial assets/liabilities at 按公允價值計入損益的金融資 FVTPL 產╱負債收益╱（虧損） 6,016 (620) Losses on early termination of leases/ 提前終止租賃╱修改租賃的虧損 modification of leases (2) (773) Gains on disposal of property, plant and 出售物業、廠房及設備收益 equipment (Note 31(b)) （附註31(b)） 333 183 Gains on disposal of subsidiaries (Note 25) 出售附屬公司收益（附註25） 42,627 – Gains on disposal of assets classified as held 出售分類為持作出售的資產的收益 for sale – 14,795 48,044 13,402 250 Eternal</t>
        </is>
      </c>
    </row>
    <row r="21">
      <c r="A21" s="8" t="inlineStr">
        <is>
          <t>Fair Value Measurement</t>
        </is>
      </c>
      <c r="B21" s="8" t="inlineStr">
        <is>
          <t>公允價值計量</t>
        </is>
      </c>
      <c r="C21" s="20" t="inlineStr">
        <is>
          <t>high</t>
        </is>
      </c>
      <c r="D21" s="11" t="inlineStr">
        <is>
          <t>公允價值</t>
        </is>
      </c>
      <c r="E21" s="11" t="inlineStr">
        <is>
          <t>PDF p.261 (印刷頁 260)</t>
        </is>
      </c>
      <c r="F21" s="11" t="inlineStr">
        <is>
          <t>purchase or settle the options 結算購股權的法律或推定責任。 in cash. The fair values of services received in return for share options 因授出購股權而獲得的服務的公允價值乃 granted are measured by reference to the fair value of share 經參考授出的購股權的公允價值計量。使 options granted. The range of fair value of options granted 用二項式模型釐定的已授出購股權的公允 determined by using the Binomial model and significant inputs 價值範圍以及模型的重大輸入數據如下： into the model were as follows: Share options as at grant date 於授出日期的購股權 1 December 31 March 2019 2024 2019年12月1日 2024年3月31日 Fair value of Pre-IPO ESOP gr</t>
        </is>
      </c>
    </row>
    <row r="22">
      <c r="A22" s="8" t="inlineStr">
        <is>
          <t>Fair Value Measurement</t>
        </is>
      </c>
      <c r="B22" s="8" t="inlineStr">
        <is>
          <t>公允價值計量</t>
        </is>
      </c>
      <c r="C22" s="20" t="inlineStr">
        <is>
          <t>high</t>
        </is>
      </c>
      <c r="D22" s="11" t="inlineStr">
        <is>
          <t>公允價值</t>
        </is>
      </c>
      <c r="E22" s="11" t="inlineStr">
        <is>
          <t>PDF p.263 (印刷頁 262)</t>
        </is>
      </c>
      <c r="F22" s="11" t="inlineStr">
        <is>
          <t>struments of the Company. Share options granted 具的代價。本集團授予承授人的購股權於 to the grantees of the Group are measured at the grant 授出日期根據權益工具的公允價值計量， date based on the fair value of equity instruments and are 並於歸屬期（即達成所有指定歸屬條件的 recognised as employee benefit expenses over the vesting 期間）確認為僱員福利開支，並相應增加 period, which is the period over which all of the specified 權益，列為「以股份為基礎的薪酬」。 vesting conditions are to be satisfied, with a corresponding increase in equity as “share-based compensation”. At the end of each reporting period, the Group re</t>
        </is>
      </c>
    </row>
    <row r="23">
      <c r="A23" s="8" t="inlineStr">
        <is>
          <t>Fair Value Measurement</t>
        </is>
      </c>
      <c r="B23" s="8" t="inlineStr">
        <is>
          <t>公允價值計量</t>
        </is>
      </c>
      <c r="C23" s="20" t="inlineStr">
        <is>
          <t>high</t>
        </is>
      </c>
      <c r="D23" s="11" t="inlineStr">
        <is>
          <t>公允價值</t>
        </is>
      </c>
      <c r="E23" s="11" t="inlineStr">
        <is>
          <t>PDF p.264 (印刷頁 263)</t>
        </is>
      </c>
      <c r="F23" s="11" t="inlineStr">
        <is>
          <t>易性質、 unsecured, interest-free and repayable on demand. The 未擔保、免息及按需償還。該等結餘 carrying amount of the balances approximates their 的賬面值與其公允價值相若。應收一 fair value. The amount due from a joint venture was 家合營企業款項按港元及人民幣計值。 denominated in HK$ and RMB. The particulars of the joint venture are summarised as 該合營企業的詳情概述如下： below. Country/place and date of Name of entity incorporation/establishment Principal activities Class of share held 2026 2025 註冊成立╱成立國家╱地區及 實體名稱 日期 主要業務 所持股份類別 2026年 2025年 HK$ HK$ HK$ HK$ 港元 港元 港元 港元 B&amp;E China Holdings Li</t>
        </is>
      </c>
    </row>
    <row r="24">
      <c r="A24" s="8" t="inlineStr">
        <is>
          <t>Fair Value Measurement</t>
        </is>
      </c>
      <c r="B24" s="8" t="inlineStr">
        <is>
          <t>公允價值計量</t>
        </is>
      </c>
      <c r="C24" s="20" t="inlineStr">
        <is>
          <t>high</t>
        </is>
      </c>
      <c r="D24" s="11" t="inlineStr">
        <is>
          <t>公允價值</t>
        </is>
      </c>
      <c r="E24" s="11" t="inlineStr">
        <is>
          <t>PDF p.265 (印刷頁 264)</t>
        </is>
      </c>
      <c r="F24" s="11" t="inlineStr">
        <is>
          <t>The carrying amount of the shops and counters is written 倘資產的賬面值高於其估計可收回金 down to its recoverable amount (the higher of fair value 額（公允價值減出售成本或使用價值 less costs to sell or value-in-use) if the asset’s carrying 中的較高者），則門店及專櫃的賬面值 amount is greater than its estimated recoverable amount. 會撇減至其可收回金額。可收回金額 The estimates of the recoverable amounts were based 的估計乃基於管理層批准的涵蓋剩餘 on value-in-use calculations using discounted cash flow 租賃年期的財務預測的貼現現金流量 projections based on the financial forecasts approved by 預測（主要假設包括收入增長率及稅 management coveri</t>
        </is>
      </c>
    </row>
    <row r="25">
      <c r="A25" s="8" t="inlineStr">
        <is>
          <t>Fair Value Measurement</t>
        </is>
      </c>
      <c r="B25" s="8" t="inlineStr">
        <is>
          <t>公允價值計量</t>
        </is>
      </c>
      <c r="C25" s="20" t="inlineStr">
        <is>
          <t>high</t>
        </is>
      </c>
      <c r="D25" s="11" t="inlineStr">
        <is>
          <t>公允價值</t>
        </is>
      </c>
      <c r="E25" s="11" t="inlineStr">
        <is>
          <t>PDF p.274 (印刷頁 273)</t>
        </is>
      </c>
      <c r="F25" s="11" t="inlineStr">
        <is>
          <t>(a)） 10,452 4,161 – Cash and cash equivalents (Note 23) －現金及現金等價物（附註23） 740,990 255,998 1,014,398 601,502 Financial assets at FVTPL 按公允價值計入損益的金融資產 – Short-term bank structured deposits －短期銀行結構性存款 264,877 – – Unlisted equity funds －非上市股權基金 26,916 – – Derivatives financial instruments －衍生金融工具 186 – 291,979 – Total 總計 1,306,377 601,502 2026 2025 2026年 2025年 RMB’000 RMB’000 人民幣千元 人民幣千元 Liabilities as per consolidated statement of 綜合財務狀況表所列的負債 financial position Financial liabilities measured at amortised cost 按攤銷成本計量的金融負債 – Trade p</t>
        </is>
      </c>
    </row>
    <row r="26">
      <c r="A26" s="8" t="inlineStr">
        <is>
          <t>Fair Value Measurement</t>
        </is>
      </c>
      <c r="B26" s="8" t="inlineStr">
        <is>
          <t>公允價值計量</t>
        </is>
      </c>
      <c r="C26" s="20" t="inlineStr">
        <is>
          <t>high</t>
        </is>
      </c>
      <c r="D26" s="11" t="inlineStr">
        <is>
          <t>公允價值</t>
        </is>
      </c>
      <c r="E26" s="11" t="inlineStr">
        <is>
          <t>PDF p.275 (印刷頁 274)</t>
        </is>
      </c>
      <c r="F26" s="11" t="inlineStr">
        <is>
          <t>(2,108) (663) Trade receivables, net 貿易應收款項淨額 213,774 250,399 The carrying values of trade receivables approximate their 貿易應收款項的賬面值與其公允價值 fair values. The Group generally allows an average credit 相若。本集團一般給予貿易客戶平均 period of 30 to 90 days to its trade customers. 30至90日的信貸期。 The carrying amounts of trade receivables are 貿易應收款項的賬面值按下列貨幣計 denominated in the following currencies: 值： 2026 2025 2026年 2025年 RMB’000 RMB’000 人民幣千元 人民幣千元 HK$ 港元 75,167 65,984 US$ 美元 48,071 65,450 EUR 歐元 113 – RMB 人民幣 90,423 118,965 213,774 250,399 (b) Depos</t>
        </is>
      </c>
    </row>
    <row r="27">
      <c r="A27" s="8" t="inlineStr">
        <is>
          <t>Fair Value Measurement</t>
        </is>
      </c>
      <c r="B27" s="8" t="inlineStr">
        <is>
          <t>公允價值計量</t>
        </is>
      </c>
      <c r="C27" s="20" t="inlineStr">
        <is>
          <t>high</t>
        </is>
      </c>
      <c r="D27" s="11" t="inlineStr">
        <is>
          <t>公允價值</t>
        </is>
      </c>
      <c r="E27" s="11" t="inlineStr">
        <is>
          <t>PDF p.277 (印刷頁 276)</t>
        </is>
      </c>
      <c r="F27" s="11" t="inlineStr">
        <is>
          <t>,998 Maximum exposure to credit risk 最高信貸風險敞口 740,930 255,976 Cash and cash equivalents approximated their fair values are 現金及現金等價物與其公允價值相若，並 denominated in the following currencies: 按下列貨幣計值： 2026 2025 2026年 2025年 RMB’000 RMB’000 人民幣千元 人民幣千元 US$ 美元 88,487 32,763 HK$ 港元 457,955 55,740 RMB 人民幣 176,483 157,495 GBP 英鎊 131 173 EUR 歐元 5,448 6,738 SGD 新加坡元 8,603 7 Others 其他 3,883 3,082 740,990 255,998 The conversion of cash and bank balances denominated 將以人民幣計值的現金及銀行結餘兌換為 in RMB into foreign currencies and remittance of these 外幣以及將該等存</t>
        </is>
      </c>
    </row>
    <row r="28">
      <c r="A28" s="8" t="inlineStr">
        <is>
          <t>Fair Value Measurement</t>
        </is>
      </c>
      <c r="B28" s="8" t="inlineStr">
        <is>
          <t>公允價值計量</t>
        </is>
      </c>
      <c r="C28" s="20" t="inlineStr">
        <is>
          <t>high</t>
        </is>
      </c>
      <c r="D28" s="11" t="inlineStr">
        <is>
          <t>公允價值</t>
        </is>
      </c>
      <c r="E28" s="11" t="inlineStr">
        <is>
          <t>PDF p.281 (印刷頁 280)</t>
        </is>
      </c>
      <c r="F28" s="11" t="inlineStr">
        <is>
          <t>43 Other tax payables 其他應付稅項 3,143 13,537 103,721 118,741 Accruals and other payables are recognised initially at fair 應計費用及其他應付款項初步按公允價值 value and subsequently measured at amortised cost using the 確認並其後以實際利率法按攤銷成本計 effective interest method. 量。 The carrying amounts of accruals and other payables are 應計費用及其他應付款項的賬面值按下列 denominated in the following currencies: 貨幣計值： 2026 2025 2026年 2025年 RMB’000 RMB’000 人民幣千元 人民幣千元 HK$ 港元 20,681 9,247 US$ 美元 3,628 2,796 EUR 歐元 12,787 1,452 RMB 人民幣 66,625 105,246 103,721 118,741 280 Eternal Beaut</t>
        </is>
      </c>
    </row>
    <row r="29">
      <c r="A29" s="8" t="inlineStr">
        <is>
          <t>Fair Value Measurement</t>
        </is>
      </c>
      <c r="B29" s="8" t="inlineStr">
        <is>
          <t>公允價值計量</t>
        </is>
      </c>
      <c r="C29" s="20" t="inlineStr">
        <is>
          <t>high</t>
        </is>
      </c>
      <c r="D29" s="11" t="inlineStr">
        <is>
          <t>公允價值</t>
        </is>
      </c>
      <c r="E29" s="11" t="inlineStr">
        <is>
          <t>PDF p.283 (印刷頁 282)</t>
        </is>
      </c>
      <c r="F29" s="11" t="inlineStr">
        <is>
          <t>olicies for bank borrowings and borrowing costs 銀行借款及借款成本的會計政策 Bank borrowings are initially recognised at fair value, net of 銀行借款初步按公允價值扣除已產生交易 transaction costs incurred. Bank borrowings are subsequently 成本確認。銀行借款其後按攤銷成本計 measured at amortised cost. Any difference between the 量。所得款項（扣除交易成本）與贖回金 proceeds (net of transaction costs) and the redemption 額之間的任何差額均採用實際利息法於銀 amount is recognised in profit or loss over the period of the 行借款期間內在損益內確認。倘將有可能 bank borrowings using the effective interest method. Fees 提取部分或全部融資，則就設立貸款融資 pai</t>
        </is>
      </c>
    </row>
    <row r="30">
      <c r="A30" s="8" t="inlineStr">
        <is>
          <t>Fair Value Measurement</t>
        </is>
      </c>
      <c r="B30" s="8" t="inlineStr">
        <is>
          <t>公允價值計量</t>
        </is>
      </c>
      <c r="C30" s="20" t="inlineStr">
        <is>
          <t>high</t>
        </is>
      </c>
      <c r="D30" s="11" t="inlineStr">
        <is>
          <t>公允價值</t>
        </is>
      </c>
      <c r="E30" s="11" t="inlineStr">
        <is>
          <t>PDF p.285 (印刷頁 284)</t>
        </is>
      </c>
      <c r="F30" s="11" t="inlineStr">
        <is>
          <t>備 2,989 3,143 Finance income 財務收入 (11,203) (1,692) Finance costs 財務成本 3,542 6,225 (Gains)/losses on financial assets/liabilities at 按公允價值計入損益的金融 FVTPL 資產╱負債（收益）╱虧損 (6,016) 620 Gains on disposal of property, plant and 出售物業、廠房及設備收益 equipment (333) (183) Losses on early termination of leases/ 提前終止租賃╱修改租賃的 modification of leases 虧損 2 773 Gains on disposal of subsidiaries 出售附屬公司收益 (42,627) – Gains on disposal of assets classified as held 出售分類為持作出售的 for sale 資產的收益 – (14,795) Provision for/(reversal of) impairment of 金融資產減值撥備╱（撥回） fin</t>
        </is>
      </c>
    </row>
    <row r="31">
      <c r="A31" s="8" t="inlineStr">
        <is>
          <t>Fair Value Measurement</t>
        </is>
      </c>
      <c r="B31" s="8" t="inlineStr">
        <is>
          <t>公允價值計量</t>
        </is>
      </c>
      <c r="C31" s="20" t="inlineStr">
        <is>
          <t>high</t>
        </is>
      </c>
      <c r="D31" s="11" t="inlineStr">
        <is>
          <t>公允價值</t>
        </is>
      </c>
      <c r="E31" s="11" t="inlineStr">
        <is>
          <t>PDF p.289 (印刷頁 288)</t>
        </is>
      </c>
      <c r="F31" s="11" t="inlineStr">
        <is>
          <t>any are unsecured, non-trade in nature, interest-free 事的結餘為無抵押、非貿易性質、免息及 and repayable on demand and approximate their fair 按要求償還，並與其公允價值相若。與一 values. The balances with a director are denominated in 名董事的結餘以港元及人民幣計值。 HK$ and RMB. (e) Amounts due from related companies (e) 應收關聯公司款項 2026 2025 2026年 2025年 RMB’000 RMB’000 人民幣千元 人民幣千元 Amounts due from related companies 應收關聯公司款項 53 43,006 Non-trade receivables from related parties are unsecured, 應收關聯方非貿易款項為無抵押、免 interest-free and repayable on demand. The carrying 息及按要求償還。結餘的賬面值與其 valu</t>
        </is>
      </c>
    </row>
    <row r="32">
      <c r="A32" s="8" t="inlineStr">
        <is>
          <t>Fair Value Measurement</t>
        </is>
      </c>
      <c r="B32" s="8" t="inlineStr">
        <is>
          <t>公允價值計量</t>
        </is>
      </c>
      <c r="C32" s="20" t="inlineStr">
        <is>
          <t>high</t>
        </is>
      </c>
      <c r="D32" s="11" t="inlineStr">
        <is>
          <t>公允價值</t>
        </is>
      </c>
      <c r="E32" s="11" t="inlineStr">
        <is>
          <t>PDF p.293 (印刷頁 292)</t>
        </is>
      </c>
      <c r="F32" s="11" t="inlineStr">
        <is>
          <t>n the disposal of a subsidiary that results 出售附屬公司而導致失去控制權的收 in a loss of control represents the difference between (i) 益或虧損指(i)出售代價的公允價值加 the fair value of the consideration of the sale plus the fair 於該附屬公司保留的任何投資的公允 value of any investment retained in that subsidiary and (ii) 價值與(ii)本公司應佔該附屬公司資產 the Company’s share of the net assets of that subsidiary 淨值加任何剩餘商譽及與該附屬公司 plus any remaining goodwill and any accumulated foreign 有關的任何累計外幣換算儲備之間的 currency translation reserve relating to that subsidiary. 差額。 292 Eternal Beauty Holdin</t>
        </is>
      </c>
    </row>
    <row r="33">
      <c r="A33" s="8" t="inlineStr">
        <is>
          <t>Fair Value Measurement</t>
        </is>
      </c>
      <c r="B33" s="8" t="inlineStr">
        <is>
          <t>公允價值計量</t>
        </is>
      </c>
      <c r="C33" s="20" t="inlineStr">
        <is>
          <t>high</t>
        </is>
      </c>
      <c r="D33" s="11" t="inlineStr">
        <is>
          <t>公允價值</t>
        </is>
      </c>
      <c r="E33" s="11" t="inlineStr">
        <is>
          <t>PDF p.295 (印刷頁 294)</t>
        </is>
      </c>
      <c r="F33" s="11" t="inlineStr">
        <is>
          <t>t in the net fair value of acquiree’s identifiable 購方的可識別資產、負債及或然負債 assets, liabilities and contingent liabilities over cost at the 的公允價值淨值之權益超出成本的部 time of common control combination, to the extent of the 分確認任何金額。 continuation of the controlling party’s interest. The consolidated statement of comprehensive income 綜合全面收益表載有各合併實體或業 includes the results of each of the combining entities or 務自最早呈報日期或自合併實體或業 businesses from the earliest date presented or since the 務首次受共同控制之日（以較短期間 date when the combining entities or businesses firs</t>
        </is>
      </c>
    </row>
    <row r="34">
      <c r="A34" s="8" t="inlineStr">
        <is>
          <t>Fair Value Measurement</t>
        </is>
      </c>
      <c r="B34" s="8" t="inlineStr">
        <is>
          <t>公允價值計量</t>
        </is>
      </c>
      <c r="C34" s="20" t="inlineStr">
        <is>
          <t>high</t>
        </is>
      </c>
      <c r="D34" s="11" t="inlineStr">
        <is>
          <t>公允價值</t>
        </is>
      </c>
      <c r="E34" s="11" t="inlineStr">
        <is>
          <t>PDF p.297 (印刷頁 296)</t>
        </is>
      </c>
      <c r="F34" s="11" t="inlineStr">
        <is>
          <t>es are recognised in the consolidated statement of comprehensive income. Non-monetary items that are measured at fair value in a 以外幣按公允價值計量的非貨幣項 foreign currency are translated using the exchange rates at 目，採用公允價值釐定之日的匯率換 the date when the fair value was determined. Translation 算。以公允價值列賬的資產和負債的 differences on assets and liabilities carried at fair value 換算差額作為公允價值收益或虧損的 are reported as part of the fair value gain or loss. 一部分呈報。 (c) Group companies (c) 集團公司 The results and financial position of foreign operations 功能貨幣不同於呈列貨幣的境外</t>
        </is>
      </c>
    </row>
    <row r="35">
      <c r="A35" s="8" t="inlineStr">
        <is>
          <t>Fair Value Measurement</t>
        </is>
      </c>
      <c r="B35" s="8" t="inlineStr">
        <is>
          <t>公允價值計量</t>
        </is>
      </c>
      <c r="C35" s="20" t="inlineStr">
        <is>
          <t>high</t>
        </is>
      </c>
      <c r="D35" s="11" t="inlineStr">
        <is>
          <t>公允價值</t>
        </is>
      </c>
      <c r="E35" s="11" t="inlineStr">
        <is>
          <t>PDF p.298 (印刷頁 297)</t>
        </is>
      </c>
      <c r="F35" s="11" t="inlineStr">
        <is>
          <t>ying amount of the club membership and computer 籍及計算機軟件的賬面值於各報告期末檢 software are reviewed at the end of each reporting period to 討，以評估公允價值是否下降至低於賬面 assess whether the fair value has declined below the carrying 值。倘出現非暫時性下跌，該會籍賬面值 amount. When a decline other than temporary has occurred, 將減至其公允價值。減少金額於綜合全面 the carrying amount of such club membership is reduced to 收益表確認為開支。 its fair value. The amount of the reduction is recognised as an expense in the consolidated statement of comprehensive income. 穎通控股有限公司 2025/26年報 297</t>
        </is>
      </c>
    </row>
    <row r="36">
      <c r="A36" s="8" t="inlineStr">
        <is>
          <t>Fair Value Measurement</t>
        </is>
      </c>
      <c r="B36" s="8" t="inlineStr">
        <is>
          <t>公允價值計量</t>
        </is>
      </c>
      <c r="C36" s="20" t="inlineStr">
        <is>
          <t>high</t>
        </is>
      </c>
      <c r="D36" s="11" t="inlineStr">
        <is>
          <t>公允價值</t>
        </is>
      </c>
      <c r="E36" s="11" t="inlineStr">
        <is>
          <t>PDF p.299 (印刷頁 298)</t>
        </is>
      </c>
      <c r="F36" s="11" t="inlineStr">
        <is>
          <t>be recoverable. An impairment loss is recognised for the 可收回金額的差額確認。可收回金額為資 amount by which the asset’s carrying amount exceeds its 產公允價值減出售成本與使用價值兩者中 recoverable amount. The recoverable amount is the higher of 的較高者。就評估減值而言，資產按可獨 an asset’s fair value less costs of disposal and value in use. 立識別現金流入（在很大程度上獨立於其 For the purposes of assessing impairment, assets are grouped 他資產或資產組別（現金產生單位）的現 at the lowest levels for which there are separately identifiable 金流入）的最低層級組合。出現減值的商 cash inflows which are largely independent of the cash in</t>
        </is>
      </c>
    </row>
    <row r="37">
      <c r="A37" s="8" t="inlineStr">
        <is>
          <t>Fair Value Measurement</t>
        </is>
      </c>
      <c r="B37" s="8" t="inlineStr">
        <is>
          <t>公允價值計量</t>
        </is>
      </c>
      <c r="C37" s="20" t="inlineStr">
        <is>
          <t>high</t>
        </is>
      </c>
      <c r="D37" s="11" t="inlineStr">
        <is>
          <t>公允價值</t>
        </is>
      </c>
      <c r="E37" s="11" t="inlineStr">
        <is>
          <t>PDF p.300 (印刷頁 299)</t>
        </is>
      </c>
      <c r="F37" s="11" t="inlineStr">
        <is>
          <t>assets (Continued) 36.7 金融資產（續） 36.7.3 Measurement 36.7.3 計量 At initial recognition, the Group measures financial assets 於初始確認時，本集團按公允價值計 at FVTPL plus, in the case of a financial asset not at FVTPL, 量按公允價值計入損益的金融資產； transaction costs that are directly attributable to the 倘金融資產並非按公允價值計入損 acquisition of the financial asset. 益，則加上可直接歸屬於收購該金融 資產的交易成本計量。 Debt instruments 債務工具 Subsequent measurement of debt instruments depends 債務工具的後續計量取決於本集團管 on the Group’s business model for managing the asset and 理該資產的業務模式以及該資產的現 the cash flow c</t>
        </is>
      </c>
    </row>
    <row r="38">
      <c r="A38" s="8" t="inlineStr">
        <is>
          <t>Fair Value Measurement</t>
        </is>
      </c>
      <c r="B38" s="8" t="inlineStr">
        <is>
          <t>公允價值計量</t>
        </is>
      </c>
      <c r="C38" s="20" t="inlineStr">
        <is>
          <t>high</t>
        </is>
      </c>
      <c r="D38" s="11" t="inlineStr">
        <is>
          <t>公允價值</t>
        </is>
      </c>
      <c r="E38" s="11" t="inlineStr">
        <is>
          <t>PDF p.301 (印刷頁 300)</t>
        </is>
      </c>
      <c r="F38" s="11" t="inlineStr">
        <is>
          <t>f no, they are presented as non-current assets. 則，呈列為非流動資產。 Trade and other receivables are recognised initially at fair 貿易及其他應收款項初步按公允價值確 value and subsequently measured at amortised cost using the 認，其後採用實際利率法按攤銷成本扣除 effective interest method, less provision for impairment. See 減值撥備計量。有關本集團減值政策的說 Note 36.7.4 for a description of the Group’s impairment policy. 明請參閱附註36.7.4。 300 Eternal Beauty Holdings Limited Annual Report 2025/26</t>
        </is>
      </c>
    </row>
    <row r="39">
      <c r="A39" s="8" t="inlineStr">
        <is>
          <t>Fair Value Measurement</t>
        </is>
      </c>
      <c r="B39" s="8" t="inlineStr">
        <is>
          <t>公允價值計量</t>
        </is>
      </c>
      <c r="C39" s="20" t="inlineStr">
        <is>
          <t>high</t>
        </is>
      </c>
      <c r="D39" s="11" t="inlineStr">
        <is>
          <t>公允價值</t>
        </is>
      </c>
      <c r="E39" s="11" t="inlineStr">
        <is>
          <t>PDF p.302 (印刷頁 301)</t>
        </is>
      </c>
      <c r="F39" s="11" t="inlineStr">
        <is>
          <t>ent is not due within 12 months after 款並非於報告期後12個月內到期。貿易 the reporting period. They are recognised initially at their fair 及其他應付款項初步按公允價值確認，其 value and subsequently measured at amortised cost using the 後採用實際利率法按攤銷成本計量。 effective interest method. 36.11 Provisions 36.11 撥備 Provisions are recognised when the Group has a present 當本集團因過往事件須承擔現有法律或推 legal or constructive obligation as a result of past events; it is 定責任，而履行有關責任可能需要資源流 probable that an outflow of resources will be required to settle 出，且有關金額能可靠估計時確認撥備。 the obligation; a</t>
        </is>
      </c>
    </row>
    <row r="40">
      <c r="A40" s="8" t="inlineStr">
        <is>
          <t>Fair Value Measurement</t>
        </is>
      </c>
      <c r="B40" s="8" t="inlineStr">
        <is>
          <t>公允價值計量</t>
        </is>
      </c>
      <c r="C40" s="20" t="inlineStr">
        <is>
          <t>high</t>
        </is>
      </c>
      <c r="D40" s="11" t="inlineStr">
        <is>
          <t>公允價值</t>
        </is>
      </c>
      <c r="E40" s="11" t="inlineStr">
        <is>
          <t>PDF p.304 (印刷頁 303)</t>
        </is>
      </c>
      <c r="F40" s="11" t="inlineStr">
        <is>
          <t>通遠東」 指 頴通（遠東）有限公司，一家於1983年2月18日根據香港法例註冊成立的有限責任公司， 為本公司間接全資附屬公司 “EUR” The Euros 「歐元」 指 歐元 “FVTPL” Fair value through profit or loss 「按公允價值計入損益」 指 按公允價值計入損益 “GBP” The British Pound Sterling 「英鎊」 指 英鎊 “Group” or “Eternal Group” collectively, the Company and its subsidiaries 「本集團」或「穎通集團」 指 本公司及其附屬公司的統稱 “HKAS” Hong Kong Accounting Standards 「香港會計準則」 指 香港會計準則 “HKFRS” Hong Kong Financial Reporting Standards 「香港財務報告準則」 指 香港財務報告準則 * For identification purposes only * 僅供識別 穎通控股有限公司 2025/26年報 303</t>
        </is>
      </c>
    </row>
    <row r="41">
      <c r="A41" s="8" t="inlineStr">
        <is>
          <t>Impairment Testing</t>
        </is>
      </c>
      <c r="B41" s="8" t="inlineStr">
        <is>
          <t>減值測試</t>
        </is>
      </c>
      <c r="C41" s="20" t="inlineStr">
        <is>
          <t>high</t>
        </is>
      </c>
      <c r="D41" s="11" t="inlineStr">
        <is>
          <t>impairment loss</t>
        </is>
      </c>
      <c r="E41" s="11" t="inlineStr">
        <is>
          <t>PDF p.234 (印刷頁 233)</t>
        </is>
      </c>
      <c r="F41" s="11" t="inlineStr">
        <is>
          <t>cash and cash equivalents are also subject to the 限。儘管現金及現金等價物亦須 impairment requirements of HKFRS 9, the identified 遵守香港財務報告準則第9 號的 impairment loss was immaterial as they are mainly 減值規定，但由於該等款項主要 deposited in reputable and creditworthy banks and 存放於信譽良好的銀行及金融機 financial institutions. 構，故已識別減值虧損並不重大。 Trade receivables 貿易應收款項 The Group applies the HKFRS 9 simplified approach 本集團應用香港財務報告準則第 to measuring ECL which uses a lifetime expected loss 9 號的簡化方法計量預期信貸虧 allowance, which is calculated using a provision matrix 損，對所有貿易應收款項使用全</t>
        </is>
      </c>
    </row>
    <row r="42">
      <c r="A42" s="8" t="inlineStr">
        <is>
          <t>Impairment Testing</t>
        </is>
      </c>
      <c r="B42" s="8" t="inlineStr">
        <is>
          <t>減值測試</t>
        </is>
      </c>
      <c r="C42" s="20" t="inlineStr">
        <is>
          <t>high</t>
        </is>
      </c>
      <c r="D42" s="11" t="inlineStr">
        <is>
          <t>impairment loss</t>
        </is>
      </c>
      <c r="E42" s="11" t="inlineStr">
        <is>
          <t>PDF p.265 (印刷頁 264)</t>
        </is>
      </c>
      <c r="F42" s="11" t="inlineStr">
        <is>
          <t>s such as revenue growth rate 評估後，就本集團的若干門店及專櫃 and pre-tax discount rate. As a result of the impairment 確認物業、廠房及設備的減值虧損為 assessment, impairment loss of property, plant and 人民幣723,000元（2025年：人民幣 equipment amounting to RMB723,000 (2025: RMB523,000) 523,000元），而使用權資產的減值虧 and impairment loss of right-of-use assets amounting to 損為人民幣2,989,000元（2025年： RMB2,989,000 (2025: RMB3,143,000) are recognised on 人民幣3,143,000元）。至於其他門店 certain shops and counters of the Group. For the other 及專櫃，可收回金額高於該等門店及 shops and counters, the recoverable amou</t>
        </is>
      </c>
    </row>
    <row r="43">
      <c r="A43" s="8" t="inlineStr">
        <is>
          <t>Impairment Testing</t>
        </is>
      </c>
      <c r="B43" s="8" t="inlineStr">
        <is>
          <t>減值測試</t>
        </is>
      </c>
      <c r="C43" s="20" t="inlineStr">
        <is>
          <t>high</t>
        </is>
      </c>
      <c r="D43" s="11" t="inlineStr">
        <is>
          <t>recoverable amount</t>
        </is>
      </c>
      <c r="E43" s="11" t="inlineStr">
        <is>
          <t>PDF p.266 (印刷頁 265)</t>
        </is>
      </c>
      <c r="F43" s="11" t="inlineStr">
        <is>
          <t>R T Y , P L A N T A N D E Q U I P M E N T 17. 物業、廠房及設備（續） (CONTINUED) (a) (Continued) (a) (續) Key inputs to the determination of the recoverable amount 釐定可收回金額的主要輸入數據包括 include average revenue growth and pre-tax discount rate. 平均收入增長及稅前貼現率。於2026 As at 31 March 2026, the pre-tax discount rates used to 年3月31日，用於釐定香港及中國可 determine the recoverable amounts for Hong Kong and the 收回金額的稅前貼現率分別為9%至 PRC are 9%-14% (2025: 12%-14%) respectively. 14%（2025年：12%至14%）。 (b) Depreciation charges of RMB11,034,000 (2025: (b) 年內，折舊費用人民幣11,034,000 R</t>
        </is>
      </c>
    </row>
    <row r="44">
      <c r="A44" s="8" t="inlineStr">
        <is>
          <t>Impairment Testing</t>
        </is>
      </c>
      <c r="B44" s="8" t="inlineStr">
        <is>
          <t>減值測試</t>
        </is>
      </c>
      <c r="C44" s="20" t="inlineStr">
        <is>
          <t>high</t>
        </is>
      </c>
      <c r="D44" s="11" t="inlineStr">
        <is>
          <t>recoverable amount</t>
        </is>
      </c>
      <c r="E44" s="11" t="inlineStr">
        <is>
          <t>PDF p.267 (印刷頁 266)</t>
        </is>
      </c>
      <c r="F44" s="11" t="inlineStr">
        <is>
          <t>at the end of each reporting period. 末進行審閱及調整（如適用）。 An asset’s carrying amount is written down immediately to its 倘資產的賬面值高於其估計可收回金額， recoverable amount if the asset’s carrying amount is greater 則該資產的賬面值會即時撇減至其可收回 than its estimated recoverable amount (Note 36.6). 金額（附註36.6）。 Gains and losses on disposals are determined by comparing 出售的收益及虧損乃通過比較所得款項與 proceeds with carrying amount. These are included in profit 賬面值釐定。該等款項計入損益。當重估 or loss. When revalued assets are sold, it is group policy to 資產被出售時，集團的政策是將有關該等 transfer any amounts</t>
        </is>
      </c>
    </row>
    <row r="45">
      <c r="A45" s="8" t="inlineStr">
        <is>
          <t>Impairment Testing</t>
        </is>
      </c>
      <c r="B45" s="8" t="inlineStr">
        <is>
          <t>減值測試</t>
        </is>
      </c>
      <c r="C45" s="20" t="inlineStr">
        <is>
          <t>high</t>
        </is>
      </c>
      <c r="D45" s="11" t="inlineStr">
        <is>
          <t>impairment loss</t>
        </is>
      </c>
      <c r="E45" s="11" t="inlineStr">
        <is>
          <t>PDF p.268 (印刷頁 267)</t>
        </is>
      </c>
      <c r="F45" s="11" t="inlineStr">
        <is>
          <t>policies for intangible assets 無形資產會計政策 Intangible assets represent a club membership that is 無形資產指俱樂部會員資格，按成本減減 stated at cost less impairment losses, if any, and computer 值虧損（如有）列賬；以及使用年期為4年 software with useful life of 4 years that is stated at cost less 的計算機軟件，按成本減累計攤銷列賬。 accumulated amortisation. 19. LEASES 19. 租賃 (a) Right-of-use assets (a) 使用權資產 2026 2025 2026年 2025年 RMB’000 RMB’000 人民幣千元 人民幣千元 Offices 辦公室 4,943 19,877 Warehouses 倉庫 – 1,934 Shops and counters 門店及專櫃 27,332 49,508 Copy machines 影印機 67 902 32,342 72,221 Add</t>
        </is>
      </c>
    </row>
    <row r="46">
      <c r="A46" s="8" t="inlineStr">
        <is>
          <t>Impairment Testing</t>
        </is>
      </c>
      <c r="B46" s="8" t="inlineStr">
        <is>
          <t>減值測試</t>
        </is>
      </c>
      <c r="C46" s="20" t="inlineStr">
        <is>
          <t>high</t>
        </is>
      </c>
      <c r="D46" s="11" t="inlineStr">
        <is>
          <t>impairment loss</t>
        </is>
      </c>
      <c r="E46" s="11" t="inlineStr">
        <is>
          <t>PDF p.269 (印刷頁 268)</t>
        </is>
      </c>
      <c r="F46" s="11" t="inlineStr">
        <is>
          <t>depend on sales and consequently on the overall 於銷售，因此取決於未來幾年的整體 economic development over the next few years. 經濟發展。 For details of impairment losses on right-of-use assets, 有關使用權資產減值虧損的詳情，請 refer to Note 17(a). 參閱附註17(a)。 (d) The Group’s leasing activities and how these are (d) 本集團的租賃活動及其會計處理 accounted for The Group leases various offices, warehouses, shops, 本集團租賃若干辦公室、倉庫、門 counters, copy machines and leasehold land. Rental 店、專櫃、影印機及租賃土地。租賃 contracts are typically made for fixed periods of 2 years to 合約的固定期限一般為2年至5年，其 5 years</t>
        </is>
      </c>
    </row>
    <row r="47">
      <c r="A47" s="8" t="inlineStr">
        <is>
          <t>Impairment Testing</t>
        </is>
      </c>
      <c r="B47" s="8" t="inlineStr">
        <is>
          <t>減值測試</t>
        </is>
      </c>
      <c r="C47" s="20" t="inlineStr">
        <is>
          <t>high</t>
        </is>
      </c>
      <c r="D47" s="11" t="inlineStr">
        <is>
          <t>impairment test</t>
        </is>
      </c>
      <c r="E47" s="11" t="inlineStr">
        <is>
          <t>PDF p.294 (印刷頁 293)</t>
        </is>
      </c>
      <c r="F47" s="11" t="inlineStr">
        <is>
          <t>tment. The results of subsidiaries are accounted 績按已收及應收股息基準入賬。 for by the Company on the basis of dividend received and receivable. Impairment testing of the investments in subsidiaries is 倘自附屬公司收取的股息超出該附屬公司 required upon receiving a dividend from these investments 於宣派股息期間的全面收益總額，或該 if the dividend exceeds the total comprehensive income 項投資於獨立財務報表的賬面值超出綜合 of the subsidiary in the period the dividend is declared or 財務報表所示被投資方的淨資產（包括商 if the carrying amount of the investment in the separate 譽）的賬面值，則須於收取該股息時對於 financial statement</t>
        </is>
      </c>
    </row>
    <row r="48">
      <c r="A48" s="8" t="inlineStr">
        <is>
          <t>Impairment Testing</t>
        </is>
      </c>
      <c r="B48" s="8" t="inlineStr">
        <is>
          <t>減值測試</t>
        </is>
      </c>
      <c r="C48" s="20" t="inlineStr">
        <is>
          <t>high</t>
        </is>
      </c>
      <c r="D48" s="11" t="inlineStr">
        <is>
          <t>impairment loss</t>
        </is>
      </c>
      <c r="E48" s="11" t="inlineStr">
        <is>
          <t>PDF p.298 (印刷頁 297)</t>
        </is>
      </c>
      <c r="F48" s="11" t="inlineStr">
        <is>
          <t>e asset 36.5 無形資產 Intangible asset represents a club membership and computer 無形資產指俱樂部會員資格及計算機軟 software that are stated at cost less impairment losses, if any. 件，按成本減減值虧損（如有）列賬。會 The carrying amount of the club membership and computer 籍及計算機軟件的賬面值於各報告期末檢 software are reviewed at the end of each reporting period to 討，以評估公允價值是否下降至低於賬面 assess whether the fair value has declined below the carrying 值。倘出現非暫時性下跌，該會籍賬面值 amount. When a decline other than temporary has occurred, 將減至其公允價值。減少金額於綜合全面 the carrying amount of such club membersh</t>
        </is>
      </c>
    </row>
    <row r="49">
      <c r="A49" s="8" t="inlineStr">
        <is>
          <t>Impairment Testing</t>
        </is>
      </c>
      <c r="B49" s="8" t="inlineStr">
        <is>
          <t>減值測試</t>
        </is>
      </c>
      <c r="C49" s="20" t="inlineStr">
        <is>
          <t>high</t>
        </is>
      </c>
      <c r="D49" s="11" t="inlineStr">
        <is>
          <t>impairment loss</t>
        </is>
      </c>
      <c r="E49" s="11" t="inlineStr">
        <is>
          <t>PDF p.299 (印刷頁 298)</t>
        </is>
      </c>
      <c r="F49" s="11" t="inlineStr">
        <is>
          <t>vents or changes 賬面值可能無法收回時，其他資產會進行 in circumstances indicate that the carrying amount may not 減值測試。減值虧損按資產賬面值超出其 be recoverable. An impairment loss is recognised for the 可收回金額的差額確認。可收回金額為資 amount by which the asset’s carrying amount exceeds its 產公允價值減出售成本與使用價值兩者中 recoverable amount. The recoverable amount is the higher of 的較高者。就評估減值而言，資產按可獨 an asset’s fair value less costs of disposal and value in use. 立識別現金流入（在很大程度上獨立於其 For the purposes of assessing impairment, assets are grouped 他資產或資產組別（現金產生單位）的現 at the lowest levels for wh</t>
        </is>
      </c>
    </row>
    <row r="50">
      <c r="A50" s="8" t="inlineStr">
        <is>
          <t>Intangible Assets &amp; Goodwill</t>
        </is>
      </c>
      <c r="B50" s="8" t="inlineStr">
        <is>
          <t>無形資產及商譽</t>
        </is>
      </c>
      <c r="C50" s="20" t="inlineStr">
        <is>
          <t>high</t>
        </is>
      </c>
      <c r="D50" s="11" t="inlineStr">
        <is>
          <t>customer relationship</t>
        </is>
      </c>
      <c r="E50" s="11" t="inlineStr">
        <is>
          <t>PDF p.22 (印刷頁 21)</t>
        </is>
      </c>
      <c r="F50" s="11" t="inlineStr">
        <is>
          <t>improvement in unit output and channel profit resilience. Meanwhile, the Group continued to strengthen its digital 與此同時，本集團持續強化數字化客 customer relationship management (CRM) and mid- 戶關係管理(CRM)與中台系統，圍繞 office systems, and established a precise management 消費者全生命週期建立精準管理機 mechanism around the full consumer lifecycle, from 制—— 從精準營銷推送、跨渠道消費 targeted marketing push notifications and cross-channel 追蹤到會員分層運營。於2026年3月 consumption tracking to tiered member operations. As 31日，會員總數已逾300萬人，會員 at 31 March 2026, the total number of members ha</t>
        </is>
      </c>
    </row>
    <row r="51">
      <c r="A51" s="8" t="inlineStr">
        <is>
          <t>Intangible Assets &amp; Goodwill</t>
        </is>
      </c>
      <c r="B51" s="8" t="inlineStr">
        <is>
          <t>無形資產及商譽</t>
        </is>
      </c>
      <c r="C51" s="20" t="inlineStr">
        <is>
          <t>high</t>
        </is>
      </c>
      <c r="D51" s="11" t="inlineStr">
        <is>
          <t>amortization</t>
        </is>
      </c>
      <c r="E51" s="11" t="inlineStr">
        <is>
          <t>PDF p.32 (印刷頁 31)</t>
        </is>
      </c>
      <c r="F51" s="11" t="inlineStr">
        <is>
          <t>nts mainly relating to 門店╱專櫃的租賃付款有關；(iv)使用權資產 the lease payments for self-operated offline stores/counters; (iv) 攤銷，主要指自營門店及專櫃租賃的攤銷； amortization of right-of-use assets, which primarily represent (v)物業、廠房及設備折舊，主要指自營門店 amortization for the leases of self-operated stores and counters; 及專櫃建設成本的折舊；及(vi)其他，主要包 (v) depreciation of property, plant and equipment, which primarily 括向就銷售及營銷活動向我們提供外包勞工 represent construction costs of self-operated stores and 的第三方公司付款。 counters; and (vi) others, which primarily consist of the payments to th</t>
        </is>
      </c>
    </row>
    <row r="52">
      <c r="A52" s="8" t="inlineStr">
        <is>
          <t>Intangible Assets &amp; Goodwill</t>
        </is>
      </c>
      <c r="B52" s="8" t="inlineStr">
        <is>
          <t>無形資產及商譽</t>
        </is>
      </c>
      <c r="C52" s="20" t="inlineStr">
        <is>
          <t>high</t>
        </is>
      </c>
      <c r="D52" s="11" t="inlineStr">
        <is>
          <t>amortization</t>
        </is>
      </c>
      <c r="E52" s="11" t="inlineStr">
        <is>
          <t>PDF p.33 (印刷頁 32)</t>
        </is>
      </c>
      <c r="F52" s="11" t="inlineStr">
        <is>
          <t>行政開支主要指(i)僱員福利開支，主要包括 benefits expenses, mainly comprising salaries and benefits of 行政人員的薪金及福利；(ii)使用權資產攤 administrative staff; (ii) amortization of right-of-use assets, 銷，主要指辦公室及倉庫租賃的攤銷；(iii)辦 which mainly represent the amortization of leases of offices 公室開支；及(iv)其他，主要包括行政運作產 and warehouses; (iii) office expenses; and (iv) others, which 生的費用及開支。 mainly include fees and expenses derived from administrative operations. The administrative expenses of the Group increased from 本集團行政開支由截至2025年3月31日止年 approximately RMB207.8 million f</t>
        </is>
      </c>
    </row>
    <row r="53">
      <c r="A53" s="8" t="inlineStr">
        <is>
          <t>Intangible Assets &amp; Goodwill</t>
        </is>
      </c>
      <c r="B53" s="8" t="inlineStr">
        <is>
          <t>無形資產及商譽</t>
        </is>
      </c>
      <c r="C53" s="20" t="inlineStr">
        <is>
          <t>high</t>
        </is>
      </c>
      <c r="D53" s="11" t="inlineStr">
        <is>
          <t>intangible asset</t>
        </is>
      </c>
      <c r="E53" s="11" t="inlineStr">
        <is>
          <t>PDF p.37 (印刷頁 36)</t>
        </is>
      </c>
      <c r="F53" s="11" t="inlineStr">
        <is>
          <t>截至2026年3月31日止年度的資本開支主要 mainly consist of (i) purchase of property, plant and equipment 包括(i)購買物業、廠房及設備及(ii)購買無形 and (ii) purchase of intangible assets. The capital expenditures 資產。截至2026年3月31日及2025年3月31 amounted to approximately RMB11.8 million and RMB33.6 日止年度，資本開支分別約為人民幣11.8百 million for the years ended 31 March 2026 and 31 March 2025, 萬元及人民幣33.6百萬元。 respectively. Our current capital expenditure plans for any future period are 我們當前的未來資本開支計劃可能會有所改 subject to change, and we may adjust our capital expenditures 動，我們會根據未來現金流量、經營業績</t>
        </is>
      </c>
    </row>
    <row r="54">
      <c r="A54" s="8" t="inlineStr">
        <is>
          <t>Intangible Assets &amp; Goodwill</t>
        </is>
      </c>
      <c r="B54" s="8" t="inlineStr">
        <is>
          <t>無形資產及商譽</t>
        </is>
      </c>
      <c r="C54" s="20" t="inlineStr">
        <is>
          <t>high</t>
        </is>
      </c>
      <c r="D54" s="11" t="inlineStr">
        <is>
          <t>客戶關係</t>
        </is>
      </c>
      <c r="E54" s="11" t="inlineStr">
        <is>
          <t>PDF p.67 (印刷頁 66)</t>
        </is>
      </c>
      <c r="F54" s="11" t="inlineStr">
        <is>
          <t>ce president of the Group in February 2018 overseeing 負責統籌香港與中國內地的業務，包括內部 the business in Hong Kong and Mainland China, including 營運及客戶關係，並領導發展本集團的供應 internal operations and customer relations and spearheaded the 鏈管理、數字化轉型及數字化營銷等後台職 development of the Group’s back-end functions including supply 能。 chain management, digital transformation and digital marketing initiatives. Ms. Lam has over 20 years of profound managerial experience in 林女士於本集團擁有逾20年豐富的管理經 the Group and a comprehensive understanding of the perfume, 驗，對香水、護膚品及彩妝行業均</t>
        </is>
      </c>
    </row>
    <row r="55">
      <c r="A55" s="8" t="inlineStr">
        <is>
          <t>Intangible Assets &amp; Goodwill</t>
        </is>
      </c>
      <c r="B55" s="8" t="inlineStr">
        <is>
          <t>無形資產及商譽</t>
        </is>
      </c>
      <c r="C55" s="20" t="inlineStr">
        <is>
          <t>high</t>
        </is>
      </c>
      <c r="D55" s="11" t="inlineStr">
        <is>
          <t>客戶關係</t>
        </is>
      </c>
      <c r="E55" s="11" t="inlineStr">
        <is>
          <t>PDF p.70 (印刷頁 69)</t>
        </is>
      </c>
      <c r="F55" s="11" t="inlineStr">
        <is>
          <t>00 and 2005, where he accumulated solid 厚的品牌策劃、市場營銷推廣、金融投資服 expertise in brand planning, marketing and promotion, financial 務、財富管理及高端客戶關係管理方面的專 investment services, wealth management, and high-net-worth 業能力。劉頴恆先生自2005年5月加入本集 client relationship management. Mr. Andrew Lau joined the 團。於2005年5月至2020年5月期間，彼歷 Group in May 2005. During his tenure from May 2005 to May 任本集團業務發展經理、品牌營運總監、副 2020, he held several key management positions within the 總裁及執行董事等多項核心管理職務。於該 Group, including Business Development Manager, Chief Branding 等職務中，彼全面</t>
        </is>
      </c>
    </row>
    <row r="56">
      <c r="A56" s="8" t="inlineStr">
        <is>
          <t>Intangible Assets &amp; Goodwill</t>
        </is>
      </c>
      <c r="B56" s="8" t="inlineStr">
        <is>
          <t>無形資產及商譽</t>
        </is>
      </c>
      <c r="C56" s="20" t="inlineStr">
        <is>
          <t>high</t>
        </is>
      </c>
      <c r="D56" s="11" t="inlineStr">
        <is>
          <t>customer relationship</t>
        </is>
      </c>
      <c r="E56" s="11" t="inlineStr">
        <is>
          <t>PDF p.141 (印刷頁 140)</t>
        </is>
      </c>
      <c r="F56" s="11" t="inlineStr">
        <is>
          <t>組成部分，不僅有助於 responsibility framework, providing valuable insights to enhance 提升營運效能及強化顧客關係，亦為持續 operational effectiveness, strengthen customer relationships, and 改善產品及服務品質提供寶貴參考。 support continuous improvement in product and service quality. Complaint Handling Mechanism 投訴處理機制 The Group has established formalised procedures for complaint 本集團已建立正式化的投訴受理、評估、 intake, assessment, escalation, and resolution. Multiple 升級及處理程序。為確保顧客能便捷地提 feedback channels are maintained to ensure accessibility and 出意見及反饋，本集團設有多元化溝通渠 responsiveness, inc</t>
        </is>
      </c>
    </row>
    <row r="57">
      <c r="A57" s="8" t="inlineStr">
        <is>
          <t>Intangible Assets &amp; Goodwill</t>
        </is>
      </c>
      <c r="B57" s="8" t="inlineStr">
        <is>
          <t>無形資產及商譽</t>
        </is>
      </c>
      <c r="C57" s="20" t="inlineStr">
        <is>
          <t>high</t>
        </is>
      </c>
      <c r="D57" s="11" t="inlineStr">
        <is>
          <t>trademark</t>
        </is>
      </c>
      <c r="E57" s="11" t="inlineStr">
        <is>
          <t>PDF p.144 (印刷頁 143)</t>
        </is>
      </c>
      <c r="F57" s="11" t="inlineStr">
        <is>
          <t>擁有人授予之分銷 authorisations granted by brand owners remain valid and properly 權、授權及相關批准持續有效及妥善 maintained. Business operations involving trademarks, proprietary 維護。涉及商標、品牌識別及產品相 branding and product-related intellectual property are supported by 關知識產權之業務活動，均配合相應 corresponding trademark and, where applicable, patent registration 商標及（如適用）專利註冊程序。此 procedures. The Group also monitors potential risks relating to 外，本集團持續監察假冒產品、未經 counterfeit products, unauthorised sales channels and improper brand 授權銷售渠道及不當品牌使用等風 usage in order to safegu</t>
        </is>
      </c>
    </row>
    <row r="58">
      <c r="A58" s="8" t="inlineStr">
        <is>
          <t>Intangible Assets &amp; Goodwill</t>
        </is>
      </c>
      <c r="B58" s="8" t="inlineStr">
        <is>
          <t>無形資產及商譽</t>
        </is>
      </c>
      <c r="C58" s="20" t="inlineStr">
        <is>
          <t>high</t>
        </is>
      </c>
      <c r="D58" s="11" t="inlineStr">
        <is>
          <t>brand name</t>
        </is>
      </c>
      <c r="E58" s="11" t="inlineStr">
        <is>
          <t>PDF p.145 (印刷頁 144)</t>
        </is>
      </c>
      <c r="F58" s="11" t="inlineStr">
        <is>
          <t>demark 產權資產，本集團適時進行商標註冊及 registration and renewal procedures where appropriate, and 續展工作，並採取措施保護品牌名稱、 implements measures to protect brand names, logos, product designs 商標標誌、產品設計及市場推廣素材 and marketing materials from unauthorised use or infringement. The 免受未經授權使用或侵權。本集團亦持 Group also monitors market activities and sales channels to identify 續監察市場活動及銷售渠道，以識別潛 potential misuse of its proprietary brands and support the protection 在侵權風險，維護自有品牌價值及市場 of brand value and reputation. 聲譽。 Internal Controls and Employee Awareness 內部監控及員工意識 S</t>
        </is>
      </c>
    </row>
    <row r="59">
      <c r="A59" s="8" t="inlineStr">
        <is>
          <t>Intangible Assets &amp; Goodwill</t>
        </is>
      </c>
      <c r="B59" s="8" t="inlineStr">
        <is>
          <t>無形資產及商譽</t>
        </is>
      </c>
      <c r="C59" s="20" t="inlineStr">
        <is>
          <t>high</t>
        </is>
      </c>
      <c r="D59" s="11" t="inlineStr">
        <is>
          <t>licence</t>
        </is>
      </c>
      <c r="E59" s="11" t="inlineStr">
        <is>
          <t>PDF p.149 (印刷頁 148)</t>
        </is>
      </c>
      <c r="F59" s="11" t="inlineStr">
        <is>
          <t>查及評估 Supplier management personnel review supplier qualifications 供應商管理人員將審核供應商資格及相 and supporting documentation, including business licences, 關證明文件，包括營業執照、認證證書 certifications and integrity commitment documents. Site 及誠信承諾文件等。在有需要的情況 visits or on-site assessments may also be conducted where 下，本集團亦可能進行實地考察或現場 necessary to evaluate operational conditions and compliance 評估，以了解供應商的營運狀況及合規 status. Suppliers that are deregistered, renamed or otherwise 表現。對於已註銷、改名或未能符合本 fail to meet the Group’s requirements may be removed from the 集團要</t>
        </is>
      </c>
    </row>
    <row r="60">
      <c r="A60" s="8" t="inlineStr">
        <is>
          <t>Intangible Assets &amp; Goodwill</t>
        </is>
      </c>
      <c r="B60" s="8" t="inlineStr">
        <is>
          <t>無形資產及商譽</t>
        </is>
      </c>
      <c r="C60" s="20" t="inlineStr">
        <is>
          <t>high</t>
        </is>
      </c>
      <c r="D60" s="11" t="inlineStr">
        <is>
          <t>intangible asset</t>
        </is>
      </c>
      <c r="E60" s="11" t="inlineStr">
        <is>
          <t>PDF p.214 (印刷頁 213)</t>
        </is>
      </c>
      <c r="F60" s="11" t="inlineStr">
        <is>
          <t>2025年 Note RMB’000 RMB’000 附註 人民幣千元 人民幣千元 Assets 資產 Non-current assets 非流動資產 Property, plant and equipment 物業、廠房及設備 17 9,800 17,196 Intangible assets 無形資產 18 6,787 8,761 Right-of-use assets 使用權資產 19(a) 32,342 72,221 Investment in a joint venture 投資於一家合營企業 16 1,060 7,105 Deposits, prepayments and other 按金、預付款項及其他應收款項 receivables 22(b) 6,379 9,399 Deferred income tax assets 遞延所得稅資產 20 24,039 25,189 80,407 139,871 Current assets 流動資產 Inventories 存貨 24 467,714 434,059 Trade receivables 貿易應收款項 22(a) 213,774 250,399 Deposits, prepay</t>
        </is>
      </c>
    </row>
    <row r="61">
      <c r="A61" s="8" t="inlineStr">
        <is>
          <t>Intangible Assets &amp; Goodwill</t>
        </is>
      </c>
      <c r="B61" s="8" t="inlineStr">
        <is>
          <t>無形資產及商譽</t>
        </is>
      </c>
      <c r="C61" s="20" t="inlineStr">
        <is>
          <t>high</t>
        </is>
      </c>
      <c r="D61" s="11" t="inlineStr">
        <is>
          <t>intangible asset</t>
        </is>
      </c>
      <c r="E61" s="11" t="inlineStr">
        <is>
          <t>PDF p.218 (印刷頁 217)</t>
        </is>
      </c>
      <c r="F61" s="11" t="inlineStr">
        <is>
          <t>ash flows from investing activities 投資活動所得現金流量 Purchase of property, plant and equipment 購買物業、廠房及設備 17 (11,325) (26,275) Purchase of intangible assets 購買無形資產 18 (1,310) (5,102) Proceeds from disposal of property, plant 出售物業、廠房及設備所得款項 and equipment 31(b) 623 2,978 Proceeds from disposal of assets classified 出售分類為持作出售的資產的所 as held for sale 得款項 – 17,276 Proceeds from disposal of subsidiaries 出售附屬公司所得款項 25 77,726 – Interest received 已收利息 11 11,203 1,692 Payment for acquisition of non-listed 收購非上市股份的付款 shares (26,155) – Net increase</t>
        </is>
      </c>
    </row>
    <row r="62">
      <c r="A62" s="8" t="inlineStr">
        <is>
          <t>Intangible Assets &amp; Goodwill</t>
        </is>
      </c>
      <c r="B62" s="8" t="inlineStr">
        <is>
          <t>無形資產及商譽</t>
        </is>
      </c>
      <c r="C62" s="20" t="inlineStr">
        <is>
          <t>high</t>
        </is>
      </c>
      <c r="D62" s="11" t="inlineStr">
        <is>
          <t>intangible asset</t>
        </is>
      </c>
      <c r="E62" s="11" t="inlineStr">
        <is>
          <t>PDF p.243 (印刷頁 242)</t>
        </is>
      </c>
      <c r="F62" s="11" t="inlineStr">
        <is>
          <t>estments in non-financial assets, including 物業、廠房及設備、使用權資產及無 property, plant and equipment, right-of-use assets 形資產）的投資出現減值。減值評估 and intangible assets are impaired. The assessment of 需要運用判斷及估計。倘預期有別於 impairment requires the use of judgement and estimates. 原先估計，有關差額將影響有關估計 Where the expectation is different from the original 變動期間的資產賬面值及減值。 estimate, such difference will impact the carrying amount of the assets and impairment in the period in which such estimates have been changed. 242 Eternal Beauty Holdings Limited Annual Repor</t>
        </is>
      </c>
    </row>
    <row r="63">
      <c r="A63" s="8" t="inlineStr">
        <is>
          <t>Intangible Assets &amp; Goodwill</t>
        </is>
      </c>
      <c r="B63" s="8" t="inlineStr">
        <is>
          <t>無形資產及商譽</t>
        </is>
      </c>
      <c r="C63" s="20" t="inlineStr">
        <is>
          <t>high</t>
        </is>
      </c>
      <c r="D63" s="11" t="inlineStr">
        <is>
          <t>brand name</t>
        </is>
      </c>
      <c r="E63" s="11" t="inlineStr">
        <is>
          <t>PDF p.247 (印刷頁 246)</t>
        </is>
      </c>
      <c r="F63" s="11" t="inlineStr">
        <is>
          <t>and manages the daily operation of 本集團經營並管理若干客戶各自品牌 the online and offline stores of certain customers under 下的線上及線下店舖日常業務及後台 their brand names and backend operation services and 營運服務，以及就此收取服務費。提 charge service fee in connection therewith. Revenue from 供服務的收入於提供服務期間確認。 rendering of services is recognised over the period in which the services are rendered. 246 Eternal Beauty Holdings Limited Annual Report 2025/26</t>
        </is>
      </c>
    </row>
    <row r="64">
      <c r="A64" s="8" t="inlineStr">
        <is>
          <t>Intangible Assets &amp; Goodwill</t>
        </is>
      </c>
      <c r="B64" s="8" t="inlineStr">
        <is>
          <t>無形資產及商譽</t>
        </is>
      </c>
      <c r="C64" s="20" t="inlineStr">
        <is>
          <t>high</t>
        </is>
      </c>
      <c r="D64" s="11" t="inlineStr">
        <is>
          <t>intangible asset</t>
        </is>
      </c>
      <c r="E64" s="11" t="inlineStr">
        <is>
          <t>PDF p.251 (印刷頁 250)</t>
        </is>
      </c>
      <c r="F64" s="11" t="inlineStr">
        <is>
          <t>附註19(c)） 10,956 20,845 Depreciation of property, plant and equipment 物業、廠房及設備折舊 (Note 17(b)) （附註17(b)） 13,281 25,466 Amortisation of intangible assets (Note 18) 無形資產攤銷（附註18） 3,053 2,237 Depreciation of right-of-use assets (Note 19(c)) 使用權資產折舊（附註19(c)） 51,088 70,939 Provision for impairment of property, plant and 物業、廠房及設備減值撥備（附註 equipment (Note 17(a)) 17(a)） 723 523 Provision for impairment of right-of-use assets 使用權資產減值撥備（附註19(c)） (Note 19(c)) 2,989 3,143 Auditors’ remuneration 核數師酬金 – audit services －審計服務 3,038 501 – non-audit</t>
        </is>
      </c>
    </row>
    <row r="65">
      <c r="A65" s="8" t="inlineStr">
        <is>
          <t>Intangible Assets &amp; Goodwill</t>
        </is>
      </c>
      <c r="B65" s="8" t="inlineStr">
        <is>
          <t>無形資產及商譽</t>
        </is>
      </c>
      <c r="C65" s="20" t="inlineStr">
        <is>
          <t>high</t>
        </is>
      </c>
      <c r="D65" s="11" t="inlineStr">
        <is>
          <t>goodwill</t>
        </is>
      </c>
      <c r="E65" s="11" t="inlineStr">
        <is>
          <t>PDF p.257 (印刷頁 256)</t>
        </is>
      </c>
      <c r="F65" s="11" t="inlineStr">
        <is>
          <t>, 然而，倘遞延所得稅負債產生自商譽 deferred income tax liabilities are not recognised if they 的初始確認，則不會予以確認；倘遞 arise from the initial recognition of goodwill. Deferred 延所得稅產生自交易（業務合併除外） income tax is also not accounted for if it arises from 中資產或負債的初始確認，而於交易 initial recognition of an asset or liability in a transaction 時不影響會計或應課稅溢利或虧損且 other than a business combination that at the time of the 不會導致產生等同應課稅及可扣減暫 transaction affects neither accounting nor taxable profit or 時差額，則亦不予入賬。遞延所得稅 loss and does not give rise to equal taxable and deductible</t>
        </is>
      </c>
    </row>
    <row r="66">
      <c r="A66" s="8" t="inlineStr">
        <is>
          <t>Intangible Assets &amp; Goodwill</t>
        </is>
      </c>
      <c r="B66" s="8" t="inlineStr">
        <is>
          <t>無形資產及商譽</t>
        </is>
      </c>
      <c r="C66" s="20" t="inlineStr">
        <is>
          <t>high</t>
        </is>
      </c>
      <c r="D66" s="11" t="inlineStr">
        <is>
          <t>可使用年期</t>
        </is>
      </c>
      <c r="E66" s="11" t="inlineStr">
        <is>
          <t>PDF p.266 (印刷頁 265)</t>
        </is>
      </c>
      <c r="F66" s="11" t="inlineStr">
        <is>
          <t>property, plant and equipment is calculated 物業、廠房及設備的折舊採用直線法計 using the straight-line method to allocate their cost to their 算，以於其估計可使用年期內將其成本分 residual values, where appropriate, over their estimated 配至剩餘價值（如適用），如下： useful lives, as follows: Over 3 years or remaining period of the lease, Leasehold improvements whichever is shorter 3年或餘下租賃期 租賃物業裝修 （以較短者為準） Buildings 樓宇 2-3% Office equipment 辦公室設備 20% Air-conditioning plant 空調設備 10% Computer equipment 電腦設備 25% Motor vehicles 車輛 33% Furniture and fixtures 傢俬及裝置 20% The Group’s p</t>
        </is>
      </c>
    </row>
    <row r="67">
      <c r="A67" s="8" t="inlineStr">
        <is>
          <t>Intangible Assets &amp; Goodwill</t>
        </is>
      </c>
      <c r="B67" s="8" t="inlineStr">
        <is>
          <t>無形資產及商譽</t>
        </is>
      </c>
      <c r="C67" s="20" t="inlineStr">
        <is>
          <t>high</t>
        </is>
      </c>
      <c r="D67" s="11" t="inlineStr">
        <is>
          <t>intangible asset</t>
        </is>
      </c>
      <c r="E67" s="11" t="inlineStr">
        <is>
          <t>PDF p.267 (印刷頁 266)</t>
        </is>
      </c>
      <c r="F67" s="11" t="inlineStr">
        <is>
          <t>政策是將有關該等 transfer any amounts included in other reserves in respect of 資產計入其他儲備的任何金額轉撥至保留 those assets to retained earnings. 盈利。 18. INTANGIBLE ASSETS 18. 無形資產 Club Computer membership software Total 俱樂部 會員資格 計算機軟件 總計 RMB’000 RMB’000 RMB’000 人民幣千元 人民幣千元 人民幣千元 Year ended 31 March 2026 截至2026年3月31日止年度 Opening net book amount 年初賬面淨值 242 8,519 8,761 Additions 添置 – 1,310 1,310 Disposal of subsidiaries (Note 25) 出售附屬公司（附註25） – (216) (216) Amortisation charged (Note 7) 攤銷費用（附註7） – (3,053) (3,053) Exchange difference 匯兌差異 (15) – (15) C</t>
        </is>
      </c>
    </row>
    <row r="68">
      <c r="A68" s="8" t="inlineStr">
        <is>
          <t>Intangible Assets &amp; Goodwill</t>
        </is>
      </c>
      <c r="B68" s="8" t="inlineStr">
        <is>
          <t>無形資產及商譽</t>
        </is>
      </c>
      <c r="C68" s="20" t="inlineStr">
        <is>
          <t>high</t>
        </is>
      </c>
      <c r="D68" s="11" t="inlineStr">
        <is>
          <t>intangible asset</t>
        </is>
      </c>
      <c r="E68" s="11" t="inlineStr">
        <is>
          <t>PDF p.268 (印刷頁 267)</t>
        </is>
      </c>
      <c r="F68" s="11" t="inlineStr">
        <is>
          <t>NOTES TO THE CONSOLIDATED FINANCIAL STATEMENTS 綜合財務報表附註 FOR THE YEAR ENDED 31 MARCH 2026 截至2026 年3 月31 日止年度 18. INTANGIBLE ASSETS (CONTINUED) 18. 無形資產（續） Amortisation on computer software is recognised as 計算機軟件攤銷確認為行政開支。 administrative expenses. Accounting policies for intangible assets 無形資產會計政策 Intangible assets represent a club membership that is 無形資產指俱樂部會員資格，按成本減減 stated at cost less impairment losses, if any, and computer 值虧損（如有）列賬；以及使用年期為4年 software with useful life of 4 years that is stated at cost le</t>
        </is>
      </c>
    </row>
    <row r="69">
      <c r="A69" s="8" t="inlineStr">
        <is>
          <t>Intangible Assets &amp; Goodwill</t>
        </is>
      </c>
      <c r="B69" s="8" t="inlineStr">
        <is>
          <t>無形資產及商譽</t>
        </is>
      </c>
      <c r="C69" s="20" t="inlineStr">
        <is>
          <t>high</t>
        </is>
      </c>
      <c r="D69" s="11" t="inlineStr">
        <is>
          <t>useful life</t>
        </is>
      </c>
      <c r="E69" s="11" t="inlineStr">
        <is>
          <t>PDF p.271 (印刷頁 270)</t>
        </is>
      </c>
      <c r="F69" s="11" t="inlineStr">
        <is>
          <t>初始直接成本；及 • restoration costs. • 修復成本。 Right-of-use assets are generally depreciated over the 使用權資產一般按直線法以資產可使 shorter of the asset’s useful life and the lease term on a 用年期或租期（以較短者為準）予以折 straight-line basis. If the Group is reasonably certain to 舊。倘本集團合理確定行使購買選擇 exercise a purchase option, the right-of-use assets are 權，則使用權資產於相關資產的可使 depreciated over the underlying asset’s useful life. 用年期內予以折舊。 Payments associated with short-term leases are 與短期租賃有關的付款按直線基準於 recognised on a straight-line basis as an expense in profit 損益中確認為開支。短</t>
        </is>
      </c>
    </row>
    <row r="70">
      <c r="A70" s="8" t="inlineStr">
        <is>
          <t>Intangible Assets &amp; Goodwill</t>
        </is>
      </c>
      <c r="B70" s="8" t="inlineStr">
        <is>
          <t>無形資產及商譽</t>
        </is>
      </c>
      <c r="C70" s="20" t="inlineStr">
        <is>
          <t>high</t>
        </is>
      </c>
      <c r="D70" s="11" t="inlineStr">
        <is>
          <t>攤銷</t>
        </is>
      </c>
      <c r="E70" s="11" t="inlineStr">
        <is>
          <t>PDF p.274 (印刷頁 273)</t>
        </is>
      </c>
      <c r="F70" s="11" t="inlineStr">
        <is>
          <t>000 人民幣千元 人民幣千元 Assets as per consolidated statement of 綜合財務狀況表所列的資產 financial position Financial assets measured at amortised cost 按攤銷成本計量的金融資產 – Trade receivables (Note 22(a)) －貿易應收款項（附註22(a)） 213,774 250,399 – Other receivables and deposits (excluding －其他應收款項及按金 non-financial assets) (Note 22(b)) （不包括非金融資產） （附註22(b)） 49,129 47,938 – Amounts due from related companies －應收關聯公司款項 (Note 33(e)) （附註33(e)） 53 43,006 – Amount due from a joint venture －應收一家合營企業款項 (Note 16(a)) （附註16(a)） 10,452 4,161 – Cash and cash equivalents (Note 2</t>
        </is>
      </c>
    </row>
    <row r="71">
      <c r="A71" s="8" t="inlineStr">
        <is>
          <t>Intangible Assets &amp; Goodwill</t>
        </is>
      </c>
      <c r="B71" s="8" t="inlineStr">
        <is>
          <t>無形資產及商譽</t>
        </is>
      </c>
      <c r="C71" s="20" t="inlineStr">
        <is>
          <t>high</t>
        </is>
      </c>
      <c r="D71" s="11" t="inlineStr">
        <is>
          <t>intangible asset</t>
        </is>
      </c>
      <c r="E71" s="11" t="inlineStr">
        <is>
          <t>PDF p.279 (印刷頁 278)</t>
        </is>
      </c>
      <c r="F71" s="11" t="inlineStr">
        <is>
          <t>人民幣千元 Analysis of assets and liabilities over which control 失去控制權的資產及負債分析 was lost – Property, plant and equipment －物業、廠房及設備 3,625 – Intangible assets －無形資產 216 – Right-of-use assets －使用權資產 13,922 – Inventories －存貨 22,729 – Trade receivables －貿易應收款項 12,973 – Deposits, prepayments and other receivables －按金、預付款項及其他應收款項 9,602 – Cash and cash equivalents －現金及現金等價物 21,480 – Provision for long service payment －長期服務金撥備 (12) – Lease liabilities －租賃負債 (15,003) – Trade payables －貿易應付款項 (6,287) – Accruals and other payables －應計費用及其他應付款項 (</t>
        </is>
      </c>
    </row>
    <row r="72">
      <c r="A72" s="8" t="inlineStr">
        <is>
          <t>Intangible Assets &amp; Goodwill</t>
        </is>
      </c>
      <c r="B72" s="8" t="inlineStr">
        <is>
          <t>無形資產及商譽</t>
        </is>
      </c>
      <c r="C72" s="20" t="inlineStr">
        <is>
          <t>high</t>
        </is>
      </c>
      <c r="D72" s="11" t="inlineStr">
        <is>
          <t>攤銷</t>
        </is>
      </c>
      <c r="E72" s="11" t="inlineStr">
        <is>
          <t>PDF p.281 (印刷頁 280)</t>
        </is>
      </c>
      <c r="F72" s="11" t="inlineStr">
        <is>
          <t>payables are recognised initially at fair 應計費用及其他應付款項初步按公允價值 value and subsequently measured at amortised cost using the 確認並其後以實際利率法按攤銷成本計 effective interest method. 量。 The carrying amounts of accruals and other payables are 應計費用及其他應付款項的賬面值按下列 denominated in the following currencies: 貨幣計值： 2026 2025 2026年 2025年 RMB’000 RMB’000 人民幣千元 人民幣千元 HK$ 港元 20,681 9,247 US$ 美元 3,628 2,796 EUR 歐元 12,787 1,452 RMB 人民幣 66,625 105,246 103,721 118,741 280 Eternal Beauty Holdings Limited Annual Report 2025/26</t>
        </is>
      </c>
    </row>
    <row r="73">
      <c r="A73" s="8" t="inlineStr">
        <is>
          <t>Intangible Assets &amp; Goodwill</t>
        </is>
      </c>
      <c r="B73" s="8" t="inlineStr">
        <is>
          <t>無形資產及商譽</t>
        </is>
      </c>
      <c r="C73" s="20" t="inlineStr">
        <is>
          <t>high</t>
        </is>
      </c>
      <c r="D73" s="11" t="inlineStr">
        <is>
          <t>攤銷</t>
        </is>
      </c>
      <c r="E73" s="11" t="inlineStr">
        <is>
          <t>PDF p.283 (印刷頁 282)</t>
        </is>
      </c>
      <c r="F73" s="11" t="inlineStr">
        <is>
          <t>itially recognised at fair value, net of 銀行借款初步按公允價值扣除已產生交易 transaction costs incurred. Bank borrowings are subsequently 成本確認。銀行借款其後按攤銷成本計 measured at amortised cost. Any difference between the 量。所得款項（扣除交易成本）與贖回金 proceeds (net of transaction costs) and the redemption 額之間的任何差額均採用實際利息法於銀 amount is recognised in profit or loss over the period of the 行借款期間內在損益內確認。倘將有可能 bank borrowings using the effective interest method. Fees 提取部分或全部融資，則就設立貸款融資 paid on the establishment of loan facilities are recognised as 支付的費用會確認為貸款的交易成本。於 transa</t>
        </is>
      </c>
    </row>
    <row r="74">
      <c r="A74" s="8" t="inlineStr">
        <is>
          <t>Intangible Assets &amp; Goodwill</t>
        </is>
      </c>
      <c r="B74" s="8" t="inlineStr">
        <is>
          <t>無形資產及商譽</t>
        </is>
      </c>
      <c r="C74" s="20" t="inlineStr">
        <is>
          <t>high</t>
        </is>
      </c>
      <c r="D74" s="11" t="inlineStr">
        <is>
          <t>intangible asset</t>
        </is>
      </c>
      <c r="E74" s="11" t="inlineStr">
        <is>
          <t>PDF p.285 (印刷頁 284)</t>
        </is>
      </c>
      <c r="F74" s="11" t="inlineStr">
        <is>
          <t>nd equipment 物業、廠房及設備折舊 13,281 25,466 Provision for impairment of property, plant and 物業、廠房及設備減值撥備 equipment 723 523 Amortisation of intangible assets 無形資產攤銷 3,053 2,237 Depreciation of right-of-use assets 使用權資產折舊 51,088 70,939 Provision for impairment of right-of-use assets 使用權資產減值撥備 2,989 3,143 Finance income 財務收入 (11,203) (1,692) Finance costs 財務成本 3,542 6,225 (Gains)/losses on financial assets/liabilities at 按公允價值計入損益的金融 FVTPL 資產╱負債（收益）╱虧損 (6,016) 620 Gains on disposal of property, plant and 出售物業、廠房及設備收益 equipment (333) (18</t>
        </is>
      </c>
    </row>
    <row r="75">
      <c r="A75" s="8" t="inlineStr">
        <is>
          <t>Intangible Assets &amp; Goodwill</t>
        </is>
      </c>
      <c r="B75" s="8" t="inlineStr">
        <is>
          <t>無形資產及商譽</t>
        </is>
      </c>
      <c r="C75" s="20" t="inlineStr">
        <is>
          <t>high</t>
        </is>
      </c>
      <c r="D75" s="11" t="inlineStr">
        <is>
          <t>goodwill</t>
        </is>
      </c>
      <c r="E75" s="11" t="inlineStr">
        <is>
          <t>PDF p.293 (印刷頁 292)</t>
        </is>
      </c>
      <c r="F75" s="11" t="inlineStr">
        <is>
          <t>subsidiary and (ii) 價值與(ii)本公司應佔該附屬公司資產 the Company’s share of the net assets of that subsidiary 淨值加任何剩餘商譽及與該附屬公司 plus any remaining goodwill and any accumulated foreign 有關的任何累計外幣換算儲備之間的 currency translation reserve relating to that subsidiary. 差額。 292 Eternal Beauty Holdings Limited Annual Report 2025/26</t>
        </is>
      </c>
    </row>
    <row r="76">
      <c r="A76" s="8" t="inlineStr">
        <is>
          <t>Intangible Assets &amp; Goodwill</t>
        </is>
      </c>
      <c r="B76" s="8" t="inlineStr">
        <is>
          <t>無形資產及商譽</t>
        </is>
      </c>
      <c r="C76" s="20" t="inlineStr">
        <is>
          <t>high</t>
        </is>
      </c>
      <c r="D76" s="11" t="inlineStr">
        <is>
          <t>goodwill</t>
        </is>
      </c>
      <c r="E76" s="11" t="inlineStr">
        <is>
          <t>PDF p.294 (印刷頁 293)</t>
        </is>
      </c>
      <c r="F76" s="11" t="inlineStr">
        <is>
          <t>tements exceeds the carrying amount in the 附屬公司的該等投資進行減值測試。 consolidated financial statements of the investee’s net assets including goodwill. 36.1.3 Business combination 36.1.3 業務合併 Business combinations under common control 共同控制下的業務合併 The consolidated financial statements incorporate the 綜合財務報表包括共同控制合併的實 financial statement items of the entities or businesses in 體或業務的財務報表項目，猶如其自 which the common control combination occurs as if they 該等實體或業務首次受控制方控制當 had been consolidated from the date when the entities or 日起已綜合入賬。 businesses</t>
        </is>
      </c>
    </row>
    <row r="77">
      <c r="A77" s="8" t="inlineStr">
        <is>
          <t>Intangible Assets &amp; Goodwill</t>
        </is>
      </c>
      <c r="B77" s="8" t="inlineStr">
        <is>
          <t>無形資產及商譽</t>
        </is>
      </c>
      <c r="C77" s="20" t="inlineStr">
        <is>
          <t>high</t>
        </is>
      </c>
      <c r="D77" s="11" t="inlineStr">
        <is>
          <t>goodwill</t>
        </is>
      </c>
      <c r="E77" s="11" t="inlineStr">
        <is>
          <t>PDF p.295 (印刷頁 294)</t>
        </is>
      </c>
      <c r="F77" s="11" t="inlineStr">
        <is>
          <t>book values from the 的現有賬面值綜合入賬。在控制方持 controlling party’s perspective. No amount is recognised 續擁有權益的情況下，共同控制合併 in consideration for goodwill or excess of acquirer’s 時並無就商譽的代價或收購方於被收 interest in the net fair value of acquiree’s identifiable 購方的可識別資產、負債及或然負債 assets, liabilities and contingent liabilities over cost at the 的公允價值淨值之權益超出成本的部 time of common control combination, to the extent of the 分確認任何金額。 continuation of the controlling party’s interest. The consolidated statement of comprehensive income 綜合全面收益表載有各合併實體或業 includes t</t>
        </is>
      </c>
    </row>
    <row r="78">
      <c r="A78" s="8" t="inlineStr">
        <is>
          <t>Intangible Assets &amp; Goodwill</t>
        </is>
      </c>
      <c r="B78" s="8" t="inlineStr">
        <is>
          <t>無形資產及商譽</t>
        </is>
      </c>
      <c r="C78" s="20" t="inlineStr">
        <is>
          <t>high</t>
        </is>
      </c>
      <c r="D78" s="11" t="inlineStr">
        <is>
          <t>intangible asset</t>
        </is>
      </c>
      <c r="E78" s="11" t="inlineStr">
        <is>
          <t>PDF p.298 (印刷頁 297)</t>
        </is>
      </c>
      <c r="F78" s="11" t="inlineStr">
        <is>
          <t>re repaid, the associated exchange differences are 虧損的一部分。 reclassified to profit or loss, as part of the gain or loss on sale. 36.5 Intangible asset 36.5 無形資產 Intangible asset represents a club membership and computer 無形資產指俱樂部會員資格及計算機軟 software that are stated at cost less impairment losses, if any. 件，按成本減減值虧損（如有）列賬。會 The carrying amount of the club membership and computer 籍及計算機軟件的賬面值於各報告期末檢 software are reviewed at the end of each reporting period to 討，以評估公允價值是否下降至低於賬面 assess whether the fair value has declined below the carr</t>
        </is>
      </c>
    </row>
    <row r="79">
      <c r="A79" s="8" t="inlineStr">
        <is>
          <t>Intangible Assets &amp; Goodwill</t>
        </is>
      </c>
      <c r="B79" s="8" t="inlineStr">
        <is>
          <t>無形資產及商譽</t>
        </is>
      </c>
      <c r="C79" s="20" t="inlineStr">
        <is>
          <t>high</t>
        </is>
      </c>
      <c r="D79" s="11" t="inlineStr">
        <is>
          <t>intangible asset</t>
        </is>
      </c>
      <c r="E79" s="11" t="inlineStr">
        <is>
          <t>PDF p.299 (印刷頁 298)</t>
        </is>
      </c>
      <c r="F79" s="11" t="inlineStr">
        <is>
          <t>36. SUMMARY OF OTHER MATERIAL ACCOUNTING 36. 其他重大會計政策概要（續） POLICIES (CONTINUED) 36.6 Impairment of non-financial assets 36.6 非金融資產減值 Intangible assets that have an indefinite useful life are 無固定可使用年期的無形資產無需攤銷， not subject to amortisation and are tested annually for 惟須每年進行減值測試，或如果發生事件 impairment, or more frequently if events or changes in 或情況變化顯示可能減值時，則更頻繁進 circumstances indicate that they might be impaired. Other 行減值測試。倘發生事件或情況變化顯示 assets are tested for impairment whenever events or changes 賬面值可能無法收回時，其他資產會進行 in circumstances i</t>
        </is>
      </c>
    </row>
    <row r="80">
      <c r="A80" s="8" t="inlineStr">
        <is>
          <t>Intangible Assets &amp; Goodwill</t>
        </is>
      </c>
      <c r="B80" s="8" t="inlineStr">
        <is>
          <t>無形資產及商譽</t>
        </is>
      </c>
      <c r="C80" s="20" t="inlineStr">
        <is>
          <t>high</t>
        </is>
      </c>
      <c r="D80" s="11" t="inlineStr">
        <is>
          <t>攤銷</t>
        </is>
      </c>
      <c r="E80" s="11" t="inlineStr">
        <is>
          <t>PDF p.300 (印刷頁 299)</t>
        </is>
      </c>
      <c r="F80" s="11" t="inlineStr">
        <is>
          <t>sset and 理該資產的業務模式以及該資產的現 the cash flow characteristics of the asset. 金流量特徵。 • Amortised cost: Assets that are held for collection • 攤銷成本：就為收取合約現金流 of contractual cash flows where those cash flows 量而持有的資產而言，倘該等現 represent solely payments of principal and interest 金流量純粹為支付本金及利息， are measured at amortised cost. Interest income from 則該等資產按攤銷成本計量。該 these financial assets is included in finance income 等金融資產的利息收入採用實際 using the effective interest rate method. Any gain or 利率法計入財務收入。終止確認 loss arising on derecognition is recognised direc</t>
        </is>
      </c>
    </row>
    <row r="81">
      <c r="A81" s="8" t="inlineStr">
        <is>
          <t>Intangible Assets &amp; Goodwill</t>
        </is>
      </c>
      <c r="B81" s="8" t="inlineStr">
        <is>
          <t>無形資產及商譽</t>
        </is>
      </c>
      <c r="C81" s="20" t="inlineStr">
        <is>
          <t>high</t>
        </is>
      </c>
      <c r="D81" s="11" t="inlineStr">
        <is>
          <t>攤銷</t>
        </is>
      </c>
      <c r="E81" s="11" t="inlineStr">
        <is>
          <t>PDF p.301 (印刷頁 300)</t>
        </is>
      </c>
      <c r="F81" s="11" t="inlineStr">
        <is>
          <t>sets (Continued) 36.7 金融資產（續） 36.7.4 Impairment (Continued) 36.7.4 減值（續） For other financial assets at amortised cost, including 就其他按攤銷成本計量的金融資產 amount due from a joint venture and amounts due from （包括應收一家合營企業款項及應收關 related companies, the Group has assessed that the ECL 聯公司款項）而言，本集團已根據12 for these receivables are not material under the 12 months 個月預期虧損法評估該等應收款項的 expected losses method. 預期信貸虧損並不重大。 36.7.5 Offsetting financial instruments 36.7.5 金融工具抵銷 Financial assets and liabilities are offset and the net 倘本集團目前擁有可合法強制執行的 amoun</t>
        </is>
      </c>
    </row>
    <row r="82">
      <c r="A82" s="8" t="inlineStr">
        <is>
          <t>Intangible Assets &amp; Goodwill</t>
        </is>
      </c>
      <c r="B82" s="8" t="inlineStr">
        <is>
          <t>無形資產及商譽</t>
        </is>
      </c>
      <c r="C82" s="20" t="inlineStr">
        <is>
          <t>high</t>
        </is>
      </c>
      <c r="D82" s="11" t="inlineStr">
        <is>
          <t>攤銷</t>
        </is>
      </c>
      <c r="E82" s="11" t="inlineStr">
        <is>
          <t>PDF p.302 (印刷頁 301)</t>
        </is>
      </c>
      <c r="F82" s="11" t="inlineStr">
        <is>
          <t>They are recognised initially at their fair 及其他應付款項初步按公允價值確認，其 value and subsequently measured at amortised cost using the 後採用實際利率法按攤銷成本計量。 effective interest method. 36.11 Provisions 36.11 撥備 Provisions are recognised when the Group has a present 當本集團因過往事件須承擔現有法律或推 legal or constructive obligation as a result of past events; it is 定責任，而履行有關責任可能需要資源流 probable that an outflow of resources will be required to settle 出，且有關金額能可靠估計時確認撥備。 the obligation; and the amount has been reliably estimated. 並未就未來經營虧損確認撥備。 Provisions are not r</t>
        </is>
      </c>
    </row>
    <row r="83">
      <c r="A83" s="8" t="inlineStr">
        <is>
          <t>Intangible Assets &amp; Goodwill</t>
        </is>
      </c>
      <c r="B83" s="8" t="inlineStr">
        <is>
          <t>無形資產及商譽</t>
        </is>
      </c>
      <c r="C83" s="20" t="inlineStr">
        <is>
          <t>high</t>
        </is>
      </c>
      <c r="D83" s="11" t="inlineStr">
        <is>
          <t>攤銷</t>
        </is>
      </c>
      <c r="E83" s="11" t="inlineStr">
        <is>
          <t>PDF p.303 (印刷頁 302)</t>
        </is>
      </c>
      <c r="F83" s="11" t="inlineStr">
        <is>
          <t>tributed at the end of the reporting period. 36.14 Interest income 36.14 利息收入 Interest income on financial assets at amortised cost 按攤銷成本入賬的金融資產的利息收入使 calculated using the effective interest method is recognised in 用實際利率法計算，並作為財務收入的一 the consolidated statement of comprehensive income as part 部分於綜合全面收益表確認。 of finance income. Interest income is presented as finance income where 倘利息收入來自持作現金管理用途的金融 it is earned from financial assets that are held for cash 資產，則呈列為財務收入。利息收入乃通 management purposes. Interest income is calculated by 過對金融</t>
        </is>
      </c>
    </row>
    <row r="84">
      <c r="A84" s="8" t="inlineStr">
        <is>
          <t>ESG Data</t>
        </is>
      </c>
      <c r="B84" s="8" t="inlineStr">
        <is>
          <t>環境社會及管治數據</t>
        </is>
      </c>
      <c r="C84" s="8" t="inlineStr">
        <is>
          <t>medium</t>
        </is>
      </c>
      <c r="D84" s="11" t="inlineStr">
        <is>
          <t>環境、社會及管治</t>
        </is>
      </c>
      <c r="E84" s="11" t="inlineStr">
        <is>
          <t>PDF p.2</t>
        </is>
      </c>
      <c r="F84" s="11" t="inlineStr">
        <is>
          <t>DIRECTORS AND SENIOR MANAGEMENT 65 董事及高級管理層履歷 CORPORATE GOVERNANCE REPORT 74 企業管治報告 ENVIRONMENTAL, SOCIAL AND GOVERNANCE REPORT 107 環境、社會及管治報告 INDEPENDENT AUDITOR’S REPORT 205 獨立核數師報告 CONSOLIDATED STATEMENT OF COMPREHENSIVE INCOME 212 綜合全面收益表 CONSOLIDATED STATEMENT OF FINANCIAL POSITION 213 綜合財務狀況表 STATEMENT OF FINANCIAL POSITION OF THE COMPANY 215 本公司財務狀況表 CONSOLIDATED STATEMENT OF CHANGES IN EQUITY 216 綜合權益變動表 CONSOLIDATED STATEMENT OF CASH FLOWS 217 綜合現金流量表 NOTES TO THE CONSOLIDATED FINANCIAL STATEMENTS 218 綜合財務報表附註 DEFINIT</t>
        </is>
      </c>
    </row>
    <row r="85">
      <c r="A85" s="8" t="inlineStr">
        <is>
          <t>ESG Data</t>
        </is>
      </c>
      <c r="B85" s="8" t="inlineStr">
        <is>
          <t>環境社會及管治數據</t>
        </is>
      </c>
      <c r="C85" s="8" t="inlineStr">
        <is>
          <t>medium</t>
        </is>
      </c>
      <c r="D85" s="11" t="inlineStr">
        <is>
          <t>環境、社會及管治</t>
        </is>
      </c>
      <c r="E85" s="11" t="inlineStr">
        <is>
          <t>PDF p.4 (印刷頁 3)</t>
        </is>
      </c>
      <c r="F85" s="11" t="inlineStr">
        <is>
          <t>CORPORATE INFORMATION 公司資料 ENVIRONMENTAL, SOCIAL AND GOVERNANCE 環境、社會及管治委員會 COMMITTEE (established since 28 November 2025) （自2025年11月28日起成立） Ms. Lau Wing Yin (Chairperson) 劉頴賢女士（主席） Mr. Lau Kui Wing 劉鉅榮先生 Ms. Lam King 林荊女士 HONG KONG LEGAL ADVISERS 香港法律顧問 Morgan, Lewis &amp; Bockius 摩根路易斯律師事務所 19th Floor 香港 Edinburgh Tower 皇后大道中15號 The Landmark 置地廣場 15 Queen’s Road Central 公爵大廈 Hong Kong 19樓 AUDITOR 核數師 RSM Hong Kong 羅申美會計師事務所 (appointed with effect from 16 March 2</t>
        </is>
      </c>
    </row>
    <row r="86">
      <c r="A86" s="8" t="inlineStr">
        <is>
          <t>ESG Data</t>
        </is>
      </c>
      <c r="B86" s="8" t="inlineStr">
        <is>
          <t>環境社會及管治數據</t>
        </is>
      </c>
      <c r="C86" s="8" t="inlineStr">
        <is>
          <t>medium</t>
        </is>
      </c>
      <c r="D86" s="11" t="inlineStr">
        <is>
          <t>可持續</t>
        </is>
      </c>
      <c r="E86" s="11" t="inlineStr">
        <is>
          <t>PDF p.8 (印刷頁 7)</t>
        </is>
      </c>
      <c r="F86" s="11" t="inlineStr">
        <is>
          <t>model towards closer brand partnerships. In 及眼鏡等品類，藉此提升業務多元化、優化 addition, we have proactively expanded our product portfolio 品牌組合，為未來可持續發展奠定更穩固的 to categories such as skincare, home fragrances and eyewear, 基礎。 thereby enhancing business diversification, optimising our brand portfolio and laying a more solid foundation for future sustainable development. In terms of channel management, the Group adheres to 渠道管理方面，本集團秉持務實經營理念， a pragmatic operating philosophy. We have proactively 主動優化銷售網絡，調整表現未如理想的銷 optimised our sales network, a</t>
        </is>
      </c>
    </row>
    <row r="87">
      <c r="A87" s="8" t="inlineStr">
        <is>
          <t>ESG Data</t>
        </is>
      </c>
      <c r="B87" s="8" t="inlineStr">
        <is>
          <t>環境社會及管治數據</t>
        </is>
      </c>
      <c r="C87" s="8" t="inlineStr">
        <is>
          <t>medium</t>
        </is>
      </c>
      <c r="D87" s="11" t="inlineStr">
        <is>
          <t>環境、社會及管治</t>
        </is>
      </c>
      <c r="E87" s="11" t="inlineStr">
        <is>
          <t>PDF p.9 (印刷頁 8)</t>
        </is>
      </c>
      <c r="F87" s="11" t="inlineStr">
        <is>
          <t>t, and improve the transparency of information 資者及市場期望。本集團同時穩步推進可持 disclosure, with a view to better meeting the expectations 續發展工作，將環境、社會及管治理念逐步 of investors and the market. The Group has also steadily 融入日常營運及長遠策略之中，涵蓋供應鏈 advanced its sustainable development efforts, progressively 管理、環境影響及員工發展等範疇，支持本 integrating environmental, social and governance concepts into 集團長遠及高質量發展。 its daily operations and long-term strategies, covering areas such as supply chain management, environmental impact and employee development, in support of</t>
        </is>
      </c>
    </row>
    <row r="88">
      <c r="A88" s="8" t="inlineStr">
        <is>
          <t>ESG Data</t>
        </is>
      </c>
      <c r="B88" s="8" t="inlineStr">
        <is>
          <t>環境社會及管治數據</t>
        </is>
      </c>
      <c r="C88" s="8" t="inlineStr">
        <is>
          <t>medium</t>
        </is>
      </c>
      <c r="D88" s="11" t="inlineStr">
        <is>
          <t>sustainability</t>
        </is>
      </c>
      <c r="E88" s="11" t="inlineStr">
        <is>
          <t>PDF p.11 (印刷頁 10)</t>
        </is>
      </c>
      <c r="F88" s="11" t="inlineStr">
        <is>
          <t>thy operating 流與穩定的派息水平，進一步印證業 cash flow and a stable dividend payout further validated 務模式的內在韌性與可持續性。以下 the inherent resilience and sustainability of the Group’s 將首先概述市場概況與行業趨勢，再 business model. The following section first outlines 詳細回顧本集團的業務表現及未來發 the market overview and industry trends, followed by a 展策略。 detailed review of the Group’s business performance and future development strategies. 10 Eternal Beauty Holdings Limited Annual Report 2025/26</t>
        </is>
      </c>
    </row>
    <row r="89">
      <c r="A89" s="8" t="inlineStr">
        <is>
          <t>ESG Data</t>
        </is>
      </c>
      <c r="B89" s="8" t="inlineStr">
        <is>
          <t>環境社會及管治數據</t>
        </is>
      </c>
      <c r="C89" s="8" t="inlineStr">
        <is>
          <t>medium</t>
        </is>
      </c>
      <c r="D89" s="11" t="inlineStr">
        <is>
          <t>可持續</t>
        </is>
      </c>
      <c r="E89" s="11" t="inlineStr">
        <is>
          <t>PDF p.17 (印刷頁 16)</t>
        </is>
      </c>
      <c r="F89" s="11" t="inlineStr">
        <is>
          <t>牌資 it implements unified market governance, a stringent 產，確保業務在宏觀波動中的韌性與 pricing control system and systematic risk control, thereby 可持續增長。 safeguarding gross profit margins and brand assets and ensuring resilience and sustainable growth amid macro volatility. In terms of market positioning, the Group focuses on two 在市場定位上，本集團聚焦「悅己經 major value propositions: the “self-pleasing economy” 濟」與「生活美學」兩大價值主張，涵 and “art of living”. It covers high-potential segments such 蓋小眾香水、家居香氛、功能性護膚 as niche perfumes, home fragrances, functional sk</t>
        </is>
      </c>
    </row>
    <row r="90">
      <c r="A90" s="8" t="inlineStr">
        <is>
          <t>ESG Data</t>
        </is>
      </c>
      <c r="B90" s="8" t="inlineStr">
        <is>
          <t>環境社會及管治數據</t>
        </is>
      </c>
      <c r="C90" s="8" t="inlineStr">
        <is>
          <t>medium</t>
        </is>
      </c>
      <c r="D90" s="11" t="inlineStr">
        <is>
          <t>可持續</t>
        </is>
      </c>
      <c r="E90" s="11" t="inlineStr">
        <is>
          <t>PDF p.19 (印刷頁 18)</t>
        </is>
      </c>
      <c r="F90" s="11" t="inlineStr">
        <is>
          <t>獻達50%，且貢獻與消 for 50%, and the contribution is highly aligned with 費力高度匹配，展現出深厚的客戶黏 consumption power, demonstrating strong customer 性與可持續的利潤貢獻。 stickiness and sustainable profit contribution. Perfume Box covers more than 50 brands and over 2,000 拾氛氣盒線上線下全渠道覆蓋超過50 SKUs across online and offline channels, fully meeting 個品牌、逾2,000款SKU，從入門到 fragrance consumption demand from entry-level to 高階完整滿足香氛消費需求。憑藉高 advanced products. With its “three-high” model of high 客單、高入會轉化、高會員價值的三 average transaction value, high membership conversion 高模型</t>
        </is>
      </c>
    </row>
    <row r="91">
      <c r="A91" s="8" t="inlineStr">
        <is>
          <t>ESG Data</t>
        </is>
      </c>
      <c r="B91" s="8" t="inlineStr">
        <is>
          <t>環境社會及管治數據</t>
        </is>
      </c>
      <c r="C91" s="8" t="inlineStr">
        <is>
          <t>medium</t>
        </is>
      </c>
      <c r="D91" s="11" t="inlineStr">
        <is>
          <t>可持續</t>
        </is>
      </c>
      <c r="E91" s="11" t="inlineStr">
        <is>
          <t>PDF p.27 (印刷頁 26)</t>
        </is>
      </c>
      <c r="F91" s="11" t="inlineStr">
        <is>
          <t>quency and contribution per customer, and significantly 度。通過系統化、數字化的用戶運 enhance brand stickiness and loyalty. Through systematic 營，構建可持續的用戶增長飛輪，以 and digitalized user operations, the Group will build 差異化的C端精細化運營能力構築核 a sustainable user growth flywheel, establish core 心競爭壁壘，支撐本集團業務長期高 competitive barriers through differentiated C-end refined 質量發展。 operational capabilities, and support the long-term highquality development of the Group’s business. Focusing on high-margin niche fragrances and cross- 聚焦高毛利小眾香氛與跨界創新 sector innovat</t>
        </is>
      </c>
    </row>
    <row r="92">
      <c r="A92" s="8" t="inlineStr">
        <is>
          <t>ESG Data</t>
        </is>
      </c>
      <c r="B92" s="8" t="inlineStr">
        <is>
          <t>環境社會及管治數據</t>
        </is>
      </c>
      <c r="C92" s="8" t="inlineStr">
        <is>
          <t>medium</t>
        </is>
      </c>
      <c r="D92" s="11" t="inlineStr">
        <is>
          <t>可持續</t>
        </is>
      </c>
      <c r="E92" s="11" t="inlineStr">
        <is>
          <t>PDF p.29 (印刷頁 28)</t>
        </is>
      </c>
      <c r="F92" s="11" t="inlineStr">
        <is>
          <t>strated during the period not only fully validated the 模式的內在防守性，更彰顯了我們致 inherent defensiveness of our business model, but also 力為股東創造可持續價值的不懈努力。 reflected our relentless efforts to create sustainable value for Shareholders. Through proactive channel structure optimization, strict 通過主動的渠道結構優化、嚴格的價 pricing discipline, continuous upgrading of external 格紀律、外部與自有品牌組合的持續 and self-owned brand portfolios, and forward-looking 升級，以及對生活美學新賽道的前瞻 deployment in new art of living tracks, the Group not only 性佈局，本集團在行業整體波動中不 improved profit qua</t>
        </is>
      </c>
    </row>
    <row r="93">
      <c r="A93" s="8" t="inlineStr">
        <is>
          <t>ESG Data</t>
        </is>
      </c>
      <c r="B93" s="8" t="inlineStr">
        <is>
          <t>環境社會及管治數據</t>
        </is>
      </c>
      <c r="C93" s="8" t="inlineStr">
        <is>
          <t>medium</t>
        </is>
      </c>
      <c r="D93" s="11" t="inlineStr">
        <is>
          <t>能源消耗</t>
        </is>
      </c>
      <c r="E93" s="11" t="inlineStr">
        <is>
          <t>PDF p.43 (印刷頁 42)</t>
        </is>
      </c>
      <c r="F93" s="11" t="inlineStr">
        <is>
          <t>ironment. The Group has implemented environmental 施，亦鼓勵員工在工作中按實際需要用電及 protection measures and has also encouraged staff to be 用水，從而減少能源消耗及盡量避免不必要 environmentally friendly at work by consuming electricity 的浪費。 and water according to actual needs, so as to reduce energy consumption and minimize unnecessary waste. Details of the Group’s environmental policies and performance 本集團環境政策及表現的詳情披露於本年報 are disclosed in the section headed “Environmental, Social and 第107至203頁「環境、社會及管治報告」一 Governance Report” on pages 107 to 203 of this Annua</t>
        </is>
      </c>
    </row>
    <row r="94">
      <c r="A94" s="8" t="inlineStr">
        <is>
          <t>ESG Data</t>
        </is>
      </c>
      <c r="B94" s="8" t="inlineStr">
        <is>
          <t>環境社會及管治數據</t>
        </is>
      </c>
      <c r="C94" s="8" t="inlineStr">
        <is>
          <t>medium</t>
        </is>
      </c>
      <c r="D94" s="11" t="inlineStr">
        <is>
          <t>ESG</t>
        </is>
      </c>
      <c r="E94" s="11" t="inlineStr">
        <is>
          <t>PDF p.79 (印刷頁 78)</t>
        </is>
      </c>
      <c r="F94" s="11" t="inlineStr">
        <is>
          <t>set out in the table below: Meetings (Number of meetings attended/eligible to attend) 會議（出席╱合資格出席會議次數） Audit Nomination Remuneration ESG General Name of Director Board Committee Committee Committee Committee Meeting 審核 提名 薪酬 環境、社會及 董事姓名 董事會 委員會 委員會 委員會 管治委員會 股東大會 Executive Directors 執行董事 Lau Kui Wing (Chairman) 4/4 – 1/1 – 1/1 0/0 劉鉅榮（主席） Lam King (Chief Executive Officer) 4/4 – – 2/2 1/1 0/0 林荊（首席執行官） Lau Wing Yin 4/4 – – – 1/1 0/0 劉頴賢 Chu Wai Tsun, Baggio (Chief Financial Officer) 4/4 – – – – 0/0 朱維馴（首席財務官） Non-Executive Dire</t>
        </is>
      </c>
    </row>
    <row r="95">
      <c r="A95" s="8" t="inlineStr">
        <is>
          <t>ESG Data</t>
        </is>
      </c>
      <c r="B95" s="8" t="inlineStr">
        <is>
          <t>環境社會及管治數據</t>
        </is>
      </c>
      <c r="C95" s="8" t="inlineStr">
        <is>
          <t>medium</t>
        </is>
      </c>
      <c r="D95" s="11" t="inlineStr">
        <is>
          <t>ESG</t>
        </is>
      </c>
      <c r="E95" s="11" t="inlineStr">
        <is>
          <t>PDF p.91 (印刷頁 90)</t>
        </is>
      </c>
      <c r="F95" s="11" t="inlineStr">
        <is>
          <t>l and Governance Committee was 環境、社會及管治委員會成立旨在協助董事 established to assist the Board in managing all aspects relating 會管理與本集團環境、社會及管治（「ESG」） to the Group’s environmental, social and governance (“ESG”) 事項有關的各方面事宜，包括但不限於制定 matters, including but not limited to formulating and reviewing 及檢討本公司的ESG政策；識別ESG相關風 the Company’s ESG policies; identifying ESG-related risks and 險及機遇；以及監督本公司ESG目標的制定 opportunities; and supervising the formulation of the Company’s 及其相應規劃、實施及成效。環境、社會及 ESG goals, as well as the corresponding planning, implementat</t>
        </is>
      </c>
    </row>
    <row r="96">
      <c r="A96" s="8" t="inlineStr">
        <is>
          <t>ESG Data</t>
        </is>
      </c>
      <c r="B96" s="8" t="inlineStr">
        <is>
          <t>環境社會及管治數據</t>
        </is>
      </c>
      <c r="C96" s="8" t="inlineStr">
        <is>
          <t>medium</t>
        </is>
      </c>
      <c r="D96" s="11" t="inlineStr">
        <is>
          <t>ESG</t>
        </is>
      </c>
      <c r="E96" s="11" t="inlineStr">
        <is>
          <t>PDF p.94 (印刷頁 93)</t>
        </is>
      </c>
      <c r="F96" s="11" t="inlineStr">
        <is>
          <t>the effectiveness of the Group’s risk 及合規監控，確保公司在會計核算、內部審 management and internal control systems, covering all material 計、財務報告職能，以及ESG表現和報告相 穎通控股有限公司 2025/26年報 93</t>
        </is>
      </c>
    </row>
    <row r="97">
      <c r="A97" s="8" t="inlineStr">
        <is>
          <t>ESG Data</t>
        </is>
      </c>
      <c r="B97" s="8" t="inlineStr">
        <is>
          <t>環境社會及管治數據</t>
        </is>
      </c>
      <c r="C97" s="8" t="inlineStr">
        <is>
          <t>medium</t>
        </is>
      </c>
      <c r="D97" s="11" t="inlineStr">
        <is>
          <t>ESG</t>
        </is>
      </c>
      <c r="E97" s="11" t="inlineStr">
        <is>
          <t>PDF p.95 (印刷頁 94)</t>
        </is>
      </c>
      <c r="F97" s="11" t="inlineStr">
        <is>
          <t>relevant 檢討，董事會認為本集團風險管理及內部控 budgets pertaining to accounting, internal audit, financial 制系統是有效及足夠的。 reporting functions, as well as ESG performance and reporting. Based on the above review, the Board considers that the Group’s risk management and internal control systems are effective and adequate. It is the responsibility of the Company’s management to establish 建立和維持足夠的與財務報告相關的內部控 and maintain adequate internal controls over financial reporting. 制是公司管理層的責任。本公司審計部至少 The Internal Audit Department reports to the Audit Committee</t>
        </is>
      </c>
    </row>
    <row r="98">
      <c r="A98" s="8" t="inlineStr">
        <is>
          <t>ESG Data</t>
        </is>
      </c>
      <c r="B98" s="8" t="inlineStr">
        <is>
          <t>環境社會及管治數據</t>
        </is>
      </c>
      <c r="C98" s="8" t="inlineStr">
        <is>
          <t>medium</t>
        </is>
      </c>
      <c r="D98" s="11" t="inlineStr">
        <is>
          <t>carbon</t>
        </is>
      </c>
      <c r="E98" s="11" t="inlineStr">
        <is>
          <t>PDF p.100 (印刷頁 99)</t>
        </is>
      </c>
      <c r="F98" s="11" t="inlineStr">
        <is>
          <t>料（私隱）條例》(PDPO)、內地數據安全法，跨境數據 傳輸備案審批， 4 建立數據分級分類+ 權限管控+ 日誌審計，防止數據洩露或被濫用。 ESG Risk Risks relating to the 1 Promote green packaging, low-carbon logistics and energy-saving environment (pollution, stores to reduce carbon emissions and resource consumption; resource consumption), social matters (employee 2 Protect employees’ remuneration, social security and rest rights, rights, consumer avoid labour disputes, and improve consumer rights protection protection, supply chain mechanisms (such as returns and exchanges and privacy respons</t>
        </is>
      </c>
    </row>
    <row r="99">
      <c r="A99" s="8" t="inlineStr">
        <is>
          <t>ESG Data</t>
        </is>
      </c>
      <c r="B99" s="8" t="inlineStr">
        <is>
          <t>環境社會及管治數據</t>
        </is>
      </c>
      <c r="C99" s="8" t="inlineStr">
        <is>
          <t>medium</t>
        </is>
      </c>
      <c r="D99" s="11" t="inlineStr">
        <is>
          <t>ESG</t>
        </is>
      </c>
      <c r="E99" s="11" t="inlineStr">
        <is>
          <t>PDF p.109 (印刷頁 108)</t>
        </is>
      </c>
      <c r="F99" s="11" t="inlineStr">
        <is>
          <t>ENVIRONMENTAL, SOCIAL AND GOVERNANCE REPORT 環境、社會及管治報告 ABOUT THIS REPORT 關於本報告 This Environmental, Social and Governance (“ESG”) Report 本環境、社會及管治（「ESG」）報告為穎通控 represents the 2nd ESG Report published by Eternal Beauty 股有限公司及其附屬公司刊發的第二份ESG Holdings Limited and its subsidiaries. This Report provides an 報告。本報告概述本集團於2025年4月1日至 overview of the Group’s sustainability vision, governance approach, 2026年3月31日止報告期間（「報告期」）的可 ESG strategy, initiatives, and performance for the reporting period 持續發展願景、管治架構、ESG策略、相關 from 1 April 2025</t>
        </is>
      </c>
    </row>
    <row r="100">
      <c r="A100" s="8" t="inlineStr">
        <is>
          <t>ESG Data</t>
        </is>
      </c>
      <c r="B100" s="8" t="inlineStr">
        <is>
          <t>環境社會及管治數據</t>
        </is>
      </c>
      <c r="C100" s="8" t="inlineStr">
        <is>
          <t>medium</t>
        </is>
      </c>
      <c r="D100" s="11" t="inlineStr">
        <is>
          <t>ESG</t>
        </is>
      </c>
      <c r="E100" s="11" t="inlineStr">
        <is>
          <t>PDF p.110 (印刷頁 109)</t>
        </is>
      </c>
      <c r="F100" s="11" t="inlineStr">
        <is>
          <t>ENVIRONMENTAL, SOCIAL AND GOVERNANCE REPORT 環境、社會及管治報告 The preparation of this Report also follows the reporting principles 本報告亦遵循ESG報告守則所訂明的重要 of materiality, quantitative, balance, and consistency as prescribed 性、量化、平衡及一致性四項匯報原則： under the ESG Reporting Code: – Materiality: Material ESG topics were identified and prioritised － 重要性：本集團透過持份者參與及重要性 through stakeholder engagement and materiality assessment 評估程序，識別及排序重大ESG議題，並 processes, taking into consideration the significance of ESG- 綜合考慮相關議題對本集團及持份者的影 related impacts on th</t>
        </is>
      </c>
    </row>
    <row r="101">
      <c r="A101" s="8" t="inlineStr">
        <is>
          <t>ESG Data</t>
        </is>
      </c>
      <c r="B101" s="8" t="inlineStr">
        <is>
          <t>環境社會及管治數據</t>
        </is>
      </c>
      <c r="C101" s="8" t="inlineStr">
        <is>
          <t>medium</t>
        </is>
      </c>
      <c r="D101" s="11" t="inlineStr">
        <is>
          <t>環境、社會及管治</t>
        </is>
      </c>
      <c r="E101" s="11" t="inlineStr">
        <is>
          <t>PDF p.111 (印刷頁 110)</t>
        </is>
      </c>
      <c r="F101" s="11" t="inlineStr">
        <is>
          <t>ENVIRONMENTAL, SOCIAL AND GOVERNANCE REPORT 環境、社會及管治報告 ABOUT ETERNAL BEAUTY HOLDINGS LIMITED 關於穎通控股有限公司 Eternal Beauty Holdings Limited is the largest perfume group 穎通控股有限公司是中國（包括香港及澳 (apart from brand-owner perfume groups) in China (including 門）最大的香水集團（除品牌所有者香水集 Hong Kong and Macao) in terms of retail sales in 2023*. It 團外，按2023年零售額計*），主要從事銷 primarily sells and distributes products procured from the third- 售及分銷從第三方品牌授權商採購的產品 party brand li</t>
        </is>
      </c>
    </row>
    <row r="102">
      <c r="A102" s="8" t="inlineStr">
        <is>
          <t>ESG Data</t>
        </is>
      </c>
      <c r="B102" s="8" t="inlineStr">
        <is>
          <t>環境社會及管治數據</t>
        </is>
      </c>
      <c r="C102" s="8" t="inlineStr">
        <is>
          <t>medium</t>
        </is>
      </c>
      <c r="D102" s="11" t="inlineStr">
        <is>
          <t>ESG</t>
        </is>
      </c>
      <c r="E102" s="11" t="inlineStr">
        <is>
          <t>PDF p.112 (印刷頁 111)</t>
        </is>
      </c>
      <c r="F102" s="11" t="inlineStr">
        <is>
          <t>ENVIRONMENTAL, SOCIAL AND GOVERNANCE REPORT 環境、社會及管治報告 MESSAGE FROM THE CHAIRPERSON ESG委員會主席的話 OF THE ESG COMMITTEE Dear Valued Stakeholders, 尊敬的持份者： On behalf of the Board and the ESG Committee, I am pleased to 本人謹代表董事會及ESG委員會，欣然提呈本 present the Group’s second Environmental, Social and Governance 集團第二份環境、社會及管治報告，闡述本集 (“ESG”) Report, which outlines our continued efforts to integrate 團持續將可持續發展理念融入業務策略、營運 sustainability into our business strategy, operations, and 管理及持份者參與工作的成果與進展。 s</t>
        </is>
      </c>
    </row>
    <row r="103">
      <c r="A103" s="8" t="inlineStr">
        <is>
          <t>ESG Data</t>
        </is>
      </c>
      <c r="B103" s="8" t="inlineStr">
        <is>
          <t>環境社會及管治數據</t>
        </is>
      </c>
      <c r="C103" s="8" t="inlineStr">
        <is>
          <t>medium</t>
        </is>
      </c>
      <c r="D103" s="11" t="inlineStr">
        <is>
          <t>ESG</t>
        </is>
      </c>
      <c r="E103" s="11" t="inlineStr">
        <is>
          <t>PDF p.113 (印刷頁 112)</t>
        </is>
      </c>
      <c r="F103" s="11" t="inlineStr">
        <is>
          <t>。 innovation and sustainable customer engagement. Beyond these milestones, the Group continued to strengthen 除上述重要里程碑外，本集團亦持續透過數 its ESG practices across operations through digital innovation, 碼創新、產品責任管理、顧客參與、員工發 responsible product stewardship, customer engagement, employee 展及社區投資等多方面措施，進一步提升 development, and community investment initiatives. ESG表現。 While we recognise that sustainability is an ongoing journey, 我們深明可持續發展是一項長期且不斷演進 we remain committed to continuous improvement and long- 的旅程，將秉持持續改進的精神，為持份者 term value creation fo</t>
        </is>
      </c>
    </row>
    <row r="104">
      <c r="A104" s="8" t="inlineStr">
        <is>
          <t>ESG Data</t>
        </is>
      </c>
      <c r="B104" s="8" t="inlineStr">
        <is>
          <t>環境社會及管治數據</t>
        </is>
      </c>
      <c r="C104" s="8" t="inlineStr">
        <is>
          <t>medium</t>
        </is>
      </c>
      <c r="D104" s="11" t="inlineStr">
        <is>
          <t>ESG</t>
        </is>
      </c>
      <c r="E104" s="11" t="inlineStr">
        <is>
          <t>PDF p.114 (印刷頁 113)</t>
        </is>
      </c>
      <c r="F104" s="11" t="inlineStr">
        <is>
          <t>rnance considerations at the heart 會及管治因素納入企業決策核心。該架構建 of corporate decision-making. This framework is underpinned by 基於嚴謹的風險管理機制及一系列ESG相關 a disciplined approach to risk management and a suite of ESG- 政策，作為日常營運及管理的重要依據。「穎 related policies that shape day-to-day operations. Our Eternal 通可持續發展願景2025-2027」作為本集團 Sustainability Vision 2025-2027 serves as a key strategic tool, 的重要策略工具，為實現可持續發展目標制 setting out the pathway towards our sustainability ambitions and 定清晰路線圖，並明確界定優先行動範疇。 informing priority areas for action. Stakeholder engage</t>
        </is>
      </c>
    </row>
    <row r="105">
      <c r="A105" s="8" t="inlineStr">
        <is>
          <t>ESG Data</t>
        </is>
      </c>
      <c r="B105" s="8" t="inlineStr">
        <is>
          <t>環境社會及管治數據</t>
        </is>
      </c>
      <c r="C105" s="8" t="inlineStr">
        <is>
          <t>medium</t>
        </is>
      </c>
      <c r="D105" s="11" t="inlineStr">
        <is>
          <t>ESG</t>
        </is>
      </c>
      <c r="E105" s="11" t="inlineStr">
        <is>
          <t>PDF p.115 (印刷頁 114)</t>
        </is>
      </c>
      <c r="F105" s="11" t="inlineStr">
        <is>
          <t>ENVIRONMENTAL, SOCIAL AND GOVERNANCE REPORT 環境、社會及管治報告 Board 董事會 The Board has overall responsibility for the Group’s ESG strategy 董事會全面負責本集團的ESG策略及披露工 and reporting. It is responsible for setting the Group’s ESG- and 作，並肩負制定ESG及氣候相關發展方向的 climate-related direction and providing strategic oversight of the 責任，監督ESG管理框架，包括其指導原則 ESG framework, including its guiding principles and overarching 及整體可持續發展管理方針。 approach to sustainability management. Directors are kept informed of emerging ESG themes and regulatory 董事會透過定期簡</t>
        </is>
      </c>
    </row>
    <row r="106">
      <c r="A106" s="8" t="inlineStr">
        <is>
          <t>ESG Data</t>
        </is>
      </c>
      <c r="B106" s="8" t="inlineStr">
        <is>
          <t>環境社會及管治數據</t>
        </is>
      </c>
      <c r="C106" s="8" t="inlineStr">
        <is>
          <t>medium</t>
        </is>
      </c>
      <c r="D106" s="11" t="inlineStr">
        <is>
          <t>ESG</t>
        </is>
      </c>
      <c r="E106" s="11" t="inlineStr">
        <is>
          <t>PDF p.116 (印刷頁 115)</t>
        </is>
      </c>
      <c r="F106" s="11" t="inlineStr">
        <is>
          <t>ENVIRONMENTAL, SOCIAL AND GOVERNANCE REPORT 環境、社會及管治報告 Delegated by the Board, the Committee monitors performance 在董事會授權下，委員會負責監察既定ESG against established ESG targets and KPIs, evaluates progress 目標及關鍵績效指標的達成情況，評估整體 and recommends adjustments to support long-term objectives. It 進展，並於有需要時提出優化建議，以支持 conducts at least annual reviews of the adequacy and effectiveness 本集團長遠發展目標及承諾。委員會至少每 of ESG and climate-related governance, management and internal 年檢討一次ESG及氣候相關管治、管理制度 controls, considering resilience to evolving operating condit</t>
        </is>
      </c>
    </row>
    <row r="107">
      <c r="A107" s="8" t="inlineStr">
        <is>
          <t>ESG Data</t>
        </is>
      </c>
      <c r="B107" s="8" t="inlineStr">
        <is>
          <t>環境社會及管治數據</t>
        </is>
      </c>
      <c r="C107" s="8" t="inlineStr">
        <is>
          <t>medium</t>
        </is>
      </c>
      <c r="D107" s="11" t="inlineStr">
        <is>
          <t>環境、社會及管治</t>
        </is>
      </c>
      <c r="E107" s="11" t="inlineStr">
        <is>
          <t>PDF p.117 (印刷頁 116)</t>
        </is>
      </c>
      <c r="F107" s="11" t="inlineStr">
        <is>
          <t>ENVIRONMENTAL, SOCIAL AND GOVERNANCE REPORT 環境、社會及管治報告 BUSINESS ETHICS 商業道德 The Group is committed to conducting business in a lawful, 本集團致力以合法、合乎道德及具透明度的方式 ethical and transparent manner. The Group adopts a zero- 經營業務，並對賄賂、勒索、欺詐、洗錢及其他 tolerance approach towards bribery, extortion, fraud, money 形式的貪污行為採取零容忍態度，致力於所有業 laundering and other forms of corruption, and seeks to uphold 務營運環節維持高水平的誠信及專業操守。 high standards of integrity and professional</t>
        </is>
      </c>
    </row>
    <row r="108">
      <c r="A108" s="8" t="inlineStr">
        <is>
          <t>ESG Data</t>
        </is>
      </c>
      <c r="B108" s="8" t="inlineStr">
        <is>
          <t>環境社會及管治數據</t>
        </is>
      </c>
      <c r="C108" s="8" t="inlineStr">
        <is>
          <t>medium</t>
        </is>
      </c>
      <c r="D108" s="11" t="inlineStr">
        <is>
          <t>環境、社會及管治</t>
        </is>
      </c>
      <c r="E108" s="11" t="inlineStr">
        <is>
          <t>PDF p.118 (印刷頁 117)</t>
        </is>
      </c>
      <c r="F108" s="11" t="inlineStr">
        <is>
          <t>ENVIRONMENTAL, SOCIAL AND GOVERNANCE REPORT 環境、社會及管治報告 Training and Employee Awareness 培訓及員工意識提升 The Group promotes awareness of anti-corruption, integrity and 本集團透過內部通訊及培訓活動，持續向董 legal compliance requirements through internal communications 事及員工推廣反貪污、廉潔操守及法律合規 and training initiatives provided to directors and employees. 意識。相關人員須充分了解並遵守本集團有 Relevant personnel are expected to understand and comply 關商業道德、反洗錢及反貪污的政策及要 with the Group’s policie</t>
        </is>
      </c>
    </row>
    <row r="109">
      <c r="A109" s="8" t="inlineStr">
        <is>
          <t>ESG Data</t>
        </is>
      </c>
      <c r="B109" s="8" t="inlineStr">
        <is>
          <t>環境社會及管治數據</t>
        </is>
      </c>
      <c r="C109" s="8" t="inlineStr">
        <is>
          <t>medium</t>
        </is>
      </c>
      <c r="D109" s="11" t="inlineStr">
        <is>
          <t>ESG</t>
        </is>
      </c>
      <c r="E109" s="11" t="inlineStr">
        <is>
          <t>PDF p.119 (印刷頁 118)</t>
        </is>
      </c>
      <c r="F109" s="11" t="inlineStr">
        <is>
          <t>nability Vision 2025-2027 sets out a clear 「穎通可持續發展願景2025-2027」為本集 roadmap for advancing our environmental, social and governance 團未來ESG表現提升工作制定清晰路線圖。 performance. Building on four strategic pillars – Product, People, 該願景建基於四大策略支柱—「產品」、「人 Planet, and Community – the framework integrates sustainability 才」、「環境」及「社區」，並將可持續發展理 into our core business decisions and day-to-day operations. 念全面融入核心業務決策及日常營運。透過 Through targeted programmes and measurable initiatives 各支柱下具體而可量化的計劃及措施，本集 across each pillar, we aim to reduce our environmenta</t>
        </is>
      </c>
    </row>
    <row r="110">
      <c r="A110" s="8" t="inlineStr">
        <is>
          <t>ESG Data</t>
        </is>
      </c>
      <c r="B110" s="8" t="inlineStr">
        <is>
          <t>環境社會及管治數據</t>
        </is>
      </c>
      <c r="C110" s="8" t="inlineStr">
        <is>
          <t>medium</t>
        </is>
      </c>
      <c r="D110" s="11" t="inlineStr">
        <is>
          <t>ESG</t>
        </is>
      </c>
      <c r="E110" s="11" t="inlineStr">
        <is>
          <t>PDF p.120 (印刷頁 119)</t>
        </is>
      </c>
      <c r="F110" s="11" t="inlineStr">
        <is>
          <t>akeholder Engagement 持份者參與 The Group places strong emphasis on stakeholder engagement 本集團高度重視持份者參與，並將其視為環 as a core component of its ESG governance framework, and 境、社會及管治(ESG)管治框架的重要組成 hence established accessible channels to facilitate effective 部分，因此確立系統性及便利的溝通渠道， communication with key stakeholder groups. 以促進與各主要持份者的有效交流及互動。 Engagement is conducted through multiple communication 本集團透過多元化溝通平台，以廣泛及深入 platforms, enabling the Group to capture evolving stakeholder 的方式與持份者保持聯繫，從而掌握持份者 expectations and monitor trends in relation to</t>
        </is>
      </c>
    </row>
    <row r="111">
      <c r="A111" s="8" t="inlineStr">
        <is>
          <t>ESG Data</t>
        </is>
      </c>
      <c r="B111" s="8" t="inlineStr">
        <is>
          <t>環境社會及管治數據</t>
        </is>
      </c>
      <c r="C111" s="8" t="inlineStr">
        <is>
          <t>medium</t>
        </is>
      </c>
      <c r="D111" s="11" t="inlineStr">
        <is>
          <t>環境、社會及管治</t>
        </is>
      </c>
      <c r="E111" s="11" t="inlineStr">
        <is>
          <t>PDF p.121 (印刷頁 120)</t>
        </is>
      </c>
      <c r="F111" s="11" t="inlineStr">
        <is>
          <t>ENVIRONMENTAL, SOCIAL AND GOVERNANCE REPORT 環境、社會及管治報告 The Group’s major stakeholders and the primary communication 本集團主要持份者及相關溝通渠道載列如 channels adopted are set out in the table below. 下： Stakeholder groups Engagement channels 持份者類別 主要溝通渠道 Shareholders/Investors Annual reports, interim reports and announcements General meetings Roadshow/conference call/investor meet-and-greet Media communication mechanism Press conference Phone/email/website</t>
        </is>
      </c>
    </row>
    <row r="112">
      <c r="A112" s="8" t="inlineStr">
        <is>
          <t>ESG Data</t>
        </is>
      </c>
      <c r="B112" s="8" t="inlineStr">
        <is>
          <t>環境社會及管治數據</t>
        </is>
      </c>
      <c r="C112" s="8" t="inlineStr">
        <is>
          <t>medium</t>
        </is>
      </c>
      <c r="D112" s="11" t="inlineStr">
        <is>
          <t>ESG</t>
        </is>
      </c>
      <c r="E112" s="11" t="inlineStr">
        <is>
          <t>PDF p.122 (印刷頁 121)</t>
        </is>
      </c>
      <c r="F112" s="11" t="inlineStr">
        <is>
          <t>y assessment by engaging an 展管治及重要性評估工作，並委聘獨立 independent external consultant to conduct a review of the Group’s material 外部顧問就本集團的重大ESG議題及其 ESG topics and the corresponding level of materiality. 重要性水平進行檢討。 The assessment process was undertaken with reference to the Group’s 評估過程參考本集團的業務營運、策略 business operations, strategic priorities, stakeholder expectations, 重點、持份者期望、適用監管要求、全 applicable regulatory requirements, megatrend, and prevailing 球發展趨勢以及行業可持續發展趨勢等 industry sustainability trends. The review involved desktop research, 因素進</t>
        </is>
      </c>
    </row>
    <row r="113">
      <c r="A113" s="8" t="inlineStr">
        <is>
          <t>ESG Data</t>
        </is>
      </c>
      <c r="B113" s="8" t="inlineStr">
        <is>
          <t>環境社會及管治數據</t>
        </is>
      </c>
      <c r="C113" s="8" t="inlineStr">
        <is>
          <t>medium</t>
        </is>
      </c>
      <c r="D113" s="11" t="inlineStr">
        <is>
          <t>greenhouse gas</t>
        </is>
      </c>
      <c r="E113" s="11" t="inlineStr">
        <is>
          <t>PDF p.123 (印刷頁 122)</t>
        </is>
      </c>
      <c r="F113" s="11" t="inlineStr">
        <is>
          <t>人才 人權保障及防止童工與強迫勞工 People Health, safety and well-being 人才 職業健康、安全及福祉 People Learning and development 人才 培訓與發展 Planet Climate change, greenhouse gas emissions and energy efficiency 環境 氣候變化、溫室氣體排放及能源效益 Planet Packaging management 環境 包裝管理 Planet Waste management 環境 廢棄物管理 Community Community investment 社區 社區投資 Monitored Planet Water management 持續監察議題 環境 水資源管理 122 Eternal Beauty Holdings Limited Annual Report 2025/26</t>
        </is>
      </c>
    </row>
    <row r="114">
      <c r="A114" s="8" t="inlineStr">
        <is>
          <t>ESG Data</t>
        </is>
      </c>
      <c r="B114" s="8" t="inlineStr">
        <is>
          <t>環境社會及管治數據</t>
        </is>
      </c>
      <c r="C114" s="8" t="inlineStr">
        <is>
          <t>medium</t>
        </is>
      </c>
      <c r="D114" s="11" t="inlineStr">
        <is>
          <t>環境、社會及管治</t>
        </is>
      </c>
      <c r="E114" s="11" t="inlineStr">
        <is>
          <t>PDF p.124 (印刷頁 123)</t>
        </is>
      </c>
      <c r="F114" s="11" t="inlineStr">
        <is>
          <t>ENVIRONMENTAL, SOCIAL AND GOVERNANCE REPORT 環境、社會及管治報告 PRODUCT 產品 Customer Experience 顧客體驗 The Group recognises that delivering a quality customer 本集團深明，提供優質的顧客體驗對維持顧 experience is important to maintaining trust, strengthening 客信任、提升品牌價值及支持業務可持續增 brand value and supporting sustainable business growth. As 長至關重要。作為中國（包括香港及澳門）領 a leading perfume group in China (including Hong Kong and 先的香水集團，本集團致力成為國際品牌與 Macao), the Group aspires to be the bri</t>
        </is>
      </c>
    </row>
    <row r="115">
      <c r="A115" s="8" t="inlineStr">
        <is>
          <t>ESG Data</t>
        </is>
      </c>
      <c r="B115" s="8" t="inlineStr">
        <is>
          <t>環境社會及管治數據</t>
        </is>
      </c>
      <c r="C115" s="8" t="inlineStr">
        <is>
          <t>medium</t>
        </is>
      </c>
      <c r="D115" s="11" t="inlineStr">
        <is>
          <t>環境、社會及管治</t>
        </is>
      </c>
      <c r="E115" s="11" t="inlineStr">
        <is>
          <t>PDF p.125 (印刷頁 124)</t>
        </is>
      </c>
      <c r="F115" s="11" t="inlineStr">
        <is>
          <t>ENVIRONMENTAL, SOCIAL AND GOVERNANCE REPORT 環境、社會及管治報告 Leveraging its local market expertise and extensive retail network, 憑藉深厚的本地市場經驗及廣泛的零售網 the Group supports brand-owner customers in understanding 絡，本集團協助品牌擁有人深入了解消費者 consumer preferences, market trends and channel performance. 偏好、市場趨勢及銷售渠道表現，從而優化 This enables brand partners to optimise product positioning, 產品定位、營銷策略及渠道規劃，以應對 marketing strategies and distribution planning in a dynamic 瞬息萬</t>
        </is>
      </c>
    </row>
    <row r="116">
      <c r="A116" s="8" t="inlineStr">
        <is>
          <t>ESG Data</t>
        </is>
      </c>
      <c r="B116" s="8" t="inlineStr">
        <is>
          <t>環境社會及管治數據</t>
        </is>
      </c>
      <c r="C116" s="8" t="inlineStr">
        <is>
          <t>medium</t>
        </is>
      </c>
      <c r="D116" s="11" t="inlineStr">
        <is>
          <t>環境、社會及管治</t>
        </is>
      </c>
      <c r="E116" s="11" t="inlineStr">
        <is>
          <t>PDF p.126 (印刷頁 125)</t>
        </is>
      </c>
      <c r="F116" s="11" t="inlineStr">
        <is>
          <t>ENVIRONMENTAL, SOCIAL AND GOVERNANCE REPORT 環境、社會及管治報告 Moreover, we have established our own perfume retailer 此外，本集團創立自有香水零售品牌拾氛氣盒 brand Perfume Box which aspires to gather all the (Perfume Box)，致力匯聚來自世界各地的優質 exquisite perfume brands in one store for our customers 香氛品牌，為顧客打造一站式香氛探索體驗。 to explore new scents worldwide. Every Perfume Box 每一間拾氛氣盒門店均融入當地文化特色及獨 has its own store design features which blend with 特設計元素，營造別具個性的購物環境。拾氛 the unique loc</t>
        </is>
      </c>
    </row>
    <row r="117">
      <c r="A117" s="8" t="inlineStr">
        <is>
          <t>ESG Data</t>
        </is>
      </c>
      <c r="B117" s="8" t="inlineStr">
        <is>
          <t>環境社會及管治數據</t>
        </is>
      </c>
      <c r="C117" s="8" t="inlineStr">
        <is>
          <t>medium</t>
        </is>
      </c>
      <c r="D117" s="11" t="inlineStr">
        <is>
          <t>環境、社會及管治</t>
        </is>
      </c>
      <c r="E117" s="11" t="inlineStr">
        <is>
          <t>PDF p.127 (印刷頁 126)</t>
        </is>
      </c>
      <c r="F117" s="11" t="inlineStr">
        <is>
          <t>ENVIRONMENTAL, SOCIAL AND GOVERNANCE REPORT 環境、社會及管治報告 Wulixiang – the first concept store fused with Shanghai’s Shikumen architecture 屋裡香－拾氛氣盒 Perfume Box 首家在地文化概念店 Perfume Box opened its first concept store, “Wulixiang”, at Xintiandi Dongtaili, Shanghai, marking a strategic evolution from popup curation to an immersive narrative space that authentically celebrates local culture. The name “Wulixiang”, inspired by the Shanghai dialect mea</t>
        </is>
      </c>
    </row>
    <row r="118">
      <c r="A118" s="8" t="inlineStr">
        <is>
          <t>ESG Data</t>
        </is>
      </c>
      <c r="B118" s="8" t="inlineStr">
        <is>
          <t>環境社會及管治數據</t>
        </is>
      </c>
      <c r="C118" s="8" t="inlineStr">
        <is>
          <t>medium</t>
        </is>
      </c>
      <c r="D118" s="11" t="inlineStr">
        <is>
          <t>環境、社會及管治</t>
        </is>
      </c>
      <c r="E118" s="11" t="inlineStr">
        <is>
          <t>PDF p.128 (印刷頁 127)</t>
        </is>
      </c>
      <c r="F118" s="11" t="inlineStr">
        <is>
          <t>ENVIRONMENTAL, SOCIAL AND GOVERNANCE REPORT 環境、社會及管治報告 MCM Ferragamo Trudon Pop-up store 期間限定店 Versace Coach Influencer campaign 意見領袖推廣 Albion pop-up store promotion Dolce&amp;Gabbana THE ONE promotion Albion 期間限定店宣傳 Dolce&amp;Gabbana The ONE香氛宣傳 Niche Fragrance Street at Lane Crawford in Hong Kong 與香港連卡佛攜手打造小眾香氛殿堂 The Group commenced its first collaboration with Lane Crawford in Hong Kong through the launch of a dedicated niche fragrance zone at i</t>
        </is>
      </c>
    </row>
    <row r="119">
      <c r="A119" s="8" t="inlineStr">
        <is>
          <t>ESG Data</t>
        </is>
      </c>
      <c r="B119" s="8" t="inlineStr">
        <is>
          <t>環境社會及管治數據</t>
        </is>
      </c>
      <c r="C119" s="8" t="inlineStr">
        <is>
          <t>medium</t>
        </is>
      </c>
      <c r="D119" s="11" t="inlineStr">
        <is>
          <t>環境、社會及管治</t>
        </is>
      </c>
      <c r="E119" s="11" t="inlineStr">
        <is>
          <t>PDF p.129 (印刷頁 128)</t>
        </is>
      </c>
      <c r="F119" s="11" t="inlineStr">
        <is>
          <t>ENVIRONMENTAL, SOCIAL AND GOVERNANCE REPORT 環境、社會及管治報告 3. Campaigns and Collaborations 3. 品牌活動及合作項目 Recognising the importance of delivering unique 本集團深信獨特而具吸引力的品牌體驗對提 experience to our customers, we leveraged our solid 升顧客參與度至關重要。憑藉與合作夥伴建 connections with our partners and launched various 立的穩固關係，本集團於年內推出多項單一 campaigns, both for single brand and multi-brands, to 品牌及跨品牌合作活動，持續深化與消費者 engage our customers. 之間的互動與聯繫。 Santa Monica “Unfold Your V</t>
        </is>
      </c>
    </row>
    <row r="120">
      <c r="A120" s="8" t="inlineStr">
        <is>
          <t>ESG Data</t>
        </is>
      </c>
      <c r="B120" s="8" t="inlineStr">
        <is>
          <t>環境社會及管治數據</t>
        </is>
      </c>
      <c r="C120" s="8" t="inlineStr">
        <is>
          <t>medium</t>
        </is>
      </c>
      <c r="D120" s="11" t="inlineStr">
        <is>
          <t>環境、社會及管治</t>
        </is>
      </c>
      <c r="E120" s="11" t="inlineStr">
        <is>
          <t>PDF p.130 (印刷頁 129)</t>
        </is>
      </c>
      <c r="F120" s="11" t="inlineStr">
        <is>
          <t>ENVIRONMENTAL, SOCIAL AND GOVERNANCE REPORT 環境、社會及管治報告 Eternal X LKF Concepts “Where Spirits Collide” — Promoting Cultural Connection and Community Engagement through Fragrance 穎通集團× 蘭桂坊餐飲概念「當酒精遇上酒精」 —以香氛促進文化交流及社區參與 The Group launched the “Where Spirits Collide” 本集團於聖誕期間聯同蘭桂坊餐飲 Christmas campaign in collaboration with LKF 概念推出「當酒精遇上酒精」主題企 Concepts at Lan Kwai Fong, transforming the 劃，將蘭桂坊打造為融合香氛、生 district into a multi-sensory cultural expe</t>
        </is>
      </c>
    </row>
    <row r="121">
      <c r="A121" s="8" t="inlineStr">
        <is>
          <t>ESG Data</t>
        </is>
      </c>
      <c r="B121" s="8" t="inlineStr">
        <is>
          <t>環境社會及管治數據</t>
        </is>
      </c>
      <c r="C121" s="8" t="inlineStr">
        <is>
          <t>medium</t>
        </is>
      </c>
      <c r="D121" s="11" t="inlineStr">
        <is>
          <t>環境、社會及管治</t>
        </is>
      </c>
      <c r="E121" s="11" t="inlineStr">
        <is>
          <t>PDF p.131 (印刷頁 130)</t>
        </is>
      </c>
      <c r="F121" s="11" t="inlineStr">
        <is>
          <t>ENVIRONMENTAL, SOCIAL AND GOVERNANCE REPORT 環境、社會及管治報告 NOSE IDEA Olfactory multi-fragrance art exhibition NOSE IDEA 嗅覺藝術展 Harmay’s Shanghai Anfu Road store grandly unveiled the olfactory art exhibition “The Hidden Glory”, curated by Eternal Group’s IP “NOSE IDEA”, built on the concept of a treasury house of rarities, inviting the guests to explore niche fragrance brands in an immersive experience. 本集團旗下藝術IP NOSE IDEA於Harmay上海安 福路店隆重呈獻嗅覺藝術展《</t>
        </is>
      </c>
    </row>
    <row r="122">
      <c r="A122" s="8" t="inlineStr">
        <is>
          <t>ESG Data</t>
        </is>
      </c>
      <c r="B122" s="8" t="inlineStr">
        <is>
          <t>環境社會及管治數據</t>
        </is>
      </c>
      <c r="C122" s="8" t="inlineStr">
        <is>
          <t>medium</t>
        </is>
      </c>
      <c r="D122" s="11" t="inlineStr">
        <is>
          <t>環境、社會及管治</t>
        </is>
      </c>
      <c r="E122" s="11" t="inlineStr">
        <is>
          <t>PDF p.132 (印刷頁 131)</t>
        </is>
      </c>
      <c r="F122" s="11" t="inlineStr">
        <is>
          <t>ENVIRONMENTAL, SOCIAL AND GOVERNANCE REPORT 環境、社會及管治報告 The Group collaborated with leading luxury brands and hospitality partners to curate immersive fragrance and lifestyle experiences Innovative Fragrance Collaborative that integrated scent, gastronomy, culture, and premium hospitality. Experiences 香氛體驗創新聯乘 本集團與多個國際奢侈品牌及酒店合作夥伴攜手，打造融合香氛、美 食、文化及高端款待服務的沉浸式生活體驗。 Acca Kappa X Sheraton Hong Kong Sakura Afternoon Tea Set Acca Kappa × 香港喜來登酒店櫻花主題</t>
        </is>
      </c>
    </row>
    <row r="123">
      <c r="A123" s="8" t="inlineStr">
        <is>
          <t>ESG Data</t>
        </is>
      </c>
      <c r="B123" s="8" t="inlineStr">
        <is>
          <t>環境社會及管治數據</t>
        </is>
      </c>
      <c r="C123" s="8" t="inlineStr">
        <is>
          <t>medium</t>
        </is>
      </c>
      <c r="D123" s="11" t="inlineStr">
        <is>
          <t>環境、社會及管治</t>
        </is>
      </c>
      <c r="E123" s="11" t="inlineStr">
        <is>
          <t>PDF p.133 (印刷頁 132)</t>
        </is>
      </c>
      <c r="F123" s="11" t="inlineStr">
        <is>
          <t>ENVIRONMENTAL, SOCIAL AND GOVERNANCE REPORT 環境、社會及管治報告 Publication of White Papers to Drive In collaboration with professional ser vices par tners and business chambers, the Group continues to engage Industry Leadership stakeholders through structured research initiatives and 發佈行業白皮書 鞏固行業領導地位 industry forums, including the release of the China Fragrance Industry White Paper 2025 in Shanghai and the Hong Kong and Macao Fragrance Market Trend</t>
        </is>
      </c>
    </row>
    <row r="124">
      <c r="A124" s="8" t="inlineStr">
        <is>
          <t>R&amp;D Expenditure</t>
        </is>
      </c>
      <c r="B124" s="8" t="inlineStr">
        <is>
          <t>研發開支</t>
        </is>
      </c>
      <c r="C124" s="8" t="inlineStr">
        <is>
          <t>medium</t>
        </is>
      </c>
      <c r="D124" s="11" t="inlineStr">
        <is>
          <t>research and development</t>
        </is>
      </c>
      <c r="E124" s="11" t="inlineStr">
        <is>
          <t>PDF p.74 (印刷頁 73)</t>
        </is>
      </c>
      <c r="F124" s="11" t="inlineStr">
        <is>
          <t>16 to December 2016, he worked for Shenzhen Jingrun Pearl 售及文化展覽的公司）的總經理。 Sales Co. Ltd. (深圳京潤珍珠銷售有限公司), a company engaging in pearl research and development, production, sales and cultural exhibition, as general manager before joining the Group. Mr. Huang obtained a diploma in Corporate Management at 黃先生於1994年7月取得中國黎明職業大學 Liming Vocational University in the PRC in July 1994 and is 企業管理專業文憑，目前正攻讀目前正攻讀 currently studying for a Master’s degree in Luxury and Fashion 法國巴黎商學院奢侈品與時尚管理碩士課程。 Management at Paris School of Business, Fran</t>
        </is>
      </c>
    </row>
    <row r="125">
      <c r="A125" s="8" t="inlineStr">
        <is>
          <t>R&amp;D Expenditure</t>
        </is>
      </c>
      <c r="B125" s="8" t="inlineStr">
        <is>
          <t>研發開支</t>
        </is>
      </c>
      <c r="C125" s="8" t="inlineStr">
        <is>
          <t>medium</t>
        </is>
      </c>
      <c r="D125" s="11" t="inlineStr">
        <is>
          <t>研發</t>
        </is>
      </c>
      <c r="E125" s="11" t="inlineStr">
        <is>
          <t>PDF p.140 (印刷頁 139)</t>
        </is>
      </c>
      <c r="F125" s="11" t="inlineStr">
        <is>
          <t>發 alternative testing technologies in support of more responsible and 展，以支持更負責任及更具可持續性的 sustainable product development practices. 產品研發實踐。 Compliance Performance 合規表現 During the reporting period, the Group was not aware of any material 於報告期內，本集團並不知悉任何嚴重 non-compliance with relevant laws and regulations relating to 違反有關產品質量及安全的法律法規而 product quality and safety that would have a significant impact 對本集團造成重大影響的事件。相關法 on the Group. Relevant laws and regulations include the Product 律法規包括但不限於《中華人民共和國 Quality Law of the People’s Republi</t>
        </is>
      </c>
    </row>
    <row r="126">
      <c r="A126" s="8" t="inlineStr">
        <is>
          <t>Segment Information</t>
        </is>
      </c>
      <c r="B126" s="8" t="inlineStr">
        <is>
          <t>分部資料</t>
        </is>
      </c>
      <c r="C126" s="8" t="inlineStr">
        <is>
          <t>medium</t>
        </is>
      </c>
      <c r="D126" s="11" t="inlineStr">
        <is>
          <t>geographical</t>
        </is>
      </c>
      <c r="E126" s="11" t="inlineStr">
        <is>
          <t>PDF p.150 (印刷頁 149)</t>
        </is>
      </c>
      <c r="F126" s="11" t="inlineStr">
        <is>
          <t>reviews its supplier portfolio to support stable procurement 商組合，以支持穩定採購運作及促進供應鏈 operations and supply chain diversification. 多元化發展。 Geographical Region Number of Suppliers in FY 2025/26 Number of Suppliers in FY 2024/251 地區 2025/26財政年度供應商數目 2024/25財政年度供應商數目1 Total Number of Suppliers 1,335 1,336 供應商總數 Chinese Mainland 855 781 中國內地 Hong Kong 435 502 香港 Southeast Asia 3 6 東南亞 Europe 33 38 歐洲 Others 9 9 其他地區 Compliance with Laws and Regulations 合規與管治 The Group complies with applicable laws and regulations relating 本集團遵守營運所在地有關採購管</t>
        </is>
      </c>
    </row>
    <row r="127">
      <c r="A127" s="8" t="inlineStr">
        <is>
          <t>Segment Information</t>
        </is>
      </c>
      <c r="B127" s="8" t="inlineStr">
        <is>
          <t>分部資料</t>
        </is>
      </c>
      <c r="C127" s="8" t="inlineStr">
        <is>
          <t>medium</t>
        </is>
      </c>
      <c r="D127" s="11" t="inlineStr">
        <is>
          <t>geographical</t>
        </is>
      </c>
      <c r="E127" s="11" t="inlineStr">
        <is>
          <t>PDF p.154 (印刷頁 153)</t>
        </is>
      </c>
      <c r="F127" s="11" t="inlineStr">
        <is>
          <t>9 40至49歲 294 277 22% 23% Over 50 50歲以上 87 98 43% 23% By Employment Type 按僱傭類型劃分 Full-time 全職 975 1,133 – – Part-time 兼職 108 – – – By Geographical Region 按地區劃分 Chinese Mainland 中國內地 769 800 50% 40% Hong Kong and Macao 香港及澳門 314 333 45% 28% Talent Attraction, Development and Retention 人才吸引、發展與留任 The Group adopts a proactive and multi-channel approach 本集團採取積極及多元化的人才招聘策略，致力吸 to talent acquisition, aimed at securing high-calibre 引高質素人才，並支持組織長遠發展能力建設。 candidates and supporting long-term organisational 除外部招聘渠道外，本集團亦推行「員工推薦計 capability</t>
        </is>
      </c>
    </row>
    <row r="128">
      <c r="A128" s="8" t="inlineStr">
        <is>
          <t>Segment Information</t>
        </is>
      </c>
      <c r="B128" s="8" t="inlineStr">
        <is>
          <t>分部資料</t>
        </is>
      </c>
      <c r="C128" s="8" t="inlineStr">
        <is>
          <t>medium</t>
        </is>
      </c>
      <c r="D128" s="11" t="inlineStr">
        <is>
          <t>geographical</t>
        </is>
      </c>
      <c r="E128" s="11" t="inlineStr">
        <is>
          <t>PDF p.187 (印刷頁 186)</t>
        </is>
      </c>
      <c r="F128" s="11" t="inlineStr">
        <is>
          <t>期、平等機會、多 元化、反歧視以及其他待遇及福利等 方面對本集團構成重大影響之相關法 律及規例的違規事件。 KPI B1.1 Total workforce by gender, employment type, age People B1.1 group and geographical region 人才 按性別、僱傭類型（如全職或兼職）、年齡組別及地區 劃分的僱員總數。 KPI B1.2 Employee turnover rate by gender, age group and People B1.2 geographical region 人才 按性別、年齡組別及地區劃分的僱員流失比率。 Aspect B2: Health and Safety 層面B2：健康與安全 General Disclosure Information on: Occupational Health and Safety 一般披露 有關提供安全工作環境及保障僱員避免職業性危害 職業健康、安全與福祉 的： During the reporting year, there (a) the policies; and were no confirmed incident</t>
        </is>
      </c>
    </row>
    <row r="129">
      <c r="A129" s="8" t="inlineStr">
        <is>
          <t>Segment Information</t>
        </is>
      </c>
      <c r="B129" s="8" t="inlineStr">
        <is>
          <t>分部資料</t>
        </is>
      </c>
      <c r="C129" s="8" t="inlineStr">
        <is>
          <t>medium</t>
        </is>
      </c>
      <c r="D129" s="11" t="inlineStr">
        <is>
          <t>geographical</t>
        </is>
      </c>
      <c r="E129" s="11" t="inlineStr">
        <is>
          <t>PDF p.189 (印刷頁 188)</t>
        </is>
      </c>
      <c r="F129" s="11" t="inlineStr">
        <is>
          <t>social Responsible Supply Chain 一般披露 risks of the supply chain Management 管理供應鏈的環境及社會風險政策。 負責任供應鏈管理 KPI B5.1 Number of suppliers by geographical region Responsible Supply Chain B5.1 按地區劃分的供應商數目。 Management 負責任供應鏈管理 KPI B5.2 Description of practices relating to engaging Responsible Supply Chain B5.2 suppliers, number of suppliers where the Management practices are being implemented, and how they 負責任供應鏈管理 are implemented and monitored 描述有關聘用供應商的慣例，向其執行有關慣例的供 應商數目，以及相關執行及監察方法。 KPI B5.3 Description of practices used to identify Re</t>
        </is>
      </c>
    </row>
    <row r="130">
      <c r="A130" s="8" t="inlineStr">
        <is>
          <t>Segment Information</t>
        </is>
      </c>
      <c r="B130" s="8" t="inlineStr">
        <is>
          <t>分部資料</t>
        </is>
      </c>
      <c r="C130" s="8" t="inlineStr">
        <is>
          <t>medium</t>
        </is>
      </c>
      <c r="D130" s="11" t="inlineStr">
        <is>
          <t>geographical</t>
        </is>
      </c>
      <c r="E130" s="11" t="inlineStr">
        <is>
          <t>PDF p.193 (印刷頁 192)</t>
        </is>
      </c>
      <c r="F130" s="11" t="inlineStr">
        <is>
          <t>e issuer’s business Climate Change model and value chain climate-related risks and 氣候變化 opportunities are concentrated (for example, geographical areas, facilities and types of assets). (b) 描述在發行人的業務模式和價值鏈中，氣候相關風 險和機遇集中的地方（例如，地理區域、設施及資 產類型）。 192 Eternal Beauty Holdings Limited Annual Report 2025/26</t>
        </is>
      </c>
    </row>
    <row r="131">
      <c r="A131" s="8" t="inlineStr">
        <is>
          <t>Segment Information</t>
        </is>
      </c>
      <c r="B131" s="8" t="inlineStr">
        <is>
          <t>分部資料</t>
        </is>
      </c>
      <c r="C131" s="8" t="inlineStr">
        <is>
          <t>medium</t>
        </is>
      </c>
      <c r="D131" s="11" t="inlineStr">
        <is>
          <t>segment information</t>
        </is>
      </c>
      <c r="E131" s="11" t="inlineStr">
        <is>
          <t>PDF p.245 (印刷頁 244)</t>
        </is>
      </c>
      <c r="F131" s="11" t="inlineStr">
        <is>
          <t>NOTES TO THE CONSOLIDATED FINANCIAL STATEMENTS 綜合財務報表附註 FOR THE YEAR ENDED 31 MARCH 2026 截至2026 年3 月31 日止年度 5. REVENUE AND SEGMENT INFORMATION 5. 收入及分部資料 The chief operating decision maker (the “CODM”) has been 主要經營決策者（「主要經營決策者」）已 identified as the executive directors of the Company that make 確定為本公司作出戰略決策的執行董事。 strategic decisions. The CODM regards the Group’s business 主要經營決策者將本集團的業務視為單一 as a single operating segment and review consolidated 經營分部，並相應審閱綜合財務報表。由 financial statements accordingly. As the Group has only one</t>
        </is>
      </c>
    </row>
    <row r="132">
      <c r="A132" s="8" t="inlineStr">
        <is>
          <t>Segment Information</t>
        </is>
      </c>
      <c r="B132" s="8" t="inlineStr">
        <is>
          <t>分部資料</t>
        </is>
      </c>
      <c r="C132" s="8" t="inlineStr">
        <is>
          <t>medium</t>
        </is>
      </c>
      <c r="D132" s="11" t="inlineStr">
        <is>
          <t>segment information</t>
        </is>
      </c>
      <c r="E132" s="11" t="inlineStr">
        <is>
          <t>PDF p.246 (印刷頁 245)</t>
        </is>
      </c>
      <c r="F132" s="11" t="inlineStr">
        <is>
          <t>NOTES TO THE CONSOLIDATED FINANCIAL STATEMENTS 綜合財務報表附註 FOR THE YEAR ENDED 31 MARCH 2026 截至2026 年3 月31 日止年度 5. REVENUE AND SEGMENT INFORMATION 5. 收入及分部資料（續） (CONTINUED) The Group has recognised the following liabilities related to 本集團已確認以下與客戶合約有關的負 contracts with customers: 債： 2026 2025 2026年 2025年 RMB’000 RMB’000 人民幣千元 人民幣千元 Contract liabilities (Note) 合約負債（附註） 15,618 13,353 Note: Contract liabilities are recognised by the Group when the customer 附註： 本集團於客戶支付代價但於本集團向客戶出 pays consideration but before the Group sells t</t>
        </is>
      </c>
    </row>
    <row r="133">
      <c r="A133" s="8" t="inlineStr">
        <is>
          <t>Segment Information</t>
        </is>
      </c>
      <c r="B133" s="8" t="inlineStr">
        <is>
          <t>分部資料</t>
        </is>
      </c>
      <c r="C133" s="8" t="inlineStr">
        <is>
          <t>medium</t>
        </is>
      </c>
      <c r="D133" s="11" t="inlineStr">
        <is>
          <t>segment information</t>
        </is>
      </c>
      <c r="E133" s="11" t="inlineStr">
        <is>
          <t>PDF p.247 (印刷頁 246)</t>
        </is>
      </c>
      <c r="F133" s="11" t="inlineStr">
        <is>
          <t>NOTES TO THE CONSOLIDATED FINANCIAL STATEMENTS 綜合財務報表附註 FOR THE YEAR ENDED 31 MARCH 2026 截至2026 年3 月31 日止年度 5. REVENUE AND SEGMENT INFORMATION 5. 收入及分部資料（續） (CONTINUED) Accounting policies of revenue (Continued) 收入會計政策（續） (a) Sales of goods (a) 銷售貨品 The Group operates a chain of retail stores and 本集團於中國（包括香港及澳門）經營 consignment counters in the PRC (including Hong Kong 連鎖零售店及寄售專櫃，銷售香水、 and Macao) selling perfumes, skincare products, color 護膚品、彩妝、個人護理產品、眼鏡 cosmetics, personal care products, eyewear and home 及家居香氛。銷售貨品的收入於</t>
        </is>
      </c>
    </row>
    <row r="134">
      <c r="A134" s="8" t="inlineStr">
        <is>
          <t>Segment Information</t>
        </is>
      </c>
      <c r="B134" s="8" t="inlineStr">
        <is>
          <t>分部資料</t>
        </is>
      </c>
      <c r="C134" s="8" t="inlineStr">
        <is>
          <t>medium</t>
        </is>
      </c>
      <c r="D134" s="11" t="inlineStr">
        <is>
          <t>segment information</t>
        </is>
      </c>
      <c r="E134" s="11" t="inlineStr">
        <is>
          <t>PDF p.248 (印刷頁 247)</t>
        </is>
      </c>
      <c r="F134" s="11" t="inlineStr">
        <is>
          <t>NOTES TO THE CONSOLIDATED FINANCIAL STATEMENTS 綜合財務報表附註 FOR THE YEAR ENDED 31 MARCH 2026 截至2026 年3 月31 日止年度 5. REVENUE AND SEGMENT INFORMATION 5. 收入及分部資料（續） (CONTINUED) Accounting policies of revenue (Continued) 收入會計政策（續） (c) Sales rebates (c) 銷售回扣 Retrospective sales rebates may be provided to certain 一旦於該期間內購買的產品數量超過 customers once the quantity of products purchased during 合約規定的閾值，則可向若干客戶 the period exceeds a threshold specified in the contract. 提供追溯銷售回扣。為估計預期未來 To estimate the variable consideration for the expecte</t>
        </is>
      </c>
    </row>
    <row r="135">
      <c r="A135" s="8" t="inlineStr">
        <is>
          <t>Segment Information</t>
        </is>
      </c>
      <c r="B135" s="8" t="inlineStr">
        <is>
          <t>分部資料</t>
        </is>
      </c>
      <c r="C135" s="8" t="inlineStr">
        <is>
          <t>medium</t>
        </is>
      </c>
      <c r="D135" s="11" t="inlineStr">
        <is>
          <t>segment information</t>
        </is>
      </c>
      <c r="E135" s="11" t="inlineStr">
        <is>
          <t>PDF p.249 (印刷頁 248)</t>
        </is>
      </c>
      <c r="F135" s="11" t="inlineStr">
        <is>
          <t>NOTES TO THE CONSOLIDATED FINANCIAL STATEMENTS 綜合財務報表附註 FOR THE YEAR ENDED 31 MARCH 2026 截至2026 年3 月31 日止年度 5. REVENUE AND SEGMENT INFORMATION 5. 收入及分部資料（續） (CONTINUED) Accounting policies of revenue (Continued) 收入會計政策（續） (f) Principal versus agent analysis (f) 委託人與代理分析 In determining whether revenue of the Group should be 對本集團收入應呈列總額或淨額的釐 reported gross or net is based on a continuing assessment 定乃基於對多項因素的持續評估。於 of various factors. When determining whether the Group 釐定本集團是否作為委託人或代理人 is acting as the principal or agen</t>
        </is>
      </c>
    </row>
    <row r="136">
      <c r="A136" s="8" t="inlineStr">
        <is>
          <t>Segment Information</t>
        </is>
      </c>
      <c r="B136" s="8" t="inlineStr">
        <is>
          <t>分部資料</t>
        </is>
      </c>
      <c r="C136" s="8" t="inlineStr">
        <is>
          <t>medium</t>
        </is>
      </c>
      <c r="D136" s="11" t="inlineStr">
        <is>
          <t>operating segment</t>
        </is>
      </c>
      <c r="E136" s="11" t="inlineStr">
        <is>
          <t>PDF p.295 (印刷頁 294)</t>
        </is>
      </c>
      <c r="F136" s="11" t="inlineStr">
        <is>
          <t>ains on transactions between combining 實體或業務間交易的未變現收益均予 entities or businesses are eliminated. 以對銷。 36.2 Segment reporting 36.2 分部報告 Operating segment is reported in a manner consistent 經營分部的呈報方式與向主要經營決策者 with the internal reporting provided to the chief operating 作出內部呈報的方式貫徹一致。主要經營 decision-maker. The chief operating decision-maker, who 決策者負責分配資源及評估經營分部的表 is responsible for allocating resources and assessing 現，並已被認定為作出策略決定的本公司 performance of the operating segments, has been identified 執行董事。 as the executive directors of the Co</t>
        </is>
      </c>
    </row>
    <row r="137">
      <c r="A137" s="8" t="inlineStr">
        <is>
          <t>Share-based Payment</t>
        </is>
      </c>
      <c r="B137" s="8" t="inlineStr">
        <is>
          <t>以股份為基礎的付款</t>
        </is>
      </c>
      <c r="C137" s="8" t="inlineStr">
        <is>
          <t>medium</t>
        </is>
      </c>
      <c r="D137" s="11" t="inlineStr">
        <is>
          <t>share option</t>
        </is>
      </c>
      <c r="E137" s="11" t="inlineStr">
        <is>
          <t>PDF p.44 (印刷頁 43)</t>
        </is>
      </c>
      <c r="F137" s="11" t="inlineStr">
        <is>
          <t>n a pro-rata basis to its 股東提呈發售新股份。 existing Shareholders. EQUITY-LINKED AGREEMENTS 股權掛鈎協議 Save as disclosed in the section headed “Share Option Schemes”, 除「購股權計劃」一節所披露者外，本公司或 no equity-linked agreements were entered into by the Company 其任何附屬公司於截至2026年3月31日止年 or any of its subsidiaries during the year ended 31 March 2026. 度概無訂立任何股權掛鈎協議。 MAJOR SUPPLIERS AND CUSTOMERS 主要供應商及客戶 During the year ended 31 March 2026, the percentages of 截至2026年3月31日止年度，本集團向最大 purchases from the Group’s largest supplier and five largest 供應商及五大供應商作出的採購</t>
        </is>
      </c>
    </row>
    <row r="138">
      <c r="A138" s="8" t="inlineStr">
        <is>
          <t>Share-based Payment</t>
        </is>
      </c>
      <c r="B138" s="8" t="inlineStr">
        <is>
          <t>以股份為基礎的付款</t>
        </is>
      </c>
      <c r="C138" s="8" t="inlineStr">
        <is>
          <t>medium</t>
        </is>
      </c>
      <c r="D138" s="11" t="inlineStr">
        <is>
          <t>share option</t>
        </is>
      </c>
      <c r="E138" s="11" t="inlineStr">
        <is>
          <t>PDF p.52 (印刷頁 51)</t>
        </is>
      </c>
      <c r="F138" s="11" t="inlineStr">
        <is>
          <t>in all the Shares in 例，劉鉅榮先生因此被視為於穎通國際有限公司擁有 which Eternal Beauty International Limited is interested in. 權益的所有股份中擁有權益。 (5) 386,000 share options were granted to Mr. Chu Wai Tsun, Baggio under the Pre- (5) 根據首次公開發售前購股權計劃，朱維馴先生獲授 IPO Share Option Scheme. Please refer to the section headed “Pre-IPO Share 386,000份購股權。詳情請參閱本年報「首次公開發 Option Scheme” in this Annual Report for details. 售前購股權計劃」一節。 Save as disclosed above, as at 31 March 2026, none of the 除上文所披露者外，於2026年3月31日，概 Directors or the chief executive of the Company had or was</t>
        </is>
      </c>
    </row>
    <row r="139">
      <c r="A139" s="8" t="inlineStr">
        <is>
          <t>Share-based Payment</t>
        </is>
      </c>
      <c r="B139" s="8" t="inlineStr">
        <is>
          <t>以股份為基礎的付款</t>
        </is>
      </c>
      <c r="C139" s="8" t="inlineStr">
        <is>
          <t>medium</t>
        </is>
      </c>
      <c r="D139" s="11" t="inlineStr">
        <is>
          <t>share option</t>
        </is>
      </c>
      <c r="E139" s="11" t="inlineStr">
        <is>
          <t>PDF p.53 (印刷頁 52)</t>
        </is>
      </c>
      <c r="F139" s="11" t="inlineStr">
        <is>
          <t>and is therefore deemed to be interested in all the 偶，因此被視為於劉鉅榮先生擁有權益的所有股份中 Shares in which Mr. Lau Kui Wing is interested in. 擁有權益。 SHARE OPTION SCHEMES 購股權計劃 1. Pre-IPO Share Option Scheme 1. 首次公開發售前購股權計劃 The Pre-IPO Share Option Scheme was approved and adopted 首次公開發售前購股權計劃已由本公司於 by the Company on 18 June 2024. The purpose of the Pre- 2024年6月18日批准並採納。首次公開 IPO Share Option Scheme is to recognize the contributions by 發售前購股權計劃旨在確認部分合資格參 certain eligible participant(s) and to give incentives thereto in 與者作出的貢獻，並給予其激勵，挽留及 order to</t>
        </is>
      </c>
    </row>
    <row r="140">
      <c r="A140" s="8" t="inlineStr">
        <is>
          <t>Share-based Payment</t>
        </is>
      </c>
      <c r="B140" s="8" t="inlineStr">
        <is>
          <t>以股份為基礎的付款</t>
        </is>
      </c>
      <c r="C140" s="8" t="inlineStr">
        <is>
          <t>medium</t>
        </is>
      </c>
      <c r="D140" s="11" t="inlineStr">
        <is>
          <t>share option</t>
        </is>
      </c>
      <c r="E140" s="11" t="inlineStr">
        <is>
          <t>PDF p.54 (印刷頁 53)</t>
        </is>
      </c>
      <c r="F140" s="11" t="inlineStr">
        <is>
          <t>DIRECTORS’ REPORT 董事會報告 The participants of the Pre-IPO Share Option Scheme shall be 首次公開發售前購股權計劃的參與者須為 management personnel, full-time and part-time employee(s) 本集團任何成員公司的管理人員、全職及 of any member of the Group. Under the Pre-IPO Share Option 兼職僱員。根據首次公開發售前購股權計 Scheme, there is no specific limit on the maximum number of 劃，並無就可授予單一合資格參與者的最 Shares which may be granted to a single eligible participant. 高股份數目設定任何特定限額。首次公開 All options under the Pre-IPO Share O</t>
        </is>
      </c>
    </row>
    <row r="141">
      <c r="A141" s="8" t="inlineStr">
        <is>
          <t>Share-based Payment</t>
        </is>
      </c>
      <c r="B141" s="8" t="inlineStr">
        <is>
          <t>以股份為基礎的付款</t>
        </is>
      </c>
      <c r="C141" s="8" t="inlineStr">
        <is>
          <t>medium</t>
        </is>
      </c>
      <c r="D141" s="11" t="inlineStr">
        <is>
          <t>share option</t>
        </is>
      </c>
      <c r="E141" s="11" t="inlineStr">
        <is>
          <t>PDF p.55 (印刷頁 54)</t>
        </is>
      </c>
      <c r="F141" s="11" t="inlineStr">
        <is>
          <t>ORT 董事會報告 The table below shows details of the movements during the 下表載列截至2026年3月31日止年度根據首 year ended 31 March 2026 in the number of share options 次公開發售前購股權計劃授出的購股權數目 granted under the Pre-IPO Share Option Scheme: 的變動詳情： Outstanding Granted prior Exercised during Cancelled during Lapsed during as at 31 Name or category of grantees Date of grant to 1 April 2025 the year the year the year March 2026 於2026年 於2025年 3月31日 承授人姓名或類別 授出日期 4月1日前授出 年內行使 年內註銷 年內失效 尚未行使 Directors 董事 Lam King 8 July 2024 6,380,000 6,380,000 – – – 林荊 2024年7月</t>
        </is>
      </c>
    </row>
    <row r="142">
      <c r="A142" s="8" t="inlineStr">
        <is>
          <t>Share-based Payment</t>
        </is>
      </c>
      <c r="B142" s="8" t="inlineStr">
        <is>
          <t>以股份為基礎的付款</t>
        </is>
      </c>
      <c r="C142" s="8" t="inlineStr">
        <is>
          <t>medium</t>
        </is>
      </c>
      <c r="D142" s="11" t="inlineStr">
        <is>
          <t>share option</t>
        </is>
      </c>
      <c r="E142" s="11" t="inlineStr">
        <is>
          <t>PDF p.56 (印刷頁 55)</t>
        </is>
      </c>
      <c r="F142" s="11" t="inlineStr">
        <is>
          <t>DIRECTORS’ REPORT 董事會報告 (a) Purpose (a) 目的 The purpose of the Post-IPO Share Option Scheme is to 首次公開發售後購股權計劃旨在向合 give the Eligible Participants (as defined in the following 資格參與者（定義見下段）提供於本 paragraph) an opportunity to have a personal stake in 公司擁有個人權益的機會，並激勵彼 the Company and help motivate them to optimize their 等致力提升未來彼等對本集團的貢獻 future contributions to the Group and/or to reward 及╱或答謝彼等過去的貢獻，吸納 them for their past contributions, to attract and retain 及挽留或以其他方式與對本集團的</t>
        </is>
      </c>
    </row>
    <row r="143">
      <c r="A143" s="8" t="inlineStr">
        <is>
          <t>Share-based Payment</t>
        </is>
      </c>
      <c r="B143" s="8" t="inlineStr">
        <is>
          <t>以股份為基礎的付款</t>
        </is>
      </c>
      <c r="C143" s="8" t="inlineStr">
        <is>
          <t>medium</t>
        </is>
      </c>
      <c r="D143" s="11" t="inlineStr">
        <is>
          <t>share option</t>
        </is>
      </c>
      <c r="E143" s="11" t="inlineStr">
        <is>
          <t>PDF p.57 (印刷頁 56)</t>
        </is>
      </c>
      <c r="F143" s="11" t="inlineStr">
        <is>
          <t>umber of Shares which may be issued 因根據首次公開發售後購股權計劃及 upon exercise of all options to be granted under the Post- 本公司任何其他計劃將予授出的所有 IPO Share Option Scheme and any other schemes of the 購股權獲行使而可予發行的最高股份 Company, shall not in aggregate exceed 133,340,000 數目，合共不得超過133,340,000股 Shares, being 10% of the Shares in issue (excluding 股份，即上市日期已發行股份（不包 treasury shares) as at the Listing Date. 括庫存股份）的10%。 As of 31 March 2026, no options had been granted or 於2026年3月31日，概無根據首次公 agreed to be granted pursuant to the Post-IPO Share 開發售後購股權計劃授出或同意授</t>
        </is>
      </c>
    </row>
    <row r="144">
      <c r="A144" s="8" t="inlineStr">
        <is>
          <t>Share-based Payment</t>
        </is>
      </c>
      <c r="B144" s="8" t="inlineStr">
        <is>
          <t>以股份為基礎的付款</t>
        </is>
      </c>
      <c r="C144" s="8" t="inlineStr">
        <is>
          <t>medium</t>
        </is>
      </c>
      <c r="D144" s="11" t="inlineStr">
        <is>
          <t>share option</t>
        </is>
      </c>
      <c r="E144" s="11" t="inlineStr">
        <is>
          <t>PDF p.58 (印刷頁 57)</t>
        </is>
      </c>
      <c r="F144" s="11" t="inlineStr">
        <is>
          <t>ions, restrictions or limitations 首次公開發售後購股權計劃所載者 in relation thereto in addition to those set out in the Post- 外，就有關授出施加董事會認為適當 IPO Share Option Scheme as the Board may think fit (to 的任何條件、限制或限額（須於載有 be stated in the letter containing the offer of the grant of 授出購股權要約的函件內列明），包括 the Option) including (without prejudice to the generality （在不影響前述一般性的情況下）有關 of the foregoing) qualifying and/or continuing eligibility 本集團及╱或承授人達成績效、營運 criteria, conditions, restrictions or limitations relating to 或財務目標，承授人令人滿意地履行 the achievement of pe</t>
        </is>
      </c>
    </row>
    <row r="145">
      <c r="A145" s="8" t="inlineStr">
        <is>
          <t>Share-based Payment</t>
        </is>
      </c>
      <c r="B145" s="8" t="inlineStr">
        <is>
          <t>以股份為基礎的付款</t>
        </is>
      </c>
      <c r="C145" s="8" t="inlineStr">
        <is>
          <t>medium</t>
        </is>
      </c>
      <c r="D145" s="11" t="inlineStr">
        <is>
          <t>share option</t>
        </is>
      </c>
      <c r="E145" s="11" t="inlineStr">
        <is>
          <t>PDF p.59 (印刷頁 58)</t>
        </is>
      </c>
      <c r="F145" s="11" t="inlineStr">
        <is>
          <t>o 納，惟不得於首次公開發售後購股權 such grant of an Option may be accepted after the expiry 計劃有效期屆滿後或首次公開發售後 of the effective period of the Post-IPO Share Option 購股權計劃終止後接納授出任何購股 Scheme or after the Post-IPO Share Option Scheme has 權。倘承授人妥為簽署載有接納購股 been terminated. An Option shall be deemed to have 權要約的授出函副本，連同作為授出 been granted and accepted by the Eligible Participant 代價而向本公司支付的1.00 港元款 and to have taken effect when the duplicate grant letter 項，於相關合資格參與者須接納購股 comprising acceptance of the offer of the Option duly 權要約當日或之前（即不遲於要約日 signed by the</t>
        </is>
      </c>
    </row>
    <row r="146">
      <c r="A146" s="8" t="inlineStr">
        <is>
          <t>Share-based Payment</t>
        </is>
      </c>
      <c r="B146" s="8" t="inlineStr">
        <is>
          <t>以股份為基礎的付款</t>
        </is>
      </c>
      <c r="C146" s="8" t="inlineStr">
        <is>
          <t>medium</t>
        </is>
      </c>
      <c r="D146" s="11" t="inlineStr">
        <is>
          <t>share option</t>
        </is>
      </c>
      <c r="E146" s="11" t="inlineStr">
        <is>
          <t>PDF p.60 (印刷頁 59)</t>
        </is>
      </c>
      <c r="F146" s="11" t="inlineStr">
        <is>
          <t>DIRECTORS’ REPORT 董事會報告 (h) Life of the Post-IPO Share Option Scheme (h) 首次公開發售後購股權計劃的有效期 Subject to the terms of the Post-IPO Share Option Scheme, 在首次公開發售後購股權計劃條款的 it shall be valid and effective for a period of 10 years 規限下，該計劃自其採納日期起計10 from the date of its adoption, i.e. until 5 June 2035, after 年期間內有效及具效力，即直至2035 which no further options will be granted or offered but 年6月5日止，其後將不會進一步授出 the provisions of the Post-IPO Share Option Scheme shal</t>
        </is>
      </c>
    </row>
    <row r="147">
      <c r="A147" s="8" t="inlineStr">
        <is>
          <t>Share-based Payment</t>
        </is>
      </c>
      <c r="B147" s="8" t="inlineStr">
        <is>
          <t>以股份為基礎的付款</t>
        </is>
      </c>
      <c r="C147" s="8" t="inlineStr">
        <is>
          <t>medium</t>
        </is>
      </c>
      <c r="D147" s="11" t="inlineStr">
        <is>
          <t>購股權</t>
        </is>
      </c>
      <c r="E147" s="11" t="inlineStr">
        <is>
          <t>PDF p.217 (印刷頁 216)</t>
        </is>
      </c>
      <c r="F147" s="11" t="inlineStr">
        <is>
          <t>n listing 上市時發行股份 304 876,584 – – – – 876,888 Share issuance costs 股份發行成本 – (26,954) – – – – (26,954) Issuance of shares from share 因購股權獲行使而發行股份 options 23 27,538 – – (25,331) – 2,230 Dividends paid (Note 14) 已付股息（附註14） – – – – – (218,051) (218,051) Total transactions with owners 與擁有人進行的交易總額 1,240 876,255 – – (25,331) (218,051) 634,113 Balance at 31 March 2026 2026年3月31日的結餘 1,240 876,255 (109,455) 4,782 1,183 732,959 1,506,964 * The amount as at 31 March 2025 was below RMB1,000. * 於2025年3月31日的金額低於人民幣1,000元。 216 Eternal Beauty H</t>
        </is>
      </c>
    </row>
    <row r="148">
      <c r="A148" s="8" t="inlineStr">
        <is>
          <t>Share-based Payment</t>
        </is>
      </c>
      <c r="B148" s="8" t="inlineStr">
        <is>
          <t>以股份為基礎的付款</t>
        </is>
      </c>
      <c r="C148" s="8" t="inlineStr">
        <is>
          <t>medium</t>
        </is>
      </c>
      <c r="D148" s="11" t="inlineStr">
        <is>
          <t>share option</t>
        </is>
      </c>
      <c r="E148" s="11" t="inlineStr">
        <is>
          <t>PDF p.218 (印刷頁 217)</t>
        </is>
      </c>
      <c r="F148" s="11" t="inlineStr">
        <is>
          <t>) (218,051) (75,562) Gross proceeds from issuance of ordinary 上市時發行普通股所得款項總額 shares upon listing 876,888 – Proceeds from exercise of share options 行使購股權所得款項 2,230 – Advance from a shareholder 一名股東墊款 31(c) – 273 Repayment to related parties 償還關聯方款項 31(c) – (7,528) Advance from a director 一名董事墊款 31(c) – 46 Repayment to a director 償還一名董事款項 31(c) (116,281) (213) Payment of listing expenses 上市開支付款 (20,415) (5,517) Net cash generated from/(used in) financing 融資活動所得╱（所用）現金淨 activities 額 451,081 (132,786) Net increase in cash and cash</t>
        </is>
      </c>
    </row>
    <row r="149">
      <c r="A149" s="8" t="inlineStr">
        <is>
          <t>Share-based Payment</t>
        </is>
      </c>
      <c r="B149" s="8" t="inlineStr">
        <is>
          <t>以股份為基礎的付款</t>
        </is>
      </c>
      <c r="C149" s="8" t="inlineStr">
        <is>
          <t>medium</t>
        </is>
      </c>
      <c r="D149" s="11" t="inlineStr">
        <is>
          <t>share option</t>
        </is>
      </c>
      <c r="E149" s="11" t="inlineStr">
        <is>
          <t>PDF p.259 (印刷頁 258)</t>
        </is>
      </c>
      <c r="F149" s="11" t="inlineStr">
        <is>
          <t>g 攤薄普通股，透過調整已發行在外 to assume conversion of all dilutive potential ordinary 的普通股加權平均數計算。本公司有 shares. The Company has one category from share option 一類來自購股權的潛在攤薄普通股 of potentially dilutive ordinary shares (2025: Nil). （2025年：無）。 For the year ended 31 March 2026, the calculation of 截至2026年3月31日止年度，每股攤 diluted earnings per share was based on the profit 薄盈利乃基於本公司擁有人應佔溢利 attributable to owners of the Company and the adjusted 及經調整已發行在外普通股加權平均 weighted average number of ordinary shares outstanding 數（假設所有潛在攤薄普通股均已轉 assuming the conversio</t>
        </is>
      </c>
    </row>
    <row r="150">
      <c r="A150" s="8" t="inlineStr">
        <is>
          <t>Share-based Payment</t>
        </is>
      </c>
      <c r="B150" s="8" t="inlineStr">
        <is>
          <t>以股份為基礎的付款</t>
        </is>
      </c>
      <c r="C150" s="8" t="inlineStr">
        <is>
          <t>medium</t>
        </is>
      </c>
      <c r="D150" s="11" t="inlineStr">
        <is>
          <t>share-based payment</t>
        </is>
      </c>
      <c r="E150" s="11" t="inlineStr">
        <is>
          <t>PDF p.260 (印刷頁 259)</t>
        </is>
      </c>
      <c r="F150" s="11" t="inlineStr">
        <is>
          <t>cial year, approved and paid during the 末期股息每股普通股12.9港 year, of HK12.9 cents (2025: Nil) per ordinary 仙（2025年：無） share 120,000 – 15. SHARE-BASED PAYMENTS 15. 以股份為基礎的付款 The Group has approved and adopted a Pre-IPO share 本集團根據於2019年通過的股東決議案 option plan (“Pre-IPO ESOP”) under Eternal BVI pursuant to 批准並採納Eternal BVI項下首次公開發 a shareholder’s resolution passed in 2019. Share options 售前購股權計劃（「首次公開發售前僱員 were granted on 1 December 2019 and 31 March 2024 to 購股權計劃」）。購股權已於2019年12月 attract, retain and motivate the grantees to strive for futu</t>
        </is>
      </c>
    </row>
    <row r="151">
      <c r="A151" s="8" t="inlineStr">
        <is>
          <t>Share-based Payment</t>
        </is>
      </c>
      <c r="B151" s="8" t="inlineStr">
        <is>
          <t>以股份為基礎的付款</t>
        </is>
      </c>
      <c r="C151" s="8" t="inlineStr">
        <is>
          <t>medium</t>
        </is>
      </c>
      <c r="D151" s="11" t="inlineStr">
        <is>
          <t>share-based payment</t>
        </is>
      </c>
      <c r="E151" s="11" t="inlineStr">
        <is>
          <t>PDF p.261 (印刷頁 260)</t>
        </is>
      </c>
      <c r="F151" s="11" t="inlineStr">
        <is>
          <t>NOTES TO THE CONSOLIDATED FINANCIAL STATEMENTS 綜合財務報表附註 FOR THE YEAR ENDED 31 MARCH 2026 截至2026 年3 月31 日止年度 15. SHARE-BASED PAYMENTS (CONTINUED) 15. 以股份為基礎的付款（續） The grantee needs to inform Eternal BVI 28 days before they 承授人需於行使購股權前2 8 日通知 exercise their share options. The Group does not have a legal Eternal BVI。本集團概無以現金回購或 or constructive obligation to repurchase or settle the options 結算購股權的法律或推定責任。 in cash. The fair values of services received in return for share options 因授出購股權而獲得的服務的公允價值乃 granted are me</t>
        </is>
      </c>
    </row>
    <row r="152">
      <c r="A152" s="8" t="inlineStr">
        <is>
          <t>Share-based Payment</t>
        </is>
      </c>
      <c r="B152" s="8" t="inlineStr">
        <is>
          <t>以股份為基礎的付款</t>
        </is>
      </c>
      <c r="C152" s="8" t="inlineStr">
        <is>
          <t>medium</t>
        </is>
      </c>
      <c r="D152" s="11" t="inlineStr">
        <is>
          <t>share-based payment</t>
        </is>
      </c>
      <c r="E152" s="11" t="inlineStr">
        <is>
          <t>PDF p.262 (印刷頁 261)</t>
        </is>
      </c>
      <c r="F152" s="11" t="inlineStr">
        <is>
          <t>NOTES TO THE CONSOLIDATED FINANCIAL STATEMENTS 綜合財務報表附註 FOR THE YEAR ENDED 31 MARCH 2026 截至2026 年3 月31 日止年度 15. SHARE-BASED PAYMENTS (CONTINUED) 15. 以股份為基礎的付款（續） Details of the movement of share options during the year are 年內購股權變動詳情如下： as follows: 2026 2025 2026年 2025年 Weighted Weighted Number of average Number of average share options exercise price share options exercise price 購股權數目加權平均行使價 購股權數目加權平均行使價 HK$ HK$ 港元 港元 Outstanding at the beginning 年初尚未行使 of the year 26,194,000 0.1 26,194,000 0.1 Exercised du</t>
        </is>
      </c>
    </row>
    <row r="153">
      <c r="A153" s="8" t="inlineStr">
        <is>
          <t>Share-based Payment</t>
        </is>
      </c>
      <c r="B153" s="8" t="inlineStr">
        <is>
          <t>以股份為基礎的付款</t>
        </is>
      </c>
      <c r="C153" s="8" t="inlineStr">
        <is>
          <t>medium</t>
        </is>
      </c>
      <c r="D153" s="11" t="inlineStr">
        <is>
          <t>share-based payment</t>
        </is>
      </c>
      <c r="E153" s="11" t="inlineStr">
        <is>
          <t>PDF p.263 (印刷頁 262)</t>
        </is>
      </c>
      <c r="F153" s="11" t="inlineStr">
        <is>
          <t>NOTES TO THE CONSOLIDATED FINANCIAL STATEMENTS 綜合財務報表附註 FOR THE YEAR ENDED 31 MARCH 2026 截至2026 年3 月31 日止年度 15. SHARE-BASED PAYMENTS (CONTINUED) 15. 以股份為基礎的付款（續） Accounting policies for share-based payments 以股份為基礎的付款的會計政策 The Group operates an equity-settled share-based 本集團設有一項以權益結算以股份為基礎 compensation plan (i.e. share option scheme), under which 的薪酬計劃（即購股權計劃），據此，本 the Group receives services from employees, as consideration 集團接受僱員的服務，作為本公司權益工 for equity instruments of the Company. Share options granted 具的代價</t>
        </is>
      </c>
    </row>
    <row r="154">
      <c r="A154" s="8" t="inlineStr">
        <is>
          <t>Share-based Payment</t>
        </is>
      </c>
      <c r="B154" s="8" t="inlineStr">
        <is>
          <t>以股份為基礎的付款</t>
        </is>
      </c>
      <c r="C154" s="8" t="inlineStr">
        <is>
          <t>medium</t>
        </is>
      </c>
      <c r="D154" s="11" t="inlineStr">
        <is>
          <t>無風險利率</t>
        </is>
      </c>
      <c r="E154" s="11" t="inlineStr">
        <is>
          <t>PDF p.270 (印刷頁 269)</t>
        </is>
      </c>
      <c r="F154" s="11" t="inlineStr">
        <is>
          <t>所持 interest rate adjusted for credit risk for leases held 有租賃的信貸風險（最近並無第三 by the Group, which does not have recent third party 方融資）調整無風險利率；及 financing; and • makes adjustments specific to the lease, e.g., term, • 進行租賃特定的調整，例如期 country, currency and security. 限、國家、貨幣及抵押。 Lease payments are allocated between principal and 租賃付款於本金及融資成本之間作出 finance cost. The finance cost is charged to profit or loss 分配。融資成本於租期內計入損益， over the lease period so as to produce a constant periodic 以計算出各期間負債結餘的固定週期 rate of interest on the remaining balance</t>
        </is>
      </c>
    </row>
    <row r="155">
      <c r="A155" s="8" t="inlineStr">
        <is>
          <t>Share-based Payment</t>
        </is>
      </c>
      <c r="B155" s="8" t="inlineStr">
        <is>
          <t>以股份為基礎的付款</t>
        </is>
      </c>
      <c r="C155" s="8" t="inlineStr">
        <is>
          <t>medium</t>
        </is>
      </c>
      <c r="D155" s="11" t="inlineStr">
        <is>
          <t>share option</t>
        </is>
      </c>
      <c r="E155" s="11" t="inlineStr">
        <is>
          <t>PDF p.279 (印刷頁 278)</t>
        </is>
      </c>
      <c r="F155" s="11" t="inlineStr">
        <is>
          <t>i)） 999,999,998 1,000 913 Issuance of shares upon listing (Note (iii)) 於上市時發行股份（附註(iii)） 333,400,000 333 304 Issuance of shares from share options 因購股權發行股份 24,600,000 25 23 As at 31 March 2026 於2026年3月31日 1,358,000,000 1,358 1,240 * The amounts as at 31 March 2025 were below RMB1,000. * 於2025年3月31日的金額低於人民幣1,000元。 278 Eternal Beauty Holdings Limited Annual Report 2025/26</t>
        </is>
      </c>
    </row>
    <row r="156">
      <c r="A156" s="8" t="inlineStr">
        <is>
          <t>Share-based Payment</t>
        </is>
      </c>
      <c r="B156" s="8" t="inlineStr">
        <is>
          <t>以股份為基礎的付款</t>
        </is>
      </c>
      <c r="C156" s="8" t="inlineStr">
        <is>
          <t>medium</t>
        </is>
      </c>
      <c r="D156" s="11" t="inlineStr">
        <is>
          <t>share option</t>
        </is>
      </c>
      <c r="E156" s="11" t="inlineStr">
        <is>
          <t>PDF p.305 (印刷頁 304)</t>
        </is>
      </c>
      <c r="F156" s="11" t="inlineStr">
        <is>
          <t>ules 「標準守則」 指 上市規則附錄C3所載上市發行人董事進行證券交易的標準守則 “Nomination Committee” the nomination committee of the Board 「提名委員會」 指 董事會提名委員會 “Post-IPO Share Option Scheme” the share option scheme adopted and approved by the Shareholders on June 6, 2025 and effective from the Listing Date 「首次公開發售後購股權計劃」 指 股東於2025年6月6日採納及批准並自上市日期起生效的購股權計劃 “Pre-IPO Share Option Scheme” the share option scheme adopted and approved by the Shareholders on June 18, 2024 「首次公開發售前購股權計劃」 指 股東於2024年6月18日採納及批准的購股權計劃 “Prospectus” the prospectus of the Company dated 13 March</t>
        </is>
      </c>
    </row>
    <row r="157">
      <c r="A157" s="8" t="inlineStr">
        <is>
          <t>Related Party Transactions</t>
        </is>
      </c>
      <c r="B157" s="8" t="inlineStr">
        <is>
          <t>關聯方交易</t>
        </is>
      </c>
      <c r="C157" s="8" t="inlineStr">
        <is>
          <t>low</t>
        </is>
      </c>
      <c r="D157" s="11" t="inlineStr">
        <is>
          <t>related party</t>
        </is>
      </c>
      <c r="E157" s="11" t="inlineStr">
        <is>
          <t>PDF p.61 (印刷頁 60)</t>
        </is>
      </c>
      <c r="F157" s="11" t="inlineStr">
        <is>
          <t>rting, announcement, annual 批准規定。 review and independent Shareholders’ approval requirements under Chapter 14A of the Listing Rules. RELATED PARTY TRANSACTIONS 關聯方交易 Details of the related party transactions of the Group for the year 本集團截至2026年3月31日止年度的關聯方 ended 31 March 2026 are set out in Note 33 to the consolidated 交易詳情載於本年報所載綜合財務報表附註 financial statements contained in this Annual Report. 33。 None of the related party transactions constituted a connected 概無關聯方交易構成須遵守獨立股東批准、 transaction or continuing connected transaction subj</t>
        </is>
      </c>
    </row>
    <row r="158">
      <c r="A158" s="8" t="inlineStr">
        <is>
          <t>Related Party Transactions</t>
        </is>
      </c>
      <c r="B158" s="8" t="inlineStr">
        <is>
          <t>關聯方交易</t>
        </is>
      </c>
      <c r="C158" s="8" t="inlineStr">
        <is>
          <t>low</t>
        </is>
      </c>
      <c r="D158" s="11" t="inlineStr">
        <is>
          <t>connected transaction</t>
        </is>
      </c>
      <c r="E158" s="11" t="inlineStr">
        <is>
          <t>PDF p.76 (印刷頁 75)</t>
        </is>
      </c>
      <c r="F158" s="11" t="inlineStr">
        <is>
          <t>n the transaction should 席該董事會會議。於2026年4月1日，持續 be present at that board meeting. On 1 April 2026, the continuing 關連交易及關連交易乃以書面決議案而非董 connected transactions and connected transactions were dealt 事會實體會議方式處理。詳情請參閱本公 by written resolutions instead of physical board meeting. Please 司日期為2026年4月1日的公告。董事會認 refer to the Company’s announcement dated 1 April 2026 for 為：(1)租賃協議的條款乃按一般商業條款訂 details. The Board considered that (1) the terms of the tenancy 立，且租賃協議的相關協議條款（包括相關年 agreements are on normal commercial terms, and the relevant 度上限）屬公平</t>
        </is>
      </c>
    </row>
    <row r="159">
      <c r="A159" s="8" t="inlineStr">
        <is>
          <t>Related Party Transactions</t>
        </is>
      </c>
      <c r="B159" s="8" t="inlineStr">
        <is>
          <t>關聯方交易</t>
        </is>
      </c>
      <c r="C159" s="8" t="inlineStr">
        <is>
          <t>low</t>
        </is>
      </c>
      <c r="D159" s="11" t="inlineStr">
        <is>
          <t>關連交易</t>
        </is>
      </c>
      <c r="E159" s="11" t="inlineStr">
        <is>
          <t>PDF p.99 (印刷頁 98)</t>
        </is>
      </c>
      <c r="F159" s="11" t="inlineStr">
        <is>
          <t>internal control self-assessments and external audits, and report to the Audit Committee. 合規風險 違反上市規則、法律法規、監 1 定期自查上市規則及企業管治守則，重點監控：關連交易、內幕信息 管要求、行業準則及公司內部 管理、披露合規； 制度導致處罰、損失等風險。 2 完善內控流程，覆蓋採購、銷售、資金、財務、信息披露全流程； 3 每年開展內控自評+ 外部審計，向審核委員會匯報。 98 Eternal Beauty Holdings Limited Annual Report 2025/26</t>
        </is>
      </c>
    </row>
    <row r="160">
      <c r="A160" s="8" t="inlineStr">
        <is>
          <t>Related Party Transactions</t>
        </is>
      </c>
      <c r="B160" s="8" t="inlineStr">
        <is>
          <t>關聯方交易</t>
        </is>
      </c>
      <c r="C160" s="8" t="inlineStr">
        <is>
          <t>low</t>
        </is>
      </c>
      <c r="D160" s="11" t="inlineStr">
        <is>
          <t>connected transaction</t>
        </is>
      </c>
      <c r="E160" s="11" t="inlineStr">
        <is>
          <t>PDF p.100 (印刷頁 99)</t>
        </is>
      </c>
      <c r="F160" s="11" t="inlineStr">
        <is>
          <t>ion); governance (internal control deficiencies, non-standard 3 Establish social responsibility audits of the supply chain, prohibit connected transactions) and child labour and forced labour, and promote fair trade; other matters. 4 Strengthen the functions of the Audit Committee, Nomination Committee, Remuneration Committee and Environmental, Social and Governance Committee; 5 Regulate connected transactions, use of funds and external guarantees, and prevent improper transfers of benefits. ESG風險 環境（污染、資源消耗）、社會 1 推行綠色包裝、低碳物流、節</t>
        </is>
      </c>
    </row>
    <row r="161">
      <c r="A161" s="8" t="inlineStr">
        <is>
          <t>Related Party Transactions</t>
        </is>
      </c>
      <c r="B161" s="8" t="inlineStr">
        <is>
          <t>關聯方交易</t>
        </is>
      </c>
      <c r="C161" s="8" t="inlineStr">
        <is>
          <t>low</t>
        </is>
      </c>
      <c r="D161" s="11" t="inlineStr">
        <is>
          <t>關聯方</t>
        </is>
      </c>
      <c r="E161" s="11" t="inlineStr">
        <is>
          <t>PDF p.218 (印刷頁 217)</t>
        </is>
      </c>
      <c r="F161" s="11" t="inlineStr">
        <is>
          <t>oceeds from exercise of share options 行使購股權所得款項 2,230 – Advance from a shareholder 一名股東墊款 31(c) – 273 Repayment to related parties 償還關聯方款項 31(c) – (7,528) Advance from a director 一名董事墊款 31(c) – 46 Repayment to a director 償還一名董事款項 31(c) (116,281) (213) Payment of listing expenses 上市開支付款 (20,415) (5,517) Net cash generated from/(used in) financing 融資活動所得╱（所用）現金淨 activities 額 451,081 (132,786) Net increase in cash and cash equivalents 現金及現金等價物增加淨額 553,418 95,402 Effect of foreign exchange rate changes 外匯匯率變動的影響 (68,426) 9,667 Cash</t>
        </is>
      </c>
    </row>
    <row r="162">
      <c r="A162" s="8" t="inlineStr">
        <is>
          <t>Related Party Transactions</t>
        </is>
      </c>
      <c r="B162" s="8" t="inlineStr">
        <is>
          <t>關聯方交易</t>
        </is>
      </c>
      <c r="C162" s="8" t="inlineStr">
        <is>
          <t>low</t>
        </is>
      </c>
      <c r="D162" s="11" t="inlineStr">
        <is>
          <t>related party</t>
        </is>
      </c>
      <c r="E162" s="11" t="inlineStr">
        <is>
          <t>PDF p.287 (印刷頁 286)</t>
        </is>
      </c>
      <c r="F162" s="11" t="inlineStr">
        <is>
          <t>remises and warehouses as follows: 如下： 2026 2025 2026年 2025年 RMB’000 RMB’000 人民幣千元 人民幣千元 No later than 1 year 不超過一年 8,785 15,700 33. RELATED PARTY TRANSACTIONS 33. 關聯方交易 Parties are considered to be related if one party has the 倘一方有能力直接或間接控制另一方或對 ability, directly or indirectly, control the other party or exercise 另一方在作出財務及經營決策時施加重大 significant influence over the other party in making financial 影響，則各方被視為關聯方。受共同控制 and operation decisions. Parties are also considered to be 的各方亦被視為關聯方。本集團的主要管 related if they are subject to common</t>
        </is>
      </c>
    </row>
    <row r="163">
      <c r="A163" s="8" t="inlineStr">
        <is>
          <t>Related Party Transactions</t>
        </is>
      </c>
      <c r="B163" s="8" t="inlineStr">
        <is>
          <t>關聯方交易</t>
        </is>
      </c>
      <c r="C163" s="8" t="inlineStr">
        <is>
          <t>low</t>
        </is>
      </c>
      <c r="D163" s="11" t="inlineStr">
        <is>
          <t>related party</t>
        </is>
      </c>
      <c r="E163" s="11" t="inlineStr">
        <is>
          <t>PDF p.288 (印刷頁 287)</t>
        </is>
      </c>
      <c r="F163" s="11" t="inlineStr">
        <is>
          <t>NOTES TO THE CONSOLIDATED FINANCIAL STATEMENTS 綜合財務報表附註 FOR THE YEAR ENDED 31 MARCH 2026 截至2026 年3 月31 日止年度 33. RELATED PARTY TRANSACTIONS (CONTINUED) 33. 關聯方交易（續） (a) The directors of the Company are of the view that the (a) 本公司董事認為，以下各方╱公司 following parties/companies were related parties that 為年內與本集團有交易或結餘的關聯 had transactions or balances with the Group for the year: 方： Name of related parties Relationship with the Company 關聯方名稱 與本公司的關係 Mr. Lau Chairman, executive director and controlling shareholder 劉先生 主</t>
        </is>
      </c>
    </row>
    <row r="164">
      <c r="A164" s="8" t="inlineStr">
        <is>
          <t>Related Party Transactions</t>
        </is>
      </c>
      <c r="B164" s="8" t="inlineStr">
        <is>
          <t>關聯方交易</t>
        </is>
      </c>
      <c r="C164" s="8" t="inlineStr">
        <is>
          <t>low</t>
        </is>
      </c>
      <c r="D164" s="11" t="inlineStr">
        <is>
          <t>related party</t>
        </is>
      </c>
      <c r="E164" s="11" t="inlineStr">
        <is>
          <t>PDF p.289 (印刷頁 288)</t>
        </is>
      </c>
      <c r="F164" s="11" t="inlineStr">
        <is>
          <t>NOTES TO THE CONSOLIDATED FINANCIAL STATEMENTS 綜合財務報表附註 FOR THE YEAR ENDED 31 MARCH 2026 截至2026 年3 月31 日止年度 33. RELATED PARTY TRANSACTIONS (CONTINUED) 33. 關聯方交易（續） (b) The following transactions were carried out with related (b) 以下為與關聯方進行的交易：（續） parties: (Continued) The transactions are conducted in the normal course of 該等交易乃於日常業務過程中按本集 business at prices and terms as agreed between the Group 團與關聯方協定的價格及條款進行。 and the related parties. (c) Key management compensation (c) 主要管理層薪酬 The directors of the Company 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pane ySplit="16" topLeftCell="A1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Balance Sheet</t>
        </is>
      </c>
      <c r="B8" s="8" t="inlineStr">
        <is>
          <t>Goodwill</t>
        </is>
      </c>
    </row>
    <row r="9">
      <c r="A9" s="8" t="inlineStr">
        <is>
          <t>Balance Sheet</t>
        </is>
      </c>
      <c r="B9" s="8" t="inlineStr">
        <is>
          <t>Investment Properties</t>
        </is>
      </c>
    </row>
    <row r="10">
      <c r="A10" s="8" t="inlineStr">
        <is>
          <t>Cash Flow</t>
        </is>
      </c>
      <c r="B10" s="8" t="inlineStr">
        <is>
          <t>Financing Cash Flow</t>
        </is>
      </c>
    </row>
    <row r="13">
      <c r="A13" s="5" t="inlineStr">
        <is>
          <t>二、文字量過低的頁面(疑似掃描頁)</t>
        </is>
      </c>
    </row>
    <row r="14">
      <c r="A14" s="2" t="inlineStr">
        <is>
          <t>這些頁面幾乎抓不到文字,通常是掃描件或純圖表,建議人手翻閱或另行 OCR。</t>
        </is>
      </c>
    </row>
    <row r="16">
      <c r="A16" s="7" t="inlineStr">
        <is>
          <t>PDF 頁碼</t>
        </is>
      </c>
      <c r="B16" s="7" t="inlineStr">
        <is>
          <t>狀態</t>
        </is>
      </c>
    </row>
    <row r="17">
      <c r="A17" s="8" t="n">
        <v>1</v>
      </c>
      <c r="B17" s="8" t="inlineStr">
        <is>
          <t>文字量過低 — 可能為掃描頁/圖表頁</t>
        </is>
      </c>
    </row>
    <row r="18">
      <c r="A18" s="8" t="n">
        <v>40</v>
      </c>
      <c r="B18" s="8" t="inlineStr">
        <is>
          <t>文字量過低 — 可能為掃描頁/圖表頁</t>
        </is>
      </c>
    </row>
    <row r="19">
      <c r="A19" s="8" t="n">
        <v>306</v>
      </c>
      <c r="B19"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2026-08-30T14:16:18Z</dcterms:created>
  <dcterms:modified xsi:type="dcterms:W3CDTF">2026-08-30T14:16:18Z</dcterms:modified>
</cp:coreProperties>
</file>
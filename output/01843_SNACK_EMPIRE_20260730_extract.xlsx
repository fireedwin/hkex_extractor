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01843_SNACK_EMPIRE_20260730.pdf</t>
        </is>
      </c>
    </row>
    <row r="5">
      <c r="A5" s="3" t="inlineStr">
        <is>
          <t>產生時間 Generated</t>
        </is>
      </c>
      <c r="B5" s="4" t="inlineStr">
        <is>
          <t>2026-08-30 22:15</t>
        </is>
      </c>
    </row>
    <row r="6">
      <c r="A6" s="4" t="inlineStr"/>
      <c r="B6" s="4" t="inlineStr"/>
    </row>
    <row r="7">
      <c r="A7" s="3" t="inlineStr">
        <is>
          <t>總頁數 Total pages</t>
        </is>
      </c>
      <c r="B7" s="4" t="n">
        <v>133</v>
      </c>
    </row>
    <row r="8">
      <c r="A8" s="3" t="inlineStr">
        <is>
          <t>已擷取字元 Characters extracted</t>
        </is>
      </c>
      <c r="B8" s="4" t="n">
        <v>339383</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21</v>
      </c>
    </row>
    <row r="14">
      <c r="A14" s="3" t="inlineStr">
        <is>
          <t>主題段落擷取筆數 Topic extracts</t>
        </is>
      </c>
      <c r="B14" s="4" t="n">
        <v>68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16,063 − 7,851 = 8,212</t>
        </is>
      </c>
    </row>
    <row r="20">
      <c r="A20" s="7" t="inlineStr">
        <is>
          <t>✗ 總資產 = 總負債 + 總權益</t>
        </is>
      </c>
      <c r="B20" s="4" t="inlineStr">
        <is>
          <t>37,270 vs 14,567 + 37,270 = 51,837</t>
        </is>
      </c>
    </row>
    <row r="21">
      <c r="A21" s="6" t="inlineStr">
        <is>
          <t>✓ 收入 − 銷售成本 = 毛利</t>
        </is>
      </c>
      <c r="B21" s="4" t="inlineStr">
        <is>
          <t>32,957 − 12,105 = 20,852 vs 毛利 20,852</t>
        </is>
      </c>
    </row>
    <row r="22">
      <c r="A22" s="6" t="inlineStr">
        <is>
          <t>✓ 除稅前溢利 ± 稅項 = 年內溢利</t>
        </is>
      </c>
      <c r="B22" s="4" t="inlineStr">
        <is>
          <t>-1,424 + 467 = -1,891 vs -1,891</t>
        </is>
      </c>
    </row>
    <row r="23">
      <c r="A23" s="6" t="inlineStr">
        <is>
          <t>✓ 三大報表應相鄰</t>
        </is>
      </c>
      <c r="B23" s="4" t="inlineStr">
        <is>
          <t>Income Statement: p.76、Balance Sheet: p.77、Cash Flow: p.80(相距 4 頁)</t>
        </is>
      </c>
    </row>
    <row r="25">
      <c r="A25" s="5" t="inlineStr">
        <is>
          <t>方法論 Methodology</t>
        </is>
      </c>
    </row>
    <row r="26">
      <c r="A26" s="4" t="inlineStr">
        <is>
          <t>1. 逐頁擷取文字,全程保留 PDF 頁碼與年報印刷頁碼(可追溯性)。</t>
        </is>
      </c>
    </row>
    <row r="27">
      <c r="A27" s="4" t="inlineStr">
        <is>
          <t>2. 規則層(正則/關鍵字)先把全份文件縮減為少數相關頁面 —— 解決「文件太大」。</t>
        </is>
      </c>
    </row>
    <row r="28">
      <c r="A28" s="4" t="inlineStr">
        <is>
          <t>3. 數字由正則精確擷取並做合理性檢查,不由語言模型生成 —— 解決「準確度」。</t>
        </is>
      </c>
    </row>
    <row r="29">
      <c r="A29" s="4" t="inlineStr">
        <is>
          <t>4. AI 僅在縮減後的頁面上做語意判斷,且輸出頁碼須通過驗證才保留。</t>
        </is>
      </c>
    </row>
    <row r="30">
      <c r="A30" s="4" t="inlineStr">
        <is>
          <t>5. 所有結果附來源頁碼與原文行,供估值師覆核。信心度為 Low 者建議人手確認。</t>
        </is>
      </c>
    </row>
    <row r="31">
      <c r="A31"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Discount Rate</t>
        </is>
      </c>
      <c r="B5" s="9" t="inlineStr">
        <is>
          <t>折現率</t>
        </is>
      </c>
      <c r="C5" s="10" t="n">
        <v>26</v>
      </c>
      <c r="D5" s="11" t="n">
        <v>26</v>
      </c>
      <c r="E5" s="12" t="inlineStr">
        <is>
          <t>026 %</t>
        </is>
      </c>
      <c r="F5" s="12" t="inlineStr">
        <is>
          <t>Medium</t>
        </is>
      </c>
      <c r="G5" s="12" t="inlineStr">
        <is>
          <t>PDF p.116 (印刷頁 115)</t>
        </is>
      </c>
      <c r="H5" s="12" t="inlineStr">
        <is>
          <t>e as follows: 2026 % Average revenue growth rate 7.00 Terminal growth rate 2.00 Discount rate 10.26 Based on the impairment assessment performed, the recoverable amounts of the relevant property, plant and equipment exceeded their carrying amounts. Acco</t>
        </is>
      </c>
    </row>
    <row r="6">
      <c r="A6" s="9" t="inlineStr">
        <is>
          <t>Gross Margin</t>
        </is>
      </c>
      <c r="B6" s="9" t="inlineStr">
        <is>
          <t>毛利率</t>
        </is>
      </c>
      <c r="C6" s="10" t="n">
        <v>63</v>
      </c>
      <c r="D6" s="11" t="n">
        <v>63</v>
      </c>
      <c r="E6" s="12" t="inlineStr">
        <is>
          <t>63%</t>
        </is>
      </c>
      <c r="F6" s="12" t="inlineStr">
        <is>
          <t>Medium</t>
        </is>
      </c>
      <c r="G6" s="12" t="inlineStr">
        <is>
          <t>PDF p.7 (印刷頁 6)</t>
        </is>
      </c>
      <c r="H6" s="12" t="inlineStr">
        <is>
          <t>e in cost of sales during the Year is in line with the increase in revenue with gross profit margin, staying relatively constant at approximately 63%. Gross profit The Group’s gross profit (which is equivalent to revenue subtracting the cost of sales) for the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2025 / 2026; Balance Sheet: 2025 / 2026; Cash Flow: 2025 / 2026</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32957</v>
      </c>
      <c r="D5" s="14" t="n">
        <v>29568</v>
      </c>
      <c r="E5" s="15">
        <f>IF(ISERROR((C5-D5)/ABS(D5)),"",(C5-D5)/ABS(D5))</f>
        <v>0.11461715367965368</v>
      </c>
      <c r="F5" s="12" t="inlineStr">
        <is>
          <t>PDF p.76 (印刷頁 75)</t>
        </is>
      </c>
      <c r="G5" s="12" t="inlineStr">
        <is>
          <t>Revenue 6 32,957 29,568</t>
        </is>
      </c>
    </row>
    <row r="6">
      <c r="A6" s="9" t="inlineStr">
        <is>
          <t>Income Statement</t>
        </is>
      </c>
      <c r="B6" s="9" t="inlineStr">
        <is>
          <t>Cost of Sales</t>
        </is>
      </c>
      <c r="C6" s="13" t="n">
        <v>-12105</v>
      </c>
      <c r="D6" s="14" t="n">
        <v>-10884</v>
      </c>
      <c r="E6" s="15">
        <f>IF(ISERROR((C6-D6)/ABS(D6)),"",(C6-D6)/ABS(D6))</f>
        <v>-0.11218302094818082</v>
      </c>
      <c r="F6" s="12" t="inlineStr">
        <is>
          <t>PDF p.76 (印刷頁 75)</t>
        </is>
      </c>
      <c r="G6" s="12" t="inlineStr">
        <is>
          <t>Cost of sales 9 (12,105) (10,884)</t>
        </is>
      </c>
    </row>
    <row r="7">
      <c r="A7" s="9" t="inlineStr">
        <is>
          <t>Income Statement</t>
        </is>
      </c>
      <c r="B7" s="9" t="inlineStr">
        <is>
          <t>Gross Profit</t>
        </is>
      </c>
      <c r="C7" s="13" t="n">
        <v>20852</v>
      </c>
      <c r="D7" s="14" t="n">
        <v>18684</v>
      </c>
      <c r="E7" s="15">
        <f>IF(ISERROR((C7-D7)/ABS(D7)),"",(C7-D7)/ABS(D7))</f>
        <v>0.11603511025476343</v>
      </c>
      <c r="F7" s="12" t="inlineStr">
        <is>
          <t>PDF p.76 (印刷頁 75)</t>
        </is>
      </c>
      <c r="G7" s="12" t="inlineStr">
        <is>
          <t>Gross profit 20,852 18,684</t>
        </is>
      </c>
    </row>
    <row r="8">
      <c r="A8" s="9" t="inlineStr">
        <is>
          <t>Income Statement</t>
        </is>
      </c>
      <c r="B8" s="9" t="inlineStr">
        <is>
          <t>Profit Before Tax</t>
        </is>
      </c>
      <c r="C8" s="13" t="n">
        <v>-1424</v>
      </c>
      <c r="D8" s="14" t="n">
        <v>-124</v>
      </c>
      <c r="E8" s="15">
        <f>IF(ISERROR((C8-D8)/ABS(D8)),"",(C8-D8)/ABS(D8))</f>
        <v>-10.483870967741936</v>
      </c>
      <c r="F8" s="12" t="inlineStr">
        <is>
          <t>PDF p.76 (印刷頁 75)</t>
        </is>
      </c>
      <c r="G8" s="12" t="inlineStr">
        <is>
          <t>Loss before income tax (1,424) (124)</t>
        </is>
      </c>
    </row>
    <row r="9">
      <c r="A9" s="9" t="inlineStr">
        <is>
          <t>Income Statement</t>
        </is>
      </c>
      <c r="B9" s="9" t="inlineStr">
        <is>
          <t>Income Tax</t>
        </is>
      </c>
      <c r="C9" s="13" t="n">
        <v>-467</v>
      </c>
      <c r="D9" s="14" t="n">
        <v>-359</v>
      </c>
      <c r="E9" s="15">
        <f>IF(ISERROR((C9-D9)/ABS(D9)),"",(C9-D9)/ABS(D9))</f>
        <v>-0.3008356545961003</v>
      </c>
      <c r="F9" s="12" t="inlineStr">
        <is>
          <t>PDF p.76 (印刷頁 75)</t>
        </is>
      </c>
      <c r="G9" s="12" t="inlineStr">
        <is>
          <t>Income tax expense 12 (467) (359)</t>
        </is>
      </c>
    </row>
    <row r="10">
      <c r="A10" s="9" t="inlineStr">
        <is>
          <t>Income Statement</t>
        </is>
      </c>
      <c r="B10" s="9" t="inlineStr">
        <is>
          <t>Profit for the Year</t>
        </is>
      </c>
      <c r="C10" s="13" t="n">
        <v>-1891</v>
      </c>
      <c r="D10" s="14" t="n">
        <v>-483</v>
      </c>
      <c r="E10" s="15">
        <f>IF(ISERROR((C10-D10)/ABS(D10)),"",(C10-D10)/ABS(D10))</f>
        <v>-2.9151138716356106</v>
      </c>
      <c r="F10" s="12" t="inlineStr">
        <is>
          <t>PDF p.76 (印刷頁 75)</t>
        </is>
      </c>
      <c r="G10" s="12" t="inlineStr">
        <is>
          <t>Loss for the year attributable to equity holders of the Company (1,891) (483)</t>
        </is>
      </c>
    </row>
    <row r="11">
      <c r="A11" s="9" t="inlineStr">
        <is>
          <t>Balance Sheet</t>
        </is>
      </c>
      <c r="B11" s="9" t="inlineStr">
        <is>
          <t>Property Plant and Equipment</t>
        </is>
      </c>
      <c r="C11" s="13" t="n">
        <v>21128</v>
      </c>
      <c r="D11" s="14" t="n">
        <v>10802</v>
      </c>
      <c r="E11" s="15">
        <f>IF(ISERROR((C11-D11)/ABS(D11)),"",(C11-D11)/ABS(D11))</f>
        <v>0.9559340862803185</v>
      </c>
      <c r="F11" s="12" t="inlineStr">
        <is>
          <t>PDF p.77 (印刷頁 76)</t>
        </is>
      </c>
      <c r="G11" s="12" t="inlineStr">
        <is>
          <t>Property, plant and equipment 14 21,128 10,802</t>
        </is>
      </c>
    </row>
    <row r="12">
      <c r="A12" s="9" t="inlineStr">
        <is>
          <t>Balance Sheet</t>
        </is>
      </c>
      <c r="B12" s="9" t="inlineStr">
        <is>
          <t>Intangible Assets</t>
        </is>
      </c>
      <c r="C12" s="13" t="n">
        <v>79</v>
      </c>
      <c r="D12" s="14" t="n">
        <v>114</v>
      </c>
      <c r="E12" s="15">
        <f>IF(ISERROR((C12-D12)/ABS(D12)),"",(C12-D12)/ABS(D12))</f>
        <v>-0.30701754385964913</v>
      </c>
      <c r="F12" s="12" t="inlineStr">
        <is>
          <t>PDF p.77 (印刷頁 76)</t>
        </is>
      </c>
      <c r="G12" s="12" t="inlineStr">
        <is>
          <t>Intangible assets 79 114</t>
        </is>
      </c>
    </row>
    <row r="13">
      <c r="A13" s="9" t="inlineStr">
        <is>
          <t>Balance Sheet</t>
        </is>
      </c>
      <c r="B13" s="9" t="inlineStr">
        <is>
          <t>Inventories</t>
        </is>
      </c>
      <c r="C13" s="13" t="n">
        <v>1687</v>
      </c>
      <c r="D13" s="14" t="n">
        <v>1516</v>
      </c>
      <c r="E13" s="15">
        <f>IF(ISERROR((C13-D13)/ABS(D13)),"",(C13-D13)/ABS(D13))</f>
        <v>0.11279683377308707</v>
      </c>
      <c r="F13" s="12" t="inlineStr">
        <is>
          <t>PDF p.77 (印刷頁 76)</t>
        </is>
      </c>
      <c r="G13" s="12" t="inlineStr">
        <is>
          <t>Inventories 15 1,687 1,516</t>
        </is>
      </c>
    </row>
    <row r="14">
      <c r="A14" s="9" t="inlineStr">
        <is>
          <t>Balance Sheet</t>
        </is>
      </c>
      <c r="B14" s="9" t="inlineStr">
        <is>
          <t>Trade Receivables</t>
        </is>
      </c>
      <c r="C14" s="13" t="n">
        <v>2483</v>
      </c>
      <c r="D14" s="14" t="n">
        <v>3686</v>
      </c>
      <c r="E14" s="15">
        <f>IF(ISERROR((C14-D14)/ABS(D14)),"",(C14-D14)/ABS(D14))</f>
        <v>-0.32637004883342374</v>
      </c>
      <c r="F14" s="12" t="inlineStr">
        <is>
          <t>PDF p.77 (印刷頁 76)</t>
        </is>
      </c>
      <c r="G14" s="12" t="inlineStr">
        <is>
          <t>Trade and other receivables and prepayments 16 2,483 3,686</t>
        </is>
      </c>
    </row>
    <row r="15">
      <c r="A15" s="9" t="inlineStr">
        <is>
          <t>Balance Sheet</t>
        </is>
      </c>
      <c r="B15" s="9" t="inlineStr">
        <is>
          <t>Cash and Equivalents</t>
        </is>
      </c>
      <c r="C15" s="13" t="n">
        <v>11786</v>
      </c>
      <c r="D15" s="14" t="n">
        <v>18024</v>
      </c>
      <c r="E15" s="15">
        <f>IF(ISERROR((C15-D15)/ABS(D15)),"",(C15-D15)/ABS(D15))</f>
        <v>-0.34609409675987574</v>
      </c>
      <c r="F15" s="12" t="inlineStr">
        <is>
          <t>PDF p.77 (印刷頁 76)</t>
        </is>
      </c>
      <c r="G15" s="12" t="inlineStr">
        <is>
          <t>Cash and cash equivalents 17 11,786 18,024</t>
        </is>
      </c>
    </row>
    <row r="16">
      <c r="A16" s="9" t="inlineStr">
        <is>
          <t>Balance Sheet</t>
        </is>
      </c>
      <c r="B16" s="9" t="inlineStr">
        <is>
          <t>Total Assets</t>
        </is>
      </c>
      <c r="C16" s="13" t="n">
        <v>37270</v>
      </c>
      <c r="D16" s="14" t="n">
        <v>34301</v>
      </c>
      <c r="E16" s="15">
        <f>IF(ISERROR((C16-D16)/ABS(D16)),"",(C16-D16)/ABS(D16))</f>
        <v>0.08655724322906037</v>
      </c>
      <c r="F16" s="12" t="inlineStr">
        <is>
          <t>PDF p.77 (印刷頁 76)</t>
        </is>
      </c>
      <c r="G16" s="12" t="inlineStr">
        <is>
          <t>Total assets 37,270 34,301</t>
        </is>
      </c>
    </row>
    <row r="17">
      <c r="A17" s="9" t="inlineStr">
        <is>
          <t>Balance Sheet</t>
        </is>
      </c>
      <c r="B17" s="9" t="inlineStr">
        <is>
          <t>Borrowings</t>
        </is>
      </c>
      <c r="C17" s="13" t="n">
        <v>4206</v>
      </c>
      <c r="D17" s="14" t="n">
        <v>1190</v>
      </c>
      <c r="E17" s="15">
        <f>IF(ISERROR((C17-D17)/ABS(D17)),"",(C17-D17)/ABS(D17))</f>
        <v>2.534453781512605</v>
      </c>
      <c r="F17" s="12" t="inlineStr">
        <is>
          <t>PDF p.77 (印刷頁 76)</t>
        </is>
      </c>
      <c r="G17" s="12" t="inlineStr">
        <is>
          <t>Borrowings 23 4,206 1,190</t>
        </is>
      </c>
    </row>
    <row r="18">
      <c r="A18" s="9" t="inlineStr">
        <is>
          <t>Balance Sheet</t>
        </is>
      </c>
      <c r="B18" s="9" t="inlineStr">
        <is>
          <t>Total Liabilities</t>
        </is>
      </c>
      <c r="C18" s="13" t="n">
        <v>14567</v>
      </c>
      <c r="D18" s="14" t="n">
        <v>10169</v>
      </c>
      <c r="E18" s="15">
        <f>IF(ISERROR((C18-D18)/ABS(D18)),"",(C18-D18)/ABS(D18))</f>
        <v>0.4324909037270135</v>
      </c>
      <c r="F18" s="12" t="inlineStr">
        <is>
          <t>PDF p.78 (印刷頁 77)</t>
        </is>
      </c>
      <c r="G18" s="12" t="inlineStr">
        <is>
          <t>Total liabilities 14,567 10,169</t>
        </is>
      </c>
    </row>
    <row r="19">
      <c r="A19" s="9" t="inlineStr">
        <is>
          <t>Balance Sheet</t>
        </is>
      </c>
      <c r="B19" s="9" t="inlineStr">
        <is>
          <t>Total Equity</t>
        </is>
      </c>
      <c r="C19" s="13" t="n">
        <v>37270</v>
      </c>
      <c r="D19" s="14" t="n">
        <v>34301</v>
      </c>
      <c r="E19" s="15">
        <f>IF(ISERROR((C19-D19)/ABS(D19)),"",(C19-D19)/ABS(D19))</f>
        <v>0.08655724322906037</v>
      </c>
      <c r="F19" s="12" t="inlineStr">
        <is>
          <t>PDF p.78 (印刷頁 77)</t>
        </is>
      </c>
      <c r="G19" s="12" t="inlineStr">
        <is>
          <t>Total equity and liabilities 37,270 34,301</t>
        </is>
      </c>
    </row>
    <row r="20">
      <c r="A20" s="9" t="inlineStr">
        <is>
          <t>Balance Sheet</t>
        </is>
      </c>
      <c r="B20" s="9" t="inlineStr">
        <is>
          <t>Total Current Assets</t>
        </is>
      </c>
      <c r="C20" s="13" t="n">
        <v>16063</v>
      </c>
      <c r="D20" s="14" t="n">
        <v>23385</v>
      </c>
      <c r="E20" s="15">
        <f>IF(ISERROR((C20-D20)/ABS(D20)),"",(C20-D20)/ABS(D20))</f>
        <v>-0.3131066923241394</v>
      </c>
      <c r="F20" s="12" t="inlineStr">
        <is>
          <t>PDF p.77 (印刷頁 76)</t>
        </is>
      </c>
      <c r="G20" s="12" t="inlineStr">
        <is>
          <t>[current assets 區段小計] 16,063 23,385</t>
        </is>
      </c>
    </row>
    <row r="21">
      <c r="A21" s="9" t="inlineStr">
        <is>
          <t>Balance Sheet</t>
        </is>
      </c>
      <c r="B21" s="9" t="inlineStr">
        <is>
          <t>Total Current Liabilities</t>
        </is>
      </c>
      <c r="C21" s="13" t="n">
        <v>7851</v>
      </c>
      <c r="D21" s="14" t="n">
        <v>5905</v>
      </c>
      <c r="E21" s="15">
        <f>IF(ISERROR((C21-D21)/ABS(D21)),"",(C21-D21)/ABS(D21))</f>
        <v>0.32955122777307366</v>
      </c>
      <c r="F21" s="12" t="inlineStr">
        <is>
          <t>PDF p.78 (印刷頁 77)</t>
        </is>
      </c>
      <c r="G21" s="12" t="inlineStr">
        <is>
          <t>[current liabilities 區段小計] 7,851 5,905</t>
        </is>
      </c>
    </row>
    <row r="22">
      <c r="A22" s="9" t="inlineStr">
        <is>
          <t>Cash Flow</t>
        </is>
      </c>
      <c r="B22" s="9" t="inlineStr">
        <is>
          <t>Operating Cash Flow</t>
        </is>
      </c>
      <c r="C22" s="13" t="n">
        <v>3426</v>
      </c>
      <c r="D22" s="14" t="n">
        <v>1208</v>
      </c>
      <c r="E22" s="15">
        <f>IF(ISERROR((C22-D22)/ABS(D22)),"",(C22-D22)/ABS(D22))</f>
        <v>1.836092715231788</v>
      </c>
      <c r="F22" s="12" t="inlineStr">
        <is>
          <t>PDF p.80 (印刷頁 79)</t>
        </is>
      </c>
      <c r="G22" s="12" t="inlineStr">
        <is>
          <t>Net cash generated from operating activities 3,426 1,208</t>
        </is>
      </c>
    </row>
    <row r="23">
      <c r="A23" s="9" t="inlineStr">
        <is>
          <t>Cash Flow</t>
        </is>
      </c>
      <c r="B23" s="9" t="inlineStr">
        <is>
          <t>Capital Expenditure</t>
        </is>
      </c>
      <c r="C23" s="13" t="n">
        <v>-11930</v>
      </c>
      <c r="D23" s="14" t="n">
        <v>-2611</v>
      </c>
      <c r="E23" s="15">
        <f>IF(ISERROR((C23-D23)/ABS(D23)),"",(C23-D23)/ABS(D23))</f>
        <v>-3.569130601302183</v>
      </c>
      <c r="F23" s="12" t="inlineStr">
        <is>
          <t>PDF p.80 (印刷頁 79)</t>
        </is>
      </c>
      <c r="G23" s="12" t="inlineStr">
        <is>
          <t>Purchase of property, plant and equipment 29 (11,930) (2,611)</t>
        </is>
      </c>
    </row>
    <row r="24">
      <c r="A24" s="9" t="inlineStr">
        <is>
          <t>Cash Flow</t>
        </is>
      </c>
      <c r="B24" s="9" t="inlineStr">
        <is>
          <t>Investing Cash Flow</t>
        </is>
      </c>
      <c r="C24" s="13" t="n">
        <v>-11855</v>
      </c>
      <c r="D24" s="14" t="n">
        <v>-2295</v>
      </c>
      <c r="E24" s="15">
        <f>IF(ISERROR((C24-D24)/ABS(D24)),"",(C24-D24)/ABS(D24))</f>
        <v>-4.16557734204793</v>
      </c>
      <c r="F24" s="12" t="inlineStr">
        <is>
          <t>PDF p.80 (印刷頁 79)</t>
        </is>
      </c>
      <c r="G24" s="12" t="inlineStr">
        <is>
          <t>Net cash used in investing activities (11,855) (2,295)</t>
        </is>
      </c>
    </row>
    <row r="25">
      <c r="A25" s="9" t="inlineStr">
        <is>
          <t>Cash Flow</t>
        </is>
      </c>
      <c r="B25" s="9" t="inlineStr">
        <is>
          <t>Financing Cash Flow</t>
        </is>
      </c>
      <c r="C25" s="13" t="n">
        <v>1705</v>
      </c>
      <c r="D25" s="14" t="n">
        <v>-3295</v>
      </c>
      <c r="E25" s="15">
        <f>IF(ISERROR((C25-D25)/ABS(D25)),"",(C25-D25)/ABS(D25))</f>
        <v>1.5174506828528074</v>
      </c>
      <c r="F25" s="12" t="inlineStr">
        <is>
          <t>PDF p.80 (印刷頁 79)</t>
        </is>
      </c>
      <c r="G25" s="12" t="inlineStr">
        <is>
          <t>Net cash from/(used in) financing activities 1,705 (3,295)</t>
        </is>
      </c>
    </row>
    <row r="27">
      <c r="A27"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財務數據'!$C$5:$C$25,MATCH("Gross Profit",'Financials 財務數據'!$B$5:$B$25,0))/INDEX('Financials 財務數據'!$C$5:$C$25,MATCH("Revenue",'Financials 財務數據'!$B$5:$B$25,0))),"n/a",INDEX('Financials 財務數據'!$C$5:$C$25,MATCH("Gross Profit",'Financials 財務數據'!$B$5:$B$25,0))/INDEX('Financials 財務數據'!$C$5:$C$25,MATCH("Revenue",'Financials 財務數據'!$B$5:$B$25,0)))</f>
        <v>0.632703219346421</v>
      </c>
      <c r="C5" s="16">
        <f>IF(ISERROR(INDEX('Financials 財務數據'!$D$5:$D$25,MATCH("Gross Profit",'Financials 財務數據'!$B$5:$B$25,0))/INDEX('Financials 財務數據'!$D$5:$D$25,MATCH("Revenue",'Financials 財務數據'!$B$5:$B$25,0))),"n/a",INDEX('Financials 財務數據'!$D$5:$D$25,MATCH("Gross Profit",'Financials 財務數據'!$B$5:$B$25,0))/INDEX('Financials 財務數據'!$D$5:$D$25,MATCH("Revenue",'Financials 財務數據'!$B$5:$B$25,0)))</f>
        <v>0.6318993506493507</v>
      </c>
      <c r="D5" s="2" t="inlineStr">
        <is>
          <t>毛利 ÷ 收入</t>
        </is>
      </c>
    </row>
    <row r="6">
      <c r="A6" s="4" t="inlineStr">
        <is>
          <t>Net Margin 淨利率</t>
        </is>
      </c>
      <c r="B6" s="16">
        <f>IF(ISERROR(INDEX('Financials 財務數據'!$C$5:$C$25,MATCH("Profit for the Year",'Financials 財務數據'!$B$5:$B$25,0))/INDEX('Financials 財務數據'!$C$5:$C$25,MATCH("Revenue",'Financials 財務數據'!$B$5:$B$25,0))),"n/a",INDEX('Financials 財務數據'!$C$5:$C$25,MATCH("Profit for the Year",'Financials 財務數據'!$B$5:$B$25,0))/INDEX('Financials 財務數據'!$C$5:$C$25,MATCH("Revenue",'Financials 財務數據'!$B$5:$B$25,0)))</f>
        <v>-0.057377795309039054</v>
      </c>
      <c r="C6" s="16">
        <f>IF(ISERROR(INDEX('Financials 財務數據'!$D$5:$D$25,MATCH("Profit for the Year",'Financials 財務數據'!$B$5:$B$25,0))/INDEX('Financials 財務數據'!$D$5:$D$25,MATCH("Revenue",'Financials 財務數據'!$B$5:$B$25,0))),"n/a",INDEX('Financials 財務數據'!$D$5:$D$25,MATCH("Profit for the Year",'Financials 財務數據'!$B$5:$B$25,0))/INDEX('Financials 財務數據'!$D$5:$D$25,MATCH("Revenue",'Financials 財務數據'!$B$5:$B$25,0)))</f>
        <v>-0.016335227272727272</v>
      </c>
      <c r="D6" s="2" t="inlineStr">
        <is>
          <t>年內溢利 ÷ 收入</t>
        </is>
      </c>
    </row>
    <row r="7">
      <c r="A7" s="4" t="inlineStr">
        <is>
          <t>Current Ratio 流動比率</t>
        </is>
      </c>
      <c r="B7" s="17">
        <f>IF(ISERROR(INDEX('Financials 財務數據'!$C$5:$C$25,MATCH("Total Current Assets",'Financials 財務數據'!$B$5:$B$25,0))/INDEX('Financials 財務數據'!$C$5:$C$25,MATCH("Total Current Liabilities",'Financials 財務數據'!$B$5:$B$25,0))),"n/a",INDEX('Financials 財務數據'!$C$5:$C$25,MATCH("Total Current Assets",'Financials 財務數據'!$B$5:$B$25,0))/INDEX('Financials 財務數據'!$C$5:$C$25,MATCH("Total Current Liabilities",'Financials 財務數據'!$B$5:$B$25,0)))</f>
        <v>2.045981403642848</v>
      </c>
      <c r="C7" s="17">
        <f>IF(ISERROR(INDEX('Financials 財務數據'!$D$5:$D$25,MATCH("Total Current Assets",'Financials 財務數據'!$B$5:$B$25,0))/INDEX('Financials 財務數據'!$D$5:$D$25,MATCH("Total Current Liabilities",'Financials 財務數據'!$B$5:$B$25,0))),"n/a",INDEX('Financials 財務數據'!$D$5:$D$25,MATCH("Total Current Assets",'Financials 財務數據'!$B$5:$B$25,0))/INDEX('Financials 財務數據'!$D$5:$D$25,MATCH("Total Current Liabilities",'Financials 財務數據'!$B$5:$B$25,0)))</f>
        <v>3.960203217612193</v>
      </c>
      <c r="D7" s="2" t="inlineStr">
        <is>
          <t>流動資產 ÷ 流動負債</t>
        </is>
      </c>
    </row>
    <row r="8">
      <c r="A8" s="4" t="inlineStr">
        <is>
          <t>Debt / Equity 負債權益比</t>
        </is>
      </c>
      <c r="B8" s="17">
        <f>IF(ISERROR(INDEX('Financials 財務數據'!$C$5:$C$25,MATCH("Total Liabilities",'Financials 財務數據'!$B$5:$B$25,0))/INDEX('Financials 財務數據'!$C$5:$C$25,MATCH("Total Equity",'Financials 財務數據'!$B$5:$B$25,0))),"n/a",INDEX('Financials 財務數據'!$C$5:$C$25,MATCH("Total Liabilities",'Financials 財務數據'!$B$5:$B$25,0))/INDEX('Financials 財務數據'!$C$5:$C$25,MATCH("Total Equity",'Financials 財務數據'!$B$5:$B$25,0)))</f>
        <v>0.3908505500402468</v>
      </c>
      <c r="C8" s="17">
        <f>IF(ISERROR(INDEX('Financials 財務數據'!$D$5:$D$25,MATCH("Total Liabilities",'Financials 財務數據'!$B$5:$B$25,0))/INDEX('Financials 財務數據'!$D$5:$D$25,MATCH("Total Equity",'Financials 財務數據'!$B$5:$B$25,0))),"n/a",INDEX('Financials 財務數據'!$D$5:$D$25,MATCH("Total Liabilities",'Financials 財務數據'!$B$5:$B$25,0))/INDEX('Financials 財務數據'!$D$5:$D$25,MATCH("Total Equity",'Financials 財務數據'!$B$5:$B$25,0)))</f>
        <v>0.2964636599516049</v>
      </c>
      <c r="D8" s="2" t="inlineStr">
        <is>
          <t>總負債 ÷ 總權益</t>
        </is>
      </c>
    </row>
    <row r="9">
      <c r="A9" s="4" t="inlineStr">
        <is>
          <t>Goodwill / Total Assets</t>
        </is>
      </c>
      <c r="B9" s="16" t="str">
        <f>IF(ISERROR(INDEX('Financials 財務數據'!$C$5:$C$25,MATCH("Goodwill",'Financials 財務數據'!$B$5:$B$25,0))/INDEX('Financials 財務數據'!$C$5:$C$25,MATCH("Total Assets",'Financials 財務數據'!$B$5:$B$25,0))),"n/a",INDEX('Financials 財務數據'!$C$5:$C$25,MATCH("Goodwill",'Financials 財務數據'!$B$5:$B$25,0))/INDEX('Financials 財務數據'!$C$5:$C$25,MATCH("Total Assets",'Financials 財務數據'!$B$5:$B$25,0)))</f>
        <v>n/a</v>
      </c>
      <c r="C9" s="16" t="str">
        <f>IF(ISERROR(INDEX('Financials 財務數據'!$D$5:$D$25,MATCH("Goodwill",'Financials 財務數據'!$B$5:$B$25,0))/INDEX('Financials 財務數據'!$D$5:$D$25,MATCH("Total Assets",'Financials 財務數據'!$B$5:$B$25,0))),"n/a",INDEX('Financials 財務數據'!$D$5:$D$25,MATCH("Goodwill",'Financials 財務數據'!$B$5:$B$25,0))/INDEX('Financials 財務數據'!$D$5:$D$25,MATCH("Total Assets",'Financials 財務數據'!$B$5:$B$25,0)))</f>
        <v>n/a</v>
      </c>
      <c r="D9" s="2" t="inlineStr">
        <is>
          <t>商譽佔總資產比重 — 減值風險指標</t>
        </is>
      </c>
    </row>
    <row r="10">
      <c r="A10" s="4" t="inlineStr">
        <is>
          <t>Intangibles / Total Assets</t>
        </is>
      </c>
      <c r="B10" s="16">
        <f>IF(ISERROR(INDEX('Financials 財務數據'!$C$5:$C$25,MATCH("Intangible Assets",'Financials 財務數據'!$B$5:$B$25,0))/INDEX('Financials 財務數據'!$C$5:$C$25,MATCH("Total Assets",'Financials 財務數據'!$B$5:$B$25,0))),"n/a",INDEX('Financials 財務數據'!$C$5:$C$25,MATCH("Intangible Assets",'Financials 財務數據'!$B$5:$B$25,0))/INDEX('Financials 財務數據'!$C$5:$C$25,MATCH("Total Assets",'Financials 財務數據'!$B$5:$B$25,0)))</f>
        <v>0.002119667292728736</v>
      </c>
      <c r="C10" s="16">
        <f>IF(ISERROR(INDEX('Financials 財務數據'!$D$5:$D$25,MATCH("Intangible Assets",'Financials 財務數據'!$B$5:$B$25,0))/INDEX('Financials 財務數據'!$D$5:$D$25,MATCH("Total Assets",'Financials 財務數據'!$B$5:$B$25,0))),"n/a",INDEX('Financials 財務數據'!$D$5:$D$25,MATCH("Intangible Assets",'Financials 財務數據'!$B$5:$B$25,0))/INDEX('Financials 財務數據'!$D$5:$D$25,MATCH("Total Assets",'Financials 財務數據'!$B$5:$B$25,0)))</f>
        <v>0.0033235182647736216</v>
      </c>
      <c r="D10" s="2" t="inlineStr">
        <is>
          <t>無形資產佔比</t>
        </is>
      </c>
    </row>
    <row r="11">
      <c r="A11" s="4" t="inlineStr">
        <is>
          <t>ROE 股本回報率</t>
        </is>
      </c>
      <c r="B11" s="16">
        <f>IF(ISERROR(INDEX('Financials 財務數據'!$C$5:$C$25,MATCH("Profit for the Year",'Financials 財務數據'!$B$5:$B$25,0))/INDEX('Financials 財務數據'!$C$5:$C$25,MATCH("Total Equity",'Financials 財務數據'!$B$5:$B$25,0))),"n/a",INDEX('Financials 財務數據'!$C$5:$C$25,MATCH("Profit for the Year",'Financials 財務數據'!$B$5:$B$25,0))/INDEX('Financials 財務數據'!$C$5:$C$25,MATCH("Total Equity",'Financials 財務數據'!$B$5:$B$25,0)))</f>
        <v>-0.05073785886772203</v>
      </c>
      <c r="C11" s="16">
        <f>IF(ISERROR(INDEX('Financials 財務數據'!$D$5:$D$25,MATCH("Profit for the Year",'Financials 財務數據'!$B$5:$B$25,0))/INDEX('Financials 財務數據'!$D$5:$D$25,MATCH("Total Equity",'Financials 財務數據'!$B$5:$B$25,0))),"n/a",INDEX('Financials 財務數據'!$D$5:$D$25,MATCH("Profit for the Year",'Financials 財務數據'!$B$5:$B$25,0))/INDEX('Financials 財務數據'!$D$5:$D$25,MATCH("Total Equity",'Financials 財務數據'!$B$5:$B$25,0)))</f>
        <v>-0.01408122212180403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29568</v>
      </c>
      <c r="C5" s="19" t="n">
        <v>32957</v>
      </c>
    </row>
    <row r="6">
      <c r="A6" s="4" t="inlineStr">
        <is>
          <t>Gross Profit</t>
        </is>
      </c>
      <c r="B6" s="19" t="n">
        <v>18684</v>
      </c>
      <c r="C6" s="19" t="n">
        <v>20852</v>
      </c>
    </row>
    <row r="7">
      <c r="A7" s="4" t="inlineStr">
        <is>
          <t>Profit Before Tax</t>
        </is>
      </c>
      <c r="B7" s="19" t="n">
        <v>-124</v>
      </c>
      <c r="C7" s="19" t="n">
        <v>-1424</v>
      </c>
    </row>
    <row r="8">
      <c r="A8" s="4" t="inlineStr">
        <is>
          <t>Profit for the Year</t>
        </is>
      </c>
      <c r="B8" s="19" t="n">
        <v>-483</v>
      </c>
      <c r="C8" s="19" t="n">
        <v>-1891</v>
      </c>
    </row>
    <row r="9">
      <c r="A9" s="4" t="inlineStr">
        <is>
          <t>Total Assets</t>
        </is>
      </c>
      <c r="B9" s="19" t="n">
        <v>34301</v>
      </c>
      <c r="C9" s="19" t="n">
        <v>37270</v>
      </c>
    </row>
    <row r="10">
      <c r="A10" s="4" t="inlineStr">
        <is>
          <t>Total Equity</t>
        </is>
      </c>
      <c r="B10" s="19" t="n">
        <v>34301</v>
      </c>
      <c r="C10" s="19" t="n">
        <v>37270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Impairment Testing</t>
        </is>
      </c>
      <c r="B4" s="9" t="inlineStr">
        <is>
          <t>減值測試</t>
        </is>
      </c>
      <c r="C4" s="20" t="inlineStr">
        <is>
          <t>high</t>
        </is>
      </c>
      <c r="D4" s="12" t="inlineStr">
        <is>
          <t>recoverable amount</t>
        </is>
      </c>
      <c r="E4" s="12" t="inlineStr">
        <is>
          <t>PDF p.73 (印刷頁 72)</t>
        </is>
      </c>
      <c r="F4" s="12" t="inlineStr">
        <is>
          <t>f any such indication exists, the — Together with the assistance of our in-house valuation specialist, management shall estimate the recoverable amount of the PPE. we reviewed the appropriateness and reasonableness of the Due to the significance of the PPE to the consolidated financial methodologies and assumptions used in management’s statements and the high level of judgement involved in estimating assessment of the recoverable amount; and recoverable amounts of the PPE, we determined this to be a key — Reviewed disclosures i</t>
        </is>
      </c>
    </row>
    <row r="5">
      <c r="A5" s="9" t="inlineStr">
        <is>
          <t>Impairment Testing</t>
        </is>
      </c>
      <c r="B5" s="9" t="inlineStr">
        <is>
          <t>減值測試</t>
        </is>
      </c>
      <c r="C5" s="20" t="inlineStr">
        <is>
          <t>high</t>
        </is>
      </c>
      <c r="D5" s="12" t="inlineStr">
        <is>
          <t>impairment loss</t>
        </is>
      </c>
      <c r="E5" s="12" t="inlineStr">
        <is>
          <t>PDF p.76 (印刷頁 75)</t>
        </is>
      </c>
      <c r="F5" s="12" t="inlineStr">
        <is>
          <t>ing and distribution expenses 9 (10,695) (9,214) Administrative expenses 9 (11,606) (10,084) Finance (cost)/income — net 11 (312) 47 Impairment loss on trade receivables (33) — Loss before income tax (1,424) (124) Income tax expense 12 (467) (359) Loss for the year attributable to equity holders of the Company (1,891) (483) Other comprehensive income Item that will be reclassified subsequently to profit or loss Currency translation differences arising from translation of foreign operations 462 272 462 272 Total comprehensive lo</t>
        </is>
      </c>
    </row>
    <row r="6">
      <c r="A6" s="9" t="inlineStr">
        <is>
          <t>Impairment Testing</t>
        </is>
      </c>
      <c r="B6" s="9" t="inlineStr">
        <is>
          <t>減值測試</t>
        </is>
      </c>
      <c r="C6" s="20" t="inlineStr">
        <is>
          <t>high</t>
        </is>
      </c>
      <c r="D6" s="12" t="inlineStr">
        <is>
          <t>impairment test</t>
        </is>
      </c>
      <c r="E6" s="12" t="inlineStr">
        <is>
          <t>PDF p.86 (印刷頁 85)</t>
        </is>
      </c>
      <c r="F6" s="12" t="inlineStr">
        <is>
          <t>costs of investment. The results of subsidiaries are accounted for by the Company on the basis of dividend received and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statement of financial position of the inves</t>
        </is>
      </c>
    </row>
    <row r="7">
      <c r="A7" s="9" t="inlineStr">
        <is>
          <t>Impairment Testing</t>
        </is>
      </c>
      <c r="B7" s="9" t="inlineStr">
        <is>
          <t>減值測試</t>
        </is>
      </c>
      <c r="C7" s="20" t="inlineStr">
        <is>
          <t>high</t>
        </is>
      </c>
      <c r="D7" s="12" t="inlineStr">
        <is>
          <t>impairment loss</t>
        </is>
      </c>
      <c r="E7" s="12" t="inlineStr">
        <is>
          <t>PDF p.90 (印刷頁 89)</t>
        </is>
      </c>
      <c r="F7" s="12" t="inlineStr">
        <is>
          <t>plant and equipment are initially recognised at cost and subsequently carried at cost less accumulated depreciation and accumulated impairment losses, if any. The cost of plant and equipment includes its purchase price and any costs directly attributable to bringing the asset to the location and condition necessary for it to be capable of operating in the manner intended by management. Dismantlement, removal or restoration costs are included as part of the cost of property, plant and equipment if the obligation for dismantleme</t>
        </is>
      </c>
    </row>
    <row r="8">
      <c r="A8" s="9" t="inlineStr">
        <is>
          <t>Impairment Testing</t>
        </is>
      </c>
      <c r="B8" s="9" t="inlineStr">
        <is>
          <t>減值測試</t>
        </is>
      </c>
      <c r="C8" s="20" t="inlineStr">
        <is>
          <t>high</t>
        </is>
      </c>
      <c r="D8" s="12" t="inlineStr">
        <is>
          <t>impairment loss</t>
        </is>
      </c>
      <c r="E8" s="12" t="inlineStr">
        <is>
          <t>PDF p.91 (印刷頁 90)</t>
        </is>
      </c>
      <c r="F8" s="12" t="inlineStr">
        <is>
          <t>assets The Group reviews the carrying amounts of its non-financial assets as at each reporting date to assess for any indication of impairment loss. If any such indication exists, the recoverable amount of the asset is estimated in order to determine the extent of the impairment loss (if any). Where it is not possible to estimate the recoverable amount of an individual asset, the Group estimates the recoverable amount of the cash-generating unit to which the asset belongs. The recoverable amount of an asset or cash-generating</t>
        </is>
      </c>
    </row>
    <row r="9">
      <c r="A9" s="9" t="inlineStr">
        <is>
          <t>Impairment Testing</t>
        </is>
      </c>
      <c r="B9" s="9" t="inlineStr">
        <is>
          <t>減值測試</t>
        </is>
      </c>
      <c r="C9" s="20" t="inlineStr">
        <is>
          <t>high</t>
        </is>
      </c>
      <c r="D9" s="12" t="inlineStr">
        <is>
          <t>impairment loss</t>
        </is>
      </c>
      <c r="E9" s="12" t="inlineStr">
        <is>
          <t>PDF p.95 (印刷頁 94)</t>
        </is>
      </c>
      <c r="F9" s="12" t="inlineStr">
        <is>
          <t>ng asset, which is determined on the same basis as those of property, plant and equipment. The right-of-use asset is also reduced by impairment losses, if any, and adjusted for certain remeasurements of the lease liability, where applicable. Right-of-use assets are presented within “property, plant and equipment”. The lease liability is initially measured at the present value of the lease payments that are not paid at the commencement date, discounted using the interest rate implicit in the lease or, if that rate cannot be read</t>
        </is>
      </c>
    </row>
    <row r="10">
      <c r="A10" s="9" t="inlineStr">
        <is>
          <t>Impairment Testing</t>
        </is>
      </c>
      <c r="B10" s="9" t="inlineStr">
        <is>
          <t>減值測試</t>
        </is>
      </c>
      <c r="C10" s="20" t="inlineStr">
        <is>
          <t>high</t>
        </is>
      </c>
      <c r="D10" s="12" t="inlineStr">
        <is>
          <t>impairment loss</t>
        </is>
      </c>
      <c r="E10" s="12" t="inlineStr">
        <is>
          <t>PDF p.99 (印刷頁 98)</t>
        </is>
      </c>
      <c r="F10" s="12" t="inlineStr">
        <is>
          <t>recover overdue debts. In addition, the Group reviews these receivables at the end of each reporting period to ensure that adequate impairment losses are made for irrecoverable amounts. The Group considers the probability of default upon initial recognition of asset and whether there has been a significant increase in credit risk on an ongoing basis throughout each reporting period. To assess whether there is a significant increase in credit risk, the Group compares the risk of a default occurring on the asset as at the report</t>
        </is>
      </c>
    </row>
    <row r="11">
      <c r="A11" s="9" t="inlineStr">
        <is>
          <t>Impairment Testing</t>
        </is>
      </c>
      <c r="B11" s="9" t="inlineStr">
        <is>
          <t>減值測試</t>
        </is>
      </c>
      <c r="C11" s="20" t="inlineStr">
        <is>
          <t>high</t>
        </is>
      </c>
      <c r="D11" s="12" t="inlineStr">
        <is>
          <t>impairment loss</t>
        </is>
      </c>
      <c r="E11" s="12" t="inlineStr">
        <is>
          <t>PDF p.105 (印刷頁 104)</t>
        </is>
      </c>
      <c r="F11" s="12" t="inlineStr">
        <is>
          <t>pairment, if such indications are found, the recoverable amounts of the assets are estimated in order to determine the extent of the impairment loss, if any. The recoverable amount is the higher of an asset’s fair value less costs to sell and value in use. Such impairment loss is recognised in profit or loss.</t>
        </is>
      </c>
    </row>
    <row r="12">
      <c r="A12" s="9" t="inlineStr">
        <is>
          <t>Impairment Testing</t>
        </is>
      </c>
      <c r="B12" s="9" t="inlineStr">
        <is>
          <t>減值測試</t>
        </is>
      </c>
      <c r="C12" s="20" t="inlineStr">
        <is>
          <t>high</t>
        </is>
      </c>
      <c r="D12" s="12" t="inlineStr">
        <is>
          <t>impairment test</t>
        </is>
      </c>
      <c r="E12" s="12" t="inlineStr">
        <is>
          <t>PDF p.106 (印刷頁 105)</t>
        </is>
      </c>
      <c r="F12" s="12" t="inlineStr">
        <is>
          <t>e assumptions selected by management to determine the level of impairment, could materially affect the net present value used in the impairment test and as a result may potentially affect the Group’s results. The carrying amount of the Group’s property, plant and equipment as at 31 March 2026 was S$21,128,000 (2025: S$10,802,000). 5 SEGMENT INFORMATION The executive directors of the Company, who are the CODM, monitor the operating results of its operating segments for the purpose of making decisions about resource allocation an</t>
        </is>
      </c>
    </row>
    <row r="13">
      <c r="A13" s="9" t="inlineStr">
        <is>
          <t>Impairment Testing</t>
        </is>
      </c>
      <c r="B13" s="9" t="inlineStr">
        <is>
          <t>減值測試</t>
        </is>
      </c>
      <c r="C13" s="20" t="inlineStr">
        <is>
          <t>high</t>
        </is>
      </c>
      <c r="D13" s="12" t="inlineStr">
        <is>
          <t>impairment loss</t>
        </is>
      </c>
      <c r="E13" s="12" t="inlineStr">
        <is>
          <t>PDF p.116 (印刷頁 115)</t>
        </is>
      </c>
      <c r="F13" s="12" t="inlineStr">
        <is>
          <t>up with carrying values of approximately S$13,826,000 (2025: S$2,914,000). During the financial year, there were indicators that the impairment loss may need to be recognised for the Group’s property, plant and equipment, due to the loss making position during the year. The Group carried out a review of the recoverable amounts of its property, plant and equipment. The recoverable amount was estimated based on the value-in-use model. The key assumptions underlying the Group’s impairment assessment of its property, plant and equi</t>
        </is>
      </c>
    </row>
    <row r="14">
      <c r="A14" s="9" t="inlineStr">
        <is>
          <t>Impairment Testing</t>
        </is>
      </c>
      <c r="B14" s="9" t="inlineStr">
        <is>
          <t>減值測試</t>
        </is>
      </c>
      <c r="C14" s="20" t="inlineStr">
        <is>
          <t>high</t>
        </is>
      </c>
      <c r="D14" s="12" t="inlineStr">
        <is>
          <t>impairment loss</t>
        </is>
      </c>
      <c r="E14" s="12" t="inlineStr">
        <is>
          <t>PDF p.118 (印刷頁 117)</t>
        </is>
      </c>
      <c r="F14" s="12" t="inlineStr">
        <is>
          <t>uted based on lifetime ECL is as follows: For the year ended 31 March 2026 2025 S$’000 S$’000 Balance at beginning of the year 59 56 Impairment loss recognised during the year 33 — Currency re-alignment — 3 Balance at end of the year 92 59 The Group normally grants credit terms to its customers ranging from 0 to 7 days (2025: 0 to 7 days). The ageing analysis of the trade receivables based on invoice date is as follows: As at 31 March 2026 2025 S$’000 S$’000 Current to 30 days 308 231 31 to 60 days 68 336 61 to 90 days 98 185 O</t>
        </is>
      </c>
    </row>
    <row r="15">
      <c r="A15" s="9" t="inlineStr">
        <is>
          <t>Intangible Assets &amp; Goodwill</t>
        </is>
      </c>
      <c r="B15" s="9" t="inlineStr">
        <is>
          <t>無形資產及商譽</t>
        </is>
      </c>
      <c r="C15" s="20" t="inlineStr">
        <is>
          <t>high</t>
        </is>
      </c>
      <c r="D15" s="12" t="inlineStr">
        <is>
          <t>intangible asset</t>
        </is>
      </c>
      <c r="E15" s="12" t="inlineStr">
        <is>
          <t>PDF p.50 (印刷頁 49)</t>
        </is>
      </c>
      <c r="F15" s="12" t="inlineStr">
        <is>
          <t>f the complaint and the outcome of the investigation. Intellectual Property Rights The “Shihlin Taiwan Street Snacks” brand is a key intangible asset of the Group and enjoys strong recognition among consumers in Singapore and Malaysia. We place significant importance on protecting our intellectual property (“IP”) rights to preserve the integrity and reputation of the brand. As at 31 March 2026, we held a total of 22 registered trademarks (FY2025: 22). In markets outside Singapore and Malaysia, we rely on master franchisees and</t>
        </is>
      </c>
    </row>
    <row r="16">
      <c r="A16" s="9" t="inlineStr">
        <is>
          <t>Intangible Assets &amp; Goodwill</t>
        </is>
      </c>
      <c r="B16" s="9" t="inlineStr">
        <is>
          <t>無形資產及商譽</t>
        </is>
      </c>
      <c r="C16" s="20" t="inlineStr">
        <is>
          <t>high</t>
        </is>
      </c>
      <c r="D16" s="12" t="inlineStr">
        <is>
          <t>licence</t>
        </is>
      </c>
      <c r="E16" s="12" t="inlineStr">
        <is>
          <t>PDF p.63 (印刷頁 62)</t>
        </is>
      </c>
      <c r="F16" s="12" t="inlineStr">
        <is>
          <t>on is negatively affected, the results of our Group’s business operations could be adversely affected. Our reliance on the franchise/licence model for, among others, expansion outside of Singapore and West Malaysia and a substantial portion of our revenue A substantial portion of our revenue are derived from our franchise/licence model, including revenue from sales of goods comprising mainly beverages, food products and packaging material to the Franchisees and Licensee, franchise fees and licence fees and advertising and promo</t>
        </is>
      </c>
    </row>
    <row r="17">
      <c r="A17" s="9" t="inlineStr">
        <is>
          <t>Intangible Assets &amp; Goodwill</t>
        </is>
      </c>
      <c r="B17" s="9" t="inlineStr">
        <is>
          <t>無形資產及商譽</t>
        </is>
      </c>
      <c r="C17" s="20" t="inlineStr">
        <is>
          <t>high</t>
        </is>
      </c>
      <c r="D17" s="12" t="inlineStr">
        <is>
          <t>licence</t>
        </is>
      </c>
      <c r="E17" s="12" t="inlineStr">
        <is>
          <t>PDF p.64 (印刷頁 63)</t>
        </is>
      </c>
      <c r="F17" s="12" t="inlineStr">
        <is>
          <t>erall financial performance may be adversely affected. There is no assurance that we are able to maintain and sustain our franchise/ licence model and operations, which are not within our control. Any material disruptions may adversely affect our revenue materially and substantially. Our reliance on landlords as we lease all premises for our Self-operated Outlets and Restaurants in Singapore and West Malaysia We lease all the properties for our Self-operated Outlets and Restaurants. Accordingly, rental costs including depreciat</t>
        </is>
      </c>
    </row>
    <row r="18">
      <c r="A18" s="9" t="inlineStr">
        <is>
          <t>Intangible Assets &amp; Goodwill</t>
        </is>
      </c>
      <c r="B18" s="9" t="inlineStr">
        <is>
          <t>無形資產及商譽</t>
        </is>
      </c>
      <c r="C18" s="20" t="inlineStr">
        <is>
          <t>high</t>
        </is>
      </c>
      <c r="D18" s="12" t="inlineStr">
        <is>
          <t>intangible asset</t>
        </is>
      </c>
      <c r="E18" s="12" t="inlineStr">
        <is>
          <t>PDF p.77 (印刷頁 76)</t>
        </is>
      </c>
      <c r="F18" s="12" t="inlineStr">
        <is>
          <t>ancial Position As at 31 March 2026 2025 Note S$’000 S$’000 ASSETS Non-current assets Property, plant and equipment 14 21,128 10,802 Intangible assets 79 114 21,207 10,916 Current assets Inventories 15 1,687 1,516 Trade and other receivables and prepayments 16 2,483 3,686 Tax refundable 107 159 Cash and cash equivalents 17 11,786 18,024 16,063 23,385 Total assets 37,270 34,301 EQUITY AND LIABILITIES Equity Share capital 18 1,392 1,392 Share premium 18 10,911 10,911 Reserves 19 10,400 11,829 Equity attributable to equity holders</t>
        </is>
      </c>
    </row>
    <row r="19">
      <c r="A19" s="9" t="inlineStr">
        <is>
          <t>Intangible Assets &amp; Goodwill</t>
        </is>
      </c>
      <c r="B19" s="9" t="inlineStr">
        <is>
          <t>無形資產及商譽</t>
        </is>
      </c>
      <c r="C19" s="20" t="inlineStr">
        <is>
          <t>high</t>
        </is>
      </c>
      <c r="D19" s="12" t="inlineStr">
        <is>
          <t>amortisation</t>
        </is>
      </c>
      <c r="E19" s="12" t="inlineStr">
        <is>
          <t>PDF p.80 (印刷頁 79)</t>
        </is>
      </c>
      <c r="F19" s="12" t="inlineStr">
        <is>
          <t>ing activities Loss before income tax (1,424) (124) Adjustments for: — Depreciation of property, plant and equipment 9 3,835 2,983 — Amortisation of franchise fees 9 35 35 — Interest income 11 (75) (316) — Interest expense 11 387 269 — Loss allowance — trade receivables 33 — — Loss arising from lease modification 1 — Operating profit before changes in working capital 2,792 2,847 Changes in working capital: — Inventories (171) (215) — Trade and other receivables and prepayments 1,170 (1,548) — Trade and other payables, including</t>
        </is>
      </c>
    </row>
    <row r="20">
      <c r="A20" s="9" t="inlineStr">
        <is>
          <t>Intangible Assets &amp; Goodwill</t>
        </is>
      </c>
      <c r="B20" s="9" t="inlineStr">
        <is>
          <t>無形資產及商譽</t>
        </is>
      </c>
      <c r="C20" s="20" t="inlineStr">
        <is>
          <t>high</t>
        </is>
      </c>
      <c r="D20" s="12" t="inlineStr">
        <is>
          <t>goodwill</t>
        </is>
      </c>
      <c r="E20" s="12" t="inlineStr">
        <is>
          <t>PDF p.86 (印刷頁 85)</t>
        </is>
      </c>
      <c r="F20" s="12" t="inlineStr">
        <is>
          <t>al statements exceeds the carrying amount in the consolidated statement of financial position of the investee’s net assets including goodwill (if any). 2.4 Revenue recognition Revenue from contracts with its customers is recognised when or as the Group satisfies a performance obligation by transferring a promised good or service generated in the ordinary course of the Group’s activities to its customer, at a transaction price that reflects the consideration the Group expects to be entitled in exchange for the goods or service a</t>
        </is>
      </c>
    </row>
    <row r="21">
      <c r="A21" s="9" t="inlineStr">
        <is>
          <t>Intangible Assets &amp; Goodwill</t>
        </is>
      </c>
      <c r="B21" s="9" t="inlineStr">
        <is>
          <t>無形資產及商譽</t>
        </is>
      </c>
      <c r="C21" s="20" t="inlineStr">
        <is>
          <t>high</t>
        </is>
      </c>
      <c r="D21" s="12" t="inlineStr">
        <is>
          <t>licence</t>
        </is>
      </c>
      <c r="E21" s="12" t="inlineStr">
        <is>
          <t>PDF p.87 (印刷頁 86)</t>
        </is>
      </c>
      <c r="F21" s="12" t="inlineStr">
        <is>
          <t>ial Statements 2 SUMMARY OF MATERIAL ACCOUNTING POLICIES (Continued) 2.4 Revenue recognition (Continued) (b) Franchise fee Franchise/licence fees are collected upfront upon entering into the franchising/licensing arrangement. Franchise/licence fees revenue is recognised on a straight-line basis over the respective franchise/licence terms. A contract liability is recognised when the Group has obligation to transfer goods or services to the franchisees/licensee for which the Group has received upfront fees from the franchisees/li</t>
        </is>
      </c>
    </row>
    <row r="22">
      <c r="A22" s="9" t="inlineStr">
        <is>
          <t>Intangible Assets &amp; Goodwill</t>
        </is>
      </c>
      <c r="B22" s="9" t="inlineStr">
        <is>
          <t>無形資產及商譽</t>
        </is>
      </c>
      <c r="C22" s="20" t="inlineStr">
        <is>
          <t>high</t>
        </is>
      </c>
      <c r="D22" s="12" t="inlineStr">
        <is>
          <t>goodwill</t>
        </is>
      </c>
      <c r="E22" s="12" t="inlineStr">
        <is>
          <t>PDF p.88 (印刷頁 87)</t>
        </is>
      </c>
      <c r="F22" s="12" t="inlineStr">
        <is>
          <t>ctible temporary differences can be utilised. Such assets and liabilities are not recognised if the temporary difference arises from goodwill or from the initial recognition (other than in a business combination) of other assets and liabilities in a transaction that affects neither the taxable profit nor the accounting profit and does not give rise to equal taxable and deductible temporary differences. Deferred tax liabilities are recognised on taxable temporary differences arising from investments in subsidiaries, except where</t>
        </is>
      </c>
    </row>
    <row r="23">
      <c r="A23" s="9" t="inlineStr">
        <is>
          <t>Intangible Assets &amp; Goodwill</t>
        </is>
      </c>
      <c r="B23" s="9" t="inlineStr">
        <is>
          <t>無形資產及商譽</t>
        </is>
      </c>
      <c r="C23" s="20" t="inlineStr">
        <is>
          <t>high</t>
        </is>
      </c>
      <c r="D23" s="12" t="inlineStr">
        <is>
          <t>goodwill</t>
        </is>
      </c>
      <c r="E23" s="12" t="inlineStr">
        <is>
          <t>PDF p.89 (印刷頁 88)</t>
        </is>
      </c>
      <c r="F23" s="12" t="inlineStr">
        <is>
          <t>al accounting for a business combination. In the case of a business combination, the tax effect is taken into account in calculating goodwill or determining the excess of the acquirer’s interest in the net fair value of the acquiree’s identifiable assets, liabilities and contingent liabilities over cost. 2.8 Dividends Equity dividends are recognised as a liability when they become legally payable. Interim dividends are recorded in the financial year in which they are declared payable. Final dividends are recorded in the financi</t>
        </is>
      </c>
    </row>
    <row r="24">
      <c r="A24" s="9" t="inlineStr">
        <is>
          <t>Intangible Assets &amp; Goodwill</t>
        </is>
      </c>
      <c r="B24" s="9" t="inlineStr">
        <is>
          <t>無形資產及商譽</t>
        </is>
      </c>
      <c r="C24" s="20" t="inlineStr">
        <is>
          <t>high</t>
        </is>
      </c>
      <c r="D24" s="12" t="inlineStr">
        <is>
          <t>amortisation</t>
        </is>
      </c>
      <c r="E24" s="12" t="inlineStr">
        <is>
          <t>PDF p.94 (印刷頁 93)</t>
        </is>
      </c>
      <c r="F24" s="12" t="inlineStr">
        <is>
          <t>tive yield basis in finance costs. A gain or loss is recognised in profit or loss when the liability is derecognised and through the amortisation process. Borrowings Interest-bearing bank loans and overdrafts are initially measured at fair value, and are subsequently measured at amortised cost, using the effective interest method. Any difference between the proceeds (net of transaction costs) and the settlement or redemption of borrowings is recognised over the term of the borrowings in accordance with the Group’s accounting po</t>
        </is>
      </c>
    </row>
    <row r="25">
      <c r="A25" s="9" t="inlineStr">
        <is>
          <t>Intangible Assets &amp; Goodwill</t>
        </is>
      </c>
      <c r="B25" s="9" t="inlineStr">
        <is>
          <t>無形資產及商譽</t>
        </is>
      </c>
      <c r="C25" s="20" t="inlineStr">
        <is>
          <t>high</t>
        </is>
      </c>
      <c r="D25" s="12" t="inlineStr">
        <is>
          <t>useful life</t>
        </is>
      </c>
      <c r="E25" s="12" t="inlineStr">
        <is>
          <t>PDF p.95 (印刷頁 94)</t>
        </is>
      </c>
      <c r="F25" s="12" t="inlineStr">
        <is>
          <t>the right-of-use asset reflects that the Group will exercise a purchase option, the right-of-use asset will be depreciated over the useful life of the underlying asset, which is determined on the same basis as those of property, plant and equipment. The right-of-use asset is also reduced by impairment losses, if any, and adjusted for certain remeasurements of the lease liability, where applicable. Right-of-use assets are presented within “property, plant and equipment”. The lease liability is initially measured at the present</t>
        </is>
      </c>
    </row>
    <row r="26">
      <c r="A26" s="9" t="inlineStr">
        <is>
          <t>Intangible Assets &amp; Goodwill</t>
        </is>
      </c>
      <c r="B26" s="9" t="inlineStr">
        <is>
          <t>無形資產及商譽</t>
        </is>
      </c>
      <c r="C26" s="20" t="inlineStr">
        <is>
          <t>high</t>
        </is>
      </c>
      <c r="D26" s="12" t="inlineStr">
        <is>
          <t>useful life</t>
        </is>
      </c>
      <c r="E26" s="12" t="inlineStr">
        <is>
          <t>PDF p.96 (印刷頁 95)</t>
        </is>
      </c>
      <c r="F26" s="12" t="inlineStr">
        <is>
          <t>and equipment, unless the decrease in the liability exceeds the carrying amount of the asset or the asset has reached the end of its useful life. In such cases, the excess of the decrease over the carrying amount of the asset or the changes in the liability is recognised in the consolidated statement of profit or loss and other comprehensive income immediately. The directors review the provisions annually and where in their opinion, the provision is inadequate or excessive, due adjustment is made. If the effect of the time valu</t>
        </is>
      </c>
    </row>
    <row r="27">
      <c r="A27" s="9" t="inlineStr">
        <is>
          <t>Intangible Assets &amp; Goodwill</t>
        </is>
      </c>
      <c r="B27" s="9" t="inlineStr">
        <is>
          <t>無形資產及商譽</t>
        </is>
      </c>
      <c r="C27" s="20" t="inlineStr">
        <is>
          <t>high</t>
        </is>
      </c>
      <c r="D27" s="12" t="inlineStr">
        <is>
          <t>useful life</t>
        </is>
      </c>
      <c r="E27" s="12" t="inlineStr">
        <is>
          <t>PDF p.105 (印刷頁 104)</t>
        </is>
      </c>
      <c r="F27" s="12" t="inlineStr">
        <is>
          <t>y, plant and equipment over their estimated useful lives after taking into account of their estimated residual values. The estimated useful life reflects management’s estimate of the period that the Group intends to derive future economic benefits from the use of the Group’s property, plant and equipment. The residual value reflects management’s estimated amount that the Group would currently obtain from the disposal of the asset, after deducting the estimated costs of disposal, as if the asset may already of the age and in the</t>
        </is>
      </c>
    </row>
    <row r="28">
      <c r="A28" s="9" t="inlineStr">
        <is>
          <t>Intangible Assets &amp; Goodwill</t>
        </is>
      </c>
      <c r="B28" s="9" t="inlineStr">
        <is>
          <t>無形資產及商譽</t>
        </is>
      </c>
      <c r="C28" s="20" t="inlineStr">
        <is>
          <t>high</t>
        </is>
      </c>
      <c r="D28" s="12" t="inlineStr">
        <is>
          <t>intangible asset</t>
        </is>
      </c>
      <c r="E28" s="12" t="inlineStr">
        <is>
          <t>PDF p.107 (印刷頁 106)</t>
        </is>
      </c>
      <c r="F28" s="12" t="inlineStr">
        <is>
          <t>ssets As at 31 March 2026 2025 S$’000 S$’000 Property, plant and equipment Singapore 16,440 9,472 Malaysia 4,688 1,330 21,128 10,802 Intangible assets Singapore 79 114 Other than revenue and non-current assets analysis, no operating results and other discrete financial information are regularly presented for CODM decision in making assessment of performance and allocation of resources. Accordingly, other than entity-wide information, no analysis of single operating segment is presented. Revenue of about S$3,455,000 (2025: S$2,9</t>
        </is>
      </c>
    </row>
    <row r="29">
      <c r="A29" s="9" t="inlineStr">
        <is>
          <t>Intangible Assets &amp; Goodwill</t>
        </is>
      </c>
      <c r="B29" s="9" t="inlineStr">
        <is>
          <t>無形資產及商譽</t>
        </is>
      </c>
      <c r="C29" s="20" t="inlineStr">
        <is>
          <t>high</t>
        </is>
      </c>
      <c r="D29" s="12" t="inlineStr">
        <is>
          <t>licence</t>
        </is>
      </c>
      <c r="E29" s="12" t="inlineStr">
        <is>
          <t>PDF p.132 (印刷頁 131)</t>
        </is>
      </c>
      <c r="F29" s="12" t="inlineStr">
        <is>
          <t>Standards Board “Independent Auditor” the independent auditor of the Company “Indonesia” the Republic of Indonesia “Indonesia Master Licence” or the master licence granted by STSS Company, an indirect wholly owned subsidiary of the Company, to “Master Licence” the Master Licensee in respect of, among others, the right to use the intellectual property rights of the Company, and to sub-license such rights to use such intellectual property rights, in Indonesia “INEDs” independent non-executive Director(s) “Listing” the commencemen</t>
        </is>
      </c>
    </row>
    <row r="30">
      <c r="A30" s="9" t="inlineStr">
        <is>
          <t>Investment Properties</t>
        </is>
      </c>
      <c r="B30" s="9" t="inlineStr">
        <is>
          <t>投資物業</t>
        </is>
      </c>
      <c r="C30" s="20" t="inlineStr">
        <is>
          <t>high</t>
        </is>
      </c>
      <c r="D30" s="12" t="inlineStr">
        <is>
          <t>capitalisation rate</t>
        </is>
      </c>
      <c r="E30" s="12" t="inlineStr">
        <is>
          <t>PDF p.87 (印刷頁 86)</t>
        </is>
      </c>
      <c r="F30" s="12" t="inlineStr">
        <is>
          <t>e assets are substantially ready for their intended use or sale. Borrowing costs on general borrowings are capitalised by applying a capitalisation rate to construction or development expenditures that are financed by general borrowings. Investment income earned on the temporary investment of specific borrowings pending their expenditure on qualifying assets is deducted from the borrowing costs eligible for capitalisation. All other borrowing costs are recognised in profit or loss in the period in which they are incurred. 2.6 E</t>
        </is>
      </c>
    </row>
    <row r="31">
      <c r="A31" s="9" t="inlineStr">
        <is>
          <t>ESG Data</t>
        </is>
      </c>
      <c r="B31" s="9" t="inlineStr">
        <is>
          <t>環境社會及管治數據</t>
        </is>
      </c>
      <c r="C31" s="9" t="inlineStr">
        <is>
          <t>medium</t>
        </is>
      </c>
      <c r="D31" s="12" t="inlineStr">
        <is>
          <t>ESG</t>
        </is>
      </c>
      <c r="E31" s="12" t="inlineStr">
        <is>
          <t>PDF p.10 (印刷頁 9)</t>
        </is>
      </c>
      <c r="F31" s="12" t="inlineStr">
        <is>
          <t>oceeds from the Share Offer, the Group did not have any plan for material investment and capital asset as at 31 March 2025 and 2026. ESG performance The Group continually reviews its ESG efforts, corporate governance and risk management practices with an aim to create and deliver sustainable value to all its key stakeholders. The Group is constantly exploring more efficient opportunities to reduce the consumption of resources in order to reduce its impact on the environment. For more information regarding the Group’s ESG perfor</t>
        </is>
      </c>
    </row>
    <row r="32">
      <c r="A32" s="9" t="inlineStr">
        <is>
          <t>ESG Data</t>
        </is>
      </c>
      <c r="B32" s="9" t="inlineStr">
        <is>
          <t>環境社會及管治數據</t>
        </is>
      </c>
      <c r="C32" s="9" t="inlineStr">
        <is>
          <t>medium</t>
        </is>
      </c>
      <c r="D32" s="12" t="inlineStr">
        <is>
          <t>sustainability</t>
        </is>
      </c>
      <c r="E32" s="12" t="inlineStr">
        <is>
          <t>PDF p.14 (印刷頁 13)</t>
        </is>
      </c>
      <c r="F32" s="12" t="inlineStr">
        <is>
          <t>of transparency and accountability, which not only maximise the corporate value for the Shareholders but also protect the long-term sustainability of the Group as a whole. During the Year, the Company has complied with all the mandatory disclosure requirements and all the provisions as set out in the section headed “Part 2 — Principles of good corporate governance, code provisions and recommended best practices” of the CG Code. The Board periodically reviews and continues to abide by the Company’s corporate governance policies</t>
        </is>
      </c>
    </row>
    <row r="33">
      <c r="A33" s="9" t="inlineStr">
        <is>
          <t>ESG Data</t>
        </is>
      </c>
      <c r="B33" s="9" t="inlineStr">
        <is>
          <t>環境社會及管治數據</t>
        </is>
      </c>
      <c r="C33" s="9" t="inlineStr">
        <is>
          <t>medium</t>
        </is>
      </c>
      <c r="D33" s="12" t="inlineStr">
        <is>
          <t>ESG</t>
        </is>
      </c>
      <c r="E33" s="12" t="inlineStr">
        <is>
          <t>PDF p.22 (印刷頁 21)</t>
        </is>
      </c>
      <c r="F33" s="12" t="inlineStr">
        <is>
          <t>reviewed compliance with the CG Code and made necessary disclosure in the 2025/2026 Annual Report; and (5) reviewed and approved the ESG report for the Year 2024/2025. REMUNERATION OF DIRECTORS AND SENIOR MANAGEMENT Pursuant to code provision E.1.5 of the CG Code, the remuneration for the Year of the members of the senior management which are the two executive Directors whose particulars are contained in the section headed “Biographies of Directors and Senior Management” in this Annual Report. The particulars of the Directors’</t>
        </is>
      </c>
    </row>
    <row r="34">
      <c r="A34" s="9" t="inlineStr">
        <is>
          <t>ESG Data</t>
        </is>
      </c>
      <c r="B34" s="9" t="inlineStr">
        <is>
          <t>環境社會及管治數據</t>
        </is>
      </c>
      <c r="C34" s="9" t="inlineStr">
        <is>
          <t>medium</t>
        </is>
      </c>
      <c r="D34" s="12" t="inlineStr">
        <is>
          <t>ESG</t>
        </is>
      </c>
      <c r="E34" s="12" t="inlineStr">
        <is>
          <t>PDF p.23 (印刷頁 22)</t>
        </is>
      </c>
      <c r="F34" s="12" t="inlineStr">
        <is>
          <t>nance structure allows the Company to have a better understanding of, and to evaluate and manage, risks and opportunities (including ESG risks and opportunities). The Board acknowledges its responsibility for overseeing the Group’s risk management and internal control systems and reviewing their effectiveness at least annually. The Audit Committee assists the Board in fulfilling its oversight and corporate governance roles in the Group’s financial, operational, compliance, risk management and internal control system. An externa</t>
        </is>
      </c>
    </row>
    <row r="35">
      <c r="A35" s="9" t="inlineStr">
        <is>
          <t>ESG Data</t>
        </is>
      </c>
      <c r="B35" s="9" t="inlineStr">
        <is>
          <t>環境社會及管治數據</t>
        </is>
      </c>
      <c r="C35" s="9" t="inlineStr">
        <is>
          <t>medium</t>
        </is>
      </c>
      <c r="D35" s="12" t="inlineStr">
        <is>
          <t>ESG</t>
        </is>
      </c>
      <c r="E35" s="12" t="inlineStr">
        <is>
          <t>PDF p.27 (印刷頁 26)</t>
        </is>
      </c>
      <c r="F35" s="12" t="inlineStr">
        <is>
          <t>(the “Company”, together with its subsidiaries, the “Group”) is pleased to present the annual Environmental, Social and Governance (“ESG”) Report (the “Report”) for the financial year ended 31 March 2026 (“FY2026” or “Reporting Year”). The Group is a food and beverage (“F&amp;B”) enterprise operating under the Shihlin Taiwan Street Snacks® brand, specialising in authentic Taiwanese snacks and beverages. Established in 2003, the brand was founded with the vision of introducing the genuine flavours of Taiwanese night markets to the i</t>
        </is>
      </c>
    </row>
    <row r="36">
      <c r="A36" s="9" t="inlineStr">
        <is>
          <t>ESG Data</t>
        </is>
      </c>
      <c r="B36" s="9" t="inlineStr">
        <is>
          <t>環境社會及管治數據</t>
        </is>
      </c>
      <c r="C36" s="9" t="inlineStr">
        <is>
          <t>medium</t>
        </is>
      </c>
      <c r="D36" s="12" t="inlineStr">
        <is>
          <t>ESG</t>
        </is>
      </c>
      <c r="E36" s="12" t="inlineStr">
        <is>
          <t>PDF p.28 (印刷頁 27)</t>
        </is>
      </c>
      <c r="F36" s="12" t="inlineStr">
        <is>
          <t>nce issues for the financial year ended 31 March 2026. The key performance indicator (“KPI”) data and contents presented within this ESG Report, disclosed in good faith and to the best of our knowledge, demonstrates the key approaches and practices to address our material ESGS aspects and discloses the future performance targets on our ESG performances. SCOPE OF REPORTING The Report covers our operating activities under direct management control, including its office and self-operated outlets in Singapore and Malaysia. REPORTIN</t>
        </is>
      </c>
    </row>
    <row r="37">
      <c r="A37" s="9" t="inlineStr">
        <is>
          <t>ESG Data</t>
        </is>
      </c>
      <c r="B37" s="9" t="inlineStr">
        <is>
          <t>環境社會及管治數據</t>
        </is>
      </c>
      <c r="C37" s="9" t="inlineStr">
        <is>
          <t>medium</t>
        </is>
      </c>
      <c r="D37" s="12" t="inlineStr">
        <is>
          <t>ESG</t>
        </is>
      </c>
      <c r="E37" s="12" t="inlineStr">
        <is>
          <t>PDF p.29 (印刷頁 28)</t>
        </is>
      </c>
      <c r="F37" s="12" t="inlineStr">
        <is>
          <t>ions Community, NGOs and Media Media releases • Giving back to society Donation or fundraising activities • Environmental protection ESG report • Ethical business practices</t>
        </is>
      </c>
    </row>
    <row r="38">
      <c r="A38" s="9" t="inlineStr">
        <is>
          <t>ESG Data</t>
        </is>
      </c>
      <c r="B38" s="9" t="inlineStr">
        <is>
          <t>環境社會及管治數據</t>
        </is>
      </c>
      <c r="C38" s="9" t="inlineStr">
        <is>
          <t>medium</t>
        </is>
      </c>
      <c r="D38" s="12" t="inlineStr">
        <is>
          <t>ESG</t>
        </is>
      </c>
      <c r="E38" s="12" t="inlineStr">
        <is>
          <t>PDF p.30 (印刷頁 29)</t>
        </is>
      </c>
      <c r="F38" s="12" t="inlineStr">
        <is>
          <t>ntal, Social and Governance Report MATERIALITY ASSESSMENT We conduct an annual materiality assessment to identify and prioritise the ESG topics that are most relevant to our stakeholders and business operations. The assessment is led by our ESG taskforce, which evaluates the potential impacts of each topic on our business, the economy, the environment, and society. The identified ESG topics are reviewed and validated by our Board and serve as the basis for shaping our sustainability strategy, initiatives, and objectives. Each t</t>
        </is>
      </c>
    </row>
    <row r="39">
      <c r="A39" s="9" t="inlineStr">
        <is>
          <t>ESG Data</t>
        </is>
      </c>
      <c r="B39" s="9" t="inlineStr">
        <is>
          <t>環境社會及管治數據</t>
        </is>
      </c>
      <c r="C39" s="9" t="inlineStr">
        <is>
          <t>medium</t>
        </is>
      </c>
      <c r="D39" s="12" t="inlineStr">
        <is>
          <t>carbon</t>
        </is>
      </c>
      <c r="E39" s="12" t="inlineStr">
        <is>
          <t>PDF p.31 (印刷頁 30)</t>
        </is>
      </c>
      <c r="F39" s="12" t="inlineStr">
        <is>
          <t>overnance Report CLIMATE-RELATED DISCLOSURES We are committed to addressing climate change as the global economy moves towards a low-carbon future. Our climate response is guided by recognised market practices and the International Financial Reporting Standards Sustainability Disclosure Standards (“IFRS S2”) framework, providing a structured approach to identifying, assessing and managing climate-related risks and opportunities (“CRROs”) across our operations. FY2026 is our inaugural year of climate-related disclosure under an</t>
        </is>
      </c>
    </row>
    <row r="40">
      <c r="A40" s="9" t="inlineStr">
        <is>
          <t>ESG Data</t>
        </is>
      </c>
      <c r="B40" s="9" t="inlineStr">
        <is>
          <t>環境社會及管治數據</t>
        </is>
      </c>
      <c r="C40" s="9" t="inlineStr">
        <is>
          <t>medium</t>
        </is>
      </c>
      <c r="D40" s="12" t="inlineStr">
        <is>
          <t>greenhouse gas</t>
        </is>
      </c>
      <c r="E40" s="12" t="inlineStr">
        <is>
          <t>PDF p.32 (印刷頁 31)</t>
        </is>
      </c>
      <c r="F40" s="12" t="inlineStr">
        <is>
          <t>outlet operations and distribution logistics. Mitigation Strategy On mitigation, our strategy focuses on systematically reducing our greenhouse gas emissions footprint through operational efficiency, equipment renewal and a considered transition towards lower-carbon energy sources. Near-term initiatives include the replacement of ageing kitchen equipment with higher-efficiency models, the upgrading of refrigeration and display chiller units to lower global-warming-potential alternatives, and the roll-out of LED lighting retrofi</t>
        </is>
      </c>
    </row>
    <row r="41">
      <c r="A41" s="9" t="inlineStr">
        <is>
          <t>ESG Data</t>
        </is>
      </c>
      <c r="B41" s="9" t="inlineStr">
        <is>
          <t>環境社會及管治數據</t>
        </is>
      </c>
      <c r="C41" s="9" t="inlineStr">
        <is>
          <t>medium</t>
        </is>
      </c>
      <c r="D41" s="12" t="inlineStr">
        <is>
          <t>carbon</t>
        </is>
      </c>
      <c r="E41" s="12" t="inlineStr">
        <is>
          <t>PDF p.33 (印刷頁 32)</t>
        </is>
      </c>
      <c r="F41" s="12" t="inlineStr">
        <is>
          <t>cost inflation may erode regular market research to resource scarcity or profitability if cost increases anticipate cost movements; carbon-related surcharges. cannot be fully passed through maintain appropriate safety to consumers. stocks for critical ingredients. Market: Energy and Increased cost of energy driven Short to medium Electricity is the primary operational Implement energy-saving initiatives Fuel by carbon pricing, supply term cost driver for F&amp;B outlets, across all outlets; monitor volatility or the accelerating p</t>
        </is>
      </c>
    </row>
    <row r="42">
      <c r="A42" s="9" t="inlineStr">
        <is>
          <t>ESG Data</t>
        </is>
      </c>
      <c r="B42" s="9" t="inlineStr">
        <is>
          <t>環境社會及管治數據</t>
        </is>
      </c>
      <c r="C42" s="9" t="inlineStr">
        <is>
          <t>medium</t>
        </is>
      </c>
      <c r="D42" s="12" t="inlineStr">
        <is>
          <t>carbon</t>
        </is>
      </c>
      <c r="E42" s="12" t="inlineStr">
        <is>
          <t>PDF p.34 (印刷頁 33)</t>
        </is>
      </c>
      <c r="F42" s="12" t="inlineStr">
        <is>
          <t>. Efficiency lighting, inverter air-conditioning and smart energy management systems can reduce long-term energy costs and lower our carbon footprint. Scenario Analysis on CRROs In FY2026, members of the ESG taskforce undertook an assessment to identify CRROs relevant to us. Insights from academic and industry research were used to evaluate the potential implications of these factors for our business model, strategy and financial planning. Our climate scenario analysis is based on three pathways based on research by the IPCC, I</t>
        </is>
      </c>
    </row>
    <row r="43">
      <c r="A43" s="9" t="inlineStr">
        <is>
          <t>ESG Data</t>
        </is>
      </c>
      <c r="B43" s="9" t="inlineStr">
        <is>
          <t>環境社會及管治數據</t>
        </is>
      </c>
      <c r="C43" s="9" t="inlineStr">
        <is>
          <t>medium</t>
        </is>
      </c>
      <c r="D43" s="12" t="inlineStr">
        <is>
          <t>carbon</t>
        </is>
      </c>
      <c r="E43" s="12" t="inlineStr">
        <is>
          <t>PDF p.35 (印刷頁 34)</t>
        </is>
      </c>
      <c r="F43" s="12" t="inlineStr">
        <is>
          <t>and Technology Lower-/moderate-warming: Prioritising store-level energy efficiency and lower-GWP cooling aligns with Strategy rising carbon-price signals (e.g., Singapore’s carbon-tax path), containing OPEX and supporting compliance as HFC phase-downs tighten. Higher-warming: If technology costs escalate or adoption lags (e.g., shortage of compliant equipment/ technicians), additional CAPEX may be required to sustain competitiveness and meet refrigerant regulations; proactive replacement cycles and technician certification miti</t>
        </is>
      </c>
    </row>
    <row r="44">
      <c r="A44" s="9" t="inlineStr">
        <is>
          <t>ESG Data</t>
        </is>
      </c>
      <c r="B44" s="9" t="inlineStr">
        <is>
          <t>環境社會及管治數據</t>
        </is>
      </c>
      <c r="C44" s="9" t="inlineStr">
        <is>
          <t>medium</t>
        </is>
      </c>
      <c r="D44" s="12" t="inlineStr">
        <is>
          <t>greenhouse gas</t>
        </is>
      </c>
      <c r="E44" s="12" t="inlineStr">
        <is>
          <t>PDF p.36 (印刷頁 35)</t>
        </is>
      </c>
      <c r="F44" s="12" t="inlineStr">
        <is>
          <t>ly integrated into our enterprise risk management framework. Metrics and Targets We track climate-related performance using: Scope 1 greenhouse gas (“GHG”) emissions (e.g., cooking fuels), Scope 2 emissions from purchased electricity. Measurement follows the GHG Protocol Corporate Accounting and Reporting Standard (including the Scope 2 Guidance) with an operational-control organisational boundary; energy consumption (kWh) is monitored at site level to support intensity tracking and efficiency planning. During the Reporting Yea</t>
        </is>
      </c>
    </row>
    <row r="45">
      <c r="A45" s="9" t="inlineStr">
        <is>
          <t>ESG Data</t>
        </is>
      </c>
      <c r="B45" s="9" t="inlineStr">
        <is>
          <t>環境社會及管治數據</t>
        </is>
      </c>
      <c r="C45" s="9" t="inlineStr">
        <is>
          <t>medium</t>
        </is>
      </c>
      <c r="D45" s="12" t="inlineStr">
        <is>
          <t>greenhouse gas</t>
        </is>
      </c>
      <c r="E45" s="12" t="inlineStr">
        <is>
          <t>PDF p.37 (印刷頁 36)</t>
        </is>
      </c>
      <c r="F45" s="12" t="inlineStr">
        <is>
          <t>ving this target. 4 GHG emissions data is presented in terms of carbon dioxide equivalent and are based on, but not limited to, “The Greenhouse Gas Protocol: A Corporate Accounting and Reporting Standards” issued by the World Resources Institute and the World Business Council for Sustainable Development, “Table of Contents for Singapore Energy Statistics 2022” issued by Energy Market Authority, and “2017 CDM Electricity Baseline for Malaysia” issued by Malaysian Green Technology Corporation. 5 Scope 2 emission for FY2024 has be</t>
        </is>
      </c>
    </row>
    <row r="46">
      <c r="A46" s="9" t="inlineStr">
        <is>
          <t>ESG Data</t>
        </is>
      </c>
      <c r="B46" s="9" t="inlineStr">
        <is>
          <t>環境社會及管治數據</t>
        </is>
      </c>
      <c r="C46" s="9" t="inlineStr">
        <is>
          <t>medium</t>
        </is>
      </c>
      <c r="D46" s="12" t="inlineStr">
        <is>
          <t>energy consumption</t>
        </is>
      </c>
      <c r="E46" s="12" t="inlineStr">
        <is>
          <t>PDF p.39 (印刷頁 38)</t>
        </is>
      </c>
      <c r="F46" s="12" t="inlineStr">
        <is>
          <t>ysia. Employees are encouraged to adopt energy-efficient and responsible electricity usage practices. In addition, to further reduce energy consumption and improve energy efficiency, we have implemented the following measures across our F&amp;B outlets: • Turn off cooking appliances and cleaning devices when they are not in use; • Install energy-saving fixtures and fittings, such as LED lights and motion sensors; • Purchase energy efficient electrical appliances at the newly opened outlets; • Regular maintenance of kitchen equipmen</t>
        </is>
      </c>
    </row>
    <row r="47">
      <c r="A47" s="9" t="inlineStr">
        <is>
          <t>ESG Data</t>
        </is>
      </c>
      <c r="B47" s="9" t="inlineStr">
        <is>
          <t>環境社會及管治數據</t>
        </is>
      </c>
      <c r="C47" s="9" t="inlineStr">
        <is>
          <t>medium</t>
        </is>
      </c>
      <c r="D47" s="12" t="inlineStr">
        <is>
          <t>ESG</t>
        </is>
      </c>
      <c r="E47" s="12" t="inlineStr">
        <is>
          <t>PDF p.44 (印刷頁 43)</t>
        </is>
      </c>
      <c r="F47" s="12" t="inlineStr">
        <is>
          <t>in the category divided by the total employees in that category, multiplied by 100, in accordance with HKEX’s Step-by-step Guide to ESG Reporting (March 2020). 14 FY2025 turnover data by gender and geographical region has been restated from 30.7% to 37.0% and 24.1% to 72.7% for Singapore and Malaysia, respectively, due to calculation error in the previous reporting cycle. 15 FY2025 turnover data by age group has been restated from 40.2% to 63.0%, 11.6% to 29.5%, and 3.0% to 23.1% for “Below 30 Years Old”, “30–50 Years Old”, an</t>
        </is>
      </c>
    </row>
    <row r="48">
      <c r="A48" s="9" t="inlineStr">
        <is>
          <t>ESG Data</t>
        </is>
      </c>
      <c r="B48" s="9" t="inlineStr">
        <is>
          <t>環境社會及管治數據</t>
        </is>
      </c>
      <c r="C48" s="9" t="inlineStr">
        <is>
          <t>medium</t>
        </is>
      </c>
      <c r="D48" s="12" t="inlineStr">
        <is>
          <t>ESG</t>
        </is>
      </c>
      <c r="E48" s="12" t="inlineStr">
        <is>
          <t>PDF p.46 (印刷頁 45)</t>
        </is>
      </c>
      <c r="F48" s="12" t="inlineStr">
        <is>
          <t>in the category divided by the total employees in that category, multiplied by 100, in accordance with HKEX’s Step-by-step Guide to ESG Reporting (March 2020).</t>
        </is>
      </c>
    </row>
    <row r="49">
      <c r="A49" s="9" t="inlineStr">
        <is>
          <t>ESG Data</t>
        </is>
      </c>
      <c r="B49" s="9" t="inlineStr">
        <is>
          <t>環境社會及管治數據</t>
        </is>
      </c>
      <c r="C49" s="9" t="inlineStr">
        <is>
          <t>medium</t>
        </is>
      </c>
      <c r="D49" s="12" t="inlineStr">
        <is>
          <t>ESG</t>
        </is>
      </c>
      <c r="E49" s="12" t="inlineStr">
        <is>
          <t>PDF p.53 (印刷頁 52)</t>
        </is>
      </c>
      <c r="F49" s="12" t="inlineStr">
        <is>
          <t>52 SNACK EMPIRE HOLDINGS LIMITED Annual Report 2025/2026 Environmental, Social and Governance Report THE ESG REPORTING GUIDE CONTENT INDEX OF THE STOCK EXCHANGE OF HONG KONG LIMITED The ESG Report is prepared in accordance with the ESG Reporting Code as set out in Appendix C2 to the Listing Rules. Section Description Reference Part B of Appendix C2: Mandatory Disclosure Requirements Governance Structure • A statement from the board containing the following • Board Statement elements: (a) a disclosure</t>
        </is>
      </c>
    </row>
    <row r="50">
      <c r="A50" s="9" t="inlineStr">
        <is>
          <t>ESG Data</t>
        </is>
      </c>
      <c r="B50" s="9" t="inlineStr">
        <is>
          <t>環境社會及管治數據</t>
        </is>
      </c>
      <c r="C50" s="9" t="inlineStr">
        <is>
          <t>medium</t>
        </is>
      </c>
      <c r="D50" s="12" t="inlineStr">
        <is>
          <t>energy consumption</t>
        </is>
      </c>
      <c r="E50" s="12" t="inlineStr">
        <is>
          <t>PDF p.55 (印刷頁 54)</t>
        </is>
      </c>
      <c r="F50" s="12" t="inlineStr">
        <is>
          <t>rces • Policies on the efficient use of resources, including energy, water and other raw materials KPI A2.1 • Direct and/or indirect energy consumption by type • Material Area 3: Use of Resources (e.g., electricity, gas or oil) in total (kWh in’000s) • Intensity (e.g., per unit of production volume, per facility) KPI A2.2 • Water consumption in total • Material Area 3: Use of Resources • Intensity (e.g., per unit of production volume, per facility) KPI A2.3 • Description of energy use efficiency target(s) set • Material Area 3:</t>
        </is>
      </c>
    </row>
    <row r="51">
      <c r="A51" s="9" t="inlineStr">
        <is>
          <t>ESG Data</t>
        </is>
      </c>
      <c r="B51" s="9" t="inlineStr">
        <is>
          <t>環境社會及管治數據</t>
        </is>
      </c>
      <c r="C51" s="9" t="inlineStr">
        <is>
          <t>medium</t>
        </is>
      </c>
      <c r="D51" s="12" t="inlineStr">
        <is>
          <t>greenhouse gas</t>
        </is>
      </c>
      <c r="E51" s="12" t="inlineStr">
        <is>
          <t>PDF p.61 (印刷頁 60)</t>
        </is>
      </c>
      <c r="F51" s="12" t="inlineStr">
        <is>
          <t>l risk management system. Metrics and Targets Para 28 &amp; 29 • Mandatory disclosure of absolute gross GHG • Material Area 1: Emissions Greenhouse Gas (GHG) emissions (metric tons of CO2 equivalent) for: Emissions (Scope 1 &amp; 2: (a) Scope 1 GHG emissions; Mandatory) (b) Scope 2 GHG emissions (location-based, with information on contractual instruments); (c) Scope 3 GHG emissions, including the categories included. Para 30 • Disclosure of the amount and percentage of assets • Not disclosed due to limited data Climate-related Transit</t>
        </is>
      </c>
    </row>
    <row r="52">
      <c r="A52" s="9" t="inlineStr">
        <is>
          <t>ESG Data</t>
        </is>
      </c>
      <c r="B52" s="9" t="inlineStr">
        <is>
          <t>環境社會及管治數據</t>
        </is>
      </c>
      <c r="C52" s="9" t="inlineStr">
        <is>
          <t>medium</t>
        </is>
      </c>
      <c r="D52" s="12" t="inlineStr">
        <is>
          <t>greenhouse gas</t>
        </is>
      </c>
      <c r="E52" s="12" t="inlineStr">
        <is>
          <t>PDF p.62 (印刷頁 61)</t>
        </is>
      </c>
      <c r="F52" s="12" t="inlineStr">
        <is>
          <t>gulation. • Material Area 3: Use of Resources Para 40 • For each GHG emissions target, the disclose the • Material Area 1: Emissions Greenhouse Gas Emissions greenhouse gases covered, whether the target Targets applies to Scope 1, 2, or 3 emissions, and whether the target is set on a gross or net basis. Also disclose whether a sectoral decarbonisation approach is applied and the planned use of carbon credits, including the extent of reliance on credits, the verification scheme used, and the type of credits.</t>
        </is>
      </c>
    </row>
    <row r="53">
      <c r="A53" s="9" t="inlineStr">
        <is>
          <t>ESG Data</t>
        </is>
      </c>
      <c r="B53" s="9" t="inlineStr">
        <is>
          <t>環境社會及管治數據</t>
        </is>
      </c>
      <c r="C53" s="9" t="inlineStr">
        <is>
          <t>medium</t>
        </is>
      </c>
      <c r="D53" s="12" t="inlineStr">
        <is>
          <t>ESG</t>
        </is>
      </c>
      <c r="E53" s="12" t="inlineStr">
        <is>
          <t>PDF p.63 (印刷頁 62)</t>
        </is>
      </c>
      <c r="F53" s="12" t="inlineStr">
        <is>
          <t>ty and safety, customers, suppliers, employees, community involvement and environmental protection are set out in the section headed ESG report of this Annual Report. PRINCIPAL RISKS AND UNCERTAINTIES The Directors are aware that the Group’s financial condition, results of operation, businesses and prospects may be affected by a number of risks and uncertainties. The followings are the principal risks and uncertainties faced by the Group, which may materially adversely affect our business, financial condition or results of oper</t>
        </is>
      </c>
    </row>
    <row r="54">
      <c r="A54" s="9" t="inlineStr">
        <is>
          <t>ESG Data</t>
        </is>
      </c>
      <c r="B54" s="9" t="inlineStr">
        <is>
          <t>環境社會及管治數據</t>
        </is>
      </c>
      <c r="C54" s="9" t="inlineStr">
        <is>
          <t>medium</t>
        </is>
      </c>
      <c r="D54" s="12" t="inlineStr">
        <is>
          <t>ESG</t>
        </is>
      </c>
      <c r="E54" s="12" t="inlineStr">
        <is>
          <t>PDF p.131 (印刷頁 130)</t>
        </is>
      </c>
      <c r="F54" s="12" t="inlineStr">
        <is>
          <t>ritory “EGM” the extraordinary general meeting of the Company “Egypt” the Arab Republic of Egypt “ERP” Enterprise Resource Planning “ESG” the environmental, social and governance “Franchisees” units Franchisees and Master Franchisees, collectively and “Franchisee” means any one of them “Group” the Company and its subsidiaries “HK$” or “HKD” Hong Kong dollars, the lawful currency of Hong Kong</t>
        </is>
      </c>
    </row>
    <row r="55">
      <c r="A55" s="9" t="inlineStr">
        <is>
          <t>R&amp;D Expenditure</t>
        </is>
      </c>
      <c r="B55" s="9" t="inlineStr">
        <is>
          <t>研發開支</t>
        </is>
      </c>
      <c r="C55" s="9" t="inlineStr">
        <is>
          <t>medium</t>
        </is>
      </c>
      <c r="D55" s="12" t="inlineStr">
        <is>
          <t>research and development</t>
        </is>
      </c>
      <c r="E55" s="12" t="inlineStr">
        <is>
          <t>PDF p.15 (印刷頁 14)</t>
        </is>
      </c>
      <c r="F55" s="12" t="inlineStr">
        <is>
          <t>eration and business, including but not limited to, business operation, management, accounting and finance, legal and compliance and research and development. INDEPENDENT VIEWS OF THE BOARD In compliance with code provision B.1.4 of the CG Code, the Company has established mechanisms to ensure that a strong independent element on, and independent views and input are available to the Board (the “Mechanisms”). The Mechanisms cover the composition of the Board and Board Committees, the independence assessment of the INED, Board de</t>
        </is>
      </c>
    </row>
    <row r="56">
      <c r="A56" s="9" t="inlineStr">
        <is>
          <t>Segment Information</t>
        </is>
      </c>
      <c r="B56" s="9" t="inlineStr">
        <is>
          <t>分部資料</t>
        </is>
      </c>
      <c r="C56" s="9" t="inlineStr">
        <is>
          <t>medium</t>
        </is>
      </c>
      <c r="D56" s="12" t="inlineStr">
        <is>
          <t>geographical</t>
        </is>
      </c>
      <c r="E56" s="12" t="inlineStr">
        <is>
          <t>PDF p.42 (印刷頁 41)</t>
        </is>
      </c>
      <c r="F56" s="12" t="inlineStr">
        <is>
          <t>male 92 124 130 55.1% 54.7% 56.3% By Employment Type Full-time 129 153 158 77.2% 66.2% 68.4% Part-time 38 78 73 22.8% 33.8% 31.6% By Geographical Region Singapore 122 165 181 73.1% 71.4% 78.4% Malaysia 45 66 50 26.9% 28.6% 21.6% The increase in headcount in Singapore was primarily driven by the expansion of the central kitchen and the opening of new outlets during FY2026. In Malaysia, the decrease in headcount was mainly attributable to higher employee turnover, recruitment challenges, and increased competition for talent withi</t>
        </is>
      </c>
    </row>
    <row r="57">
      <c r="A57" s="9" t="inlineStr">
        <is>
          <t>Segment Information</t>
        </is>
      </c>
      <c r="B57" s="9" t="inlineStr">
        <is>
          <t>分部資料</t>
        </is>
      </c>
      <c r="C57" s="9" t="inlineStr">
        <is>
          <t>medium</t>
        </is>
      </c>
      <c r="D57" s="12" t="inlineStr">
        <is>
          <t>geographical</t>
        </is>
      </c>
      <c r="E57" s="12" t="inlineStr">
        <is>
          <t>PDF p.44 (印刷頁 43)</t>
        </is>
      </c>
      <c r="F57" s="12" t="inlineStr">
        <is>
          <t>ategories FY2024 FY2025 FY2026 FY2024 FY202514 FY2026 By Gender Male 32 57 15 42.7% 53.3% 14.9% Female 44 52 18 47.8% 41.9% 13.9% By Geographical Region Singapore 73 61 19 59.8% 37.0% 10.5% Malaysia 3 48 14 6.7% 72.7% 28.0% Turnover Statistics by Age Group Headcount Percentage Categories FY2024 FY2025 FY2026 FY2024 FY202515 FY2026 Below 30 Years Old 49 80 17 62.8% 63.0% 19.3% 30–50 Years Old 20 23 12 28.2% 29.5% 10.3% Above 50 Years Old 7 6 4 38.9% 23.1% 15.4% Employee Feedback and Grievance We are committed to fostering an ope</t>
        </is>
      </c>
    </row>
    <row r="58">
      <c r="A58" s="9" t="inlineStr">
        <is>
          <t>Segment Information</t>
        </is>
      </c>
      <c r="B58" s="9" t="inlineStr">
        <is>
          <t>分部資料</t>
        </is>
      </c>
      <c r="C58" s="9" t="inlineStr">
        <is>
          <t>medium</t>
        </is>
      </c>
      <c r="D58" s="12" t="inlineStr">
        <is>
          <t>geographical</t>
        </is>
      </c>
      <c r="E58" s="12" t="inlineStr">
        <is>
          <t>PDF p.48 (印刷頁 47)</t>
        </is>
      </c>
      <c r="F58" s="12" t="inlineStr">
        <is>
          <t>delivered under our brand. As at 31 March 2026, we maintained a total of 87 approved food suppliers (FY2025: 40; FY2024: 40). Their geographical distribution is as follows: Approved Suppliers and Distribution by Region Count Distribution Categories FY2024 FY2025 FY2026 FY2024 FY2025 FY2026 Singapore 14 14 61 35.0% 35.0% 70.1% Malaysia 21 21 20 52.5% 52.5% 23.0% Taiwan 3 3 4 7.5% 7.5% 4.6% Vietnam 1 1 1 2.5% 2.5% 1.1% Thailand 1 1 1 2.5% 2.5% 1.1% Total 40 40 87 100% 100% 100% The number of approved suppliers increased signific</t>
        </is>
      </c>
    </row>
    <row r="59">
      <c r="A59" s="9" t="inlineStr">
        <is>
          <t>Segment Information</t>
        </is>
      </c>
      <c r="B59" s="9" t="inlineStr">
        <is>
          <t>分部資料</t>
        </is>
      </c>
      <c r="C59" s="9" t="inlineStr">
        <is>
          <t>medium</t>
        </is>
      </c>
      <c r="D59" s="12" t="inlineStr">
        <is>
          <t>geographical</t>
        </is>
      </c>
      <c r="E59" s="12" t="inlineStr">
        <is>
          <t>PDF p.56 (印刷頁 55)</t>
        </is>
      </c>
      <c r="F59" s="12" t="inlineStr">
        <is>
          <t>Total workforce by gender, employment type (for • Material Area 6: Employment example, full- or part-time), age group and Practices geographical region KPI B1.2 • Employee turnover rate by gender, age group and • Material Area 6: Employment geographical region Practices Aspect B2: Health and Safety • General Disclosure • Material Area 7: Health and Safety • Information on: (a) the policies; and (b) compliance with relevant laws and regulations that have a significant impact on the issuer KPI B2.1 • Number and rate of work-rela</t>
        </is>
      </c>
    </row>
    <row r="60">
      <c r="A60" s="9" t="inlineStr">
        <is>
          <t>Segment Information</t>
        </is>
      </c>
      <c r="B60" s="9" t="inlineStr">
        <is>
          <t>分部資料</t>
        </is>
      </c>
      <c r="C60" s="9" t="inlineStr">
        <is>
          <t>medium</t>
        </is>
      </c>
      <c r="D60" s="12" t="inlineStr">
        <is>
          <t>geographical</t>
        </is>
      </c>
      <c r="E60" s="12" t="inlineStr">
        <is>
          <t>PDF p.57 (印刷頁 56)</t>
        </is>
      </c>
      <c r="F60" s="12" t="inlineStr">
        <is>
          <t>er Management • Policies on managing environmental and social risks Management of the supply chain KPI B5.1 • Number of suppliers by geographical region • Material Area 10: Supplier Management KPI B5.2 • Description of practices relating to engaging • Material Area 10: Supplier suppliers, number of suppliers where the practices Management are being implemented, and how they are implemented and monitored KPI B5.3 • Description of practices used to identify • Material Area 10: Supplier environmental and social risks along the sup</t>
        </is>
      </c>
    </row>
    <row r="61">
      <c r="A61" s="9" t="inlineStr">
        <is>
          <t>Segment Information</t>
        </is>
      </c>
      <c r="B61" s="9" t="inlineStr">
        <is>
          <t>分部資料</t>
        </is>
      </c>
      <c r="C61" s="9" t="inlineStr">
        <is>
          <t>medium</t>
        </is>
      </c>
      <c r="D61" s="12" t="inlineStr">
        <is>
          <t>operating segment</t>
        </is>
      </c>
      <c r="E61" s="12" t="inlineStr">
        <is>
          <t>PDF p.96 (印刷頁 95)</t>
        </is>
      </c>
      <c r="F61" s="12" t="inlineStr">
        <is>
          <t>n a systematic basis over the periods in which the related costs, for which the grants are intended to compensate, is expensed. 2.18 Operating segments For management purposes, operating segments are organised based on their products and services which are independently managed by the respective segment managers responsible for the performance of the respective segments under their charge. The segment managers are directly accountable to the executive directors of the Company, as the Chief Operating Decision Maker (“CODM”), who</t>
        </is>
      </c>
    </row>
    <row r="62">
      <c r="A62" s="9" t="inlineStr">
        <is>
          <t>Segment Information</t>
        </is>
      </c>
      <c r="B62" s="9" t="inlineStr">
        <is>
          <t>分部資料</t>
        </is>
      </c>
      <c r="C62" s="9" t="inlineStr">
        <is>
          <t>medium</t>
        </is>
      </c>
      <c r="D62" s="12" t="inlineStr">
        <is>
          <t>geographical</t>
        </is>
      </c>
      <c r="E62" s="12" t="inlineStr">
        <is>
          <t>PDF p.101 (印刷頁 100)</t>
        </is>
      </c>
      <c r="F62" s="12" t="inlineStr">
        <is>
          <t>significant credit exposure to any single counterparty or any groups of counterparties having similar characteristics other than the geographical location of their operations. Sales to outlet customers are required to be settled in cash or using major credit cards, mitigating credit risk. There are no significant concentrations of credit risk, whether through exposure to individual customers, specific industry sectors and/or regions. The Group’s exposure to credit risk arises primarily from trade receivables.</t>
        </is>
      </c>
    </row>
    <row r="63">
      <c r="A63" s="9" t="inlineStr">
        <is>
          <t>Segment Information</t>
        </is>
      </c>
      <c r="B63" s="9" t="inlineStr">
        <is>
          <t>分部資料</t>
        </is>
      </c>
      <c r="C63" s="9" t="inlineStr">
        <is>
          <t>medium</t>
        </is>
      </c>
      <c r="D63" s="12" t="inlineStr">
        <is>
          <t>segment information</t>
        </is>
      </c>
      <c r="E63" s="12" t="inlineStr">
        <is>
          <t>PDF p.106 (印刷頁 105)</t>
        </is>
      </c>
      <c r="F63" s="12" t="inlineStr">
        <is>
          <t>sults. The carrying amount of the Group’s property, plant and equipment as at 31 March 2026 was S$21,128,000 (2025: S$10,802,000). 5 SEGMENT INFORMATION The executive directors of the Company, who are the CODM, monitor the operating results of its operating segments for the purpose of making decisions about resource allocation and performance assessment. The executive directors of the Company consider all businesses to be included in a single operating segment. Information reported to the executive directors of the Company, for</t>
        </is>
      </c>
    </row>
    <row r="64">
      <c r="A64" s="9" t="inlineStr">
        <is>
          <t>Segment Information</t>
        </is>
      </c>
      <c r="B64" s="9" t="inlineStr">
        <is>
          <t>分部資料</t>
        </is>
      </c>
      <c r="C64" s="9" t="inlineStr">
        <is>
          <t>medium</t>
        </is>
      </c>
      <c r="D64" s="12" t="inlineStr">
        <is>
          <t>segment information</t>
        </is>
      </c>
      <c r="E64" s="12" t="inlineStr">
        <is>
          <t>PDF p.107 (印刷頁 106)</t>
        </is>
      </c>
      <c r="F64" s="12" t="inlineStr">
        <is>
          <t>106 SNACK EMPIRE HOLDINGS LIMITED Annual Report 2025/2026 Notes to the Consolidated Financial Statements 5 SEGMENT INFORMATION (Continued) Non-current assets As at 31 March 2026 2025 S$’000 S$’000 Property, plant and equipment Singapore 16,440 9,472 Malaysia 4,688 1,330 21,128 10,802 Intangible assets Singapore 79 114 Other than revenue and non-current assets analysis, no operating results and other discrete financial information are regularly presented for CODM decision in making assessment of perform</t>
        </is>
      </c>
    </row>
    <row r="65">
      <c r="A65" s="9" t="inlineStr">
        <is>
          <t>Share-based Payment</t>
        </is>
      </c>
      <c r="B65" s="9" t="inlineStr">
        <is>
          <t>以股份為基礎的付款</t>
        </is>
      </c>
      <c r="C65" s="9" t="inlineStr">
        <is>
          <t>medium</t>
        </is>
      </c>
      <c r="D65" s="12" t="inlineStr">
        <is>
          <t>share option</t>
        </is>
      </c>
      <c r="E65" s="12" t="inlineStr">
        <is>
          <t>PDF p.7 (印刷頁 6)</t>
        </is>
      </c>
      <c r="F65" s="12" t="inlineStr">
        <is>
          <t>ments to the base salary of its staff based on market norms and their performance for the Year. In addition, the Company adopted the Share Option Scheme as incentives or rewards to eligible persons for their contributions or potential contributions to the Group. No share option has been granted under the Share Option Scheme since the Listing Date. Selling and distribution expenses The Group’s selling and distribution expenses increased by approximately S$1.5 million or approximately 16% from approximately S$9.2 million in Year</t>
        </is>
      </c>
    </row>
    <row r="66">
      <c r="A66" s="9" t="inlineStr">
        <is>
          <t>Share-based Payment</t>
        </is>
      </c>
      <c r="B66" s="9" t="inlineStr">
        <is>
          <t>以股份為基礎的付款</t>
        </is>
      </c>
      <c r="C66" s="9" t="inlineStr">
        <is>
          <t>medium</t>
        </is>
      </c>
      <c r="D66" s="12" t="inlineStr">
        <is>
          <t>share option</t>
        </is>
      </c>
      <c r="E66" s="12" t="inlineStr">
        <is>
          <t>PDF p.21 (印刷頁 20)</t>
        </is>
      </c>
      <c r="F66" s="12" t="inlineStr">
        <is>
          <t>l Directors; 2. made recommendations to the Board on the remuneration packages of the Directors; and 3. reviewed matters relating to share option scheme under Chapter 17 of the Listing Rules. Audit Committee The primary duties of the Audit Committee are to make recommendations to the Board on the appointment, re-appointment and removal of the external auditor, review the Company’s financial information and significant financial reporting judgment in respect of financial reporting and oversee the financial reporting system, risk</t>
        </is>
      </c>
    </row>
    <row r="67">
      <c r="A67" s="9" t="inlineStr">
        <is>
          <t>Share-based Payment</t>
        </is>
      </c>
      <c r="B67" s="9" t="inlineStr">
        <is>
          <t>以股份為基礎的付款</t>
        </is>
      </c>
      <c r="C67" s="9" t="inlineStr">
        <is>
          <t>medium</t>
        </is>
      </c>
      <c r="D67" s="12" t="inlineStr">
        <is>
          <t>share option</t>
        </is>
      </c>
      <c r="E67" s="12" t="inlineStr">
        <is>
          <t>PDF p.66 (印刷頁 65)</t>
        </is>
      </c>
      <c r="F67" s="12" t="inlineStr">
        <is>
          <t>SNACK EMPIRE HOLDINGS LIMITED 65 Annual Report 2025/2026 Directors’ Report SHARE OPTION SCHEME Pursuant to the written resolution of the sole Shareholder passed on 23 September 2019, the Company adopted the Share Option Scheme conditional upon the Listing. The Share Option Scheme became effective on the Listing Date. As no share option has been granted by the Company under the Share Option Scheme since the Listing Date, there was no share option outstanding as at 31 Marc</t>
        </is>
      </c>
    </row>
    <row r="68">
      <c r="A68" s="9" t="inlineStr">
        <is>
          <t>Share-based Payment</t>
        </is>
      </c>
      <c r="B68" s="9" t="inlineStr">
        <is>
          <t>以股份為基礎的付款</t>
        </is>
      </c>
      <c r="C68" s="9" t="inlineStr">
        <is>
          <t>medium</t>
        </is>
      </c>
      <c r="D68" s="12" t="inlineStr">
        <is>
          <t>share option</t>
        </is>
      </c>
      <c r="E68" s="12" t="inlineStr">
        <is>
          <t>PDF p.67 (印刷頁 66)</t>
        </is>
      </c>
      <c r="F68" s="12" t="inlineStr">
        <is>
          <t>(h) Basis of determining the exercise price The subscription price of a Share in respect of any particular option granted under the Share Option Scheme shall be such price as determined by the Board, and shall be at least the highest of: (i) the closing price of the Shares as stated in the Stock Exchange’s daily quotations sheet on the date of offer to grant an option (the “Offer Date”), which must be a trading day, on which the Board passes a resolution approving the making of an offer of grant of an option to an Eligible Per</t>
        </is>
      </c>
    </row>
    <row r="69">
      <c r="A69" s="9" t="inlineStr">
        <is>
          <t>Share-based Payment</t>
        </is>
      </c>
      <c r="B69" s="9" t="inlineStr">
        <is>
          <t>以股份為基礎的付款</t>
        </is>
      </c>
      <c r="C69" s="9" t="inlineStr">
        <is>
          <t>medium</t>
        </is>
      </c>
      <c r="D69" s="12" t="inlineStr">
        <is>
          <t>share option</t>
        </is>
      </c>
      <c r="E69" s="12" t="inlineStr">
        <is>
          <t>PDF p.133 (印刷頁 132)</t>
        </is>
      </c>
      <c r="F69" s="12" t="inlineStr">
        <is>
          <t>d, supplemented or otherwise modified from time to time ”Share Offer” the public offer and the placing as defined in the Prospectus “Share Option Scheme” the share option scheme conditionally adopted by the Company on 23 September 2019 as described in the section headed “Statutory and General Information — Share Option Scheme” in Appendix V to the Prospectus “Share(s)” the ordinary share(s) in the share capital of our Company with a nominal or par value of HK$0.01 each “Shareholder(s)” the holder(s) of Shares “Shihlin” the bran</t>
        </is>
      </c>
    </row>
    <row r="70">
      <c r="A70" s="9" t="inlineStr">
        <is>
          <t>Related Party Transactions</t>
        </is>
      </c>
      <c r="B70" s="9" t="inlineStr">
        <is>
          <t>關聯方交易</t>
        </is>
      </c>
      <c r="C70" s="9" t="inlineStr">
        <is>
          <t>low</t>
        </is>
      </c>
      <c r="D70" s="12" t="inlineStr">
        <is>
          <t>related party</t>
        </is>
      </c>
      <c r="E70" s="12" t="inlineStr">
        <is>
          <t>PDF p.71 (印刷頁 70)</t>
        </is>
      </c>
      <c r="F70" s="12" t="inlineStr">
        <is>
          <t>70 SNACK EMPIRE HOLDINGS LIMITED Annual Report 2025/2026 Directors’ Report RELATED PARTY TRANSACTIONS Details of significant related party transactions undertaken in the normal course of business of the Group for the Year are provided under note 31 to the consolidated financial statements. The transactions were conducted in accordance with terms as agreed between the Group and the respective related parties. The Directors confirm that the related party transactions were</t>
        </is>
      </c>
    </row>
    <row r="71">
      <c r="A71" s="9" t="inlineStr">
        <is>
          <t>Related Party Transactions</t>
        </is>
      </c>
      <c r="B71" s="9" t="inlineStr">
        <is>
          <t>關聯方交易</t>
        </is>
      </c>
      <c r="C71" s="9" t="inlineStr">
        <is>
          <t>low</t>
        </is>
      </c>
      <c r="D71" s="12" t="inlineStr">
        <is>
          <t>related party</t>
        </is>
      </c>
      <c r="E71" s="12" t="inlineStr">
        <is>
          <t>PDF p.129 (印刷頁 128)</t>
        </is>
      </c>
      <c r="F71" s="12" t="inlineStr">
        <is>
          <t>00 Capital expenditure contracted but not provided for — Commitments for the acquisition of property, plant and equipment — 9,846 31 RELATED PARTY TRANSACTIONS Related parties are considered to be related to the Group if the party has the ability, directly or indirectly, to exercise significant influence over the Group in making financial and operating decisions. Related parties may be individuals (being members of key management personnel, significant shareholders and/or their close family members) or other entities and includ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pane ySplit="20" topLeftCell="A21"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Operating Profit</t>
        </is>
      </c>
    </row>
    <row r="9">
      <c r="A9" s="9" t="inlineStr">
        <is>
          <t>Income Statement</t>
        </is>
      </c>
      <c r="B9" s="9" t="inlineStr">
        <is>
          <t>Finance Costs</t>
        </is>
      </c>
    </row>
    <row r="10">
      <c r="A10" s="9" t="inlineStr">
        <is>
          <t>Income Statement</t>
        </is>
      </c>
      <c r="B10" s="9" t="inlineStr">
        <is>
          <t>R&amp;D Expenses</t>
        </is>
      </c>
    </row>
    <row r="11">
      <c r="A11" s="9" t="inlineStr">
        <is>
          <t>Income Statement</t>
        </is>
      </c>
      <c r="B11" s="9" t="inlineStr">
        <is>
          <t>Depreciation</t>
        </is>
      </c>
    </row>
    <row r="12">
      <c r="A12" s="9" t="inlineStr">
        <is>
          <t>Income Statement</t>
        </is>
      </c>
      <c r="B12" s="9" t="inlineStr">
        <is>
          <t>Amortisation</t>
        </is>
      </c>
    </row>
    <row r="13">
      <c r="A13" s="9" t="inlineStr">
        <is>
          <t>Balance Sheet</t>
        </is>
      </c>
      <c r="B13" s="9" t="inlineStr">
        <is>
          <t>Goodwill</t>
        </is>
      </c>
    </row>
    <row r="14">
      <c r="A14" s="9" t="inlineStr">
        <is>
          <t>Balance Sheet</t>
        </is>
      </c>
      <c r="B14" s="9" t="inlineStr">
        <is>
          <t>Investment Properties</t>
        </is>
      </c>
    </row>
    <row r="17">
      <c r="A17" s="5" t="inlineStr">
        <is>
          <t>二、文字量過低的頁面(疑似掃描頁)</t>
        </is>
      </c>
    </row>
    <row r="18">
      <c r="A18" s="2" t="inlineStr">
        <is>
          <t>這些頁面幾乎抓不到文字,通常是掃描件或純圖表,建議人手翻閱或另行 OCR。</t>
        </is>
      </c>
    </row>
    <row r="20">
      <c r="A20" s="8" t="inlineStr">
        <is>
          <t>PDF 頁碼</t>
        </is>
      </c>
      <c r="B20" s="8" t="inlineStr">
        <is>
          <t>狀態</t>
        </is>
      </c>
    </row>
    <row r="21">
      <c r="A21" s="9" t="n">
        <v>1</v>
      </c>
      <c r="B21"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2026-08-30T14:15:54Z</dcterms:created>
  <dcterms:modified xsi:type="dcterms:W3CDTF">2026-08-30T14:15:54Z</dcterms:modified>
</cp:coreProperties>
</file>
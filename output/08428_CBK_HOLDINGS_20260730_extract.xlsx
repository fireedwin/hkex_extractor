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08428_CBK_HOLDINGS_20260730.pdf</t>
        </is>
      </c>
    </row>
    <row r="5">
      <c r="A5" s="3" t="inlineStr">
        <is>
          <t>產生時間 Generated</t>
        </is>
      </c>
      <c r="B5" s="4" t="inlineStr">
        <is>
          <t>2026-08-30 22:16</t>
        </is>
      </c>
    </row>
    <row r="6">
      <c r="A6" s="4" t="inlineStr"/>
      <c r="B6" s="4" t="inlineStr"/>
    </row>
    <row r="7">
      <c r="A7" s="3" t="inlineStr">
        <is>
          <t>總頁數 Total pages</t>
        </is>
      </c>
      <c r="B7" s="4" t="n">
        <v>202</v>
      </c>
    </row>
    <row r="8">
      <c r="A8" s="3" t="inlineStr">
        <is>
          <t>已擷取字元 Characters extracted</t>
        </is>
      </c>
      <c r="B8" s="4" t="n">
        <v>389762</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6</v>
      </c>
    </row>
    <row r="13">
      <c r="A13" s="3" t="inlineStr">
        <is>
          <t>財務科目擷取筆數 Financial line items</t>
        </is>
      </c>
      <c r="B13" s="4" t="n">
        <v>9</v>
      </c>
    </row>
    <row r="14">
      <c r="A14" s="3" t="inlineStr">
        <is>
          <t>主題段落擷取筆數 Topic extracts</t>
        </is>
      </c>
      <c r="B14" s="4" t="n">
        <v>88</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21,705 − 27,435 = -5,730</t>
        </is>
      </c>
    </row>
    <row r="20">
      <c r="A20" s="7" t="inlineStr">
        <is>
          <t>✗ 三大報表應相鄰</t>
        </is>
      </c>
      <c r="B20" s="4" t="inlineStr">
        <is>
          <t>Income Statement: p.178、Balance Sheet: p.93、Cash Flow: p.98(相距 85 頁,可能有一張抓錯頁)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c r="A5" s="9" t="inlineStr">
        <is>
          <t>Discount Rate</t>
        </is>
      </c>
      <c r="B5" s="9" t="inlineStr">
        <is>
          <t>折現率</t>
        </is>
      </c>
      <c r="C5" s="10" t="n">
        <v>20</v>
      </c>
      <c r="D5" s="11" t="n">
        <v>20</v>
      </c>
      <c r="E5" s="12" t="inlineStr">
        <is>
          <t>20%</t>
        </is>
      </c>
      <c r="F5" s="12" t="inlineStr">
        <is>
          <t>High</t>
        </is>
      </c>
      <c r="G5" s="12" t="inlineStr">
        <is>
          <t>PDF p.174 (印刷頁 173)</t>
        </is>
      </c>
      <c r="H5" s="12" t="inlineStr">
        <is>
          <t>below: As at 31 March 2026 於2026年3月31日 Terminal growth rate 2% 終端增長率 2% Pre-tax discount rate 20% 稅前貼現率 20% 漢諾佳池控股有限公司 / 2026 年年報 173</t>
        </is>
      </c>
    </row>
    <row r="6">
      <c r="A6" s="9" t="inlineStr">
        <is>
          <t>Gross Margin</t>
        </is>
      </c>
      <c r="B6" s="9" t="inlineStr">
        <is>
          <t>毛利率</t>
        </is>
      </c>
      <c r="C6" s="10" t="n">
        <v>16.5</v>
      </c>
      <c r="D6" s="11" t="n">
        <v>16.5</v>
      </c>
      <c r="E6" s="12" t="inlineStr">
        <is>
          <t>16.5%</t>
        </is>
      </c>
      <c r="F6" s="12" t="inlineStr">
        <is>
          <t>High</t>
        </is>
      </c>
      <c r="G6" s="12" t="inlineStr">
        <is>
          <t>PDF p.14 (印刷頁 13)</t>
        </is>
      </c>
      <c r="H6" s="12" t="inlineStr">
        <is>
          <t>9.4 million), mainly due to （2025年：約19.4百萬港元），主要由於 the increase in revenue. The gross profit margin decreased by 收益增加所致。毛利率減少約16.5%至約 approximately 16.5% to approximately 46.6% (2025: 63.1%), 46.6%（2025年：63.1%），主要由於食品銷 mainly attributable to the lower gross p</t>
        </is>
      </c>
    </row>
    <row r="7">
      <c r="A7" s="9" t="inlineStr">
        <is>
          <t>Gross Margin</t>
        </is>
      </c>
      <c r="B7" s="9" t="inlineStr">
        <is>
          <t>毛利率</t>
        </is>
      </c>
      <c r="C7" s="10" t="n">
        <v>70.90000000000001</v>
      </c>
      <c r="D7" s="11" t="n">
        <v>70.90000000000001</v>
      </c>
      <c r="E7" s="12" t="inlineStr">
        <is>
          <t>70.9%</t>
        </is>
      </c>
      <c r="F7" s="12" t="inlineStr">
        <is>
          <t>High</t>
        </is>
      </c>
      <c r="G7" s="12" t="inlineStr">
        <is>
          <t>PDF p.14 (印刷頁 13)</t>
        </is>
      </c>
      <c r="H7" s="12" t="inlineStr">
        <is>
          <t>which commenced operations in the second 利率較低所致。餐廳業務及食品銷售的毛 half of FY2026. The gross profit margin of restaurant operations 利率分別為約70.9%及約3.9%（2025年：分 and sales of food was approximately 70.9% and approximately 別為63.1%及零）。 3.9% respectively (2025: 63.1% and n</t>
        </is>
      </c>
    </row>
    <row r="8">
      <c r="A8" s="9" t="inlineStr">
        <is>
          <t>Gross Margin</t>
        </is>
      </c>
      <c r="B8" s="9" t="inlineStr">
        <is>
          <t>毛利率</t>
        </is>
      </c>
      <c r="C8" s="10" t="n">
        <v>36.9</v>
      </c>
      <c r="D8" s="11" t="n">
        <v>36.9</v>
      </c>
      <c r="E8" s="12" t="inlineStr">
        <is>
          <t>36.9%</t>
        </is>
      </c>
      <c r="F8" s="12" t="inlineStr">
        <is>
          <t>Medium</t>
        </is>
      </c>
      <c r="G8" s="12" t="inlineStr">
        <is>
          <t>PDF p.14 (印刷頁 13)</t>
        </is>
      </c>
      <c r="H8" s="12" t="inlineStr">
        <is>
          <t>mately 96.1% respectively (2025: 36.9% and nil, respectively). Gross profit and gross profit margin 毛利及毛利率 Our gross profit for the year ended 31 March 2026 increased 我們的毛利於截至2026年3月31日止年 by approximately HK$1.4 million to approximately HK$20.8 度增加約1.4百萬港元至約2</t>
        </is>
      </c>
    </row>
    <row r="9">
      <c r="A9" s="9" t="inlineStr">
        <is>
          <t>Gross Margin</t>
        </is>
      </c>
      <c r="B9" s="9" t="inlineStr">
        <is>
          <t>毛利率</t>
        </is>
      </c>
      <c r="C9" s="10" t="n">
        <v>63.1</v>
      </c>
      <c r="D9" s="11" t="n">
        <v>63.1</v>
      </c>
      <c r="E9" s="12" t="inlineStr">
        <is>
          <t>63.1%</t>
        </is>
      </c>
      <c r="F9" s="12" t="inlineStr">
        <is>
          <t>Medium</t>
        </is>
      </c>
      <c r="G9" s="12" t="inlineStr">
        <is>
          <t>PDF p.14 (印刷頁 13)</t>
        </is>
      </c>
      <c r="H9" s="12" t="inlineStr">
        <is>
          <t>6.6% (2025: 63.1%), 46.6%（2025年：63.1%），主要由於食品銷 mainly attributable to the lower gross profit margin from sales 售業務（於2026財年下半年開始營運）的毛 of food business which commenced operations in the second 利率較低所致。餐廳業務及食品銷售的毛 half of FY2026. The gross profit margin of restau</t>
        </is>
      </c>
    </row>
    <row r="10">
      <c r="A10" s="9" t="inlineStr">
        <is>
          <t>Terminal Growth Rate</t>
        </is>
      </c>
      <c r="B10" s="9" t="inlineStr">
        <is>
          <t>永續增長率</t>
        </is>
      </c>
      <c r="C10" s="10" t="n">
        <v>2</v>
      </c>
      <c r="D10" s="11" t="n">
        <v>2</v>
      </c>
      <c r="E10" s="12" t="inlineStr">
        <is>
          <t>2%</t>
        </is>
      </c>
      <c r="F10" s="12" t="inlineStr">
        <is>
          <t>High</t>
        </is>
      </c>
      <c r="G10" s="12" t="inlineStr">
        <is>
          <t>PDF p.174 (印刷頁 173)</t>
        </is>
      </c>
      <c r="H10" s="12" t="inlineStr">
        <is>
          <t>growth rate. Key assumptions are set out below: As at 31 March 2026 於2026年3月31日 Terminal growth rate 2% 終端增長率 2% Pre-tax discount rate 20% 稅前貼現率 20% 漢諾佳池控股有限公司 / 2026 年年報 173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2024; Balance Sheet: 2026 / 2025; Cash Flow: 2026 / 2025</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Balance Sheet</t>
        </is>
      </c>
      <c r="B5" s="9" t="inlineStr">
        <is>
          <t>Property Plant and Equipment</t>
        </is>
      </c>
      <c r="C5" s="13" t="n">
        <v>1229</v>
      </c>
      <c r="D5" s="14" t="n">
        <v>1815</v>
      </c>
      <c r="E5" s="15">
        <f>IF(ISERROR((C5-D5)/ABS(D5)),"",(C5-D5)/ABS(D5))</f>
        <v>-0.3228650137741047</v>
      </c>
      <c r="F5" s="12" t="inlineStr">
        <is>
          <t>PDF p.93 (印刷頁 92)</t>
        </is>
      </c>
      <c r="G5" s="12" t="inlineStr">
        <is>
          <t>Property, plant and equipment 物業、廠房及設備 16 1,229 1,815</t>
        </is>
      </c>
    </row>
    <row r="6">
      <c r="A6" s="9" t="inlineStr">
        <is>
          <t>Balance Sheet</t>
        </is>
      </c>
      <c r="B6" s="9" t="inlineStr">
        <is>
          <t>Intangible Assets</t>
        </is>
      </c>
      <c r="C6" s="13" t="n">
        <v>36</v>
      </c>
      <c r="D6" s="14" t="n">
        <v>18</v>
      </c>
      <c r="E6" s="15">
        <f>IF(ISERROR((C6-D6)/ABS(D6)),"",(C6-D6)/ABS(D6))</f>
        <v>1.0</v>
      </c>
      <c r="F6" s="12" t="inlineStr">
        <is>
          <t>PDF p.93 (印刷頁 92)</t>
        </is>
      </c>
      <c r="G6" s="12" t="inlineStr">
        <is>
          <t>Intangible assets 無形資產 22 36 18</t>
        </is>
      </c>
    </row>
    <row r="7">
      <c r="A7" s="9" t="inlineStr">
        <is>
          <t>Balance Sheet</t>
        </is>
      </c>
      <c r="B7" s="9" t="inlineStr">
        <is>
          <t>Inventories</t>
        </is>
      </c>
      <c r="C7" s="13" t="n">
        <v>767</v>
      </c>
      <c r="D7" s="14" t="n">
        <v>110</v>
      </c>
      <c r="E7" s="15">
        <f>IF(ISERROR((C7-D7)/ABS(D7)),"",(C7-D7)/ABS(D7))</f>
        <v>5.972727272727273</v>
      </c>
      <c r="F7" s="12" t="inlineStr">
        <is>
          <t>PDF p.93 (印刷頁 92)</t>
        </is>
      </c>
      <c r="G7" s="12" t="inlineStr">
        <is>
          <t>Inventories 存貨 19 767 110</t>
        </is>
      </c>
    </row>
    <row r="8">
      <c r="A8" s="9" t="inlineStr">
        <is>
          <t>Balance Sheet</t>
        </is>
      </c>
      <c r="B8" s="9" t="inlineStr">
        <is>
          <t>Trade Receivables</t>
        </is>
      </c>
      <c r="C8" s="13" t="n">
        <v>261</v>
      </c>
      <c r="D8" s="14" t="n">
        <v>238</v>
      </c>
      <c r="E8" s="15">
        <f>IF(ISERROR((C8-D8)/ABS(D8)),"",(C8-D8)/ABS(D8))</f>
        <v>0.09663865546218488</v>
      </c>
      <c r="F8" s="12" t="inlineStr">
        <is>
          <t>PDF p.93 (印刷頁 92)</t>
        </is>
      </c>
      <c r="G8" s="12" t="inlineStr">
        <is>
          <t>Trade receivables 貿易應收款項 20 261 238</t>
        </is>
      </c>
    </row>
    <row r="9">
      <c r="A9" s="9" t="inlineStr">
        <is>
          <t>Balance Sheet</t>
        </is>
      </c>
      <c r="B9" s="9" t="inlineStr">
        <is>
          <t>Cash and Equivalents</t>
        </is>
      </c>
      <c r="C9" s="13" t="n">
        <v>6878</v>
      </c>
      <c r="D9" s="14" t="n">
        <v>1636</v>
      </c>
      <c r="E9" s="15">
        <f>IF(ISERROR((C9-D9)/ABS(D9)),"",(C9-D9)/ABS(D9))</f>
        <v>3.204156479217604</v>
      </c>
      <c r="F9" s="12" t="inlineStr">
        <is>
          <t>PDF p.93 (印刷頁 92)</t>
        </is>
      </c>
      <c r="G9" s="12" t="inlineStr">
        <is>
          <t>Cash and cash equivalents 現金及現金等價物 23 6,878 1,636</t>
        </is>
      </c>
    </row>
    <row r="10">
      <c r="A10" s="9" t="inlineStr">
        <is>
          <t>Balance Sheet</t>
        </is>
      </c>
      <c r="B10" s="9" t="inlineStr">
        <is>
          <t>Total Current Assets</t>
        </is>
      </c>
      <c r="C10" s="13" t="n">
        <v>21705</v>
      </c>
      <c r="D10" s="14" t="n">
        <v>4650</v>
      </c>
      <c r="E10" s="15">
        <f>IF(ISERROR((C10-D10)/ABS(D10)),"",(C10-D10)/ABS(D10))</f>
        <v>3.667741935483871</v>
      </c>
      <c r="F10" s="12" t="inlineStr">
        <is>
          <t>PDF p.93 (印刷頁 92)</t>
        </is>
      </c>
      <c r="G10" s="12" t="inlineStr">
        <is>
          <t>[current assets 區段小計] 21,705 4,650</t>
        </is>
      </c>
    </row>
    <row r="11">
      <c r="A11" s="9" t="inlineStr">
        <is>
          <t>Balance Sheet</t>
        </is>
      </c>
      <c r="B11" s="9" t="inlineStr">
        <is>
          <t>Total Current Liabilities</t>
        </is>
      </c>
      <c r="C11" s="13" t="n">
        <v>27435</v>
      </c>
      <c r="D11" s="14" t="n">
        <v>14463</v>
      </c>
      <c r="E11" s="15">
        <f>IF(ISERROR((C11-D11)/ABS(D11)),"",(C11-D11)/ABS(D11))</f>
        <v>0.8969093549056213</v>
      </c>
      <c r="F11" s="12" t="inlineStr">
        <is>
          <t>PDF p.93 (印刷頁 92)</t>
        </is>
      </c>
      <c r="G11" s="12" t="inlineStr">
        <is>
          <t>[current liabilities 區段小計] 27,435 14,463</t>
        </is>
      </c>
    </row>
    <row r="12">
      <c r="A12" s="9" t="inlineStr">
        <is>
          <t>Cash Flow</t>
        </is>
      </c>
      <c r="B12" s="9" t="inlineStr">
        <is>
          <t>Investing Cash Flow</t>
        </is>
      </c>
      <c r="C12" s="13" t="n">
        <v>-1050</v>
      </c>
      <c r="D12" s="14" t="n">
        <v>-1311</v>
      </c>
      <c r="E12" s="15">
        <f>IF(ISERROR((C12-D12)/ABS(D12)),"",(C12-D12)/ABS(D12))</f>
        <v>0.19908466819221968</v>
      </c>
      <c r="F12" s="12" t="inlineStr">
        <is>
          <t>PDF p.99 (印刷頁 98)</t>
        </is>
      </c>
      <c r="G12" s="12" t="inlineStr">
        <is>
          <t>Net cash used in investing activities 投資活動所用現金淨額 (1,050) (1,311)</t>
        </is>
      </c>
    </row>
    <row r="13">
      <c r="A13" s="9" t="inlineStr">
        <is>
          <t>Cash Flow</t>
        </is>
      </c>
      <c r="B13" s="9" t="inlineStr">
        <is>
          <t>Financing Cash Flow</t>
        </is>
      </c>
      <c r="C13" s="13" t="n">
        <v>4599</v>
      </c>
      <c r="D13" s="14" t="n">
        <v>2404</v>
      </c>
      <c r="E13" s="15">
        <f>IF(ISERROR((C13-D13)/ABS(D13)),"",(C13-D13)/ABS(D13))</f>
        <v>0.9130615640599001</v>
      </c>
      <c r="F13" s="12" t="inlineStr">
        <is>
          <t>PDF p.99 (印刷頁 98)</t>
        </is>
      </c>
      <c r="G13" s="12" t="inlineStr">
        <is>
          <t>Net cash from financing activities 融資活動所得現金淨額 4,599 2,404</t>
        </is>
      </c>
    </row>
    <row r="15">
      <c r="A15"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6" t="str">
        <f>IF(ISERROR(INDEX('Financials 財務數據'!$C$5:$C$13,MATCH("Gross Profit",'Financials 財務數據'!$B$5:$B$13,0))/INDEX('Financials 財務數據'!$C$5:$C$13,MATCH("Revenue",'Financials 財務數據'!$B$5:$B$13,0))),"n/a",INDEX('Financials 財務數據'!$C$5:$C$13,MATCH("Gross Profit",'Financials 財務數據'!$B$5:$B$13,0))/INDEX('Financials 財務數據'!$C$5:$C$13,MATCH("Revenue",'Financials 財務數據'!$B$5:$B$13,0)))</f>
        <v>n/a</v>
      </c>
      <c r="C5" s="16" t="str">
        <f>IF(ISERROR(INDEX('Financials 財務數據'!$D$5:$D$13,MATCH("Gross Profit",'Financials 財務數據'!$B$5:$B$13,0))/INDEX('Financials 財務數據'!$D$5:$D$13,MATCH("Revenue",'Financials 財務數據'!$B$5:$B$13,0))),"n/a",INDEX('Financials 財務數據'!$D$5:$D$13,MATCH("Gross Profit",'Financials 財務數據'!$B$5:$B$13,0))/INDEX('Financials 財務數據'!$D$5:$D$13,MATCH("Revenue",'Financials 財務數據'!$B$5:$B$13,0)))</f>
        <v>n/a</v>
      </c>
      <c r="D5" s="2" t="inlineStr">
        <is>
          <t>毛利 ÷ 收入</t>
        </is>
      </c>
    </row>
    <row r="6">
      <c r="A6" s="4" t="inlineStr">
        <is>
          <t>Net Margin 淨利率</t>
        </is>
      </c>
      <c r="B6" s="16" t="str">
        <f>IF(ISERROR(INDEX('Financials 財務數據'!$C$5:$C$13,MATCH("Profit for the Year",'Financials 財務數據'!$B$5:$B$13,0))/INDEX('Financials 財務數據'!$C$5:$C$13,MATCH("Revenue",'Financials 財務數據'!$B$5:$B$13,0))),"n/a",INDEX('Financials 財務數據'!$C$5:$C$13,MATCH("Profit for the Year",'Financials 財務數據'!$B$5:$B$13,0))/INDEX('Financials 財務數據'!$C$5:$C$13,MATCH("Revenue",'Financials 財務數據'!$B$5:$B$13,0)))</f>
        <v>n/a</v>
      </c>
      <c r="C6" s="16" t="str">
        <f>IF(ISERROR(INDEX('Financials 財務數據'!$D$5:$D$13,MATCH("Profit for the Year",'Financials 財務數據'!$B$5:$B$13,0))/INDEX('Financials 財務數據'!$D$5:$D$13,MATCH("Revenue",'Financials 財務數據'!$B$5:$B$13,0))),"n/a",INDEX('Financials 財務數據'!$D$5:$D$13,MATCH("Profit for the Year",'Financials 財務數據'!$B$5:$B$13,0))/INDEX('Financials 財務數據'!$D$5:$D$13,MATCH("Revenue",'Financials 財務數據'!$B$5:$B$13,0)))</f>
        <v>n/a</v>
      </c>
      <c r="D6" s="2" t="inlineStr">
        <is>
          <t>年內溢利 ÷ 收入</t>
        </is>
      </c>
    </row>
    <row r="7">
      <c r="A7" s="4" t="inlineStr">
        <is>
          <t>Current Ratio 流動比率</t>
        </is>
      </c>
      <c r="B7" s="17">
        <f>IF(ISERROR(INDEX('Financials 財務數據'!$C$5:$C$13,MATCH("Total Current Assets",'Financials 財務數據'!$B$5:$B$13,0))/INDEX('Financials 財務數據'!$C$5:$C$13,MATCH("Total Current Liabilities",'Financials 財務數據'!$B$5:$B$13,0))),"n/a",INDEX('Financials 財務數據'!$C$5:$C$13,MATCH("Total Current Assets",'Financials 財務數據'!$B$5:$B$13,0))/INDEX('Financials 財務數據'!$C$5:$C$13,MATCH("Total Current Liabilities",'Financials 財務數據'!$B$5:$B$13,0)))</f>
        <v>0.7911427009294697</v>
      </c>
      <c r="C7" s="17">
        <f>IF(ISERROR(INDEX('Financials 財務數據'!$D$5:$D$13,MATCH("Total Current Assets",'Financials 財務數據'!$B$5:$B$13,0))/INDEX('Financials 財務數據'!$D$5:$D$13,MATCH("Total Current Liabilities",'Financials 財務數據'!$B$5:$B$13,0))),"n/a",INDEX('Financials 財務數據'!$D$5:$D$13,MATCH("Total Current Assets",'Financials 財務數據'!$B$5:$B$13,0))/INDEX('Financials 財務數據'!$D$5:$D$13,MATCH("Total Current Liabilities",'Financials 財務數據'!$B$5:$B$13,0)))</f>
        <v>0.32151006015349515</v>
      </c>
      <c r="D7" s="2" t="inlineStr">
        <is>
          <t>流動資產 ÷ 流動負債</t>
        </is>
      </c>
    </row>
    <row r="8">
      <c r="A8" s="4" t="inlineStr">
        <is>
          <t>Debt / Equity 負債權益比</t>
        </is>
      </c>
      <c r="B8" s="17" t="str">
        <f>IF(ISERROR(INDEX('Financials 財務數據'!$C$5:$C$13,MATCH("Total Liabilities",'Financials 財務數據'!$B$5:$B$13,0))/INDEX('Financials 財務數據'!$C$5:$C$13,MATCH("Total Equity",'Financials 財務數據'!$B$5:$B$13,0))),"n/a",INDEX('Financials 財務數據'!$C$5:$C$13,MATCH("Total Liabilities",'Financials 財務數據'!$B$5:$B$13,0))/INDEX('Financials 財務數據'!$C$5:$C$13,MATCH("Total Equity",'Financials 財務數據'!$B$5:$B$13,0)))</f>
        <v>n/a</v>
      </c>
      <c r="C8" s="17" t="str">
        <f>IF(ISERROR(INDEX('Financials 財務數據'!$D$5:$D$13,MATCH("Total Liabilities",'Financials 財務數據'!$B$5:$B$13,0))/INDEX('Financials 財務數據'!$D$5:$D$13,MATCH("Total Equity",'Financials 財務數據'!$B$5:$B$13,0))),"n/a",INDEX('Financials 財務數據'!$D$5:$D$13,MATCH("Total Liabilities",'Financials 財務數據'!$B$5:$B$13,0))/INDEX('Financials 財務數據'!$D$5:$D$13,MATCH("Total Equity",'Financials 財務數據'!$B$5:$B$13,0)))</f>
        <v>n/a</v>
      </c>
      <c r="D8" s="2" t="inlineStr">
        <is>
          <t>總負債 ÷ 總權益</t>
        </is>
      </c>
    </row>
    <row r="9">
      <c r="A9" s="4" t="inlineStr">
        <is>
          <t>Goodwill / Total Assets</t>
        </is>
      </c>
      <c r="B9" s="16" t="str">
        <f>IF(ISERROR(INDEX('Financials 財務數據'!$C$5:$C$13,MATCH("Goodwill",'Financials 財務數據'!$B$5:$B$13,0))/INDEX('Financials 財務數據'!$C$5:$C$13,MATCH("Total Assets",'Financials 財務數據'!$B$5:$B$13,0))),"n/a",INDEX('Financials 財務數據'!$C$5:$C$13,MATCH("Goodwill",'Financials 財務數據'!$B$5:$B$13,0))/INDEX('Financials 財務數據'!$C$5:$C$13,MATCH("Total Assets",'Financials 財務數據'!$B$5:$B$13,0)))</f>
        <v>n/a</v>
      </c>
      <c r="C9" s="16" t="str">
        <f>IF(ISERROR(INDEX('Financials 財務數據'!$D$5:$D$13,MATCH("Goodwill",'Financials 財務數據'!$B$5:$B$13,0))/INDEX('Financials 財務數據'!$D$5:$D$13,MATCH("Total Assets",'Financials 財務數據'!$B$5:$B$13,0))),"n/a",INDEX('Financials 財務數據'!$D$5:$D$13,MATCH("Goodwill",'Financials 財務數據'!$B$5:$B$13,0))/INDEX('Financials 財務數據'!$D$5:$D$13,MATCH("Total Assets",'Financials 財務數據'!$B$5:$B$13,0)))</f>
        <v>n/a</v>
      </c>
      <c r="D9" s="2" t="inlineStr">
        <is>
          <t>商譽佔總資產比重 — 減值風險指標</t>
        </is>
      </c>
    </row>
    <row r="10">
      <c r="A10" s="4" t="inlineStr">
        <is>
          <t>Intangibles / Total Assets</t>
        </is>
      </c>
      <c r="B10" s="16" t="str">
        <f>IF(ISERROR(INDEX('Financials 財務數據'!$C$5:$C$13,MATCH("Intangible Assets",'Financials 財務數據'!$B$5:$B$13,0))/INDEX('Financials 財務數據'!$C$5:$C$13,MATCH("Total Assets",'Financials 財務數據'!$B$5:$B$13,0))),"n/a",INDEX('Financials 財務數據'!$C$5:$C$13,MATCH("Intangible Assets",'Financials 財務數據'!$B$5:$B$13,0))/INDEX('Financials 財務數據'!$C$5:$C$13,MATCH("Total Assets",'Financials 財務數據'!$B$5:$B$13,0)))</f>
        <v>n/a</v>
      </c>
      <c r="C10" s="16" t="str">
        <f>IF(ISERROR(INDEX('Financials 財務數據'!$D$5:$D$13,MATCH("Intangible Assets",'Financials 財務數據'!$B$5:$B$13,0))/INDEX('Financials 財務數據'!$D$5:$D$13,MATCH("Total Assets",'Financials 財務數據'!$B$5:$B$13,0))),"n/a",INDEX('Financials 財務數據'!$D$5:$D$13,MATCH("Intangible Assets",'Financials 財務數據'!$B$5:$B$13,0))/INDEX('Financials 財務數據'!$D$5:$D$13,MATCH("Total Assets",'Financials 財務數據'!$B$5:$B$13,0)))</f>
        <v>n/a</v>
      </c>
      <c r="D10" s="2" t="inlineStr">
        <is>
          <t>無形資產佔比</t>
        </is>
      </c>
    </row>
    <row r="11">
      <c r="A11" s="4" t="inlineStr">
        <is>
          <t>ROE 股本回報率</t>
        </is>
      </c>
      <c r="B11" s="16" t="str">
        <f>IF(ISERROR(INDEX('Financials 財務數據'!$C$5:$C$13,MATCH("Profit for the Year",'Financials 財務數據'!$B$5:$B$13,0))/INDEX('Financials 財務數據'!$C$5:$C$13,MATCH("Total Equity",'Financials 財務數據'!$B$5:$B$13,0))),"n/a",INDEX('Financials 財務數據'!$C$5:$C$13,MATCH("Profit for the Year",'Financials 財務數據'!$B$5:$B$13,0))/INDEX('Financials 財務數據'!$C$5:$C$13,MATCH("Total Equity",'Financials 財務數據'!$B$5:$B$13,0)))</f>
        <v>n/a</v>
      </c>
      <c r="C11" s="16" t="str">
        <f>IF(ISERROR(INDEX('Financials 財務數據'!$D$5:$D$13,MATCH("Profit for the Year",'Financials 財務數據'!$B$5:$B$13,0))/INDEX('Financials 財務數據'!$D$5:$D$13,MATCH("Total Equity",'Financials 財務數據'!$B$5:$B$13,0))),"n/a",INDEX('Financials 財務數據'!$D$5:$D$13,MATCH("Profit for the Year",'Financials 財務數據'!$B$5:$B$13,0))/INDEX('Financials 財務數據'!$D$5:$D$13,MATCH("Total Equity",'Financials 財務數據'!$B$5:$B$13,0)))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1"/>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Impairment Testing</t>
        </is>
      </c>
      <c r="B4" s="9" t="inlineStr">
        <is>
          <t>減值測試</t>
        </is>
      </c>
      <c r="C4" s="19" t="inlineStr">
        <is>
          <t>high</t>
        </is>
      </c>
      <c r="D4" s="12" t="inlineStr">
        <is>
          <t>recoverable amount</t>
        </is>
      </c>
      <c r="E4" s="12" t="inlineStr">
        <is>
          <t>PDF p.84 (印刷頁 83)</t>
        </is>
      </c>
      <c r="F4" s="12" t="inlineStr">
        <is>
          <t>de to the 對綜合財務報表作出調整，將 貴集團資 consolidated financial statements to adjust the value of the 產的價值調整至其可收回金額，就可能產 Group’s assets to their recoverable amounts, to provide for any 生的任何未來負債計提撥備，並將非流動 further liabilities which might arise and to reclassify non-current 資產及負債分別重新分類為流動資產及負 assets and liabilities as current assets and liabilities, respectively. 債。該等調整的影響尚未於該等綜合財務 The effect of these adjustments had not been reflected on 報表中反映。 these consolidated financial statements. KEY AUDIT MATTERS 關鍵審核事項 Key audit matters are those matt</t>
        </is>
      </c>
    </row>
    <row r="5">
      <c r="A5" s="9" t="inlineStr">
        <is>
          <t>Impairment Testing</t>
        </is>
      </c>
      <c r="B5" s="9" t="inlineStr">
        <is>
          <t>減值測試</t>
        </is>
      </c>
      <c r="C5" s="19" t="inlineStr">
        <is>
          <t>high</t>
        </is>
      </c>
      <c r="D5" s="12" t="inlineStr">
        <is>
          <t>impairment loss</t>
        </is>
      </c>
      <c r="E5" s="12" t="inlineStr">
        <is>
          <t>PDF p.91 (印刷頁 90)</t>
        </is>
      </c>
      <c r="F5" s="12" t="inlineStr">
        <is>
          <t>(2,370) (5,562) Property rentals and related expenses 物業租金及相關開支 (1,279) (1,533) Fuel and utility expenses 燃料及公用設施開支 (1,784) (1,772) Impairment loss of property, plant and 物業、廠房及設備之 equipment 減值虧損 16 – (208) Impairment loss of right-of-use assets 使用權資產之減值虧損 17 – (253) Impairment loss of inventories 存貨之減值虧損 (844) – Impairment loss of goodwill 商譽之減值虧損 18 (783) – Impairment loss of deposits and 按金及其他應收款項之 other receivables 減值虧損 21 (1,270) – Transportation fee 運輸費用 (135) – Other operating expenses 其他營運開支 (5,634) (8,328) Finance cos</t>
        </is>
      </c>
    </row>
    <row r="6">
      <c r="A6" s="9" t="inlineStr">
        <is>
          <t>Impairment Testing</t>
        </is>
      </c>
      <c r="B6" s="9" t="inlineStr">
        <is>
          <t>減值測試</t>
        </is>
      </c>
      <c r="C6" s="19" t="inlineStr">
        <is>
          <t>high</t>
        </is>
      </c>
      <c r="D6" s="12" t="inlineStr">
        <is>
          <t>impairment loss</t>
        </is>
      </c>
      <c r="E6" s="12" t="inlineStr">
        <is>
          <t>PDF p.98 (印刷頁 97)</t>
        </is>
      </c>
      <c r="F6" s="12" t="inlineStr">
        <is>
          <t>t-of-use assets 使用權資產折舊 1,691 3,099 Finance costs 融資成本 10 377 640 Gain on disposal of subsidiaries 出售附屬公司之收益 40 and 41 40及41 – (762) Impairment loss of property, plant 物業、廠房及設備之 and equipment 減值虧損 – 208 Impairment loss of right-of-use assets 使用權資產之減值虧損 – 253 Impairment loss of goodwill 商譽之減值虧損 783 – Impairment loss of deposits and 按金及其他應收款項之 other receivable 減值虧損 1,270 – Impairment loss of inventories 存貨之減值虧損 844 – Written off of deposits, prepayment 撇銷按金、預付款項及 and other receivables 其他應收款項 9 – 2,370 Written off of property, pla</t>
        </is>
      </c>
    </row>
    <row r="7">
      <c r="A7" s="9" t="inlineStr">
        <is>
          <t>Impairment Testing</t>
        </is>
      </c>
      <c r="B7" s="9" t="inlineStr">
        <is>
          <t>減值測試</t>
        </is>
      </c>
      <c r="C7" s="19" t="inlineStr">
        <is>
          <t>high</t>
        </is>
      </c>
      <c r="D7" s="12" t="inlineStr">
        <is>
          <t>recoverable amount</t>
        </is>
      </c>
      <c r="E7" s="12" t="inlineStr">
        <is>
          <t>PDF p.103 (印刷頁 102)</t>
        </is>
      </c>
      <c r="F7" s="12" t="inlineStr">
        <is>
          <t>adjustments would 調整，將本集團資產的賬面值撇減至 have to be made to write down the carrying values of the 其可收回金額，就可能產生的任何進 Group’s assets to their recoverable amounts, to provide 一步負債計提撥備，以及將非流動資 for any further liabilities which might arise, and to reclassify 產及非流動負債分別重新分類為流動 non-current assets and non-current liabilities as current 資產及流動負債。該等調整的影響並 assets and current liabilities, respectively. The effects 未於該等綜合財務報表中反映。 of these adjustments have not been reflected in these consolidated financial statements. 3. APPLICATION OF AMENDMENTS TO</t>
        </is>
      </c>
    </row>
    <row r="8">
      <c r="A8" s="9" t="inlineStr">
        <is>
          <t>Impairment Testing</t>
        </is>
      </c>
      <c r="B8" s="9" t="inlineStr">
        <is>
          <t>減值測試</t>
        </is>
      </c>
      <c r="C8" s="19" t="inlineStr">
        <is>
          <t>high</t>
        </is>
      </c>
      <c r="D8" s="12" t="inlineStr">
        <is>
          <t>impairment test</t>
        </is>
      </c>
      <c r="E8" s="12" t="inlineStr">
        <is>
          <t>PDF p.110 (印刷頁 109)</t>
        </is>
      </c>
      <c r="F8" s="12" t="inlineStr">
        <is>
          <t>of 佔成本。附屬公司之業績按已收股息 subsidiaries are accounted for by the Company on the 及應收股息為基準由本公司入賬。 basis of dividend received and receivable. Impairment testing of the investments in subsidiaries is 當收到附屬公司之投資的股息時，倘 required upon receiving a dividend from these investments 股息超出附屬公司在宣派股息期間之 if the dividend exceeds the total comprehensive income of 全面收益總額，或在獨立財務報表之 the subsidiary in the period that the dividend is declared 投資賬面值超出被投資公司資產淨值 or if the carrying amount of the investment in the separate （包括商譽）在綜合財務報表之賬面 financial statements ex</t>
        </is>
      </c>
    </row>
    <row r="9">
      <c r="A9" s="9" t="inlineStr">
        <is>
          <t>Impairment Testing</t>
        </is>
      </c>
      <c r="B9" s="9" t="inlineStr">
        <is>
          <t>減值測試</t>
        </is>
      </c>
      <c r="C9" s="19" t="inlineStr">
        <is>
          <t>high</t>
        </is>
      </c>
      <c r="D9" s="12" t="inlineStr">
        <is>
          <t>impairment loss</t>
        </is>
      </c>
      <c r="E9" s="12" t="inlineStr">
        <is>
          <t>PDF p.111 (印刷頁 110)</t>
        </is>
      </c>
      <c r="F9" s="12" t="inlineStr">
        <is>
          <t>tion exists, the recoverable amount 等跡象，則估計資產的可收回金額以 of the asset is estimated in order to determine the extent 釐定減值虧損（如有）程度。 of the impairment loss (if any). The recoverable amount of property, plant and equipment 物業、廠房及設備以及使用權資產的 and right-of-use assets are estimated individually. When 可收回金額乃作個別估計。倘不可能 it is not possible to estimate the recoverable amount 個別估計可收回金額，本集團會估計 individually, the Group estimates the recoverable amount 該資產所屬的現金產生單位（「現金產 of the cash-generating unit (“CGU”) to which the asset 生單位」）的可收回金額。 belongs. 110</t>
        </is>
      </c>
    </row>
    <row r="10">
      <c r="A10" s="9" t="inlineStr">
        <is>
          <t>Impairment Testing</t>
        </is>
      </c>
      <c r="B10" s="9" t="inlineStr">
        <is>
          <t>減值測試</t>
        </is>
      </c>
      <c r="C10" s="19" t="inlineStr">
        <is>
          <t>high</t>
        </is>
      </c>
      <c r="D10" s="12" t="inlineStr">
        <is>
          <t>impairment loss</t>
        </is>
      </c>
      <c r="E10" s="12" t="inlineStr">
        <is>
          <t>PDF p.112 (印刷頁 111)</t>
        </is>
      </c>
      <c r="F10" s="12" t="inlineStr">
        <is>
          <t>located to that group 資產或一部分企業資產的賬面值）與 of CGUs, with the recoverable amount of the group of 該組現金產生單位的可收回金額作比 CGUs. In allocating the impairment loss, the impairment 較。分配減值虧損時，減值虧損首先 loss is allocated first to reduce the carrying amount of any 作出分配以調低任何商譽賬面值（如 goodwill (if applicable) and then to the other assets on a 適用），再根據各資產於單位或現金 pro rata basis based on the carrying amount of each asset 產生單位組別的賬面值，按比例分配 in the unit or the group of CGUs. The carrying amount of 至其他資產。資產賬面值不得下調至 an asset is not reduced below the highest of its</t>
        </is>
      </c>
    </row>
    <row r="11">
      <c r="A11" s="9" t="inlineStr">
        <is>
          <t>Impairment Testing</t>
        </is>
      </c>
      <c r="B11" s="9" t="inlineStr">
        <is>
          <t>減值測試</t>
        </is>
      </c>
      <c r="C11" s="19" t="inlineStr">
        <is>
          <t>high</t>
        </is>
      </c>
      <c r="D11" s="12" t="inlineStr">
        <is>
          <t>impairment loss</t>
        </is>
      </c>
      <c r="E11" s="12" t="inlineStr">
        <is>
          <t>PDF p.113 (印刷頁 112)</t>
        </is>
      </c>
      <c r="F11" s="12" t="inlineStr">
        <is>
          <t>FORMATION (Continued) Impairment of property, plant and equipment and 物業、廠房及設備以及使用權資 right-of-use assets (Continued) 產減值（續） Where an impairment loss subsequently reverses, the 倘減值虧損其後撥回，該項資產（或 carrying amount of the asset (or CGU or a group of CGUs) 現金產生單位或現金產生單位組別） is increased to the revised estimate of its recoverable 的賬面值則須增至其經修訂的估計可 amount, but so that the increased carrying amount does 收回金額，惟增加後的賬面值不得超 not exceed the carrying amount that would have been 過若在以往年度該項資產（或現金產 determined had no impairment loss been recognised fo</t>
        </is>
      </c>
    </row>
    <row r="12">
      <c r="A12" s="9" t="inlineStr">
        <is>
          <t>Impairment Testing</t>
        </is>
      </c>
      <c r="B12" s="9" t="inlineStr">
        <is>
          <t>減值測試</t>
        </is>
      </c>
      <c r="C12" s="19" t="inlineStr">
        <is>
          <t>high</t>
        </is>
      </c>
      <c r="D12" s="12" t="inlineStr">
        <is>
          <t>impairment loss</t>
        </is>
      </c>
      <c r="E12" s="12" t="inlineStr">
        <is>
          <t>PDF p.128 (印刷頁 127)</t>
        </is>
      </c>
      <c r="F12" s="12" t="inlineStr">
        <is>
          <t>團作為承租人（續） Right-of-use assets 使用權資產 Right-of-use assets are measured at cost, less any 使用權資產按成本減任何累計折舊及 accumulated depreciation and impairment losses, and 減值虧損計量，並就租賃負債的任何 adjusted for any remeasurement of lease liabilities. 重新計量作出調整。 The cost of right-of-use assets includes: 使用權資產的成本包括： • the amount of the initial measurement of the lease • 租賃負債的初始計量金額； liability; • any lease payments made at or before the • 於開始日期或之前的任何已繳 commencement date, less any lease incentives 租賃付款，減任何已收租賃優 received; 惠； • any initial direct costs incurr</t>
        </is>
      </c>
    </row>
    <row r="13">
      <c r="A13" s="9" t="inlineStr">
        <is>
          <t>Impairment Testing</t>
        </is>
      </c>
      <c r="B13" s="9" t="inlineStr">
        <is>
          <t>減值測試</t>
        </is>
      </c>
      <c r="C13" s="19" t="inlineStr">
        <is>
          <t>high</t>
        </is>
      </c>
      <c r="D13" s="12" t="inlineStr">
        <is>
          <t>fair value less costs</t>
        </is>
      </c>
      <c r="E13" s="12" t="inlineStr">
        <is>
          <t>PDF p.137 (印刷頁 136)</t>
        </is>
      </c>
      <c r="F13" s="12" t="inlineStr">
        <is>
          <t>f the discontinued － 已終止經營業務之除稅後溢利 operation; and 或虧損；及 – the post-tax gain or loss recognised on the － 就構成已終止經營業務之資產 measurement to fair value less costs to sell, or on 或出售組別計算公平值減出售 the disposal, of the assets or disposal group(s) 成本（或於出售時）所確認之除 constituting the discontinued operation. 稅後收益或虧損。 136 CBK HOLDINGS LIMITED / ANNUAL REPORT 2026</t>
        </is>
      </c>
    </row>
    <row r="14">
      <c r="A14" s="9" t="inlineStr">
        <is>
          <t>Impairment Testing</t>
        </is>
      </c>
      <c r="B14" s="9" t="inlineStr">
        <is>
          <t>減值測試</t>
        </is>
      </c>
      <c r="C14" s="19" t="inlineStr">
        <is>
          <t>high</t>
        </is>
      </c>
      <c r="D14" s="12" t="inlineStr">
        <is>
          <t>impairment test</t>
        </is>
      </c>
      <c r="E14" s="12" t="inlineStr">
        <is>
          <t>PDF p.141 (印刷頁 140)</t>
        </is>
      </c>
      <c r="F14" s="12" t="inlineStr">
        <is>
          <t>luding the discount rates or the growth rate in the cash flow projections, could materially affect the net present value used in the impairment test. As at 31 March 2026, the carrying amounts of property, 於2026年3月31日，物業、廠房及設 plant and equipment and right-of-use assets are 備以及使用權資產的賬面值分別為約 approximately HK$1,229,000 and HK$2,718,000 1,229,000港元及2,718,000港元；物 respectively, the impairment losses on property, plant 業、廠房及設備以及使用權資產的 減值虧損於截至2026年3月31日止年 and equipment and right-of-use assets are recognised 度內分別確認為約零港元（2025年： approximat</t>
        </is>
      </c>
    </row>
    <row r="15">
      <c r="A15" s="9" t="inlineStr">
        <is>
          <t>Impairment Testing</t>
        </is>
      </c>
      <c r="B15" s="9" t="inlineStr">
        <is>
          <t>減值測試</t>
        </is>
      </c>
      <c r="C15" s="19" t="inlineStr">
        <is>
          <t>high</t>
        </is>
      </c>
      <c r="D15" s="12" t="inlineStr">
        <is>
          <t>impairment loss</t>
        </is>
      </c>
      <c r="E15" s="12" t="inlineStr">
        <is>
          <t>PDF p.142 (印刷頁 141)</t>
        </is>
      </c>
      <c r="F15" s="12" t="inlineStr">
        <is>
          <t>than expected, or being revised downward due to changes 動而作出下調，可能產生重大撥備。 in facts and circumstances, a material allowance may arise. Impairment loss on deposits and other receivables of 於截至2026年3月31日止年度內，已 approximately HK$1,270,000 (2025: HK$nil) has been 就按金及其他應收款項確認減值虧 recognised during the year ended 31 March 2026. Details 損約1,270,000港元（2025年：零港 of the impairment assessment of deposits and other 元）。有關按金及其他應收款項減值 receivables are set out in note 6 to the consolidated 評估的詳情載於綜合財務報表附註6。 financial statements. 漢諾佳池控股有限公司 / 2026 年</t>
        </is>
      </c>
    </row>
    <row r="16">
      <c r="A16" s="9" t="inlineStr">
        <is>
          <t>Impairment Testing</t>
        </is>
      </c>
      <c r="B16" s="9" t="inlineStr">
        <is>
          <t>減值測試</t>
        </is>
      </c>
      <c r="C16" s="19" t="inlineStr">
        <is>
          <t>high</t>
        </is>
      </c>
      <c r="D16" s="12" t="inlineStr">
        <is>
          <t>impairment loss</t>
        </is>
      </c>
      <c r="E16" s="12" t="inlineStr">
        <is>
          <t>PDF p.149 (印刷頁 148)</t>
        </is>
      </c>
      <c r="F16" s="12" t="inlineStr">
        <is>
          <t>12個月預期信貸虧損 2,828 – 3,594 – Lifetime ECL (credit-impaired) 全期預期信貸虧損 （信貸減值） 1,270 (1,270) 2,370 (2,370) 4,098 (1,270) 5,964 (2,370) No impairment loss has been recognised on deposits 截至2026年及2025年3月31日止 and other receivables measured under 12m ECL 兩個年度，概無就根據12個月 model for both the years ended 31 March 2026 and 預期信貸虧損模式計量的按金 2025. 及其他應收款項確認減值虧損。 148 CBK HOLDINGS LIMITED / ANNUAL REPORT 2026</t>
        </is>
      </c>
    </row>
    <row r="17">
      <c r="A17" s="9" t="inlineStr">
        <is>
          <t>Impairment Testing</t>
        </is>
      </c>
      <c r="B17" s="9" t="inlineStr">
        <is>
          <t>減值測試</t>
        </is>
      </c>
      <c r="C17" s="19" t="inlineStr">
        <is>
          <t>high</t>
        </is>
      </c>
      <c r="D17" s="12" t="inlineStr">
        <is>
          <t>impairment loss</t>
        </is>
      </c>
      <c r="E17" s="12" t="inlineStr">
        <is>
          <t>PDF p.150 (印刷頁 149)</t>
        </is>
      </c>
      <c r="F17" s="12" t="inlineStr">
        <is>
          <t>under 按金及其他應收款項虧損撥備 general approach: 對賬： Lifetime ECL (creditimpaired) 全期預期 信貸虧損 （信貸減值） HK$’000 千港元 At 1 April 2024 於2024年4月1日 – Impairment losses recognised 已確認減值虧損 2,370 Write off^ 撇銷^ (2,370) At 31 March 2025 and 1 April 2025 於2025年3月31日及2025年4月1日 – Impairment losses recognised* 已確認減值虧損* 1,270 At 31 March 2026 於2026年3月31日 1,270 * During the year ended 31 March 2026, management * 截至2026年3月31日止年度內， assessed the balance past due for over 1 years. Accordingly, 管理層已評估逾期超過1年的結 the Group has fully impaired the relevant receivab</t>
        </is>
      </c>
    </row>
    <row r="18">
      <c r="A18" s="9" t="inlineStr">
        <is>
          <t>Impairment Testing</t>
        </is>
      </c>
      <c r="B18" s="9" t="inlineStr">
        <is>
          <t>減值測試</t>
        </is>
      </c>
      <c r="C18" s="19" t="inlineStr">
        <is>
          <t>high</t>
        </is>
      </c>
      <c r="D18" s="12" t="inlineStr">
        <is>
          <t>impairment loss</t>
        </is>
      </c>
      <c r="E18" s="12" t="inlineStr">
        <is>
          <t>PDF p.158 (印刷頁 157)</t>
        </is>
      </c>
      <c r="F18" s="12" t="inlineStr">
        <is>
          <t>dditions to right-of-use assets 添置使用權資產 620 239 859 Depreciation and amortisation 折舊及攤銷 2,302 68 2,370 Finance costs 融資成本 289 88 377 Impairment loss on deposits and other 按金及其他應收款項之減值虧損 receivables – 1,270 1,270 Impairment loss on inventories 存貨之減值虧損 – 844 844 Impairment loss on goodwill 商譽之減值虧損 – 783 783 Year ended 31 March 2025 截至2025年3月31日止年度 Continuing Discontinued operation operation 持續 已終止 經營業務 經營業務 Restaurant and sales Sales and of food processing operations of food Unallocated Consolidated 餐廳及 食品銷售營運銷售及加工食品 未分配 合計 HK$’0</t>
        </is>
      </c>
    </row>
    <row r="19">
      <c r="A19" s="9" t="inlineStr">
        <is>
          <t>Impairment Testing</t>
        </is>
      </c>
      <c r="B19" s="9" t="inlineStr">
        <is>
          <t>減值測試</t>
        </is>
      </c>
      <c r="C19" s="19" t="inlineStr">
        <is>
          <t>high</t>
        </is>
      </c>
      <c r="D19" s="12" t="inlineStr">
        <is>
          <t>impairment loss</t>
        </is>
      </c>
      <c r="E19" s="12" t="inlineStr">
        <is>
          <t>PDF p.170 (印刷頁 169)</t>
        </is>
      </c>
      <c r="F19" s="12" t="inlineStr">
        <is>
          <t>於2024年4月1日 11,121 937 4,924 16,982 Charge for the year 年內開支 2,312 97 85 2,494 Written off (Note) 撇銷（附註） (4,107) (271) (330) (4,708) Impairment loss 減值虧損 142 66 – 208 Disposal of subsidiaries 出售附屬公司 (Notes 40 and 41(a)) （附註40及41(a)） (6,008) (467) (3,522) (9,997) At 31 March 2025 and 於2025年3月31日及 1 April 2025 2025年4月1日 3,460 362 1,157 4,979 Charge for the year 年內開支 543 92 41 676 Written off (Note) 撇銷（附註） (1,701) (132) – (1,833) At 31 March 2026 於2026年3月31日 2,302 322 1,198 3,822 Carrying amounts 賬面值 At 31 March 2026 於2026年3月31日 7</t>
        </is>
      </c>
    </row>
    <row r="20">
      <c r="A20" s="9" t="inlineStr">
        <is>
          <t>Impairment Testing</t>
        </is>
      </c>
      <c r="B20" s="9" t="inlineStr">
        <is>
          <t>減值測試</t>
        </is>
      </c>
      <c r="C20" s="19" t="inlineStr">
        <is>
          <t>high</t>
        </is>
      </c>
      <c r="D20" s="12" t="inlineStr">
        <is>
          <t>impairment loss</t>
        </is>
      </c>
      <c r="E20" s="12" t="inlineStr">
        <is>
          <t>PDF p.171 (印刷頁 170)</t>
        </is>
      </c>
      <c r="F20" s="12" t="inlineStr">
        <is>
          <t>aired 月31日止年度的綜合財務報表中，就 in the consolidated financial statements for the year ended 相關物業、廠房及設備以及使用權資 31 March 2025. 產的賬面值予以全額減值。 The impairment loss of approximately HK$208,000 and 截至2025年3月31日止年度，本公司 HK$253,000 were recognised in respect of the property, 分別就與餐廳營運相關之物業、廠房 plant and equipment and right-of-use assets related to the 及設備以及使用權資產確認減值虧損 restaurant operations for the year ended 31 March 2025, 約208,000港元及253,000港元。 respectively. 170 CBK HOLDINGS LIMITED / ANNUAL REPORT 2026</t>
        </is>
      </c>
    </row>
    <row r="21">
      <c r="A21" s="9" t="inlineStr">
        <is>
          <t>Impairment Testing</t>
        </is>
      </c>
      <c r="B21" s="9" t="inlineStr">
        <is>
          <t>減值測試</t>
        </is>
      </c>
      <c r="C21" s="19" t="inlineStr">
        <is>
          <t>high</t>
        </is>
      </c>
      <c r="D21" s="12" t="inlineStr">
        <is>
          <t>impairment loss</t>
        </is>
      </c>
      <c r="E21" s="12" t="inlineStr">
        <is>
          <t>PDF p.173 (印刷頁 172)</t>
        </is>
      </c>
      <c r="F21" s="12" t="inlineStr">
        <is>
          <t>ril 2024 於2024年4月1日 3,364 Additions 添置 4,539 Depreciation 折舊 (3,099) Disposal of a subsidiary (Note 41(a)) 出售一間附屬公司（附註41(a)） (1,021) Impairment loss (Note 16) 減值虧損（附註16） (253) At 31 March 2025 and 1 April 2025 於2025年3月31日及 2025年4月1日 3,530 Additions 添置 859 Depreciation 折舊 (1,691) Exchange realignment 匯兌調整 20 At 31 March 2026 於2026年3月31日 2,718 2026 2025 2026年 2025年 HK$’000 HK$’000 千港元 千港元 Total cash outflow for leases (Note) 租賃現金流出總額（附註） 2,983 4,352 Note: Amount includes payments of principal and interest portion 附註： 金額包括租賃負債的本金及</t>
        </is>
      </c>
    </row>
    <row r="22">
      <c r="A22" s="9" t="inlineStr">
        <is>
          <t>Impairment Testing</t>
        </is>
      </c>
      <c r="B22" s="9" t="inlineStr">
        <is>
          <t>減值測試</t>
        </is>
      </c>
      <c r="C22" s="19" t="inlineStr">
        <is>
          <t>high</t>
        </is>
      </c>
      <c r="D22" s="12" t="inlineStr">
        <is>
          <t>recoverable amount</t>
        </is>
      </c>
      <c r="E22" s="12" t="inlineStr">
        <is>
          <t>PDF p.174 (印刷頁 173)</t>
        </is>
      </c>
      <c r="F22" s="12" t="inlineStr">
        <is>
          <t>dwill of the Group 管理層根據香港會計準則第36號資產 according to HKAS 36 Impairment of Assets were 減值對本集團商譽開展減值評估。 conducted by the management. The recoverable amount of CGU is determined based on 現金產生單位的可收回金額乃基於管 value-in-use calculations by using the discounted cash 理層批准的五年財務預算，採用貼現 flow method, based on financial budget approved by 現金流量法計算使用價值而釐定。超 management covering a 5-year period. Cash flow beyond 過五年期的現金流量則使用終端增長 the 5-year period was extrapolated using the terminal 率進行推算。主要假設載列如下： growth rate. Key assumptions are set out below: As at</t>
        </is>
      </c>
    </row>
    <row r="23">
      <c r="A23" s="9" t="inlineStr">
        <is>
          <t>Impairment Testing</t>
        </is>
      </c>
      <c r="B23" s="9" t="inlineStr">
        <is>
          <t>減值測試</t>
        </is>
      </c>
      <c r="C23" s="19" t="inlineStr">
        <is>
          <t>high</t>
        </is>
      </c>
      <c r="D23" s="12" t="inlineStr">
        <is>
          <t>impairment loss</t>
        </is>
      </c>
      <c r="E23" s="12" t="inlineStr">
        <is>
          <t>PDF p.177 (印刷頁 176)</t>
        </is>
      </c>
      <c r="F23" s="12" t="inlineStr">
        <is>
          <t>s 租賃按金 9 682 Utility and other deposits 公共事業及其他按金 440 569 Other receivables (Note (b)) 其他應收款項（附註(b)） 2,585 1,279 Less: Allowance for impairment losses 減：減值虧損撥備 (1,270) – 13,799 2,666 Notes: 附註： (a) The amounts mainly represented prepayment to suppliers for the (a) 有關款項主要為就食品業務的代理銷售 agency sales of food operations. 而向供應商支付的預付款項。 (b) As at 31 March 2026 and 2025, the amount included consideration (b) 於2026年及2025年3月31日，該金額包 receivable from disposal of subsidiaries of HK$1,270,000. 括出售附屬公司之應收代價1,270,000 港元。 Details of expected cred</t>
        </is>
      </c>
    </row>
    <row r="24">
      <c r="A24" s="9" t="inlineStr">
        <is>
          <t>Intangible Assets &amp; Goodwill</t>
        </is>
      </c>
      <c r="B24" s="9" t="inlineStr">
        <is>
          <t>無形資產及商譽</t>
        </is>
      </c>
      <c r="C24" s="19" t="inlineStr">
        <is>
          <t>high</t>
        </is>
      </c>
      <c r="D24" s="12" t="inlineStr">
        <is>
          <t>amortisation</t>
        </is>
      </c>
      <c r="E24" s="12" t="inlineStr">
        <is>
          <t>PDF p.15 (印刷頁 14)</t>
        </is>
      </c>
      <c r="F24" s="12" t="inlineStr">
        <is>
          <t>ssociated with 在挽留及招聘具經驗員工方面面臨的挑戰 retaining and recruiting experienced staff in the food and 所致。 beverage industry. Depreciation and amortisation 折舊及攤銷 Our depreciation and amortisation for the year ended 31 折舊及攤銷於截至2026年3月31日止年度 March 2026 decreased by approximately HK$3.2 million to 減少約3.2百萬港元至約2.4百萬港元（2025 approximately HK$2.4 million (2025: approximately HK$5.6 年：約5.6百萬港元）。本次減少主要由於 million). The decrease was primarily due to the disposal of 2025財年出售若干附屬公司，以及終止虧 certain subsidiaries and the cessation of loss-making restauran</t>
        </is>
      </c>
    </row>
    <row r="25">
      <c r="A25" s="9" t="inlineStr">
        <is>
          <t>Intangible Assets &amp; Goodwill</t>
        </is>
      </c>
      <c r="B25" s="9" t="inlineStr">
        <is>
          <t>無形資產及商譽</t>
        </is>
      </c>
      <c r="C25" s="19" t="inlineStr">
        <is>
          <t>high</t>
        </is>
      </c>
      <c r="D25" s="12" t="inlineStr">
        <is>
          <t>goodwill</t>
        </is>
      </c>
      <c r="E25" s="12" t="inlineStr">
        <is>
          <t>PDF p.91 (印刷頁 90)</t>
        </is>
      </c>
      <c r="F25" s="12" t="inlineStr">
        <is>
          <t>(208) Impairment loss of right-of-use assets 使用權資產之減值虧損 17 – (253) Impairment loss of inventories 存貨之減值虧損 (844) – Impairment loss of goodwill 商譽之減值虧損 18 (783) – Impairment loss of deposits and 按金及其他應收款項之 other receivables 減值虧損 21 (1,270) – Transportation fee 運輸費用 (135) – Other operating expenses 其他營運開支 (5,634) (8,328) Finance costs 融資成本 10 (377) (640) Loss before tax from continuing 持續經營業務的除稅前 operation 虧損 11 (9,325) (13,261) Income tax expenses 所得稅開支 14 (6) – Loss for the year from continuing 持續經營業務的年內 operation 虧損 (9,331) (13</t>
        </is>
      </c>
    </row>
    <row r="26">
      <c r="A26" s="9" t="inlineStr">
        <is>
          <t>Intangible Assets &amp; Goodwill</t>
        </is>
      </c>
      <c r="B26" s="9" t="inlineStr">
        <is>
          <t>無形資產及商譽</t>
        </is>
      </c>
      <c r="C26" s="19" t="inlineStr">
        <is>
          <t>high</t>
        </is>
      </c>
      <c r="D26" s="12" t="inlineStr">
        <is>
          <t>intangible asset</t>
        </is>
      </c>
      <c r="E26" s="12" t="inlineStr">
        <is>
          <t>PDF p.93 (印刷頁 92)</t>
        </is>
      </c>
      <c r="F26" s="12" t="inlineStr">
        <is>
          <t>erty, plant and equipment 物業、廠房及設備 16 1,229 1,815 Right-of-use assets 使用權資產 17 2,718 3,530 Non-current deposits 非即期按金 21 1,064 1,064 Intangible assets 無形資產 22 36 18 5,047 6,427 Current assets 流動資產 Inventories 存貨 19 767 110 Trade receivables 貿易應收款項 20 261 238 Deposits, prepayments and 按金、預付款項及 other receivables 其他應收款項 21 13,799 2,666 Cash and cash equivalents 現金及現金等價物 23 6,878 1,636 21,705 4,650 Current liabilities 流動負債 Trade payables 貿易應付款項 24 995 182 Accruals and other payables 應計費用及其他應付款項 25 21,322 10,578 Amount due to a non-</t>
        </is>
      </c>
    </row>
    <row r="27">
      <c r="A27" s="9" t="inlineStr">
        <is>
          <t>Intangible Assets &amp; Goodwill</t>
        </is>
      </c>
      <c r="B27" s="9" t="inlineStr">
        <is>
          <t>無形資產及商譽</t>
        </is>
      </c>
      <c r="C27" s="19" t="inlineStr">
        <is>
          <t>high</t>
        </is>
      </c>
      <c r="D27" s="12" t="inlineStr">
        <is>
          <t>intangible asset</t>
        </is>
      </c>
      <c r="E27" s="12" t="inlineStr">
        <is>
          <t>PDF p.98 (印刷頁 97)</t>
        </is>
      </c>
      <c r="F27" s="12" t="inlineStr">
        <is>
          <t>operation －來自持續經營業務 (9,325) (13,261) – From discontinuing operation －來自已終止經營業務 40 – (388) Adjustments for: 就以下各項調整： Amortisation of intangible assets 無形資產攤銷 3 – Depreciation of property, plant and 物業、廠房及設備折舊 equipment 676 2,463 Depreciation of right-of-use assets 使用權資產折舊 1,691 3,099 Finance costs 融資成本 10 377 640 Gain on disposal of subsidiaries 出售附屬公司之收益 40 and 41 40及41 – (762) Impairment loss of property, plant 物業、廠房及設備之 and equipment 減值虧損 – 208 Impairment loss of right-of-use assets 使用權資產之減值虧損 – 253 Impairment loss of goodwi</t>
        </is>
      </c>
    </row>
    <row r="28">
      <c r="A28" s="9" t="inlineStr">
        <is>
          <t>Intangible Assets &amp; Goodwill</t>
        </is>
      </c>
      <c r="B28" s="9" t="inlineStr">
        <is>
          <t>無形資產及商譽</t>
        </is>
      </c>
      <c r="C28" s="19" t="inlineStr">
        <is>
          <t>high</t>
        </is>
      </c>
      <c r="D28" s="12" t="inlineStr">
        <is>
          <t>goodwill</t>
        </is>
      </c>
      <c r="E28" s="12" t="inlineStr">
        <is>
          <t>PDF p.107 (印刷頁 106)</t>
        </is>
      </c>
      <c r="F28" s="12" t="inlineStr">
        <is>
          <t>益公平值總額及(ii)失去控制權 determined at the date when control is lost and (ii) the 當日資產（包括商譽）的賬面值及附屬 carrying amount of the assets (including goodwill), and 公司的負債及任何非控股權益之間的 liabilities of the subsidiary and any non-controlling interests 差額計算。先前就已出售附屬公司於 at the date when control is lost. The amounts previously 其他全面收益確認之金額，會按猶如 recognised in other comprehensive income in relation to 母公司已直接出售相關資產或負債之 the disposed subsidiary are accounted for on the same 所需相同基準入賬。自失去控制權當 basis as would be required if the parent had directly 日起，於前附屬公司保留之任何投</t>
        </is>
      </c>
    </row>
    <row r="29">
      <c r="A29" s="9" t="inlineStr">
        <is>
          <t>Intangible Assets &amp; Goodwill</t>
        </is>
      </c>
      <c r="B29" s="9" t="inlineStr">
        <is>
          <t>無形資產及商譽</t>
        </is>
      </c>
      <c r="C29" s="19" t="inlineStr">
        <is>
          <t>high</t>
        </is>
      </c>
      <c r="D29" s="12" t="inlineStr">
        <is>
          <t>goodwill</t>
        </is>
      </c>
      <c r="E29" s="12" t="inlineStr">
        <is>
          <t>PDF p.109 (印刷頁 108)</t>
        </is>
      </c>
      <c r="F29" s="12" t="inlineStr">
        <is>
          <t>2026 截至2026年3月31日止年度 4. MATERIAL ACCOUNTING POLICY 4. 主要會計政策資料（續） INFORMATION (Continued) Business combinations (Continued) 業務合併（續） Goodwill is measured as the excess of the sum of the 商譽是以所轉撥之代價、非控股權益 consideration transferred, the amount of any non- 於被收購方中所佔金額，以及收購方 controlling interests in the acquiree, and the fair value 先前持有被收購方股權之公平值（如 of the acquirer’s previously held equity interest in the 有）之總和，減所收購之可識別資產 acquiree (if any) over the net amount of the identifiable 及所承擔負債於收購日期之淨值後， assets acquired and the liabilities ass</t>
        </is>
      </c>
    </row>
    <row r="30">
      <c r="A30" s="9" t="inlineStr">
        <is>
          <t>Intangible Assets &amp; Goodwill</t>
        </is>
      </c>
      <c r="B30" s="9" t="inlineStr">
        <is>
          <t>無形資產及商譽</t>
        </is>
      </c>
      <c r="C30" s="19" t="inlineStr">
        <is>
          <t>high</t>
        </is>
      </c>
      <c r="D30" s="12" t="inlineStr">
        <is>
          <t>goodwill</t>
        </is>
      </c>
      <c r="E30" s="12" t="inlineStr">
        <is>
          <t>PDF p.110 (印刷頁 109)</t>
        </is>
      </c>
      <c r="F30" s="12" t="inlineStr">
        <is>
          <t>ents exceeds the carrying amount in the 值時，則必須對有關投資進行減值測 consolidated financial statements of the investee’s net 試。 assets including goodwill. Property, plant and equipment 物業、廠房及設備 Property, plant and equipment are tangible assets that 物業、廠房及設備為持有用作生產或 are held for use in the production or supply of goods or 提供貨物或服務或作行政用途的有形 services, or for administrative purposes. Property, plant 資產。物業、廠房及設備在綜合財務 and equipment are stated in the consolidated statement 狀況表中乃按其成本減去其後累計折 of financial position at cost, less subsequent accumulated</t>
        </is>
      </c>
    </row>
    <row r="31">
      <c r="A31" s="9" t="inlineStr">
        <is>
          <t>Intangible Assets &amp; Goodwill</t>
        </is>
      </c>
      <c r="B31" s="9" t="inlineStr">
        <is>
          <t>無形資產及商譽</t>
        </is>
      </c>
      <c r="C31" s="19" t="inlineStr">
        <is>
          <t>high</t>
        </is>
      </c>
      <c r="D31" s="12" t="inlineStr">
        <is>
          <t>可使用年期</t>
        </is>
      </c>
      <c r="E31" s="12" t="inlineStr">
        <is>
          <t>PDF p.111 (印刷頁 110)</t>
        </is>
      </c>
      <c r="F31" s="12" t="inlineStr">
        <is>
          <t>ts less their residual values over their useful lives, 值按使用年期以直線法予以確認。估 using the straight-line method. The estimated useful lives, 計可使用年期、剩餘價值及折舊法於 residual values and depreciation method are reviewed at 各報告期末時檢討，任何估計變動的 the end of each reporting period, with the effect of any 影響按前瞻基準入賬。主要年率如 changes in estimate accounted for on a prospective basis. 下： The principal annual rates are as follows: Leasehold improvements Over the shorter of 租賃物業裝修 按租期或20%（以 lease terms or 20% 較短者為準） Furniture and fixtures 10%-20% 傢俬及固定裝置 10%-20% C</t>
        </is>
      </c>
    </row>
    <row r="32">
      <c r="A32" s="9" t="inlineStr">
        <is>
          <t>Intangible Assets &amp; Goodwill</t>
        </is>
      </c>
      <c r="B32" s="9" t="inlineStr">
        <is>
          <t>無形資產及商譽</t>
        </is>
      </c>
      <c r="C32" s="19" t="inlineStr">
        <is>
          <t>high</t>
        </is>
      </c>
      <c r="D32" s="12" t="inlineStr">
        <is>
          <t>goodwill</t>
        </is>
      </c>
      <c r="E32" s="12" t="inlineStr">
        <is>
          <t>PDF p.112 (印刷頁 111)</t>
        </is>
      </c>
      <c r="F32" s="12" t="inlineStr">
        <is>
          <t>g the impairment loss, the impairment 較。分配減值虧損時，減值虧損首先 loss is allocated first to reduce the carrying amount of any 作出分配以調低任何商譽賬面值（如 goodwill (if applicable) and then to the other assets on a 適用），再根據各資產於單位或現金 pro rata basis based on the carrying amount of each asset 產生單位組別的賬面值，按比例分配 in the unit or the group of CGUs. The carrying amount of 至其他資產。資產賬面值不得下調至 an asset is not reduced below the highest of its fair value 低於以下最高者：其公平值減出售成 less costs of disposal (if measurable), its value in use (if 本（如可計量）、其使用價值（如可釐 determinable) and z</t>
        </is>
      </c>
    </row>
    <row r="33">
      <c r="A33" s="9" t="inlineStr">
        <is>
          <t>Intangible Assets &amp; Goodwill</t>
        </is>
      </c>
      <c r="B33" s="9" t="inlineStr">
        <is>
          <t>無形資產及商譽</t>
        </is>
      </c>
      <c r="C33" s="19" t="inlineStr">
        <is>
          <t>high</t>
        </is>
      </c>
      <c r="D33" s="12" t="inlineStr">
        <is>
          <t>intangible asset</t>
        </is>
      </c>
      <c r="E33" s="12" t="inlineStr">
        <is>
          <t>PDF p.113 (印刷頁 112)</t>
        </is>
      </c>
      <c r="F33" s="12" t="inlineStr">
        <is>
          <t>rior years. A 認減值虧損而釐定的賬面值。減值虧 reversal of an impairment loss is recognised immediately 損撥回即時於損益確認。 in profit or loss. Trademarks 商標 Intangible assets with finite useful lives that are acquired 使用年期有限且為另行收購的無形資 separately are carried at costs less accumulated 產乃按成本減累計攤銷及任何累計減 amortisation and accumulated impairment losses. 值虧損列賬。攤銷乃於其估計使用年 Amortisation is recognised on a straight-line basis over 期以直線法確認。估計使用年期及攤 their estimated useful lives. The estimated useful life and 銷方法於各報告期末進行審閱，而任 amortisation method are reviewed at the</t>
        </is>
      </c>
    </row>
    <row r="34">
      <c r="A34" s="9" t="inlineStr">
        <is>
          <t>Intangible Assets &amp; Goodwill</t>
        </is>
      </c>
      <c r="B34" s="9" t="inlineStr">
        <is>
          <t>無形資產及商譽</t>
        </is>
      </c>
      <c r="C34" s="19" t="inlineStr">
        <is>
          <t>high</t>
        </is>
      </c>
      <c r="D34" s="12" t="inlineStr">
        <is>
          <t>攤銷</t>
        </is>
      </c>
      <c r="E34" s="12" t="inlineStr">
        <is>
          <t>PDF p.114 (印刷頁 113)</t>
        </is>
      </c>
      <c r="F34" s="12" t="inlineStr">
        <is>
          <t>fective interest method is a method of calculating 實際利率法乃計算金融資產或金融負 the amortised cost of a financial asset or financial liability 債的攤銷成本及按有關期間攤分利息 and of allocating interest income and interest expense 收入及利息開支的方法。實際利率為 over the relevant period. The effective interest rate is the 初步確認時按金融資產或金融負債的 rate that exactly discounts estimated future cash receipts 估計年期或（如適用）較短期間準確貼 and payments (including all fees and points paid or 現估計未來現金收入及付款（包括所 received that form an integral part of the effective interest 有構成實際利率組成部分的已付或已 rate, tran</t>
        </is>
      </c>
    </row>
    <row r="35">
      <c r="A35" s="9" t="inlineStr">
        <is>
          <t>Intangible Assets &amp; Goodwill</t>
        </is>
      </c>
      <c r="B35" s="9" t="inlineStr">
        <is>
          <t>無形資產及商譽</t>
        </is>
      </c>
      <c r="C35" s="19" t="inlineStr">
        <is>
          <t>high</t>
        </is>
      </c>
      <c r="D35" s="12" t="inlineStr">
        <is>
          <t>攤銷</t>
        </is>
      </c>
      <c r="E35" s="12" t="inlineStr">
        <is>
          <t>PDF p.115 (印刷頁 114)</t>
        </is>
      </c>
      <c r="F35" s="12" t="inlineStr">
        <is>
          <t>金融資產（續） Classification and subsequent measurement of financial 金融資產的分類及其後計量（續） assets (Continued) Amortised cost and interest income 攤銷成本及利息收入 Interest income is recognised using the effective interest 就其後按攤銷成本計量的金融資產及 method for financial assets measured subsequently at 債務工具而言，利息收入乃使用實際 amortised cost and debt instruments. Interest income is 利率法確認。利息收入透過將實際利 calculated by applying the effective interest rate to the 率應用於金融資產賬面總值計算，惟 gross carrying amount of a financial asset, except for 其後出現信貸減值的金融資產除外。 financial assets that ha</t>
        </is>
      </c>
    </row>
    <row r="36">
      <c r="A36" s="9" t="inlineStr">
        <is>
          <t>Intangible Assets &amp; Goodwill</t>
        </is>
      </c>
      <c r="B36" s="9" t="inlineStr">
        <is>
          <t>無形資產及商譽</t>
        </is>
      </c>
      <c r="C36" s="19" t="inlineStr">
        <is>
          <t>high</t>
        </is>
      </c>
      <c r="D36" s="12" t="inlineStr">
        <is>
          <t>攤銷</t>
        </is>
      </c>
      <c r="E36" s="12" t="inlineStr">
        <is>
          <t>PDF p.121 (印刷頁 120)</t>
        </is>
      </c>
      <c r="F36" s="12" t="inlineStr">
        <is>
          <t>融資產已 financial asset is credit-impaired, in which case 出現信貸減值，在該情況下利 interest income is calculated based on amortised cost 息收入則按金融資產的攤銷成 of the financial asset. 本計算。 The Group recognises an impairment gain or loss in 本集團透過調整賬面值而於損 profit or loss for all financial instruments by adjusting 益內確認所有金融工具的減值 their carrying amount, with the exception of trade 收益或虧損，惟貿易應收款項 receivables where the corresponding adjustment is 的相應調整乃透過虧損撥備賬 recognised through a loss allowance account. 目確認除外。 120 CBK HOLDINGS LIMITED / ANNUAL REPORT 2026</t>
        </is>
      </c>
    </row>
    <row r="37">
      <c r="A37" s="9" t="inlineStr">
        <is>
          <t>Intangible Assets &amp; Goodwill</t>
        </is>
      </c>
      <c r="B37" s="9" t="inlineStr">
        <is>
          <t>無形資產及商譽</t>
        </is>
      </c>
      <c r="C37" s="19" t="inlineStr">
        <is>
          <t>high</t>
        </is>
      </c>
      <c r="D37" s="12" t="inlineStr">
        <is>
          <t>攤銷</t>
        </is>
      </c>
      <c r="E37" s="12" t="inlineStr">
        <is>
          <t>PDF p.122 (印刷頁 121)</t>
        </is>
      </c>
      <c r="F37" s="12" t="inlineStr">
        <is>
          <t>tractual rights to the cash flows from the asset expire. 約權利屆滿時，方會終止確認金融資 產。 On derecognition of a financial asset measured at 於終止確認按攤銷成本計量的金融資 amortised cost, the difference between the asset’s carrying 產時，資產賬面值與已收及應收代價 amount and the sum of the consideration received and 總額之間的差額於損益內確認。 receivable is recognised in profit or loss. Financial liabilities and equity instruments 金融負債及股本工具 Classification as debt or equity 分類為債務或股本 Debt and equity instruments issued by a group entity 債務及一間集團實體發行的股本工具 are classified as either financia</t>
        </is>
      </c>
    </row>
    <row r="38">
      <c r="A38" s="9" t="inlineStr">
        <is>
          <t>Intangible Assets &amp; Goodwill</t>
        </is>
      </c>
      <c r="B38" s="9" t="inlineStr">
        <is>
          <t>無形資產及商譽</t>
        </is>
      </c>
      <c r="C38" s="19" t="inlineStr">
        <is>
          <t>high</t>
        </is>
      </c>
      <c r="D38" s="12" t="inlineStr">
        <is>
          <t>攤銷</t>
        </is>
      </c>
      <c r="E38" s="12" t="inlineStr">
        <is>
          <t>PDF p.123 (印刷頁 122)</t>
        </is>
      </c>
      <c r="F38" s="12" t="inlineStr">
        <is>
          <t>ncial liabilities’ original effective interest rate. 本或費用調整至經修訂金融負債的賬 Transaction costs or fees incurred are adjusted to the 面值及於餘下期間攤銷。任何金融負 carrying amount of the modified financial liabilities and are 債賬面值的調整於修訂日期於損益確 amortised over the remaining term. Any adjustment to the 認。 carrying amount of the financial liability is recognised in profit or loss at the date of modification. Revenue from contracts with customers 客戶合約收益 The Group recognises revenue when (or as) a performance 當（或隨）本集團達成履約責任時（即 obligation is satisfied, i.e.</t>
        </is>
      </c>
    </row>
    <row r="39">
      <c r="A39" s="9" t="inlineStr">
        <is>
          <t>Intangible Assets &amp; Goodwill</t>
        </is>
      </c>
      <c r="B39" s="9" t="inlineStr">
        <is>
          <t>無形資產及商譽</t>
        </is>
      </c>
      <c r="C39" s="19" t="inlineStr">
        <is>
          <t>high</t>
        </is>
      </c>
      <c r="D39" s="12" t="inlineStr">
        <is>
          <t>useful life</t>
        </is>
      </c>
      <c r="E39" s="12" t="inlineStr">
        <is>
          <t>PDF p.128 (印刷頁 127)</t>
        </is>
      </c>
      <c r="F39" s="12" t="inlineStr">
        <is>
          <t>leased assets at the 相關租賃資產所有權的使用權資產自 end of the lease term is depreciated from commencement 開始日期起至可使用年期結束期間計 date to the end of the useful life. Otherwise, right-of-use 提折舊。否則，使用權資產於其估計 assets are depreciated on a straight-line basis over the 可使用年期與租期兩者中的較短者以 shorter of its estimated useful life and the lease term. 直線法計提折舊。 The Group presents right-of-use assets as a separate line 本集團於綜合財務狀況表內將使用權 item on the consolidated statement of financial position. 資產呈列為單獨項目。 漢諾佳池控股有限公司 / 2026 年年報 127</t>
        </is>
      </c>
    </row>
    <row r="40">
      <c r="A40" s="9" t="inlineStr">
        <is>
          <t>Intangible Assets &amp; Goodwill</t>
        </is>
      </c>
      <c r="B40" s="9" t="inlineStr">
        <is>
          <t>無形資產及商譽</t>
        </is>
      </c>
      <c r="C40" s="19" t="inlineStr">
        <is>
          <t>high</t>
        </is>
      </c>
      <c r="D40" s="12" t="inlineStr">
        <is>
          <t>goodwill</t>
        </is>
      </c>
      <c r="E40" s="12" t="inlineStr">
        <is>
          <t>PDF p.134 (印刷頁 133)</t>
        </is>
      </c>
      <c r="F40" s="12" t="inlineStr">
        <is>
          <t>profit. In addition, deferred tax liabilities are not recognised if the temporary difference arises from the initial recognition of goodwill. Deferred tax liabilities are recognised for taxable 遞延稅項負債就與附屬公司投資相關 temporary differences associated with investments in 的應課稅暫時差額確認，惟倘本集團 subsidiaries, except where the Group is able to control the 能控制暫時差額撥回且暫時差額於可 reversal of the temporary difference and it is probable that 見將來可能不會撥回則作別論。與有 the temporary difference will not reverse in the foreseeable 關投資及利益相關的可扣稅暫時差 future. Deferred ta</t>
        </is>
      </c>
    </row>
    <row r="41">
      <c r="A41" s="9" t="inlineStr">
        <is>
          <t>Intangible Assets &amp; Goodwill</t>
        </is>
      </c>
      <c r="B41" s="9" t="inlineStr">
        <is>
          <t>無形資產及商譽</t>
        </is>
      </c>
      <c r="C41" s="19" t="inlineStr">
        <is>
          <t>high</t>
        </is>
      </c>
      <c r="D41" s="12" t="inlineStr">
        <is>
          <t>攤銷</t>
        </is>
      </c>
      <c r="E41" s="12" t="inlineStr">
        <is>
          <t>PDF p.143 (印刷頁 142)</t>
        </is>
      </c>
      <c r="F41" s="12" t="inlineStr">
        <is>
          <t>TRUMENTS 6. 金融工具 (a) Categories of financial instruments (a) 金融工具類別 2026 2025 2026年 2025年 HK$’000 HK$’000 千港元 千港元 Financial assets, 按攤銷成本計量的 at amortised cost 金融資產 Trade receivables 貿易應收款項 261 238 Deposits and other receivables 按金及其他應收款項 2,828 3,594 Cash and cash equivalents 現金及現金等價物 6,878 1,636 9,967 5,468 Financial liabilities, 按攤銷成本計量的 at amortised cost 金融負債 Trade payables 貿易應付款項 995 182 Accruals and other payables 應計費用及其他應付款項 21,322 10,578 Amount due a non-controlling 應付非控股權益款項 interests 836 180 Amount due to a director of</t>
        </is>
      </c>
    </row>
    <row r="42">
      <c r="A42" s="9" t="inlineStr">
        <is>
          <t>Intangible Assets &amp; Goodwill</t>
        </is>
      </c>
      <c r="B42" s="9" t="inlineStr">
        <is>
          <t>無形資產及商譽</t>
        </is>
      </c>
      <c r="C42" s="19" t="inlineStr">
        <is>
          <t>high</t>
        </is>
      </c>
      <c r="D42" s="12" t="inlineStr">
        <is>
          <t>攤銷</t>
        </is>
      </c>
      <c r="E42" s="12" t="inlineStr">
        <is>
          <t>PDF p.146 (印刷頁 145)</t>
        </is>
      </c>
      <c r="F42" s="12" t="inlineStr">
        <is>
          <t>lifetime ECL amounts amounts 12個月或 2026年 2025年 內部信貸評級 全期預期信貸虧損 賬面總值 賬面總值 HK$’000 HK$’000 千港元 千港元 Financial assets at amortised cost 按攤銷成本計量之金融資產 Trade receivables Low risk Lifetime ECL 261 238 貿易應收款項 低風險 – not credit-impaired 全期預期信貸虧損 －並無信貸減值 Deposits and other receivables Low risk 12m ECL 2,828 3,594 按金及其他應收款項 低風險 12個月預期信貸虧損 Loss Lifetime ECL 1,270 2,370 虧損 – credit-impaired 全期預期信貸虧損 －信貸減值 Bank balances Low risk 12m ECL 6,878 1,636 銀行結餘 低風險 12個月預期信貸虧損 漢諾佳池控股有限公司 / 2026 年年報 145</t>
        </is>
      </c>
    </row>
    <row r="43">
      <c r="A43" s="9" t="inlineStr">
        <is>
          <t>Intangible Assets &amp; Goodwill</t>
        </is>
      </c>
      <c r="B43" s="9" t="inlineStr">
        <is>
          <t>無形資產及商譽</t>
        </is>
      </c>
      <c r="C43" s="19" t="inlineStr">
        <is>
          <t>high</t>
        </is>
      </c>
      <c r="D43" s="12" t="inlineStr">
        <is>
          <t>攤銷</t>
        </is>
      </c>
      <c r="E43" s="12" t="inlineStr">
        <is>
          <t>PDF p.153 (印刷頁 152)</t>
        </is>
      </c>
      <c r="F43" s="12" t="inlineStr">
        <is>
          <t>The carrying amounts of financial assets and financial 於2026年及2025年3月31日，按 liabilities carried at amortised cost were not materially 攤銷成本入賬的金融資產及金 different from their fair values at 31 March 2026 and 融負債的賬面值與其公平值並 2025. 無重大差異。 152 CBK HOLDINGS LIMITED / ANNUAL REPORT 2026</t>
        </is>
      </c>
    </row>
    <row r="44">
      <c r="A44" s="9" t="inlineStr">
        <is>
          <t>Intangible Assets &amp; Goodwill</t>
        </is>
      </c>
      <c r="B44" s="9" t="inlineStr">
        <is>
          <t>無形資產及商譽</t>
        </is>
      </c>
      <c r="C44" s="19" t="inlineStr">
        <is>
          <t>high</t>
        </is>
      </c>
      <c r="D44" s="12" t="inlineStr">
        <is>
          <t>goodwill</t>
        </is>
      </c>
      <c r="E44" s="12" t="inlineStr">
        <is>
          <t>PDF p.158 (印刷頁 157)</t>
        </is>
      </c>
      <c r="F44" s="12" t="inlineStr">
        <is>
          <t>s on deposits and other 按金及其他應收款項之減值虧損 receivables – 1,270 1,270 Impairment loss on inventories 存貨之減值虧損 – 844 844 Impairment loss on goodwill 商譽之減值虧損 – 783 783 Year ended 31 March 2025 截至2025年3月31日止年度 Continuing Discontinued operation operation 持續 已終止 經營業務 經營業務 Restaurant and sales Sales and of food processing operations of food Unallocated Consolidated 餐廳及 食品銷售營運銷售及加工食品 未分配 合計 HK$’000 HK$’000 HK$’000 HK$’000 千港元 千港元 千港元 千港元 Additions to property, plant and 添置物業、廠房及 equipment 設備 3,061 – – 3,061 Additions to right-of-use assets</t>
        </is>
      </c>
    </row>
    <row r="45">
      <c r="A45" s="9" t="inlineStr">
        <is>
          <t>Intangible Assets &amp; Goodwill</t>
        </is>
      </c>
      <c r="B45" s="9" t="inlineStr">
        <is>
          <t>無形資產及商譽</t>
        </is>
      </c>
      <c r="C45" s="19" t="inlineStr">
        <is>
          <t>high</t>
        </is>
      </c>
      <c r="D45" s="12" t="inlineStr">
        <is>
          <t>intangible asset</t>
        </is>
      </c>
      <c r="E45" s="12" t="inlineStr">
        <is>
          <t>PDF p.161 (印刷頁 160)</t>
        </is>
      </c>
      <c r="F45" s="12" t="inlineStr">
        <is>
          <t>Cost of inventories sold 已售存貨成本 – Provision of catering services －提供餐飲服務 8,273 11,377 – Sales of food －食品銷售 15,563 – Amortisation of intangible assets 無形資產攤銷 3 – Depreciation of property, plant and 物業、廠房及設備折舊 equipment 676 2,463 Depreciation of right-of-use assets 使用權資產折舊 1,691 3,099 Short-term lease payments 短期租賃付款 334 460 Low-value assets lease payments 低價值資產租賃付款 19 82 Legal and professional fee 法律及專業費用 1,183 962 Advertising and promotion expenses 廣告及推銷開支 487 838 160 CBK HOLDINGS LIMITED / ANNUAL REPORT 2026</t>
        </is>
      </c>
    </row>
    <row r="46">
      <c r="A46" s="9" t="inlineStr">
        <is>
          <t>Intangible Assets &amp; Goodwill</t>
        </is>
      </c>
      <c r="B46" s="9" t="inlineStr">
        <is>
          <t>無形資產及商譽</t>
        </is>
      </c>
      <c r="C46" s="19" t="inlineStr">
        <is>
          <t>high</t>
        </is>
      </c>
      <c r="D46" s="12" t="inlineStr">
        <is>
          <t>goodwill</t>
        </is>
      </c>
      <c r="E46" s="12" t="inlineStr">
        <is>
          <t>PDF p.174 (印刷頁 173)</t>
        </is>
      </c>
      <c r="F46" s="12" t="inlineStr">
        <is>
          <t>lease liabilities range from approximately 量借款年利率介乎約3%至8.84% 3% to 8.84% (2025: 5.32% to 8.84%) per annum. （2025年：5.32%至8.84%）。 18. GOODWILL 18. 商譽 On 8 July 2025, the Group acquired a non-wholly owned 於2025年7月8日，本集團收購一間 subsidiary (see note 39 to the consolidated financial 非全資附屬公司（見綜合財務報告附 statements). Goodwill arising from this acquisition was 註39）。本次收購產生之商譽確認約 recognised at approximately HK$783,000. As at 31 March 783,000港元。於2026年3月31日， 2026, the directors considered that the performance of this 董事認為該附屬公司營運表現未如理 subsidiary</t>
        </is>
      </c>
    </row>
    <row r="47">
      <c r="A47" s="9" t="inlineStr">
        <is>
          <t>Intangible Assets &amp; Goodwill</t>
        </is>
      </c>
      <c r="B47" s="9" t="inlineStr">
        <is>
          <t>無形資產及商譽</t>
        </is>
      </c>
      <c r="C47" s="19" t="inlineStr">
        <is>
          <t>high</t>
        </is>
      </c>
      <c r="D47" s="12" t="inlineStr">
        <is>
          <t>intangible asset</t>
        </is>
      </c>
      <c r="E47" s="12" t="inlineStr">
        <is>
          <t>PDF p.178 (印刷頁 177)</t>
        </is>
      </c>
      <c r="F47" s="12" t="inlineStr">
        <is>
          <t>Notes to the Consolidated Financial Statements 綜合財務報表附註 Year ended 31 March 2026 截至2026年3月31日止年度 22. INTANGIBLE ASSETS 22. 無形資產 Trademarks 商標 HK$’000 千港元 Cost 成本 At 1 April 2024 於2024年1月1日 – Additions 添置 18 At 31 March 2025 and 1 April 2025 於2025年3月31日及2025年4月1日 18 Acquisition of a subsidiary (Note 39) 收購一間附屬公司（附註39） 21 At 31 March 2026 於2026年3月31日 39 Accumulated amortisation 累計攤銷 At 1 April 2024, 31 March 2025 and 1 April 2025 於2024年4月1日、2025年3月31日及 2025年4月1日 – Charge for the year 年內開支 3 At 31 M</t>
        </is>
      </c>
    </row>
    <row r="48">
      <c r="A48" s="9" t="inlineStr">
        <is>
          <t>Intangible Assets &amp; Goodwill</t>
        </is>
      </c>
      <c r="B48" s="9" t="inlineStr">
        <is>
          <t>無形資產及商譽</t>
        </is>
      </c>
      <c r="C48" s="19" t="inlineStr">
        <is>
          <t>high</t>
        </is>
      </c>
      <c r="D48" s="12" t="inlineStr">
        <is>
          <t>intangible asset</t>
        </is>
      </c>
      <c r="E48" s="12" t="inlineStr">
        <is>
          <t>PDF p.192 (印刷頁 191)</t>
        </is>
      </c>
      <c r="F48" s="12" t="inlineStr">
        <is>
          <t>cquired and liabilities recognised HK$’000 at the date of acquisition 於收購日期確認之已收購資產及負債 千港元 Property, plant and equipment 物業、廠房及設備 80 Intangible asset 無形資產 21 Prepayments, deposits and other receivables 預付款項、按金及其他應收款項 486 Cash and cash equivalent 現金及現金等價物 74 Other payables and accruals 其他應付款項及應計費用 (7) 654 HK$’000 Goodwill arising on acquisition 收購產生之商譽 千港元 Consideration transferred 轉撥代價 1,117 Add: Non-controlling interests 加：非控股權益 320 Less: Net asset acquired 減：已收購資產淨值 (654) Goodwill arising on acquisition 收購產生之商譽 783 漢諾佳池控股有限公司</t>
        </is>
      </c>
    </row>
    <row r="49">
      <c r="A49" s="9" t="inlineStr">
        <is>
          <t>Intangible Assets &amp; Goodwill</t>
        </is>
      </c>
      <c r="B49" s="9" t="inlineStr">
        <is>
          <t>無形資產及商譽</t>
        </is>
      </c>
      <c r="C49" s="19" t="inlineStr">
        <is>
          <t>high</t>
        </is>
      </c>
      <c r="D49" s="12" t="inlineStr">
        <is>
          <t>intangible asset</t>
        </is>
      </c>
      <c r="E49" s="12" t="inlineStr">
        <is>
          <t>PDF p.193 (印刷頁 192)</t>
        </is>
      </c>
      <c r="F49" s="12" t="inlineStr">
        <is>
          <t>t would have 及設備以及無形資產的公平值調整而 been charged assuming the fair value adjustments to 將計入的額外折舊及攤銷連同相應稅 property, plant and equipment and intangible assets had 務影響作出調整。 applied from 1 April 2025, together with the consequential tax effects. ^ For identification purpose only. 192 CBK HOLDINGS LIMITED / ANNUAL REPORT 2026</t>
        </is>
      </c>
    </row>
    <row r="50">
      <c r="A50" s="9" t="inlineStr">
        <is>
          <t>Investment Properties</t>
        </is>
      </c>
      <c r="B50" s="9" t="inlineStr">
        <is>
          <t>投資物業</t>
        </is>
      </c>
      <c r="C50" s="19" t="inlineStr">
        <is>
          <t>high</t>
        </is>
      </c>
      <c r="D50" s="12" t="inlineStr">
        <is>
          <t>market rent</t>
        </is>
      </c>
      <c r="E50" s="12" t="inlineStr">
        <is>
          <t>PDF p.130 (印刷頁 129)</t>
        </is>
      </c>
      <c r="F50" s="12" t="inlineStr">
        <is>
          <t>e date of reassessment. 現經修訂租賃付款而重新計量。 • the lease payments change due to changes in market • 租賃付款因市場租金調查後的 rental rates following a market rent review/expected 市場租金費率╱有擔保剩餘價 payment under a guaranteed residual value, in which 值項下的預期付款變動而出現 cases the related lease liability is remeasured by 變動，於該情況下，相關租賃 discounting the revised lease payments using the 負債透過使用初始貼現率貼現 initial discount rate. 經修訂租賃付款而重新計量。 • a lease contract is modified and the lease modification • 租賃合約已修訂且租賃修訂 is not accounted for as a separate lease (see below 未作</t>
        </is>
      </c>
    </row>
    <row r="51">
      <c r="A51" s="9" t="inlineStr">
        <is>
          <t>ESG Data</t>
        </is>
      </c>
      <c r="B51" s="9" t="inlineStr">
        <is>
          <t>環境社會及管治數據</t>
        </is>
      </c>
      <c r="C51" s="9" t="inlineStr">
        <is>
          <t>medium</t>
        </is>
      </c>
      <c r="D51" s="12" t="inlineStr">
        <is>
          <t>可持續</t>
        </is>
      </c>
      <c r="E51" s="12" t="inlineStr">
        <is>
          <t>PDF p.13 (印刷頁 12)</t>
        </is>
      </c>
      <c r="F51" s="12" t="inlineStr">
        <is>
          <t>Management is confident that the Group is well- 信，本集團已準備就緒，能夠為其股東創 positioned to unlock sustainable, long-term growth value for its 造可持續、長期的增長價值。 shareholders. As at 31 March 2026, the Group operated one Chinese cuisine 於2026年3月31日，本集團在銅鑼灣經營 restaurant under the brand “Lantern” in Causeway Bay, one 一間「Lantern」品牌中餐廳，在成都經營一 ostrich meat cuisine restaurant under the brand “鴕膳私房菜” in 間「鴕膳私房菜」品牌鴕鳥肉餐廳，以及在 Chengdu, and one boutique restaurant under the brand “漢諾 成都經營一間「漢諾會館」品牌精品餐廳。 會館” in Chengdu. 12 CBK HOLDINGS LIMITED / ANNUAL REPO</t>
        </is>
      </c>
    </row>
    <row r="52">
      <c r="A52" s="9" t="inlineStr">
        <is>
          <t>ESG Data</t>
        </is>
      </c>
      <c r="B52" s="9" t="inlineStr">
        <is>
          <t>環境社會及管治數據</t>
        </is>
      </c>
      <c r="C52" s="9" t="inlineStr">
        <is>
          <t>medium</t>
        </is>
      </c>
      <c r="D52" s="12" t="inlineStr">
        <is>
          <t>可持續</t>
        </is>
      </c>
      <c r="E52" s="12" t="inlineStr">
        <is>
          <t>PDF p.44 (印刷頁 43)</t>
        </is>
      </c>
      <c r="F52" s="12" t="inlineStr">
        <is>
          <t>es that good corporate governance practices 本集團相信良好的公司管治常規對於維持 are very important for maintaining and promoting investor 及促進投資者信心及自身的可持續發展尤 confidence and for the sustainable growth of the Group. The 其重要。因此，本集團一直致力於提升公 Group has therefore made continued efforts to uplift its quality 司管治水準，建立高效的內部控制體系， of corporate governance. It has established a highly effective 採取一系列措施保證該系統的健全性及有 system of internal controls and adopted a series of measures 效性，從而得以確保本集團資產安全及維 to ensure its safety and effectiveness. As a result, the Group 護股東利益</t>
        </is>
      </c>
    </row>
    <row r="53">
      <c r="A53" s="9" t="inlineStr">
        <is>
          <t>ESG Data</t>
        </is>
      </c>
      <c r="B53" s="9" t="inlineStr">
        <is>
          <t>環境社會及管治數據</t>
        </is>
      </c>
      <c r="C53" s="9" t="inlineStr">
        <is>
          <t>medium</t>
        </is>
      </c>
      <c r="D53" s="12" t="inlineStr">
        <is>
          <t>環境、社會及管治</t>
        </is>
      </c>
      <c r="E53" s="12" t="inlineStr">
        <is>
          <t>PDF p.78 (印刷頁 77)</t>
        </is>
      </c>
      <c r="F53" s="12" t="inlineStr">
        <is>
          <t>Directors’ Report 董事會報告書 ENVIRONMENTAL, SOCIAL AND GOVERNANCE 環境、社會及管治報告 REPORT A separate environmental, social and governance report for the 截至2026年3月31日止年度的獨立的環 year ended 31 March 2026 is published on the Stock Exchange’s 境、社會及管治報告將會在聯交所網站及 website and the Company’s website. 本公司網站刊發。 EVENTS AFTER THE REPORTING PERIOD 報告期後事項 Details of the events after the reporting date of 31 March 2026 報告日期2026年3月31日後事項的詳情已 has been disclosed in Management Discussion an</t>
        </is>
      </c>
    </row>
    <row r="54">
      <c r="A54" s="9" t="inlineStr">
        <is>
          <t>Segment Information</t>
        </is>
      </c>
      <c r="B54" s="9" t="inlineStr">
        <is>
          <t>分部資料</t>
        </is>
      </c>
      <c r="C54" s="9" t="inlineStr">
        <is>
          <t>medium</t>
        </is>
      </c>
      <c r="D54" s="12" t="inlineStr">
        <is>
          <t>分部資料</t>
        </is>
      </c>
      <c r="E54" s="12" t="inlineStr">
        <is>
          <t>PDF p.80 (印刷頁 79)</t>
        </is>
      </c>
      <c r="F54" s="12" t="inlineStr">
        <is>
          <t>d other related disclosure notes in relation 截至2025年3月31日止年度之綜合財 to the Group, as included in the consolidated financial 務報表所載有關 貴集團的分部資料 statements of the Group for the year ended 31 March 及其他相關披露附註。 2025, were free from material misstatements as reported and disclosed in the consolidated financial statements. 漢諾佳池控股有限公司 / 2026 年年報 79</t>
        </is>
      </c>
    </row>
    <row r="55">
      <c r="A55" s="9" t="inlineStr">
        <is>
          <t>Segment Information</t>
        </is>
      </c>
      <c r="B55" s="9" t="inlineStr">
        <is>
          <t>分部資料</t>
        </is>
      </c>
      <c r="C55" s="9" t="inlineStr">
        <is>
          <t>medium</t>
        </is>
      </c>
      <c r="D55" s="12" t="inlineStr">
        <is>
          <t>segment information</t>
        </is>
      </c>
      <c r="E55" s="12" t="inlineStr">
        <is>
          <t>PDF p.83 (印刷頁 82)</t>
        </is>
      </c>
      <c r="F55" s="12" t="inlineStr">
        <is>
          <t>ities as at 1 April 2024 年度的財務表現產生連帶影響）；以 and income and expenses for the year ended 31 March 及綜合財務報表中所載的相關分部資 2025, and the related segment information and disclosure 料及披露附註。 notes, as included in the consolidated financial statements, have been accurately recorded and properly accounted for. Our audit opinion on the consolidated financial 吾等對截至2025年3月31日止年度綜 statements for the year ended 31 March 2025 was 合財務報表的審計意見已相應作出修 modified accordingly. Our opinion on the current year’s 訂。由於該等事項影響了本年度數據 consolidated financial statement</t>
        </is>
      </c>
    </row>
    <row r="56">
      <c r="A56" s="9" t="inlineStr">
        <is>
          <t>Segment Information</t>
        </is>
      </c>
      <c r="B56" s="9" t="inlineStr">
        <is>
          <t>分部資料</t>
        </is>
      </c>
      <c r="C56" s="9" t="inlineStr">
        <is>
          <t>medium</t>
        </is>
      </c>
      <c r="D56" s="12" t="inlineStr">
        <is>
          <t>operating segment</t>
        </is>
      </c>
      <c r="E56" s="12" t="inlineStr">
        <is>
          <t>PDF p.136 (印刷頁 135)</t>
        </is>
      </c>
      <c r="F56" s="12" t="inlineStr">
        <is>
          <t>nt is the present value of those cash flows 響屬重大）。 (where the effect of the time value of money is material). Segment reporting 分部報告 Operating segments, and the amounts of each segment 營運分部及綜合財務報表呈報的各分 item reported in the consolidated financial statements, are 部項目金額乃根據為本集團各類業務 identified from the financial information provided regularly 及地理位置分配資源及評估其表現而 to the Group’s most senior executive management for 定期向本集團最高行政管理人員提供 the purposes of allocating resources to, and assessing the 的財務資料確定。 performance of, the Group’s various lin</t>
        </is>
      </c>
    </row>
    <row r="57">
      <c r="A57" s="9" t="inlineStr">
        <is>
          <t>Segment Information</t>
        </is>
      </c>
      <c r="B57" s="9" t="inlineStr">
        <is>
          <t>分部資料</t>
        </is>
      </c>
      <c r="C57" s="9" t="inlineStr">
        <is>
          <t>medium</t>
        </is>
      </c>
      <c r="D57" s="12" t="inlineStr">
        <is>
          <t>geographical</t>
        </is>
      </c>
      <c r="E57" s="12" t="inlineStr">
        <is>
          <t>PDF p.137 (印刷頁 136)</t>
        </is>
      </c>
      <c r="F57" s="12" t="inlineStr">
        <is>
          <t>stinguished from the rest of the Group and 其他部分明確區分，並代表一項獨立 which represent as a separate major line of business or 主要業務或經營地區，或屬於擬出售 geographical area of operations, or is part of a single 一項獨立主要業務或經營地區之單一 co-ordinated plan to dispose of a separate major line 協調計劃之一部分，或僅為轉售而收 of business or geographical area of operations, or is a 購之附屬公司。 subsidiary acquired exclusively with a view to resale. Classification as a discontinued operation occurs upon 倘業務被出售或符合分類為持作出售 disposal or when the operation meets the criteria to be 之項目（如較早發生</t>
        </is>
      </c>
    </row>
    <row r="58">
      <c r="A58" s="9" t="inlineStr">
        <is>
          <t>Segment Information</t>
        </is>
      </c>
      <c r="B58" s="9" t="inlineStr">
        <is>
          <t>分部資料</t>
        </is>
      </c>
      <c r="C58" s="9" t="inlineStr">
        <is>
          <t>medium</t>
        </is>
      </c>
      <c r="D58" s="12" t="inlineStr">
        <is>
          <t>segment information</t>
        </is>
      </c>
      <c r="E58" s="12" t="inlineStr">
        <is>
          <t>PDF p.155 (印刷頁 154)</t>
        </is>
      </c>
      <c r="F58" s="12" t="inlineStr">
        <is>
          <t>Notes to the Consolidated Financial Statements 綜合財務報表附註 Year ended 31 March 2026 截至2026年3月31日止年度 7. SEGMENT INFORMATION 7. 分部資料 Information reported to the directors of the Company, 向本公司董事（即主要營運決策者）匯 being the chief operating decision maker, for the purpose 報以分配資源及評估分部表現的資料 of resource allocation and assessment of segment 著重所交付或提供商品或服務類別。 performance focuses on types of goods or services 該等資料按不同營運分部及地理位置 delivered or provided. It is analysed by different operating 分析。客戶的地理位置基於提供服務 divisions and</t>
        </is>
      </c>
    </row>
    <row r="59">
      <c r="A59" s="9" t="inlineStr">
        <is>
          <t>Segment Information</t>
        </is>
      </c>
      <c r="B59" s="9" t="inlineStr">
        <is>
          <t>分部資料</t>
        </is>
      </c>
      <c r="C59" s="9" t="inlineStr">
        <is>
          <t>medium</t>
        </is>
      </c>
      <c r="D59" s="12" t="inlineStr">
        <is>
          <t>segment information</t>
        </is>
      </c>
      <c r="E59" s="12" t="inlineStr">
        <is>
          <t>PDF p.156 (印刷頁 155)</t>
        </is>
      </c>
      <c r="F59" s="12" t="inlineStr">
        <is>
          <t>Notes to the Consolidated Financial Statements 綜合財務報表附註 Year ended 31 March 2026 截至2026年3月31日止年度 7. SEGMENT INFORMATION (Continued) 7. 分部資料（續） Segment revenue and results 分部收益及業續 The following is an analysis of the Group’s revenue and 以下為本集團按營運及可報告分部劃 results by operating and reportable segments. 分的收益及業續分析。 Year ended 31 March 2026 截至2026年3月31日止年度 Continuing operation 持續經營業務 Restaurant and sales of food operations Consolidated 餐廳及 食品銷售營運 合計 HK$’000 HK$’000 千港元 千港元 Segment revenue 分部收益 External s</t>
        </is>
      </c>
    </row>
    <row r="60">
      <c r="A60" s="9" t="inlineStr">
        <is>
          <t>Segment Information</t>
        </is>
      </c>
      <c r="B60" s="9" t="inlineStr">
        <is>
          <t>分部資料</t>
        </is>
      </c>
      <c r="C60" s="9" t="inlineStr">
        <is>
          <t>medium</t>
        </is>
      </c>
      <c r="D60" s="12" t="inlineStr">
        <is>
          <t>segment information</t>
        </is>
      </c>
      <c r="E60" s="12" t="inlineStr">
        <is>
          <t>PDF p.157 (印刷頁 156)</t>
        </is>
      </c>
      <c r="F60" s="12" t="inlineStr">
        <is>
          <t>Notes to the Consolidated Financial Statements 綜合財務報表附註 Year ended 31 March 2026 截至2026年3月31日止年度 7. SEGMENT INFORMATION (Continued) 7. 分部資料（續） Geographical information 地區資料 Information about the Group’s revenue from external 有關本集團來自外部客戶的收益（按 customers, presented based on geographical location of 客戶所在地理區域呈列）及本集團非 the customers, and information about the Group’s non- 流動資產（金融資產及預付款項除外） current assets other than financial assets and prepayment, （按資產所在地理區域呈列）的資料， presented based on geographical locat</t>
        </is>
      </c>
    </row>
    <row r="61">
      <c r="A61" s="9" t="inlineStr">
        <is>
          <t>Segment Information</t>
        </is>
      </c>
      <c r="B61" s="9" t="inlineStr">
        <is>
          <t>分部資料</t>
        </is>
      </c>
      <c r="C61" s="9" t="inlineStr">
        <is>
          <t>medium</t>
        </is>
      </c>
      <c r="D61" s="12" t="inlineStr">
        <is>
          <t>segment information</t>
        </is>
      </c>
      <c r="E61" s="12" t="inlineStr">
        <is>
          <t>PDF p.158 (印刷頁 157)</t>
        </is>
      </c>
      <c r="F61" s="12" t="inlineStr">
        <is>
          <t>Notes to the Consolidated Financial Statements 綜合財務報表附註 Year ended 31 March 2026 截至2026年3月31日止年度 7. SEGMENT INFORMATION (Continued) 7. 分部資料（續） Other segment information 其他分部資料 Year ended 31 March 2026 截至2026年3月31日止年度 Continuing operation 持續 經營業務 Restaurant and sales of food operations Unallocated Consolidated 餐廳及 食品銷售營運 未分配 合計 HK$’000 HK$’000 HK$’000 千港元 千港元 千港元 Additions to property, plant and equipment 添置物業、廠房及設備 – 7 7 Additions to right-of-use assets 添置使用權資產 620 239 859 Depreciation and amort</t>
        </is>
      </c>
    </row>
    <row r="62">
      <c r="A62" s="9" t="inlineStr">
        <is>
          <t>Share-based Payment</t>
        </is>
      </c>
      <c r="B62" s="9" t="inlineStr">
        <is>
          <t>以股份為基礎的付款</t>
        </is>
      </c>
      <c r="C62" s="9" t="inlineStr">
        <is>
          <t>medium</t>
        </is>
      </c>
      <c r="D62" s="12" t="inlineStr">
        <is>
          <t>share option</t>
        </is>
      </c>
      <c r="E62" s="12" t="inlineStr">
        <is>
          <t>PDF p.54 (印刷頁 53)</t>
        </is>
      </c>
      <c r="F62" s="12" t="inlineStr">
        <is>
          <t>shares in, or debentures of, the Company or any 他任何法團的股份或債權證而獲利。 other body corporate. EQUITY-LINKED AGREEMENTS 與股票掛鈎協議 Save as the share option scheme disclosed below, the Company 除在下述披露的購股權計劃之外，本公司 has not entered into any equity-linked agreement (as defined 並無簽訂任何與股票掛鈎協議（定義見公 in section 6 of the Companies (Directors’ Report) Regulation 司（董事報告）規例（香港法例第622D章）第 (Chapter 622D of the Laws of Hong Kong)). 6章）。 SHARE OPTION SCHEME 購股權計劃 The Company has, in accordance with Chapter 23 of GEM 經本公司股東於2022年5月27日舉行的股 Listing Rules, refr</t>
        </is>
      </c>
    </row>
    <row r="63">
      <c r="A63" s="9" t="inlineStr">
        <is>
          <t>Share-based Payment</t>
        </is>
      </c>
      <c r="B63" s="9" t="inlineStr">
        <is>
          <t>以股份為基礎的付款</t>
        </is>
      </c>
      <c r="C63" s="9" t="inlineStr">
        <is>
          <t>medium</t>
        </is>
      </c>
      <c r="D63" s="12" t="inlineStr">
        <is>
          <t>share option</t>
        </is>
      </c>
      <c r="E63" s="12" t="inlineStr">
        <is>
          <t>PDF p.55 (印刷頁 54)</t>
        </is>
      </c>
      <c r="F63" s="12" t="inlineStr">
        <is>
          <t>Directors’ Report 董事會報告書 A summary of the principal terms of the New Share Option 新購股權計劃的主要條款之概要載列如 Scheme is set out as below: 下： (A) Purpose of the Share Option Scheme (A) 購股權計劃的目的 The purpose of the Share Option Scheme is to attract and 購股權計劃旨在吸引及挽留最優秀的 retain the best available personnel, to provide additional 人員、向本集團僱員（全職及兼職）、 incentive to employees (full-time and part-time), directors, 董事、諮詢人、顧問、分銷商、承包 consultants, advisers, distributors, contractors, supplie</t>
        </is>
      </c>
    </row>
    <row r="64">
      <c r="A64" s="9" t="inlineStr">
        <is>
          <t>Share-based Payment</t>
        </is>
      </c>
      <c r="B64" s="9" t="inlineStr">
        <is>
          <t>以股份為基礎的付款</t>
        </is>
      </c>
      <c r="C64" s="9" t="inlineStr">
        <is>
          <t>medium</t>
        </is>
      </c>
      <c r="D64" s="12" t="inlineStr">
        <is>
          <t>share option</t>
        </is>
      </c>
      <c r="E64" s="12" t="inlineStr">
        <is>
          <t>PDF p.56 (印刷頁 55)</t>
        </is>
      </c>
      <c r="F64" s="12" t="inlineStr">
        <is>
          <t>C) Price of shares (C) 股份價格 The subscription price of a Share in respect of any 根據購股權計劃授出的任何特定購股 particular option granted under the Share Option Scheme 權的股份認購價由董事會全權釐定並 shall be a price solely determined by our Board and 通知參與者，但不得低於下列最高 notified to a participant and shall be at least the higher 者：(i)股份於購股權授出日期（必須 of: (i) the closing price of our Shares as stated in the Stock 為營業日）於聯交所每日報價表所報 Exchange’s daily quotations sheet on the date of grant of 收市價；(ii)股份於緊接購股權授出日 the option, which must be a business day; (ii) the average</t>
        </is>
      </c>
    </row>
    <row r="65">
      <c r="A65" s="9" t="inlineStr">
        <is>
          <t>Share-based Payment</t>
        </is>
      </c>
      <c r="B65" s="9" t="inlineStr">
        <is>
          <t>以股份為基礎的付款</t>
        </is>
      </c>
      <c r="C65" s="9" t="inlineStr">
        <is>
          <t>medium</t>
        </is>
      </c>
      <c r="D65" s="12" t="inlineStr">
        <is>
          <t>share option</t>
        </is>
      </c>
      <c r="E65" s="12" t="inlineStr">
        <is>
          <t>PDF p.57 (印刷頁 56)</t>
        </is>
      </c>
      <c r="F65" s="12" t="inlineStr">
        <is>
          <t>that the total number of Shares 但因行使根據購股權計劃及本 which may be issued upon exercise of all options 公司任何其他購股權計劃授出 to be granted under the Share Option Scheme and 的全部購股權而可能發行的股 any other share option schemes of our Company 份總數，不得超過批准經更新 must not exceed 10% of our Shares in issue as at 上限當日已發行股份的10%。計 the date of approval of the refreshed limit. Options 算經更新10%上限時，先前根據 previously granted under the Share Option Scheme 購股權計劃及本公司任何其他 and any other share option schemes of our Company 購股權計劃授出的購股權（包括 (including those outstanding, cancelled</t>
        </is>
      </c>
    </row>
    <row r="66">
      <c r="A66" s="9" t="inlineStr">
        <is>
          <t>Share-based Payment</t>
        </is>
      </c>
      <c r="B66" s="9" t="inlineStr">
        <is>
          <t>以股份為基礎的付款</t>
        </is>
      </c>
      <c r="C66" s="9" t="inlineStr">
        <is>
          <t>medium</t>
        </is>
      </c>
      <c r="D66" s="12" t="inlineStr">
        <is>
          <t>share option</t>
        </is>
      </c>
      <c r="E66" s="12" t="inlineStr">
        <is>
          <t>PDF p.58 (印刷頁 57)</t>
        </is>
      </c>
      <c r="F66" s="12" t="inlineStr">
        <is>
          <t>pant (including 因任何參與者行使根據購股權計劃或 both exercised and outstanding options) under the Share 本公司任何其他購股權計劃授出的購 Option Scheme or any other share option schemes of 股權（包括已行使及尚未行使的購股 our Company in any 12-month period up to the date of 權）而發行及將予發行的股份總數， grant shall not exceed 1% of the Shares in issue. Any 不得超過已發行股份的1%。任何額 further grant of options in excess of such limit must be 外授出超逾該上限的購股權必須經股 separately approved by shareholders in general meeting 東於股東大會上另行批准，該承授人 with such grantee and his associates abstaining from 及其聯繫人必須放棄投票。在此情況 vo</t>
        </is>
      </c>
    </row>
    <row r="67">
      <c r="A67" s="9" t="inlineStr">
        <is>
          <t>Share-based Payment</t>
        </is>
      </c>
      <c r="B67" s="9" t="inlineStr">
        <is>
          <t>以股份為基礎的付款</t>
        </is>
      </c>
      <c r="C67" s="9" t="inlineStr">
        <is>
          <t>medium</t>
        </is>
      </c>
      <c r="D67" s="12" t="inlineStr">
        <is>
          <t>share option</t>
        </is>
      </c>
      <c r="E67" s="12" t="inlineStr">
        <is>
          <t>PDF p.59 (印刷頁 58)</t>
        </is>
      </c>
      <c r="F67" s="12" t="inlineStr">
        <is>
          <t>all options already granted 個月期間內，上述人士因行使 and to be granted to such person under the Share 根據購股權計劃及本公司任何 Option Scheme and any other share option schemes 其他購股權計劃已獲授及將予 of our Company (including options exercised, 獲授的全部購股權（包括已行 cancelled and outstanding) in any 12-month period 使、已註銷及尚未行使的購股 up to and including the date of grant: 權）而發行及將予發行的股份總 數： (i) representing in aggregate over 0.1% of our (i) 合共超過已發行股份的 Shares in issue; and 0.1%；及 (ii) having an aggregate value, based on the closing (ii) 根據股份於各授出日期收 price of our Shares at th</t>
        </is>
      </c>
    </row>
    <row r="68">
      <c r="A68" s="9" t="inlineStr">
        <is>
          <t>Share-based Payment</t>
        </is>
      </c>
      <c r="B68" s="9" t="inlineStr">
        <is>
          <t>以股份為基礎的付款</t>
        </is>
      </c>
      <c r="C68" s="9" t="inlineStr">
        <is>
          <t>medium</t>
        </is>
      </c>
      <c r="D68" s="12" t="inlineStr">
        <is>
          <t>購股權</t>
        </is>
      </c>
      <c r="E68" s="12" t="inlineStr">
        <is>
          <t>PDF p.60 (印刷頁 59)</t>
        </is>
      </c>
      <c r="F68" s="12" t="inlineStr">
        <is>
          <t>Directors’ Report 董事會報告書 (H) Restrictions on the times of grant of options (H) 授出購股權的時間限制 (a) Our Company may not grant any options after inside (a) 在本公司獲悉內幕消息後，本 information has come to its knowledge until such 公司不會授出任何購股權，直 inside information has been announced. In particular, 至該內幕消息公佈為止。尤其 no options may be granted during the period 於緊接下列日期（以較早發生者 commencing one month immediately preceding the 為準）前一個月期間，本集團不 earlier of: 得授出購股權： (i) the date of the Board meeting (as such dat</t>
        </is>
      </c>
    </row>
    <row r="69">
      <c r="A69" s="9" t="inlineStr">
        <is>
          <t>Share-based Payment</t>
        </is>
      </c>
      <c r="B69" s="9" t="inlineStr">
        <is>
          <t>以股份為基礎的付款</t>
        </is>
      </c>
      <c r="C69" s="9" t="inlineStr">
        <is>
          <t>medium</t>
        </is>
      </c>
      <c r="D69" s="12" t="inlineStr">
        <is>
          <t>share option</t>
        </is>
      </c>
      <c r="E69" s="12" t="inlineStr">
        <is>
          <t>PDF p.61 (印刷頁 60)</t>
        </is>
      </c>
      <c r="F69" s="12" t="inlineStr">
        <is>
          <t>t 董事會報告書 (I) Time of exercise of option (I) 行使購股權的時限 An option may be exercised in accordance with the terms 承授人可於董事會可能釐訂的期間， of the Share Option Scheme at any time during a period as 隨時根據購股權計劃的條款行使購股 the Board may determine which shall not exceed ten years 權，惟該期間不得超過授出日期起計 from the date of grant subject to the provisions of early 10年，並受有關提前終止條文所規 termination thereof. 限。 (J) Performance targets (J) 表現目標 Save as determined by the Board and provided in the 承授人於行使任何購股權前一概毋須 offer of the grant of the relevant options, there is no 達</t>
        </is>
      </c>
    </row>
    <row r="70">
      <c r="A70" s="9" t="inlineStr">
        <is>
          <t>Share-based Payment</t>
        </is>
      </c>
      <c r="B70" s="9" t="inlineStr">
        <is>
          <t>以股份為基礎的付款</t>
        </is>
      </c>
      <c r="C70" s="9" t="inlineStr">
        <is>
          <t>medium</t>
        </is>
      </c>
      <c r="D70" s="12" t="inlineStr">
        <is>
          <t>購股權</t>
        </is>
      </c>
      <c r="E70" s="12" t="inlineStr">
        <is>
          <t>PDF p.62 (印刷頁 61)</t>
        </is>
      </c>
      <c r="F70" s="12" t="inlineStr">
        <is>
          <t>ch an employer would be entitled to terminate his 任何其他理由，隨後不再為本集團的 employment at common law or pursuant to any applicable 僱員，則所持尚未行使的購股權將於 laws or under the grantee’s service contract with our 承授人終止受僱於本集團當日自動失 Group, his option shall lapse automatically (to the extent 效。 not already exercised) on the date of cessation of his employment with our Group. 漢諾佳池控股有限公司 / 2026 年年報 61</t>
        </is>
      </c>
    </row>
    <row r="71">
      <c r="A71" s="9" t="inlineStr">
        <is>
          <t>Share-based Payment</t>
        </is>
      </c>
      <c r="B71" s="9" t="inlineStr">
        <is>
          <t>以股份為基礎的付款</t>
        </is>
      </c>
      <c r="C71" s="9" t="inlineStr">
        <is>
          <t>medium</t>
        </is>
      </c>
      <c r="D71" s="12" t="inlineStr">
        <is>
          <t>購股權</t>
        </is>
      </c>
      <c r="E71" s="12" t="inlineStr">
        <is>
          <t>PDF p.63 (印刷頁 62)</t>
        </is>
      </c>
      <c r="F71" s="12" t="inlineStr">
        <is>
          <t>ment of a consultant or an adviser (as the case may 詢人或顧問（視情況而定），則尚未失 be) on one or more of the grounds specified in (N) above, 效或行使的購股權將於承授人終止 the option (to the extent not already lapsed or exercised) 受聘為僱員或諮詢人或顧問（視情況 shall lapse on the expiry of three months after the date 而定）日期起計滿三個月時失效，而 of cessation of such employment of an employee or 終止受聘日期須為承授人實際任職本 engagement of a consultant or an adviser (as the case may 公司或本集團有關成員公司的最後一 be) (which date will be in the case of an employee the last 個實際工作日（不論有否支付代通知 actual working day,</t>
        </is>
      </c>
    </row>
    <row r="72">
      <c r="A72" s="9" t="inlineStr">
        <is>
          <t>Share-based Payment</t>
        </is>
      </c>
      <c r="B72" s="9" t="inlineStr">
        <is>
          <t>以股份為基礎的付款</t>
        </is>
      </c>
      <c r="C72" s="9" t="inlineStr">
        <is>
          <t>medium</t>
        </is>
      </c>
      <c r="D72" s="12" t="inlineStr">
        <is>
          <t>購股權</t>
        </is>
      </c>
      <c r="E72" s="12" t="inlineStr">
        <is>
          <t>PDF p.64 (印刷頁 63)</t>
        </is>
      </c>
      <c r="F72" s="12" t="inlineStr">
        <is>
          <t>時向 to exercise all or any of his options at any time not later 本公司發出書面通知行使全部或部分 than two business days prior to the proposed general 購股權，並隨附認購有關通知所述股 meeting of our Company by giving notice in writing to 份的全數股款，而本公司須儘快且無 our Company, accompanied by a remittance for the full 論如何不遲於緊接上述建議股東大會 amount of the aggregate subscription price for our Shares 日期前營業日向承授人配發入賬列作 in respect of which the notice is given whereupon our 繳足的有關股份。 Company shall as soon as possible and, in any event, no later than the business day immediately prior t</t>
        </is>
      </c>
    </row>
    <row r="73">
      <c r="A73" s="9" t="inlineStr">
        <is>
          <t>Share-based Payment</t>
        </is>
      </c>
      <c r="B73" s="9" t="inlineStr">
        <is>
          <t>以股份為基礎的付款</t>
        </is>
      </c>
      <c r="C73" s="9" t="inlineStr">
        <is>
          <t>medium</t>
        </is>
      </c>
      <c r="D73" s="12" t="inlineStr">
        <is>
          <t>購股權</t>
        </is>
      </c>
      <c r="E73" s="12" t="inlineStr">
        <is>
          <t>PDF p.65 (印刷頁 64)</t>
        </is>
      </c>
      <c r="F73" s="12" t="inlineStr">
        <is>
          <t>ees (or, as the case may be, their legal personal 其法定遺產代理人，視情況而定）發 representatives) on the same day as it gives notice of the 出有關通知，而購股權（以尚未失效 meeting to our shareholders or the creditors to consider 或行使者為限）最遲可於法院指示召 such a compromise or arrangement and the options (to 開考慮該和解協議或安排的股東大會 the extent not already lapsed or exercised) shall become 日期前兩個營業日的日期（「暫停日」） exercisable in whole or in part on such date not later 全部或部分行使，行使方式是向本公 than two business days prior to the date of the general 司發出書面通知，並隨附認購有關通 meeting directed to be co</t>
        </is>
      </c>
    </row>
    <row r="74">
      <c r="A74" s="9" t="inlineStr">
        <is>
          <t>Share-based Payment</t>
        </is>
      </c>
      <c r="B74" s="9" t="inlineStr">
        <is>
          <t>以股份為基礎的付款</t>
        </is>
      </c>
      <c r="C74" s="9" t="inlineStr">
        <is>
          <t>medium</t>
        </is>
      </c>
      <c r="D74" s="12" t="inlineStr">
        <is>
          <t>購股權</t>
        </is>
      </c>
      <c r="E74" s="12" t="inlineStr">
        <is>
          <t>PDF p.66 (印刷頁 65)</t>
        </is>
      </c>
      <c r="F74" s="12" t="inlineStr">
        <is>
          <t>been caused by the act, neglect, fraud or wilful default on the part of our Company or any of our officers. (T) Lapse of options (T) 購股權失效 An option shall lapse automatically on the earliest of: 購股權將於以下期限（以最早者為準） 自動失效： (i) the expiry of the period referred to in paragraph (I) (i) 上文第(I)段所述期間屆滿時； above; (ii) the date on which the Board exercises our Company’s (ii) 董事會以承授人違反第(L)段為 right to cancel, revoke or terminate the option on 理由行使本公司權利註銷、撤 the ground that the grantee commits a breach of 回或終止購股權之日； paragraph (L); (iii) the ex</t>
        </is>
      </c>
    </row>
    <row r="75">
      <c r="A75" s="9" t="inlineStr">
        <is>
          <t>Share-based Payment</t>
        </is>
      </c>
      <c r="B75" s="9" t="inlineStr">
        <is>
          <t>以股份為基礎的付款</t>
        </is>
      </c>
      <c r="C75" s="9" t="inlineStr">
        <is>
          <t>medium</t>
        </is>
      </c>
      <c r="D75" s="12" t="inlineStr">
        <is>
          <t>share option</t>
        </is>
      </c>
      <c r="E75" s="12" t="inlineStr">
        <is>
          <t>PDF p.67 (印刷頁 66)</t>
        </is>
      </c>
      <c r="F75" s="12" t="inlineStr">
        <is>
          <t>ees fit and in a manner that complies with all 銷已授出但並未行使的購股權。 applicable legal requirements for such cancellation. (V) Period of the Share Option Scheme (V) 購股權計劃期限 The Share Option Scheme will remain in force for a period 購股權計劃將於採納日期當日起計10 of ten years commencing on the date on the Adoption 年內有效，除非在股東大會上遭股東 Date and shall expire at the close of business on the 提早終止，否則於緊接購股權計劃滿 business day immediately preceding the tenth anniversary 十週年前營業日的營業時間結束時屆 thereof unless terminated earlier by the shareholders in 滿。 general meeting. T</t>
        </is>
      </c>
    </row>
    <row r="76">
      <c r="A76" s="9" t="inlineStr">
        <is>
          <t>Share-based Payment</t>
        </is>
      </c>
      <c r="B76" s="9" t="inlineStr">
        <is>
          <t>以股份為基礎的付款</t>
        </is>
      </c>
      <c r="C76" s="9" t="inlineStr">
        <is>
          <t>medium</t>
        </is>
      </c>
      <c r="D76" s="12" t="inlineStr">
        <is>
          <t>share option</t>
        </is>
      </c>
      <c r="E76" s="12" t="inlineStr">
        <is>
          <t>PDF p.68 (印刷頁 67)</t>
        </is>
      </c>
      <c r="F76" s="12" t="inlineStr">
        <is>
          <t>Directors’ Report 董事會報告書 (iii) Any amendment to any terms of the Share Option (iii) 對購股權計劃或已授出的購股 Scheme or the options granted shall comply with the 權的任何條款作出的任何修 relevant requirements of the GEM Listing Rules and 訂，均須符合GEM上市規則及 the Notes thereto and the supplementary guidance 相關附註的有關規定以及聯交 on the interpretation of the GEM Listing Rules issued 所不時頒佈的GEM上市規則詮 by the Stock Exchange from time to time or any 釋的補充指引或聯交所不時發 guidelines issued by the Stock Exchange fro</t>
        </is>
      </c>
    </row>
    <row r="77">
      <c r="A77" s="9" t="inlineStr">
        <is>
          <t>Share-based Payment</t>
        </is>
      </c>
      <c r="B77" s="9" t="inlineStr">
        <is>
          <t>以股份為基礎的付款</t>
        </is>
      </c>
      <c r="C77" s="9" t="inlineStr">
        <is>
          <t>medium</t>
        </is>
      </c>
      <c r="D77" s="12" t="inlineStr">
        <is>
          <t>share option</t>
        </is>
      </c>
      <c r="E77" s="12" t="inlineStr">
        <is>
          <t>PDF p.73 (印刷頁 72)</t>
        </is>
      </c>
      <c r="F77" s="12" t="inlineStr">
        <is>
          <t>RLYING 份、相關股份及債權證中的權益及 SHARES AND DEBENTURES OF THE COMPANY 淡倉 AND ITS ASSOCIATED CORPORATIONS The interests of the Directors in the share options of the 董事於本公司購股權中的權益於下文詳 Company are detailed below. 述。 Number of share options Exercise Number of forfeited Number of price share options during the share options per share as at year ended as at option 1 April 2025 31 March 31 March Name of Director Position/capacity Date of grant (Note (a)) Exercisable period (Note (a)) 2026 2026 於2025年 截至2026年 每份購股權 4月1日之 3月31日止 於2026年 行使價 購股權數目</t>
        </is>
      </c>
    </row>
    <row r="78">
      <c r="A78" s="9" t="inlineStr">
        <is>
          <t>Share-based Payment</t>
        </is>
      </c>
      <c r="B78" s="9" t="inlineStr">
        <is>
          <t>以股份為基礎的付款</t>
        </is>
      </c>
      <c r="C78" s="9" t="inlineStr">
        <is>
          <t>medium</t>
        </is>
      </c>
      <c r="D78" s="12" t="inlineStr">
        <is>
          <t>share option</t>
        </is>
      </c>
      <c r="E78" s="12" t="inlineStr">
        <is>
          <t>PDF p.95 (印刷頁 94)</t>
        </is>
      </c>
      <c r="F78" s="12" t="inlineStr">
        <is>
          <t>0) 111 (13,649) Total comprehensive (loss)/ 年內全面（虧損）╱收益總額 income for the year – – – – – (13,760) (13,760) 111 (13,649) Forfeiture of share options (Note 38) 沒收購股權（附註38） – – – – (356) 356 – – – Disposal of a subsidiary (Note 41(b)) 出售一間附屬公司（附註41(b)） – – – – – – – 130 130 – – – – (356) 356 – 130 130 At 31 March 2025 於2025年3月31日 1,120 27,904 525 – 356 (35,783) (5,878) 111 (5,767) 94 CBK HOLDINGS LIMITED / ANNUAL REPORT 2026</t>
        </is>
      </c>
    </row>
    <row r="79">
      <c r="A79" s="9" t="inlineStr">
        <is>
          <t>Share-based Payment</t>
        </is>
      </c>
      <c r="B79" s="9" t="inlineStr">
        <is>
          <t>以股份為基礎的付款</t>
        </is>
      </c>
      <c r="C79" s="9" t="inlineStr">
        <is>
          <t>medium</t>
        </is>
      </c>
      <c r="D79" s="12" t="inlineStr">
        <is>
          <t>share option</t>
        </is>
      </c>
      <c r="E79" s="12" t="inlineStr">
        <is>
          <t>PDF p.96 (印刷頁 95)</t>
        </is>
      </c>
      <c r="F79" s="12" t="inlineStr">
        <is>
          <t>– – (30) – – (9,926) (9,956) 546 (9,410) Acquisition of a subsidiary (Note 39) 收購一間附屬公司（附註39） – – – – – – – – 320 320 Forfeiture of share options (Note 38) 沒收購股權（附註38） – – – – – (356) 356 – – – Contribution from a non-controlling interests 非控股權益注資 (Note 26(b)) （附註26(b)） – – – – – – – – 353 353 Contribution from a director of subsidiaries 附屬公司一名董事注資 (Note 30) （附註30） – – – – 3,677 – – 3,677 – 3,677 – – – – 3,677 (356) 356 3,677 673 4,350 At 31 March 2026 於2026年3月31日 1,120 27,904 525 (30) 3,677 – (45,353) (12,157) 1,330 (10,827)</t>
        </is>
      </c>
    </row>
    <row r="80">
      <c r="A80" s="9" t="inlineStr">
        <is>
          <t>Share-based Payment</t>
        </is>
      </c>
      <c r="B80" s="9" t="inlineStr">
        <is>
          <t>以股份為基礎的付款</t>
        </is>
      </c>
      <c r="C80" s="9" t="inlineStr">
        <is>
          <t>medium</t>
        </is>
      </c>
      <c r="D80" s="12" t="inlineStr">
        <is>
          <t>share-based payment</t>
        </is>
      </c>
      <c r="E80" s="12" t="inlineStr">
        <is>
          <t>PDF p.108 (印刷頁 107)</t>
        </is>
      </c>
      <c r="F80" s="12" t="inlineStr">
        <is>
          <t>t arrangements of the acquiree or share- 款安排或以本集團訂立以股份 based payment arrangements of the Group entered 為基礎之付款安排取代被收購 into to replace share-based payment arrangements of 方以股份為基礎之付款安排相 the acquiree are measured in accordance with HKFRS 關之負債或股本工具乃於收購 2 at the acquisition date; and 日期根據香港財務報告準則第2 號計量；及 • assets (or disposal groups) that are classified as held • 根據香港財務報告準則第5號分 for sale in accordance with HKFRS 5 are measured in 類為持作出售之資產（或出售組 accordance with that standard. 別）根據該準則計量。 漢諾佳池控股有限公司 / 2026 年年報 107</t>
        </is>
      </c>
    </row>
    <row r="81">
      <c r="A81" s="9" t="inlineStr">
        <is>
          <t>Share-based Payment</t>
        </is>
      </c>
      <c r="B81" s="9" t="inlineStr">
        <is>
          <t>以股份為基礎的付款</t>
        </is>
      </c>
      <c r="C81" s="9" t="inlineStr">
        <is>
          <t>medium</t>
        </is>
      </c>
      <c r="D81" s="12" t="inlineStr">
        <is>
          <t>share-based payment</t>
        </is>
      </c>
      <c r="E81" s="12" t="inlineStr">
        <is>
          <t>PDF p.132 (印刷頁 131)</t>
        </is>
      </c>
      <c r="F81" s="12" t="inlineStr">
        <is>
          <t>nt contributions paid or 集團按計劃規則所訂明比率向基金已 payable to the funds by the Group at rates specified in the 付或應付的供款。 rules of the schemes. Share-based payment transactions 以股份支付之交易 Equity-settled transactions 以權益結算的交易 The fair value of services received determined by reference 所獲服務的公平值參照所授出購股權 to the fair value of share options granted at the grant date is 於授出日期的公平值釐定，並以直線 expensed on a straight-line basis over the vesting period, 法於歸屬期間支銷，並相應增加權益 with a corresponding increase in share options reserve in 內之購股權儲備。 equity. At the end o</t>
        </is>
      </c>
    </row>
    <row r="82">
      <c r="A82" s="9" t="inlineStr">
        <is>
          <t>Share-based Payment</t>
        </is>
      </c>
      <c r="B82" s="9" t="inlineStr">
        <is>
          <t>以股份為基礎的付款</t>
        </is>
      </c>
      <c r="C82" s="9" t="inlineStr">
        <is>
          <t>medium</t>
        </is>
      </c>
      <c r="D82" s="12" t="inlineStr">
        <is>
          <t>share-based payment</t>
        </is>
      </c>
      <c r="E82" s="12" t="inlineStr">
        <is>
          <t>PDF p.133 (印刷頁 132)</t>
        </is>
      </c>
      <c r="F82" s="12" t="inlineStr">
        <is>
          <t>al Statements 綜合財務報表附註 Year ended 31 March 2026 截至2026年3月31日止年度 4. MATERIAL ACCOUNTING POLICY 4. 主要會計政策資料（續） INFORMATION (Continued) Share-based payment transactions (Continued) 以股份支付之交易（續） Equity-settled transactions (Continued) 以權益結算的交易（續） At the time when the share options are exercised, the 於購股權獲行使時，先前在購股權儲 amount previously recognised in share options reserve will 備確認的金額將轉撥至股份溢價。倘 be transferred to share premium. When the share options 購股權於歸屬日期後被沒收或於到期 are forfeited after the vesting date or are still not exercised 日仍未獲行使，</t>
        </is>
      </c>
    </row>
    <row r="83">
      <c r="A83" s="9" t="inlineStr">
        <is>
          <t>Share-based Payment</t>
        </is>
      </c>
      <c r="B83" s="9" t="inlineStr">
        <is>
          <t>以股份為基礎的付款</t>
        </is>
      </c>
      <c r="C83" s="9" t="inlineStr">
        <is>
          <t>medium</t>
        </is>
      </c>
      <c r="D83" s="12" t="inlineStr">
        <is>
          <t>share option</t>
        </is>
      </c>
      <c r="E83" s="12" t="inlineStr">
        <is>
          <t>PDF p.166 (印刷頁 165)</t>
        </is>
      </c>
      <c r="F83" s="12" t="inlineStr">
        <is>
          <t>aived or agreed to waive 2026年及2025年3月31日止年度，概 any emoluments during the years ended 31 March 2026 無本公司董事已放棄或同意放棄任何 and 2025. 酬金。 No share options were granted to the directors of the 於截至2026年及2025年3月31日止年 Company during the years ended 31 March 2026 and 2025. 度，並無向本公司董事授出購股權。 No other transactions, arrangements or contracts of 於報告期末或於截至2026年及2025年 significance to which the Company, its ultimate holding 3月31日止年度內任何時間，本公司 company, or any subsidiaries of its ultimate holding 董事概無於本公司、其最終控股公司 company was a party and in which a dir</t>
        </is>
      </c>
    </row>
    <row r="84">
      <c r="A84" s="9" t="inlineStr">
        <is>
          <t>Share-based Payment</t>
        </is>
      </c>
      <c r="B84" s="9" t="inlineStr">
        <is>
          <t>以股份為基礎的付款</t>
        </is>
      </c>
      <c r="C84" s="9" t="inlineStr">
        <is>
          <t>medium</t>
        </is>
      </c>
      <c r="D84" s="12" t="inlineStr">
        <is>
          <t>share option</t>
        </is>
      </c>
      <c r="E84" s="12" t="inlineStr">
        <is>
          <t>PDF p.169 (印刷頁 168)</t>
        </is>
      </c>
      <c r="F84" s="12" t="inlineStr">
        <is>
          <t>2025, the 截至2026年及2025年3月31日止年 computation of diluted loss per share did not assume 度，計算每股攤薄虧損時並無假設尚 the exercise of the outstanding share options since the 未行使購股權獲行使，原因是於兩個 exercise price per share option was higher than the 年度每份購股權的行使價高於本公司 average share price of the Company for both years. 的平均股價。 168 CBK HOLDINGS LIMITED / ANNUAL REPORT 2026</t>
        </is>
      </c>
    </row>
    <row r="85">
      <c r="A85" s="9" t="inlineStr">
        <is>
          <t>Share-based Payment</t>
        </is>
      </c>
      <c r="B85" s="9" t="inlineStr">
        <is>
          <t>以股份為基礎的付款</t>
        </is>
      </c>
      <c r="C85" s="9" t="inlineStr">
        <is>
          <t>medium</t>
        </is>
      </c>
      <c r="D85" s="12" t="inlineStr">
        <is>
          <t>share option</t>
        </is>
      </c>
      <c r="E85" s="12" t="inlineStr">
        <is>
          <t>PDF p.185 (印刷頁 184)</t>
        </is>
      </c>
      <c r="F85" s="12" t="inlineStr">
        <is>
          <t>33. 本公司財務狀況表及儲備變動 AND MOVEMENT OF RESERVES OF THE （續） COMPANY (Continued) (b) Movement of reserves of the Company (b) 本公司儲備變動 Share Share option Other Accumulated premium reserve reserve losses Total 股份溢價 購股權儲備 其他儲備 累計虧損 總計 HK$’000 HK$’000 HK$’000 HK$’000 HK$’000 千港元 千港元 千港元 千港元 千港元 At 1 April 2024 於2024年4月1日 27,904 712 – (28,684) (68) Loss and total comprehensive loss 年內虧損及全面虧損總額 for the year – – – (6,140) (6,140) Forfeiture of share options (Note 38) 沒收購股權（附註38） – (356) – 356 – At 31 March 2025 and 1 April 2025 於2025年3月31日及</t>
        </is>
      </c>
    </row>
    <row r="86">
      <c r="A86" s="9" t="inlineStr">
        <is>
          <t>Share-based Payment</t>
        </is>
      </c>
      <c r="B86" s="9" t="inlineStr">
        <is>
          <t>以股份為基礎的付款</t>
        </is>
      </c>
      <c r="C86" s="9" t="inlineStr">
        <is>
          <t>medium</t>
        </is>
      </c>
      <c r="D86" s="12" t="inlineStr">
        <is>
          <t>share option</t>
        </is>
      </c>
      <c r="E86" s="12" t="inlineStr">
        <is>
          <t>PDF p.191 (印刷頁 190)</t>
        </is>
      </c>
      <c r="F86" s="12" t="inlineStr">
        <is>
          <t>Notes to the Consolidated Financial Statements 綜合財務報表附註 Year ended 31 March 2026 截至2026年3月31日止年度 38. SHARE OPTION SCHEME 38. 購股權計劃 The Company’s share option scheme was conditionally 本公司的購股權計劃經由全體股東於 adopted by the resolutions in writing of all the 2017年1月20日通過書面決議案有條 shareholders passed on 20 January 2017 (the “Share 件採用（「購股權計劃」）。購股權計劃 Option Scheme”). Details of the Share Option Scheme are 的詳情載於本公司日期為2016年10月 set out in appendix IV of the document in the Company’s 24日之公告內文件附錄四。 announcement dat</t>
        </is>
      </c>
    </row>
    <row r="87">
      <c r="A87" s="9" t="inlineStr">
        <is>
          <t>Related Party Transactions</t>
        </is>
      </c>
      <c r="B87" s="9" t="inlineStr">
        <is>
          <t>關聯方交易</t>
        </is>
      </c>
      <c r="C87" s="9" t="inlineStr">
        <is>
          <t>low</t>
        </is>
      </c>
      <c r="D87" s="12" t="inlineStr">
        <is>
          <t>related party</t>
        </is>
      </c>
      <c r="E87" s="12" t="inlineStr">
        <is>
          <t>PDF p.54 (印刷頁 53)</t>
        </is>
      </c>
      <c r="F87" s="12" t="inlineStr">
        <is>
          <t>Directors’ Report 董事會報告書 CONNECTED TRANSACTIONS 關連交易 A summary of the related party transactions entered into 本集團於年內訂立的關聯方交易概要載於 by the Group during the year is contained in note 34 to the 綜合財務報表附註34。概無如附註所述之 consolidated financial statements. None of the transactions as 交易屬於關連交易之定義範疇。 described in the note fell under the definition of connected transactions. INTERESTS IN COMPETING BUSINESS 在競爭業務中的權益 None of the Directors, the substantial shareholders and their 於截至2</t>
        </is>
      </c>
    </row>
    <row r="88">
      <c r="A88" s="9" t="inlineStr">
        <is>
          <t>Related Party Transactions</t>
        </is>
      </c>
      <c r="B88" s="9" t="inlineStr">
        <is>
          <t>關聯方交易</t>
        </is>
      </c>
      <c r="C88" s="9" t="inlineStr">
        <is>
          <t>low</t>
        </is>
      </c>
      <c r="D88" s="12" t="inlineStr">
        <is>
          <t>關聯方</t>
        </is>
      </c>
      <c r="E88" s="12" t="inlineStr">
        <is>
          <t>PDF p.138 (印刷頁 137)</t>
        </is>
      </c>
      <c r="F88" s="12" t="inlineStr">
        <is>
          <t>tatements 東作出的股息分派於本集團綜合財務 in the period in which the dividend is approved by 報表內確認為負債。 shareholders of the Company. Related parties 關聯方 A party is considered to be related to the Group if: 倘屬以下人士，則被視為與本集團有 關聯： (a) A person, or a close member of that person’s family, is (a) 倘屬以下人士，即該人士或該 related to the Group if that person: 人士的近親與本集團有關聯： (i) has control or joint control over the Group; (i) 控制或共同控制本集團； (ii) has significant influence over the Group; or (ii) 對本集團有重大影響力； 或 (iii) is a member of the key management personnel (iii) 為本集</t>
        </is>
      </c>
    </row>
    <row r="89">
      <c r="A89" s="9" t="inlineStr">
        <is>
          <t>Related Party Transactions</t>
        </is>
      </c>
      <c r="B89" s="9" t="inlineStr">
        <is>
          <t>關聯方交易</t>
        </is>
      </c>
      <c r="C89" s="9" t="inlineStr">
        <is>
          <t>low</t>
        </is>
      </c>
      <c r="D89" s="12" t="inlineStr">
        <is>
          <t>關聯方</t>
        </is>
      </c>
      <c r="E89" s="12" t="inlineStr">
        <is>
          <t>PDF p.139 (印刷頁 138)</t>
        </is>
      </c>
      <c r="F89" s="12" t="inlineStr">
        <is>
          <t>ended 31 March 2026 截至2026年3月31日止年度 4. MATERIAL ACCOUNTING POLICY 4. 主要會計政策資料（續） INFORMATION (Continued) Related parties (Continued) 關聯方（續） (b) An entity is related to the Group if any of the (b) 倘符合以下任何條件，即實體 following conditions applies: (Continued) 與本集團有關聯：（續） (iii) both entities are joint ventures of the same third (iii) 兩間實體均為同一第三方 party; 的合營企業； (iv) one entity is a joint venture of a third entity and (iv) 一間實體為第三方實體的 the other entity is an associate of the third entity; 合營企業，而另一實體為 該第三方實體的聯營公司； (v) the entity is a post-em</t>
        </is>
      </c>
    </row>
    <row r="90">
      <c r="A90" s="9" t="inlineStr">
        <is>
          <t>Related Party Transactions</t>
        </is>
      </c>
      <c r="B90" s="9" t="inlineStr">
        <is>
          <t>關聯方交易</t>
        </is>
      </c>
      <c r="C90" s="9" t="inlineStr">
        <is>
          <t>low</t>
        </is>
      </c>
      <c r="D90" s="12" t="inlineStr">
        <is>
          <t>related party</t>
        </is>
      </c>
      <c r="E90" s="12" t="inlineStr">
        <is>
          <t>PDF p.185 (印刷頁 184)</t>
        </is>
      </c>
      <c r="F90" s="12" t="inlineStr">
        <is>
          <t>re of share options (Note 38) 沒收購股權（附註38） – (356) – 356 – At 31 March 2026 於2026年3月31日 27,904 – 2,180 (42,649) (12,565) 34. MATERIAL RELATED PARTY TRANSACTIONS 34. 重大關聯方交易 Apart from disclosures elsewhere in the consolidated 除綜合財務報表其他部分所披露者之 financial statements, the Group entered into the following 外，本集團於年內與關聯方已訂立下 transactions with related parties during the year: 列交易： (a) The Group had the following material transactions (a) 本集團於年內與關聯方進行以 with related parties during the year: 下重大交易： 2026 2025 2026年 2025年 HK$’000 HK$’000 千港元</t>
        </is>
      </c>
    </row>
    <row r="91">
      <c r="A91" s="9" t="inlineStr">
        <is>
          <t>Related Party Transactions</t>
        </is>
      </c>
      <c r="B91" s="9" t="inlineStr">
        <is>
          <t>關聯方交易</t>
        </is>
      </c>
      <c r="C91" s="9" t="inlineStr">
        <is>
          <t>low</t>
        </is>
      </c>
      <c r="D91" s="12" t="inlineStr">
        <is>
          <t>related party</t>
        </is>
      </c>
      <c r="E91" s="12" t="inlineStr">
        <is>
          <t>PDF p.186 (印刷頁 185)</t>
        </is>
      </c>
      <c r="F91" s="12" t="inlineStr">
        <is>
          <t>Notes to the Consolidated Financial Statements 綜合財務報表附註 Year ended 31 March 2026 截至2026年3月31日止年度 34. MATERIAL RELATED PARTY TRANSACTIONS 34. 重大關聯方交易（續） (Continued) (a) (Continued) (a) （續） Notes: 附註： (a) The expenses paid/payable to a related company which is (a) 已付╱應付一間關聯公司（由一間 held by a common director of a subsidiary. 附屬公司的共同董事持有）的開 支。 (b) The expenses paid/payable to a non-controlling interests. (b) 已付╱應付非控股權益的開支。 During the year ended 31 March 2026, these 於截至2026年3月31日止年度， transactions with related pa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4"/>
  <sheetViews>
    <sheetView workbookViewId="0">
      <pane ySplit="32" topLeftCell="A33"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Revenue</t>
        </is>
      </c>
    </row>
    <row r="9">
      <c r="A9" s="9" t="inlineStr">
        <is>
          <t>Income Statement</t>
        </is>
      </c>
      <c r="B9" s="9" t="inlineStr">
        <is>
          <t>Cost of Sales</t>
        </is>
      </c>
    </row>
    <row r="10">
      <c r="A10" s="9" t="inlineStr">
        <is>
          <t>Income Statement</t>
        </is>
      </c>
      <c r="B10" s="9" t="inlineStr">
        <is>
          <t>Gross Profit</t>
        </is>
      </c>
    </row>
    <row r="11">
      <c r="A11" s="9" t="inlineStr">
        <is>
          <t>Income Statement</t>
        </is>
      </c>
      <c r="B11" s="9" t="inlineStr">
        <is>
          <t>Operating Profit</t>
        </is>
      </c>
    </row>
    <row r="12">
      <c r="A12" s="9" t="inlineStr">
        <is>
          <t>Income Statement</t>
        </is>
      </c>
      <c r="B12" s="9" t="inlineStr">
        <is>
          <t>Finance Costs</t>
        </is>
      </c>
    </row>
    <row r="13">
      <c r="A13" s="9" t="inlineStr">
        <is>
          <t>Income Statement</t>
        </is>
      </c>
      <c r="B13" s="9" t="inlineStr">
        <is>
          <t>Profit Before Tax</t>
        </is>
      </c>
    </row>
    <row r="14">
      <c r="A14" s="9" t="inlineStr">
        <is>
          <t>Income Statement</t>
        </is>
      </c>
      <c r="B14" s="9" t="inlineStr">
        <is>
          <t>Income Tax</t>
        </is>
      </c>
    </row>
    <row r="15">
      <c r="A15" s="9" t="inlineStr">
        <is>
          <t>Income Statement</t>
        </is>
      </c>
      <c r="B15" s="9" t="inlineStr">
        <is>
          <t>Profit for the Year</t>
        </is>
      </c>
    </row>
    <row r="16">
      <c r="A16" s="9" t="inlineStr">
        <is>
          <t>Income Statement</t>
        </is>
      </c>
      <c r="B16" s="9" t="inlineStr">
        <is>
          <t>R&amp;D Expenses</t>
        </is>
      </c>
    </row>
    <row r="17">
      <c r="A17" s="9" t="inlineStr">
        <is>
          <t>Income Statement</t>
        </is>
      </c>
      <c r="B17" s="9" t="inlineStr">
        <is>
          <t>Depreciation</t>
        </is>
      </c>
    </row>
    <row r="18">
      <c r="A18" s="9" t="inlineStr">
        <is>
          <t>Income Statement</t>
        </is>
      </c>
      <c r="B18" s="9" t="inlineStr">
        <is>
          <t>Amortisation</t>
        </is>
      </c>
    </row>
    <row r="19">
      <c r="A19" s="9" t="inlineStr">
        <is>
          <t>Balance Sheet</t>
        </is>
      </c>
      <c r="B19" s="9" t="inlineStr">
        <is>
          <t>Total Assets</t>
        </is>
      </c>
    </row>
    <row r="20">
      <c r="A20" s="9" t="inlineStr">
        <is>
          <t>Balance Sheet</t>
        </is>
      </c>
      <c r="B20" s="9" t="inlineStr">
        <is>
          <t>Goodwill</t>
        </is>
      </c>
    </row>
    <row r="21">
      <c r="A21" s="9" t="inlineStr">
        <is>
          <t>Balance Sheet</t>
        </is>
      </c>
      <c r="B21" s="9" t="inlineStr">
        <is>
          <t>Investment Properties</t>
        </is>
      </c>
    </row>
    <row r="22">
      <c r="A22" s="9" t="inlineStr">
        <is>
          <t>Balance Sheet</t>
        </is>
      </c>
      <c r="B22" s="9" t="inlineStr">
        <is>
          <t>Total Liabilities</t>
        </is>
      </c>
    </row>
    <row r="23">
      <c r="A23" s="9" t="inlineStr">
        <is>
          <t>Balance Sheet</t>
        </is>
      </c>
      <c r="B23" s="9" t="inlineStr">
        <is>
          <t>Borrowings</t>
        </is>
      </c>
    </row>
    <row r="24">
      <c r="A24" s="9" t="inlineStr">
        <is>
          <t>Balance Sheet</t>
        </is>
      </c>
      <c r="B24" s="9" t="inlineStr">
        <is>
          <t>Total Equity</t>
        </is>
      </c>
    </row>
    <row r="25">
      <c r="A25" s="9" t="inlineStr">
        <is>
          <t>Cash Flow</t>
        </is>
      </c>
      <c r="B25" s="9" t="inlineStr">
        <is>
          <t>Operating Cash Flow</t>
        </is>
      </c>
    </row>
    <row r="26">
      <c r="A26" s="9" t="inlineStr">
        <is>
          <t>Cash Flow</t>
        </is>
      </c>
      <c r="B26" s="9" t="inlineStr">
        <is>
          <t>Capital Expenditure</t>
        </is>
      </c>
    </row>
    <row r="29">
      <c r="A29" s="5" t="inlineStr">
        <is>
          <t>二、文字量過低的頁面(疑似掃描頁)</t>
        </is>
      </c>
    </row>
    <row r="30">
      <c r="A30" s="2" t="inlineStr">
        <is>
          <t>這些頁面幾乎抓不到文字,通常是掃描件或純圖表,建議人手翻閱或另行 OCR。</t>
        </is>
      </c>
    </row>
    <row r="32">
      <c r="A32" s="8" t="inlineStr">
        <is>
          <t>PDF 頁碼</t>
        </is>
      </c>
      <c r="B32" s="8" t="inlineStr">
        <is>
          <t>狀態</t>
        </is>
      </c>
    </row>
    <row r="33">
      <c r="A33" s="9" t="n">
        <v>1</v>
      </c>
      <c r="B33" s="9" t="inlineStr">
        <is>
          <t>文字量過低 — 可能為掃描頁/圖表頁</t>
        </is>
      </c>
    </row>
    <row r="34">
      <c r="A34" s="9" t="n">
        <v>202</v>
      </c>
      <c r="B34"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2026-08-30T14:16:14Z</dcterms:created>
  <dcterms:modified xsi:type="dcterms:W3CDTF">2026-08-30T14:16:14Z</dcterms:modified>
</cp:coreProperties>
</file>
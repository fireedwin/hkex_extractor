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drawings/drawing1.xml" ContentType="application/vnd.openxmlformats-officedocument.drawing+xml"/>
  <Override PartName="/xl/worksheets/sheet6.xml" ContentType="application/vnd.openxmlformats-officedocument.spreadsheetml.worksheet+xml"/>
  <Override PartName="/xl/worksheets/sheet7.xml" ContentType="application/vnd.openxmlformats-officedocument.spreadsheetml.worksheet+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摘要" sheetId="1" state="visible" r:id="rId1"/>
    <sheet name="Valuation Params 估值參數" sheetId="2" state="visible" r:id="rId2"/>
    <sheet name="Financials 財務數據" sheetId="3" state="visible" r:id="rId3"/>
    <sheet name="Ratios 財務比率" sheetId="4" state="visible" r:id="rId4"/>
    <sheet name="Chart 趨勢圖" sheetId="5" state="visible" r:id="rId5"/>
    <sheet name="Extracts 主題段落" sheetId="6" state="visible" r:id="rId6"/>
    <sheet name="Review Queue 待覆核" sheetId="7" state="visible" r:id="rId7"/>
  </sheets>
  <definedNames/>
  <calcPr calcId="124519" fullCalcOnLoad="1"/>
</workbook>
</file>

<file path=xl/styles.xml><?xml version="1.0" encoding="utf-8"?>
<styleSheet xmlns="http://schemas.openxmlformats.org/spreadsheetml/2006/main">
  <numFmts count="2">
    <numFmt numFmtId="164" formatCode="#,##0;(#,##0);-"/>
    <numFmt numFmtId="165" formatCode="0.0%"/>
  </numFmts>
  <fonts count="10">
    <font>
      <name val="Calibri"/>
      <family val="2"/>
      <color theme="1"/>
      <sz val="11"/>
      <scheme val="minor"/>
    </font>
    <font>
      <name val="Arial"/>
      <b val="1"/>
      <color rgb="001F4E5F"/>
      <sz val="14"/>
    </font>
    <font>
      <name val="Arial"/>
      <i val="1"/>
      <color rgb="00808080"/>
      <sz val="9"/>
    </font>
    <font>
      <name val="Arial"/>
      <b val="1"/>
      <sz val="10"/>
    </font>
    <font>
      <name val="Arial"/>
      <sz val="10"/>
    </font>
    <font>
      <name val="Arial"/>
      <b val="1"/>
      <sz val="11"/>
    </font>
    <font>
      <name val="Arial"/>
      <color rgb="00006100"/>
      <sz val="10"/>
    </font>
    <font>
      <name val="Arial"/>
      <b val="1"/>
      <color rgb="009C0006"/>
      <sz val="10"/>
    </font>
    <font>
      <name val="Arial"/>
      <b val="1"/>
      <color rgb="00FFFFFF"/>
      <sz val="10"/>
    </font>
    <font>
      <name val="Arial"/>
      <color rgb="000000FF"/>
      <sz val="10"/>
    </font>
  </fonts>
  <fills count="5">
    <fill>
      <patternFill/>
    </fill>
    <fill>
      <patternFill patternType="gray125"/>
    </fill>
    <fill>
      <patternFill patternType="solid">
        <fgColor rgb="001F4E5F"/>
      </patternFill>
    </fill>
    <fill>
      <patternFill patternType="solid">
        <fgColor rgb="00FFF2CC"/>
      </patternFill>
    </fill>
    <fill>
      <patternFill patternType="solid">
        <fgColor rgb="00E2EFDA"/>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22">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5" fillId="0" borderId="0" pivotButton="0" quotePrefix="0" xfId="0"/>
    <xf numFmtId="0" fontId="6" fillId="0" borderId="0" pivotButton="0" quotePrefix="0" xfId="0"/>
    <xf numFmtId="0" fontId="7" fillId="0" borderId="0" pivotButton="0" quotePrefix="0" xfId="0"/>
    <xf numFmtId="0" fontId="8" fillId="2" borderId="0" applyAlignment="1" pivotButton="0" quotePrefix="0" xfId="0">
      <alignment vertical="center" wrapText="1"/>
    </xf>
    <xf numFmtId="0" fontId="4" fillId="0" borderId="1" applyAlignment="1" pivotButton="0" quotePrefix="0" xfId="0">
      <alignment vertical="top"/>
    </xf>
    <xf numFmtId="2" fontId="4" fillId="0" borderId="1" applyAlignment="1" pivotButton="0" quotePrefix="0" xfId="0">
      <alignment vertical="top"/>
    </xf>
    <xf numFmtId="2" fontId="4" fillId="0" borderId="1" applyAlignment="1" pivotButton="0" quotePrefix="0" xfId="0">
      <alignment vertical="top" wrapText="1"/>
    </xf>
    <xf numFmtId="0" fontId="4" fillId="0" borderId="1" applyAlignment="1" pivotButton="0" quotePrefix="0" xfId="0">
      <alignment vertical="top" wrapText="1"/>
    </xf>
    <xf numFmtId="0" fontId="4" fillId="3" borderId="1" applyAlignment="1" pivotButton="0" quotePrefix="0" xfId="0">
      <alignment vertical="top" wrapText="1"/>
    </xf>
    <xf numFmtId="164" fontId="4" fillId="0" borderId="1" applyAlignment="1" pivotButton="0" quotePrefix="0" xfId="0">
      <alignment vertical="top"/>
    </xf>
    <xf numFmtId="164" fontId="4" fillId="0" borderId="1" applyAlignment="1" pivotButton="0" quotePrefix="0" xfId="0">
      <alignment vertical="top" wrapText="1"/>
    </xf>
    <xf numFmtId="165" fontId="4" fillId="0" borderId="1" applyAlignment="1" pivotButton="0" quotePrefix="0" xfId="0">
      <alignment vertical="top" wrapText="1"/>
    </xf>
    <xf numFmtId="165" fontId="4" fillId="0" borderId="0" pivotButton="0" quotePrefix="0" xfId="0"/>
    <xf numFmtId="2" fontId="4" fillId="0" borderId="0" pivotButton="0" quotePrefix="0" xfId="0"/>
    <xf numFmtId="0" fontId="8" fillId="2" borderId="0" pivotButton="0" quotePrefix="0" xfId="0"/>
    <xf numFmtId="164" fontId="0" fillId="0" borderId="0" pivotButton="0" quotePrefix="0" xfId="0"/>
    <xf numFmtId="0" fontId="4" fillId="4" borderId="1"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charts/chart1.xml><?xml version="1.0" encoding="utf-8"?>
<chartSpace xmlns:a="http://schemas.openxmlformats.org/drawingml/2006/main" xmlns="http://schemas.openxmlformats.org/drawingml/2006/chart">
  <style val="10"/>
  <chart>
    <title>
      <tx>
        <rich>
          <a:bodyPr/>
          <a:p>
            <a:pPr>
              <a:defRPr/>
            </a:pPr>
            <a:r>
              <a:t>Key Financials — Prior vs Current</a:t>
            </a:r>
          </a:p>
        </rich>
      </tx>
    </title>
    <plotArea>
      <barChart>
        <barDir val="col"/>
        <grouping val="clustered"/>
        <ser>
          <idx val="0"/>
          <order val="0"/>
          <tx>
            <strRef>
              <f>'Chart 趨勢圖'!B4</f>
            </strRef>
          </tx>
          <spPr>
            <a:ln>
              <a:prstDash val="solid"/>
            </a:ln>
          </spPr>
          <cat>
            <numRef>
              <f>'Chart 趨勢圖'!$A$5:$A$9</f>
            </numRef>
          </cat>
          <val>
            <numRef>
              <f>'Chart 趨勢圖'!$B$5:$B$9</f>
            </numRef>
          </val>
        </ser>
        <ser>
          <idx val="1"/>
          <order val="1"/>
          <tx>
            <strRef>
              <f>'Chart 趨勢圖'!C4</f>
            </strRef>
          </tx>
          <spPr>
            <a:ln>
              <a:prstDash val="solid"/>
            </a:ln>
          </spPr>
          <cat>
            <numRef>
              <f>'Chart 趨勢圖'!$A$5:$A$9</f>
            </numRef>
          </cat>
          <val>
            <numRef>
              <f>'Chart 趨勢圖'!$C$5:$C$9</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a:p>
                <a:pPr>
                  <a:defRPr/>
                </a:pPr>
                <a:r>
                  <a:t>Amount (as reported)</a:t>
                </a:r>
              </a:p>
            </rich>
          </tx>
        </title>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4</col>
      <colOff>0</colOff>
      <row>3</row>
      <rowOff>0</rowOff>
    </from>
    <ext cx="7920000" cy="3960000"/>
    <graphicFrame>
      <nvGraphicFramePr>
        <cNvPr id="1" name="Chart 1"/>
        <cNvGraphicFramePr/>
      </nvGraphicFramePr>
      <xfrm/>
      <a:graphic>
        <a:graphicData uri="http://schemas.openxmlformats.org/drawingml/2006/chart">
          <c:chart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5.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A1:B30"/>
  <sheetViews>
    <sheetView workbookViewId="0">
      <selection activeCell="A1" sqref="A1"/>
    </sheetView>
  </sheetViews>
  <sheetFormatPr baseColWidth="8" defaultRowHeight="15"/>
  <cols>
    <col width="42" customWidth="1" min="1" max="1"/>
    <col width="60" customWidth="1" min="2" max="2"/>
  </cols>
  <sheetData>
    <row r="1">
      <c r="A1" s="1" t="inlineStr">
        <is>
          <t>HKEX 文件資料萃取報告</t>
        </is>
      </c>
    </row>
    <row r="2">
      <c r="A2" s="2" t="inlineStr">
        <is>
          <t>Automated Extraction Report — Business Valuation Support</t>
        </is>
      </c>
    </row>
    <row r="4">
      <c r="A4" s="3" t="inlineStr">
        <is>
          <t>來源文件 Source file</t>
        </is>
      </c>
      <c r="B4" s="4" t="inlineStr">
        <is>
          <t>01172_MAGNUSCONCORDIA_20260731.pdf</t>
        </is>
      </c>
    </row>
    <row r="5">
      <c r="A5" s="3" t="inlineStr">
        <is>
          <t>產生時間 Generated</t>
        </is>
      </c>
      <c r="B5" s="4" t="inlineStr">
        <is>
          <t>2026-08-30 22:16</t>
        </is>
      </c>
    </row>
    <row r="6">
      <c r="A6" s="4" t="inlineStr"/>
      <c r="B6" s="4" t="inlineStr"/>
    </row>
    <row r="7">
      <c r="A7" s="3" t="inlineStr">
        <is>
          <t>總頁數 Total pages</t>
        </is>
      </c>
      <c r="B7" s="4" t="n">
        <v>266</v>
      </c>
    </row>
    <row r="8">
      <c r="A8" s="3" t="inlineStr">
        <is>
          <t>已擷取字元 Characters extracted</t>
        </is>
      </c>
      <c r="B8" s="4" t="n">
        <v>479178</v>
      </c>
    </row>
    <row r="9">
      <c r="A9" s="3" t="inlineStr">
        <is>
          <t>含表格頁數 Pages with tables</t>
        </is>
      </c>
      <c r="B9" s="4" t="n">
        <v>0</v>
      </c>
    </row>
    <row r="10">
      <c r="A10" s="3" t="inlineStr">
        <is>
          <t>需人手/OCR 頁數 Pages needing OCR</t>
        </is>
      </c>
      <c r="B10" s="4" t="n">
        <v>10</v>
      </c>
    </row>
    <row r="11">
      <c r="A11" s="4" t="inlineStr"/>
      <c r="B11" s="4" t="inlineStr"/>
    </row>
    <row r="12">
      <c r="A12" s="3" t="inlineStr">
        <is>
          <t>估值參數擷取筆數 Valuation parameters</t>
        </is>
      </c>
      <c r="B12" s="4" t="n">
        <v>9</v>
      </c>
    </row>
    <row r="13">
      <c r="A13" s="3" t="inlineStr">
        <is>
          <t>財務科目擷取筆數 Financial line items</t>
        </is>
      </c>
      <c r="B13" s="4" t="n">
        <v>17</v>
      </c>
    </row>
    <row r="14">
      <c r="A14" s="3" t="inlineStr">
        <is>
          <t>主題段落擷取筆數 Topic extracts</t>
        </is>
      </c>
      <c r="B14" s="4" t="n">
        <v>162</v>
      </c>
    </row>
    <row r="15">
      <c r="A15" s="3" t="inlineStr">
        <is>
          <t>AI 複核筆數 AI-verified findings</t>
        </is>
      </c>
      <c r="B15" s="4" t="n">
        <v>0</v>
      </c>
    </row>
    <row r="17">
      <c r="A17" s="5" t="inlineStr">
        <is>
          <t>資料完整性檢查 Integrity checks</t>
        </is>
      </c>
    </row>
    <row r="18">
      <c r="A18" s="2" t="inlineStr">
        <is>
          <t>用會計恆等式交叉驗證擷取結果 —— 數字之間本來就該對得上,對不上代表某欄可能抓錯,請翻回來源頁核對。</t>
        </is>
      </c>
    </row>
    <row r="19">
      <c r="A19" s="6" t="inlineStr">
        <is>
          <t>✓ 流動資產 − 流動負債 = 淨流動資產</t>
        </is>
      </c>
      <c r="B19" s="4" t="inlineStr">
        <is>
          <t>86,268 − 155,541 = -69,273</t>
        </is>
      </c>
    </row>
    <row r="20">
      <c r="A20" s="6" t="inlineStr">
        <is>
          <t>✓ 收入 − 銷售成本 = 毛利</t>
        </is>
      </c>
      <c r="B20" s="4" t="inlineStr">
        <is>
          <t>110,174 − 82,027 = 28,147 vs 毛利 28,147</t>
        </is>
      </c>
    </row>
    <row r="21">
      <c r="A21" s="7" t="inlineStr">
        <is>
          <t>✗ 除稅前溢利 ± 稅項 = 年內溢利</t>
        </is>
      </c>
      <c r="B21" s="4" t="inlineStr">
        <is>
          <t>-101,087 − 5,682 = -106,769 vs 49,929</t>
        </is>
      </c>
    </row>
    <row r="22">
      <c r="A22" s="6" t="inlineStr">
        <is>
          <t>✓ 三大報表應相鄰</t>
        </is>
      </c>
      <c r="B22" s="4" t="inlineStr">
        <is>
          <t>Income Statement: p.160、Balance Sheet: p.162、Cash Flow: p.165(相距 5 頁)</t>
        </is>
      </c>
    </row>
    <row r="24">
      <c r="A24" s="5" t="inlineStr">
        <is>
          <t>方法論 Methodology</t>
        </is>
      </c>
    </row>
    <row r="25">
      <c r="A25" s="4" t="inlineStr">
        <is>
          <t>1. 逐頁擷取文字,全程保留 PDF 頁碼與年報印刷頁碼(可追溯性)。</t>
        </is>
      </c>
    </row>
    <row r="26">
      <c r="A26" s="4" t="inlineStr">
        <is>
          <t>2. 規則層(正則/關鍵字)先把全份文件縮減為少數相關頁面 —— 解決「文件太大」。</t>
        </is>
      </c>
    </row>
    <row r="27">
      <c r="A27" s="4" t="inlineStr">
        <is>
          <t>3. 數字由正則精確擷取並做合理性檢查,不由語言模型生成 —— 解決「準確度」。</t>
        </is>
      </c>
    </row>
    <row r="28">
      <c r="A28" s="4" t="inlineStr">
        <is>
          <t>4. AI 僅在縮減後的頁面上做語意判斷,且輸出頁碼須通過驗證才保留。</t>
        </is>
      </c>
    </row>
    <row r="29">
      <c r="A29" s="4" t="inlineStr">
        <is>
          <t>5. 所有結果附來源頁碼與原文行,供估值師覆核。信心度為 Low 者建議人手確認。</t>
        </is>
      </c>
    </row>
    <row r="30">
      <c r="A30" s="4" t="inlineStr">
        <is>
          <t>6. 支援中英對照年報、破折號(nil)、Profit/(loss) 等港股常見排版。</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3"/>
  <sheetViews>
    <sheetView workbookViewId="0">
      <pane ySplit="4" topLeftCell="A5" activePane="bottomLeft" state="frozen"/>
      <selection pane="bottomLeft" activeCell="A1" sqref="A1"/>
    </sheetView>
  </sheetViews>
  <sheetFormatPr baseColWidth="8" defaultRowHeight="15"/>
  <cols>
    <col width="24" customWidth="1" min="1" max="1"/>
    <col width="18" customWidth="1" min="2" max="2"/>
    <col width="12" customWidth="1" min="3" max="3"/>
    <col width="12" customWidth="1" min="4" max="4"/>
    <col width="14" customWidth="1" min="5" max="5"/>
    <col width="10" customWidth="1" min="6" max="6"/>
    <col width="22" customWidth="1" min="7" max="7"/>
    <col width="90" customWidth="1" min="8" max="8"/>
  </cols>
  <sheetData>
    <row r="1">
      <c r="A1" s="1" t="inlineStr">
        <is>
          <t>估值參數 Benchmark — 可直接併入行內參數資料庫</t>
        </is>
      </c>
    </row>
    <row r="2">
      <c r="A2" s="2" t="inlineStr">
        <is>
          <t>數字由正則式從原文精確擷取,並經合理範圍檢查;非由 AI 生成。</t>
        </is>
      </c>
    </row>
    <row r="4">
      <c r="A4" s="8" t="inlineStr">
        <is>
          <t>參數 Parameter</t>
        </is>
      </c>
      <c r="B4" s="8" t="inlineStr">
        <is>
          <t>中文</t>
        </is>
      </c>
      <c r="C4" s="8" t="inlineStr">
        <is>
          <t>下限 Low (%)</t>
        </is>
      </c>
      <c r="D4" s="8" t="inlineStr">
        <is>
          <t>上限 High (%)</t>
        </is>
      </c>
      <c r="E4" s="8" t="inlineStr">
        <is>
          <t>原文數值</t>
        </is>
      </c>
      <c r="F4" s="8" t="inlineStr">
        <is>
          <t>信心度</t>
        </is>
      </c>
      <c r="G4" s="8" t="inlineStr">
        <is>
          <t>來源頁 Source Page</t>
        </is>
      </c>
      <c r="H4" s="8" t="inlineStr">
        <is>
          <t>上下文 Context</t>
        </is>
      </c>
    </row>
    <row r="5">
      <c r="A5" s="9" t="inlineStr">
        <is>
          <t>Capitalisation Rate</t>
        </is>
      </c>
      <c r="B5" s="9" t="inlineStr">
        <is>
          <t>資本化率</t>
        </is>
      </c>
      <c r="C5" s="10" t="n">
        <v>3.7</v>
      </c>
      <c r="D5" s="11" t="n">
        <v>3.2</v>
      </c>
      <c r="E5" s="12" t="inlineStr">
        <is>
          <t>3.70% to 3.20%</t>
        </is>
      </c>
      <c r="F5" s="12" t="inlineStr">
        <is>
          <t>High</t>
        </is>
      </c>
      <c r="G5" s="12" t="inlineStr">
        <is>
          <t>PDF p.235 (印刷頁 234)</t>
        </is>
      </c>
      <c r="H5" s="12" t="inlineStr">
        <is>
          <t>數據的敏感度 2026 2025 2026 2025 HK$’000 HK$’000 千港元 千港元 Commercial properties Income Capitalisation rate 117,000 178,100 3.70% to 3.20% to 10 basis points (2025: 10 basis 資本化率 in Hong Kong capitalisation 3.90% 3.40% points) increase in capitalisation 於香港的商業物業 3.70</t>
        </is>
      </c>
    </row>
    <row r="6">
      <c r="A6" s="9" t="inlineStr">
        <is>
          <t>Capitalisation Rate</t>
        </is>
      </c>
      <c r="B6" s="9" t="inlineStr">
        <is>
          <t>資本化率</t>
        </is>
      </c>
      <c r="C6" s="10" t="n">
        <v>1</v>
      </c>
      <c r="D6" s="11" t="n">
        <v>1</v>
      </c>
      <c r="E6" s="12" t="inlineStr">
        <is>
          <t>1%</t>
        </is>
      </c>
      <c r="F6" s="13" t="inlineStr">
        <is>
          <t>Low</t>
        </is>
      </c>
      <c r="G6" s="12" t="inlineStr">
        <is>
          <t>PDF p.235 (印刷頁 234)</t>
        </is>
      </c>
      <c r="H6" s="12" t="inlineStr">
        <is>
          <t xml:space="preserve">decrease in 收入資本化法 3.90% 3.40% fair value by HK$3,000,000 (2025: HK$5,200,000). 資本化率增加10個基點 （二零二五年：10個基點） 將導致公平值減少 3,000,000港元（二零二五年： 5,200,000港元）。 Unit market rent HK$100 to HK$120 to 1% (2025: 1%) increase per month per HK$130 HK$170 in unit </t>
        </is>
      </c>
    </row>
    <row r="7">
      <c r="A7" s="9" t="inlineStr">
        <is>
          <t>Capitalisation Rate</t>
        </is>
      </c>
      <c r="B7" s="9" t="inlineStr">
        <is>
          <t>資本化率</t>
        </is>
      </c>
      <c r="C7" s="10" t="n">
        <v>7.15</v>
      </c>
      <c r="D7" s="11" t="n">
        <v>7.15</v>
      </c>
      <c r="E7" s="12" t="inlineStr">
        <is>
          <t>7.15%</t>
        </is>
      </c>
      <c r="F7" s="12" t="inlineStr">
        <is>
          <t>High</t>
        </is>
      </c>
      <c r="G7" s="12" t="inlineStr">
        <is>
          <t>PDF p.236 (印刷頁 235)</t>
        </is>
      </c>
      <c r="H7" s="12" t="inlineStr">
        <is>
          <t>數據的敏感度 2026 2025 2026 2025 HK$’000 HK$’000 千港元 千港元 Commercial properties Income Capitalisation rate 39,655 53,500 7.15% 6.00% 10 basis points (2025: 10 basis 資本化率 in Mainland China capitalisation points) increase in capitalisation 於中國大陸的商業物業 method rate would</t>
        </is>
      </c>
    </row>
    <row r="8">
      <c r="A8" s="9" t="inlineStr">
        <is>
          <t>Capitalisation Rate</t>
        </is>
      </c>
      <c r="B8" s="9" t="inlineStr">
        <is>
          <t>資本化率</t>
        </is>
      </c>
      <c r="C8" s="10" t="n">
        <v>6</v>
      </c>
      <c r="D8" s="11" t="n">
        <v>6</v>
      </c>
      <c r="E8" s="12" t="inlineStr">
        <is>
          <t>6.00%</t>
        </is>
      </c>
      <c r="F8" s="12" t="inlineStr">
        <is>
          <t>Medium</t>
        </is>
      </c>
      <c r="G8" s="12" t="inlineStr">
        <is>
          <t>PDF p.236 (印刷頁 235)</t>
        </is>
      </c>
      <c r="H8" s="12" t="inlineStr">
        <is>
          <t>e Capitalisation rate 39,655 53,500 7.15% 6.00% 10 basis points (2025: 10 basis 資本化率 in Mainland China capitalisation points) increase in capitalisation 於中國大陸的商業物業 method rate would result in decrease in 收入資本化法 fair value by HK$566,500 (2025: H</t>
        </is>
      </c>
    </row>
    <row r="9">
      <c r="A9" s="9" t="inlineStr">
        <is>
          <t>Capitalisation Rate</t>
        </is>
      </c>
      <c r="B9" s="9" t="inlineStr">
        <is>
          <t>資本化率</t>
        </is>
      </c>
      <c r="C9" s="10" t="n">
        <v>1</v>
      </c>
      <c r="D9" s="11" t="n">
        <v>1</v>
      </c>
      <c r="E9" s="12" t="inlineStr">
        <is>
          <t>1%</t>
        </is>
      </c>
      <c r="F9" s="12" t="inlineStr">
        <is>
          <t>Medium</t>
        </is>
      </c>
      <c r="G9" s="12" t="inlineStr">
        <is>
          <t>PDF p.236 (印刷頁 235)</t>
        </is>
      </c>
      <c r="H9" s="12" t="inlineStr">
        <is>
          <t>would result in decrease in 收入資本化法 fair value by HK$566,500 (2025: HK$800,000). 資本化率增加10個基點 （二零二五年：10個基點） 將導致公平值減少 566,500港元（二零二五年： 800,000港元）。 Unit market rent HK$60 HK$60 1% (2025: 1%) increase 60港元 60港元 per month per in unit market rent woul</t>
        </is>
      </c>
    </row>
    <row r="10">
      <c r="A10" s="9" t="inlineStr">
        <is>
          <t>Gross Margin</t>
        </is>
      </c>
      <c r="B10" s="9" t="inlineStr">
        <is>
          <t>毛利率</t>
        </is>
      </c>
      <c r="C10" s="10" t="n">
        <v>26</v>
      </c>
      <c r="D10" s="11" t="n">
        <v>26</v>
      </c>
      <c r="E10" s="12" t="inlineStr">
        <is>
          <t>26%</t>
        </is>
      </c>
      <c r="F10" s="12" t="inlineStr">
        <is>
          <t>High</t>
        </is>
      </c>
      <c r="G10" s="12" t="inlineStr">
        <is>
          <t>PDF p.14 (印刷頁 13)</t>
        </is>
      </c>
      <c r="H10" s="12" t="inlineStr">
        <is>
          <t>roximately HK$28 million (2025: HK$33 本集團持續經營業務綜合收入的毛利率也減 million). The Group’s gross margin from continuing operations also 少至26%（二零二五年：27%），此乃由於銷售 reduced to 26% (2025: 27%) of the consolidated revenue from 印刷產品錄得較低的毛利率。由於材料成本上 continuing operations,</t>
        </is>
      </c>
    </row>
    <row r="11">
      <c r="A11" s="9" t="inlineStr">
        <is>
          <t>Gross Margin</t>
        </is>
      </c>
      <c r="B11" s="9" t="inlineStr">
        <is>
          <t>毛利率</t>
        </is>
      </c>
      <c r="C11" s="10" t="n">
        <v>23</v>
      </c>
      <c r="D11" s="11" t="n">
        <v>23</v>
      </c>
      <c r="E11" s="12" t="inlineStr">
        <is>
          <t>23%</t>
        </is>
      </c>
      <c r="F11" s="12" t="inlineStr">
        <is>
          <t>High</t>
        </is>
      </c>
      <c r="G11" s="12" t="inlineStr">
        <is>
          <t>PDF p.14 (印刷頁 13)</t>
        </is>
      </c>
      <c r="H11" s="12" t="inlineStr">
        <is>
          <t>d revenue from 印刷產品錄得較低的毛利率。由於材料成本上 continuing operations, as a result of lower gross margin recorded from 漲，印刷業務的毛利率下降至23%（2025年： the sale of printed products in the printing business. Due to the rising 25%）。 cost of materials, the gross margin of the</t>
        </is>
      </c>
    </row>
    <row r="12">
      <c r="A12" s="9" t="inlineStr">
        <is>
          <t>Gross Margin</t>
        </is>
      </c>
      <c r="B12" s="9" t="inlineStr">
        <is>
          <t>毛利率</t>
        </is>
      </c>
      <c r="C12" s="10" t="n">
        <v>23</v>
      </c>
      <c r="D12" s="11" t="n">
        <v>23</v>
      </c>
      <c r="E12" s="12" t="inlineStr">
        <is>
          <t>23%</t>
        </is>
      </c>
      <c r="F12" s="12" t="inlineStr">
        <is>
          <t>High</t>
        </is>
      </c>
      <c r="G12" s="12" t="inlineStr">
        <is>
          <t>PDF p.18 (印刷頁 17)</t>
        </is>
      </c>
      <c r="H12" s="12" t="inlineStr">
        <is>
          <t>材料成本上漲，印刷業務的 under review. Although the management adopted various cost control 毛利率下降至23%（二零二五年：25%）。管理 measures and enhanced its competitive edge in innovative design, 層已經通過制定多項現代化的採購、製造、分 quality management and production resources, due to t</t>
        </is>
      </c>
    </row>
    <row r="13">
      <c r="A13" s="9" t="inlineStr">
        <is>
          <t>WACC</t>
        </is>
      </c>
      <c r="B13" s="9" t="inlineStr">
        <is>
          <t>加權平均資本成本</t>
        </is>
      </c>
      <c r="C13" s="10" t="n">
        <v>12</v>
      </c>
      <c r="D13" s="11" t="n">
        <v>12</v>
      </c>
      <c r="E13" s="12" t="inlineStr">
        <is>
          <t>12%</t>
        </is>
      </c>
      <c r="F13" s="12" t="inlineStr">
        <is>
          <t>High</t>
        </is>
      </c>
      <c r="G13" s="12" t="inlineStr">
        <is>
          <t>PDF p.196 (印刷頁 195)</t>
        </is>
      </c>
      <c r="H13" s="12" t="inlineStr">
        <is>
          <t>is extrapolated using a 2% 年：2%）及加權平均資金成本11.4%（二 growth rate (2025: 2%) and the weighted average cost of capital 零二五年：12%）估算。 of 11.4% (2025: 12%). 管理層根據估計收入及未扣除利息、稅 Management estimates the cash flow projections based on 項、折舊及攤銷前估計盈利率、預期收入 certain assumptions, such as es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23"/>
  <sheetViews>
    <sheetView workbookViewId="0">
      <pane ySplit="4" topLeftCell="A5" activePane="bottomLeft" state="frozen"/>
      <selection pane="bottomLeft" activeCell="A1" sqref="A1"/>
    </sheetView>
  </sheetViews>
  <sheetFormatPr baseColWidth="8" defaultRowHeight="15"/>
  <cols>
    <col width="20" customWidth="1" min="1" max="1"/>
    <col width="28" customWidth="1" min="2" max="2"/>
    <col width="16" customWidth="1" min="3" max="3"/>
    <col width="16" customWidth="1" min="4" max="4"/>
    <col width="12" customWidth="1" min="5" max="5"/>
    <col width="20" customWidth="1" min="6" max="6"/>
    <col width="70" customWidth="1" min="7" max="7"/>
  </cols>
  <sheetData>
    <row r="1">
      <c r="A1" s="1" t="inlineStr">
        <is>
          <t>三大報表擷取結果</t>
        </is>
      </c>
    </row>
    <row r="2">
      <c r="A2" s="2" t="inlineStr">
        <is>
          <t>偵測到的年度欄位 — Income Statement: 2026 / 2025; Balance Sheet: 2026 / 2025; Cash Flow: 2026 / 2025</t>
        </is>
      </c>
    </row>
    <row r="4">
      <c r="A4" s="8" t="inlineStr">
        <is>
          <t>報表 Statement</t>
        </is>
      </c>
      <c r="B4" s="8" t="inlineStr">
        <is>
          <t>科目 Item</t>
        </is>
      </c>
      <c r="C4" s="8" t="inlineStr">
        <is>
          <t>本年 Current</t>
        </is>
      </c>
      <c r="D4" s="8" t="inlineStr">
        <is>
          <t>上年 Prior</t>
        </is>
      </c>
      <c r="E4" s="8" t="inlineStr">
        <is>
          <t>變動 YoY %</t>
        </is>
      </c>
      <c r="F4" s="8" t="inlineStr">
        <is>
          <t>來源頁</t>
        </is>
      </c>
      <c r="G4" s="8" t="inlineStr">
        <is>
          <t>原文行 Source line</t>
        </is>
      </c>
    </row>
    <row r="5">
      <c r="A5" s="9" t="inlineStr">
        <is>
          <t>Income Statement</t>
        </is>
      </c>
      <c r="B5" s="9" t="inlineStr">
        <is>
          <t>Revenue</t>
        </is>
      </c>
      <c r="C5" s="14" t="n">
        <v>110174</v>
      </c>
      <c r="D5" s="15" t="n">
        <v>122303</v>
      </c>
      <c r="E5" s="16">
        <f>IF(ISERROR((C5-D5)/ABS(D5)),"",(C5-D5)/ABS(D5))</f>
        <v>-0.09917172922986353</v>
      </c>
      <c r="F5" s="12" t="inlineStr">
        <is>
          <t>PDF p.160 (印刷頁 159)</t>
        </is>
      </c>
      <c r="G5" s="12" t="inlineStr">
        <is>
          <t>Revenue 9 110,174 122,303</t>
        </is>
      </c>
    </row>
    <row r="6">
      <c r="A6" s="9" t="inlineStr">
        <is>
          <t>Income Statement</t>
        </is>
      </c>
      <c r="B6" s="9" t="inlineStr">
        <is>
          <t>Cost of Sales</t>
        </is>
      </c>
      <c r="C6" s="14" t="n">
        <v>-82027</v>
      </c>
      <c r="D6" s="15" t="n">
        <v>-89216</v>
      </c>
      <c r="E6" s="16">
        <f>IF(ISERROR((C6-D6)/ABS(D6)),"",(C6-D6)/ABS(D6))</f>
        <v>0.08057971664275466</v>
      </c>
      <c r="F6" s="12" t="inlineStr">
        <is>
          <t>PDF p.160 (印刷頁 159)</t>
        </is>
      </c>
      <c r="G6" s="12" t="inlineStr">
        <is>
          <t>Cost of sales (82,027) (89,216)</t>
        </is>
      </c>
    </row>
    <row r="7">
      <c r="A7" s="9" t="inlineStr">
        <is>
          <t>Income Statement</t>
        </is>
      </c>
      <c r="B7" s="9" t="inlineStr">
        <is>
          <t>Gross Profit</t>
        </is>
      </c>
      <c r="C7" s="14" t="n">
        <v>28147</v>
      </c>
      <c r="D7" s="15" t="n">
        <v>33087</v>
      </c>
      <c r="E7" s="16">
        <f>IF(ISERROR((C7-D7)/ABS(D7)),"",(C7-D7)/ABS(D7))</f>
        <v>-0.14930335176957718</v>
      </c>
      <c r="F7" s="12" t="inlineStr">
        <is>
          <t>PDF p.160 (印刷頁 159)</t>
        </is>
      </c>
      <c r="G7" s="12" t="inlineStr">
        <is>
          <t>Gross profit 28,147 33,087</t>
        </is>
      </c>
    </row>
    <row r="8">
      <c r="A8" s="9" t="inlineStr">
        <is>
          <t>Income Statement</t>
        </is>
      </c>
      <c r="B8" s="9" t="inlineStr">
        <is>
          <t>Operating Profit</t>
        </is>
      </c>
      <c r="C8" s="14" t="n">
        <v>-96814</v>
      </c>
      <c r="D8" s="15" t="n">
        <v>-54391</v>
      </c>
      <c r="E8" s="16">
        <f>IF(ISERROR((C8-D8)/ABS(D8)),"",(C8-D8)/ABS(D8))</f>
        <v>-0.7799635969186078</v>
      </c>
      <c r="F8" s="12" t="inlineStr">
        <is>
          <t>PDF p.160 (印刷頁 159)</t>
        </is>
      </c>
      <c r="G8" s="12" t="inlineStr">
        <is>
          <t>Operating loss 11 (96,814) (54,391)</t>
        </is>
      </c>
    </row>
    <row r="9">
      <c r="A9" s="9" t="inlineStr">
        <is>
          <t>Income Statement</t>
        </is>
      </c>
      <c r="B9" s="9" t="inlineStr">
        <is>
          <t>Finance Costs</t>
        </is>
      </c>
      <c r="C9" s="14" t="n">
        <v>-4273</v>
      </c>
      <c r="D9" s="15" t="n">
        <v>-6756</v>
      </c>
      <c r="E9" s="16">
        <f>IF(ISERROR((C9-D9)/ABS(D9)),"",(C9-D9)/ABS(D9))</f>
        <v>0.36752516281823566</v>
      </c>
      <c r="F9" s="12" t="inlineStr">
        <is>
          <t>PDF p.160 (印刷頁 159)</t>
        </is>
      </c>
      <c r="G9" s="12" t="inlineStr">
        <is>
          <t>Finance costs 12 (4,273) (6,756)</t>
        </is>
      </c>
    </row>
    <row r="10">
      <c r="A10" s="9" t="inlineStr">
        <is>
          <t>Income Statement</t>
        </is>
      </c>
      <c r="B10" s="9" t="inlineStr">
        <is>
          <t>Profit Before Tax</t>
        </is>
      </c>
      <c r="C10" s="14" t="n">
        <v>-101087</v>
      </c>
      <c r="D10" s="15" t="n">
        <v>-61147</v>
      </c>
      <c r="E10" s="16">
        <f>IF(ISERROR((C10-D10)/ABS(D10)),"",(C10-D10)/ABS(D10))</f>
        <v>-0.6531800415392415</v>
      </c>
      <c r="F10" s="12" t="inlineStr">
        <is>
          <t>PDF p.160 (印刷頁 159)</t>
        </is>
      </c>
      <c r="G10" s="12" t="inlineStr">
        <is>
          <t>Loss before tax (101,087) (61,147)</t>
        </is>
      </c>
    </row>
    <row r="11">
      <c r="A11" s="9" t="inlineStr">
        <is>
          <t>Income Statement</t>
        </is>
      </c>
      <c r="B11" s="9" t="inlineStr">
        <is>
          <t>Income Tax</t>
        </is>
      </c>
      <c r="C11" s="14" t="n">
        <v>5682</v>
      </c>
      <c r="D11" s="15" t="n">
        <v>2154</v>
      </c>
      <c r="E11" s="16">
        <f>IF(ISERROR((C11-D11)/ABS(D11)),"",(C11-D11)/ABS(D11))</f>
        <v>1.6378830083565459</v>
      </c>
      <c r="F11" s="12" t="inlineStr">
        <is>
          <t>PDF p.160 (印刷頁 159)</t>
        </is>
      </c>
      <c r="G11" s="12" t="inlineStr">
        <is>
          <t>Income tax credit 13 5,682 2,154</t>
        </is>
      </c>
    </row>
    <row r="12">
      <c r="A12" s="9" t="inlineStr">
        <is>
          <t>Income Statement</t>
        </is>
      </c>
      <c r="B12" s="9" t="inlineStr">
        <is>
          <t>Profit for the Year</t>
        </is>
      </c>
      <c r="C12" s="14" t="n">
        <v>49929</v>
      </c>
      <c r="D12" s="15" t="n">
        <v>-85172</v>
      </c>
      <c r="E12" s="16">
        <f>IF(ISERROR((C12-D12)/ABS(D12)),"",(C12-D12)/ABS(D12))</f>
        <v>1.5862137791762552</v>
      </c>
      <c r="F12" s="12" t="inlineStr">
        <is>
          <t>PDF p.160 (印刷頁 159)</t>
        </is>
      </c>
      <c r="G12" s="12" t="inlineStr">
        <is>
          <t>Profit/(loss) for the year 49,929 (85,172)</t>
        </is>
      </c>
    </row>
    <row r="13">
      <c r="A13" s="9" t="inlineStr">
        <is>
          <t>Balance Sheet</t>
        </is>
      </c>
      <c r="B13" s="9" t="inlineStr">
        <is>
          <t>Property Plant and Equipment</t>
        </is>
      </c>
      <c r="C13" s="14" t="n">
        <v>4979</v>
      </c>
      <c r="D13" s="15" t="n">
        <v>9685</v>
      </c>
      <c r="E13" s="16">
        <f>IF(ISERROR((C13-D13)/ABS(D13)),"",(C13-D13)/ABS(D13))</f>
        <v>-0.48590604026845635</v>
      </c>
      <c r="F13" s="12" t="inlineStr">
        <is>
          <t>PDF p.162 (印刷頁 161)</t>
        </is>
      </c>
      <c r="G13" s="12" t="inlineStr">
        <is>
          <t>Property, plant and equipment 18 4,979 9,685</t>
        </is>
      </c>
    </row>
    <row r="14">
      <c r="A14" s="9" t="inlineStr">
        <is>
          <t>Balance Sheet</t>
        </is>
      </c>
      <c r="B14" s="9" t="inlineStr">
        <is>
          <t>Investment Properties</t>
        </is>
      </c>
      <c r="C14" s="14" t="n">
        <v>156655</v>
      </c>
      <c r="D14" s="15" t="n">
        <v>231600</v>
      </c>
      <c r="E14" s="16">
        <f>IF(ISERROR((C14-D14)/ABS(D14)),"",(C14-D14)/ABS(D14))</f>
        <v>-0.32359671848013816</v>
      </c>
      <c r="F14" s="12" t="inlineStr">
        <is>
          <t>PDF p.162 (印刷頁 161)</t>
        </is>
      </c>
      <c r="G14" s="12" t="inlineStr">
        <is>
          <t>Investment properties 20 156,655 231,600</t>
        </is>
      </c>
    </row>
    <row r="15">
      <c r="A15" s="9" t="inlineStr">
        <is>
          <t>Balance Sheet</t>
        </is>
      </c>
      <c r="B15" s="9" t="inlineStr">
        <is>
          <t>Intangible Assets</t>
        </is>
      </c>
      <c r="C15" s="14" t="n">
        <v>131</v>
      </c>
      <c r="D15" s="15" t="n">
        <v>424</v>
      </c>
      <c r="E15" s="16">
        <f>IF(ISERROR((C15-D15)/ABS(D15)),"",(C15-D15)/ABS(D15))</f>
        <v>-0.6910377358490566</v>
      </c>
      <c r="F15" s="12" t="inlineStr">
        <is>
          <t>PDF p.162 (印刷頁 161)</t>
        </is>
      </c>
      <c r="G15" s="12" t="inlineStr">
        <is>
          <t>Intangible assets 22 131 424</t>
        </is>
      </c>
    </row>
    <row r="16">
      <c r="A16" s="9" t="inlineStr">
        <is>
          <t>Balance Sheet</t>
        </is>
      </c>
      <c r="B16" s="9" t="inlineStr">
        <is>
          <t>Inventories</t>
        </is>
      </c>
      <c r="C16" s="14" t="n">
        <v>6196</v>
      </c>
      <c r="D16" s="15" t="n">
        <v>8903</v>
      </c>
      <c r="E16" s="16">
        <f>IF(ISERROR((C16-D16)/ABS(D16)),"",(C16-D16)/ABS(D16))</f>
        <v>-0.3040548129843873</v>
      </c>
      <c r="F16" s="12" t="inlineStr">
        <is>
          <t>PDF p.162 (印刷頁 161)</t>
        </is>
      </c>
      <c r="G16" s="12" t="inlineStr">
        <is>
          <t>Inventories 24 6,196 8,903</t>
        </is>
      </c>
    </row>
    <row r="17">
      <c r="A17" s="9" t="inlineStr">
        <is>
          <t>Balance Sheet</t>
        </is>
      </c>
      <c r="B17" s="9" t="inlineStr">
        <is>
          <t>Trade Receivables</t>
        </is>
      </c>
      <c r="C17" s="14" t="n">
        <v>35163</v>
      </c>
      <c r="D17" s="15" t="n">
        <v>66824</v>
      </c>
      <c r="E17" s="16">
        <f>IF(ISERROR((C17-D17)/ABS(D17)),"",(C17-D17)/ABS(D17))</f>
        <v>-0.4737968394588771</v>
      </c>
      <c r="F17" s="12" t="inlineStr">
        <is>
          <t>PDF p.162 (印刷頁 161)</t>
        </is>
      </c>
      <c r="G17" s="12" t="inlineStr">
        <is>
          <t>Accounts receivable 26 35,163 66,824</t>
        </is>
      </c>
    </row>
    <row r="18">
      <c r="A18" s="9" t="inlineStr">
        <is>
          <t>Balance Sheet</t>
        </is>
      </c>
      <c r="B18" s="9" t="inlineStr">
        <is>
          <t>Total Current Assets</t>
        </is>
      </c>
      <c r="C18" s="14" t="n">
        <v>86268</v>
      </c>
      <c r="D18" s="15" t="n">
        <v>348697</v>
      </c>
      <c r="E18" s="16">
        <f>IF(ISERROR((C18-D18)/ABS(D18)),"",(C18-D18)/ABS(D18))</f>
        <v>-0.7525989612758355</v>
      </c>
      <c r="F18" s="12" t="inlineStr">
        <is>
          <t>PDF p.162 (印刷頁 161)</t>
        </is>
      </c>
      <c r="G18" s="12" t="inlineStr">
        <is>
          <t>Total current assets 86,268 348,697</t>
        </is>
      </c>
    </row>
    <row r="19">
      <c r="A19" s="9" t="inlineStr">
        <is>
          <t>Balance Sheet</t>
        </is>
      </c>
      <c r="B19" s="9" t="inlineStr">
        <is>
          <t>Total Current Liabilities</t>
        </is>
      </c>
      <c r="C19" s="14" t="n">
        <v>155541</v>
      </c>
      <c r="D19" s="15" t="n">
        <v>531275</v>
      </c>
      <c r="E19" s="16">
        <f>IF(ISERROR((C19-D19)/ABS(D19)),"",(C19-D19)/ABS(D19))</f>
        <v>-0.707230718554421</v>
      </c>
      <c r="F19" s="12" t="inlineStr">
        <is>
          <t>PDF p.162 (印刷頁 161)</t>
        </is>
      </c>
      <c r="G19" s="12" t="inlineStr">
        <is>
          <t>Total current liabilities 155,541 531,275</t>
        </is>
      </c>
    </row>
    <row r="20">
      <c r="A20" s="9" t="inlineStr">
        <is>
          <t>Balance Sheet</t>
        </is>
      </c>
      <c r="B20" s="9" t="inlineStr">
        <is>
          <t>Total Equity</t>
        </is>
      </c>
      <c r="C20" s="14" t="n">
        <v>93765</v>
      </c>
      <c r="D20" s="15" t="n">
        <v>56658</v>
      </c>
      <c r="E20" s="16">
        <f>IF(ISERROR((C20-D20)/ABS(D20)),"",(C20-D20)/ABS(D20))</f>
        <v>0.6549295774647887</v>
      </c>
      <c r="F20" s="12" t="inlineStr">
        <is>
          <t>PDF p.163 (印刷頁 162)</t>
        </is>
      </c>
      <c r="G20" s="12" t="inlineStr">
        <is>
          <t>TOTAL EQUITY 93,765 56,658</t>
        </is>
      </c>
    </row>
    <row r="21">
      <c r="A21" s="9" t="inlineStr">
        <is>
          <t>Cash Flow</t>
        </is>
      </c>
      <c r="B21" s="9" t="inlineStr">
        <is>
          <t>Financing Cash Flow</t>
        </is>
      </c>
      <c r="C21" s="14" t="n">
        <v>-8847</v>
      </c>
      <c r="D21" s="15" t="n">
        <v>-31899</v>
      </c>
      <c r="E21" s="16">
        <f>IF(ISERROR((C21-D21)/ABS(D21)),"",(C21-D21)/ABS(D21))</f>
        <v>0.7226558826295495</v>
      </c>
      <c r="F21" s="12" t="inlineStr">
        <is>
          <t>PDF p.166 (印刷頁 165)</t>
        </is>
      </c>
      <c r="G21" s="12" t="inlineStr">
        <is>
          <t>Net cash used in financing activities (8,847) (31,899)</t>
        </is>
      </c>
    </row>
    <row r="23">
      <c r="A23" s="2" t="inlineStr">
        <is>
          <t>藍色 = 從 PDF 原文擷取的數值(硬輸入);黑色 = 公式計算。單位依原報表所示(通常為千元或百萬元),請對照來源頁確認。</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13"/>
  <sheetViews>
    <sheetView workbookViewId="0">
      <pane ySplit="4" topLeftCell="A5" activePane="bottomLeft" state="frozen"/>
      <selection pane="bottomLeft" activeCell="A1" sqref="A1"/>
    </sheetView>
  </sheetViews>
  <sheetFormatPr baseColWidth="8" defaultRowHeight="15"/>
  <cols>
    <col width="30" customWidth="1" min="1" max="1"/>
    <col width="16" customWidth="1" min="2" max="2"/>
    <col width="16" customWidth="1" min="3" max="3"/>
    <col width="48" customWidth="1" min="4" max="4"/>
  </cols>
  <sheetData>
    <row r="1">
      <c r="A1" s="1" t="inlineStr">
        <is>
          <t>衍生比率 — 全部以公式連結至 Financials 分頁</t>
        </is>
      </c>
    </row>
    <row r="2">
      <c r="A2" s="2" t="inlineStr">
        <is>
          <t>改動 Financials 分頁的數字,本頁會自動重算。</t>
        </is>
      </c>
    </row>
    <row r="4">
      <c r="A4" s="8" t="inlineStr">
        <is>
          <t>比率 Ratio</t>
        </is>
      </c>
      <c r="B4" s="8" t="inlineStr">
        <is>
          <t>本年 Current</t>
        </is>
      </c>
      <c r="C4" s="8" t="inlineStr">
        <is>
          <t>上年 Prior</t>
        </is>
      </c>
      <c r="D4" s="8" t="inlineStr">
        <is>
          <t>說明</t>
        </is>
      </c>
    </row>
    <row r="5">
      <c r="A5" s="4" t="inlineStr">
        <is>
          <t>Gross Margin 毛利率</t>
        </is>
      </c>
      <c r="B5" s="17">
        <f>IF(ISERROR(INDEX('Financials 財務數據'!$C$5:$C$21,MATCH("Gross Profit",'Financials 財務數據'!$B$5:$B$21,0))/INDEX('Financials 財務數據'!$C$5:$C$21,MATCH("Revenue",'Financials 財務數據'!$B$5:$B$21,0))),"n/a",INDEX('Financials 財務數據'!$C$5:$C$21,MATCH("Gross Profit",'Financials 財務數據'!$B$5:$B$21,0))/INDEX('Financials 財務數據'!$C$5:$C$21,MATCH("Revenue",'Financials 財務數據'!$B$5:$B$21,0)))</f>
        <v>0.2554776989126291</v>
      </c>
      <c r="C5" s="17">
        <f>IF(ISERROR(INDEX('Financials 財務數據'!$D$5:$D$21,MATCH("Gross Profit",'Financials 財務數據'!$B$5:$B$21,0))/INDEX('Financials 財務數據'!$D$5:$D$21,MATCH("Revenue",'Financials 財務數據'!$B$5:$B$21,0))),"n/a",INDEX('Financials 財務數據'!$D$5:$D$21,MATCH("Gross Profit",'Financials 財務數據'!$B$5:$B$21,0))/INDEX('Financials 財務數據'!$D$5:$D$21,MATCH("Revenue",'Financials 財務數據'!$B$5:$B$21,0)))</f>
        <v>0.2705330204492122</v>
      </c>
      <c r="D5" s="2" t="inlineStr">
        <is>
          <t>毛利 ÷ 收入</t>
        </is>
      </c>
    </row>
    <row r="6">
      <c r="A6" s="4" t="inlineStr">
        <is>
          <t>Net Margin 淨利率</t>
        </is>
      </c>
      <c r="B6" s="17">
        <f>IF(ISERROR(INDEX('Financials 財務數據'!$C$5:$C$21,MATCH("Profit for the Year",'Financials 財務數據'!$B$5:$B$21,0))/INDEX('Financials 財務數據'!$C$5:$C$21,MATCH("Revenue",'Financials 財務數據'!$B$5:$B$21,0))),"n/a",INDEX('Financials 財務數據'!$C$5:$C$21,MATCH("Profit for the Year",'Financials 財務數據'!$B$5:$B$21,0))/INDEX('Financials 財務數據'!$C$5:$C$21,MATCH("Revenue",'Financials 財務數據'!$B$5:$B$21,0)))</f>
        <v>0.45318314665892134</v>
      </c>
      <c r="C6" s="17">
        <f>IF(ISERROR(INDEX('Financials 財務數據'!$D$5:$D$21,MATCH("Profit for the Year",'Financials 財務數據'!$B$5:$B$21,0))/INDEX('Financials 財務數據'!$D$5:$D$21,MATCH("Revenue",'Financials 財務數據'!$B$5:$B$21,0))),"n/a",INDEX('Financials 財務數據'!$D$5:$D$21,MATCH("Profit for the Year",'Financials 財務數據'!$B$5:$B$21,0))/INDEX('Financials 財務數據'!$D$5:$D$21,MATCH("Revenue",'Financials 財務數據'!$B$5:$B$21,0)))</f>
        <v>-0.6964015600598513</v>
      </c>
      <c r="D6" s="2" t="inlineStr">
        <is>
          <t>年內溢利 ÷ 收入</t>
        </is>
      </c>
    </row>
    <row r="7">
      <c r="A7" s="4" t="inlineStr">
        <is>
          <t>Current Ratio 流動比率</t>
        </is>
      </c>
      <c r="B7" s="18">
        <f>IF(ISERROR(INDEX('Financials 財務數據'!$C$5:$C$21,MATCH("Total Current Assets",'Financials 財務數據'!$B$5:$B$21,0))/INDEX('Financials 財務數據'!$C$5:$C$21,MATCH("Total Current Liabilities",'Financials 財務數據'!$B$5:$B$21,0))),"n/a",INDEX('Financials 財務數據'!$C$5:$C$21,MATCH("Total Current Assets",'Financials 財務數據'!$B$5:$B$21,0))/INDEX('Financials 財務數據'!$C$5:$C$21,MATCH("Total Current Liabilities",'Financials 財務數據'!$B$5:$B$21,0)))</f>
        <v>0.554631897698999</v>
      </c>
      <c r="C7" s="18">
        <f>IF(ISERROR(INDEX('Financials 財務數據'!$D$5:$D$21,MATCH("Total Current Assets",'Financials 財務數據'!$B$5:$B$21,0))/INDEX('Financials 財務數據'!$D$5:$D$21,MATCH("Total Current Liabilities",'Financials 財務數據'!$B$5:$B$21,0))),"n/a",INDEX('Financials 財務數據'!$D$5:$D$21,MATCH("Total Current Assets",'Financials 財務數據'!$B$5:$B$21,0))/INDEX('Financials 財務數據'!$D$5:$D$21,MATCH("Total Current Liabilities",'Financials 財務數據'!$B$5:$B$21,0)))</f>
        <v>0.6563399369441438</v>
      </c>
      <c r="D7" s="2" t="inlineStr">
        <is>
          <t>流動資產 ÷ 流動負債</t>
        </is>
      </c>
    </row>
    <row r="8">
      <c r="A8" s="4" t="inlineStr">
        <is>
          <t>Debt / Equity 負債權益比</t>
        </is>
      </c>
      <c r="B8" s="18" t="str">
        <f>IF(ISERROR(INDEX('Financials 財務數據'!$C$5:$C$21,MATCH("Total Liabilities",'Financials 財務數據'!$B$5:$B$21,0))/INDEX('Financials 財務數據'!$C$5:$C$21,MATCH("Total Equity",'Financials 財務數據'!$B$5:$B$21,0))),"n/a",INDEX('Financials 財務數據'!$C$5:$C$21,MATCH("Total Liabilities",'Financials 財務數據'!$B$5:$B$21,0))/INDEX('Financials 財務數據'!$C$5:$C$21,MATCH("Total Equity",'Financials 財務數據'!$B$5:$B$21,0)))</f>
        <v>n/a</v>
      </c>
      <c r="C8" s="18" t="str">
        <f>IF(ISERROR(INDEX('Financials 財務數據'!$D$5:$D$21,MATCH("Total Liabilities",'Financials 財務數據'!$B$5:$B$21,0))/INDEX('Financials 財務數據'!$D$5:$D$21,MATCH("Total Equity",'Financials 財務數據'!$B$5:$B$21,0))),"n/a",INDEX('Financials 財務數據'!$D$5:$D$21,MATCH("Total Liabilities",'Financials 財務數據'!$B$5:$B$21,0))/INDEX('Financials 財務數據'!$D$5:$D$21,MATCH("Total Equity",'Financials 財務數據'!$B$5:$B$21,0)))</f>
        <v>n/a</v>
      </c>
      <c r="D8" s="2" t="inlineStr">
        <is>
          <t>總負債 ÷ 總權益</t>
        </is>
      </c>
    </row>
    <row r="9">
      <c r="A9" s="4" t="inlineStr">
        <is>
          <t>Goodwill / Total Assets</t>
        </is>
      </c>
      <c r="B9" s="17" t="str">
        <f>IF(ISERROR(INDEX('Financials 財務數據'!$C$5:$C$21,MATCH("Goodwill",'Financials 財務數據'!$B$5:$B$21,0))/INDEX('Financials 財務數據'!$C$5:$C$21,MATCH("Total Assets",'Financials 財務數據'!$B$5:$B$21,0))),"n/a",INDEX('Financials 財務數據'!$C$5:$C$21,MATCH("Goodwill",'Financials 財務數據'!$B$5:$B$21,0))/INDEX('Financials 財務數據'!$C$5:$C$21,MATCH("Total Assets",'Financials 財務數據'!$B$5:$B$21,0)))</f>
        <v>n/a</v>
      </c>
      <c r="C9" s="17" t="str">
        <f>IF(ISERROR(INDEX('Financials 財務數據'!$D$5:$D$21,MATCH("Goodwill",'Financials 財務數據'!$B$5:$B$21,0))/INDEX('Financials 財務數據'!$D$5:$D$21,MATCH("Total Assets",'Financials 財務數據'!$B$5:$B$21,0))),"n/a",INDEX('Financials 財務數據'!$D$5:$D$21,MATCH("Goodwill",'Financials 財務數據'!$B$5:$B$21,0))/INDEX('Financials 財務數據'!$D$5:$D$21,MATCH("Total Assets",'Financials 財務數據'!$B$5:$B$21,0)))</f>
        <v>n/a</v>
      </c>
      <c r="D9" s="2" t="inlineStr">
        <is>
          <t>商譽佔總資產比重 — 減值風險指標</t>
        </is>
      </c>
    </row>
    <row r="10">
      <c r="A10" s="4" t="inlineStr">
        <is>
          <t>Intangibles / Total Assets</t>
        </is>
      </c>
      <c r="B10" s="17" t="str">
        <f>IF(ISERROR(INDEX('Financials 財務數據'!$C$5:$C$21,MATCH("Intangible Assets",'Financials 財務數據'!$B$5:$B$21,0))/INDEX('Financials 財務數據'!$C$5:$C$21,MATCH("Total Assets",'Financials 財務數據'!$B$5:$B$21,0))),"n/a",INDEX('Financials 財務數據'!$C$5:$C$21,MATCH("Intangible Assets",'Financials 財務數據'!$B$5:$B$21,0))/INDEX('Financials 財務數據'!$C$5:$C$21,MATCH("Total Assets",'Financials 財務數據'!$B$5:$B$21,0)))</f>
        <v>n/a</v>
      </c>
      <c r="C10" s="17" t="str">
        <f>IF(ISERROR(INDEX('Financials 財務數據'!$D$5:$D$21,MATCH("Intangible Assets",'Financials 財務數據'!$B$5:$B$21,0))/INDEX('Financials 財務數據'!$D$5:$D$21,MATCH("Total Assets",'Financials 財務數據'!$B$5:$B$21,0))),"n/a",INDEX('Financials 財務數據'!$D$5:$D$21,MATCH("Intangible Assets",'Financials 財務數據'!$B$5:$B$21,0))/INDEX('Financials 財務數據'!$D$5:$D$21,MATCH("Total Assets",'Financials 財務數據'!$B$5:$B$21,0)))</f>
        <v>n/a</v>
      </c>
      <c r="D10" s="2" t="inlineStr">
        <is>
          <t>無形資產佔比</t>
        </is>
      </c>
    </row>
    <row r="11">
      <c r="A11" s="4" t="inlineStr">
        <is>
          <t>ROE 股本回報率</t>
        </is>
      </c>
      <c r="B11" s="17">
        <f>IF(ISERROR(INDEX('Financials 財務數據'!$C$5:$C$21,MATCH("Profit for the Year",'Financials 財務數據'!$B$5:$B$21,0))/INDEX('Financials 財務數據'!$C$5:$C$21,MATCH("Total Equity",'Financials 財務數據'!$B$5:$B$21,0))),"n/a",INDEX('Financials 財務數據'!$C$5:$C$21,MATCH("Profit for the Year",'Financials 財務數據'!$B$5:$B$21,0))/INDEX('Financials 財務數據'!$C$5:$C$21,MATCH("Total Equity",'Financials 財務數據'!$B$5:$B$21,0)))</f>
        <v>0.5324908014717645</v>
      </c>
      <c r="C11" s="17">
        <f>IF(ISERROR(INDEX('Financials 財務數據'!$D$5:$D$21,MATCH("Profit for the Year",'Financials 財務數據'!$B$5:$B$21,0))/INDEX('Financials 財務數據'!$D$5:$D$21,MATCH("Total Equity",'Financials 財務數據'!$B$5:$B$21,0))),"n/a",INDEX('Financials 財務數據'!$D$5:$D$21,MATCH("Profit for the Year",'Financials 財務數據'!$B$5:$B$21,0))/INDEX('Financials 財務數據'!$D$5:$D$21,MATCH("Total Equity",'Financials 財務數據'!$B$5:$B$21,0)))</f>
        <v>-1.503265205266688</v>
      </c>
      <c r="D11" s="2" t="inlineStr">
        <is>
          <t>年內溢利 ÷ 總權益</t>
        </is>
      </c>
    </row>
    <row r="13">
      <c r="A13" s="2" t="inlineStr">
        <is>
          <t>顯示 "n/a" 表示該科目未在文件中成功擷取,需人手補入。</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sheetData>
    <row r="1">
      <c r="A1" s="1" t="inlineStr">
        <is>
          <t>本年 vs 上年 — 主要科目比較</t>
        </is>
      </c>
    </row>
    <row r="2">
      <c r="A2" s="2" t="inlineStr">
        <is>
          <t>港交所主板及 GEM 自 2024 年起均無強制季度報告,故以年度 / 中期數據作趨勢比較較符合披露實況。</t>
        </is>
      </c>
    </row>
    <row r="4">
      <c r="A4" s="19" t="inlineStr">
        <is>
          <t>Item</t>
        </is>
      </c>
      <c r="B4" s="19" t="inlineStr">
        <is>
          <t>Prior</t>
        </is>
      </c>
      <c r="C4" s="19" t="inlineStr">
        <is>
          <t>Current</t>
        </is>
      </c>
    </row>
    <row r="5">
      <c r="A5" s="4" t="inlineStr">
        <is>
          <t>Revenue</t>
        </is>
      </c>
      <c r="B5" s="20" t="n">
        <v>122303</v>
      </c>
      <c r="C5" s="20" t="n">
        <v>110174</v>
      </c>
    </row>
    <row r="6">
      <c r="A6" s="4" t="inlineStr">
        <is>
          <t>Gross Profit</t>
        </is>
      </c>
      <c r="B6" s="20" t="n">
        <v>33087</v>
      </c>
      <c r="C6" s="20" t="n">
        <v>28147</v>
      </c>
    </row>
    <row r="7">
      <c r="A7" s="4" t="inlineStr">
        <is>
          <t>Profit Before Tax</t>
        </is>
      </c>
      <c r="B7" s="20" t="n">
        <v>-61147</v>
      </c>
      <c r="C7" s="20" t="n">
        <v>-101087</v>
      </c>
    </row>
    <row r="8">
      <c r="A8" s="4" t="inlineStr">
        <is>
          <t>Profit for the Year</t>
        </is>
      </c>
      <c r="B8" s="20" t="n">
        <v>-85172</v>
      </c>
      <c r="C8" s="20" t="n">
        <v>49929</v>
      </c>
    </row>
    <row r="9">
      <c r="A9" s="4" t="inlineStr">
        <is>
          <t>Total Equity</t>
        </is>
      </c>
      <c r="B9" s="20" t="n">
        <v>56658</v>
      </c>
      <c r="C9" s="20" t="n">
        <v>93765</v>
      </c>
    </row>
  </sheetData>
  <pageMargins left="0.75" right="0.75" top="1" bottom="1" header="0.5" footer="0.5"/>
  <drawing xmlns:r="http://schemas.openxmlformats.org/officeDocument/2006/relationships" r:id="rId1"/>
</worksheet>
</file>

<file path=xl/worksheets/sheet6.xml><?xml version="1.0" encoding="utf-8"?>
<worksheet xmlns="http://schemas.openxmlformats.org/spreadsheetml/2006/main">
  <sheetPr>
    <outlinePr summaryBelow="1" summaryRight="1"/>
    <pageSetUpPr/>
  </sheetPr>
  <dimension ref="A1:F165"/>
  <sheetViews>
    <sheetView workbookViewId="0">
      <pane ySplit="3" topLeftCell="A4" activePane="bottomLeft" state="frozen"/>
      <selection pane="bottomLeft" activeCell="A1" sqref="A1"/>
    </sheetView>
  </sheetViews>
  <sheetFormatPr baseColWidth="8" defaultRowHeight="15"/>
  <cols>
    <col width="28" customWidth="1" min="1" max="1"/>
    <col width="20" customWidth="1" min="2" max="2"/>
    <col width="10" customWidth="1" min="3" max="3"/>
    <col width="20" customWidth="1" min="4" max="4"/>
    <col width="20" customWidth="1" min="5" max="5"/>
    <col width="100" customWidth="1" min="6" max="6"/>
  </cols>
  <sheetData>
    <row r="1">
      <c r="A1" s="1" t="inlineStr">
        <is>
          <t>主題式段落擷取 — 供估值師快速定位原文</t>
        </is>
      </c>
    </row>
    <row r="3">
      <c r="A3" s="8" t="inlineStr">
        <is>
          <t>主題 Topic</t>
        </is>
      </c>
      <c r="B3" s="8" t="inlineStr">
        <is>
          <t>中文</t>
        </is>
      </c>
      <c r="C3" s="8" t="inlineStr">
        <is>
          <t>優先</t>
        </is>
      </c>
      <c r="D3" s="8" t="inlineStr">
        <is>
          <t>命中詞</t>
        </is>
      </c>
      <c r="E3" s="8" t="inlineStr">
        <is>
          <t>來源頁</t>
        </is>
      </c>
      <c r="F3" s="8" t="inlineStr">
        <is>
          <t>段落 Snippet</t>
        </is>
      </c>
    </row>
    <row r="4">
      <c r="A4" s="9" t="inlineStr">
        <is>
          <t>Fair Value Measurement</t>
        </is>
      </c>
      <c r="B4" s="9" t="inlineStr">
        <is>
          <t>公允價值計量</t>
        </is>
      </c>
      <c r="C4" s="21" t="inlineStr">
        <is>
          <t>high</t>
        </is>
      </c>
      <c r="D4" s="12" t="inlineStr">
        <is>
          <t>level 2</t>
        </is>
      </c>
      <c r="E4" s="12" t="inlineStr">
        <is>
          <t>PDF p.77 (印刷頁 76)</t>
        </is>
      </c>
      <c r="F4" s="12" t="inlineStr">
        <is>
          <t>bronzing procedures during the production process of the printing 行廣東省《印刷行業揮發性有機化合物排放標 business. We strictly implement the Stage II Level 2 limit requirements 準》 （DB44/815-2010）第二時段二類限值標準， of the Guangdong Province’s “Emission Standard of Volatile Organic (《印刷行業揮發性有機化合物 並按標準建立了利用生物淨化法的VOCs排放 Compounds for Printing Industry” 排放標準 DB44/815-2010》) 專業處理設施。相關設施將收集、處理及排放 and have established a professional VOCs。我們也設置了吸附裝置，以吸收逸散的 treatment facility using biological purification technology for VOCs VOCs。 emission according to the stan</t>
        </is>
      </c>
    </row>
    <row r="5">
      <c r="A5" s="9" t="inlineStr">
        <is>
          <t>Fair Value Measurement</t>
        </is>
      </c>
      <c r="B5" s="9" t="inlineStr">
        <is>
          <t>公允價值計量</t>
        </is>
      </c>
      <c r="C5" s="21" t="inlineStr">
        <is>
          <t>high</t>
        </is>
      </c>
      <c r="D5" s="12" t="inlineStr">
        <is>
          <t>獨立估值師</t>
        </is>
      </c>
      <c r="E5" s="12" t="inlineStr">
        <is>
          <t>PDF p.176 (印刷頁 175)</t>
        </is>
      </c>
      <c r="F5" s="12" t="inlineStr">
        <is>
          <t>ect 物業所有直接成本）計量。 costs attributable to the property. 於初步確認後，投資物業乃按外部 After initial recognition, the investment property is stated at 獨立估值師釐定之公平值列賬。投 its fair value based on valuation by an external independent 資物業公平值變動產生之損益於產 valuer. Gains or losses arising from changes in fair value of 生年度在損益內確認。 the investment property are recognised in profit or loss for the period in which they arise. 出售投資物業之損益乃出售所得款 The gain or loss on disposal of an investment property is 項淨額與該物業之賬面值兩者之差 the difference between the net sales proceeds and t</t>
        </is>
      </c>
    </row>
    <row r="6">
      <c r="A6" s="9" t="inlineStr">
        <is>
          <t>Fair Value Measurement</t>
        </is>
      </c>
      <c r="B6" s="9" t="inlineStr">
        <is>
          <t>公允價值計量</t>
        </is>
      </c>
      <c r="C6" s="21" t="inlineStr">
        <is>
          <t>high</t>
        </is>
      </c>
      <c r="D6" s="12" t="inlineStr">
        <is>
          <t>independent valuer</t>
        </is>
      </c>
      <c r="E6" s="12" t="inlineStr">
        <is>
          <t>PDF p.178 (印刷頁 177)</t>
        </is>
      </c>
      <c r="F6" s="12" t="inlineStr">
        <is>
          <t>ng expenses, or by estimates 當時市況或參考獨立估值師之估值 based on prevailing market condition or reference to a 報告作出估計。 valuation report from an independent valuer. 存貨 (i) Inventories (i) 存貨按成本與可變現淨值兩者之較 Inventories are stated at the lower of cost and net realisable 低者入賬。成本以加權平均法計算。 value. Cost is determined using the weighted average 製成品及在製品的成本包括原材料、 basis. The cost of finished goods and work in progress 直接工資及按適當比例計算之所有 comprises raw materials, direct labour and an appropriate 間接生產支出，以及（如適用）分包 proportion of all production overhead expendi</t>
        </is>
      </c>
    </row>
    <row r="7">
      <c r="A7" s="9" t="inlineStr">
        <is>
          <t>Fair Value Measurement</t>
        </is>
      </c>
      <c r="B7" s="9" t="inlineStr">
        <is>
          <t>公允價值計量</t>
        </is>
      </c>
      <c r="C7" s="21" t="inlineStr">
        <is>
          <t>high</t>
        </is>
      </c>
      <c r="D7" s="12" t="inlineStr">
        <is>
          <t>level 1</t>
        </is>
      </c>
      <c r="E7" s="12" t="inlineStr">
        <is>
          <t>PDF p.210 (印刷頁 209)</t>
        </is>
      </c>
      <c r="F7" s="12" t="inlineStr">
        <is>
          <t>ent hierarchy: 於活躍市場有關同類資產或負債之 — Quoted prices (unadjusted) in active markets for identical — 報價（未經調整） （第一等級） assets or liabilities (Level 1) 基於對公平值計量而言屬重大的可 — Valuation techniques for which the lowest level input that — 觀察（直接或間接）最低等級輸入數 is significant to the fair value measurement is observable, 據的估值方法（第二等級） either directly or indirectly (Level 2) 基於對公平值計量而言屬重大的不 — Valuation techniques for which the lowest level input that — 可觀察最低等級輸入數據的估值方 is significant to the fair value measurement is unobservable 法（第三等級） (Level 3) 有關按公平值計量</t>
        </is>
      </c>
    </row>
    <row r="8">
      <c r="A8" s="9" t="inlineStr">
        <is>
          <t>Fair Value Measurement</t>
        </is>
      </c>
      <c r="B8" s="9" t="inlineStr">
        <is>
          <t>公允價值計量</t>
        </is>
      </c>
      <c r="C8" s="21" t="inlineStr">
        <is>
          <t>high</t>
        </is>
      </c>
      <c r="D8" s="12" t="inlineStr">
        <is>
          <t>fair value hierarchy</t>
        </is>
      </c>
      <c r="E8" s="12" t="inlineStr">
        <is>
          <t>PDF p.233 (印刷頁 232)</t>
        </is>
      </c>
      <c r="F8" s="12" t="inlineStr">
        <is>
          <t>押， to secure bank facilities and the other borrowings granted to the 以取得授予本集團的銀行融資及其他借款 Group, respectively (note 32). （附註32）。 公平值層級 Fair value hierarchy 本集團投資物業之公平值計量層級為第三 The fair value measurement hierarchy of the Group’s investment 級。 properties was Level 3. 本集團之政策為於導致轉撥之事件或情況 The Group’s policy is to recognise transfers into and transfers out 改變發生當日確認撥入及撥出公平值等級。 of fair value hierarchy levels as of the date of the event or change in circumstances that caused the transfer. 於本年內，第一級與第二級之間並無任何 During the year, there were no t</t>
        </is>
      </c>
    </row>
    <row r="9">
      <c r="A9" s="9" t="inlineStr">
        <is>
          <t>Fair Value Measurement</t>
        </is>
      </c>
      <c r="B9" s="9" t="inlineStr">
        <is>
          <t>公允價值計量</t>
        </is>
      </c>
      <c r="C9" s="21" t="inlineStr">
        <is>
          <t>high</t>
        </is>
      </c>
      <c r="D9" s="12" t="inlineStr">
        <is>
          <t>valuation technique</t>
        </is>
      </c>
      <c r="E9" s="12" t="inlineStr">
        <is>
          <t>PDF p.234 (印刷頁 233)</t>
        </is>
      </c>
      <c r="F9" s="12" t="inlineStr">
        <is>
          <t>ompared — 評估物業估值之變動；及 to the prior period valuation reports; and 與獨立估值師進行討論。 — holds discussions with the independent valuer. — 估值方法 Valuation techniques 香港及中國大陸的落成商業物業之公平值 The fair values of completed commercial properties in Hong 通常採用收入資本化法釐定。收入資本化 Kong and Mainland China are generally derived using the income 法乃採用合適的資本轉化比率將收入淨額 capitalisation method. The income capitalisation method is 及租約期滿後之潛在收入資本化，而合適 based on capitalisation of the net income and the reversionary 的資本轉化比率乃以出售交易之分析及估 income potential by adopting appropriate</t>
        </is>
      </c>
    </row>
    <row r="10">
      <c r="A10" s="9" t="inlineStr">
        <is>
          <t>Fair Value Measurement</t>
        </is>
      </c>
      <c r="B10" s="9" t="inlineStr">
        <is>
          <t>公允價值計量</t>
        </is>
      </c>
      <c r="C10" s="21" t="inlineStr">
        <is>
          <t>high</t>
        </is>
      </c>
      <c r="D10" s="12" t="inlineStr">
        <is>
          <t>unobservable input</t>
        </is>
      </c>
      <c r="E10" s="12" t="inlineStr">
        <is>
          <t>PDF p.235 (印刷頁 234)</t>
        </is>
      </c>
      <c r="F10" s="12" t="inlineStr">
        <is>
          <t>務報表附註 For the year ended 31 March 2026 截至二零二六年三月三十一日止年度 投資物業（續） 20. INVESTMENT PROPERTIES (Continued) 20. 用以釐定公平值之重大不可觀察 Significant unobservable inputs used to 輸入數據 determine fair value Significant Range or Valuation unobservable Fair value as at weighted Sensitivity of fair value techniques inputs 31 March average to the inputs 重大不可觀察 範圍或 估值方法 輸入數據 截至三月三十一日的公平值 加權平均 公平值對輸入數據的敏感度 2026 2025 2026 2025 HK$’000 HK$’000 千港元 千港元 Commercial properties Income Capitalisation rate 117,000 178,100 3.70% to 3.20% to 10 basis points (2025:</t>
        </is>
      </c>
    </row>
    <row r="11">
      <c r="A11" s="9" t="inlineStr">
        <is>
          <t>Fair Value Measurement</t>
        </is>
      </c>
      <c r="B11" s="9" t="inlineStr">
        <is>
          <t>公允價值計量</t>
        </is>
      </c>
      <c r="C11" s="21" t="inlineStr">
        <is>
          <t>high</t>
        </is>
      </c>
      <c r="D11" s="12" t="inlineStr">
        <is>
          <t>unobservable input</t>
        </is>
      </c>
      <c r="E11" s="12" t="inlineStr">
        <is>
          <t>PDF p.236 (印刷頁 235)</t>
        </is>
      </c>
      <c r="F11" s="12" t="inlineStr">
        <is>
          <t>務報表附註 For the year ended 31 March 2026 截至二零二六年三月三十一日止年度 投資物業（續） 20. INVESTMENT PROPERTIES (Continued) 20. 用以釐定公平值之重大不可觀察 Significant unobservable inputs used to 輸入數據（續） determine fair value (Continued) Significant Range or Valuation unobservable Fair value as at weighted Sensitivity of fair value techniques inputs 31 March average to the inputs 重大不可觀察 範圍或 估值方法 輸入數據 截至三月三十一日的公平值 加權平均 公平值對輸入數據的敏感度 2026 2025 2026 2025 HK$’000 HK$’000 千港元 千港元 Commercial properties Income Capitalisation rate 39,655 53,500 7.15% 6.00% 10 basis points</t>
        </is>
      </c>
    </row>
    <row r="12">
      <c r="A12" s="9" t="inlineStr">
        <is>
          <t>Fair Value Measurement</t>
        </is>
      </c>
      <c r="B12" s="9" t="inlineStr">
        <is>
          <t>公允價值計量</t>
        </is>
      </c>
      <c r="C12" s="21" t="inlineStr">
        <is>
          <t>high</t>
        </is>
      </c>
      <c r="D12" s="12" t="inlineStr">
        <is>
          <t>level 1</t>
        </is>
      </c>
      <c r="E12" s="12" t="inlineStr">
        <is>
          <t>PDF p.239 (印刷頁 238)</t>
        </is>
      </c>
      <c r="F12" s="12" t="inlineStr">
        <is>
          <t>t of recoverable amount in impairment tests is determined as quoted prices (unadjusted) in active markets for Polkadot and Filecoin (Level 1). 於二零二六年三月三十一日，本集團分別 As at 31 March 2026, the Group carried out impairment tests for 就Polkadot及Filecoin進行減值測試。根據 Polkadot and Filecoin, respectively. Based on these impairment 該等減值測試，Polkadot及Filecoin的可收 tests, the recoverable amounts of Polkadot and Filecoin was 回金額低於其賬面值，因此本集團於截至 lower than their carrying amounts, therefore an impairment loss 二零二六年三月三十一日止年度在損益中 of approximately HK$295,00</t>
        </is>
      </c>
    </row>
    <row r="13">
      <c r="A13" s="9" t="inlineStr">
        <is>
          <t>Impairment Testing</t>
        </is>
      </c>
      <c r="B13" s="9" t="inlineStr">
        <is>
          <t>減值測試</t>
        </is>
      </c>
      <c r="C13" s="21" t="inlineStr">
        <is>
          <t>high</t>
        </is>
      </c>
      <c r="D13" s="12" t="inlineStr">
        <is>
          <t>impairment loss</t>
        </is>
      </c>
      <c r="E13" s="12" t="inlineStr">
        <is>
          <t>PDF p.20 (印刷頁 19)</t>
        </is>
      </c>
      <c r="F13" s="12" t="inlineStr">
        <is>
          <t>tely HK$2 million (2025: HK$2 million) was recorded for the 三月三十一日無形資產減值約30萬港元（二零 year under review, which was mainly affected by an impairment loss of 二五年：40萬港元）所影響。 intangible assets as at 31 March 2026 of approximately HK$0.3 million (2025: HK$0.4 million). 本集團透過採用最佳風險回報平衡投資策略， The Group remains cautious in monitoring the investment portfolio’s 繼續謹慎監察投資組合的潛在價格風險及信貸 underlying price risk and credit risk by adopting an optimal risk-return 風險。香港作為大灣區內全球領先的金融中心， balance investment strategy. In order to capture opportunities in t</t>
        </is>
      </c>
    </row>
    <row r="14">
      <c r="A14" s="9" t="inlineStr">
        <is>
          <t>Impairment Testing</t>
        </is>
      </c>
      <c r="B14" s="9" t="inlineStr">
        <is>
          <t>減值測試</t>
        </is>
      </c>
      <c r="C14" s="21" t="inlineStr">
        <is>
          <t>high</t>
        </is>
      </c>
      <c r="D14" s="12" t="inlineStr">
        <is>
          <t>可收回金額</t>
        </is>
      </c>
      <c r="E14" s="12" t="inlineStr">
        <is>
          <t>PDF p.169 (印刷頁 168)</t>
        </is>
      </c>
      <c r="F14" s="12" t="inlineStr">
        <is>
          <t>Group be unable to continue in business as a going 務，則需要作出調整以將本集團資產之賬 concern, adjustments would have to be made to write down 面值撇減至其可收回金額，並就任何可能 the carrying amounts of the Group’s assets to their recoverable 產生的進一步負債計提撥備，並將非流動 amounts, to provide for any further liabilities that may arise and 資產及非流動負債分別重新分類為流動資 to reclassify non-current assets and non-current liabilities as 產及流動負債。該等調整之影響並未於該 current assets and current liabilities respectively. The effects of 等綜合財務報表內反映。 these adjustments have not been reflected in these cons</t>
        </is>
      </c>
    </row>
    <row r="15">
      <c r="A15" s="9" t="inlineStr">
        <is>
          <t>Impairment Testing</t>
        </is>
      </c>
      <c r="B15" s="9" t="inlineStr">
        <is>
          <t>減值測試</t>
        </is>
      </c>
      <c r="C15" s="21" t="inlineStr">
        <is>
          <t>high</t>
        </is>
      </c>
      <c r="D15" s="12" t="inlineStr">
        <is>
          <t>impairment loss</t>
        </is>
      </c>
      <c r="E15" s="12" t="inlineStr">
        <is>
          <t>PDF p.175 (印刷頁 174)</t>
        </is>
      </c>
      <c r="F15" s="12" t="inlineStr">
        <is>
          <t>staff 宿舍。物業、廠房及設備乃按成本 dormitories. Property, plant and equipment are stated at 減累計折舊及減值虧損列賬。 cost less accumulated depreciation and impairment losses. 倘與該項目有關之日後經濟利益有 Subsequent costs are included in the asset’s carrying 可能流入本集團，及該項目成本能 amount or recognised as a separate asset, as appropriate, 可靠計量時，則其後成本可計入資 only when it is probable that future economic benefits 產賬面值或確認為個別資產（如適 associated with the item will flow to the Group and the cost 用）。所有其他維修及保養於其產生 of the item can be measured reliably. All other repairs and 期間在損益確認。 mai</t>
        </is>
      </c>
    </row>
    <row r="16">
      <c r="A16" s="9" t="inlineStr">
        <is>
          <t>Impairment Testing</t>
        </is>
      </c>
      <c r="B16" s="9" t="inlineStr">
        <is>
          <t>減值測試</t>
        </is>
      </c>
      <c r="C16" s="21" t="inlineStr">
        <is>
          <t>high</t>
        </is>
      </c>
      <c r="D16" s="12" t="inlineStr">
        <is>
          <t>impairment loss</t>
        </is>
      </c>
      <c r="E16" s="12" t="inlineStr">
        <is>
          <t>PDF p.176 (印刷頁 175)</t>
        </is>
      </c>
      <c r="F16" s="12" t="inlineStr">
        <is>
          <t>lable for use by the Group. Right-of-use assets 值虧損列賬。使用權資產折舊乃按 are stated at cost less accumulated depreciation and 資產可使用年期與租賃期兩者中之 impairment losses. Depreciation of right-of-use assets is 較短者以直線法按撇銷其成本的利 calculated at rates to write off their cost over the shorter of 率計算。使用權資產的主要使用年 the asset’s useful life and the lease term on a straight-line 期或租期如下： basis. The principal useful life or the lease term of right-ofuse assets are as follows: 租賃土地 50年 Leasehold land 50 years 樓宇 2至6年 Buildings 2 to 6 years 汽車 3至5年 Motor vehicle</t>
        </is>
      </c>
    </row>
    <row r="17">
      <c r="A17" s="9" t="inlineStr">
        <is>
          <t>Impairment Testing</t>
        </is>
      </c>
      <c r="B17" s="9" t="inlineStr">
        <is>
          <t>減值測試</t>
        </is>
      </c>
      <c r="C17" s="21" t="inlineStr">
        <is>
          <t>high</t>
        </is>
      </c>
      <c r="D17" s="12" t="inlineStr">
        <is>
          <t>減值測試</t>
        </is>
      </c>
      <c r="E17" s="12" t="inlineStr">
        <is>
          <t>PDF p.178 (印刷頁 177)</t>
        </is>
      </c>
      <c r="F17" s="12" t="inlineStr">
        <is>
          <t>ization and are tested annually for impairment, 試，或在事件或情況變化顯示其可 or more frequently if events or changes in circumstances 能出現減值時進行更頻密的減值測試。 indicate that they might be impaired. 已完工待售物業 (h) Completed properties held for sale (h) 持作待售物業按成本值及可變現淨 Properties held for sale are stated at the lower of cost and 值之較低者入賬。物業成本包括收 net realisable value. Costs of properties include acquisition 購成本、預付土地租賃款項、建築 costs, prepaid land lease payments, construction costs, 成本、撥充資本之借款成本及有關 borrowing costs capitalised and other direct costs 物業應佔之其他直接成本</t>
        </is>
      </c>
    </row>
    <row r="18">
      <c r="A18" s="9" t="inlineStr">
        <is>
          <t>Impairment Testing</t>
        </is>
      </c>
      <c r="B18" s="9" t="inlineStr">
        <is>
          <t>減值測試</t>
        </is>
      </c>
      <c r="C18" s="21" t="inlineStr">
        <is>
          <t>high</t>
        </is>
      </c>
      <c r="D18" s="12" t="inlineStr">
        <is>
          <t>impairment test</t>
        </is>
      </c>
      <c r="E18" s="12" t="inlineStr">
        <is>
          <t>PDF p.190 (印刷頁 189)</t>
        </is>
      </c>
      <c r="F18" s="12" t="inlineStr">
        <is>
          <t>t, or more frequently if events or changes in 出現減值時進行更頻密的減值測 circumstances indicate that they might be impaired. The 試。加密貨幣的減值測試分別針對 impairment tests for cryptocurrencies are carried out for Polkadot和Filecoin單獨進行。出現 Polkadot and Filecoin, separately. Cryptocurrencies that 減值的加密貨幣會在每個報告期末 suffered an impairment are reviewed for possible reversal 審閱減值撥回的可能性。因減值虧 of the impairment at the end of each reporting period. The 損撥回而增加的加密貨幣賬面值（在 increased carrying amount of cryptocurrencies attributable 損益中確認）將不會超過在過往會計 to a reversal of a</t>
        </is>
      </c>
    </row>
    <row r="19">
      <c r="A19" s="9" t="inlineStr">
        <is>
          <t>Impairment Testing</t>
        </is>
      </c>
      <c r="B19" s="9" t="inlineStr">
        <is>
          <t>減值測試</t>
        </is>
      </c>
      <c r="C19" s="21" t="inlineStr">
        <is>
          <t>high</t>
        </is>
      </c>
      <c r="D19" s="12" t="inlineStr">
        <is>
          <t>impairment loss</t>
        </is>
      </c>
      <c r="E19" s="12" t="inlineStr">
        <is>
          <t>PDF p.191 (印刷頁 190)</t>
        </is>
      </c>
      <c r="F19" s="12" t="inlineStr">
        <is>
          <t>ies and receivables to 惟投資物業、存貨及應收款項除外。 determine whether there is any indication that those assets 倘若出現任何該等跡象，則估計資 have suffered an impairment loss. If any such indication exists, 產之可收回金額，以釐定任何減值 the recoverable amount of the asset is estimated in order to 虧損。倘若未能估計個別資產之可 determine the extent of any impairment loss. Where it is not 收回金額，則本集團估計資產所屬 possible to estimate the recoverable amount of an individual 現金產生單位之可收回金額。 asset, the Group estimates the recoverable amount of the cash generating unit to which the asset belongs. 可</t>
        </is>
      </c>
    </row>
    <row r="20">
      <c r="A20" s="9" t="inlineStr">
        <is>
          <t>Impairment Testing</t>
        </is>
      </c>
      <c r="B20" s="9" t="inlineStr">
        <is>
          <t>減值測試</t>
        </is>
      </c>
      <c r="C20" s="21" t="inlineStr">
        <is>
          <t>high</t>
        </is>
      </c>
      <c r="D20" s="12" t="inlineStr">
        <is>
          <t>fair value less costs</t>
        </is>
      </c>
      <c r="E20" s="12" t="inlineStr">
        <is>
          <t>PDF p.192 (印刷頁 191)</t>
        </is>
      </c>
      <c r="F20" s="12" t="inlineStr">
        <is>
          <t>loss of the discontinued — operation; and 就構成已終止業務之資產或出 — The post-tax gain or loss recognised on the — 售組別，於按公平值調整減去 measurement to fair value less costs to sell, or on the 銷售成本進行衡量時，或於出 disposal, of the assets or disposal group constituting 售該等資產或出售組別時，所 the discontinued operation. 確認之稅後損益。 ANNUAL REPORT 2026 • 191 二零二六年年報</t>
        </is>
      </c>
    </row>
    <row r="21">
      <c r="A21" s="9" t="inlineStr">
        <is>
          <t>Impairment Testing</t>
        </is>
      </c>
      <c r="B21" s="9" t="inlineStr">
        <is>
          <t>減值測試</t>
        </is>
      </c>
      <c r="C21" s="21" t="inlineStr">
        <is>
          <t>high</t>
        </is>
      </c>
      <c r="D21" s="12" t="inlineStr">
        <is>
          <t>impairment test</t>
        </is>
      </c>
      <c r="E21" s="12" t="inlineStr">
        <is>
          <t>PDF p.195 (印刷頁 194)</t>
        </is>
      </c>
      <c r="F21" s="12" t="inlineStr">
        <is>
          <t>counted for under the cost model. 如附註22所披露，在釐定用於減值測試 As disclosed in note 22, in determining fair values used for 的公平值時，管理層需要運用判斷來識別 impairment tests, management needs to apply judgment 相關可用的加密貨幣買賣市場，並考慮該 to identify the relevant available markets for trading of 等市場的可及性及內部活動，以識別主要 cryptocurrencies, and to consider accessibility to and 加密貨幣市場，從而確定各自的公允市值。 activity within those markets in order to identify the principal cryptocurrency markets to ascertain the respective fair market values. 估計不確定性的主要來源 Key sources of estimation un</t>
        </is>
      </c>
    </row>
    <row r="22">
      <c r="A22" s="9" t="inlineStr">
        <is>
          <t>Impairment Testing</t>
        </is>
      </c>
      <c r="B22" s="9" t="inlineStr">
        <is>
          <t>減值測試</t>
        </is>
      </c>
      <c r="C22" s="21" t="inlineStr">
        <is>
          <t>high</t>
        </is>
      </c>
      <c r="D22" s="12" t="inlineStr">
        <is>
          <t>recoverable amount</t>
        </is>
      </c>
      <c r="E22" s="12" t="inlineStr">
        <is>
          <t>PDF p.196 (印刷頁 195)</t>
        </is>
      </c>
      <c r="F22" s="12" t="inlineStr">
        <is>
          <t>d right-of-use assets belonging 行減值檢討，根據其公平值減出售成本及 to the CGU of the Group’s printing business and determined the 使用價值（以較高者為準）釐定印刷業務 recoverable amount of the printing business CGU based on the 的現金產生單位的可收回金額。 higher of its fair value less costs of disposal and value in use. 使用價值乃使用根據管理層批准之涵蓋五 The value-in-use calculation uses cash flow projections based 年期（二零二五年：五年期）的詳細財務 on the detailed financial budgets approved by management 預算的現金流預測計算。現金產生單位五 covering a 5-year period (2025: 5-year period). The CGU’s cash 年期後的現金流按增長率2%（二零二五</t>
        </is>
      </c>
    </row>
    <row r="23">
      <c r="A23" s="9" t="inlineStr">
        <is>
          <t>Impairment Testing</t>
        </is>
      </c>
      <c r="B23" s="9" t="inlineStr">
        <is>
          <t>減值測試</t>
        </is>
      </c>
      <c r="C23" s="21" t="inlineStr">
        <is>
          <t>high</t>
        </is>
      </c>
      <c r="D23" s="12" t="inlineStr">
        <is>
          <t>impairment loss</t>
        </is>
      </c>
      <c r="E23" s="12" t="inlineStr">
        <is>
          <t>PDF p.197 (印刷頁 196)</t>
        </is>
      </c>
      <c r="F23" s="12" t="inlineStr">
        <is>
          <t>HK$2,227,000 9,479,000港元及2,344,000港元），並於 respectively (2025: HK$9,479,000 and HK$2,344,000 損益中分別確認減值虧損2,302,000港元 respectively) with impairment losses of HK$2,302,000 and nil 及零（二零二五年：零）。各類別物業、廠 recognised in profit or loss respectively (2025: nil). The carrying 房及設備及使用權資產的賬面值不得降至 amount of each category of property, plant and equipment and 低於其公平值減出售成本、使用價值及零 right-of-use assets is not reduced below the highest of its fair 三者中的最高者。 value less cost of disposal, its value in use and zero. 應收款項的減值 Impairment of receivables 應收款項的虧損</t>
        </is>
      </c>
    </row>
    <row r="24">
      <c r="A24" s="9" t="inlineStr">
        <is>
          <t>Impairment Testing</t>
        </is>
      </c>
      <c r="B24" s="9" t="inlineStr">
        <is>
          <t>減值測試</t>
        </is>
      </c>
      <c r="C24" s="21" t="inlineStr">
        <is>
          <t>high</t>
        </is>
      </c>
      <c r="D24" s="12" t="inlineStr">
        <is>
          <t>impairment loss</t>
        </is>
      </c>
      <c r="E24" s="12" t="inlineStr">
        <is>
          <t>PDF p.203 (印刷頁 202)</t>
        </is>
      </c>
      <c r="F24" s="12" t="inlineStr">
        <is>
          <t>分之減值虧 recoverable amount of each individual trade debt at the end of 損撥備。就此而言，董事認為本集團之信 the reporting period to ensure that adequate impairment losses 貸風險已大幅降低，而應收賬款因涉及眾 are made for irrecoverable amounts. In this regard, the directors 多廣泛分佈於不同地域之客戶，亦無過度 considered that the Group’s credit risk is significantly reduced 集中之風險。 and there is no significant concentration of risk on the accounts receivable which consist of a large number of customers, spreading across diverse geographical areas. 最高風險及年末階段 Maximum exposure and year-en</t>
        </is>
      </c>
    </row>
    <row r="25">
      <c r="A25" s="9" t="inlineStr">
        <is>
          <t>Impairment Testing</t>
        </is>
      </c>
      <c r="B25" s="9" t="inlineStr">
        <is>
          <t>減值測試</t>
        </is>
      </c>
      <c r="C25" s="21" t="inlineStr">
        <is>
          <t>high</t>
        </is>
      </c>
      <c r="D25" s="12" t="inlineStr">
        <is>
          <t>impairment loss</t>
        </is>
      </c>
      <c r="E25" s="12" t="inlineStr">
        <is>
          <t>PDF p.231 (印刷頁 230)</t>
        </is>
      </c>
      <c r="F25" s="12" t="inlineStr">
        <is>
          <t>change rates – – – 1 7 8 於二零二六年三月三十一日 At 31 March 2026 31,832 252 36,865 11,576 1,389 81,914 累積折舊及減值虧損： Accumulated depreciation and impairment losses: 於二零二四年四月一日 At 1 April 2024 24,909 10 32,581 11,398 2,312 71,210 本年度支出 Charge for the year 1,277 51 1,082 90 – 2,500 出售╱撇銷 Disposals/written off (364) – (69) (118) (783) (1,334) 匯率變動 Change in exchange rates – – – – (1) (1) 於二零二五年三月三十一日 At 31 March 2025 and 1 April 2025 及二零二五年四月一日 25,822 61 33,594 11,370 1,528 72,375 本年度支出 Charge for the year 1,182 51 1,092 90 – 2,415 減值虧損 Impair</t>
        </is>
      </c>
    </row>
    <row r="26">
      <c r="A26" s="9" t="inlineStr">
        <is>
          <t>Impairment Testing</t>
        </is>
      </c>
      <c r="B26" s="9" t="inlineStr">
        <is>
          <t>減值測試</t>
        </is>
      </c>
      <c r="C26" s="21" t="inlineStr">
        <is>
          <t>high</t>
        </is>
      </c>
      <c r="D26" s="12" t="inlineStr">
        <is>
          <t>CGU</t>
        </is>
      </c>
      <c r="E26" s="12" t="inlineStr">
        <is>
          <t>PDF p.232 (印刷頁 231)</t>
        </is>
      </c>
      <c r="F26" s="12" t="inlineStr">
        <is>
          <t>mpairment review of the 單位的物業、廠房及設備以及使用權資產 property, plant and equipment and right-of-use assets belonging 進行減值檢討。減值評估的詳情於附註5 to the CGU of the Group’s printing business. Details of the 披露。 impairment assessment are disclosed in note 5. ANNUAL REPORT 2026 • 231 二零二六年年報</t>
        </is>
      </c>
    </row>
    <row r="27">
      <c r="A27" s="9" t="inlineStr">
        <is>
          <t>Impairment Testing</t>
        </is>
      </c>
      <c r="B27" s="9" t="inlineStr">
        <is>
          <t>減值測試</t>
        </is>
      </c>
      <c r="C27" s="21" t="inlineStr">
        <is>
          <t>high</t>
        </is>
      </c>
      <c r="D27" s="12" t="inlineStr">
        <is>
          <t>impairment test</t>
        </is>
      </c>
      <c r="E27" s="12" t="inlineStr">
        <is>
          <t>PDF p.238 (印刷頁 237)</t>
        </is>
      </c>
      <c r="F27" s="12" t="inlineStr">
        <is>
          <t>年三月三十一日 At 31 March 2026 650 賬面淨值： Net carrying amount: 於二零二六年三月三十一日 At 31 March 2026 131 於二零二五年三月三十一日 At 31 March 2025 424 加密貨幣減值測試 Impairment tests for cryptocurrencies 本集團所購買及持有的加密貨幣已根據各 Cryptocurrencies purchased and held by the Group have been 加密貨幣類別進行減值測試評估。本集團 assessed based on each type of cryptocurrencies for impairment 透過比較加密貨幣的可收回金額與其賬面 testing. The Group carries out their impairment testing by 值進行減值測試。當可收回金額低於賬面 comparing the recoverable amounts of cryptocurrencies to their 值時，將確認減值虧損，而即使可收回金 carrying amounts. An im</t>
        </is>
      </c>
    </row>
    <row r="28">
      <c r="A28" s="9" t="inlineStr">
        <is>
          <t>Impairment Testing</t>
        </is>
      </c>
      <c r="B28" s="9" t="inlineStr">
        <is>
          <t>減值測試</t>
        </is>
      </c>
      <c r="C28" s="21" t="inlineStr">
        <is>
          <t>high</t>
        </is>
      </c>
      <c r="D28" s="12" t="inlineStr">
        <is>
          <t>impairment test</t>
        </is>
      </c>
      <c r="E28" s="12" t="inlineStr">
        <is>
          <t>PDF p.239 (印刷頁 238)</t>
        </is>
      </c>
      <c r="F28" s="12" t="inlineStr">
        <is>
          <t>cial Statements 綜合財務報表附註 For the year ended 31 March 2026 截至二零二六年三月三十一日止年度 無形資產（續） 22. INTANGIBLE ASSETS (Continued) 22. 加密貨幣減值測試（續） Impairment tests for cryptocurrencies (Continued) 本集團的加密貨幣成本列示如下： The cost of cryptocurrencies of the Group are presented below: 2026 2025 HK$’000 HK$’000 千港元 千港元 Polkadot Polkadot 75 239 Filecoin Filecoin 56 185 131 424 各類加密貨幣的可收回金額根據公平值減 The recoverable amount of each type of cryptocurrencies 出售成本釐定。在釐定公平值時，本集團 are determined based on fair value less costs of disposal. In 會識別相關的可用市場，並考慮該等市場 dete</t>
        </is>
      </c>
    </row>
    <row r="29">
      <c r="A29" s="9" t="inlineStr">
        <is>
          <t>Impairment Testing</t>
        </is>
      </c>
      <c r="B29" s="9" t="inlineStr">
        <is>
          <t>減值測試</t>
        </is>
      </c>
      <c r="C29" s="21" t="inlineStr">
        <is>
          <t>high</t>
        </is>
      </c>
      <c r="D29" s="12" t="inlineStr">
        <is>
          <t>recoverable amount</t>
        </is>
      </c>
      <c r="E29" s="12" t="inlineStr">
        <is>
          <t>PDF p.240 (印刷頁 239)</t>
        </is>
      </c>
      <c r="F29" s="12" t="inlineStr">
        <is>
          <t>減約 down of approximately HK$1,761,000 was recognised for the year then 1,761,000港元，此乃由於相關資產的可收回 ended because of the decrease in the recoverable amounts of the respective 金額減少所致。於二零二五年及二零二六年三 assets. At 31 March 2025 and 2026, the Group performed impairment 月三十一日，本集團進行了減值評估，減值撥 assessment and there was no movement for the impairment provision. 備未發生變動。 存貨 24. INVENTORIES 24. 2026 2025 HK$’000 HK$’000 千港元 千港元 原料 Raw materials 2,845 5,529 在製品 Work in progress 1,931 2,607 製成品 Finished goods 1,420 767 6,196 8,903 ANNUAL REPORT 2026</t>
        </is>
      </c>
    </row>
    <row r="30">
      <c r="A30" s="9" t="inlineStr">
        <is>
          <t>Impairment Testing</t>
        </is>
      </c>
      <c r="B30" s="9" t="inlineStr">
        <is>
          <t>減值測試</t>
        </is>
      </c>
      <c r="C30" s="21" t="inlineStr">
        <is>
          <t>high</t>
        </is>
      </c>
      <c r="D30" s="12" t="inlineStr">
        <is>
          <t>impairment loss</t>
        </is>
      </c>
      <c r="E30" s="12" t="inlineStr">
        <is>
          <t>PDF p.242 (印刷頁 241)</t>
        </is>
      </c>
      <c r="F30" s="12" t="inlineStr">
        <is>
          <t>n loss allowance is as follows: 2026 2025 HK$’000 HK$’000 千港元 千港元 於年初 At the beginning of the year 4,190 6,033 減值虧損撥回，淨額 Reversal of impairment loss, net (202) (1,842) 匯兌調整 Exchange realignment 24 (1) 於年終 At the end of the year 4,012 4,190 ANNUAL REPORT 2026 • 241 二零二六年年報</t>
        </is>
      </c>
    </row>
    <row r="31">
      <c r="A31" s="9" t="inlineStr">
        <is>
          <t>Impairment Testing</t>
        </is>
      </c>
      <c r="B31" s="9" t="inlineStr">
        <is>
          <t>減值測試</t>
        </is>
      </c>
      <c r="C31" s="21" t="inlineStr">
        <is>
          <t>high</t>
        </is>
      </c>
      <c r="D31" s="12" t="inlineStr">
        <is>
          <t>impairment loss</t>
        </is>
      </c>
      <c r="E31" s="12" t="inlineStr">
        <is>
          <t>PDF p.243 (印刷頁 242)</t>
        </is>
      </c>
      <c r="F31" s="12" t="inlineStr">
        <is>
          <t>ured as lifetime expected 根據本集團對其他應收款項的評估，截至 credit losses. Based on the Group’s assessment on other 二零二六年三月三十一日止年度，已計提 receivables, impairment losses of approximately HK$133,000 減值虧損約133,000港元（附註10）（二零 was made (note 10) for the year ended 31 March 2026 (2025: 二五年：無）。 nil). 242 Magnus Concordia Group Limited / 融太集團股份有限公司</t>
        </is>
      </c>
    </row>
    <row r="32">
      <c r="A32" s="9" t="inlineStr">
        <is>
          <t>Intangible Assets &amp; Goodwill</t>
        </is>
      </c>
      <c r="B32" s="9" t="inlineStr">
        <is>
          <t>無形資產及商譽</t>
        </is>
      </c>
      <c r="C32" s="21" t="inlineStr">
        <is>
          <t>high</t>
        </is>
      </c>
      <c r="D32" s="12" t="inlineStr">
        <is>
          <t>amortization</t>
        </is>
      </c>
      <c r="E32" s="12" t="inlineStr">
        <is>
          <t>PDF p.8 (印刷頁 7)</t>
        </is>
      </c>
      <c r="F32" s="12" t="inlineStr">
        <is>
          <t>fore interest expense and tax (“LBIT”) (97) (54) 未計利息開支、稅項、折舊及攤銷 Loss before interest expense, tax, depreciation 前虧損（「LBITDA」） and amortization (“LBITDA”) (94) (51) 本公司擁有人年度應佔 Loss for the year attributable to owners 虧損 of the Company (95) (59) 總資產 Total assets 256 609 速動資產1 Quick assets1 80 157 流動負債淨值 Net current liabilities (69) (183) 債務淨額2 Net debt2 95 108 股東資金3 Shareholders’ funds3 94 57 2026 2025 (Restated) （經重列） 已發行股份 Shares in issue 5,779,196,660 5,779,196,660 shares shares 5,779,196,660股5,779,196,660股 每股資產淨值3 Net as</t>
        </is>
      </c>
    </row>
    <row r="33">
      <c r="A33" s="9" t="inlineStr">
        <is>
          <t>Intangible Assets &amp; Goodwill</t>
        </is>
      </c>
      <c r="B33" s="9" t="inlineStr">
        <is>
          <t>無形資產及商譽</t>
        </is>
      </c>
      <c r="C33" s="21" t="inlineStr">
        <is>
          <t>high</t>
        </is>
      </c>
      <c r="D33" s="12" t="inlineStr">
        <is>
          <t>intangible asset</t>
        </is>
      </c>
      <c r="E33" s="12" t="inlineStr">
        <is>
          <t>PDF p.14 (印刷頁 13)</t>
        </is>
      </c>
      <c r="F33" s="12" t="inlineStr">
        <is>
          <t>年：200萬港元）、無形資產減值約30萬港 accounts receivable of approximately HK$0.2 million (2025: HK$2 元（二零二五年：40萬港元）、其他資產撇減約 million), impairment of intangible assets of approximately HK$0.3 million 700萬港元（二零二五年：500萬港元），物業、 (2025: HK$0.4 million), write-down on other assets of approximately 廠房及設備減值約200萬港元（二零二五年︰無） HK$7 million (2025: HK$5 million), impairment of property, plant and 及匯兌損失淨額約600萬港元（二零二五年：匯 equipment of approximately HK$2 million (2025: nil) and net exchange 兌收益淨額約60萬港元）。 loss of approximately HK$6 million (2025: net exchange gai</t>
        </is>
      </c>
    </row>
    <row r="34">
      <c r="A34" s="9" t="inlineStr">
        <is>
          <t>Intangible Assets &amp; Goodwill</t>
        </is>
      </c>
      <c r="B34" s="9" t="inlineStr">
        <is>
          <t>無形資產及商譽</t>
        </is>
      </c>
      <c r="C34" s="21" t="inlineStr">
        <is>
          <t>high</t>
        </is>
      </c>
      <c r="D34" s="12" t="inlineStr">
        <is>
          <t>intangible asset</t>
        </is>
      </c>
      <c r="E34" s="12" t="inlineStr">
        <is>
          <t>PDF p.20 (印刷頁 19)</t>
        </is>
      </c>
      <c r="F34" s="12" t="inlineStr">
        <is>
          <t>ion) was recorded for the 三月三十一日無形資產減值約30萬港元（二零 year under review, which was mainly affected by an impairment loss of 二五年：40萬港元）所影響。 intangible assets as at 31 March 2026 of approximately HK$0.3 million (2025: HK$0.4 million). 本集團透過採用最佳風險回報平衡投資策略， The Group remains cautious in monitoring the investment portfolio’s 繼續謹慎監察投資組合的潛在價格風險及信貸 underlying price risk and credit risk by adopting an optimal risk-return 風險。香港作為大灣區內全球領先的金融中心， balance investment strategy. In order to capture opportunities in the 為把握香港資產管理市場的機遇，本集團正在 Hong Kong</t>
        </is>
      </c>
    </row>
    <row r="35">
      <c r="A35" s="9" t="inlineStr">
        <is>
          <t>Intangible Assets &amp; Goodwill</t>
        </is>
      </c>
      <c r="B35" s="9" t="inlineStr">
        <is>
          <t>無形資產及商譽</t>
        </is>
      </c>
      <c r="C35" s="21" t="inlineStr">
        <is>
          <t>high</t>
        </is>
      </c>
      <c r="D35" s="12" t="inlineStr">
        <is>
          <t>trademark</t>
        </is>
      </c>
      <c r="E35" s="12" t="inlineStr">
        <is>
          <t>PDF p.98 (印刷頁 97)</t>
        </is>
      </c>
      <c r="F35" s="12" t="inlineStr">
        <is>
          <t>complies with the (《中華人民共和 民共和國商標法》等制度，對公開發佈的公眾號 Advertising Law of the People’s Republic of China 國廣告法》), 信息、宣傳材料等用語、圖片等進行嚴格審核， the Trademark Law of the People’s Republic of China (《中華人民共和國商標法》) 防止出現對經營、建築及印刷品的宣傳內容失 and other relevant laws and regulations, 實或存在誤導性的描述，確保消費者知情權和 strictly reviews the terms and pictures of information released in the 選擇權。同時，本集團所有對外形象展示、營 official account and publicity materials, so as to prevent inaccurate or 銷活動等策劃內容均經過內部嚴格審核，確保 misleading descriptions of the business, housing and printing produc</t>
        </is>
      </c>
    </row>
    <row r="36">
      <c r="A36" s="9" t="inlineStr">
        <is>
          <t>Intangible Assets &amp; Goodwill</t>
        </is>
      </c>
      <c r="B36" s="9" t="inlineStr">
        <is>
          <t>無形資產及商譽</t>
        </is>
      </c>
      <c r="C36" s="21" t="inlineStr">
        <is>
          <t>high</t>
        </is>
      </c>
      <c r="D36" s="12" t="inlineStr">
        <is>
          <t>intangible asset</t>
        </is>
      </c>
      <c r="E36" s="12" t="inlineStr">
        <is>
          <t>PDF p.162 (印刷頁 161)</t>
        </is>
      </c>
      <c r="F36" s="12" t="inlineStr">
        <is>
          <t>erty, plant and equipment 18 4,979 9,685 使用權資產 Right-of-use assets 19 2,779 3,632 投資物業 Investment properties 20 156,655 231,600 無形資產 Intangible assets 22 131 424 其他資產 Other assets 23 4,164 11,490 遞延稅項資產 Deferred tax assets 34 975 3,220 非流動資產總值 Total non-current assets 169,683 260,051 流動資產 Current assets 存貨 Inventories 24 6,196 8,903 已完工待售物業 Completed properties for sale 25 – 179,324 應收賬款 Accounts receivable 26 35,163 66,824 預付款項、其他應收賬款 Prepayments, other receivables and 及其他資產 other assets 27 33,261 69,788 受限制銀行結存 Restricted ban</t>
        </is>
      </c>
    </row>
    <row r="37">
      <c r="A37" s="9" t="inlineStr">
        <is>
          <t>Intangible Assets &amp; Goodwill</t>
        </is>
      </c>
      <c r="B37" s="9" t="inlineStr">
        <is>
          <t>無形資產及商譽</t>
        </is>
      </c>
      <c r="C37" s="21" t="inlineStr">
        <is>
          <t>high</t>
        </is>
      </c>
      <c r="D37" s="12" t="inlineStr">
        <is>
          <t>intangible asset</t>
        </is>
      </c>
      <c r="E37" s="12" t="inlineStr">
        <is>
          <t>PDF p.165 (印刷頁 164)</t>
        </is>
      </c>
      <c r="F37" s="12" t="inlineStr">
        <is>
          <t>ersal of impairment)/ impairment of inventories (182) 424 物業存貨減值 Impairment of stock of properties 5,384 15,373 無形資產減值 Impairment of intangible assets 295 351 應收賬款減值撥回 Reversal of impairment of accounts receivable (202) (1,842) 其他資產之撇減 Write-down of other assets 7,326 4,917 其他應收款項之減值 Impairment of other receivables 133 – 物業、廠房及設備之減值 Impairment of property, plant and equipment 2,302 – 出售物業、廠房及設備 Gain on disposal of property, 之收益 plant and equipment – (11) 出售投資物業之虧損 Loss on disposal of investment properties – 7,089 租賃終止之虧損 Loss o</t>
        </is>
      </c>
    </row>
    <row r="38">
      <c r="A38" s="9" t="inlineStr">
        <is>
          <t>Intangible Assets &amp; Goodwill</t>
        </is>
      </c>
      <c r="B38" s="9" t="inlineStr">
        <is>
          <t>無形資產及商譽</t>
        </is>
      </c>
      <c r="C38" s="21" t="inlineStr">
        <is>
          <t>high</t>
        </is>
      </c>
      <c r="D38" s="12" t="inlineStr">
        <is>
          <t>intangible asset</t>
        </is>
      </c>
      <c r="E38" s="12" t="inlineStr">
        <is>
          <t>PDF p.166 (印刷頁 165)</t>
        </is>
      </c>
      <c r="F38" s="12" t="inlineStr">
        <is>
          <t>from disposal 現金流入淨額 of subsidiaries 14 3,743 – 購買物業、廠房及設備 Purchases of property, plant and equipment (11) (758) 購買無形資產 Purchases of intangible assets – (780) 受限制銀行結存增加 Increase in restricted bank balances (562) (3,551) 出售物業、廠房及設備 Proceeds from disposal of property, 之所得款項 plant and equipment – 11 出售投資物業之所得款項 Proceeds from disposal of investment properties – 33,633 已收利息 Interest received 74 392 投資活動所產生現金淨額 Net cash generated from investing activities 3,244 28,947 融資活動所得現金流量 Cash flows from financing activities 新借銀行及其他借款 New bank</t>
        </is>
      </c>
    </row>
    <row r="39">
      <c r="A39" s="9" t="inlineStr">
        <is>
          <t>Intangible Assets &amp; Goodwill</t>
        </is>
      </c>
      <c r="B39" s="9" t="inlineStr">
        <is>
          <t>無形資產及商譽</t>
        </is>
      </c>
      <c r="C39" s="21" t="inlineStr">
        <is>
          <t>high</t>
        </is>
      </c>
      <c r="D39" s="12" t="inlineStr">
        <is>
          <t>goodwill</t>
        </is>
      </c>
      <c r="E39" s="12" t="inlineStr">
        <is>
          <t>PDF p.171 (印刷頁 170)</t>
        </is>
      </c>
      <c r="F39" s="12" t="inlineStr">
        <is>
          <t>that subsidiary and (ii) the 資產淨值加任何有關該附屬公司之 Company’s share of the net assets of that subsidiary plus 餘下商譽以及任何有關累計外幣匯 any remaining goodwill relating to that subsidiary and any 兌儲備兩者之間之差額。 related accumulated foreign currency translation reserve. 集團內公司間之交易、結餘及未變 Intragroup transactions, balances and unrealised profits 現溢利予以對銷。除非交易提供已 are eliminated. Unrealised losses are also eliminated unless 轉讓資產出現減值之憑證，未變現 the transaction provides evidence of an impairment of the 虧損亦予以對銷。附屬公司之會計 asset transferred. Accounting policies of sub</t>
        </is>
      </c>
    </row>
    <row r="40">
      <c r="A40" s="9" t="inlineStr">
        <is>
          <t>Intangible Assets &amp; Goodwill</t>
        </is>
      </c>
      <c r="B40" s="9" t="inlineStr">
        <is>
          <t>無形資產及商譽</t>
        </is>
      </c>
      <c r="C40" s="21" t="inlineStr">
        <is>
          <t>high</t>
        </is>
      </c>
      <c r="D40" s="12" t="inlineStr">
        <is>
          <t>goodwill</t>
        </is>
      </c>
      <c r="E40" s="12" t="inlineStr">
        <is>
          <t>PDF p.172 (印刷頁 171)</t>
        </is>
      </c>
      <c r="F40" s="12" t="inlineStr">
        <is>
          <t>s 可識別資產及負債之公平淨值之差 share of the net fair value of the subsidiary’s identifiable 額乃列作商譽。本公司應佔可識別 assets and liabilities is recorded as goodwill. Any excess 資產及負債之公平淨值超出收購成 of the Company’s share of the net fair value of the 本之差額乃於綜合損益內確認為本 identifiable assets and liabilities over the cost of acquisition 公司應佔議價收購收益。 is recognised in consolidated profit or loss as a gain on bargain purchase which is attributed to the Company. 對於分段進行之業務合併，先前已 In a business combination achieved in stages, the 持有之附屬公司之權益乃按收購日 previously held equity in</t>
        </is>
      </c>
    </row>
    <row r="41">
      <c r="A41" s="9" t="inlineStr">
        <is>
          <t>Intangible Assets &amp; Goodwill</t>
        </is>
      </c>
      <c r="B41" s="9" t="inlineStr">
        <is>
          <t>無形資產及商譽</t>
        </is>
      </c>
      <c r="C41" s="21" t="inlineStr">
        <is>
          <t>high</t>
        </is>
      </c>
      <c r="D41" s="12" t="inlineStr">
        <is>
          <t>goodwill</t>
        </is>
      </c>
      <c r="E41" s="12" t="inlineStr">
        <is>
          <t>PDF p.174 (印刷頁 173)</t>
        </is>
      </c>
      <c r="F41" s="12" t="inlineStr">
        <is>
          <t>ge differences are 虧損之一部分於綜合損益內確 recognised in consolidated profit or loss as part of 認。 the gain or loss on disposal. 收購境外實體所產生之商譽及 Goodwill and fair value adjustments arising on the 公平值調整均列為境外實體之 acquisition of a foreign entity are treated as assets 資產及負債，並於結算日換算。 and liabilities of the foreign entity and translated at the closing rate. ANNUAL REPORT 2026 • 173 二零二六年年報</t>
        </is>
      </c>
    </row>
    <row r="42">
      <c r="A42" s="9" t="inlineStr">
        <is>
          <t>Intangible Assets &amp; Goodwill</t>
        </is>
      </c>
      <c r="B42" s="9" t="inlineStr">
        <is>
          <t>無形資產及商譽</t>
        </is>
      </c>
      <c r="C42" s="21" t="inlineStr">
        <is>
          <t>high</t>
        </is>
      </c>
      <c r="D42" s="12" t="inlineStr">
        <is>
          <t>可使用年期</t>
        </is>
      </c>
      <c r="E42" s="12" t="inlineStr">
        <is>
          <t>PDF p.175 (印刷頁 174)</t>
        </is>
      </c>
      <c r="F42" s="12" t="inlineStr">
        <is>
          <t>傢具及裝置 20.0%至33.3% Furniture and fixtures and 20.0% to 33.3% 及辦公室 office equipment 設備 汽車 20.0%至33.3% Motor vehicles 20.0% to 33.3% 殘值、可使用年期及折舊法會於各 The residual values, useful lives and depreciation method 報告期末作出檢討及調整（如適用）。 are reviewed and adjusted, if appropriate, at the end of each reporting period. 出售物業、廠房及設備之盈虧為出 The gain or loss on disposal of property, plant and 售所得款項淨額與相關資產之賬面 equipment is the difference between the net sales 值兩者之間差額，於損益確認。 proceeds and the carrying amount of the relevant asset, and is recognised in profi</t>
        </is>
      </c>
    </row>
    <row r="43">
      <c r="A43" s="9" t="inlineStr">
        <is>
          <t>Intangible Assets &amp; Goodwill</t>
        </is>
      </c>
      <c r="B43" s="9" t="inlineStr">
        <is>
          <t>無形資產及商譽</t>
        </is>
      </c>
      <c r="C43" s="21" t="inlineStr">
        <is>
          <t>high</t>
        </is>
      </c>
      <c r="D43" s="12" t="inlineStr">
        <is>
          <t>useful life</t>
        </is>
      </c>
      <c r="E43" s="12" t="inlineStr">
        <is>
          <t>PDF p.176 (印刷頁 175)</t>
        </is>
      </c>
      <c r="F43" s="12" t="inlineStr">
        <is>
          <t>f right-of-use assets is 較短者以直線法按撇銷其成本的利 calculated at rates to write off their cost over the shorter of 率計算。使用權資產的主要使用年 the asset’s useful life and the lease term on a straight-line 期或租期如下： basis. The principal useful life or the lease term of right-ofuse assets are as follows: 租賃土地 50年 Leasehold land 50 years 樓宇 2至6年 Buildings 2 to 6 years 汽車 3至5年 Motor vehicles 3 to 5 years ANNUAL REPORT 2026 • 175 二零二六年年報</t>
        </is>
      </c>
    </row>
    <row r="44">
      <c r="A44" s="9" t="inlineStr">
        <is>
          <t>Intangible Assets &amp; Goodwill</t>
        </is>
      </c>
      <c r="B44" s="9" t="inlineStr">
        <is>
          <t>無形資產及商譽</t>
        </is>
      </c>
      <c r="C44" s="21" t="inlineStr">
        <is>
          <t>high</t>
        </is>
      </c>
      <c r="D44" s="12" t="inlineStr">
        <is>
          <t>intangible asset</t>
        </is>
      </c>
      <c r="E44" s="12" t="inlineStr">
        <is>
          <t>PDF p.178 (印刷頁 177)</t>
        </is>
      </c>
      <c r="F44" s="12" t="inlineStr">
        <is>
          <t>加密貨幣包括Polkadot third-party custodian service provider include Polkadot 及Filecoin，該等加密貨幣在成本模 and Filecoin, which are accounted for as intangible assets 式下入賬為無形資產。本集團擁有 under the cost model. The Group has ownership of and 所持加密貨幣的所有權及控制權， control over the cryptocurrencies held and employs third- 並使用第三方託管服務供應商安全 party custodian service provider to securely store them. 地儲存加密貨幣。本集團持有的加 The cryptocurrencies held by the Group are considered 密貨幣被視為具有無限年期，因此 to have an indefinite life. Accordingly, they are not subject 無需進行攤銷，並每年進行減值測 to</t>
        </is>
      </c>
    </row>
    <row r="45">
      <c r="A45" s="9" t="inlineStr">
        <is>
          <t>Intangible Assets &amp; Goodwill</t>
        </is>
      </c>
      <c r="B45" s="9" t="inlineStr">
        <is>
          <t>無形資產及商譽</t>
        </is>
      </c>
      <c r="C45" s="21" t="inlineStr">
        <is>
          <t>high</t>
        </is>
      </c>
      <c r="D45" s="12" t="inlineStr">
        <is>
          <t>攤銷</t>
        </is>
      </c>
      <c r="E45" s="12" t="inlineStr">
        <is>
          <t>PDF p.179 (印刷頁 178)</t>
        </is>
      </c>
      <c r="F45" s="12" t="inlineStr">
        <is>
          <t>ble to the acquisition of investments at fair value through profit or loss are recognised immediately in profit or loss. 本集團將金融資產分類為按攤銷成 Financial assets of the Group are classified as financial 本計量的金融資產。 assets at amortised cost. 178 Magnus Concordia Group Limited / 融太集團股份有限公司</t>
        </is>
      </c>
    </row>
    <row r="46">
      <c r="A46" s="9" t="inlineStr">
        <is>
          <t>Intangible Assets &amp; Goodwill</t>
        </is>
      </c>
      <c r="B46" s="9" t="inlineStr">
        <is>
          <t>無形資產及商譽</t>
        </is>
      </c>
      <c r="C46" s="21" t="inlineStr">
        <is>
          <t>high</t>
        </is>
      </c>
      <c r="D46" s="12" t="inlineStr">
        <is>
          <t>攤銷</t>
        </is>
      </c>
      <c r="E46" s="12" t="inlineStr">
        <is>
          <t>PDF p.180 (印刷頁 179)</t>
        </is>
      </c>
      <c r="F46" s="12" t="inlineStr">
        <is>
          <t>1 March 2026 截至二零二六年三月三十一日止年度 重大會計政策（續） 4. MATERIAL ACCOUNTING POLICIES 4. (Continued) 金融資產（續） (k) Financial assets (Continued) (k) 按攤銷成本計量的金融資產 Financial assets at amortised cost 符合下列條件的金融資產（包括貿易 Financial assets (including trade and other receivables) 及其他應收款項）分類至此類別： are classified under this category if they satisfy both of the following conditions: 資產乃按目的為持有資產以收 — the assets are held within a business model whose — 集合約現金流量的業務模式持 objective is to hold assets in order to collect 有；及 contractual cash flows; and 資產合約條款於特別日期產生 —</t>
        </is>
      </c>
    </row>
    <row r="47">
      <c r="A47" s="9" t="inlineStr">
        <is>
          <t>Intangible Assets &amp; Goodwill</t>
        </is>
      </c>
      <c r="B47" s="9" t="inlineStr">
        <is>
          <t>無形資產及商譽</t>
        </is>
      </c>
      <c r="C47" s="21" t="inlineStr">
        <is>
          <t>high</t>
        </is>
      </c>
      <c r="D47" s="12" t="inlineStr">
        <is>
          <t>amortisation</t>
        </is>
      </c>
      <c r="E47" s="12" t="inlineStr">
        <is>
          <t>PDF p.182 (印刷頁 181)</t>
        </is>
      </c>
      <c r="F47" s="12" t="inlineStr">
        <is>
          <t>d at the higher of: 虧損撥備；及 — the loss allowance; and — 初步確認金額減擔保合約期內 — the amount initially recognised less cumulative — 損益中確認的累計攤銷。 amortisation recognised in profit or loss over the terms of the guarantee contracts. 股本工具 (r) Equity instruments (r) 本公司發行的股本工具按已收所得 Equity instruments issued by the Company are recorded at 款項記錄，扣除直接發行成本。 the proceeds received, net of direct issue costs. ANNUAL REPORT 2026 • 181 二零二六年年報</t>
        </is>
      </c>
    </row>
    <row r="48">
      <c r="A48" s="9" t="inlineStr">
        <is>
          <t>Intangible Assets &amp; Goodwill</t>
        </is>
      </c>
      <c r="B48" s="9" t="inlineStr">
        <is>
          <t>無形資產及商譽</t>
        </is>
      </c>
      <c r="C48" s="21" t="inlineStr">
        <is>
          <t>high</t>
        </is>
      </c>
      <c r="D48" s="12" t="inlineStr">
        <is>
          <t>goodwill</t>
        </is>
      </c>
      <c r="E48" s="12" t="inlineStr">
        <is>
          <t>PDF p.186 (印刷頁 185)</t>
        </is>
      </c>
      <c r="F48" s="12" t="inlineStr">
        <is>
          <t>be utilised. Such assets and 影響應課稅溢利亦不影響會計溢利 liabilities are not recognised if the temporary difference 之交易（業務合併除外）中之其他資 arises from goodwill or from the initial recognition (other 產及負債而產生，則不會確認有關 than in a business combination) of other assets and 資產及負債。 liabilities in a transaction that affects neither the taxable profit nor the accounting profit. ANNUAL REPORT 2026 • 185 二零二六年年報</t>
        </is>
      </c>
    </row>
    <row r="49">
      <c r="A49" s="9" t="inlineStr">
        <is>
          <t>Intangible Assets &amp; Goodwill</t>
        </is>
      </c>
      <c r="B49" s="9" t="inlineStr">
        <is>
          <t>無形資產及商譽</t>
        </is>
      </c>
      <c r="C49" s="21" t="inlineStr">
        <is>
          <t>high</t>
        </is>
      </c>
      <c r="D49" s="12" t="inlineStr">
        <is>
          <t>amortization</t>
        </is>
      </c>
      <c r="E49" s="12" t="inlineStr">
        <is>
          <t>PDF p.190 (印刷頁 189)</t>
        </is>
      </c>
      <c r="F49" s="12" t="inlineStr">
        <is>
          <t>(cc) Impairment of assets (cc) 無固定使用年限的加密貨幣毋須 Cryptocurrencies that has an indefinite useful life are 進行攤銷，並每年進行減值測試， not subject to amortization and are tested annually for 或在有事件或情況變化顯示其可能 impairment, or more frequently if events or changes in 出現減值時進行更頻密的減值測 circumstances indicate that they might be impaired. The 試。加密貨幣的減值測試分別針對 impairment tests for cryptocurrencies are carried out for Polkadot和Filecoin單獨進行。出現 Polkadot and Filecoin, separately. Cryptocurrencies that 減值的加密貨幣會在每個報告期末 suffered an impairment are reviewed for possi</t>
        </is>
      </c>
    </row>
    <row r="50">
      <c r="A50" s="9" t="inlineStr">
        <is>
          <t>Intangible Assets &amp; Goodwill</t>
        </is>
      </c>
      <c r="B50" s="9" t="inlineStr">
        <is>
          <t>無形資產及商譽</t>
        </is>
      </c>
      <c r="C50" s="21" t="inlineStr">
        <is>
          <t>high</t>
        </is>
      </c>
      <c r="D50" s="12" t="inlineStr">
        <is>
          <t>intangible asset</t>
        </is>
      </c>
      <c r="E50" s="12" t="inlineStr">
        <is>
          <t>PDF p.191 (印刷頁 190)</t>
        </is>
      </c>
      <c r="F50" s="12" t="inlineStr">
        <is>
          <t>(cc) 於各報告期末，本集團審閱其有形 At the end of each reporting period, the Group reviews 及無形資產之賬面值，以釐定有否 the carrying amounts of its tangible and intangible assets 跡象顯示該等資產出現減值虧損， except investment properties, inventories and receivables to 惟投資物業、存貨及應收款項除外。 determine whether there is any indication that those assets 倘若出現任何該等跡象，則估計資 have suffered an impairment loss. If any such indication exists, 產之可收回金額，以釐定任何減值 the recoverable amount of the asset is estimated in order to 虧損。倘若未能估計個別資產之可 determine the extent of any impairment loss. Where it</t>
        </is>
      </c>
    </row>
    <row r="51">
      <c r="A51" s="9" t="inlineStr">
        <is>
          <t>Intangible Assets &amp; Goodwill</t>
        </is>
      </c>
      <c r="B51" s="9" t="inlineStr">
        <is>
          <t>無形資產及商譽</t>
        </is>
      </c>
      <c r="C51" s="21" t="inlineStr">
        <is>
          <t>high</t>
        </is>
      </c>
      <c r="D51" s="12" t="inlineStr">
        <is>
          <t>無形資產</t>
        </is>
      </c>
      <c r="E51" s="12" t="inlineStr">
        <is>
          <t>PDF p.195 (印刷頁 194)</t>
        </is>
      </c>
      <c r="F51" s="12" t="inlineStr">
        <is>
          <t>asing and holding these cryptocurrencies, management 及持有的加密貨幣應按成本模式列賬為無 considered that cryptocurrencies purchased and held by the 限期無形資產。 Group should be accounted for as indefinite-lived intangible assets accounted for under the cost model. 如附註22所披露，在釐定用於減值測試 As disclosed in note 22, in determining fair values used for 的公平值時，管理層需要運用判斷來識別 impairment tests, management needs to apply judgment 相關可用的加密貨幣買賣市場，並考慮該 to identify the relevant available markets for trading of 等市場的可及性及內部活動，以識別主要 cryptocurrencies, and to consider accessib</t>
        </is>
      </c>
    </row>
    <row r="52">
      <c r="A52" s="9" t="inlineStr">
        <is>
          <t>Intangible Assets &amp; Goodwill</t>
        </is>
      </c>
      <c r="B52" s="9" t="inlineStr">
        <is>
          <t>無形資產及商譽</t>
        </is>
      </c>
      <c r="C52" s="21" t="inlineStr">
        <is>
          <t>high</t>
        </is>
      </c>
      <c r="D52" s="12" t="inlineStr">
        <is>
          <t>amortisation</t>
        </is>
      </c>
      <c r="E52" s="12" t="inlineStr">
        <is>
          <t>PDF p.196 (印刷頁 195)</t>
        </is>
      </c>
      <c r="F52" s="12" t="inlineStr">
        <is>
          <t>h as estimated revenue and estimated 及折算率等若干假設作出現金流量估算。 margin on earnings before interest, tax, depreciation and 有關評估亦受業界表現及技術轉變等因素 amortisation, expected revenue and the discount rate. This 之變動所影響。上述假設以及物業、廠房 evaluation is also subject to changes in factors such as industry 及設備以及使用權資產之出售價值和稅前 performance and changes in technology. Estimates and 折算率的釐定均涉及估計和判斷。 judgements are applied in determining these assumptions, the disposal values of the property, plant and equipment and rightof-use assets and the pre-tax discount rate</t>
        </is>
      </c>
    </row>
    <row r="53">
      <c r="A53" s="9" t="inlineStr">
        <is>
          <t>Intangible Assets &amp; Goodwill</t>
        </is>
      </c>
      <c r="B53" s="9" t="inlineStr">
        <is>
          <t>無形資產及商譽</t>
        </is>
      </c>
      <c r="C53" s="21" t="inlineStr">
        <is>
          <t>high</t>
        </is>
      </c>
      <c r="D53" s="12" t="inlineStr">
        <is>
          <t>intangible asset</t>
        </is>
      </c>
      <c r="E53" s="12" t="inlineStr">
        <is>
          <t>PDF p.202 (印刷頁 201)</t>
        </is>
      </c>
      <c r="F53" s="12" t="inlineStr">
        <is>
          <t>的價格風險，該等加密貨幣在綜合財務狀 held by the Group, that are classified in the consolidated 況表中分類為無形資產。本集團並無面臨 statement of financial position as intangible assets. The Group is 商品價格風險。 not exposed to commodity price risk. 為管理由加密貨幣產生的價格風險，本集 To manage its price risk arising from cryptocurrencies, the 團分散其投資組合。倘本集團持有的加密 Group diversifies its portfolio. In the case that the fair value of the 貨幣的公平值增加╱減少10%，而所有其 cryptocurrencies held by the Group had increased/decreased 他變數維持不變，則截至二零二六年三 by 10% with all other variables held constant, loss befo</t>
        </is>
      </c>
    </row>
    <row r="54">
      <c r="A54" s="9" t="inlineStr">
        <is>
          <t>Intangible Assets &amp; Goodwill</t>
        </is>
      </c>
      <c r="B54" s="9" t="inlineStr">
        <is>
          <t>無形資產及商譽</t>
        </is>
      </c>
      <c r="C54" s="21" t="inlineStr">
        <is>
          <t>high</t>
        </is>
      </c>
      <c r="D54" s="12" t="inlineStr">
        <is>
          <t>攤銷</t>
        </is>
      </c>
      <c r="E54" s="12" t="inlineStr">
        <is>
          <t>PDF p.209 (印刷頁 208)</t>
        </is>
      </c>
      <c r="F54" s="12" t="inlineStr">
        <is>
          <t>(Continued) 於三月三十一日的金融工具類別 Categories of financial instruments at 31 March 2026 2025 HK$’000 HK$’000 千港元 千港元 金融資產 Financial assets 按攤銷成本計量的金融資產 Financial assets at amortised cost 應收賬款 — Accounts receivable — 35,163 66,824 計入預付款項、其他應收 — Financial assets included in prepayments, — other 賬款及其他資產之 receivables and other assets 金融資產 7,039 39,980 受限制銀行結存 — Restricted bank balances — – 3,559 現金及銀行結存 — Cash and bank balances — 11,648 20,299 53,850 130,662 2026 2025 HK$’000 HK$’000 千港元 千港元 金融負債 Financial liabilities 按攤銷成本計量的金融負債 Fi</t>
        </is>
      </c>
    </row>
    <row r="55">
      <c r="A55" s="9" t="inlineStr">
        <is>
          <t>Intangible Assets &amp; Goodwill</t>
        </is>
      </c>
      <c r="B55" s="9" t="inlineStr">
        <is>
          <t>無形資產及商譽</t>
        </is>
      </c>
      <c r="C55" s="21" t="inlineStr">
        <is>
          <t>high</t>
        </is>
      </c>
      <c r="D55" s="12" t="inlineStr">
        <is>
          <t>amortisation</t>
        </is>
      </c>
      <c r="E55" s="12" t="inlineStr">
        <is>
          <t>PDF p.211 (印刷頁 210)</t>
        </is>
      </c>
      <c r="F55" s="12" t="inlineStr">
        <is>
          <t>g segment results, 支、稅項、折舊及攤銷前的盈利或虧損 and earnings or loss before interest expense, tax, depreciation （「EBITDA」）或（「LBITDA」）之計量評估經 and amortisation (“EBITDA” or “LBITDA”). 營分部表現。 210 Magnus Concordia Group Limited / 融太集團股份有限公司</t>
        </is>
      </c>
    </row>
    <row r="56">
      <c r="A56" s="9" t="inlineStr">
        <is>
          <t>Intangible Assets &amp; Goodwill</t>
        </is>
      </c>
      <c r="B56" s="9" t="inlineStr">
        <is>
          <t>無形資產及商譽</t>
        </is>
      </c>
      <c r="C56" s="21" t="inlineStr">
        <is>
          <t>high</t>
        </is>
      </c>
      <c r="D56" s="12" t="inlineStr">
        <is>
          <t>intangible asset</t>
        </is>
      </c>
      <c r="E56" s="12" t="inlineStr">
        <is>
          <t>PDF p.213 (印刷頁 212)</t>
        </is>
      </c>
      <c r="F56" s="12" t="inlineStr">
        <is>
          <t>of right-of-use assets (117) – – (736) – (853) 物業存貨減值 Impairment of stock of properties – – – – (5,384) (5,384) 無形資產減值 Impairment of intangible assets – – (295) – – (295) 銀行利息收入 Bank interest income 3 1 – 64 6 74 投資物業之公平值虧損 Fair value loss on investment properties – (77,643) – – – (77,643) 匯兌（虧損）╱收益淨額 Net exchange (loss)/gain (3,372) 68 – (2,200) 178 (5,326) 應收賬款減值撥回 Reversal of impairment of accounts receivable 75 127 – – – 202 其他應收賬款減值 Impairment of other receivables – – – (133) – (133) 其他資產之撇減 Write down of other assets – (7</t>
        </is>
      </c>
    </row>
    <row r="57">
      <c r="A57" s="9" t="inlineStr">
        <is>
          <t>Intangible Assets &amp; Goodwill</t>
        </is>
      </c>
      <c r="B57" s="9" t="inlineStr">
        <is>
          <t>無形資產及商譽</t>
        </is>
      </c>
      <c r="C57" s="21" t="inlineStr">
        <is>
          <t>high</t>
        </is>
      </c>
      <c r="D57" s="12" t="inlineStr">
        <is>
          <t>intangible asset</t>
        </is>
      </c>
      <c r="E57" s="12" t="inlineStr">
        <is>
          <t>PDF p.215 (印刷頁 214)</t>
        </is>
      </c>
      <c r="F57" s="12" t="inlineStr">
        <is>
          <t>right-of-use assets (117) – – (736) – (853) 物業存貨減值 Impairment of stock of properties – – – – (15,373) (15,373) 無形資產減值 Impairment of intangible assets – – (351) – – (351) 銀行利息收入 Bank interest income 17 57 – 288 13 375 投資物業之公平值虧損 Fair value loss on investment properties – (48,059) – – – (48,059) 匯兌收益╱（虧損）淨額 Net exchange gain/(loss) 143 (8) – 469 (27) 577 應收賬款減值撥回╱（減值） Reversal of impairment/(impairment) of accounts receivable 2,771 (929) – – – 1,842 出售物業、廠房及設備之收益 Gain on disposal of property, plant and equipment – – – 11 – 11 出售</t>
        </is>
      </c>
    </row>
    <row r="58">
      <c r="A58" s="9" t="inlineStr">
        <is>
          <t>Intangible Assets &amp; Goodwill</t>
        </is>
      </c>
      <c r="B58" s="9" t="inlineStr">
        <is>
          <t>無形資產及商譽</t>
        </is>
      </c>
      <c r="C58" s="21" t="inlineStr">
        <is>
          <t>high</t>
        </is>
      </c>
      <c r="D58" s="12" t="inlineStr">
        <is>
          <t>intangible asset</t>
        </is>
      </c>
      <c r="E58" s="12" t="inlineStr">
        <is>
          <t>PDF p.216 (印刷頁 215)</t>
        </is>
      </c>
      <c r="F58" s="12" t="inlineStr">
        <is>
          <t>非流動資產（除無形資產， areas. Revenue is presented by the regions where customers are 其他資產及遞延稅項資產外）則按資產所 located. Non-current assets excluding intangible assets, other 在地區呈列。按地域呈列之分部資料如下： assets and deferred tax assets are presented by the regions where the assets are located. The segment information by geographical area is as follows: Revenue 收入 2026 2025 HK$’000 HK$’000 千港元 千港元 (Restated) （經重列） 持續經營業務 Continuing operations 中國大陸 Mainland China 15,947 8,592 香港 Hong Kong 4,454 5,286 美國 United States of America 48,740 61,643 英國 United King</t>
        </is>
      </c>
    </row>
    <row r="59">
      <c r="A59" s="9" t="inlineStr">
        <is>
          <t>Intangible Assets &amp; Goodwill</t>
        </is>
      </c>
      <c r="B59" s="9" t="inlineStr">
        <is>
          <t>無形資產及商譽</t>
        </is>
      </c>
      <c r="C59" s="21" t="inlineStr">
        <is>
          <t>high</t>
        </is>
      </c>
      <c r="D59" s="12" t="inlineStr">
        <is>
          <t>intangible asset</t>
        </is>
      </c>
      <c r="E59" s="12" t="inlineStr">
        <is>
          <t>PDF p.219 (印刷頁 218)</t>
        </is>
      </c>
      <c r="F59" s="12" t="inlineStr">
        <is>
          <t>23） Write-down of other assets (note 23) (7,326) (4,917) 其他應收款項減值 Impairment of other receivables (133) – 無形資產減值（附註22） Impairment of intangible assets (note 22) (295) (351) 物業、廠房及設備減值 Impairment of property, plant and equipment (2,302) – 終止福利成本* Termination benefits costs* (58) (59) 匯兌（虧損）╱收益淨額 Net exchange (losses)/gains (5,504) 604 雜項 Sundries 297 4,885 (13,913) (5,523) 指終止印刷業務員工之付款。 * It represents the payments for terminating the staff of printing business. * 218 Magnus Concordia Group Limited / 融太集團股份有限公司</t>
        </is>
      </c>
    </row>
    <row r="60">
      <c r="A60" s="9" t="inlineStr">
        <is>
          <t>Intangible Assets &amp; Goodwill</t>
        </is>
      </c>
      <c r="B60" s="9" t="inlineStr">
        <is>
          <t>無形資產及商譽</t>
        </is>
      </c>
      <c r="C60" s="21" t="inlineStr">
        <is>
          <t>high</t>
        </is>
      </c>
      <c r="D60" s="12" t="inlineStr">
        <is>
          <t>intangible asset</t>
        </is>
      </c>
      <c r="E60" s="12" t="inlineStr">
        <is>
          <t>PDF p.238 (印刷頁 237)</t>
        </is>
      </c>
      <c r="F60" s="12" t="inlineStr">
        <is>
          <t>Notes to the Consolidated Financial Statements 綜合財務報表附註 For the year ended 31 March 2026 截至二零二六年三月三十一日止年度 無形資產 22. INTANGIBLE ASSETS 22. Cryptocurrencies 加密貨幣 HK$’000 千港元 成本： Cost: 於二零二四年四月一日 At 1 April 2024 – 新增 Additions 780 匯率變動 Change in exchange rates (5) 於二零二五年三月三十一日及 At 31 March 2025 and 1 April 2025 二零二五年四月一日 775 匯率變動 Change in exchange rates 6 於二零二六年三月三十一日 At 31 March 2026 781 累計攤銷及減值虧損： Accumulated amortisation and impairment losses: 於二零二四年四月一日 At 1 April 2024 – 減值虧損 Impairment loss 351 於二零二五年三月三十一日及</t>
        </is>
      </c>
    </row>
    <row r="61">
      <c r="A61" s="9" t="inlineStr">
        <is>
          <t>Intangible Assets &amp; Goodwill</t>
        </is>
      </c>
      <c r="B61" s="9" t="inlineStr">
        <is>
          <t>無形資產及商譽</t>
        </is>
      </c>
      <c r="C61" s="21" t="inlineStr">
        <is>
          <t>high</t>
        </is>
      </c>
      <c r="D61" s="12" t="inlineStr">
        <is>
          <t>intangible asset</t>
        </is>
      </c>
      <c r="E61" s="12" t="inlineStr">
        <is>
          <t>PDF p.239 (印刷頁 238)</t>
        </is>
      </c>
      <c r="F61" s="12" t="inlineStr">
        <is>
          <t>Notes to the Consolidated Financial Statements 綜合財務報表附註 For the year ended 31 March 2026 截至二零二六年三月三十一日止年度 無形資產（續） 22. INTANGIBLE ASSETS (Continued) 22. 加密貨幣減值測試（續） Impairment tests for cryptocurrencies (Continued) 本集團的加密貨幣成本列示如下： The cost of cryptocurrencies of the Group are presented below: 2026 2025 HK$’000 HK$’000 千港元 千港元 Polkadot Polkadot 75 239 Filecoin Filecoin 56 185 131 424 各類加密貨幣的可收回金額根據公平值減 The recoverable amount of each type of cryptocurrencies 出售成本釐定。在釐定公平值時，本集團 are determined based on fair value less</t>
        </is>
      </c>
    </row>
    <row r="62">
      <c r="A62" s="9" t="inlineStr">
        <is>
          <t>Intangible Assets &amp; Goodwill</t>
        </is>
      </c>
      <c r="B62" s="9" t="inlineStr">
        <is>
          <t>無形資產及商譽</t>
        </is>
      </c>
      <c r="C62" s="21" t="inlineStr">
        <is>
          <t>high</t>
        </is>
      </c>
      <c r="D62" s="12" t="inlineStr">
        <is>
          <t>intangible asset</t>
        </is>
      </c>
      <c r="E62" s="12" t="inlineStr">
        <is>
          <t>PDF p.258 (印刷頁 257)</t>
        </is>
      </c>
      <c r="F62" s="12" t="inlineStr">
        <is>
          <t>tion of the Company 2026 2025 HK$’000 HK$’000 千港元 千港元 非流動資產 Non-current assets 物業、廠房及設備 Property, plant and equipment 692 1,479 無形資產 Intangible assets 131 424 於附屬公司之權益 Interests in subsidiaries 207,117 164,600 207,940 166,503 流動資產 Current assets 預付款項及其他應收賬款 Prepayments and other receivables 813 710 現金及銀行結存 Cash and bank balances 9,388 10,422 10,201 11,132 流動負債 Current liabilities 應付附屬公司款項 Amount due to a subsidiary 46,067 25,675 應計費用及其他應付賬款 Accrued charges and other payables 1,684 1,883 銀行及其他借款 Bank and other borrowings 76,000</t>
        </is>
      </c>
    </row>
    <row r="63">
      <c r="A63" s="9" t="inlineStr">
        <is>
          <t>Investment Properties</t>
        </is>
      </c>
      <c r="B63" s="9" t="inlineStr">
        <is>
          <t>投資物業</t>
        </is>
      </c>
      <c r="C63" s="21" t="inlineStr">
        <is>
          <t>high</t>
        </is>
      </c>
      <c r="D63" s="12" t="inlineStr">
        <is>
          <t>投資物業</t>
        </is>
      </c>
      <c r="E63" s="12" t="inlineStr">
        <is>
          <t>PDF p.11 (印刷頁 10)</t>
        </is>
      </c>
      <c r="F63" s="12" t="inlineStr">
        <is>
          <t>isk mitigation and financial stability. 在成功完成近期資產調整後，本集團正積極探 Following the successful completion of recent asset reallocations, 索在香港的投資物業的進一步處置機會。此有 the Group is actively exploring further divestment opportunities for its 意的去槓桿化策略旨在優化資源配置、強化資 investment properties in Hong Kong. This deliberate de-leveraging 產負債表，並降低投資組合的風險。隨著香港 strategy aims to optimize resource allocation, strengthen the balance 銀行貸款2.5年的延期獲得順利完成，本集團的 sheet, and reduce portfolio risk. Supported by the successful 2.5-year 重點仍然是鞏固資本基礎，並透過謹慎的企業 extension of its H</t>
        </is>
      </c>
    </row>
    <row r="64">
      <c r="A64" s="9" t="inlineStr">
        <is>
          <t>Investment Properties</t>
        </is>
      </c>
      <c r="B64" s="9" t="inlineStr">
        <is>
          <t>投資物業</t>
        </is>
      </c>
      <c r="C64" s="21" t="inlineStr">
        <is>
          <t>high</t>
        </is>
      </c>
      <c r="D64" s="12" t="inlineStr">
        <is>
          <t>投資物業</t>
        </is>
      </c>
      <c r="E64" s="12" t="inlineStr">
        <is>
          <t>PDF p.15 (印刷頁 14)</t>
        </is>
      </c>
      <c r="F64" s="12" t="inlineStr">
        <is>
          <t>Management Discussion and Analysis 管理層討論與分析 財務表現審視（續） Review of financial performance (Continued) 於二零二六年三月三十一日，重估投資物業之 The fair value loss from revaluation of investment properties as at 31 公平值虧損約為7,800萬港元（二零二五年： March 2026 amounted to approximately HK$78 million (2025: HK$48 4,800萬港元）。儘管該等物業繼續產生穩定的 million). The market values of investment properties as at 31 March 租金收入流，惟於二零二六年三月三十一日， 2026 were being affected by the weak market sentiment resulting from 投資物業的市值受中國大陸及香港經濟增長未 the slower-than-expected growth i</t>
        </is>
      </c>
    </row>
    <row r="65">
      <c r="A65" s="9" t="inlineStr">
        <is>
          <t>Investment Properties</t>
        </is>
      </c>
      <c r="B65" s="9" t="inlineStr">
        <is>
          <t>投資物業</t>
        </is>
      </c>
      <c r="C65" s="21" t="inlineStr">
        <is>
          <t>high</t>
        </is>
      </c>
      <c r="D65" s="12" t="inlineStr">
        <is>
          <t>gross floor area</t>
        </is>
      </c>
      <c r="E65" s="12" t="inlineStr">
        <is>
          <t>PDF p.19 (印刷頁 18)</t>
        </is>
      </c>
      <c r="F65" s="12" t="inlineStr">
        <is>
          <t>ion), which contributed rental income of 港元（二零二五年：400萬港元）： approximately HK$5 million (2025: HK$4 million) during the year: Location Gross Floor Area Usage 地點 建築面積 用途 Investment properties in Hong Kong 香港之投資物業 Shop B, Ground Floor, Wuhu Residence, No. 111 Wuhu Street, Hunghom, Kowloon 1,014 square feet Commercial (“sq ft”) 九龍紅磡蕪湖街111號蕪湖居地下B商舖 1,014平方呎 商業 Shop D, Ground Floor, Wuhu Residence, No. 111 Wuhu Street, Hunghom, Kowloon 1,293 sq ft Commercial 九龍紅磡蕪湖街111號蕪湖居地下D商舖 1,293平方呎 商業 Shops 3, 4, 5, Parkes Residence, No. 101 Park</t>
        </is>
      </c>
    </row>
    <row r="66">
      <c r="A66" s="9" t="inlineStr">
        <is>
          <t>Investment Properties</t>
        </is>
      </c>
      <c r="B66" s="9" t="inlineStr">
        <is>
          <t>投資物業</t>
        </is>
      </c>
      <c r="C66" s="21" t="inlineStr">
        <is>
          <t>high</t>
        </is>
      </c>
      <c r="D66" s="12" t="inlineStr">
        <is>
          <t>rental yield</t>
        </is>
      </c>
      <c r="E66" s="12" t="inlineStr">
        <is>
          <t>PDF p.20 (印刷頁 19)</t>
        </is>
      </c>
      <c r="F66" s="12" t="inlineStr">
        <is>
          <t>de a 察投資物業組合的資本變動及租金收益率，並 stable income stream to the Group. The Group keeps on monitoring 考慮於良機出現時重新平衡該投資組合。 the capital change and rental yields of the portfolio and considers to rebalance the investment portfolio when ideal opportunities arise. 庫務業務 Treasury business 庫務業務包括債券、權益及其他庫務工具投資 The treasury business involves the investment and trading of debts, 及買賣，以及在香港持牌進行的受規管活動， equity and other treasury instruments, as well as the licensed regulated 即根據香港法例第571章證券及期貨條例就證 activities namely advising on securities (Type 4) and ass</t>
        </is>
      </c>
    </row>
    <row r="67">
      <c r="A67" s="9" t="inlineStr">
        <is>
          <t>Investment Properties</t>
        </is>
      </c>
      <c r="B67" s="9" t="inlineStr">
        <is>
          <t>投資物業</t>
        </is>
      </c>
      <c r="C67" s="21" t="inlineStr">
        <is>
          <t>high</t>
        </is>
      </c>
      <c r="D67" s="12" t="inlineStr">
        <is>
          <t>投資物業</t>
        </is>
      </c>
      <c r="E67" s="12" t="inlineStr">
        <is>
          <t>PDF p.22 (印刷頁 21)</t>
        </is>
      </c>
      <c r="F67" s="12" t="inlineStr">
        <is>
          <t>isk mitigation and financial stability. 在成功完成近期資產調整後，本集團正積極探 Following the successful completion of recent asset reallocations, 索在香港的投資物業的進一步處置機會。此有 the Group is actively exploring further divestment opportunities for its 意的去槓桿化策略旨在優化資源配置、強化資 investment properties in Hong Kong. This deliberate de-leveraging 產負債表，並降低投資組合的風險。隨著香港 strategy aims to optimize resource allocation, strengthen the balance 銀行貸款2.5年的延期獲得順利完成，本集團的 sheet, and reduce portfolio risk. Supported by the successful 2.5-year 重點仍然是鞏固資本基礎，並透過謹慎的企業 extension of its H</t>
        </is>
      </c>
    </row>
    <row r="68">
      <c r="A68" s="9" t="inlineStr">
        <is>
          <t>Investment Properties</t>
        </is>
      </c>
      <c r="B68" s="9" t="inlineStr">
        <is>
          <t>投資物業</t>
        </is>
      </c>
      <c r="C68" s="21" t="inlineStr">
        <is>
          <t>high</t>
        </is>
      </c>
      <c r="D68" s="12" t="inlineStr">
        <is>
          <t>投資物業</t>
        </is>
      </c>
      <c r="E68" s="12" t="inlineStr">
        <is>
          <t>PDF p.23 (印刷頁 22)</t>
        </is>
      </c>
      <c r="F68" s="12" t="inlineStr">
        <is>
          <t>erty, plant and equipment and investment 的若干資產（包括使用權資產、物業、廠房及設 properties with an aggregate carrying value of approximately HK$124 備及投資物業），以擔保本集團銀行融資。 million (2025: HK$186 million) to secure bank facilities of the Group. 於二零二六年三月三十一日，約800萬港元之 As at 31 March 2026, the other borrowings of approximately HK$8 其他借款乃以本集團金額約4,000萬港元之投 million are secured by the pledge of the Group’s investment properties 資物業作抵押。於二零二五年三月三十一日， amounting to approximately HK$40 million. As at 31 March 2025, the 約2,200萬港元之其他借款乃以本集團金額約 other borrowings of</t>
        </is>
      </c>
    </row>
    <row r="69">
      <c r="A69" s="9" t="inlineStr">
        <is>
          <t>Investment Properties</t>
        </is>
      </c>
      <c r="B69" s="9" t="inlineStr">
        <is>
          <t>投資物業</t>
        </is>
      </c>
      <c r="C69" s="21" t="inlineStr">
        <is>
          <t>high</t>
        </is>
      </c>
      <c r="D69" s="12" t="inlineStr">
        <is>
          <t>投資物業</t>
        </is>
      </c>
      <c r="E69" s="12" t="inlineStr">
        <is>
          <t>PDF p.59 (印刷頁 58)</t>
        </is>
      </c>
      <c r="F69" s="12" t="inlineStr">
        <is>
          <t>年的授信延期安排。此 2.5 years with the bank. Further, the borrowings 外，該等借款以約117,000,000 was secured by a pledge of investment properties 港元的投資物業作為抵押。本 amounting to approximately HK$117,000,000. 公司董事認為，若銀行對本集 The directors of the Company is of the view that 團採取法律行動要求立即還 in the event that if the bank takes any legal action 款，投資物業將被變賣償還， against the Group to demand immediate repayment, 不會對本集團的業務、經營及 the investment properties will be disposed for the 財務狀況造成任何重大不利影 settlement, it would not have any material adverse 響； impact on the busines</t>
        </is>
      </c>
    </row>
    <row r="70">
      <c r="A70" s="9" t="inlineStr">
        <is>
          <t>Investment Properties</t>
        </is>
      </c>
      <c r="B70" s="9" t="inlineStr">
        <is>
          <t>投資物業</t>
        </is>
      </c>
      <c r="C70" s="21" t="inlineStr">
        <is>
          <t>high</t>
        </is>
      </c>
      <c r="D70" s="12" t="inlineStr">
        <is>
          <t>投資物業</t>
        </is>
      </c>
      <c r="E70" s="12" t="inlineStr">
        <is>
          <t>PDF p.137 (印刷頁 136)</t>
        </is>
      </c>
      <c r="F70" s="12" t="inlineStr">
        <is>
          <t>業資料 Particulars of Principal Properties 本集團於二零二六年三月三十一日所持有之主 Particulars of principal investment properties held by the Group as at 要投資物業之資料詳載於本年報第262至263頁。 31 March 2026 are set out on pages 262 to 263 of this annual report. 136 Magnus Concordia Group Limited / 融太集團股份有限公司</t>
        </is>
      </c>
    </row>
    <row r="71">
      <c r="A71" s="9" t="inlineStr">
        <is>
          <t>Investment Properties</t>
        </is>
      </c>
      <c r="B71" s="9" t="inlineStr">
        <is>
          <t>投資物業</t>
        </is>
      </c>
      <c r="C71" s="21" t="inlineStr">
        <is>
          <t>high</t>
        </is>
      </c>
      <c r="D71" s="12" t="inlineStr">
        <is>
          <t>投資物業</t>
        </is>
      </c>
      <c r="E71" s="12" t="inlineStr">
        <is>
          <t>PDF p.157 (印刷頁 156)</t>
        </is>
      </c>
      <c r="F71" s="12" t="inlineStr">
        <is>
          <t>Independent Auditor’s Report 獨立核數師報告 投資物業估值 Valuation of investment properties 請參閱綜合財務報表附註20 Refer to note 20 to the consolidated financial statements 貴集團按公平值計量其投資物業，公平值變動 The Group measured its investment properties at fair value with the 於綜合損益中確認。此公平值計量對我們的審 changes in fair value recognised in the consolidated profit or loss. This 計非常重要，原因是於二零二六年三月三十一 fair value measurement is significant to our audit because the balance 日的投資物業結餘15</t>
        </is>
      </c>
    </row>
    <row r="72">
      <c r="A72" s="9" t="inlineStr">
        <is>
          <t>Investment Properties</t>
        </is>
      </c>
      <c r="B72" s="9" t="inlineStr">
        <is>
          <t>投資物業</t>
        </is>
      </c>
      <c r="C72" s="21" t="inlineStr">
        <is>
          <t>high</t>
        </is>
      </c>
      <c r="D72" s="12" t="inlineStr">
        <is>
          <t>投資物業</t>
        </is>
      </c>
      <c r="E72" s="12" t="inlineStr">
        <is>
          <t>PDF p.160 (印刷頁 159)</t>
        </is>
      </c>
      <c r="F72" s="12" t="inlineStr">
        <is>
          <t>支出 Administrative and other operating expenses (28,397) (29,465) 應收賬款減值撥回 Reversal of impairment of accounts receivable 26 202 1,842 投資物業之公平值變動 Change in fair value of investment properties 20 (77,643) (48,059) 經營虧損 Operating loss 11 (96,814) (54,391) 融資費用 Finance costs 12 (4,273) (6,756) 除稅前虧損 Loss before tax (101,087) (61,147) 所得稅抵免 Income tax credit 13 5,682 2,154 本年度持續經營業務虧損 Loss for the year from continuing operations (95,405) (58,993) 已終止業務 Discontinued operation 本年度已終止業務 Profit/(loss) for the year from 溢利／（虧損） discontinu</t>
        </is>
      </c>
    </row>
    <row r="73">
      <c r="A73" s="9" t="inlineStr">
        <is>
          <t>Investment Properties</t>
        </is>
      </c>
      <c r="B73" s="9" t="inlineStr">
        <is>
          <t>投資物業</t>
        </is>
      </c>
      <c r="C73" s="21" t="inlineStr">
        <is>
          <t>high</t>
        </is>
      </c>
      <c r="D73" s="12" t="inlineStr">
        <is>
          <t>投資物業</t>
        </is>
      </c>
      <c r="E73" s="12" t="inlineStr">
        <is>
          <t>PDF p.162 (印刷頁 161)</t>
        </is>
      </c>
      <c r="F73" s="12" t="inlineStr">
        <is>
          <t>0 附註 千港元 千港元 非流動資產 Non-current assets 物業、廠房及設備 Property, plant and equipment 18 4,979 9,685 使用權資產 Right-of-use assets 19 2,779 3,632 投資物業 Investment properties 20 156,655 231,600 無形資產 Intangible assets 22 131 424 其他資產 Other assets 23 4,164 11,490 遞延稅項資產 Deferred tax assets 34 975 3,220 非流動資產總值 Total non-current assets 169,683 260,051 流動資產 Current assets 存貨 Inventories 24 6,196 8,903 已完工待售物業 Completed properties for sale 25 – 179,324 應收賬款 Accounts receivable 26 35,163 66,824 預付款項、其他應收賬款 Prepayments, other receivables and 及其他資產 o</t>
        </is>
      </c>
    </row>
    <row r="74">
      <c r="A74" s="9" t="inlineStr">
        <is>
          <t>Investment Properties</t>
        </is>
      </c>
      <c r="B74" s="9" t="inlineStr">
        <is>
          <t>投資物業</t>
        </is>
      </c>
      <c r="C74" s="21" t="inlineStr">
        <is>
          <t>high</t>
        </is>
      </c>
      <c r="D74" s="12" t="inlineStr">
        <is>
          <t>投資物業</t>
        </is>
      </c>
      <c r="E74" s="12" t="inlineStr">
        <is>
          <t>PDF p.165 (印刷頁 164)</t>
        </is>
      </c>
      <c r="F74" s="12" t="inlineStr">
        <is>
          <t>及設備之減值 Impairment of property, plant and equipment 2,302 – 出售物業、廠房及設備 Gain on disposal of property, 之收益 plant and equipment – (11) 出售投資物業之虧損 Loss on disposal of investment properties – 7,089 租賃終止之虧損 Loss on lease termination – 74 出售已終止業務之收益 Gain on disposal of discontinued operation 14 (153,010) – 投資物業之公平值變動 Change in fair value of investment properties 77,643 48,059 銀行利息收入 Bank interest income (74) (375) 匯兌虧損／（收益）淨額 Net exchange losses/(gains) 5,326 (577) 營運資金變動前之 Operating cash flows before movements 經營現金流量 in working capital</t>
        </is>
      </c>
    </row>
    <row r="75">
      <c r="A75" s="9" t="inlineStr">
        <is>
          <t>Investment Properties</t>
        </is>
      </c>
      <c r="B75" s="9" t="inlineStr">
        <is>
          <t>投資物業</t>
        </is>
      </c>
      <c r="C75" s="21" t="inlineStr">
        <is>
          <t>high</t>
        </is>
      </c>
      <c r="D75" s="12" t="inlineStr">
        <is>
          <t>投資物業</t>
        </is>
      </c>
      <c r="E75" s="12" t="inlineStr">
        <is>
          <t>PDF p.166 (印刷頁 165)</t>
        </is>
      </c>
      <c r="F75" s="12" t="inlineStr">
        <is>
          <t>加 Increase in restricted bank balances (562) (3,551) 出售物業、廠房及設備 Proceeds from disposal of property, 之所得款項 plant and equipment – 11 出售投資物業之所得款項 Proceeds from disposal of investment properties – 33,633 已收利息 Interest received 74 392 投資活動所產生現金淨額 Net cash generated from investing activities 3,244 28,947 融資活動所得現金流量 Cash flows from financing activities 新借銀行及其他借款 New bank and other borrowings raised 24,858 18,247 償還銀行及其他借款 Repayment of bank and other borrowings (28,699) (42,104) 已付利息 Interest paid (4,212) (7,293) 償還租賃負債 Repayment of le</t>
        </is>
      </c>
    </row>
    <row r="76">
      <c r="A76" s="9" t="inlineStr">
        <is>
          <t>Investment Properties</t>
        </is>
      </c>
      <c r="B76" s="9" t="inlineStr">
        <is>
          <t>投資物業</t>
        </is>
      </c>
      <c r="C76" s="21" t="inlineStr">
        <is>
          <t>high</t>
        </is>
      </c>
      <c r="D76" s="12" t="inlineStr">
        <is>
          <t>投資物業</t>
        </is>
      </c>
      <c r="E76" s="12" t="inlineStr">
        <is>
          <t>PDF p.168 (印刷頁 167)</t>
        </is>
      </c>
      <c r="F76" s="12" t="inlineStr">
        <is>
          <t>y for 2.5 years with the bank as disclosed in note 信延期安排。此外，該等借款以約 43. Further, the borrowings was secured by a pledge 117,000,000港元的投資物業作為抵 of investment properties amounting to approximately 押。本公司董事認為，若銀行對本 HK$117,000,000. The directors of the Company is of the 集團採取法律行動要求立即還款， view that in the event that if the bank takes any legal action 投資物業將被變賣償還，不會對本 against the Group to demand immediate repayment, the 集團的業務、經營及財務狀況造成 investment properties will be disposed for the settlement, 任何重大不利影響； it would not have any material adver</t>
        </is>
      </c>
    </row>
    <row r="77">
      <c r="A77" s="9" t="inlineStr">
        <is>
          <t>Investment Properties</t>
        </is>
      </c>
      <c r="B77" s="9" t="inlineStr">
        <is>
          <t>投資物業</t>
        </is>
      </c>
      <c r="C77" s="21" t="inlineStr">
        <is>
          <t>high</t>
        </is>
      </c>
      <c r="D77" s="12" t="inlineStr">
        <is>
          <t>投資物業</t>
        </is>
      </c>
      <c r="E77" s="12" t="inlineStr">
        <is>
          <t>PDF p.170 (印刷頁 169)</t>
        </is>
      </c>
      <c r="F77" s="12" t="inlineStr">
        <is>
          <t>and by the Hong Kong Companies Ordinance. 此等綜合財務報表乃按歷史成本慣例編 These consolidated financial statements have been prepared 製，並根據按其公平值入賬的投資物業的 under the historical cost convention, as modified by the 重估進行修訂。 revaluation of investment properties which are carried at their fair values. 編製符合香港財務報告會計準則之綜合財 The preparation of consolidated financial statements in conformity 務報表須採用若干主要假設及估計，亦要 with HKFRS Accounting Standards requires the use of certain 求董事於應用該等會計政策之過程中作出 key assumptions and estimates. It also requires the directors to 判斷。</t>
        </is>
      </c>
    </row>
    <row r="78">
      <c r="A78" s="9" t="inlineStr">
        <is>
          <t>Investment Properties</t>
        </is>
      </c>
      <c r="B78" s="9" t="inlineStr">
        <is>
          <t>投資物業</t>
        </is>
      </c>
      <c r="C78" s="21" t="inlineStr">
        <is>
          <t>high</t>
        </is>
      </c>
      <c r="D78" s="12" t="inlineStr">
        <is>
          <t>investment property</t>
        </is>
      </c>
      <c r="E78" s="12" t="inlineStr">
        <is>
          <t>PDF p.176 (印刷頁 175)</t>
        </is>
      </c>
      <c r="F78" s="12" t="inlineStr">
        <is>
          <t>lly at its cost including all direct 物業所有直接成本）計量。 costs attributable to the property. 於初步確認後，投資物業乃按外部 After initial recognition, the investment property is stated at 獨立估值師釐定之公平值列賬。投 its fair value based on valuation by an external independent 資物業公平值變動產生之損益於產 valuer. Gains or losses arising from changes in fair value of 生年度在損益內確認。 the investment property are recognised in profit or loss for the period in which they arise. 出售投資物業之損益乃出售所得款 The gain or loss on disposal of an investment property is 項淨額與該物業之賬面值兩者之差 the difference bet</t>
        </is>
      </c>
    </row>
    <row r="79">
      <c r="A79" s="9" t="inlineStr">
        <is>
          <t>Investment Properties</t>
        </is>
      </c>
      <c r="B79" s="9" t="inlineStr">
        <is>
          <t>投資物業</t>
        </is>
      </c>
      <c r="C79" s="21" t="inlineStr">
        <is>
          <t>high</t>
        </is>
      </c>
      <c r="D79" s="12" t="inlineStr">
        <is>
          <t>capitalisation rate</t>
        </is>
      </c>
      <c r="E79" s="12" t="inlineStr">
        <is>
          <t>PDF p.185 (印刷頁 184)</t>
        </is>
      </c>
      <c r="F79" s="12" t="inlineStr">
        <is>
          <t>lifying asset, the amount 化之借款成本金額乃按用於該資產 of borrowing costs eligible for capitalisation is determined 之開支資本化比率計算。資本化比 by applying a capitalisation rate to the expenditures on 率為適用於本集團該期間內尚未償 that asset. The capitalisation rate is the weighted average 還借款（不包括就取得合資格資產而 of the borrowing costs applicable to the borrowings of the 借入之特定借款）之加權平均借款成 Group that are outstanding during the period, other than 本。 borrowings made specifically for the purpose of obtaining a qualifying asset. 所有其他借款成本均在產生期間於 All other borrowing costs are reco</t>
        </is>
      </c>
    </row>
    <row r="80">
      <c r="A80" s="9" t="inlineStr">
        <is>
          <t>Investment Properties</t>
        </is>
      </c>
      <c r="B80" s="9" t="inlineStr">
        <is>
          <t>投資物業</t>
        </is>
      </c>
      <c r="C80" s="21" t="inlineStr">
        <is>
          <t>high</t>
        </is>
      </c>
      <c r="D80" s="12" t="inlineStr">
        <is>
          <t>investment property</t>
        </is>
      </c>
      <c r="E80" s="12" t="inlineStr">
        <is>
          <t>PDF p.188 (印刷頁 187)</t>
        </is>
      </c>
      <c r="F80" s="12" t="inlineStr">
        <is>
          <t>up whose business objective is to consume 業模式持有，此假定則被駁回。倘 substantially all of the economic benefits embodied in 假定被駁回，該等投資物業的遞延 the investment property over time, rather than through 稅項按該等物業的預期收回方式計量。 sale. If the presumption is rebutted, deferred tax for such investment properties are measured based on the expected manner as to how the properties will be recovered. 當有合法執行權利許可將即期稅項 Deferred tax assets and liabilities are offset when there is a 資產與即期稅項負債抵銷，並涉及 legally enforceable right to set off current tax assets against 與同一稅</t>
        </is>
      </c>
    </row>
    <row r="81">
      <c r="A81" s="9" t="inlineStr">
        <is>
          <t>Investment Properties</t>
        </is>
      </c>
      <c r="B81" s="9" t="inlineStr">
        <is>
          <t>投資物業</t>
        </is>
      </c>
      <c r="C81" s="21" t="inlineStr">
        <is>
          <t>high</t>
        </is>
      </c>
      <c r="D81" s="12" t="inlineStr">
        <is>
          <t>投資物業</t>
        </is>
      </c>
      <c r="E81" s="12" t="inlineStr">
        <is>
          <t>PDF p.191 (印刷頁 190)</t>
        </is>
      </c>
      <c r="F81" s="12" t="inlineStr">
        <is>
          <t>carrying amounts of its tangible and intangible assets 跡象顯示該等資產出現減值虧損， except investment properties, inventories and receivables to 惟投資物業、存貨及應收款項除外。 determine whether there is any indication that those assets 倘若出現任何該等跡象，則估計資 have suffered an impairment loss. If any such indication exists, 產之可收回金額，以釐定任何減值 the recoverable amount of the asset is estimated in order to 虧損。倘若未能估計個別資產之可 determine the extent of any impairment loss. Where it is not 收回金額，則本集團估計資產所屬 possible to estimate the recoverable amount of an individual 現金產生單位之可收回金額</t>
        </is>
      </c>
    </row>
    <row r="82">
      <c r="A82" s="9" t="inlineStr">
        <is>
          <t>Investment Properties</t>
        </is>
      </c>
      <c r="B82" s="9" t="inlineStr">
        <is>
          <t>投資物業</t>
        </is>
      </c>
      <c r="C82" s="21" t="inlineStr">
        <is>
          <t>high</t>
        </is>
      </c>
      <c r="D82" s="12" t="inlineStr">
        <is>
          <t>投資物業</t>
        </is>
      </c>
      <c r="E82" s="12" t="inlineStr">
        <is>
          <t>PDF p.194 (印刷頁 193)</t>
        </is>
      </c>
      <c r="F82" s="12" t="inlineStr">
        <is>
          <t>next twelve months from the end of the 2。 reporting date. Details are explained in note 2 to the consolidated financial statements. 投資物業的遞延稅項 Deferred tax for investment properties 就計量按公平值模式計量的投資物業之遞 For the purposes of measuring deferred tax for investment 延稅項而言，本公司董事已檢討本集團的 properties that are measured using the fair value model, the 投資物業組合，並得出結論，本集團的投 directors of the Company have reviewed the Group’s investment 資物業乃根據目標為隨時間而非透過出售 property portfolios and concluded that the Group’s investment 消耗該等投資物業所包含的絕大部分經濟 properties ar</t>
        </is>
      </c>
    </row>
    <row r="83">
      <c r="A83" s="9" t="inlineStr">
        <is>
          <t>Investment Properties</t>
        </is>
      </c>
      <c r="B83" s="9" t="inlineStr">
        <is>
          <t>投資物業</t>
        </is>
      </c>
      <c r="C83" s="21" t="inlineStr">
        <is>
          <t>high</t>
        </is>
      </c>
      <c r="D83" s="12" t="inlineStr">
        <is>
          <t>投資物業</t>
        </is>
      </c>
      <c r="E83" s="12" t="inlineStr">
        <is>
          <t>PDF p.198 (印刷頁 197)</t>
        </is>
      </c>
      <c r="F83" s="12" t="inlineStr">
        <is>
          <t>要判斷及主要估計（續） 5. CRITICAL JUDGEMENTS AND KEY 5. ESTIMATES (Continued) 估計不確定性的主要來源（續） Key sources of estimation uncertainty (Continued) 投資物業公平值的估算 Estimates of fair value of investment properties 公平值之最佳證據為同一地點及狀況下且 The best evidence of fair value is current prices in an active 受類似租約及其他合約規限之物業於活躍 market for properties in the same location and condition and 巿場之現行價格。倘欠缺有關資料，本集 subject to similar lease and other contracts. In the absence of 團會考慮不同來源之資料，包括：(i)參考 such information, the Group considers information from a variety 獨立估值；(ii)</t>
        </is>
      </c>
    </row>
    <row r="84">
      <c r="A84" s="9" t="inlineStr">
        <is>
          <t>Investment Properties</t>
        </is>
      </c>
      <c r="B84" s="9" t="inlineStr">
        <is>
          <t>投資物業</t>
        </is>
      </c>
      <c r="C84" s="21" t="inlineStr">
        <is>
          <t>high</t>
        </is>
      </c>
      <c r="D84" s="12" t="inlineStr">
        <is>
          <t>投資物業</t>
        </is>
      </c>
      <c r="E84" s="12" t="inlineStr">
        <is>
          <t>PDF p.203 (印刷頁 202)</t>
        </is>
      </c>
      <c r="F84" s="12" t="inlineStr">
        <is>
          <t>for the printing business, the Group has purchased 購買信貸保險，以補償未能收回債項之損 credit insurance from Export Credit Insurance Corporation on 失。投資物業之租戶會按租務協議預先支 certain overseas sales to compensate for losses from debts that 付租金。 are not collectible. Rentals in respect of investment properties are payable in advance by tenants in accordance with the lease agreements. 本集團訂有政策確保要求租戶於起租前支 The Group has policies in place to ensure that rental deposits 付租賃按金。銷售物業之所得款項乃預先 are required from tenants prior to commencement of leases. 收取或於向客戶交付已竣工物業</t>
        </is>
      </c>
    </row>
    <row r="85">
      <c r="A85" s="9" t="inlineStr">
        <is>
          <t>Investment Properties</t>
        </is>
      </c>
      <c r="B85" s="9" t="inlineStr">
        <is>
          <t>投資物業</t>
        </is>
      </c>
      <c r="C85" s="21" t="inlineStr">
        <is>
          <t>high</t>
        </is>
      </c>
      <c r="D85" s="12" t="inlineStr">
        <is>
          <t>投資物業</t>
        </is>
      </c>
      <c r="E85" s="12" t="inlineStr">
        <is>
          <t>PDF p.210 (印刷頁 209)</t>
        </is>
      </c>
      <c r="F85" s="12" t="inlineStr">
        <is>
          <t>he lowest level input that — 可觀察最低等級輸入數據的估值方 is significant to the fair value measurement is unobservable 法（第三等級） (Level 3) 有關按公平值計量之投資物業的披露，請 See note 20 for disclosure of the investment properties that are 參閱附註20。 measured at fair value. 本集團於二零二六年及二零二五年三月 The Group had no Level 1, Level 2 and Level 3 financial 三十一日並無第一、第二及第三等級之金 instruments as at 31 March 2026 and 2025. There was no 融工具。於截至二零二六年及二零二五年 transfer of financial instruments between Level 1 and Level 2 or 三月三十一日止年度並未就任何金融工具 transfer of financial instruments into or</t>
        </is>
      </c>
    </row>
    <row r="86">
      <c r="A86" s="9" t="inlineStr">
        <is>
          <t>Investment Properties</t>
        </is>
      </c>
      <c r="B86" s="9" t="inlineStr">
        <is>
          <t>投資物業</t>
        </is>
      </c>
      <c r="C86" s="21" t="inlineStr">
        <is>
          <t>high</t>
        </is>
      </c>
      <c r="D86" s="12" t="inlineStr">
        <is>
          <t>投資物業</t>
        </is>
      </c>
      <c r="E86" s="12" t="inlineStr">
        <is>
          <t>PDF p.213 (印刷頁 212)</t>
        </is>
      </c>
      <c r="F86" s="12" t="inlineStr">
        <is>
          <t>perties – – – – (5,384) (5,384) 無形資產減值 Impairment of intangible assets – – (295) – – (295) 銀行利息收入 Bank interest income 3 1 – 64 6 74 投資物業之公平值虧損 Fair value loss on investment properties – (77,643) – – – (77,643) 匯兌（虧損）╱收益淨額 Net exchange (loss)/gain (3,372) 68 – (2,200) 178 (5,326) 應收賬款減值撥回 Reversal of impairment of accounts receivable 75 127 – – – 202 其他應收賬款減值 Impairment of other receivables – – – (133) – (133) 其他資產之撇減 Write down of other assets – (7,326) – – – (7,326) 物業、廠房及設備之減值 Impairment of property, plant and equipment (2,3</t>
        </is>
      </c>
    </row>
    <row r="87">
      <c r="A87" s="9" t="inlineStr">
        <is>
          <t>Investment Properties</t>
        </is>
      </c>
      <c r="B87" s="9" t="inlineStr">
        <is>
          <t>投資物業</t>
        </is>
      </c>
      <c r="C87" s="21" t="inlineStr">
        <is>
          <t>high</t>
        </is>
      </c>
      <c r="D87" s="12" t="inlineStr">
        <is>
          <t>投資物業</t>
        </is>
      </c>
      <c r="E87" s="12" t="inlineStr">
        <is>
          <t>PDF p.215 (印刷頁 214)</t>
        </is>
      </c>
      <c r="F87" s="12" t="inlineStr">
        <is>
          <t>– – – – (15,373) (15,373) 無形資產減值 Impairment of intangible assets – – (351) – – (351) 銀行利息收入 Bank interest income 17 57 – 288 13 375 投資物業之公平值虧損 Fair value loss on investment properties – (48,059) – – – (48,059) 匯兌收益╱（虧損）淨額 Net exchange gain/(loss) 143 (8) – 469 (27) 577 應收賬款減值撥回╱（減值） Reversal of impairment/(impairment) of accounts receivable 2,771 (929) – – – 1,842 出售物業、廠房及設備之收益 Gain on disposal of property, plant and equipment – – – 11 – 11 出售投資物業之虧損 Loss on disposal of investment properties – (7,089) – – – (7,089) 其他資產之撇減 Wri</t>
        </is>
      </c>
    </row>
    <row r="88">
      <c r="A88" s="9" t="inlineStr">
        <is>
          <t>Investment Properties</t>
        </is>
      </c>
      <c r="B88" s="9" t="inlineStr">
        <is>
          <t>投資物業</t>
        </is>
      </c>
      <c r="C88" s="21" t="inlineStr">
        <is>
          <t>high</t>
        </is>
      </c>
      <c r="D88" s="12" t="inlineStr">
        <is>
          <t>投資物業</t>
        </is>
      </c>
      <c r="E88" s="12" t="inlineStr">
        <is>
          <t>PDF p.219 (印刷頁 218)</t>
        </is>
      </c>
      <c r="F88" s="12" t="inlineStr">
        <is>
          <t>scrap materials 43 45 其他服務收入 Other service income 1,297 1,060 出售物業、廠房及設備收益 Gain on disposal of property, plant and equipment – 11 出售投資物業虧損 Loss on disposal of investment properties – (7,089) 租賃終止虧損 Loss on lease termination – (74) 其他資產撇減（附註23） Write-down of other assets (note 23) (7,326) (4,917) 其他應收款項減值 Impairment of other receivables (133) – 無形資產減值（附註22） Impairment of intangible assets (note 22) (295) (351) 物業、廠房及設備減值 Impairment of property, plant and equipment (2,302) – 終止福利成本* Termination benefits costs* (58) (59) 匯兌（虧損）╱收</t>
        </is>
      </c>
    </row>
    <row r="89">
      <c r="A89" s="9" t="inlineStr">
        <is>
          <t>Investment Properties</t>
        </is>
      </c>
      <c r="B89" s="9" t="inlineStr">
        <is>
          <t>投資物業</t>
        </is>
      </c>
      <c r="C89" s="21" t="inlineStr">
        <is>
          <t>high</t>
        </is>
      </c>
      <c r="D89" s="12" t="inlineStr">
        <is>
          <t>投資物業</t>
        </is>
      </c>
      <c r="E89" s="12" t="inlineStr">
        <is>
          <t>PDF p.220 (印刷頁 219)</t>
        </is>
      </c>
      <c r="F89" s="12" t="inlineStr">
        <is>
          <t>,340 廣告及宣傳開支 Advertising and promotion expenses 258 239 已售存貨成本（印刷業務） Cost of inventories sold (printing business) 81,304 88,618 賺取租金之投資物業所產生之 Outgoings in respect of investment properties 投資物業支出 arising from rental-earning investment properties 723 598 使用權資產之折舊 Depreciation of right-of-use assets 853 853 物業、廠房及設備之折舊 Depreciation of property, plant and equipment 2,415 2,500 減：已資本化及已計入印刷業務 Less: Amount capitalised and included in cost of 已售存貨成本之金額 inventories sold for printing business (1,090) (1,082) 物業、廠房及設備之折舊 Depreciation of</t>
        </is>
      </c>
    </row>
    <row r="90">
      <c r="A90" s="9" t="inlineStr">
        <is>
          <t>Investment Properties</t>
        </is>
      </c>
      <c r="B90" s="9" t="inlineStr">
        <is>
          <t>投資物業</t>
        </is>
      </c>
      <c r="C90" s="21" t="inlineStr">
        <is>
          <t>high</t>
        </is>
      </c>
      <c r="D90" s="12" t="inlineStr">
        <is>
          <t>投資物業</t>
        </is>
      </c>
      <c r="E90" s="12" t="inlineStr">
        <is>
          <t>PDF p.233 (印刷頁 232)</t>
        </is>
      </c>
      <c r="F90" s="12" t="inlineStr">
        <is>
          <t>Notes to the Consolidated Financial Statements 綜合財務報表附註 For the year ended 31 March 2026 截至二零二六年三月三十一日止年度 投資物業 20. INVESTMENT PROPERTIES 20. 2026 2025 HK$’000 HK$’000 千港元 千港元 於年初之賬面值 Carrying amount at the beginning of the year 231,600 320,804 公平值變動 Changes in fair value (77,643) (48,059) 出售 Disposals – (40,722) 匯兌調整 Exchange realignment 2,698 (423) 於年末之賬面值 Carrying amount at the end of the year 156,655 231,600 投資物業根據經營租賃出租予第三方，進 The investment properties are leased to third parties under 一步概述詳情載於綜合財務</t>
        </is>
      </c>
    </row>
    <row r="91">
      <c r="A91" s="9" t="inlineStr">
        <is>
          <t>Investment Properties</t>
        </is>
      </c>
      <c r="B91" s="9" t="inlineStr">
        <is>
          <t>投資物業</t>
        </is>
      </c>
      <c r="C91" s="21" t="inlineStr">
        <is>
          <t>high</t>
        </is>
      </c>
      <c r="D91" s="12" t="inlineStr">
        <is>
          <t>capitalisation rate</t>
        </is>
      </c>
      <c r="E91" s="12" t="inlineStr">
        <is>
          <t>PDF p.234 (印刷頁 233)</t>
        </is>
      </c>
      <c r="F91" s="12" t="inlineStr">
        <is>
          <t>收入資本化，而合適 based on capitalisation of the net income and the reversionary 的資本轉化比率乃以出售交易之分析及估 income potential by adopting appropriate capitalisation rates, 值師對投資者當時之要求或期望的詮釋為 which are derived from analysis of sale transactions and valuers’ 根據。估值所採用之當時市值租金乃以標 interpretation of prevailing investor requirements or expectations. 的物業及其他可資比較物業之近期租賃為 The prevailing market rents adopted in the valuation have 參考。 reference to valuers’ view of recent lettings, within the subject properties and other comparable properties. 於本年內，本集團投資物業公平值</t>
        </is>
      </c>
    </row>
    <row r="92">
      <c r="A92" s="9" t="inlineStr">
        <is>
          <t>Investment Properties</t>
        </is>
      </c>
      <c r="B92" s="9" t="inlineStr">
        <is>
          <t>投資物業</t>
        </is>
      </c>
      <c r="C92" s="21" t="inlineStr">
        <is>
          <t>high</t>
        </is>
      </c>
      <c r="D92" s="12" t="inlineStr">
        <is>
          <t>capitalisation rate</t>
        </is>
      </c>
      <c r="E92" s="12" t="inlineStr">
        <is>
          <t>PDF p.235 (印刷頁 234)</t>
        </is>
      </c>
      <c r="F92" s="12" t="inlineStr">
        <is>
          <t>inputs 重大不可觀察 範圍或 估值方法 輸入數據 截至三月三十一日的公平值 加權平均 公平值對輸入數據的敏感度 2026 2025 2026 2025 HK$’000 HK$’000 千港元 千港元 Commercial properties Income Capitalisation rate 117,000 178,100 3.70% to 3.20% to 10 basis points (2025: 10 basis 資本化率 in Hong Kong capitalisation 3.90% 3.40% points) increase in capitalisation 於香港的商業物業 3.70%至 3.20%至 method rate would result in decrease in 收入資本化法 3.90% 3.40% fair value by HK$3,000,000 (2025: HK$5,200,000). 資本化率增加10個基點 （二零二五年：10個基點） 將導致公平值減少 3,000,000港元（二零二五年： 5,200,000港元）。 Unit market rent HK$100 to HK$120 t</t>
        </is>
      </c>
    </row>
    <row r="93">
      <c r="A93" s="9" t="inlineStr">
        <is>
          <t>Investment Properties</t>
        </is>
      </c>
      <c r="B93" s="9" t="inlineStr">
        <is>
          <t>投資物業</t>
        </is>
      </c>
      <c r="C93" s="21" t="inlineStr">
        <is>
          <t>high</t>
        </is>
      </c>
      <c r="D93" s="12" t="inlineStr">
        <is>
          <t>capitalisation rate</t>
        </is>
      </c>
      <c r="E93" s="12" t="inlineStr">
        <is>
          <t>PDF p.236 (印刷頁 235)</t>
        </is>
      </c>
      <c r="F93" s="12" t="inlineStr">
        <is>
          <t>inputs 重大不可觀察 範圍或 估值方法 輸入數據 截至三月三十一日的公平值 加權平均 公平值對輸入數據的敏感度 2026 2025 2026 2025 HK$’000 HK$’000 千港元 千港元 Commercial properties Income Capitalisation rate 39,655 53,500 7.15% 6.00% 10 basis points (2025: 10 basis 資本化率 in Mainland China capitalisation points) increase in capitalisation 於中國大陸的商業物業 method rate would result in decrease in 收入資本化法 fair value by HK$566,500 (2025: HK$800,000). 資本化率增加10個基點 （二零二五年：10個基點） 將導致公平值減少 566,500港元（二零二五年： 800,000港元）。 Unit market rent HK$60 HK$60 1% (2025: 1%) increase 60港元 60港元 per month per in uni</t>
        </is>
      </c>
    </row>
    <row r="94">
      <c r="A94" s="9" t="inlineStr">
        <is>
          <t>Investment Properties</t>
        </is>
      </c>
      <c r="B94" s="9" t="inlineStr">
        <is>
          <t>投資物業</t>
        </is>
      </c>
      <c r="C94" s="21" t="inlineStr">
        <is>
          <t>high</t>
        </is>
      </c>
      <c r="D94" s="12" t="inlineStr">
        <is>
          <t>投資物業</t>
        </is>
      </c>
      <c r="E94" s="12" t="inlineStr">
        <is>
          <t>PDF p.237 (印刷頁 236)</t>
        </is>
      </c>
      <c r="F94" s="12" t="inlineStr">
        <is>
          <t>LEASES 21. 本集團作為出租方 The Group as a lessor 本集團根據經營租賃安排出租其於香港及 The Group leases its investment properties (note 20) consisting of 中國大陸的投資物業（見附註20），包括 commercial properties in Hong Kong and Mainland China under 商業物業。租賃條款一般要求租戶支付保 operating lease arrangements. The terms of the leases generally 證金並根據當時的現行市況定期調租。本 require the tenants to pay security deposits and provide for 集團年內確認的租金收入約為4,773,000 periodic rent adjustments according to the then prevailing market 港元（二零二五年：4,002,000港元），有 conditions. Rental income recognised by the Group</t>
        </is>
      </c>
    </row>
    <row r="95">
      <c r="A95" s="9" t="inlineStr">
        <is>
          <t>Investment Properties</t>
        </is>
      </c>
      <c r="B95" s="9" t="inlineStr">
        <is>
          <t>投資物業</t>
        </is>
      </c>
      <c r="C95" s="21" t="inlineStr">
        <is>
          <t>high</t>
        </is>
      </c>
      <c r="D95" s="12" t="inlineStr">
        <is>
          <t>投資物業</t>
        </is>
      </c>
      <c r="E95" s="12" t="inlineStr">
        <is>
          <t>PDF p.246 (印刷頁 245)</t>
        </is>
      </c>
      <c r="F95" s="12" t="inlineStr">
        <is>
          <t>ed staff costs, subcontracting costs 其他應計費用 and other accruals 4,853 5,005 客戶、租戶及其他按金 Customer, tenant and other deposits 936 6,689 與投資物業有關之應付建設費用 Construction costs payable related to investment properties 784 784 增值稅及應付徵稅 VAT and levies payable 1,950 1,806 其他 Others 2,501 30,078 11,024 44,362 合約負債 31. CONTRACT LIABILITIES 31. 本集團已確認以下與收入相關之合約負債： The Group has recognised the following revenue-related contract liabilities: 2026 2025 HK$’000 HK$’000 千港元 千港元 銷售印刷產品 Sale of printed products 2,045 1,867 銷售物業 Sale of properties – 1,</t>
        </is>
      </c>
    </row>
    <row r="96">
      <c r="A96" s="9" t="inlineStr">
        <is>
          <t>Investment Properties</t>
        </is>
      </c>
      <c r="B96" s="9" t="inlineStr">
        <is>
          <t>投資物業</t>
        </is>
      </c>
      <c r="C96" s="21" t="inlineStr">
        <is>
          <t>high</t>
        </is>
      </c>
      <c r="D96" s="12" t="inlineStr">
        <is>
          <t>投資物業</t>
        </is>
      </c>
      <c r="E96" s="12" t="inlineStr">
        <is>
          <t>PDF p.248 (印刷頁 247)</t>
        </is>
      </c>
      <c r="F96" s="12" t="inlineStr">
        <is>
          <t>(ii) the pledge of the Group’s buildings amounting to approximately 二五年：6,010,000港元）之抵押；及 HK$4,828,000 (2025: HK$6,010,000); and 本集團之投資物業約117,000,000港元 (iii) (iii) the pledge of the Group’s investment properties amounting to （二零二五年：178,100,000港元）及租 approximately HK$117,000,000 (2025: HK$178,100,000) and 金收入之轉讓之抵押。 assignment of rental income. 截至二零二六年三月三十一日，其他借款以本 (b) (b) As at 31 March 2026, the other borrowings are secured by the pledge of the 集團價值約39,655,000港元的投資物業作為質 Group’s investment properties amounting to approximately H</t>
        </is>
      </c>
    </row>
    <row r="97">
      <c r="A97" s="9" t="inlineStr">
        <is>
          <t>Investment Properties</t>
        </is>
      </c>
      <c r="B97" s="9" t="inlineStr">
        <is>
          <t>投資物業</t>
        </is>
      </c>
      <c r="C97" s="21" t="inlineStr">
        <is>
          <t>high</t>
        </is>
      </c>
      <c r="D97" s="12" t="inlineStr">
        <is>
          <t>投資物業</t>
        </is>
      </c>
      <c r="E97" s="12" t="inlineStr">
        <is>
          <t>PDF p.251 (印刷頁 250)</t>
        </is>
      </c>
      <c r="F97" s="12" t="inlineStr">
        <is>
          <t>Fair value Fair value adjustments adjustments arising from arising from business investment combination properties Tax losses Total 投資物業 業務合併產生 產生之公平 的公平值調整 值調整 稅項虧損 總額 HK$’000 HK$’000 HK$’000 HK$’000 千港元 千港元 千港元 千港元 在二零二四年四月一日 At 1 April 2024 1,709 19,638 (3,473) 17,874 年內於收益表（計入）╱ (Credited)/charged to income 扣除（附註13） statement during the year (note 13) (1,009) (4,123) 253 (4,879) 匯兌調整 Exchange realignment (4) (21) – (25) 於二零二五年三月三十一日 At 31 March 2025 and 1 April 2025 及二零二五年四月一日 696 15,494 (3,220) 12,970 年內於收益表（計入）╱ (Credite</t>
        </is>
      </c>
    </row>
    <row r="98">
      <c r="A98" s="9" t="inlineStr">
        <is>
          <t>Investment Properties</t>
        </is>
      </c>
      <c r="B98" s="9" t="inlineStr">
        <is>
          <t>投資物業</t>
        </is>
      </c>
      <c r="C98" s="21" t="inlineStr">
        <is>
          <t>high</t>
        </is>
      </c>
      <c r="D98" s="12" t="inlineStr">
        <is>
          <t>投資物業</t>
        </is>
      </c>
      <c r="E98" s="12" t="inlineStr">
        <is>
          <t>PDF p.263 (印刷頁 262)</t>
        </is>
      </c>
      <c r="F98" s="12" t="inlineStr">
        <is>
          <t>Particulars of Principal Properties 主要物業資料 投資物業 Investment Properties 本集團於二零二六年三月三十一日持有之投資 The following list contains investment properties held by the Group as 物業載於下文。 at 31 March 2026. Location Term Usage Group’s interest 地點 租約期限 用途 本集團擁有權益 Shop B, Ground Floor, Medium lease Commercial 100% 中期租約 商業 Wuhu Residence, No. 111 Wuhu Street, Hunghom, Kowloon, Hong Kong 香港 九龍紅磡 蕪湖街111號 蕪湖居 地下B商舖 Shop D, Ground Floor, Medium lease Commercial 100</t>
        </is>
      </c>
    </row>
    <row r="99">
      <c r="A99" s="9" t="inlineStr">
        <is>
          <t>Investment Properties</t>
        </is>
      </c>
      <c r="B99" s="9" t="inlineStr">
        <is>
          <t>投資物業</t>
        </is>
      </c>
      <c r="C99" s="21" t="inlineStr">
        <is>
          <t>high</t>
        </is>
      </c>
      <c r="D99" s="12" t="inlineStr">
        <is>
          <t>投資物業</t>
        </is>
      </c>
      <c r="E99" s="12" t="inlineStr">
        <is>
          <t>PDF p.264 (印刷頁 263)</t>
        </is>
      </c>
      <c r="F99" s="12" t="inlineStr">
        <is>
          <t>Particulars of Principal Properties 主要物業資料 投資物業（續） Investment Properties (Continued) Location Term Usage Group’s interest 地點 租約期限 用途 本集團擁有權益 6th Floor, Chengdu Digital Plaza, Medium lease Commercial 100% 中期租約 商業 No. 1 Renmin South Road Fourth Portion, Wuhou District, Chengdu, Sichuan Province, the People’s Republic of China (the “PRC”) 中華人民共和國（「中國」） 四川省 成都市武侯區 人民南路四段1號 成都數碼廣場6樓 ANNUAL REPORT 2026 • 263 二零二六年年報</t>
        </is>
      </c>
    </row>
    <row r="100">
      <c r="A100" s="9" t="inlineStr">
        <is>
          <t>ESG Data</t>
        </is>
      </c>
      <c r="B100" s="9" t="inlineStr">
        <is>
          <t>環境社會及管治數據</t>
        </is>
      </c>
      <c r="C100" s="9" t="inlineStr">
        <is>
          <t>medium</t>
        </is>
      </c>
      <c r="D100" s="12" t="inlineStr">
        <is>
          <t>環境、社會及管治</t>
        </is>
      </c>
      <c r="E100" s="12" t="inlineStr">
        <is>
          <t>PDF p.2</t>
        </is>
      </c>
      <c r="F100" s="12" t="inlineStr">
        <is>
          <t>scussion and 12 Biographical Details of Directors and Senior Management 董事及高層管理人員之履歷詳情 25 Report企業管治報告 Corporate Governance 30 Report環境、社會及管治報告 Environmental, Social and Governance 68 Directors董事會報告 Report of the 135 Report獨立核數師報告 Independent Auditor’s 153 Consolidated Statement of Profit or Loss and 綜合損益及其他全面收益表 159 Other Comprehensive Income 綜合財務狀況表 Consolidated Statement of Financial Position 161 綜合權益變動表 Consolidated Statement of Changes in Equity 163 綜合現金流量表 Consolidated Statement of Cash Flows 164 綜合財務報表附註 Notes to the Con</t>
        </is>
      </c>
    </row>
    <row r="101">
      <c r="A101" s="9" t="inlineStr">
        <is>
          <t>ESG Data</t>
        </is>
      </c>
      <c r="B101" s="9" t="inlineStr">
        <is>
          <t>環境社會及管治數據</t>
        </is>
      </c>
      <c r="C101" s="9" t="inlineStr">
        <is>
          <t>medium</t>
        </is>
      </c>
      <c r="D101" s="12" t="inlineStr">
        <is>
          <t>環境、社會及管治</t>
        </is>
      </c>
      <c r="E101" s="12" t="inlineStr">
        <is>
          <t>PDF p.11 (印刷頁 10)</t>
        </is>
      </c>
      <c r="F101" s="12" t="inlineStr">
        <is>
          <t>ns with investors and other stakeholders. 企業社會責任之詳情載於「企業管治報告書」及 Details of the Group’s corporate governance practices and corporate 「環境、社會及管治報告」內。 social responsibilities are included in the “Corporate Governance Report” and “Environmental, Social and Governance Report”. 10 Magnus Concordia Group Limited / 融太集團股份有限公司</t>
        </is>
      </c>
    </row>
    <row r="102">
      <c r="A102" s="9" t="inlineStr">
        <is>
          <t>ESG Data</t>
        </is>
      </c>
      <c r="B102" s="9" t="inlineStr">
        <is>
          <t>環境社會及管治數據</t>
        </is>
      </c>
      <c r="C102" s="9" t="inlineStr">
        <is>
          <t>medium</t>
        </is>
      </c>
      <c r="D102" s="12" t="inlineStr">
        <is>
          <t>環境、社會及管治</t>
        </is>
      </c>
      <c r="E102" s="12" t="inlineStr">
        <is>
          <t>PDF p.24 (印刷頁 23)</t>
        </is>
      </c>
      <c r="F102" s="12" t="inlineStr">
        <is>
          <t>al statements in this annual report. 若干環境及社會相關風險已於本年報第69至 Certain environmental and social related risks have been described 134頁載列之「環境、社會及管治報告」內陳述。 in the “Environmental, Social and Governance Report” as set out on pages 69 to 134 of this annual report. ANNUAL REPORT 2026 • 23 二零二六年年報</t>
        </is>
      </c>
    </row>
    <row r="103">
      <c r="A103" s="9" t="inlineStr">
        <is>
          <t>ESG Data</t>
        </is>
      </c>
      <c r="B103" s="9" t="inlineStr">
        <is>
          <t>環境社會及管治數據</t>
        </is>
      </c>
      <c r="C103" s="9" t="inlineStr">
        <is>
          <t>medium</t>
        </is>
      </c>
      <c r="D103" s="12" t="inlineStr">
        <is>
          <t>ESG</t>
        </is>
      </c>
      <c r="E103" s="12" t="inlineStr">
        <is>
          <t>PDF p.32 (印刷頁 31)</t>
        </is>
      </c>
      <c r="F103" s="12" t="inlineStr">
        <is>
          <t>m values to the stakeholders. 有效的企業管治架構有助本集團了解、評估及 An effective corporate governance structure allows the Group to 管理風險，包括：環境、社會及管治（「ESG」） have a better understanding of, evaluate and manage risks, including 風險。董事會負責設定風險管理的戰略目標、 environment, social and governance (“ESG”) risks. The Board is 貫徹風險管理價值觀、評估及批准風險管理政 responsible for setting strategic objectives for risk management, 策、確保風險管理系統的有效及充分性。 implementing risk management values, evaluating and approving risk management policies, ensuring effective and adequacy of the risk man</t>
        </is>
      </c>
    </row>
    <row r="104">
      <c r="A104" s="9" t="inlineStr">
        <is>
          <t>ESG Data</t>
        </is>
      </c>
      <c r="B104" s="9" t="inlineStr">
        <is>
          <t>環境社會及管治數據</t>
        </is>
      </c>
      <c r="C104" s="9" t="inlineStr">
        <is>
          <t>medium</t>
        </is>
      </c>
      <c r="D104" s="12" t="inlineStr">
        <is>
          <t>可持續</t>
        </is>
      </c>
      <c r="E104" s="12" t="inlineStr">
        <is>
          <t>PDF p.38 (印刷頁 37)</t>
        </is>
      </c>
      <c r="F104" s="12" t="inlineStr">
        <is>
          <t>the appropriate balance of skills, knowledge, experience 以支持執行公司業務策略，進而實 and diversity of perspectives that are required to support 現可持續及均衡發展。 the execution of its business strategy for sustainable and balanced development. ANNUAL REPORT 2026 • 37 二零二六年年報</t>
        </is>
      </c>
    </row>
    <row r="105">
      <c r="A105" s="9" t="inlineStr">
        <is>
          <t>ESG Data</t>
        </is>
      </c>
      <c r="B105" s="9" t="inlineStr">
        <is>
          <t>環境社會及管治數據</t>
        </is>
      </c>
      <c r="C105" s="9" t="inlineStr">
        <is>
          <t>medium</t>
        </is>
      </c>
      <c r="D105" s="12" t="inlineStr">
        <is>
          <t>ESG</t>
        </is>
      </c>
      <c r="E105" s="12" t="inlineStr">
        <is>
          <t>PDF p.70 (印刷頁 69)</t>
        </is>
      </c>
      <c r="F105" s="12" t="inlineStr">
        <is>
          <t>y”) and its subsidiaries 司（統稱「本集團」或「我們」）欣然提呈我們的環 (collectively known as the “Group” or “we”) are pleased to present our 境、社會及管治報告（統稱「ESG報告」或「本報 Environmental, Social and Governance report (collectively known as 告」）。通過匯報本集團於環境、社會及管治方 “ESG report” or “this report”). By reporting the policies, measures and 面的政策、措施及表現，以便持份者及時了解 performances of the Group in ESG aspects, we ensure all stakeholders 本集團對可持續發展的承諾及有關進展。 can fully understand our commitments and progress towards sustainable development. 報告範圍 Reporting boundary 本環境、社會及管治報告涵</t>
        </is>
      </c>
    </row>
    <row r="106">
      <c r="A106" s="9" t="inlineStr">
        <is>
          <t>ESG Data</t>
        </is>
      </c>
      <c r="B106" s="9" t="inlineStr">
        <is>
          <t>環境社會及管治數據</t>
        </is>
      </c>
      <c r="C106" s="9" t="inlineStr">
        <is>
          <t>medium</t>
        </is>
      </c>
      <c r="D106" s="12" t="inlineStr">
        <is>
          <t>ESG</t>
        </is>
      </c>
      <c r="E106" s="12" t="inlineStr">
        <is>
          <t>PDF p.71 (印刷頁 70)</t>
        </is>
      </c>
      <c r="F106" s="12" t="inlineStr">
        <is>
          <t>1 Gloucester Road, Wanchai, Hong Kong 電話號碼： Phone: (852) 2160 3088 (852) 2160 3088 傳真： Fax: (852) 2160 3080 (852) 2160 3080 環境、社會及管治 ESG Governance 本集團高度關注環境、社會及管治方面的表現， The Group places great emphasis to its ESG performance. We 深知環境保護、社會責任和良好的管治對企業 recognize the importance of environmental protection, social 的長期成功和可持續發展至關重要。因此，我 responsibility, and robust governance for the long-term success and 們致力於確保公司遵守合規要求，建立負責任 sustainable development of the company. Therefore, we are committed 的企業形象，以滿足持份者的期望並為他們創 to ensuring compliance</t>
        </is>
      </c>
    </row>
    <row r="107">
      <c r="A107" s="9" t="inlineStr">
        <is>
          <t>ESG Data</t>
        </is>
      </c>
      <c r="B107" s="9" t="inlineStr">
        <is>
          <t>環境社會及管治數據</t>
        </is>
      </c>
      <c r="C107" s="9" t="inlineStr">
        <is>
          <t>medium</t>
        </is>
      </c>
      <c r="D107" s="12" t="inlineStr">
        <is>
          <t>ESG</t>
        </is>
      </c>
      <c r="E107" s="12" t="inlineStr">
        <is>
          <t>PDF p.72 (印刷頁 71)</t>
        </is>
      </c>
      <c r="F107" s="12" t="inlineStr">
        <is>
          <t>董事會聲明 Board statement 董事會全面負責監督本集團的環境、社會及管 The Board has an overall responsibility for overseeing the Group’s 治相關風險和機遇，制定及採納本集團的環境、 ESG-related risks and opportunities, establishing and adopting the 社會及管治相關戰略與目標，對集團每年的業 ESG-related strategies and targets of the Group, reviewing the Group’s 績與目標進行評估。同時，董事會將定期重審 performance annually against the targets, and revising the strategies 目標的可行性，並在識別到績效表現與目標出 if significant variance from the target is identified to support the 現重大差異時，適時對戰略、政策等進行修改， achievement of the Group’s sustainable</t>
        </is>
      </c>
    </row>
    <row r="108">
      <c r="A108" s="9" t="inlineStr">
        <is>
          <t>ESG Data</t>
        </is>
      </c>
      <c r="B108" s="9" t="inlineStr">
        <is>
          <t>環境社會及管治數據</t>
        </is>
      </c>
      <c r="C108" s="9" t="inlineStr">
        <is>
          <t>medium</t>
        </is>
      </c>
      <c r="D108" s="12" t="inlineStr">
        <is>
          <t>環境、社會及管治</t>
        </is>
      </c>
      <c r="E108" s="12" t="inlineStr">
        <is>
          <t>PDF p.73 (印刷頁 72)</t>
        </is>
      </c>
      <c r="F108" s="12" t="inlineStr">
        <is>
          <t>Environmental, Social and Governance Report 環境、社會及管治報告 持份者參與（續） Stakeholder engagement (Continued) Stakeholder Groups Key Concerns Communication Channels 持份者群體 關注重點 溝通渠道 Employees • Employee remuneration and benefits • Employee activities 僱員 僱員薪酬與福利 僱員活動 • Occupational health and safety • Employee performance appraisals 職業健康與安全 僱員績效考核 • Protection of employees’ legitimate • Employee training 僱員培訓 rights and interests 保護僱員合法權益 • Internal mee</t>
        </is>
      </c>
    </row>
    <row r="109">
      <c r="A109" s="9" t="inlineStr">
        <is>
          <t>ESG Data</t>
        </is>
      </c>
      <c r="B109" s="9" t="inlineStr">
        <is>
          <t>環境社會及管治數據</t>
        </is>
      </c>
      <c r="C109" s="9" t="inlineStr">
        <is>
          <t>medium</t>
        </is>
      </c>
      <c r="D109" s="12" t="inlineStr">
        <is>
          <t>greenhouse gas</t>
        </is>
      </c>
      <c r="E109" s="12" t="inlineStr">
        <is>
          <t>PDF p.74 (印刷頁 73)</t>
        </is>
      </c>
      <c r="F109" s="12" t="inlineStr">
        <is>
          <t>團造成 The Group was not aware of any material non-compliance with relevant 重大影響的有關空氣及溫室氣體的排放、向水 laws and regulations regarding air and greenhouse gas emissions, 及土地的排放以及對於產生有害及無害廢棄物 water and land discharges and hazardous and non-hazardous waste 的法律法規有任何重大違規情況。 generation that had a significant impact on the Group this Year. ANNUAL REPORT 2026 • 73 二零二六年年報</t>
        </is>
      </c>
    </row>
    <row r="110">
      <c r="A110" s="9" t="inlineStr">
        <is>
          <t>ESG Data</t>
        </is>
      </c>
      <c r="B110" s="9" t="inlineStr">
        <is>
          <t>環境社會及管治數據</t>
        </is>
      </c>
      <c r="C110" s="9" t="inlineStr">
        <is>
          <t>medium</t>
        </is>
      </c>
      <c r="D110" s="12" t="inlineStr">
        <is>
          <t>carbon</t>
        </is>
      </c>
      <c r="E110" s="12" t="inlineStr">
        <is>
          <t>PDF p.75 (印刷頁 74)</t>
        </is>
      </c>
      <c r="F110" s="12" t="inlineStr">
        <is>
          <t>Environmental (Continued) 本集團的環境相關目標包括降低碳排放、減少 The Group’s environment-related targets include the reduction of 有害及無害廢棄物的產生，以及負責任地使用 carbon emissions, the minimization of hazardous and non-hazardous 能源、水資源、原材料等自然資源。鑒於地產 waste generation and the responsible use of natural resources such 發展項目的規模、物料需求和建設階段各不相 as energy, water resources and raw materials. As different property 同，因此很難直接比較它們的碳排放水平。然 development projects have different scales and material requirements, 而，我們深刻意識到設定目標的重要性並已經 it is difficult to compare their levels of ca</t>
        </is>
      </c>
    </row>
    <row r="111">
      <c r="A111" s="9" t="inlineStr">
        <is>
          <t>ESG Data</t>
        </is>
      </c>
      <c r="B111" s="9" t="inlineStr">
        <is>
          <t>環境社會及管治數據</t>
        </is>
      </c>
      <c r="C111" s="9" t="inlineStr">
        <is>
          <t>medium</t>
        </is>
      </c>
      <c r="D111" s="12" t="inlineStr">
        <is>
          <t>環境、社會及管治</t>
        </is>
      </c>
      <c r="E111" s="12" t="inlineStr">
        <is>
          <t>PDF p.76 (印刷頁 75)</t>
        </is>
      </c>
      <c r="F111" s="12" t="inlineStr">
        <is>
          <t>Environmental, Social and Governance Report 環境、社會及管治報告 環境（續） Environmental (Continued) 物業投資業務（續） Property investment business (Continued) 廢棄物管理 Waste management 本集團物業投資業務的廢棄物主要為生活廢棄 The waste of the Group’s property investment business mainly consists 物、少量的廢墨水匣及硒鼓。生活廢棄物由清 of domestic waste, a small amount of waste ink cartridges and toner 潔團隊統一收集處理，廢墨水匣及硒鼓等有害 cartridges. Domestic waste is collected and processed by the cleaning 廢棄物則交由供應商妥善回</t>
        </is>
      </c>
    </row>
    <row r="112">
      <c r="A112" s="9" t="inlineStr">
        <is>
          <t>ESG Data</t>
        </is>
      </c>
      <c r="B112" s="9" t="inlineStr">
        <is>
          <t>環境社會及管治數據</t>
        </is>
      </c>
      <c r="C112" s="9" t="inlineStr">
        <is>
          <t>medium</t>
        </is>
      </c>
      <c r="D112" s="12" t="inlineStr">
        <is>
          <t>環境、社會及管治</t>
        </is>
      </c>
      <c r="E112" s="12" t="inlineStr">
        <is>
          <t>PDF p.77 (印刷頁 76)</t>
        </is>
      </c>
      <c r="F112" s="12" t="inlineStr">
        <is>
          <t>Environmental, Social and Governance Report 環境、社會及管治報告 環境（續） Environmental (Continued) 印刷業務（續） Printing business (Continued) 廢氣排放管理 Air emission management 印刷業務生產流程中的印刷工序及燙金工序會 Volatile organic compounds2 (“VOCs”) are generated during the printing 產生揮發性有機化合物2(VOCs)。我們嚴格執 and bronzing procedures during the production process of the printing 行廣東省《印刷行業揮發性有機化合物排放標 business. We strictly implement the Stage II Level 2 limit requirements 準》 （DB44/</t>
        </is>
      </c>
    </row>
    <row r="113">
      <c r="A113" s="9" t="inlineStr">
        <is>
          <t>ESG Data</t>
        </is>
      </c>
      <c r="B113" s="9" t="inlineStr">
        <is>
          <t>環境社會及管治數據</t>
        </is>
      </c>
      <c r="C113" s="9" t="inlineStr">
        <is>
          <t>medium</t>
        </is>
      </c>
      <c r="D113" s="12" t="inlineStr">
        <is>
          <t>carbon</t>
        </is>
      </c>
      <c r="E113" s="12" t="inlineStr">
        <is>
          <t>PDF p.78 (印刷頁 77)</t>
        </is>
      </c>
      <c r="F113" s="12" t="inlineStr">
        <is>
          <t>nvironmental, Social and Governance Report 環境、社會及管治報告 環境（續） Environmental (Continued) 印刷業務（續） Printing business (Continued) 碳排放與能源管理 Carbon emissions and energy management 我們積極回應國家節能減排倡議，通過具體的 We actively respond to the national energy conservation and emission 行動和措施提高能源使用效率，降低運營層面 reduction initiatives by improving energy efficiency and reducing carbon 的碳排放。為了有效實現節能降耗目標，我們 emissions in our operational processes through concrete actions 的印刷業務已建立相關的管理制度，例如《節能 and measures. In order to effectively achieve our energy-saving and 減排</t>
        </is>
      </c>
    </row>
    <row r="114">
      <c r="A114" s="9" t="inlineStr">
        <is>
          <t>ESG Data</t>
        </is>
      </c>
      <c r="B114" s="9" t="inlineStr">
        <is>
          <t>環境社會及管治數據</t>
        </is>
      </c>
      <c r="C114" s="9" t="inlineStr">
        <is>
          <t>medium</t>
        </is>
      </c>
      <c r="D114" s="12" t="inlineStr">
        <is>
          <t>環境、社會及管治</t>
        </is>
      </c>
      <c r="E114" s="12" t="inlineStr">
        <is>
          <t>PDF p.79 (印刷頁 78)</t>
        </is>
      </c>
      <c r="F114" s="12" t="inlineStr">
        <is>
          <t>Environmental, Social and Governance Report 環境、社會及管治報告 環境（續） Environmental (Continued) 印刷業務（續） Printing business (Continued) 廢棄物管理（續） Waste management (Continued) 本集團印刷業務委託專業回收公司處理生產廢 Our printing business entrusts a professional recycling company 料、廢棄包裝材料、廢棄電腦、廢棄辦公室傢 to handle production waste, waste packaging materials, discarded 俱及其他設備，以提高資源的重複利用率。我 computers, waste furniture and other equipment to increase the 們在存放和運送廢棄物時，嚴格遵守相關規定， reso</t>
        </is>
      </c>
    </row>
    <row r="115">
      <c r="A115" s="9" t="inlineStr">
        <is>
          <t>ESG Data</t>
        </is>
      </c>
      <c r="B115" s="9" t="inlineStr">
        <is>
          <t>環境社會及管治數據</t>
        </is>
      </c>
      <c r="C115" s="9" t="inlineStr">
        <is>
          <t>medium</t>
        </is>
      </c>
      <c r="D115" s="12" t="inlineStr">
        <is>
          <t>環境、社會及管治</t>
        </is>
      </c>
      <c r="E115" s="12" t="inlineStr">
        <is>
          <t>PDF p.80 (印刷頁 79)</t>
        </is>
      </c>
      <c r="F115" s="12" t="inlineStr">
        <is>
          <t>Environmental, Social and Governance Report 環境、社會及管治報告 環境（續） Environmental (Continued) 印刷業務（續） Printing business (Continued) 水資源使用與污水處理 Use of water resources and sewage treatment 本集團印刷業務用水包括辦公室及印刷生產用 Major usage of water resources in our printing business include water 水。水源取自市政供水。通過落實《節約用水管 consumption for office and printing production. Water is sourced from 理制度》及各項節水措施，我們致力於提升生產 the municipal water supply. By implementing the “Water Cons</t>
        </is>
      </c>
    </row>
    <row r="116">
      <c r="A116" s="9" t="inlineStr">
        <is>
          <t>ESG Data</t>
        </is>
      </c>
      <c r="B116" s="9" t="inlineStr">
        <is>
          <t>環境社會及管治數據</t>
        </is>
      </c>
      <c r="C116" s="9" t="inlineStr">
        <is>
          <t>medium</t>
        </is>
      </c>
      <c r="D116" s="12" t="inlineStr">
        <is>
          <t>sustainability</t>
        </is>
      </c>
      <c r="E116" s="12" t="inlineStr">
        <is>
          <t>PDF p.81 (印刷頁 80)</t>
        </is>
      </c>
      <c r="F116" s="12" t="inlineStr">
        <is>
          <t>經濟性的 consuming the natural resources, we are committed to preserving 森林資源管理。實行綠色採購方面，我們選用 biodiversity, encouraging forest resources sustainability, and promoting 獲得FSC認證的原料。 environmental-friendly, social-beneficial and economical-viable forest resources management. In implementing green procurement, we choose FSC-certified raw materials. 生產噪聲管理 Production noise management 本集團印刷業務根據《工業企業廠界環境噪聲 Our printing business follows the “Industrial Enterprises Environmental (《工業企業廠界環境噪聲排放標準》/ 排放標準》 （GB12348-2008）進行噪聲排放管理， Noise Emission</t>
        </is>
      </c>
    </row>
    <row r="117">
      <c r="A117" s="9" t="inlineStr">
        <is>
          <t>ESG Data</t>
        </is>
      </c>
      <c r="B117" s="9" t="inlineStr">
        <is>
          <t>環境社會及管治數據</t>
        </is>
      </c>
      <c r="C117" s="9" t="inlineStr">
        <is>
          <t>medium</t>
        </is>
      </c>
      <c r="D117" s="12" t="inlineStr">
        <is>
          <t>greenhouse gas</t>
        </is>
      </c>
      <c r="E117" s="12" t="inlineStr">
        <is>
          <t>PDF p.82 (印刷頁 81)</t>
        </is>
      </c>
      <c r="F117" s="12" t="inlineStr">
        <is>
          <t>tly during • 規定，並通過技術升級、設施設備維護與 the construction and production process, and improve energy 改造等方式，提高能源效率，減少溫室氣 efficiency and reduce greenhouse gas emissions through 體排放； technological upgrades, facility maintenance and transformation of the facilities and equipment; 優先選用綠色環保產品，注重本地化採購 • Giving priority to green and environmentally-friendly products, • 以減低運輸過程中的碳排放； focus on localized procurement to reduce carbon emissions during transportation; 制定《業務連續性計劃》，以保障業務連續 • Establishing Business Contingency Plans (BCP) to ensure • 性及員</t>
        </is>
      </c>
    </row>
    <row r="118">
      <c r="A118" s="9" t="inlineStr">
        <is>
          <t>ESG Data</t>
        </is>
      </c>
      <c r="B118" s="9" t="inlineStr">
        <is>
          <t>環境社會及管治數據</t>
        </is>
      </c>
      <c r="C118" s="9" t="inlineStr">
        <is>
          <t>medium</t>
        </is>
      </c>
      <c r="D118" s="12" t="inlineStr">
        <is>
          <t>ESG</t>
        </is>
      </c>
      <c r="E118" s="12" t="inlineStr">
        <is>
          <t>PDF p.83 (印刷頁 82)</t>
        </is>
      </c>
      <c r="F118" s="12" t="inlineStr">
        <is>
          <t>forces for the Group and expand our talent pool. 本集團本年度的僱傭數據可參考附錄I The employment data of the Group in the Year can be referred to — ESG 關鍵績效指標。 Appendix I — ESG Key Performance Indicator. 82 Magnus Concordia Group Limited / 融太集團股份有限公司</t>
        </is>
      </c>
    </row>
    <row r="119">
      <c r="A119" s="9" t="inlineStr">
        <is>
          <t>ESG Data</t>
        </is>
      </c>
      <c r="B119" s="9" t="inlineStr">
        <is>
          <t>環境社會及管治數據</t>
        </is>
      </c>
      <c r="C119" s="9" t="inlineStr">
        <is>
          <t>medium</t>
        </is>
      </c>
      <c r="D119" s="12" t="inlineStr">
        <is>
          <t>環境、社會及管治</t>
        </is>
      </c>
      <c r="E119" s="12" t="inlineStr">
        <is>
          <t>PDF p.84 (印刷頁 83)</t>
        </is>
      </c>
      <c r="F119" s="12" t="inlineStr">
        <is>
          <t>Environmental, Social and Governance Report 環境、社會及管治報告 僱傭及勞工常規（續） Employment and labour practices (Continued) 僱員招聘與晉升（續） Recruitment and promotion (Continued) 本集團合理規劃晉升渠道，設置縱向及橫向職 The Group rationally planned promotion channels, established vertical 級晉升機會，賦予僱員多樣化的發展機會。我 and horizontal promotion opportunities, and provided employees with 們對僱員進行多維度的測評，確保優秀人才有 diversified development opportunities. We conduct multi-dimensional 足夠機會被識別及提拔。對未獲晉升</t>
        </is>
      </c>
    </row>
    <row r="120">
      <c r="A120" s="9" t="inlineStr">
        <is>
          <t>ESG Data</t>
        </is>
      </c>
      <c r="B120" s="9" t="inlineStr">
        <is>
          <t>環境社會及管治數據</t>
        </is>
      </c>
      <c r="C120" s="9" t="inlineStr">
        <is>
          <t>medium</t>
        </is>
      </c>
      <c r="D120" s="12" t="inlineStr">
        <is>
          <t>環境、社會及管治</t>
        </is>
      </c>
      <c r="E120" s="12" t="inlineStr">
        <is>
          <t>PDF p.85 (印刷頁 84)</t>
        </is>
      </c>
      <c r="F120" s="12" t="inlineStr">
        <is>
          <t>Environmental, Social and Governance Report 環境、社會及管治報告 僱傭及勞工常規（續） Employment and labour practices (Continued) 僱員日常福利 Employee daily benefits 我們為員工提供多種福利，關注員工身心健康， We provide our employees with various benefits and prioritize their 體察照顧員工的情緒。香港辦公室設立了「零食 physical and mental well-being. We also pay attention to the emotional 加油站」，為員工提供多種飲品和零食，讓僱員 care of our employees. In our Hong Kong office, we have set up a 在忙碌工作中放鬆身心。在節慶季節，我們為 snack bar to</t>
        </is>
      </c>
    </row>
    <row r="121">
      <c r="A121" s="9" t="inlineStr">
        <is>
          <t>ESG Data</t>
        </is>
      </c>
      <c r="B121" s="9" t="inlineStr">
        <is>
          <t>環境社會及管治數據</t>
        </is>
      </c>
      <c r="C121" s="9" t="inlineStr">
        <is>
          <t>medium</t>
        </is>
      </c>
      <c r="D121" s="12" t="inlineStr">
        <is>
          <t>ESG</t>
        </is>
      </c>
      <c r="E121" s="12" t="inlineStr">
        <is>
          <t>PDF p.86 (印刷頁 85)</t>
        </is>
      </c>
      <c r="F121" s="12" t="inlineStr">
        <is>
          <t>rough the implementation of quality control processes. Printing knowledge and quality control training 印刷知識及質量控制培訓 本集團本年度的培訓數據可參考附錄I ESG關 The training data of the Group in the Year can be referred to Appendix 鍵績效指標。 I ESG Key Performance Indicator. ANNUAL REPORT 2026 • 85 二零二六年年報</t>
        </is>
      </c>
    </row>
    <row r="122">
      <c r="A122" s="9" t="inlineStr">
        <is>
          <t>ESG Data</t>
        </is>
      </c>
      <c r="B122" s="9" t="inlineStr">
        <is>
          <t>環境社會及管治數據</t>
        </is>
      </c>
      <c r="C122" s="9" t="inlineStr">
        <is>
          <t>medium</t>
        </is>
      </c>
      <c r="D122" s="12" t="inlineStr">
        <is>
          <t>環境、社會及管治</t>
        </is>
      </c>
      <c r="E122" s="12" t="inlineStr">
        <is>
          <t>PDF p.87 (印刷頁 86)</t>
        </is>
      </c>
      <c r="F122" s="12" t="inlineStr">
        <is>
          <t>Environmental, Social and Governance Report 環境、社會及管治報告 職業安全與健康 Occupational safety and health 本集團將僱員的安全與健康放在首位，嚴格遵 Placing employees’ safety and health as the top priority, the Group 守《中華人民共和國職業病防治法》、《中華人 strictly abides by the Law of the People’s Republic of China on the (《中華人民共和國 民共和國安全生產法》、《中華人民共和國消防 Prevention and Control of Occupational Diseases 職業病防治法》), 法》、《職業安全及健康條例》 （香港法例第509章） the Production Safety Law of the People’s Republic (《中</t>
        </is>
      </c>
    </row>
    <row r="123">
      <c r="A123" s="9" t="inlineStr">
        <is>
          <t>ESG Data</t>
        </is>
      </c>
      <c r="B123" s="9" t="inlineStr">
        <is>
          <t>環境社會及管治數據</t>
        </is>
      </c>
      <c r="C123" s="9" t="inlineStr">
        <is>
          <t>medium</t>
        </is>
      </c>
      <c r="D123" s="12" t="inlineStr">
        <is>
          <t>ESG</t>
        </is>
      </c>
      <c r="E123" s="12" t="inlineStr">
        <is>
          <t>PDF p.88 (印刷頁 87)</t>
        </is>
      </c>
      <c r="F123" s="12" t="inlineStr">
        <is>
          <t>up was not aware of any work-related 事件。本集團其他職業健康及安全數據可參考 fatalities. Other occupational health and safety data of the Group can 附錄I ESG關鍵績效指標。 be referred to Appendix I — ESG Key Performance Indicator. — ANNUAL REPORT 2026 • 87 二零二六年年報</t>
        </is>
      </c>
    </row>
    <row r="124">
      <c r="A124" s="9" t="inlineStr">
        <is>
          <t>ESG Data</t>
        </is>
      </c>
      <c r="B124" s="9" t="inlineStr">
        <is>
          <t>環境社會及管治數據</t>
        </is>
      </c>
      <c r="C124" s="9" t="inlineStr">
        <is>
          <t>medium</t>
        </is>
      </c>
      <c r="D124" s="12" t="inlineStr">
        <is>
          <t>環境、社會及管治</t>
        </is>
      </c>
      <c r="E124" s="12" t="inlineStr">
        <is>
          <t>PDF p.89 (印刷頁 88)</t>
        </is>
      </c>
      <c r="F124" s="12" t="inlineStr">
        <is>
          <t>Environmental, Social and Governance Report 環境、社會及管治報告 勞工準則 Labour standards 本集團致力於創造互相尊重、和諧共融的工作 The Group is committed to creating a work environment that promotes 環境。我們不會因為僱員的國籍﹑性別、年齡、 mutual respect and harmony. All staff will not be discriminated because 民族、種族、身體狀況、宗教信仰、性別取向 of their nationality, gender, age, ethnicity, race, physical condition, 等不同而存在歧視行為。我們依法尊重員工包 religious belief, gender orientation or any other factors. We respect</t>
        </is>
      </c>
    </row>
    <row r="125">
      <c r="A125" s="9" t="inlineStr">
        <is>
          <t>ESG Data</t>
        </is>
      </c>
      <c r="B125" s="9" t="inlineStr">
        <is>
          <t>環境社會及管治數據</t>
        </is>
      </c>
      <c r="C125" s="9" t="inlineStr">
        <is>
          <t>medium</t>
        </is>
      </c>
      <c r="D125" s="12" t="inlineStr">
        <is>
          <t>環境、社會及管治</t>
        </is>
      </c>
      <c r="E125" s="12" t="inlineStr">
        <is>
          <t>PDF p.90 (印刷頁 89)</t>
        </is>
      </c>
      <c r="F125" s="12" t="inlineStr">
        <is>
          <t>Environmental, Social and Governance Report 環境、社會及管治報告 供應鏈管理 Supply chain management 負責任的供應鏈管理對企業穩健發展而言至關 Responsible supply chain management is crucial to the sound 重要。本集團嚴格遵守《中華人民共和國招標投 development of a business. While strictly complying with the Law of (《中 標法》等法律法規，對各大供應商進行定期審 the People’s Republic of China on Bid Invitation and Bidding 華人民共和國招標投標法》) 核，以保障供應商在質量管理、交付時間、售 and relevant laws and regulations, the 後服務、社會與環境風險管理方面的能力符合 Group c</t>
        </is>
      </c>
    </row>
    <row r="126">
      <c r="A126" s="9" t="inlineStr">
        <is>
          <t>ESG Data</t>
        </is>
      </c>
      <c r="B126" s="9" t="inlineStr">
        <is>
          <t>環境社會及管治數據</t>
        </is>
      </c>
      <c r="C126" s="9" t="inlineStr">
        <is>
          <t>medium</t>
        </is>
      </c>
      <c r="D126" s="12" t="inlineStr">
        <is>
          <t>環境、社會及管治</t>
        </is>
      </c>
      <c r="E126" s="12" t="inlineStr">
        <is>
          <t>PDF p.91 (印刷頁 90)</t>
        </is>
      </c>
      <c r="F126" s="12" t="inlineStr">
        <is>
          <t>Environmental, Social and Governance Report 環境、社會及管治報告 供應鏈管理（續） Supply chain management (Continued) 供應商的環境與社會責任（續） Environmental and social responsibilities of suppliers (Continued) 本集團印刷業務的主要供應商需簽署《社會責 The printing business of the Group requires major suppliers to sign 任承諾書》，承諾遵守當地勞動法規。納入《合 the “Social Responsibility Commitment Letter” and promise to abide 格供應商名錄》的供應商需簽署《符合限用物質 by the local labour laws and regulations. Suppliers included i</t>
        </is>
      </c>
    </row>
    <row r="127">
      <c r="A127" s="9" t="inlineStr">
        <is>
          <t>ESG Data</t>
        </is>
      </c>
      <c r="B127" s="9" t="inlineStr">
        <is>
          <t>環境社會及管治數據</t>
        </is>
      </c>
      <c r="C127" s="9" t="inlineStr">
        <is>
          <t>medium</t>
        </is>
      </c>
      <c r="D127" s="12" t="inlineStr">
        <is>
          <t>環境、社會及管治</t>
        </is>
      </c>
      <c r="E127" s="12" t="inlineStr">
        <is>
          <t>PDF p.92 (印刷頁 91)</t>
        </is>
      </c>
      <c r="F127" s="12" t="inlineStr">
        <is>
          <t>Environmental, Social and Governance Report 環境、社會及管治報告 產品責任 Product responsibility 本集團始終堅信卓越的產品品質、創新的產品 The Group believes that excellent quality, creative design and 設計及專業的售後服務是可持續發展的核心。 professional after-sales service are the core of sustainable 在營運中，我們嚴格控制印刷品及建設住宅的 development. We strictly control the quality of printed materials and 質量，為客戶提供專業、便捷的售後服務，致 residential buildings, and provide professional and convenient after- 力保障客戶的消費權益。 s</t>
        </is>
      </c>
    </row>
    <row r="128">
      <c r="A128" s="9" t="inlineStr">
        <is>
          <t>ESG Data</t>
        </is>
      </c>
      <c r="B128" s="9" t="inlineStr">
        <is>
          <t>環境社會及管治數據</t>
        </is>
      </c>
      <c r="C128" s="9" t="inlineStr">
        <is>
          <t>medium</t>
        </is>
      </c>
      <c r="D128" s="12" t="inlineStr">
        <is>
          <t>環境、社會及管治</t>
        </is>
      </c>
      <c r="E128" s="12" t="inlineStr">
        <is>
          <t>PDF p.93 (印刷頁 92)</t>
        </is>
      </c>
      <c r="F128" s="12" t="inlineStr">
        <is>
          <t>Environmental, Social and Governance Report 環境、社會及管治報告 產品責任（續） Product responsibility (Continued) 印刷品質管控（續） Printing quality control (Continued) 印刷業務（續） Printing business (Continued) 來料品質管控 Quality control of incoming materials • When selecting suppliers, we evaluate their market reputation, business scale and samples’ quality, and regularly evaluate material quality and delivery time during the cooperation, so as to select the ones with go</t>
        </is>
      </c>
    </row>
    <row r="129">
      <c r="A129" s="9" t="inlineStr">
        <is>
          <t>ESG Data</t>
        </is>
      </c>
      <c r="B129" s="9" t="inlineStr">
        <is>
          <t>環境社會及管治數據</t>
        </is>
      </c>
      <c r="C129" s="9" t="inlineStr">
        <is>
          <t>medium</t>
        </is>
      </c>
      <c r="D129" s="12" t="inlineStr">
        <is>
          <t>環境、社會及管治</t>
        </is>
      </c>
      <c r="E129" s="12" t="inlineStr">
        <is>
          <t>PDF p.94 (印刷頁 93)</t>
        </is>
      </c>
      <c r="F129" s="12" t="inlineStr">
        <is>
          <t>Environmental, Social and Governance Report 環境、社會及管治報告 產品責任（續） Product responsibility (Continued) 印刷品質管控（續） Printing quality control (Continued) 印刷業務（續） Printing business (Continued) 成品品質管控 Quality control of final products • Each batch of final products must pass the sampling inspection by the quality control department, and only the products with pass labels are allowed to be delivered, and implement the finished product inspection system</t>
        </is>
      </c>
    </row>
    <row r="130">
      <c r="A130" s="9" t="inlineStr">
        <is>
          <t>ESG Data</t>
        </is>
      </c>
      <c r="B130" s="9" t="inlineStr">
        <is>
          <t>環境社會及管治數據</t>
        </is>
      </c>
      <c r="C130" s="9" t="inlineStr">
        <is>
          <t>medium</t>
        </is>
      </c>
      <c r="D130" s="12" t="inlineStr">
        <is>
          <t>環境、社會及管治</t>
        </is>
      </c>
      <c r="E130" s="12" t="inlineStr">
        <is>
          <t>PDF p.95 (印刷頁 94)</t>
        </is>
      </c>
      <c r="F130" s="12" t="inlineStr">
        <is>
          <t>Environmental, Social and Governance Report 環境、社會及管治報告 產品責任（續） Product responsibility (Continued) 印刷品質管控（續） Printing quality control (Continued) 印刷業務（續） Printing business (Continued) 本集團產品面向國際及國內客戶銷售，符合國 As the Group’s products are sold to both international and domestic 際國內質量標準要求對業務發展尤為重要。本 customers, compliance with international and domestic quality 集團已根據ISO9001:2015質量管理體系實施質 standards is particularly important for our business developme</t>
        </is>
      </c>
    </row>
    <row r="131">
      <c r="A131" s="9" t="inlineStr">
        <is>
          <t>ESG Data</t>
        </is>
      </c>
      <c r="B131" s="9" t="inlineStr">
        <is>
          <t>環境社會及管治數據</t>
        </is>
      </c>
      <c r="C131" s="9" t="inlineStr">
        <is>
          <t>medium</t>
        </is>
      </c>
      <c r="D131" s="12" t="inlineStr">
        <is>
          <t>環境、社會及管治</t>
        </is>
      </c>
      <c r="E131" s="12" t="inlineStr">
        <is>
          <t>PDF p.96 (印刷頁 95)</t>
        </is>
      </c>
      <c r="F131" s="12" t="inlineStr">
        <is>
          <t>Environmental, Social and Governance Report 環境、社會及管治報告 產品責任（續） Product responsibility (Continued) 客戶服務滿意度 Customer service and satisfaction 本集團印刷業務嚴格遵守《中華人民共和國消 The printing business of the Group strictly follows the Law of the 費者權益保護法》等法律法規，制定《內外部溝 People’s Republic of China on the Protection of Consumer Rights (《中華人民共和國消費者權益保護法》) 通控制程序》等制度，通過各類途徑收集客戶對 and Interests and other 產品質量、交期、服務等方面的投訴及意見。 relevant laws and regulations. The Group ha</t>
        </is>
      </c>
    </row>
    <row r="132">
      <c r="A132" s="9" t="inlineStr">
        <is>
          <t>ESG Data</t>
        </is>
      </c>
      <c r="B132" s="9" t="inlineStr">
        <is>
          <t>環境社會及管治數據</t>
        </is>
      </c>
      <c r="C132" s="9" t="inlineStr">
        <is>
          <t>medium</t>
        </is>
      </c>
      <c r="D132" s="12" t="inlineStr">
        <is>
          <t>環境、社會及管治</t>
        </is>
      </c>
      <c r="E132" s="12" t="inlineStr">
        <is>
          <t>PDF p.97 (印刷頁 96)</t>
        </is>
      </c>
      <c r="F132" s="12" t="inlineStr">
        <is>
          <t>Environmental, Social and Governance Report 環境、社會及管治報告 產品責任（續） Product responsibility (Continued) 客戶服務滿意度（續） Customer service and satisfaction (Continued) 至於本集團印刷業務的售後服務，全部有關產 About the after-sales service of the printing business of the Group, 品及服務的投訴均在有效時間內完善處理。 all complaints received in relation to products and services are dealt promptly. 客戶信息及私隱保護 Customer information and privacy protection 本集團高度重視保護客戶的產品信息、隱私信 The Group attaches grea</t>
        </is>
      </c>
    </row>
    <row r="133">
      <c r="A133" s="9" t="inlineStr">
        <is>
          <t>ESG Data</t>
        </is>
      </c>
      <c r="B133" s="9" t="inlineStr">
        <is>
          <t>環境社會及管治數據</t>
        </is>
      </c>
      <c r="C133" s="9" t="inlineStr">
        <is>
          <t>medium</t>
        </is>
      </c>
      <c r="D133" s="12" t="inlineStr">
        <is>
          <t>環境、社會及管治</t>
        </is>
      </c>
      <c r="E133" s="12" t="inlineStr">
        <is>
          <t>PDF p.98 (印刷頁 97)</t>
        </is>
      </c>
      <c r="F133" s="12" t="inlineStr">
        <is>
          <t>Environmental, Social and Governance Report 環境、社會及管治報告 產品責任（續） Product responsibility (Continued) 合規營銷與宣傳 Marketing and promotion compliance 營銷和廣告內容合規不僅能夠保護企業的品牌 Ensuring marketing and promotion compliance not only protects 形象，也是維護市場秩序的重要基石。本集團 a company’s brand image, but is also an important cornerstone 嚴格遵守《中華人民共和國廣告法》、《中華人 in maintaining market order. The Group strictly complies with the (《中華人民共和 民共和國商標法》等制度，對公開發佈的公眾號 Advertising Law of</t>
        </is>
      </c>
    </row>
    <row r="134">
      <c r="A134" s="9" t="inlineStr">
        <is>
          <t>ESG Data</t>
        </is>
      </c>
      <c r="B134" s="9" t="inlineStr">
        <is>
          <t>環境社會及管治數據</t>
        </is>
      </c>
      <c r="C134" s="9" t="inlineStr">
        <is>
          <t>medium</t>
        </is>
      </c>
      <c r="D134" s="12" t="inlineStr">
        <is>
          <t>環境、社會及管治</t>
        </is>
      </c>
      <c r="E134" s="12" t="inlineStr">
        <is>
          <t>PDF p.99 (印刷頁 98)</t>
        </is>
      </c>
      <c r="F134" s="12" t="inlineStr">
        <is>
          <t>Environmental, Social and Governance Report 環境、社會及管治報告 反貪污 Anti-corruption 本集團嚴格落實反腐敗政策，遵循《中華人民 The Group strictly implements anti-corruption policies, complies with (《中華人民共和 共和國刑法》、《中華人民共和國反不正當競爭 the Criminal Law of the People’s Republic of China 國刑法》), 法》、《防止賄賂條例》 （香港法例第201章）、《競 the Anti-Unfair Competition Law of the People’s Republic of (《中華人民共和國反不正當競爭法》), 爭條例》 （香港法例第619章）以及其他相關的法 China the Prevention of Bribery (《防止賄賂條例》/Cap 律法規。秉持廉潔標準，</t>
        </is>
      </c>
    </row>
    <row r="135">
      <c r="A135" s="9" t="inlineStr">
        <is>
          <t>ESG Data</t>
        </is>
      </c>
      <c r="B135" s="9" t="inlineStr">
        <is>
          <t>環境社會及管治數據</t>
        </is>
      </c>
      <c r="C135" s="9" t="inlineStr">
        <is>
          <t>medium</t>
        </is>
      </c>
      <c r="D135" s="12" t="inlineStr">
        <is>
          <t>ESG</t>
        </is>
      </c>
      <c r="E135" s="12" t="inlineStr">
        <is>
          <t>PDF p.100 (印刷頁 99)</t>
        </is>
      </c>
      <c r="F135" s="12" t="inlineStr">
        <is>
          <t>nt authorities for investigation. 本集團於本年度內提供的反貪腐培訓數據可參 Details of the anti-corruption training provided by the Group during the 考附錄I ESG關鍵績效指標。 Year can be referred to Appendix I — ESG Key Performance Indicator. — ANNUAL REPORT 2026 • 99 二零二六年年報</t>
        </is>
      </c>
    </row>
    <row r="136">
      <c r="A136" s="9" t="inlineStr">
        <is>
          <t>ESG Data</t>
        </is>
      </c>
      <c r="B136" s="9" t="inlineStr">
        <is>
          <t>環境社會及管治數據</t>
        </is>
      </c>
      <c r="C136" s="9" t="inlineStr">
        <is>
          <t>medium</t>
        </is>
      </c>
      <c r="D136" s="12" t="inlineStr">
        <is>
          <t>ESG</t>
        </is>
      </c>
      <c r="E136" s="12" t="inlineStr">
        <is>
          <t>PDF p.101 (印刷頁 100)</t>
        </is>
      </c>
      <c r="F136" s="12" t="inlineStr">
        <is>
          <t>roup has integrated the oversight and management 合至現行的環境、社會及管治治理架構當中。 responsibilities for climate-related matters into its existing ESG 董事會作為本集團最高決策及監督單位，肩負 governance structure. As the Group’s top decision-making and 氣候治理的最終責任，負責審視氣候風險與氣 supervisory body, the Board of Directors bears ultimate responsibility 候機遇對本集團業務發展的潛在影響，檢核相 for climate governance. It reviews the potential impacts of climate risks 關布局與本集團長期發展戰略的契合度。我們 and opportunities on the Group’s business development and verifies 每年都會聘請外部顧問來審查公司的╱集團的 the alignment of r</t>
        </is>
      </c>
    </row>
    <row r="137">
      <c r="A137" s="9" t="inlineStr">
        <is>
          <t>ESG Data</t>
        </is>
      </c>
      <c r="B137" s="9" t="inlineStr">
        <is>
          <t>環境社會及管治數據</t>
        </is>
      </c>
      <c r="C137" s="9" t="inlineStr">
        <is>
          <t>medium</t>
        </is>
      </c>
      <c r="D137" s="12" t="inlineStr">
        <is>
          <t>環境、社會及管治</t>
        </is>
      </c>
      <c r="E137" s="12" t="inlineStr">
        <is>
          <t>PDF p.102 (印刷頁 101)</t>
        </is>
      </c>
      <c r="F137" s="12" t="inlineStr">
        <is>
          <t>Environmental, Social and Governance Report 環境、社會及管治報告 戰略層面 Strategy 本集團於營運發展過程中，始終將氣候變化因 In the course of operations and development, the Group has always 素納入營運考量，重視各項業務開展對氣候環 incorporated climate change factors into operational considerations, 境造成的影響，透過制度化、標準化的管理模 attached importance to the environmental impacts of its business 式落實環境保護工作。同時，本集團持續動態 activities, and implemented environmental protection through 辨識與評估各類氣候相關風險及潛在機遇，研 instituti</t>
        </is>
      </c>
    </row>
    <row r="138">
      <c r="A138" s="9" t="inlineStr">
        <is>
          <t>ESG Data</t>
        </is>
      </c>
      <c r="B138" s="9" t="inlineStr">
        <is>
          <t>環境社會及管治數據</t>
        </is>
      </c>
      <c r="C138" s="9" t="inlineStr">
        <is>
          <t>medium</t>
        </is>
      </c>
      <c r="D138" s="12" t="inlineStr">
        <is>
          <t>環境、社會及管治</t>
        </is>
      </c>
      <c r="E138" s="12" t="inlineStr">
        <is>
          <t>PDF p.103 (印刷頁 102)</t>
        </is>
      </c>
      <c r="F138" s="12" t="inlineStr">
        <is>
          <t>Environmental, Social and Governance Report 環境、社會及管治報告 風險管理 Risk Management 本集團每年結合內部專題研討、外部行業專家 Each year, the Group comprehensively reviews and verifies the 諮詢的多元方式，全面复盘核實各項重點氣候 applicability of key climate issues to its business through internal 議題與自身業務的適配性，持續迭代優化氣候 seminars and external industry expert consultations, continuously 風險管理體系，有效紓緩氣候變化為本集團日 iterates and optimizes the climate risk management system, and 常經營帶來的各類潛在衝擊與影響。 effecti</t>
        </is>
      </c>
    </row>
    <row r="139">
      <c r="A139" s="9" t="inlineStr">
        <is>
          <t>ESG Data</t>
        </is>
      </c>
      <c r="B139" s="9" t="inlineStr">
        <is>
          <t>環境社會及管治數據</t>
        </is>
      </c>
      <c r="C139" s="9" t="inlineStr">
        <is>
          <t>medium</t>
        </is>
      </c>
      <c r="D139" s="12" t="inlineStr">
        <is>
          <t>carbon</t>
        </is>
      </c>
      <c r="E139" s="12" t="inlineStr">
        <is>
          <t>PDF p.104 (印刷頁 103)</t>
        </is>
      </c>
      <c r="F139" s="12" t="inlineStr">
        <is>
          <t>ow • Increased compliance • Closely monitor new 低 Risk — Medium to costs, stricter costs regulatory rules issued by 合規成本增加 Long Term carbon emission • government authorities 政策及法規風險 中至長 — regulations, and and integrate them into 期 upgraded disclosure management policies and requirements strategies 數據合規成本、碳排 密切關注政府相關部門 • 放法規趨嚴、披露 是否出台新的合規法規 要求升級 條例，並整合到管理政 策與策略中 Market Risk — Medium Higher customer Medium • Potential impacts on • Continuously enhance 中 to Long Term requirements for low bidding or contract low carbon capabilities</t>
        </is>
      </c>
    </row>
    <row r="140">
      <c r="A140" s="9" t="inlineStr">
        <is>
          <t>Segment Information</t>
        </is>
      </c>
      <c r="B140" s="9" t="inlineStr">
        <is>
          <t>分部資料</t>
        </is>
      </c>
      <c r="C140" s="9" t="inlineStr">
        <is>
          <t>medium</t>
        </is>
      </c>
      <c r="D140" s="12" t="inlineStr">
        <is>
          <t>經營分部</t>
        </is>
      </c>
      <c r="E140" s="12" t="inlineStr">
        <is>
          <t>PDF p.16 (印刷頁 15)</t>
        </is>
      </c>
      <c r="F140" s="12" t="inlineStr">
        <is>
          <t>Group recorded a loss before tax 虧損約1.01 億港元（二零二五年：6,100 萬港 from continuing operations of approximately HK$101 million (2025: 元），乃由下列經營分部及因素導致： HK$61 million), which was attributed to the following operating segments and factors: 印刷 虧損約200萬港元（二零二五年： (i) Printing — loss of approximately HK$2 million (2025: profit of (i) — 溢利約1,100萬港元）； approximately HK$11 million); 物業投資 虧損約8,100 萬港元（二零 (ii) Property investment — loss of approximately HK$81 million (2025: (ii) — 二五年：5,300萬港元）； HK$53 million); 庫務 虧損約200萬港元（二零二五年： (iii) Treasury —</t>
        </is>
      </c>
    </row>
    <row r="141">
      <c r="A141" s="9" t="inlineStr">
        <is>
          <t>Segment Information</t>
        </is>
      </c>
      <c r="B141" s="9" t="inlineStr">
        <is>
          <t>分部資料</t>
        </is>
      </c>
      <c r="C141" s="9" t="inlineStr">
        <is>
          <t>medium</t>
        </is>
      </c>
      <c r="D141" s="12" t="inlineStr">
        <is>
          <t>geographical</t>
        </is>
      </c>
      <c r="E141" s="12" t="inlineStr">
        <is>
          <t>PDF p.111 (印刷頁 110)</t>
        </is>
      </c>
      <c r="F141" s="12" t="inlineStr">
        <is>
          <t>r ended 31 March 2026 Year ended 31 March 2025 截至二零二六年 截至二零二五年 關鍵績效指標 三月三十一日止年度 三月三十一日止年度 B1.1 Total workforce by gender, age group, geographical region and employment type B1.1按性別、年齡組別、地區及僱傭類型劃分的僱員總數 Number of Number of employees Proportion employees Proportion 員工人數 佔比 員工人數 佔比 By gender Male 44 48.89% 56 49.12% 按性別劃分 男性 Female 46 51.11% 58 50.88% 女性 By age group 20 and below 0 0% 0 0% 按年齡組別劃分 20歲以下 21-30 4 4.44% 5 4.39% 21-30歲 31-40 41 45.56% 56 49.12% 31-40歲 41-50 37 41.11% 45 39.47% 41-50歲 51-60 4 4.44% 5 4.39% 51-60歲 Above</t>
        </is>
      </c>
    </row>
    <row r="142">
      <c r="A142" s="9" t="inlineStr">
        <is>
          <t>Segment Information</t>
        </is>
      </c>
      <c r="B142" s="9" t="inlineStr">
        <is>
          <t>分部資料</t>
        </is>
      </c>
      <c r="C142" s="9" t="inlineStr">
        <is>
          <t>medium</t>
        </is>
      </c>
      <c r="D142" s="12" t="inlineStr">
        <is>
          <t>geographical</t>
        </is>
      </c>
      <c r="E142" s="12" t="inlineStr">
        <is>
          <t>PDF p.112 (印刷頁 111)</t>
        </is>
      </c>
      <c r="F142" s="12" t="inlineStr">
        <is>
          <t>March 2026 Year ended 31 March 2025 截至二零二六年 截至二零二五年 關鍵績效指標 三月三十一日止年度 三月三十一日止年度 B1.2 Employee turnover rate by gender, age group and geographical region B1.2按性別、年齡組別、地區劃分的僱員流失比率 Number of Number of employees employees leaving Turnover leaving Turnover employment rate employment rate 流失人數 流失率 流失人數 流失率 By gender Male 3 5.17% 5 8.20% 按性別劃分 男性 Female 5 8.20% 7 10.94% 女性 By age group 20 and below 0 0% 0 0% 按年齡組別劃分 20歲以下 21-30 1 16.67% 2 25.00% 21-30歲 31-40 1 1.72% 5 8.33% 31-40歲 41-50 5 10.87% 3 6.52% 41-50歲 51-60 0 0% 2 25.00% 51-6</t>
        </is>
      </c>
    </row>
    <row r="143">
      <c r="A143" s="9" t="inlineStr">
        <is>
          <t>Segment Information</t>
        </is>
      </c>
      <c r="B143" s="9" t="inlineStr">
        <is>
          <t>分部資料</t>
        </is>
      </c>
      <c r="C143" s="9" t="inlineStr">
        <is>
          <t>medium</t>
        </is>
      </c>
      <c r="D143" s="12" t="inlineStr">
        <is>
          <t>geographical</t>
        </is>
      </c>
      <c r="E143" s="12" t="inlineStr">
        <is>
          <t>PDF p.114 (印刷頁 113)</t>
        </is>
      </c>
      <c r="F143" s="12" t="inlineStr">
        <is>
          <t>iddle Management 25.00% 2.00 39.13% 8.33 中級管理層 General and Technical Staff 3.45% 1.00 31.58% 34.71 一般及技術員工 B5 Number of suppliers by geographical region B5按地區劃分的供應商數量 By geographical region Mainland China 13 80 按照供應商所在地區劃分（家） 中國大陸 Hong Kong 12 22 香港地區 於物業發展業務出售後，本年度培訓數量只覆蓋物業 * Training data for the year covers property investment and printing businesses only * 投資及印刷業務。 following the disposal of the property development business. ANNUAL REPORT 2026 • 113 二零二六年年報</t>
        </is>
      </c>
    </row>
    <row r="144">
      <c r="A144" s="9" t="inlineStr">
        <is>
          <t>Segment Information</t>
        </is>
      </c>
      <c r="B144" s="9" t="inlineStr">
        <is>
          <t>分部資料</t>
        </is>
      </c>
      <c r="C144" s="9" t="inlineStr">
        <is>
          <t>medium</t>
        </is>
      </c>
      <c r="D144" s="12" t="inlineStr">
        <is>
          <t>geographical</t>
        </is>
      </c>
      <c r="E144" s="12" t="inlineStr">
        <is>
          <t>PDF p.119 (印刷頁 118)</t>
        </is>
      </c>
      <c r="F144" s="12" t="inlineStr">
        <is>
          <t>大影 響的相關法律及規例的資料。 B1.1 Total workforce by gender, employment type (for example, full- or Appendix I ESG Key part-time), age group and geographical region. Performance Indicator 按性別、僱傭類型（如全職或兼職）、年齡組別及地區劃分的僱員 附錄I ESG關鍵績效資料 總數。 表 B1.2 Employee turnover rate by gender, age group and geographical Appendix I ESG Key region. Performance Indicator 按性別、年齡組別及地區劃分的僱員流失比率。 附錄I ESG關鍵績效資料 表 B2 General disclosure Information on the policies and compliance with relevant laws and Occupational safety and regulations that have a significant impact</t>
        </is>
      </c>
    </row>
    <row r="145">
      <c r="A145" s="9" t="inlineStr">
        <is>
          <t>Segment Information</t>
        </is>
      </c>
      <c r="B145" s="9" t="inlineStr">
        <is>
          <t>分部資料</t>
        </is>
      </c>
      <c r="C145" s="9" t="inlineStr">
        <is>
          <t>medium</t>
        </is>
      </c>
      <c r="D145" s="12" t="inlineStr">
        <is>
          <t>geographical</t>
        </is>
      </c>
      <c r="E145" s="12" t="inlineStr">
        <is>
          <t>PDF p.120 (印刷頁 119)</t>
        </is>
      </c>
      <c r="F145" s="12" t="inlineStr">
        <is>
          <t>nvironmental and social risks of the Supply chain supply chain. management B5一般披露 管理供應鏈的環境及社會風險政策。 供應鏈管理 B5.1 Number of suppliers by geographical region. Appendix I ESG Key Performance Indicator 按地區劃分的供應商數目。 附錄I ESG關鍵績效資料 表 B5.2 Description of practices relating to engaging suppliers, number of Supply chain suppliers where the practices are being implemented, and how they management are implemented and monitored. 描述有關聘用供應商的慣例，向其執行有關慣例的供應商數目， 供應鏈管理 以及相關執行及監察方法。 B5.3 Description of practices used to identify environmental and soc</t>
        </is>
      </c>
    </row>
    <row r="146">
      <c r="A146" s="9" t="inlineStr">
        <is>
          <t>Segment Information</t>
        </is>
      </c>
      <c r="B146" s="9" t="inlineStr">
        <is>
          <t>分部資料</t>
        </is>
      </c>
      <c r="C146" s="9" t="inlineStr">
        <is>
          <t>medium</t>
        </is>
      </c>
      <c r="D146" s="12" t="inlineStr">
        <is>
          <t>geographical</t>
        </is>
      </c>
      <c r="E146" s="12" t="inlineStr">
        <is>
          <t>PDF p.137 (印刷頁 136)</t>
        </is>
      </c>
      <c r="F146" s="12" t="inlineStr">
        <is>
          <t>o 24 of this annual report. Such 之一部分。 discussion forms part of this “Report of the Directors”. 主要業務及經營地域分析 Principal Activities and Geographical Analysis of Operations 本公司為一間於開曼群島註冊成立之投資控股 The Company is an investment holding company incorporated in the 公司及其主要附屬公司於香港、中國大陸及英 Cayman Islands and its subsidiaries are established in Hong Kong, 屬處女群島成立。本集團主要從事印刷產品生 Mainland China and the British Virgin Islands. The Group is primarily 產及銷售、物業投資及庫務業務。年內，本集 engaged in manufacturing and trading of printed products, property 團出售了物業發展業務。有</t>
        </is>
      </c>
    </row>
    <row r="147">
      <c r="A147" s="9" t="inlineStr">
        <is>
          <t>Segment Information</t>
        </is>
      </c>
      <c r="B147" s="9" t="inlineStr">
        <is>
          <t>分部資料</t>
        </is>
      </c>
      <c r="C147" s="9" t="inlineStr">
        <is>
          <t>medium</t>
        </is>
      </c>
      <c r="D147" s="12" t="inlineStr">
        <is>
          <t>operating segment</t>
        </is>
      </c>
      <c r="E147" s="12" t="inlineStr">
        <is>
          <t>PDF p.188 (印刷頁 187)</t>
        </is>
      </c>
      <c r="F147" s="12" t="inlineStr">
        <is>
          <t>，則遞延稅項資 to settle its current tax assets and liabilities on a net basis. 產及負債可互相對銷。 分部報告 (aa) Segment reporting (aa) 經營分部及各分部項目於財務報表 Operating segments and the amounts of each segment 內呈報之金額，乃根據就資源分配 item reported in the financial statements are identified from 及評估本集團不同業務線之表現定 the financial information provided regularly to the Group’s 期提供予本集團最高行政管理人員 most senior executive management for the purpose of 的財務資料識別。 allocating resources and assessing the performance of the Group’s various lines of business. 就財務報告而言，除非分部具備類 Individua</t>
        </is>
      </c>
    </row>
    <row r="148">
      <c r="A148" s="9" t="inlineStr">
        <is>
          <t>Segment Information</t>
        </is>
      </c>
      <c r="B148" s="9" t="inlineStr">
        <is>
          <t>分部資料</t>
        </is>
      </c>
      <c r="C148" s="9" t="inlineStr">
        <is>
          <t>medium</t>
        </is>
      </c>
      <c r="D148" s="12" t="inlineStr">
        <is>
          <t>geographical</t>
        </is>
      </c>
      <c r="E148" s="12" t="inlineStr">
        <is>
          <t>PDF p.192 (印刷頁 191)</t>
        </is>
      </c>
      <c r="F148" s="12" t="inlineStr">
        <is>
          <t>y distinguished from the rest of the Group and 業務線或營運地區；或屬於一項旨 which represents a separate major line of business or 在出售獨立主要業務線或營運地區 geographical area of operations, or is part of a single 的單一協調計劃的一部分；或屬純 co-ordinated plan to dispose of a separate major line 粹為轉售目的而收購的附屬公司。 of business or geographical area of operations, or is a subsidiary acquired exclusively with a view to resale. 根據香港財務報告準則第5號，當該 Classification as a discontinued operation occurs upon 業務被出售，或該業務符合持作待 disposal or when the operation meets the criteria to be 售的分</t>
        </is>
      </c>
    </row>
    <row r="149">
      <c r="A149" s="9" t="inlineStr">
        <is>
          <t>Segment Information</t>
        </is>
      </c>
      <c r="B149" s="9" t="inlineStr">
        <is>
          <t>分部資料</t>
        </is>
      </c>
      <c r="C149" s="9" t="inlineStr">
        <is>
          <t>medium</t>
        </is>
      </c>
      <c r="D149" s="12" t="inlineStr">
        <is>
          <t>geographical</t>
        </is>
      </c>
      <c r="E149" s="12" t="inlineStr">
        <is>
          <t>PDF p.203 (印刷頁 202)</t>
        </is>
      </c>
      <c r="F149" s="12" t="inlineStr">
        <is>
          <t>significant concentration of risk on the accounts receivable which consist of a large number of customers, spreading across diverse geographical areas. 最高風險及年末階段 Maximum exposure and year-end staging 下表列示基於本集團信貸政策（主要基於 The tables below shows the credit quality and the maximum 逾期資料，除非有其他毋須付出過多成本 exposure to credit risk based on the Group’s credit policy, which 或努力即可取得的資料）的信貸質素及最 is mainly based on past due information unless other information 高信貸風險以及年末階段分類。就上市債 is available without undue cost or effort, and year-end staging 務投資</t>
        </is>
      </c>
    </row>
    <row r="150">
      <c r="A150" s="9" t="inlineStr">
        <is>
          <t>Segment Information</t>
        </is>
      </c>
      <c r="B150" s="9" t="inlineStr">
        <is>
          <t>分部資料</t>
        </is>
      </c>
      <c r="C150" s="9" t="inlineStr">
        <is>
          <t>medium</t>
        </is>
      </c>
      <c r="D150" s="12" t="inlineStr">
        <is>
          <t>segment information</t>
        </is>
      </c>
      <c r="E150" s="12" t="inlineStr">
        <is>
          <t>PDF p.211 (印刷頁 210)</t>
        </is>
      </c>
      <c r="F150" s="12" t="inlineStr">
        <is>
          <t>Notes to the Consolidated Financial Statements 綜合財務報表附註 For the year ended 31 March 2026 截至二零二六年三月三十一日止年度 分部資料 8. SEGMENT INFORMATION 8. 按業務呈列之分部資料 Segment information by business lines 本集團經營分部乃根據向本集團主要經營 The operating segments of the Group are determined based 決策者（「主要經營決策者」） （本公司執行 on internal reporting to the Group’s chief operating decision 董事）之內部呈報釐定，目的為評估表現 maker (“CODM”) (the executive directors of the Company) for the 及分配資源。內部呈報專注於策略經營及 purposes of assessing performance and allocating resources. 各業務單位之</t>
        </is>
      </c>
    </row>
    <row r="151">
      <c r="A151" s="9" t="inlineStr">
        <is>
          <t>Segment Information</t>
        </is>
      </c>
      <c r="B151" s="9" t="inlineStr">
        <is>
          <t>分部資料</t>
        </is>
      </c>
      <c r="C151" s="9" t="inlineStr">
        <is>
          <t>medium</t>
        </is>
      </c>
      <c r="D151" s="12" t="inlineStr">
        <is>
          <t>segment information</t>
        </is>
      </c>
      <c r="E151" s="12" t="inlineStr">
        <is>
          <t>PDF p.212 (印刷頁 211)</t>
        </is>
      </c>
      <c r="F151" s="12" t="inlineStr">
        <is>
          <t>Notes to the Consolidated Financial Statements 綜合財務報表附註 For the year ended 31 March 2026 截至二零二六年三月三十一日止年度 分部資料（續） 8. SEGMENT INFORMATION (Continued) 8. 按業務呈列之分部資料（續） Segment information by business lines (Continued) 其他及行政分部資產主要包括以組為基準 Others and corporate segment assets mainly include certain 管理的若干現金及銀行結存、短期存款、 cash and bank balances, short-term deposits, property, plant 物業、廠房及設備以及使用權資產。 and equipment and right-of-use assets that are managed on a group basis. 其他及行政分部負債主要包括以組為基準 Others and corporate segment liabi</t>
        </is>
      </c>
    </row>
    <row r="152">
      <c r="A152" s="9" t="inlineStr">
        <is>
          <t>Segment Information</t>
        </is>
      </c>
      <c r="B152" s="9" t="inlineStr">
        <is>
          <t>分部資料</t>
        </is>
      </c>
      <c r="C152" s="9" t="inlineStr">
        <is>
          <t>medium</t>
        </is>
      </c>
      <c r="D152" s="12" t="inlineStr">
        <is>
          <t>segment information</t>
        </is>
      </c>
      <c r="E152" s="12" t="inlineStr">
        <is>
          <t>PDF p.213 (印刷頁 212)</t>
        </is>
      </c>
      <c r="F152" s="12" t="inlineStr">
        <is>
          <t>Notes to the Consolidated Financial Statements 綜合財務報表附註 For the year ended 31 March 2026 截至二零二六年三月三十一日止年度 分部資料（續） 8. SEGMENT INFORMATION (Continued) 8. 按業務呈列之分部資料（續） Segment information by business lines (Continued) 按業務呈列之分部資料如下：（續） The segment information by business lines is as follows: (Continued) 其他分部資料： Other segment information: Discontinued Continuing operations operation 持續經營業務 已終止業務 Property Others and Property Printing investment Treasury corporate development Total 印刷 物業投資 庫務 其他及行政 物業發展 總計 HK$’000 HK$</t>
        </is>
      </c>
    </row>
    <row r="153">
      <c r="A153" s="9" t="inlineStr">
        <is>
          <t>Segment Information</t>
        </is>
      </c>
      <c r="B153" s="9" t="inlineStr">
        <is>
          <t>分部資料</t>
        </is>
      </c>
      <c r="C153" s="9" t="inlineStr">
        <is>
          <t>medium</t>
        </is>
      </c>
      <c r="D153" s="12" t="inlineStr">
        <is>
          <t>segment information</t>
        </is>
      </c>
      <c r="E153" s="12" t="inlineStr">
        <is>
          <t>PDF p.214 (印刷頁 213)</t>
        </is>
      </c>
      <c r="F153" s="12" t="inlineStr">
        <is>
          <t>Notes to the Consolidated Financial Statements 綜合財務報表附註 For the year ended 31 March 2026 截至二零二六年三月三十一日止年度 分部資料（續） 8. SEGMENT INFORMATION (Continued) 8. 按業務呈列之分部資料（續） Segment information by business lines (Continued) 按業務呈列之分部資料如下：（續） The segment information by business lines is as follows: (Continued) Discontinued Continuing operations operation 持續經營業務 已終止業務 Property Others and Property Printing investment Treasury corporate development Total 印刷 物業投資 庫務 其他及行政 物業發展 總計 HK$’000 HK$’000 HK$’000 HK$’000 HK$’000 HK$’00</t>
        </is>
      </c>
    </row>
    <row r="154">
      <c r="A154" s="9" t="inlineStr">
        <is>
          <t>Segment Information</t>
        </is>
      </c>
      <c r="B154" s="9" t="inlineStr">
        <is>
          <t>分部資料</t>
        </is>
      </c>
      <c r="C154" s="9" t="inlineStr">
        <is>
          <t>medium</t>
        </is>
      </c>
      <c r="D154" s="12" t="inlineStr">
        <is>
          <t>segment information</t>
        </is>
      </c>
      <c r="E154" s="12" t="inlineStr">
        <is>
          <t>PDF p.215 (印刷頁 214)</t>
        </is>
      </c>
      <c r="F154" s="12" t="inlineStr">
        <is>
          <t>Notes to the Consolidated Financial Statements 綜合財務報表附註 For the year ended 31 March 2026 截至二零二六年三月三十一日止年度 分部資料（續） 8. SEGMENT INFORMATION (Continued) 8. 按業務呈列之分部資料（續） Segment information by business lines (Continued) 按業務呈列之分部資料如下：（續） The segment information by business lines is as follows: (Continued) 其他分部資料： Other segment information: Discontinued Continuing operations operation 持續經營業務 已終止業務 Property Others and Property Printing investment Treasury corporate development Total 印刷 物業投資 庫務 其他及行政 物業發展 總計 HK$’000 HK$</t>
        </is>
      </c>
    </row>
    <row r="155">
      <c r="A155" s="9" t="inlineStr">
        <is>
          <t>Segment Information</t>
        </is>
      </c>
      <c r="B155" s="9" t="inlineStr">
        <is>
          <t>分部資料</t>
        </is>
      </c>
      <c r="C155" s="9" t="inlineStr">
        <is>
          <t>medium</t>
        </is>
      </c>
      <c r="D155" s="12" t="inlineStr">
        <is>
          <t>segment information</t>
        </is>
      </c>
      <c r="E155" s="12" t="inlineStr">
        <is>
          <t>PDF p.216 (印刷頁 215)</t>
        </is>
      </c>
      <c r="F155" s="12" t="inlineStr">
        <is>
          <t>Notes to the Consolidated Financial Statements 綜合財務報表附註 For the year ended 31 March 2026 截至二零二六年三月三十一日止年度 分部資料（續） 8. SEGMENT INFORMATION (Continued) 8. 地域分部資料 Geographical segment information 本集團在不同地域經營業務。收入按客戶 The business of the Group operates in different geographical 所在地區呈列。非流動資產（除無形資產， areas. Revenue is presented by the regions where customers are 其他資產及遞延稅項資產外）則按資產所 located. Non-current assets excluding intangible assets, other 在地區呈列。按地域呈列之分部資料如下： assets and deferred tax assets are presented by the regions</t>
        </is>
      </c>
    </row>
    <row r="156">
      <c r="A156" s="9" t="inlineStr">
        <is>
          <t>Segment Information</t>
        </is>
      </c>
      <c r="B156" s="9" t="inlineStr">
        <is>
          <t>分部資料</t>
        </is>
      </c>
      <c r="C156" s="9" t="inlineStr">
        <is>
          <t>medium</t>
        </is>
      </c>
      <c r="D156" s="12" t="inlineStr">
        <is>
          <t>segment information</t>
        </is>
      </c>
      <c r="E156" s="12" t="inlineStr">
        <is>
          <t>PDF p.217 (印刷頁 216)</t>
        </is>
      </c>
      <c r="F156" s="12" t="inlineStr">
        <is>
          <t>Notes to the Consolidated Financial Statements 綜合財務報表附註 For the year ended 31 March 2026 截至二零二六年三月三十一日止年度 分部資料（續） 8. SEGMENT INFORMATION (Continued) 8. 主要客戶之資料 Information about major customers 來自佔本集團總收入超過10%的客戶之 Revenue from a customer contributing over 10% of the total 收入如下： revenue of the Group is as follows: 2026 2025 HK$’000 HK$’000 千港元 千港元 印刷 Printing 客戶A Customer A 19,630 25,132 客戶B Customer B 21,762 27,884 客戶C N/A不適用* Customer C 11,653 物業發展（已終止業務） Property development (discontinued operation) 客戶D N/A</t>
        </is>
      </c>
    </row>
    <row r="157">
      <c r="A157" s="9" t="inlineStr">
        <is>
          <t>Segment Information</t>
        </is>
      </c>
      <c r="B157" s="9" t="inlineStr">
        <is>
          <t>分部資料</t>
        </is>
      </c>
      <c r="C157" s="9" t="inlineStr">
        <is>
          <t>medium</t>
        </is>
      </c>
      <c r="D157" s="12" t="inlineStr">
        <is>
          <t>geographical</t>
        </is>
      </c>
      <c r="E157" s="12" t="inlineStr">
        <is>
          <t>PDF p.218 (印刷頁 217)</t>
        </is>
      </c>
      <c r="F157" s="12" t="inlineStr">
        <is>
          <t>2025 HK$’000 HK$’000 千港元 千港元 (Restated) （經重列） 分部 Segments 貨品類型 Types of goods 銷售印刷產品 Sale of printed products 105,401 118,301 地域市場* Geographical markets* 中國大陸 Mainland China 13,659 7,283 香港 Hong Kong 1,969 2,593 美國 United States of America 48,740 61,643 英國 United Kingdom 23,908 30,772 加拿大 Canada 3,168 5,576 德國 Germany 4,340 3,310 其他國家 Other countries 9,617 7,124 客戶合約之收入總額 Total revenue from contracts with customers 105,401 118,301 收入確認時間 Timing of revenue recognition 於某一時間點轉移貨品 Goods transferred at a point in time 105,401 118,</t>
        </is>
      </c>
    </row>
    <row r="158">
      <c r="A158" s="9" t="inlineStr">
        <is>
          <t>Share-based Payment</t>
        </is>
      </c>
      <c r="B158" s="9" t="inlineStr">
        <is>
          <t>以股份為基礎的付款</t>
        </is>
      </c>
      <c r="C158" s="9" t="inlineStr">
        <is>
          <t>medium</t>
        </is>
      </c>
      <c r="D158" s="12" t="inlineStr">
        <is>
          <t>share option</t>
        </is>
      </c>
      <c r="E158" s="12" t="inlineStr">
        <is>
          <t>PDF p.146 (印刷頁 145)</t>
        </is>
      </c>
      <c r="F158" s="12" t="inlineStr">
        <is>
          <t>ng shareholder of the Company or 公司訂立任何重大合約。 any of its subsidiaries during the year and up to the date of this annual report. 購股權計劃 Share Option Scheme 本公司之購股權計劃（「該計劃」）概要載列如下： A summary of the share option scheme of the Company (the “Scheme”) is set out as follows: 1. Purpose: To give incentive to non-executive Directors, employees, suppliers, customers or business consultants of the Group and any other party as approved under the Scheme. 目的： 給予本集團之非執行董事、僱員、供應商、客戶或業務顧問和該 計劃批准之任何其他人士獎勵。 2. Participants: Including, inter alia, n</t>
        </is>
      </c>
    </row>
    <row r="159">
      <c r="A159" s="9" t="inlineStr">
        <is>
          <t>Share-based Payment</t>
        </is>
      </c>
      <c r="B159" s="9" t="inlineStr">
        <is>
          <t>以股份為基礎的付款</t>
        </is>
      </c>
      <c r="C159" s="9" t="inlineStr">
        <is>
          <t>medium</t>
        </is>
      </c>
      <c r="D159" s="12" t="inlineStr">
        <is>
          <t>share option</t>
        </is>
      </c>
      <c r="E159" s="12" t="inlineStr">
        <is>
          <t>PDF p.147 (印刷頁 146)</t>
        </is>
      </c>
      <c r="F159" s="12" t="inlineStr">
        <is>
          <t>032 unless otherwise terminated under the terms of the Scheme. 該計劃尚餘年期： 有效年期直至二零三二年八月三十日止，惟若根據該計劃條款予 以終止則除外。 自該計劃於二零二二年八月三十一日採納後及 No share option has been granted since the date of adoption of the 於回顧年度內，概無授出任何購股權。 Scheme on 31 August 2022 and during the year under review. 146 Magnus Concordia Group Limited / 融太集團股份有限公司</t>
        </is>
      </c>
    </row>
    <row r="160">
      <c r="A160" s="9" t="inlineStr">
        <is>
          <t>Share-based Payment</t>
        </is>
      </c>
      <c r="B160" s="9" t="inlineStr">
        <is>
          <t>以股份為基礎的付款</t>
        </is>
      </c>
      <c r="C160" s="9" t="inlineStr">
        <is>
          <t>medium</t>
        </is>
      </c>
      <c r="D160" s="12" t="inlineStr">
        <is>
          <t>share option</t>
        </is>
      </c>
      <c r="E160" s="12" t="inlineStr">
        <is>
          <t>PDF p.148 (印刷頁 147)</t>
        </is>
      </c>
      <c r="F160" s="12" t="inlineStr">
        <is>
          <t>cheme mandate are 577,919,666. 購買股份或債券之安排 Arrangement to Purchase Shares or Debentures 除上文「購股權計劃」一節所披露外，本公司、 Other than the section “Share Option Scheme” disclosed above, at 或其任何控股公司、附屬公司、同系附屬公司 no time during the year under review there subsisted any arrangement 或其他聯營公司於回顧年度任何時間概無參與 to which the Company, or any of its holding companies, subsidiaries, 任何安排，而有關安排之目的或其中一項目的 fellow subsidiaries or its other associated corporations was a party and 為使董事、彼等各自的配偶或未滿十八歲的子 the objectives of or one of the objectives of such arrangement a</t>
        </is>
      </c>
    </row>
    <row r="161">
      <c r="A161" s="9" t="inlineStr">
        <is>
          <t>Share-based Payment</t>
        </is>
      </c>
      <c r="B161" s="9" t="inlineStr">
        <is>
          <t>以股份為基礎的付款</t>
        </is>
      </c>
      <c r="C161" s="9" t="inlineStr">
        <is>
          <t>medium</t>
        </is>
      </c>
      <c r="D161" s="12" t="inlineStr">
        <is>
          <t>share option</t>
        </is>
      </c>
      <c r="E161" s="12" t="inlineStr">
        <is>
          <t>PDF p.150 (印刷頁 149)</t>
        </is>
      </c>
      <c r="F161" s="12" t="inlineStr">
        <is>
          <t>reer goal with 標與本集團業務策略保持一致。該計劃的詳情 the Group’s business strategy. Details of the Scheme are set out in the 載於本年報「購股權計劃」一節。 section “Share Option Scheme” of this annual report. 本集團根據強制性公積金計劃條例為香港全體 The Group operates a defined contribution Mandatory Provident 合資格僱員經營一項界定供款強制性公積金退 Fund retirement benefit scheme for all qualifying employees in Hong 休福利計劃。中國大陸之附屬公司之僱員，乃 Kong under the Mandatory Provident Fund Schemes Ordinance. 中國大陸政府管理之中央退休金計劃之成員。 The employees of the subsidiaries established in Mainland China are 沒有已被沒收的供款（由僱主代表</t>
        </is>
      </c>
    </row>
    <row r="162">
      <c r="A162" s="9" t="inlineStr">
        <is>
          <t>Share-based Payment</t>
        </is>
      </c>
      <c r="B162" s="9" t="inlineStr">
        <is>
          <t>以股份為基礎的付款</t>
        </is>
      </c>
      <c r="C162" s="9" t="inlineStr">
        <is>
          <t>medium</t>
        </is>
      </c>
      <c r="D162" s="12" t="inlineStr">
        <is>
          <t>share option</t>
        </is>
      </c>
      <c r="E162" s="12" t="inlineStr">
        <is>
          <t>PDF p.253 (印刷頁 252)</t>
        </is>
      </c>
      <c r="F162" s="12" t="inlineStr">
        <is>
          <t>o the ordinary shares of the Company (i) 於普通股之權益。 as to dividend and return of capital. 於二零二二年八月三十一日舉行之股東週 The Company adopted a new share option scheme (the “New 年大會上，本公司已採納一項新購股權計 Scheme”) pursuant to the annual general meeting held on 31 劃（「新計劃」），其有效年期為自採納日期 August 2022, which is valid and effective for a term of ten years 起計十年。根據新計劃，董事可向合資格 from the date of its adoption. Under the New Scheme, the 人士（定義見新計劃，其中包括本公司及 directors may grant options to the eligible persons as defined in 其附屬公司之任何董事、僱員或業務顧問） the New Scheme, inter al</t>
        </is>
      </c>
    </row>
    <row r="163">
      <c r="A163" s="9" t="inlineStr">
        <is>
          <t>Related Party Transactions</t>
        </is>
      </c>
      <c r="B163" s="9" t="inlineStr">
        <is>
          <t>關聯方交易</t>
        </is>
      </c>
      <c r="C163" s="9" t="inlineStr">
        <is>
          <t>low</t>
        </is>
      </c>
      <c r="D163" s="12" t="inlineStr">
        <is>
          <t>related party</t>
        </is>
      </c>
      <c r="E163" s="12" t="inlineStr">
        <is>
          <t>PDF p.148 (印刷頁 147)</t>
        </is>
      </c>
      <c r="F163" s="12" t="inlineStr">
        <is>
          <t>聯方交易之詳情載於 disclosed in this annual report pursuant to Rule 14A.49 of the Listing 本集團綜合財務報表附註40。該等關聯方交易 Rules. Details of the Group’s related party transactions are set out in 概無構成上市規則第14A章項下本集團之關連 note 40 to the Group’s consolidated financial statements. None of 交易。 such related party transactions constitutes a connected transaction of the Group under Chapter 14A of the Listing Rules. ANNUAL REPORT 2026 • 147 二零二六年年報</t>
        </is>
      </c>
    </row>
    <row r="164">
      <c r="A164" s="9" t="inlineStr">
        <is>
          <t>Related Party Transactions</t>
        </is>
      </c>
      <c r="B164" s="9" t="inlineStr">
        <is>
          <t>關聯方交易</t>
        </is>
      </c>
      <c r="C164" s="9" t="inlineStr">
        <is>
          <t>low</t>
        </is>
      </c>
      <c r="D164" s="12" t="inlineStr">
        <is>
          <t>related party</t>
        </is>
      </c>
      <c r="E164" s="12" t="inlineStr">
        <is>
          <t>PDF p.189 (印刷頁 188)</t>
        </is>
      </c>
      <c r="F164" s="12" t="inlineStr">
        <is>
          <t>March 2026 截至二零二六年三月三十一日止年度 重大會計政策（續） 4. MATERIAL ACCOUNTING POLICIES 4. (Continued) 關連方 (bb) Related parties (bb) 關連方乃與本集團有關連之人士或 A related party is a person or entity that is related to the 實體： Group. 倘屬以下人士，即該人士或該 (A) A person or a close member of that person’s family is (A) 人士家庭近親成員與本集團有 related to the Group if that person: 關連： 控制或共同控制本集團； (i) has control or joint control over the Group; (i) 對本集團有重大影響；或 (ii) has significant influence over the Group; or (ii) 為本公司或本公司母公 (iii) is a member of the key management personnel (iii)</t>
        </is>
      </c>
    </row>
    <row r="165">
      <c r="A165" s="9" t="inlineStr">
        <is>
          <t>Related Party Transactions</t>
        </is>
      </c>
      <c r="B165" s="9" t="inlineStr">
        <is>
          <t>關聯方交易</t>
        </is>
      </c>
      <c r="C165" s="9" t="inlineStr">
        <is>
          <t>low</t>
        </is>
      </c>
      <c r="D165" s="12" t="inlineStr">
        <is>
          <t>related party</t>
        </is>
      </c>
      <c r="E165" s="12" t="inlineStr">
        <is>
          <t>PDF p.257 (印刷頁 256)</t>
        </is>
      </c>
      <c r="F165" s="12" t="inlineStr">
        <is>
          <t>2025 HK$’000 HK$’000 千港元 千港元 經營活動 Within operating activities 169 158 融資活動 Within financing activities 854 854 1,023 1,012 關聯方交易 40. RELATED PARTY TRANSACTIONS 40. 董事及其他主要管理層成員之薪酬如下： The remuneration of directors and other members of key management is as follows: 2026 2025 HK$’000 HK$’000 千港元 千港元 短期福利 Short-term benefits 2,574 2,412 離職後福利 Post-employment benefits 35 46 2,609 2,458 256 Magnus Concordia Group Limited / 融太集團股份有限公司</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34"/>
  <sheetViews>
    <sheetView workbookViewId="0">
      <pane ySplit="24" topLeftCell="A25" activePane="bottomLeft" state="frozen"/>
      <selection pane="bottomLeft" activeCell="A1" sqref="A1"/>
    </sheetView>
  </sheetViews>
  <sheetFormatPr baseColWidth="8" defaultRowHeight="15"/>
  <cols>
    <col width="16" customWidth="1" min="1" max="1"/>
    <col width="40" customWidth="1" min="2" max="2"/>
  </cols>
  <sheetData>
    <row r="1">
      <c r="A1" s="1" t="inlineStr">
        <is>
          <t>需要人手處理的項目</t>
        </is>
      </c>
    </row>
    <row r="2">
      <c r="A2" s="2" t="inlineStr">
        <is>
          <t>工具沒抓到的東西會列在這裡,不會靜靜消失 —— 請人手翻閱原文補入。</t>
        </is>
      </c>
    </row>
    <row r="4">
      <c r="A4" s="5" t="inlineStr">
        <is>
          <t>一、未擷取到的財務科目</t>
        </is>
      </c>
    </row>
    <row r="5">
      <c r="A5" s="2" t="inlineStr">
        <is>
          <t>可能原因:該公司未單獨揭露此科目 / 用了工具不認得的措辭 / 位於跨頁或附註中。措辭問題可在 config.py 補上別名。</t>
        </is>
      </c>
    </row>
    <row r="7">
      <c r="A7" s="8" t="inlineStr">
        <is>
          <t>報表 Statement</t>
        </is>
      </c>
      <c r="B7" s="8" t="inlineStr">
        <is>
          <t>未擷取科目 Missing item</t>
        </is>
      </c>
    </row>
    <row r="8">
      <c r="A8" s="9" t="inlineStr">
        <is>
          <t>Income Statement</t>
        </is>
      </c>
      <c r="B8" s="9" t="inlineStr">
        <is>
          <t>R&amp;D Expenses</t>
        </is>
      </c>
    </row>
    <row r="9">
      <c r="A9" s="9" t="inlineStr">
        <is>
          <t>Income Statement</t>
        </is>
      </c>
      <c r="B9" s="9" t="inlineStr">
        <is>
          <t>Depreciation</t>
        </is>
      </c>
    </row>
    <row r="10">
      <c r="A10" s="9" t="inlineStr">
        <is>
          <t>Income Statement</t>
        </is>
      </c>
      <c r="B10" s="9" t="inlineStr">
        <is>
          <t>Amortisation</t>
        </is>
      </c>
    </row>
    <row r="11">
      <c r="A11" s="9" t="inlineStr">
        <is>
          <t>Balance Sheet</t>
        </is>
      </c>
      <c r="B11" s="9" t="inlineStr">
        <is>
          <t>Total Assets</t>
        </is>
      </c>
    </row>
    <row r="12">
      <c r="A12" s="9" t="inlineStr">
        <is>
          <t>Balance Sheet</t>
        </is>
      </c>
      <c r="B12" s="9" t="inlineStr">
        <is>
          <t>Cash and Equivalents</t>
        </is>
      </c>
    </row>
    <row r="13">
      <c r="A13" s="9" t="inlineStr">
        <is>
          <t>Balance Sheet</t>
        </is>
      </c>
      <c r="B13" s="9" t="inlineStr">
        <is>
          <t>Goodwill</t>
        </is>
      </c>
    </row>
    <row r="14">
      <c r="A14" s="9" t="inlineStr">
        <is>
          <t>Balance Sheet</t>
        </is>
      </c>
      <c r="B14" s="9" t="inlineStr">
        <is>
          <t>Total Liabilities</t>
        </is>
      </c>
    </row>
    <row r="15">
      <c r="A15" s="9" t="inlineStr">
        <is>
          <t>Balance Sheet</t>
        </is>
      </c>
      <c r="B15" s="9" t="inlineStr">
        <is>
          <t>Borrowings</t>
        </is>
      </c>
    </row>
    <row r="16">
      <c r="A16" s="9" t="inlineStr">
        <is>
          <t>Cash Flow</t>
        </is>
      </c>
      <c r="B16" s="9" t="inlineStr">
        <is>
          <t>Operating Cash Flow</t>
        </is>
      </c>
    </row>
    <row r="17">
      <c r="A17" s="9" t="inlineStr">
        <is>
          <t>Cash Flow</t>
        </is>
      </c>
      <c r="B17" s="9" t="inlineStr">
        <is>
          <t>Investing Cash Flow</t>
        </is>
      </c>
    </row>
    <row r="18">
      <c r="A18" s="9" t="inlineStr">
        <is>
          <t>Cash Flow</t>
        </is>
      </c>
      <c r="B18" s="9" t="inlineStr">
        <is>
          <t>Capital Expenditure</t>
        </is>
      </c>
    </row>
    <row r="21">
      <c r="A21" s="5" t="inlineStr">
        <is>
          <t>二、文字量過低的頁面(疑似掃描頁)</t>
        </is>
      </c>
    </row>
    <row r="22">
      <c r="A22" s="2" t="inlineStr">
        <is>
          <t>這些頁面幾乎抓不到文字,通常是掃描件或純圖表,建議人手翻閱或另行 OCR。</t>
        </is>
      </c>
    </row>
    <row r="24">
      <c r="A24" s="8" t="inlineStr">
        <is>
          <t>PDF 頁碼</t>
        </is>
      </c>
      <c r="B24" s="8" t="inlineStr">
        <is>
          <t>狀態</t>
        </is>
      </c>
    </row>
    <row r="25">
      <c r="A25" s="9" t="n">
        <v>1</v>
      </c>
      <c r="B25" s="9" t="inlineStr">
        <is>
          <t>文字量過低 — 可能為掃描頁/圖表頁</t>
        </is>
      </c>
    </row>
    <row r="26">
      <c r="A26" s="9" t="n">
        <v>3</v>
      </c>
      <c r="B26" s="9" t="inlineStr">
        <is>
          <t>文字量過低 — 可能為掃描頁/圖表頁</t>
        </is>
      </c>
    </row>
    <row r="27">
      <c r="A27" s="9" t="n">
        <v>7</v>
      </c>
      <c r="B27" s="9" t="inlineStr">
        <is>
          <t>文字量過低 — 可能為掃描頁/圖表頁</t>
        </is>
      </c>
    </row>
    <row r="28">
      <c r="A28" s="9" t="n">
        <v>9</v>
      </c>
      <c r="B28" s="9" t="inlineStr">
        <is>
          <t>文字量過低 — 可能為掃描頁/圖表頁</t>
        </is>
      </c>
    </row>
    <row r="29">
      <c r="A29" s="9" t="n">
        <v>13</v>
      </c>
      <c r="B29" s="9" t="inlineStr">
        <is>
          <t>文字量過低 — 可能為掃描頁/圖表頁</t>
        </is>
      </c>
    </row>
    <row r="30">
      <c r="A30" s="9" t="n">
        <v>31</v>
      </c>
      <c r="B30" s="9" t="inlineStr">
        <is>
          <t>文字量過低 — 可能為掃描頁/圖表頁</t>
        </is>
      </c>
    </row>
    <row r="31">
      <c r="A31" s="9" t="n">
        <v>69</v>
      </c>
      <c r="B31" s="9" t="inlineStr">
        <is>
          <t>文字量過低 — 可能為掃描頁/圖表頁</t>
        </is>
      </c>
    </row>
    <row r="32">
      <c r="A32" s="9" t="n">
        <v>136</v>
      </c>
      <c r="B32" s="9" t="inlineStr">
        <is>
          <t>文字量過低 — 可能為掃描頁/圖表頁</t>
        </is>
      </c>
    </row>
    <row r="33">
      <c r="A33" s="9" t="n">
        <v>154</v>
      </c>
      <c r="B33" s="9" t="inlineStr">
        <is>
          <t>文字量過低 — 可能為掃描頁/圖表頁</t>
        </is>
      </c>
    </row>
    <row r="34">
      <c r="A34" s="9" t="n">
        <v>266</v>
      </c>
      <c r="B34" s="9" t="inlineStr">
        <is>
          <t>文字量過低 — 可能為掃描頁/圖表頁</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2026-08-30T14:16:54Z</dcterms:created>
  <dcterms:modified xsi:type="dcterms:W3CDTF">2026-08-30T14:16:54Z</dcterms:modified>
</cp:coreProperties>
</file>
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Extracts 主題段落" sheetId="5" state="visible" r:id="rId5"/>
    <sheet name="Review Queue 待覆核"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164" fontId="4" fillId="0" borderId="0" pivotButton="0" quotePrefix="0" xfId="0"/>
    <xf numFmtId="2" fontId="4" fillId="0" borderId="0" pivotButton="0" quotePrefix="0" xfId="0"/>
    <xf numFmtId="0" fontId="4" fillId="0" borderId="1" applyAlignment="1" pivotButton="0" quotePrefix="0" xfId="0">
      <alignment vertical="top"/>
    </xf>
    <xf numFmtId="0" fontId="4" fillId="3" borderId="1" applyAlignment="1" pivotButton="0" quotePrefix="0" xfId="0">
      <alignment vertical="top"/>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00211_STYLAND_HOLD_20260731.pdf</t>
        </is>
      </c>
    </row>
    <row r="5">
      <c r="A5" s="3" t="inlineStr">
        <is>
          <t>產生時間 Generated</t>
        </is>
      </c>
      <c r="B5" s="4" t="inlineStr">
        <is>
          <t>2026-08-30 22:16</t>
        </is>
      </c>
    </row>
    <row r="6">
      <c r="A6" s="4" t="inlineStr"/>
      <c r="B6" s="4" t="inlineStr"/>
    </row>
    <row r="7">
      <c r="A7" s="3" t="inlineStr">
        <is>
          <t>總頁數 Total pages</t>
        </is>
      </c>
      <c r="B7" s="4" t="n">
        <v>184</v>
      </c>
    </row>
    <row r="8">
      <c r="A8" s="3" t="inlineStr">
        <is>
          <t>已擷取字元 Characters extracted</t>
        </is>
      </c>
      <c r="B8" s="4" t="n">
        <v>371692</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0</v>
      </c>
    </row>
    <row r="13">
      <c r="A13" s="3" t="inlineStr">
        <is>
          <t>財務科目擷取筆數 Financial line items</t>
        </is>
      </c>
      <c r="B13" s="4" t="n">
        <v>0</v>
      </c>
    </row>
    <row r="14">
      <c r="A14" s="3" t="inlineStr">
        <is>
          <t>主題段落擷取筆數 Topic extracts</t>
        </is>
      </c>
      <c r="B14" s="4" t="n">
        <v>106</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三大報表應相鄰</t>
        </is>
      </c>
      <c r="B19" s="4" t="inlineStr">
        <is>
          <t>Income Statement: p.129、Balance Sheet: p.100、Cash Flow: p.91(相距 38 頁)</t>
        </is>
      </c>
    </row>
    <row r="21">
      <c r="A21" s="5" t="inlineStr">
        <is>
          <t>方法論 Methodology</t>
        </is>
      </c>
    </row>
    <row r="22">
      <c r="A22" s="4" t="inlineStr">
        <is>
          <t>1. 逐頁擷取文字,全程保留 PDF 頁碼與年報印刷頁碼(可追溯性)。</t>
        </is>
      </c>
    </row>
    <row r="23">
      <c r="A23" s="4" t="inlineStr">
        <is>
          <t>2. 規則層(正則/關鍵字)先把全份文件縮減為少數相關頁面 —— 解決「文件太大」。</t>
        </is>
      </c>
    </row>
    <row r="24">
      <c r="A24" s="4" t="inlineStr">
        <is>
          <t>3. 數字由正則精確擷取並做合理性檢查,不由語言模型生成 —— 解決「準確度」。</t>
        </is>
      </c>
    </row>
    <row r="25">
      <c r="A25" s="4" t="inlineStr">
        <is>
          <t>4. AI 僅在縮減後的頁面上做語意判斷,且輸出頁碼須通過驗證才保留。</t>
        </is>
      </c>
    </row>
    <row r="26">
      <c r="A26" s="4" t="inlineStr">
        <is>
          <t>5. 所有結果附來源頁碼與原文行,供估值師覆核。信心度為 Low 者建議人手確認。</t>
        </is>
      </c>
    </row>
    <row r="27">
      <c r="A27"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2024; Cash Flow: 2026</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8" t="str">
        <f>IF(ISERROR(INDEX('Financials 財務數據'!$C$5:$C$5,MATCH("Gross Profit",'Financials 財務數據'!$B$5:$B$5,0))/INDEX('Financials 財務數據'!$C$5:$C$5,MATCH("Revenue",'Financials 財務數據'!$B$5:$B$5,0))),"n/a",INDEX('Financials 財務數據'!$C$5:$C$5,MATCH("Gross Profit",'Financials 財務數據'!$B$5:$B$5,0))/INDEX('Financials 財務數據'!$C$5:$C$5,MATCH("Revenue",'Financials 財務數據'!$B$5:$B$5,0)))</f>
        <v>n/a</v>
      </c>
      <c r="C5" s="8" t="str">
        <f>IF(ISERROR(INDEX('Financials 財務數據'!$D$5:$D$5,MATCH("Gross Profit",'Financials 財務數據'!$B$5:$B$5,0))/INDEX('Financials 財務數據'!$D$5:$D$5,MATCH("Revenue",'Financials 財務數據'!$B$5:$B$5,0))),"n/a",INDEX('Financials 財務數據'!$D$5:$D$5,MATCH("Gross Profit",'Financials 財務數據'!$B$5:$B$5,0))/INDEX('Financials 財務數據'!$D$5:$D$5,MATCH("Revenue",'Financials 財務數據'!$B$5:$B$5,0)))</f>
        <v>n/a</v>
      </c>
      <c r="D5" s="2" t="inlineStr">
        <is>
          <t>毛利 ÷ 收入</t>
        </is>
      </c>
    </row>
    <row r="6">
      <c r="A6" s="4" t="inlineStr">
        <is>
          <t>Net Margin 淨利率</t>
        </is>
      </c>
      <c r="B6" s="8" t="str">
        <f>IF(ISERROR(INDEX('Financials 財務數據'!$C$5:$C$5,MATCH("Profit for the Year",'Financials 財務數據'!$B$5:$B$5,0))/INDEX('Financials 財務數據'!$C$5:$C$5,MATCH("Revenue",'Financials 財務數據'!$B$5:$B$5,0))),"n/a",INDEX('Financials 財務數據'!$C$5:$C$5,MATCH("Profit for the Year",'Financials 財務數據'!$B$5:$B$5,0))/INDEX('Financials 財務數據'!$C$5:$C$5,MATCH("Revenue",'Financials 財務數據'!$B$5:$B$5,0)))</f>
        <v>n/a</v>
      </c>
      <c r="C6" s="8" t="str">
        <f>IF(ISERROR(INDEX('Financials 財務數據'!$D$5:$D$5,MATCH("Profit for the Year",'Financials 財務數據'!$B$5:$B$5,0))/INDEX('Financials 財務數據'!$D$5:$D$5,MATCH("Revenue",'Financials 財務數據'!$B$5:$B$5,0))),"n/a",INDEX('Financials 財務數據'!$D$5:$D$5,MATCH("Profit for the Year",'Financials 財務數據'!$B$5:$B$5,0))/INDEX('Financials 財務數據'!$D$5:$D$5,MATCH("Revenue",'Financials 財務數據'!$B$5:$B$5,0)))</f>
        <v>n/a</v>
      </c>
      <c r="D6" s="2" t="inlineStr">
        <is>
          <t>年內溢利 ÷ 收入</t>
        </is>
      </c>
    </row>
    <row r="7">
      <c r="A7" s="4" t="inlineStr">
        <is>
          <t>Current Ratio 流動比率</t>
        </is>
      </c>
      <c r="B7" s="9" t="str">
        <f>IF(ISERROR(INDEX('Financials 財務數據'!$C$5:$C$5,MATCH("Total Current Assets",'Financials 財務數據'!$B$5:$B$5,0))/INDEX('Financials 財務數據'!$C$5:$C$5,MATCH("Total Current Liabilities",'Financials 財務數據'!$B$5:$B$5,0))),"n/a",INDEX('Financials 財務數據'!$C$5:$C$5,MATCH("Total Current Assets",'Financials 財務數據'!$B$5:$B$5,0))/INDEX('Financials 財務數據'!$C$5:$C$5,MATCH("Total Current Liabilities",'Financials 財務數據'!$B$5:$B$5,0)))</f>
        <v>n/a</v>
      </c>
      <c r="C7" s="9" t="str">
        <f>IF(ISERROR(INDEX('Financials 財務數據'!$D$5:$D$5,MATCH("Total Current Assets",'Financials 財務數據'!$B$5:$B$5,0))/INDEX('Financials 財務數據'!$D$5:$D$5,MATCH("Total Current Liabilities",'Financials 財務數據'!$B$5:$B$5,0))),"n/a",INDEX('Financials 財務數據'!$D$5:$D$5,MATCH("Total Current Assets",'Financials 財務數據'!$B$5:$B$5,0))/INDEX('Financials 財務數據'!$D$5:$D$5,MATCH("Total Current Liabilities",'Financials 財務數據'!$B$5:$B$5,0)))</f>
        <v>n/a</v>
      </c>
      <c r="D7" s="2" t="inlineStr">
        <is>
          <t>流動資產 ÷ 流動負債</t>
        </is>
      </c>
    </row>
    <row r="8">
      <c r="A8" s="4" t="inlineStr">
        <is>
          <t>Debt / Equity 負債權益比</t>
        </is>
      </c>
      <c r="B8" s="9" t="str">
        <f>IF(ISERROR(INDEX('Financials 財務數據'!$C$5:$C$5,MATCH("Total Liabilities",'Financials 財務數據'!$B$5:$B$5,0))/INDEX('Financials 財務數據'!$C$5:$C$5,MATCH("Total Equity",'Financials 財務數據'!$B$5:$B$5,0))),"n/a",INDEX('Financials 財務數據'!$C$5:$C$5,MATCH("Total Liabilities",'Financials 財務數據'!$B$5:$B$5,0))/INDEX('Financials 財務數據'!$C$5:$C$5,MATCH("Total Equity",'Financials 財務數據'!$B$5:$B$5,0)))</f>
        <v>n/a</v>
      </c>
      <c r="C8" s="9" t="str">
        <f>IF(ISERROR(INDEX('Financials 財務數據'!$D$5:$D$5,MATCH("Total Liabilities",'Financials 財務數據'!$B$5:$B$5,0))/INDEX('Financials 財務數據'!$D$5:$D$5,MATCH("Total Equity",'Financials 財務數據'!$B$5:$B$5,0))),"n/a",INDEX('Financials 財務數據'!$D$5:$D$5,MATCH("Total Liabilities",'Financials 財務數據'!$B$5:$B$5,0))/INDEX('Financials 財務數據'!$D$5:$D$5,MATCH("Total Equity",'Financials 財務數據'!$B$5:$B$5,0)))</f>
        <v>n/a</v>
      </c>
      <c r="D8" s="2" t="inlineStr">
        <is>
          <t>總負債 ÷ 總權益</t>
        </is>
      </c>
    </row>
    <row r="9">
      <c r="A9" s="4" t="inlineStr">
        <is>
          <t>Goodwill / Total Assets</t>
        </is>
      </c>
      <c r="B9" s="8" t="str">
        <f>IF(ISERROR(INDEX('Financials 財務數據'!$C$5:$C$5,MATCH("Goodwill",'Financials 財務數據'!$B$5:$B$5,0))/INDEX('Financials 財務數據'!$C$5:$C$5,MATCH("Total Assets",'Financials 財務數據'!$B$5:$B$5,0))),"n/a",INDEX('Financials 財務數據'!$C$5:$C$5,MATCH("Goodwill",'Financials 財務數據'!$B$5:$B$5,0))/INDEX('Financials 財務數據'!$C$5:$C$5,MATCH("Total Assets",'Financials 財務數據'!$B$5:$B$5,0)))</f>
        <v>n/a</v>
      </c>
      <c r="C9" s="8" t="str">
        <f>IF(ISERROR(INDEX('Financials 財務數據'!$D$5:$D$5,MATCH("Goodwill",'Financials 財務數據'!$B$5:$B$5,0))/INDEX('Financials 財務數據'!$D$5:$D$5,MATCH("Total Assets",'Financials 財務數據'!$B$5:$B$5,0))),"n/a",INDEX('Financials 財務數據'!$D$5:$D$5,MATCH("Goodwill",'Financials 財務數據'!$B$5:$B$5,0))/INDEX('Financials 財務數據'!$D$5:$D$5,MATCH("Total Assets",'Financials 財務數據'!$B$5:$B$5,0)))</f>
        <v>n/a</v>
      </c>
      <c r="D9" s="2" t="inlineStr">
        <is>
          <t>商譽佔總資產比重 — 減值風險指標</t>
        </is>
      </c>
    </row>
    <row r="10">
      <c r="A10" s="4" t="inlineStr">
        <is>
          <t>Intangibles / Total Assets</t>
        </is>
      </c>
      <c r="B10" s="8" t="str">
        <f>IF(ISERROR(INDEX('Financials 財務數據'!$C$5:$C$5,MATCH("Intangible Assets",'Financials 財務數據'!$B$5:$B$5,0))/INDEX('Financials 財務數據'!$C$5:$C$5,MATCH("Total Assets",'Financials 財務數據'!$B$5:$B$5,0))),"n/a",INDEX('Financials 財務數據'!$C$5:$C$5,MATCH("Intangible Assets",'Financials 財務數據'!$B$5:$B$5,0))/INDEX('Financials 財務數據'!$C$5:$C$5,MATCH("Total Assets",'Financials 財務數據'!$B$5:$B$5,0)))</f>
        <v>n/a</v>
      </c>
      <c r="C10" s="8" t="str">
        <f>IF(ISERROR(INDEX('Financials 財務數據'!$D$5:$D$5,MATCH("Intangible Assets",'Financials 財務數據'!$B$5:$B$5,0))/INDEX('Financials 財務數據'!$D$5:$D$5,MATCH("Total Assets",'Financials 財務數據'!$B$5:$B$5,0))),"n/a",INDEX('Financials 財務數據'!$D$5:$D$5,MATCH("Intangible Assets",'Financials 財務數據'!$B$5:$B$5,0))/INDEX('Financials 財務數據'!$D$5:$D$5,MATCH("Total Assets",'Financials 財務數據'!$B$5:$B$5,0)))</f>
        <v>n/a</v>
      </c>
      <c r="D10" s="2" t="inlineStr">
        <is>
          <t>無形資產佔比</t>
        </is>
      </c>
    </row>
    <row r="11">
      <c r="A11" s="4" t="inlineStr">
        <is>
          <t>ROE 股本回報率</t>
        </is>
      </c>
      <c r="B11" s="8" t="str">
        <f>IF(ISERROR(INDEX('Financials 財務數據'!$C$5:$C$5,MATCH("Profit for the Year",'Financials 財務數據'!$B$5:$B$5,0))/INDEX('Financials 財務數據'!$C$5:$C$5,MATCH("Total Equity",'Financials 財務數據'!$B$5:$B$5,0))),"n/a",INDEX('Financials 財務數據'!$C$5:$C$5,MATCH("Profit for the Year",'Financials 財務數據'!$B$5:$B$5,0))/INDEX('Financials 財務數據'!$C$5:$C$5,MATCH("Total Equity",'Financials 財務數據'!$B$5:$B$5,0)))</f>
        <v>n/a</v>
      </c>
      <c r="C11" s="8" t="str">
        <f>IF(ISERROR(INDEX('Financials 財務數據'!$D$5:$D$5,MATCH("Profit for the Year",'Financials 財務數據'!$B$5:$B$5,0))/INDEX('Financials 財務數據'!$D$5:$D$5,MATCH("Total Equity",'Financials 財務數據'!$B$5:$B$5,0))),"n/a",INDEX('Financials 財務數據'!$D$5:$D$5,MATCH("Profit for the Year",'Financials 財務數據'!$B$5:$B$5,0))/INDEX('Financials 財務數據'!$D$5:$D$5,MATCH("Total Equity",'Financials 財務數據'!$B$5:$B$5,0)))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9"/>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10" t="inlineStr">
        <is>
          <t>Fair Value Measurement</t>
        </is>
      </c>
      <c r="B4" s="10" t="inlineStr">
        <is>
          <t>公允價值計量</t>
        </is>
      </c>
      <c r="C4" s="11" t="inlineStr">
        <is>
          <t>high</t>
        </is>
      </c>
      <c r="D4" s="12" t="inlineStr">
        <is>
          <t>independent valuer</t>
        </is>
      </c>
      <c r="E4" s="12" t="inlineStr">
        <is>
          <t>PDF p.76 (印刷頁 75)</t>
        </is>
      </c>
      <c r="F4" s="12" t="inlineStr">
        <is>
          <t>reference to the monthly rental of other similar premises in the Hong Kong market and the professional valuation report issued by an independent valuer. The Property is held by the Group as investment for rental purposes and the entering into of the Tenancy Agreement will contribute rental income to the Group. Since the Tenant is a connected person to the Company, the Company would prefer to rent the Property to such tenant which the Company is familiar with and which it can ensure punctual rental payment. The Directors, includ</t>
        </is>
      </c>
    </row>
    <row r="5">
      <c r="A5" s="10" t="inlineStr">
        <is>
          <t>Fair Value Measurement</t>
        </is>
      </c>
      <c r="B5" s="10" t="inlineStr">
        <is>
          <t>公允價值計量</t>
        </is>
      </c>
      <c r="C5" s="11" t="inlineStr">
        <is>
          <t>high</t>
        </is>
      </c>
      <c r="D5" s="12" t="inlineStr">
        <is>
          <t>fair value hierarchy</t>
        </is>
      </c>
      <c r="E5" s="12" t="inlineStr">
        <is>
          <t>PDF p.125 (印刷頁 124)</t>
        </is>
      </c>
      <c r="F5" s="12" t="inlineStr">
        <is>
          <t>measurements For the purposes of financial reporting, fair value measurement is categorised into Level 1, 2 and 3 of the three-level fair value hierarchy as defined under the HKFRS 13. The level into which a fair value measurement is classified is determined with reference to the observability and significance of the inputs used in the valuation technique as follows: Level 1 valuations: Fair value measurements are those derived from quoted prices (unadjusted) in active markets for identical assets or liabilities; Level 2 valuat</t>
        </is>
      </c>
    </row>
    <row r="6">
      <c r="A6" s="10" t="inlineStr">
        <is>
          <t>Fair Value Measurement</t>
        </is>
      </c>
      <c r="B6" s="10" t="inlineStr">
        <is>
          <t>公允價值計量</t>
        </is>
      </c>
      <c r="C6" s="11" t="inlineStr">
        <is>
          <t>high</t>
        </is>
      </c>
      <c r="D6" s="12" t="inlineStr">
        <is>
          <t>level 1</t>
        </is>
      </c>
      <c r="E6" s="12" t="inlineStr">
        <is>
          <t>PDF p.129 (印刷頁 128)</t>
        </is>
      </c>
      <c r="F6" s="12" t="inlineStr">
        <is>
          <t>easurements. In estimating the fair value of an asset, the Group uses market-observable data to the extent which is available. Where Level 1 inputs are not available, the Group may engage third party qualified valuers to perform the valuation. The management works closely with the qualified external valuers to establish the appropriate valuation techniques and inputs to the model. As at 31 March 2026, the Group’s investment property is stated at fair value of HK$360,000,000 (2025: HK$383,000,000) based on the valuations perform</t>
        </is>
      </c>
    </row>
    <row r="7">
      <c r="A7" s="10" t="inlineStr">
        <is>
          <t>Fair Value Measurement</t>
        </is>
      </c>
      <c r="B7" s="10" t="inlineStr">
        <is>
          <t>公允價值計量</t>
        </is>
      </c>
      <c r="C7" s="11" t="inlineStr">
        <is>
          <t>high</t>
        </is>
      </c>
      <c r="D7" s="12" t="inlineStr">
        <is>
          <t>level 3</t>
        </is>
      </c>
      <c r="E7" s="12" t="inlineStr">
        <is>
          <t>PDF p.146 (印刷頁 145)</t>
        </is>
      </c>
      <c r="F7" s="12" t="inlineStr">
        <is>
          <t>easurement is based on the above properties’ highest and best use, which does not differ from their actual use and is categorised as Level 3 of the three-level fair value hierarchy as defined under HKFRS 13. There were no changes to the valuation techniques during the years ended 31 March 2026 and 2025. 16. INTANGIBLE ASSETS HK$’000 Cost At 1 April 2024, 31 March 2025, 1 April 2025 and 31 March 2026 4,886 Accumulated impairment At 1 April 2024, 31 March 2025, 1 April 2025 and 31 March 2026 4,886 Carrying amount At 31 March 2026</t>
        </is>
      </c>
    </row>
    <row r="8">
      <c r="A8" s="10" t="inlineStr">
        <is>
          <t>Fair Value Measurement</t>
        </is>
      </c>
      <c r="B8" s="10" t="inlineStr">
        <is>
          <t>公允價值計量</t>
        </is>
      </c>
      <c r="C8" s="11" t="inlineStr">
        <is>
          <t>high</t>
        </is>
      </c>
      <c r="D8" s="12" t="inlineStr">
        <is>
          <t>level 1</t>
        </is>
      </c>
      <c r="E8" s="12" t="inlineStr">
        <is>
          <t>PDF p.179 (印刷頁 178)</t>
        </is>
      </c>
      <c r="F8" s="12" t="inlineStr">
        <is>
          <t>ssified is determined with reference to the observability and significance of the inputs used in the valuation technique as follows: Level 1 fair value measurements are those derived from quoted prices (unadjusted) in active markets for identical assets or liabilities. Level 2 fair value measurements are those derived from inputs other than quoted prices included within Level 1 that are observable for the assets or liabilities, either directly (i.e. as prices) or indirectly (i.e. derived from prices). Level 3 fair value measure</t>
        </is>
      </c>
    </row>
    <row r="9">
      <c r="A9" s="10" t="inlineStr">
        <is>
          <t>Fair Value Measurement</t>
        </is>
      </c>
      <c r="B9" s="10" t="inlineStr">
        <is>
          <t>公允價值計量</t>
        </is>
      </c>
      <c r="C9" s="11" t="inlineStr">
        <is>
          <t>high</t>
        </is>
      </c>
      <c r="D9" s="12" t="inlineStr">
        <is>
          <t>level 1</t>
        </is>
      </c>
      <c r="E9" s="12" t="inlineStr">
        <is>
          <t>PDF p.180 (印刷頁 179)</t>
        </is>
      </c>
      <c r="F9" s="12" t="inlineStr">
        <is>
          <t>solidated statement of financial position (Continued) During the years ended 31 March 2026 and 2025, there were no transfers between Level 1, Level 2 and Level 3. The financial asset at FVOCI represents the investment in equity interest in a private entity that offers the Group the opportunity for return through distribution. As at 31 March 2026 and 2025, the financial asset at FVOCI was measured at fair value which was determined using the net asset value approach of the entity. The effects of unobservable inputs are not signi</t>
        </is>
      </c>
    </row>
    <row r="10">
      <c r="A10" s="10" t="inlineStr">
        <is>
          <t>Impairment Testing</t>
        </is>
      </c>
      <c r="B10" s="10" t="inlineStr">
        <is>
          <t>減值測試</t>
        </is>
      </c>
      <c r="C10" s="11" t="inlineStr">
        <is>
          <t>high</t>
        </is>
      </c>
      <c r="D10" s="12" t="inlineStr">
        <is>
          <t>impairment loss</t>
        </is>
      </c>
      <c r="E10" s="12" t="inlineStr">
        <is>
          <t>PDF p.92 (印刷頁 91)</t>
        </is>
      </c>
      <c r="F10" s="12" t="inlineStr">
        <is>
          <t>and the relationship between the forward looking factors and the key inputs, including PD and LGD, in the ECL model to determine the impairment loss; and – checking, on sample basis, the existence and estimation of the expected recoverable amount of the underlying collateral, if applicable. ANNUAL REPORT 2025/26 STYLAND HOLDINGS LIMITED 91</t>
        </is>
      </c>
    </row>
    <row r="11">
      <c r="A11" s="10" t="inlineStr">
        <is>
          <t>Impairment Testing</t>
        </is>
      </c>
      <c r="B11" s="10" t="inlineStr">
        <is>
          <t>減值測試</t>
        </is>
      </c>
      <c r="C11" s="11" t="inlineStr">
        <is>
          <t>high</t>
        </is>
      </c>
      <c r="D11" s="12" t="inlineStr">
        <is>
          <t>impairment loss</t>
        </is>
      </c>
      <c r="E11" s="12" t="inlineStr">
        <is>
          <t>PDF p.105 (印刷頁 104)</t>
        </is>
      </c>
      <c r="F11" s="12" t="inlineStr">
        <is>
          <t>an associate or a joint venture. In the Company’s statement of financial position, subsidiaries are carried at cost less accumulated impairment loss (if any) unless the subsidiary is held for sale or included in a disposal group. The results of subsidiaries are accounted for by the Company on the basis of dividends received and receivable at the reporting date. All dividends whether received out of the investee’s pre or post-acquisition profits are recognised in the Company’s profit or loss. A structured entity is an entity tha</t>
        </is>
      </c>
    </row>
    <row r="12">
      <c r="A12" s="10" t="inlineStr">
        <is>
          <t>Impairment Testing</t>
        </is>
      </c>
      <c r="B12" s="10" t="inlineStr">
        <is>
          <t>減值測試</t>
        </is>
      </c>
      <c r="C12" s="11" t="inlineStr">
        <is>
          <t>high</t>
        </is>
      </c>
      <c r="D12" s="12" t="inlineStr">
        <is>
          <t>impairment loss</t>
        </is>
      </c>
      <c r="E12" s="12" t="inlineStr">
        <is>
          <t>PDF p.106 (印刷頁 105)</t>
        </is>
      </c>
      <c r="F12" s="12" t="inlineStr">
        <is>
          <t>n the manner intended by the Group’s management). They are subsequently stated at cost less accumulated depreciation and accumulated impairment losses, if any. Depreciation is recognised so as to write off the cost of assets less their residual values over their estimated useful lives, using the straight-line method, at the following rates per annum: Leasehold improvements Over the shorter of the term of lease or 25% Furniture, fixtures and equipment 15% Motor vehicles 20% Accounting policy for depreciation of right-of-use asse</t>
        </is>
      </c>
    </row>
    <row r="13">
      <c r="A13" s="10" t="inlineStr">
        <is>
          <t>Impairment Testing</t>
        </is>
      </c>
      <c r="B13" s="10" t="inlineStr">
        <is>
          <t>減值測試</t>
        </is>
      </c>
      <c r="C13" s="11" t="inlineStr">
        <is>
          <t>high</t>
        </is>
      </c>
      <c r="D13" s="12" t="inlineStr">
        <is>
          <t>impairment loss</t>
        </is>
      </c>
      <c r="E13" s="12" t="inlineStr">
        <is>
          <t>PDF p.107 (印刷頁 106)</t>
        </is>
      </c>
      <c r="F13" s="12" t="inlineStr">
        <is>
          <t>h they arise. 2.6 Intangible asset Intangible asset with indefinite useful lives are carried at cost less any subsequent accumulated impairment losses and are tested for impairment as described below in note 2.14. 106 STYLAND HOLDINGS LIMITED ANNUAL REPORT 2025/26</t>
        </is>
      </c>
    </row>
    <row r="14">
      <c r="A14" s="10" t="inlineStr">
        <is>
          <t>Impairment Testing</t>
        </is>
      </c>
      <c r="B14" s="10" t="inlineStr">
        <is>
          <t>減值測試</t>
        </is>
      </c>
      <c r="C14" s="11" t="inlineStr">
        <is>
          <t>high</t>
        </is>
      </c>
      <c r="D14" s="12" t="inlineStr">
        <is>
          <t>impairment loss</t>
        </is>
      </c>
      <c r="E14" s="12" t="inlineStr">
        <is>
          <t>PDF p.117 (印刷頁 116)</t>
        </is>
      </c>
      <c r="F14" s="12" t="inlineStr">
        <is>
          <t>r generally the assets, or disposal group, are measured at the lower of their carrying amount and fair value less costs to sell. Any impairment loss on a disposal group is first allocated to goodwill, and then to remaining assets and liabilities on pro rata basis, except that no loss is allocated to financial assets and investment property, which continues to be measured in accordance with the Group’s accounting policies. Impairment losses on initial classification as held for sale and subsequent gains and losses on remeasureme</t>
        </is>
      </c>
    </row>
    <row r="15">
      <c r="A15" s="10" t="inlineStr">
        <is>
          <t>Impairment Testing</t>
        </is>
      </c>
      <c r="B15" s="10" t="inlineStr">
        <is>
          <t>減值測試</t>
        </is>
      </c>
      <c r="C15" s="11" t="inlineStr">
        <is>
          <t>high</t>
        </is>
      </c>
      <c r="D15" s="12" t="inlineStr">
        <is>
          <t>impairment test</t>
        </is>
      </c>
      <c r="E15" s="12" t="inlineStr">
        <is>
          <t>PDF p.120 (印刷頁 119)</t>
        </is>
      </c>
      <c r="F15" s="12" t="inlineStr">
        <is>
          <t>2. SUMMARY OF MATERIAL ACCOUNTING POLICIES (CONTINUED) 2.14 Impairment non-financial assets The following assets are subject to impairment testing: – Intangible asset; – Property, plant and equipment (including right-of-use assets); and – The Company’s interests in subsidiaries. Intangible asset with indefinite useful life is tested for impairment at least annually, irrespective of whether there is any indication that they are impaired. All other assets are tested for impairment whenever there are indications that the asse</t>
        </is>
      </c>
    </row>
    <row r="16">
      <c r="A16" s="10" t="inlineStr">
        <is>
          <t>Impairment Testing</t>
        </is>
      </c>
      <c r="B16" s="10" t="inlineStr">
        <is>
          <t>減值測試</t>
        </is>
      </c>
      <c r="C16" s="11" t="inlineStr">
        <is>
          <t>high</t>
        </is>
      </c>
      <c r="D16" s="12" t="inlineStr">
        <is>
          <t>impairment loss</t>
        </is>
      </c>
      <c r="E16" s="12" t="inlineStr">
        <is>
          <t>PDF p.129 (印刷頁 128)</t>
        </is>
      </c>
      <c r="F16" s="12" t="inlineStr">
        <is>
          <t>mpairment if there is any indication that the carrying value of these assets may not be recoverable and the assets are subject to an impairment loss. This process requires management’s estimate of future cash flows generated by each CGU. For any instance where this evaluation process indicates impairment, the relevant asset’s carrying amount is written down to the recoverable amount and the amount of the write-down is charged against the consolidated statement of profit or loss and other comprehensive income. The recoverable am</t>
        </is>
      </c>
    </row>
    <row r="17">
      <c r="A17" s="10" t="inlineStr">
        <is>
          <t>Impairment Testing</t>
        </is>
      </c>
      <c r="B17" s="10" t="inlineStr">
        <is>
          <t>減值測試</t>
        </is>
      </c>
      <c r="C17" s="11" t="inlineStr">
        <is>
          <t>high</t>
        </is>
      </c>
      <c r="D17" s="12" t="inlineStr">
        <is>
          <t>recoverable amount</t>
        </is>
      </c>
      <c r="E17" s="12" t="inlineStr">
        <is>
          <t>PDF p.145 (印刷頁 144)</t>
        </is>
      </c>
      <c r="F17" s="12" t="inlineStr">
        <is>
          <t>h 2026 and 2025, premises held under leases of the Group’s right-of-use assets in relation to office premises. At 31 March 2026, the recoverable amounts of the Group’s property, plant and equipment, attributable to the respective CGUs has been determined based on a value in use estimation. The value in use estimation adopted the discounted cash flow method, net of future cash outflow using a discount rate of weighted average cost of capital. When actual cash flow differs materially from the estimated cash flow, adjustments have</t>
        </is>
      </c>
    </row>
    <row r="18">
      <c r="A18" s="10" t="inlineStr">
        <is>
          <t>Impairment Testing</t>
        </is>
      </c>
      <c r="B18" s="10" t="inlineStr">
        <is>
          <t>減值測試</t>
        </is>
      </c>
      <c r="C18" s="11" t="inlineStr">
        <is>
          <t>high</t>
        </is>
      </c>
      <c r="D18" s="12" t="inlineStr">
        <is>
          <t>recoverable amount</t>
        </is>
      </c>
      <c r="E18" s="12" t="inlineStr">
        <is>
          <t>PDF p.146 (印刷頁 145)</t>
        </is>
      </c>
      <c r="F18" s="12" t="inlineStr">
        <is>
          <t>It is tested for impairment annually and whenever there is an indication that it may be impaired. As at 31 March 2026 and 2025, the recoverable amount of the CGUs arising from Choice Insurance was determined based on a value-in-use calculation which uses cash flow projections based on financial budgets approved by the directors covering a 5-year period. The licence right was fully impaired as at 31 March 2026 and 2025 as the expected recoverable amount of related CGU is HK$Nil. ANNUAL REPORT 2025/26 STYLAND HOLDINGS LIMITED 14</t>
        </is>
      </c>
    </row>
    <row r="19">
      <c r="A19" s="10" t="inlineStr">
        <is>
          <t>Impairment Testing</t>
        </is>
      </c>
      <c r="B19" s="10" t="inlineStr">
        <is>
          <t>減值測試</t>
        </is>
      </c>
      <c r="C19" s="11" t="inlineStr">
        <is>
          <t>high</t>
        </is>
      </c>
      <c r="D19" s="12" t="inlineStr">
        <is>
          <t>impairment loss</t>
        </is>
      </c>
      <c r="E19" s="12" t="inlineStr">
        <is>
          <t>PDF p.174 (印刷頁 173)</t>
        </is>
      </c>
      <c r="F19" s="12" t="inlineStr">
        <is>
          <t>mount of debtors, which shared credit risk characteristics, collectively at the end of each reporting period to ensure that adequate impairment losses are made for irrecoverable amounts. At each reporting date, the probability of default, loss given default and discount factor are updated and analysed, the probability of default and loss given default were based on the percentage of contractual claims that would be lost if the counter-party defaults and reduced by the expected recoverable amount from the collateral after adjust</t>
        </is>
      </c>
    </row>
    <row r="20">
      <c r="A20" s="10" t="inlineStr">
        <is>
          <t>Impairment Testing</t>
        </is>
      </c>
      <c r="B20" s="10" t="inlineStr">
        <is>
          <t>減值測試</t>
        </is>
      </c>
      <c r="C20" s="11" t="inlineStr">
        <is>
          <t>high</t>
        </is>
      </c>
      <c r="D20" s="12" t="inlineStr">
        <is>
          <t>impairment loss</t>
        </is>
      </c>
      <c r="E20" s="12" t="inlineStr">
        <is>
          <t>PDF p.175 (印刷頁 174)</t>
        </is>
      </c>
      <c r="F20" s="12" t="inlineStr">
        <is>
          <t>TINUED) 36.3 Credit risk (Continued) Notes: (Continued) (iii) For the mortgage and other financing business, to ensure that adequate impairment losses are made for irrecoverable amounts, the Group assesses ECL on loans receivable and interest receivables arising from financing business based on probability-weighted loss default approach by reviewing the recoverable amount and assesses ECL on loans receivable and interest receivables for debtors individually at the end of each reporting period. At each reporting date, the probab</t>
        </is>
      </c>
    </row>
    <row r="21">
      <c r="A21" s="10" t="inlineStr">
        <is>
          <t>Impairment Testing</t>
        </is>
      </c>
      <c r="B21" s="10" t="inlineStr">
        <is>
          <t>減值測試</t>
        </is>
      </c>
      <c r="C21" s="11" t="inlineStr">
        <is>
          <t>high</t>
        </is>
      </c>
      <c r="D21" s="12" t="inlineStr">
        <is>
          <t>recoverable amount</t>
        </is>
      </c>
      <c r="E21" s="12" t="inlineStr">
        <is>
          <t>PDF p.176 (印刷頁 175)</t>
        </is>
      </c>
      <c r="F21" s="12" t="inlineStr">
        <is>
          <t>les of HK$366,000 (2025: HK$Nil), were written off due to (i) debtor’s bankruptcy; (ii) amount past due for over 2 years; or (iii) irrecoverable amount after disposing of the collateral. During the year ended 31 March 2025, other receivables other than interest receivables of HK$500,000 was written off due to deregistered of an indirectly-owned subsidiary. ANNUAL REPORT 2025/26 STYLAND HOLDINGS LIMITED 175</t>
        </is>
      </c>
    </row>
    <row r="22">
      <c r="A22" s="10" t="inlineStr">
        <is>
          <t>Intangible Assets &amp; Goodwill</t>
        </is>
      </c>
      <c r="B22" s="10" t="inlineStr">
        <is>
          <t>無形資產及商譽</t>
        </is>
      </c>
      <c r="C22" s="11" t="inlineStr">
        <is>
          <t>high</t>
        </is>
      </c>
      <c r="D22" s="12" t="inlineStr">
        <is>
          <t>licence</t>
        </is>
      </c>
      <c r="E22" s="12" t="inlineStr">
        <is>
          <t>PDF p.5 (印刷頁 4)</t>
        </is>
      </c>
      <c r="F22" s="12" t="inlineStr">
        <is>
          <t>reputable financial services provider. To offer our clients a wide range of financial products and services, we hold a total of four licences granted by the Securities and Futures Commission (the “SFC”), namely Type 1 (Dealing in Securities), Type 2 (Dealing in Futures Contracts), Type 4 (Advising on Securities) and Type 9 (Asset Management). 4 4 STYLAND STYLAND HOLDINGS HOLDINGS LIMITED LIMITED ANNUAL ANNUAL REPORT REPORT 2025/26 2025/26</t>
        </is>
      </c>
    </row>
    <row r="23">
      <c r="A23" s="10" t="inlineStr">
        <is>
          <t>Intangible Assets &amp; Goodwill</t>
        </is>
      </c>
      <c r="B23" s="10" t="inlineStr">
        <is>
          <t>無形資產及商譽</t>
        </is>
      </c>
      <c r="C23" s="11" t="inlineStr">
        <is>
          <t>high</t>
        </is>
      </c>
      <c r="D23" s="12" t="inlineStr">
        <is>
          <t>licence</t>
        </is>
      </c>
      <c r="E23" s="12" t="inlineStr">
        <is>
          <t>PDF p.8 (印刷頁 7)</t>
        </is>
      </c>
      <c r="F23" s="12" t="inlineStr">
        <is>
          <t>mers may access to various investment products of each other’s markets. The Group, as an asset management service provider under the licence granted by the SFC, may set up a fund investing in the market or industry specified by the clients based on each client’s own unique investment needs and goals. As a fund manager, the Group may also provide our clients attractive, tailor-made investment solutions, which would allow the clients to diversify their investments, minimise their investment risks, and gain a competitive return on</t>
        </is>
      </c>
    </row>
    <row r="24">
      <c r="A24" s="10" t="inlineStr">
        <is>
          <t>Intangible Assets &amp; Goodwill</t>
        </is>
      </c>
      <c r="B24" s="10" t="inlineStr">
        <is>
          <t>無形資產及商譽</t>
        </is>
      </c>
      <c r="C24" s="11" t="inlineStr">
        <is>
          <t>high</t>
        </is>
      </c>
      <c r="D24" s="12" t="inlineStr">
        <is>
          <t>licence</t>
        </is>
      </c>
      <c r="E24" s="12" t="inlineStr">
        <is>
          <t>PDF p.17 (印刷頁 16)</t>
        </is>
      </c>
      <c r="F24" s="12" t="inlineStr">
        <is>
          <t>e Group registered under the SFO for each regulated activity under the financial services segment were as follows: Number of Type of Licence Regulated activity responsible officers Type 1 Dealing in securities 4 Type 2 Dealing in futures contracts 2 Type 4 Advising on securities 4 Type 9 Asset management 3 In order to safeguard clients’ interests and comply with the requirements of the SFO, our monitoring teams have carried out ongoing checks and verifications so that we are able to maintain our service standard at a satisfacto</t>
        </is>
      </c>
    </row>
    <row r="25">
      <c r="A25" s="10" t="inlineStr">
        <is>
          <t>Intangible Assets &amp; Goodwill</t>
        </is>
      </c>
      <c r="B25" s="10" t="inlineStr">
        <is>
          <t>無形資產及商譽</t>
        </is>
      </c>
      <c r="C25" s="11" t="inlineStr">
        <is>
          <t>high</t>
        </is>
      </c>
      <c r="D25" s="12" t="inlineStr">
        <is>
          <t>licence</t>
        </is>
      </c>
      <c r="E25" s="12" t="inlineStr">
        <is>
          <t>PDF p.49 (印刷頁 48)</t>
        </is>
      </c>
      <c r="F25" s="12" t="inlineStr">
        <is>
          <t>inuous professional training annually (see “Development and Training” section above for details). The Group also holds money lending licences to offer legitimate lending services. 48 STYLAND HOLDINGS LIMITED ANNUAL REPORT 2025/26</t>
        </is>
      </c>
    </row>
    <row r="26">
      <c r="A26" s="10" t="inlineStr">
        <is>
          <t>Intangible Assets &amp; Goodwill</t>
        </is>
      </c>
      <c r="B26" s="10" t="inlineStr">
        <is>
          <t>無形資產及商譽</t>
        </is>
      </c>
      <c r="C26" s="11" t="inlineStr">
        <is>
          <t>high</t>
        </is>
      </c>
      <c r="D26" s="12" t="inlineStr">
        <is>
          <t>intangible asset</t>
        </is>
      </c>
      <c r="E26" s="12" t="inlineStr">
        <is>
          <t>PDF p.98 (印刷頁 97)</t>
        </is>
      </c>
      <c r="F26" s="12" t="inlineStr">
        <is>
          <t>K$’000 ASSETS AND LIABILITIES Non-current assets Property, plant and equipment 14 5,681 7,623 Investment property 15 360,000 383,000 Intangible assets 16 – – Financial asset at FVTPL 20 7,364 7,143 Other receivables, deposits and prepayments 19 956 608 Loans receivable 17 19,348 16,758 393,349 415,132 Current assets Loans receivable 17 19,708 57,285 Accounts receivable 18 12,864 15,578 Other receivables, deposits and prepayments 19 4,241 4,799 Financial asset at fair value through other comprehensive income (“FVOCI”) 36 – – Fin</t>
        </is>
      </c>
    </row>
    <row r="27">
      <c r="A27" s="10" t="inlineStr">
        <is>
          <t>Intangible Assets &amp; Goodwill</t>
        </is>
      </c>
      <c r="B27" s="10" t="inlineStr">
        <is>
          <t>無形資產及商譽</t>
        </is>
      </c>
      <c r="C27" s="11" t="inlineStr">
        <is>
          <t>high</t>
        </is>
      </c>
      <c r="D27" s="12" t="inlineStr">
        <is>
          <t>goodwill</t>
        </is>
      </c>
      <c r="E27" s="12" t="inlineStr">
        <is>
          <t>PDF p.105 (印刷頁 104)</t>
        </is>
      </c>
      <c r="F27" s="12" t="inlineStr">
        <is>
          <t>unts of controlling interests within consolidated equity to reflect the change in relative interests, but no adjustments are made to goodwill and no gain or loss is recognised. When the Group loses control of a subsidiary, the profit or loss on disposal is calculated as the difference between (i) the aggregate of the fair value of the consideration received and the fair value of any retained interest and (ii) the previous carrying amount of the assets (including goodwill), and liabilities of the subsidiary and any non-controlli</t>
        </is>
      </c>
    </row>
    <row r="28">
      <c r="A28" s="10" t="inlineStr">
        <is>
          <t>Intangible Assets &amp; Goodwill</t>
        </is>
      </c>
      <c r="B28" s="10" t="inlineStr">
        <is>
          <t>無形資產及商譽</t>
        </is>
      </c>
      <c r="C28" s="11" t="inlineStr">
        <is>
          <t>high</t>
        </is>
      </c>
      <c r="D28" s="12" t="inlineStr">
        <is>
          <t>useful life</t>
        </is>
      </c>
      <c r="E28" s="12" t="inlineStr">
        <is>
          <t>PDF p.106 (印刷頁 105)</t>
        </is>
      </c>
      <c r="F28" s="12" t="inlineStr">
        <is>
          <t>Motor vehicles 20% Accounting policy for depreciation of right-of-use assets is set out in note 2.9. Estimates of residual value and useful life are reviewed, and adjusted if appropriate, at the end of each reporting period. ANNUAL REPORT 2025/26 STYLAND HOLDINGS LIMITED 105</t>
        </is>
      </c>
    </row>
    <row r="29">
      <c r="A29" s="10" t="inlineStr">
        <is>
          <t>Intangible Assets &amp; Goodwill</t>
        </is>
      </c>
      <c r="B29" s="10" t="inlineStr">
        <is>
          <t>無形資產及商譽</t>
        </is>
      </c>
      <c r="C29" s="11" t="inlineStr">
        <is>
          <t>high</t>
        </is>
      </c>
      <c r="D29" s="12" t="inlineStr">
        <is>
          <t>intangible asset</t>
        </is>
      </c>
      <c r="E29" s="12" t="inlineStr">
        <is>
          <t>PDF p.107 (印刷頁 106)</t>
        </is>
      </c>
      <c r="F29" s="12" t="inlineStr">
        <is>
          <t>hanges in the fair value or the sale of an investment property are included in profit or loss in the period in which they arise. 2.6 Intangible asset Intangible asset with indefinite useful lives are carried at cost less any subsequent accumulated impairment losses and are tested for impairment as described below in note 2.14. 106 STYLAND HOLDINGS LIMITED ANNUAL REPORT 2025/26</t>
        </is>
      </c>
    </row>
    <row r="30">
      <c r="A30" s="10" t="inlineStr">
        <is>
          <t>Intangible Assets &amp; Goodwill</t>
        </is>
      </c>
      <c r="B30" s="10" t="inlineStr">
        <is>
          <t>無形資產及商譽</t>
        </is>
      </c>
      <c r="C30" s="11" t="inlineStr">
        <is>
          <t>high</t>
        </is>
      </c>
      <c r="D30" s="12" t="inlineStr">
        <is>
          <t>useful life</t>
        </is>
      </c>
      <c r="E30" s="12" t="inlineStr">
        <is>
          <t>PDF p.115 (印刷頁 114)</t>
        </is>
      </c>
      <c r="F30" s="12" t="inlineStr">
        <is>
          <t>Group depreciates the right-of-use assets on a straight-line basis from the lease commencement date to the earlier of the end of the useful life of the right-of-use asset or the end of the lease term unless the Group is reasonably certain to obtain ownership at the end of the lease term. The Group also assesses the right-of-use asset for impairment when such indicator exists. At the commencement date, the Group measures the lease liability at the present value of the lease payments unpaid at that date, discounted using the inte</t>
        </is>
      </c>
    </row>
    <row r="31">
      <c r="A31" s="10" t="inlineStr">
        <is>
          <t>Intangible Assets &amp; Goodwill</t>
        </is>
      </c>
      <c r="B31" s="10" t="inlineStr">
        <is>
          <t>無形資產及商譽</t>
        </is>
      </c>
      <c r="C31" s="11" t="inlineStr">
        <is>
          <t>high</t>
        </is>
      </c>
      <c r="D31" s="12" t="inlineStr">
        <is>
          <t>goodwill</t>
        </is>
      </c>
      <c r="E31" s="12" t="inlineStr">
        <is>
          <t>PDF p.117 (印刷頁 116)</t>
        </is>
      </c>
      <c r="F31" s="12" t="inlineStr">
        <is>
          <t>the lower of their carrying amount and fair value less costs to sell. Any impairment loss on a disposal group is first allocated to goodwill, and then to remaining assets and liabilities on pro rata basis, except that no loss is allocated to financial assets and investment property, which continues to be measured in accordance with the Group’s accounting policies. Impairment losses on initial classification as held for sale and subsequent gains and losses on remeasurement are recognised in profit or loss. Gains are not recogni</t>
        </is>
      </c>
    </row>
    <row r="32">
      <c r="A32" s="10" t="inlineStr">
        <is>
          <t>Intangible Assets &amp; Goodwill</t>
        </is>
      </c>
      <c r="B32" s="10" t="inlineStr">
        <is>
          <t>無形資產及商譽</t>
        </is>
      </c>
      <c r="C32" s="11" t="inlineStr">
        <is>
          <t>high</t>
        </is>
      </c>
      <c r="D32" s="12" t="inlineStr">
        <is>
          <t>intangible asset</t>
        </is>
      </c>
      <c r="E32" s="12" t="inlineStr">
        <is>
          <t>PDF p.120 (印刷頁 119)</t>
        </is>
      </c>
      <c r="F32" s="12" t="inlineStr">
        <is>
          <t>ERIAL ACCOUNTING POLICIES (CONTINUED) 2.14 Impairment non-financial assets The following assets are subject to impairment testing: – Intangible asset; – Property, plant and equipment (including right-of-use assets); and – The Company’s interests in subsidiaries. Intangible asset with indefinite useful life is tested for impairment at least annually, irrespective of whether there is any indication that they are impaired. All other assets are tested for impairment whenever there are indications that the asset’s carrying amount ma</t>
        </is>
      </c>
    </row>
    <row r="33">
      <c r="A33" s="10" t="inlineStr">
        <is>
          <t>Intangible Assets &amp; Goodwill</t>
        </is>
      </c>
      <c r="B33" s="10" t="inlineStr">
        <is>
          <t>無形資產及商譽</t>
        </is>
      </c>
      <c r="C33" s="11" t="inlineStr">
        <is>
          <t>high</t>
        </is>
      </c>
      <c r="D33" s="12" t="inlineStr">
        <is>
          <t>useful life</t>
        </is>
      </c>
      <c r="E33" s="12" t="inlineStr">
        <is>
          <t>PDF p.128 (印刷頁 127)</t>
        </is>
      </c>
      <c r="F33" s="12" t="inlineStr">
        <is>
          <t>hod, at the rate of 15-25% per annum, commencing from the date the property, plant and equipment is available for use. The estimated useful life reflects the directors’ estimates of the periods that the Group intends to derive future economic benefits from the use of the Group’s property, plant and equipment (other than right-of-use assets). The Group assesses annually the useful lives of property, plant and equipment (other than right-of-use assets) and if the expectation differs from the original estimate, such a difference m</t>
        </is>
      </c>
    </row>
    <row r="34">
      <c r="A34" s="10" t="inlineStr">
        <is>
          <t>Intangible Assets &amp; Goodwill</t>
        </is>
      </c>
      <c r="B34" s="10" t="inlineStr">
        <is>
          <t>無形資產及商譽</t>
        </is>
      </c>
      <c r="C34" s="11" t="inlineStr">
        <is>
          <t>high</t>
        </is>
      </c>
      <c r="D34" s="12" t="inlineStr">
        <is>
          <t>amortisation</t>
        </is>
      </c>
      <c r="E34" s="12" t="inlineStr">
        <is>
          <t>PDF p.131 (印刷頁 130)</t>
        </is>
      </c>
      <c r="F34" s="12" t="inlineStr">
        <is>
          <t>n note 33(b). Incremental cost arising from fund management In recognising the revenue from fund management, the Group estimates the amortisation period of incremental cost in obtaining the contracts in accordance with the terms of the lock-up period of the investment funds and applies the practical expedient of expensing the incremental cost (for example, referral fee) to obtain the contract as these costs would have been fully amortised to profit or loss within one year. 5. SEGMENT INFORMATION Information reported to the exec</t>
        </is>
      </c>
    </row>
    <row r="35">
      <c r="A35" s="10" t="inlineStr">
        <is>
          <t>Intangible Assets &amp; Goodwill</t>
        </is>
      </c>
      <c r="B35" s="10" t="inlineStr">
        <is>
          <t>無形資產及商譽</t>
        </is>
      </c>
      <c r="C35" s="11" t="inlineStr">
        <is>
          <t>high</t>
        </is>
      </c>
      <c r="D35" s="12" t="inlineStr">
        <is>
          <t>intangible asset</t>
        </is>
      </c>
      <c r="E35" s="12" t="inlineStr">
        <is>
          <t>PDF p.146 (印刷頁 145)</t>
        </is>
      </c>
      <c r="F35" s="12" t="inlineStr">
        <is>
          <t>rchy as defined under HKFRS 13. There were no changes to the valuation techniques during the years ended 31 March 2026 and 2025. 16. INTANGIBLE ASSETS HK$’000 Cost At 1 April 2024, 31 March 2025, 1 April 2025 and 31 March 2026 4,886 Accumulated impairment At 1 April 2024, 31 March 2025, 1 April 2025 and 31 March 2026 4,886 Carrying amount At 31 March 2026 – At 31 March 2025 – Note a: Included in the intangible asset represents a licence right acquired at the consideration of HK$3,386,000 as part of a business combination of Eve</t>
        </is>
      </c>
    </row>
    <row r="36">
      <c r="A36" s="10" t="inlineStr">
        <is>
          <t>Investment Properties</t>
        </is>
      </c>
      <c r="B36" s="10" t="inlineStr">
        <is>
          <t>投資物業</t>
        </is>
      </c>
      <c r="C36" s="11" t="inlineStr">
        <is>
          <t>high</t>
        </is>
      </c>
      <c r="D36" s="12" t="inlineStr">
        <is>
          <t>investment property</t>
        </is>
      </c>
      <c r="E36" s="12" t="inlineStr">
        <is>
          <t>PDF p.2</t>
        </is>
      </c>
      <c r="F36" s="12" t="inlineStr">
        <is>
          <t>dated Statement of Cash Flows 102 Notes to the Consolidated Financial Statements 181 Summary of Financial Information 182 Details of Investment Property</t>
        </is>
      </c>
    </row>
    <row r="37">
      <c r="A37" s="10" t="inlineStr">
        <is>
          <t>Investment Properties</t>
        </is>
      </c>
      <c r="B37" s="10" t="inlineStr">
        <is>
          <t>投資物業</t>
        </is>
      </c>
      <c r="C37" s="11" t="inlineStr">
        <is>
          <t>high</t>
        </is>
      </c>
      <c r="D37" s="12" t="inlineStr">
        <is>
          <t>investment property</t>
        </is>
      </c>
      <c r="E37" s="12" t="inlineStr">
        <is>
          <t>PDF p.13 (印刷頁 12)</t>
        </is>
      </c>
      <c r="F37" s="12" t="inlineStr">
        <is>
          <t>would allow the Group to reallocate its resources to other developments. Property Investment As at 31 March 2026, the Group held one investment property, which is located at Fei Ngo Shan Road, Hong Kong (the “Fei Ngo Shan Property”). The Fei Ngo Shan Property has a gross site area of more than 16,000 square feet and is located at the low-density luxury section. As at 31 March 2026, the market value of the Fei Ngo Shan Property was HK$360,000,000. On 29 December 2023, the Group entered into a tenancy agreement (the “Tenancy Agre</t>
        </is>
      </c>
    </row>
    <row r="38">
      <c r="A38" s="10" t="inlineStr">
        <is>
          <t>Investment Properties</t>
        </is>
      </c>
      <c r="B38" s="10" t="inlineStr">
        <is>
          <t>投資物業</t>
        </is>
      </c>
      <c r="C38" s="11" t="inlineStr">
        <is>
          <t>high</t>
        </is>
      </c>
      <c r="D38" s="12" t="inlineStr">
        <is>
          <t>investment property</t>
        </is>
      </c>
      <c r="E38" s="12" t="inlineStr">
        <is>
          <t>PDF p.16 (印刷頁 15)</t>
        </is>
      </c>
      <c r="F38" s="12" t="inlineStr">
        <is>
          <t>ntinue to adopt a prudent approach for its investments in financial assets. Charges on Group Assets As at 31 March 2026, the Group’s investment property of HK$360,000,000 (31 March 2025: HK$383,000,000) and an investment in a life insurance policy of approximately HK$7,364,000 (31 March 2025: HK$7,143,000) were pledged to banks to secure the banking facilities granted to the Group. As at 31 March 2025, the Group’s loans receivable of approximately HK$28,207,000 were pledged to secure other loans granted to the Group. All such o</t>
        </is>
      </c>
    </row>
    <row r="39">
      <c r="A39" s="10" t="inlineStr">
        <is>
          <t>Investment Properties</t>
        </is>
      </c>
      <c r="B39" s="10" t="inlineStr">
        <is>
          <t>投資物業</t>
        </is>
      </c>
      <c r="C39" s="11" t="inlineStr">
        <is>
          <t>high</t>
        </is>
      </c>
      <c r="D39" s="12" t="inlineStr">
        <is>
          <t>investment property</t>
        </is>
      </c>
      <c r="E39" s="12" t="inlineStr">
        <is>
          <t>PDF p.32 (印刷頁 31)</t>
        </is>
      </c>
      <c r="F39" s="12" t="inlineStr">
        <is>
          <t>gement, where access to consumption data remains limited. Nevertheless, the Group continued to report water consumption data for its investment property, which totalled 2,265 tonnes in FY2026, representing a 7% reduction against the prior year. This decrease reflects the ongoing effectiveness of our water-saving measures, including the continued use of water-efficient faucets and regular leak inspections at the investment property. ANNUAL REPORT 2025/26 STYLAND HOLDINGS LIMITED 31</t>
        </is>
      </c>
    </row>
    <row r="40">
      <c r="A40" s="10" t="inlineStr">
        <is>
          <t>Investment Properties</t>
        </is>
      </c>
      <c r="B40" s="10" t="inlineStr">
        <is>
          <t>投資物業</t>
        </is>
      </c>
      <c r="C40" s="11" t="inlineStr">
        <is>
          <t>high</t>
        </is>
      </c>
      <c r="D40" s="12" t="inlineStr">
        <is>
          <t>investment property</t>
        </is>
      </c>
      <c r="E40" s="12" t="inlineStr">
        <is>
          <t>PDF p.36 (印刷頁 35)</t>
        </is>
      </c>
      <c r="F40" s="12" t="inlineStr">
        <is>
          <t>s as well as longer-term chronic shifts such as changing climate patterns, all of which can affect the Group’s office operations and investment property. • Transition risks: these arise from the shift towards a lower-carbon economy, encompassing policy and market risks. The assessment specifically focuses on carbon tax as a key policy risk and electricity costs as a market risk, primarily due to their relevance and data availability. To proactively understand these impacts and build strategic resilience, the Group has conducted</t>
        </is>
      </c>
    </row>
    <row r="41">
      <c r="A41" s="10" t="inlineStr">
        <is>
          <t>Investment Properties</t>
        </is>
      </c>
      <c r="B41" s="10" t="inlineStr">
        <is>
          <t>投資物業</t>
        </is>
      </c>
      <c r="C41" s="11" t="inlineStr">
        <is>
          <t>high</t>
        </is>
      </c>
      <c r="D41" s="12" t="inlineStr">
        <is>
          <t>investment property</t>
        </is>
      </c>
      <c r="E41" s="12" t="inlineStr">
        <is>
          <t>PDF p.39 (印刷頁 38)</t>
        </is>
      </c>
      <c r="F41" s="12" t="inlineStr">
        <is>
          <t>and cyclones operations due to office • Increased insurance premiums with tenants at the investment closures, power outages, or for investment property property during severe transport disruptions • Temporary logistics disruptions weather events • Physical damage to the affecting investee companies’ • Implement flexible remote Group’s owned or leased operational continuity working arrangements for premises in Hong Kong • Extreme weather events at key employees supplier locations may disrupt • Pursue supply chain the Group’s se</t>
        </is>
      </c>
    </row>
    <row r="42">
      <c r="A42" s="10" t="inlineStr">
        <is>
          <t>Investment Properties</t>
        </is>
      </c>
      <c r="B42" s="10" t="inlineStr">
        <is>
          <t>投資物業</t>
        </is>
      </c>
      <c r="C42" s="11" t="inlineStr">
        <is>
          <t>high</t>
        </is>
      </c>
      <c r="D42" s="12" t="inlineStr">
        <is>
          <t>investment property</t>
        </is>
      </c>
      <c r="E42" s="12" t="inlineStr">
        <is>
          <t>PDF p.41 (印刷頁 40)</t>
        </is>
      </c>
      <c r="F42" s="12" t="inlineStr">
        <is>
          <t>rily from company-owned vehicles. Scope 2 emissions result from purchased electricity for the Group’s offices, storage facility, and investment property, calculated using a market-based method with no contractual instruments used during the reporting period. To demonstrate its ongoing commitment to comprehensive climate action and market transparency, the Group has expanded its reporting boundary for this cycle to include Scope 3 Category 5 (Waste Generated in Operations) and Category 6 (Business Travel). The greenhouse gas acc</t>
        </is>
      </c>
    </row>
    <row r="43">
      <c r="A43" s="10" t="inlineStr">
        <is>
          <t>Investment Properties</t>
        </is>
      </c>
      <c r="B43" s="10" t="inlineStr">
        <is>
          <t>投資物業</t>
        </is>
      </c>
      <c r="C43" s="11" t="inlineStr">
        <is>
          <t>high</t>
        </is>
      </c>
      <c r="D43" s="12" t="inlineStr">
        <is>
          <t>investment property</t>
        </is>
      </c>
      <c r="E43" s="12" t="inlineStr">
        <is>
          <t>PDF p.53 (印刷頁 52)</t>
        </is>
      </c>
      <c r="F43" s="12" t="inlineStr">
        <is>
          <t>cope 2 refers to the Group’s indirect GHG emissions resulting from purchased electricity for the Group’s offices, storage space, and investment property. 3. Scope 3 refers to other indirect GHG emissions. Scope 3 disclosure commenced in FY2026; historical data for FY2025 is not available. Based on data availability, the Group’s current reporting boundary includes Category 5 (Waste Generated in Operations) and Category 6 (Business Travel). 4. Intensity is calculated based on the total number of employees. 5. Air emissions are ca</t>
        </is>
      </c>
    </row>
    <row r="44">
      <c r="A44" s="10" t="inlineStr">
        <is>
          <t>Investment Properties</t>
        </is>
      </c>
      <c r="B44" s="10" t="inlineStr">
        <is>
          <t>投資物業</t>
        </is>
      </c>
      <c r="C44" s="11" t="inlineStr">
        <is>
          <t>high</t>
        </is>
      </c>
      <c r="D44" s="12" t="inlineStr">
        <is>
          <t>investment property</t>
        </is>
      </c>
      <c r="E44" s="12" t="inlineStr">
        <is>
          <t>PDF p.71 (印刷頁 70)</t>
        </is>
      </c>
      <c r="F44" s="12" t="inlineStr">
        <is>
          <t>Report of the Directors PROPERTY, PLANT AND EQUIPMENT AND INVESTMENT PROPERTY Details of movements in property, plant and equipment and investment property of the Group are set out in notes 14 and 15, respectively, to the consolidated financial statements. Further details of the Group’s investment property are set out on page 182. SHARE CAPITAL Details of movements in the share capital of the Company are set out in note 29 to the consolidated financial s</t>
        </is>
      </c>
    </row>
    <row r="45">
      <c r="A45" s="10" t="inlineStr">
        <is>
          <t>Investment Properties</t>
        </is>
      </c>
      <c r="B45" s="10" t="inlineStr">
        <is>
          <t>投資物業</t>
        </is>
      </c>
      <c r="C45" s="11" t="inlineStr">
        <is>
          <t>high</t>
        </is>
      </c>
      <c r="D45" s="12" t="inlineStr">
        <is>
          <t>investment property</t>
        </is>
      </c>
      <c r="E45" s="12" t="inlineStr">
        <is>
          <t>PDF p.93 (印刷頁 92)</t>
        </is>
      </c>
      <c r="F45" s="12" t="inlineStr">
        <is>
          <t>ependent Auditor’s Report KEY AUDIT MATTERS (CONTINUED) The Key Audit Matters How the matter was addressed in our audit Valuation of investment property Refer to note 15 to the consolidated financial statements, the accounting policies in note 2.5 and the key sources of estimation uncertainty in note 4.1 As at 31 March 2026, the Group’s investment Our audit procedures in relation to the property amounted to HK$360,000,000, valuation of investment property included: represented approximately 51% of the Group’s total assets. – ev</t>
        </is>
      </c>
    </row>
    <row r="46">
      <c r="A46" s="10" t="inlineStr">
        <is>
          <t>Investment Properties</t>
        </is>
      </c>
      <c r="B46" s="10" t="inlineStr">
        <is>
          <t>投資物業</t>
        </is>
      </c>
      <c r="C46" s="11" t="inlineStr">
        <is>
          <t>high</t>
        </is>
      </c>
      <c r="D46" s="12" t="inlineStr">
        <is>
          <t>investment property</t>
        </is>
      </c>
      <c r="E46" s="12" t="inlineStr">
        <is>
          <t>PDF p.97 (印刷頁 96)</t>
        </is>
      </c>
      <c r="F46" s="12" t="inlineStr">
        <is>
          <t>6 11,224 4,248 Administrative expenses (46,428) (49,185) Selling and distribution expenses (21,224) (14,893) Change in fair value of investment property 15 (23,000) (37,000) Change in fair value of financial assets at fair value through profit or loss (“FVTPL”) 448 768 Gain on disposal of financial assets at FVTPL 168 694 Expected credit losses (“ECL”) recognised in respect of loans receivable 17 (1,882) (6,048) ECL recognised in respect of accounts receivable 18 (20) (268) ECL recognised in respect of other receivables 19 (223</t>
        </is>
      </c>
    </row>
    <row r="47">
      <c r="A47" s="10" t="inlineStr">
        <is>
          <t>Investment Properties</t>
        </is>
      </c>
      <c r="B47" s="10" t="inlineStr">
        <is>
          <t>投資物業</t>
        </is>
      </c>
      <c r="C47" s="11" t="inlineStr">
        <is>
          <t>high</t>
        </is>
      </c>
      <c r="D47" s="12" t="inlineStr">
        <is>
          <t>investment property</t>
        </is>
      </c>
      <c r="E47" s="12" t="inlineStr">
        <is>
          <t>PDF p.98 (印刷頁 97)</t>
        </is>
      </c>
      <c r="F47" s="12" t="inlineStr">
        <is>
          <t>31 March 2026 2026 2025 Notes HK$’000 HK$’000 ASSETS AND LIABILITIES Non-current assets Property, plant and equipment 14 5,681 7,623 Investment property 15 360,000 383,000 Intangible assets 16 – – Financial asset at FVTPL 20 7,364 7,143 Other receivables, deposits and prepayments 19 956 608 Loans receivable 17 19,348 16,758 393,349 415,132 Current assets Loans receivable 17 19,708 57,285 Accounts receivable 18 12,864 15,578 Other receivables, deposits and prepayments 19 4,241 4,799 Financial asset at fair value through other co</t>
        </is>
      </c>
    </row>
    <row r="48">
      <c r="A48" s="10" t="inlineStr">
        <is>
          <t>Investment Properties</t>
        </is>
      </c>
      <c r="B48" s="10" t="inlineStr">
        <is>
          <t>投資物業</t>
        </is>
      </c>
      <c r="C48" s="11" t="inlineStr">
        <is>
          <t>high</t>
        </is>
      </c>
      <c r="D48" s="12" t="inlineStr">
        <is>
          <t>investment property</t>
        </is>
      </c>
      <c r="E48" s="12" t="inlineStr">
        <is>
          <t>PDF p.101 (印刷頁 100)</t>
        </is>
      </c>
      <c r="F48" s="12" t="inlineStr">
        <is>
          <t>ore taxation (33,782) (58,297) Adjustments for Change in fair value of financial assets at FVTPL (448) (768) Change in fair value of investment property 23,000 37,000 Depreciation 2,850 2,741 Finance costs 15,203 17,359 ECL recognised in respect of loans receivable 1,882 6,048 ECL recognised in respect of accounts receivable 20 268 ECL recognised in respect of other receivables 223 663 Bank interest income (1,771) (1,505) Loss on written-off of property, plant and equipment – 7 Gain on disposal of a subsidiary (10) – Bad debts</t>
        </is>
      </c>
    </row>
    <row r="49">
      <c r="A49" s="10" t="inlineStr">
        <is>
          <t>Investment Properties</t>
        </is>
      </c>
      <c r="B49" s="10" t="inlineStr">
        <is>
          <t>投資物業</t>
        </is>
      </c>
      <c r="C49" s="11" t="inlineStr">
        <is>
          <t>high</t>
        </is>
      </c>
      <c r="D49" s="12" t="inlineStr">
        <is>
          <t>investment property</t>
        </is>
      </c>
      <c r="E49" s="12" t="inlineStr">
        <is>
          <t>PDF p.104 (印刷頁 103)</t>
        </is>
      </c>
      <c r="F49" s="12" t="inlineStr">
        <is>
          <t>inancial statements have been prepared on the historical cost basis except for the following items which are stated at fair value: – investment property; – financial asset at FVOCI; and – financial assets at FVTPL. It should be noted that accounting estimates and assumptions are used in preparation of the consolidated financial statements. Although these estimates are based on management’s best knowledge and judgement of current events and actions, actual results may ultimately differ from those estimates. The areas involving a</t>
        </is>
      </c>
    </row>
    <row r="50">
      <c r="A50" s="10" t="inlineStr">
        <is>
          <t>Investment Properties</t>
        </is>
      </c>
      <c r="B50" s="10" t="inlineStr">
        <is>
          <t>投資物業</t>
        </is>
      </c>
      <c r="C50" s="11" t="inlineStr">
        <is>
          <t>high</t>
        </is>
      </c>
      <c r="D50" s="12" t="inlineStr">
        <is>
          <t>investment property</t>
        </is>
      </c>
      <c r="E50" s="12" t="inlineStr">
        <is>
          <t>PDF p.107 (印刷頁 106)</t>
        </is>
      </c>
      <c r="F50" s="12" t="inlineStr">
        <is>
          <t>hese include land held for a currently undetermined future use and property that is being constructed or developed for future use as investment property. On initial recognition, investment property is measured at cost, and subsequently at fair value, unless its fair value cannot be reliably determined at that time. Cost includes expenditure that is directly attributable to the acquisition of the investment property. The cost of self-constructed investment property includes the cost of materials and direct labour, any other cost</t>
        </is>
      </c>
    </row>
    <row r="51">
      <c r="A51" s="10" t="inlineStr">
        <is>
          <t>Investment Properties</t>
        </is>
      </c>
      <c r="B51" s="10" t="inlineStr">
        <is>
          <t>投資物業</t>
        </is>
      </c>
      <c r="C51" s="11" t="inlineStr">
        <is>
          <t>high</t>
        </is>
      </c>
      <c r="D51" s="12" t="inlineStr">
        <is>
          <t>investment property</t>
        </is>
      </c>
      <c r="E51" s="12" t="inlineStr">
        <is>
          <t>PDF p.117 (印刷頁 116)</t>
        </is>
      </c>
      <c r="F51" s="12" t="inlineStr">
        <is>
          <t>o goodwill, and then to remaining assets and liabilities on pro rata basis, except that no loss is allocated to financial assets and investment property, which continues to be measured in accordance with the Group’s accounting policies. Impairment losses on initial classification as held for sale and subsequent gains and losses on remeasurement are recognised in profit or loss. Gains are not recognised in excess of any cumulative impairment loss. Property, plant and equipment once classified as held for sale is not amortised or</t>
        </is>
      </c>
    </row>
    <row r="52">
      <c r="A52" s="10" t="inlineStr">
        <is>
          <t>Investment Properties</t>
        </is>
      </c>
      <c r="B52" s="10" t="inlineStr">
        <is>
          <t>投資物業</t>
        </is>
      </c>
      <c r="C52" s="11" t="inlineStr">
        <is>
          <t>high</t>
        </is>
      </c>
      <c r="D52" s="12" t="inlineStr">
        <is>
          <t>investment property</t>
        </is>
      </c>
      <c r="E52" s="12" t="inlineStr">
        <is>
          <t>PDF p.123 (印刷頁 122)</t>
        </is>
      </c>
      <c r="F52" s="12" t="inlineStr">
        <is>
          <t>the year ended 31 March 2026 2. SUMMARY OF MATERIAL ACCOUNTING POLICIES (CONTINUED) 2.17 Accounting for income taxes (Continued) For investment property measured using the fair value model in accordance with the accounting policy above, the measurement of the related deferred tax liability or asset reflects the tax consequences of recovering the carrying amount of the investment property entirely through sale, unless the investment property is depreciable and is held within a business model whose objective is to consume substan</t>
        </is>
      </c>
    </row>
    <row r="53">
      <c r="A53" s="10" t="inlineStr">
        <is>
          <t>Investment Properties</t>
        </is>
      </c>
      <c r="B53" s="10" t="inlineStr">
        <is>
          <t>投資物業</t>
        </is>
      </c>
      <c r="C53" s="11" t="inlineStr">
        <is>
          <t>high</t>
        </is>
      </c>
      <c r="D53" s="12" t="inlineStr">
        <is>
          <t>investment property</t>
        </is>
      </c>
      <c r="E53" s="12" t="inlineStr">
        <is>
          <t>PDF p.129 (印刷頁 128)</t>
        </is>
      </c>
      <c r="F53" s="12" t="inlineStr">
        <is>
          <t>alified external valuers to establish the appropriate valuation techniques and inputs to the model. As at 31 March 2026, the Group’s investment property is stated at fair value of HK$360,000,000 (2025: HK$383,000,000) based on the valuations performed by an independent qualified valuer. The best evidence of fair value is current prices in an active market for similar property in the same location and condition and subject to the same lease or other contracts. In the absence of such information, the valuer determines the fair va</t>
        </is>
      </c>
    </row>
    <row r="54">
      <c r="A54" s="10" t="inlineStr">
        <is>
          <t>Investment Properties</t>
        </is>
      </c>
      <c r="B54" s="10" t="inlineStr">
        <is>
          <t>投資物業</t>
        </is>
      </c>
      <c r="C54" s="11" t="inlineStr">
        <is>
          <t>high</t>
        </is>
      </c>
      <c r="D54" s="12" t="inlineStr">
        <is>
          <t>investment property</t>
        </is>
      </c>
      <c r="E54" s="12" t="inlineStr">
        <is>
          <t>PDF p.145 (印刷頁 144)</t>
        </is>
      </c>
      <c r="F54" s="12" t="inlineStr">
        <is>
          <t>y possible alternative assumptions is the greatest for value in use and that there is an interrelationship between these inputs. 15. INVESTMENT PROPERTY 2026 2025 HK$’000 HK$’000 At 1 April 383,000 420,000 Changes in fair value recognised in profit or loss (23,000) (37,000) At 31 March 360,000 383,000 The Group’s investment property is situated in Hong Kong and held under medium-term leases. The Group’s property held to earn rental or for capital appreciation purposes is classified as investment property and measured using the</t>
        </is>
      </c>
    </row>
    <row r="55">
      <c r="A55" s="10" t="inlineStr">
        <is>
          <t>Investment Properties</t>
        </is>
      </c>
      <c r="B55" s="10" t="inlineStr">
        <is>
          <t>投資物業</t>
        </is>
      </c>
      <c r="C55" s="11" t="inlineStr">
        <is>
          <t>high</t>
        </is>
      </c>
      <c r="D55" s="12" t="inlineStr">
        <is>
          <t>investment property</t>
        </is>
      </c>
      <c r="E55" s="12" t="inlineStr">
        <is>
          <t>PDF p.146 (印刷頁 145)</t>
        </is>
      </c>
      <c r="F55" s="12" t="inlineStr">
        <is>
          <t>15. INVESTMENT PROPERTY (CONTINUED) The information about the use of significant unobservable inputs are listed below: Significant Range of Relationship of unobservable unobservable inputs unobservable inputs inputs to fair value 2026 2025 Price Adjustment (10.9)% to (36.3)% to The higher the Price Adjustment, the 20.7% 20% higher the fair value. The fair value measurement is based on the above proper</t>
        </is>
      </c>
    </row>
    <row r="56">
      <c r="A56" s="10" t="inlineStr">
        <is>
          <t>Investment Properties</t>
        </is>
      </c>
      <c r="B56" s="10" t="inlineStr">
        <is>
          <t>投資物業</t>
        </is>
      </c>
      <c r="C56" s="11" t="inlineStr">
        <is>
          <t>high</t>
        </is>
      </c>
      <c r="D56" s="12" t="inlineStr">
        <is>
          <t>investment property</t>
        </is>
      </c>
      <c r="E56" s="12" t="inlineStr">
        <is>
          <t>PDF p.157 (印刷頁 156)</t>
        </is>
      </c>
      <c r="F56" s="12" t="inlineStr">
        <is>
          <t>e interest bearing at the rate of 1.9% (2025: 1.9%) per annum over Hong Kong Interbank Offered Rate (“HIBOR”), and are secured by an investment property (note 15) of the Group with a carrying value of HK$360,000,000 (2025: HK$383,000,000) and rental proceeds in respect of the investment property, and guaranteed by the Company. As at 31 March 2026, bank loans amounted to HK$4,024,000 (2025: HK$4,171,000) are interest bearing at the rate of 1.26% (2025: 1.26%) per annum over Secured Overnight Financing Rate, and are secured by th</t>
        </is>
      </c>
    </row>
    <row r="57">
      <c r="A57" s="10" t="inlineStr">
        <is>
          <t>Investment Properties</t>
        </is>
      </c>
      <c r="B57" s="10" t="inlineStr">
        <is>
          <t>投資物業</t>
        </is>
      </c>
      <c r="C57" s="11" t="inlineStr">
        <is>
          <t>high</t>
        </is>
      </c>
      <c r="D57" s="12" t="inlineStr">
        <is>
          <t>investment property</t>
        </is>
      </c>
      <c r="E57" s="12" t="inlineStr">
        <is>
          <t>PDF p.161 (印刷頁 160)</t>
        </is>
      </c>
      <c r="F57" s="12" t="inlineStr">
        <is>
          <t>llows: 2026 2025 HK$’000 HK$’000 Within 1 year 4,500 6,000 After 1 year but within 2 years – 4,500 4,500 10,500 The Group leases its investment property (note 15) under operating lease arrangements which run for an initial period of three years. The terms of the leases generally also require the tenants to pay security deposits. 160 STYLAND HOLDINGS LIMITED ANNUAL REPORT 2025/26</t>
        </is>
      </c>
    </row>
    <row r="58">
      <c r="A58" s="10" t="inlineStr">
        <is>
          <t>ESG Data</t>
        </is>
      </c>
      <c r="B58" s="10" t="inlineStr">
        <is>
          <t>環境社會及管治數據</t>
        </is>
      </c>
      <c r="C58" s="10" t="inlineStr">
        <is>
          <t>medium</t>
        </is>
      </c>
      <c r="D58" s="12" t="inlineStr">
        <is>
          <t>ESG</t>
        </is>
      </c>
      <c r="E58" s="12" t="inlineStr">
        <is>
          <t>PDF p.21 (印刷頁 20)</t>
        </is>
      </c>
      <c r="F58" s="12" t="inlineStr">
        <is>
          <t>d”) of Styland Holdings Limited (the “Company”) is pleased to present this Environmental, Social and Governance (hereinafter called “ESG”) Report (the “ESG Report” or “Report”) of the Company and its subsidiaries (collectively as the “Group” or “we”) for the financial year ended 31 March 2026 (“FY2026”). This ESG Report outlines the policies, sustainability strategies, management approaches and initiatives implemented by the Group and the performance of the Group in the environmental and social aspects of its businesses. Report</t>
        </is>
      </c>
    </row>
    <row r="59">
      <c r="A59" s="10" t="inlineStr">
        <is>
          <t>ESG Data</t>
        </is>
      </c>
      <c r="B59" s="10" t="inlineStr">
        <is>
          <t>環境社會及管治數據</t>
        </is>
      </c>
      <c r="C59" s="10" t="inlineStr">
        <is>
          <t>medium</t>
        </is>
      </c>
      <c r="D59" s="12" t="inlineStr">
        <is>
          <t>ESG</t>
        </is>
      </c>
      <c r="E59" s="12" t="inlineStr">
        <is>
          <t>PDF p.22 (印刷頁 21)</t>
        </is>
      </c>
      <c r="F59" s="12" t="inlineStr">
        <is>
          <t>Reporting Principles The Group adheres to the following reporting principles as the basis for the preparation of this ESG Report. Materiality: The threshold for reporting ESG issues is based on their importance to investors and other stakeholders of the Group. For more information, please refer to the sections titled “Stakeholder Engagement” and “Materiality Assessment” below. Quantitative: The environmental and social key performance indicators (“KPIs”) are disclosed in this ESG Report to give stakeholders a com</t>
        </is>
      </c>
    </row>
    <row r="60">
      <c r="A60" s="10" t="inlineStr">
        <is>
          <t>ESG Data</t>
        </is>
      </c>
      <c r="B60" s="10" t="inlineStr">
        <is>
          <t>環境社會及管治數據</t>
        </is>
      </c>
      <c r="C60" s="10" t="inlineStr">
        <is>
          <t>medium</t>
        </is>
      </c>
      <c r="D60" s="12" t="inlineStr">
        <is>
          <t>ESG</t>
        </is>
      </c>
      <c r="E60" s="12" t="inlineStr">
        <is>
          <t>PDF p.23 (印刷頁 22)</t>
        </is>
      </c>
      <c r="F60" s="12" t="inlineStr">
        <is>
          <t>overnance Report II. MANAGEMENT OF ENVIRONMENTAL, SOCIAL AND GOVERNANCE Board Statement The Board assumes overall responsibility for ESG and climate-related matters and their integration into the Group’s management approach and strategies. It provides guidance on the management and monitoring of ESG and climate-related matters that have been identified as material to the Group, and reviews the progress made against ESG and climate-related goals and targets. This statement outlines the Board’s supervision over ESG and climate-re</t>
        </is>
      </c>
    </row>
    <row r="61">
      <c r="A61" s="10" t="inlineStr">
        <is>
          <t>ESG Data</t>
        </is>
      </c>
      <c r="B61" s="10" t="inlineStr">
        <is>
          <t>環境社會及管治數據</t>
        </is>
      </c>
      <c r="C61" s="10" t="inlineStr">
        <is>
          <t>medium</t>
        </is>
      </c>
      <c r="D61" s="12" t="inlineStr">
        <is>
          <t>ESG</t>
        </is>
      </c>
      <c r="E61" s="12" t="inlineStr">
        <is>
          <t>PDF p.24 (印刷頁 23)</t>
        </is>
      </c>
      <c r="F61" s="12" t="inlineStr">
        <is>
          <t>Governance Structure The Board believes that effective ESG and climate-related strategies can create investment value for the Group and deliver long-term returns to its stakeholders. Establishing an appropriate governance framework is critical for the successful implementation of the Group’s sustainability strategies. Therefore, the Group has established an ESG and climate-related governance structure with clear duties and responsibilities. The Board</t>
        </is>
      </c>
    </row>
    <row r="62">
      <c r="A62" s="10" t="inlineStr">
        <is>
          <t>ESG Data</t>
        </is>
      </c>
      <c r="B62" s="10" t="inlineStr">
        <is>
          <t>環境社會及管治數據</t>
        </is>
      </c>
      <c r="C62" s="10" t="inlineStr">
        <is>
          <t>medium</t>
        </is>
      </c>
      <c r="D62" s="12" t="inlineStr">
        <is>
          <t>ESG</t>
        </is>
      </c>
      <c r="E62" s="12" t="inlineStr">
        <is>
          <t>PDF p.25 (印刷頁 24)</t>
        </is>
      </c>
      <c r="F62" s="12" t="inlineStr">
        <is>
          <t>Environmental, Social and Governance Report The Board has appointed an independent consultant to advise on ESG and climate-related matters and assist information collection for various analyses and provide recommendations for improving ESG and climate-related performance. The Group has also gathered insights from key stakeholders on ESG and climate-related issues during daily operations and conducted a materiality assessment to identify critical ESG and climate-related issues for the Group. Details are</t>
        </is>
      </c>
    </row>
    <row r="63">
      <c r="A63" s="10" t="inlineStr">
        <is>
          <t>ESG Data</t>
        </is>
      </c>
      <c r="B63" s="10" t="inlineStr">
        <is>
          <t>環境社會及管治數據</t>
        </is>
      </c>
      <c r="C63" s="10" t="inlineStr">
        <is>
          <t>medium</t>
        </is>
      </c>
      <c r="D63" s="12" t="inlineStr">
        <is>
          <t>carbon</t>
        </is>
      </c>
      <c r="E63" s="12" t="inlineStr">
        <is>
          <t>PDF p.26 (印刷頁 25)</t>
        </is>
      </c>
      <c r="F63" s="12" t="inlineStr">
        <is>
          <t>website of the  Address climate change  Reduction of greenhouse Group proactively gas (“GHG”) emissions  Donations  Promote low-carbon and  Effective use of resources environmentally friendly  Community contributions operations  Economic development  Encourage employee and employment participation in charitable and environmental protection activities  Strengthen energy-saving and emission-reduction management and efforts  Strive to maintain good and stable financial performance and business growth ANNUAL REPORT 2025/</t>
        </is>
      </c>
    </row>
    <row r="64">
      <c r="A64" s="10" t="inlineStr">
        <is>
          <t>ESG Data</t>
        </is>
      </c>
      <c r="B64" s="10" t="inlineStr">
        <is>
          <t>環境社會及管治數據</t>
        </is>
      </c>
      <c r="C64" s="10" t="inlineStr">
        <is>
          <t>medium</t>
        </is>
      </c>
      <c r="D64" s="12" t="inlineStr">
        <is>
          <t>ESG</t>
        </is>
      </c>
      <c r="E64" s="12" t="inlineStr">
        <is>
          <t>PDF p.27 (印刷頁 26)</t>
        </is>
      </c>
      <c r="F64" s="12" t="inlineStr">
        <is>
          <t>team and reviewed the material topics, which remain unchanged from the previous year. This review confirmed the ongoing relevance of ESG issues that are of interest to both the Group and its key stakeholders. The review was guided by the processes developed for the Group’s materiality assessment as follows: Identification  Engages stakeholders through diverse communication channels and internal discussions  Examines and adopts the environmental, social and governance issues of concern from stakeholders’ engagement  Draws att</t>
        </is>
      </c>
    </row>
    <row r="65">
      <c r="A65" s="10" t="inlineStr">
        <is>
          <t>ESG Data</t>
        </is>
      </c>
      <c r="B65" s="10" t="inlineStr">
        <is>
          <t>環境社會及管治數據</t>
        </is>
      </c>
      <c r="C65" s="10" t="inlineStr">
        <is>
          <t>medium</t>
        </is>
      </c>
      <c r="D65" s="12" t="inlineStr">
        <is>
          <t>GHG emission</t>
        </is>
      </c>
      <c r="E65" s="12" t="inlineStr">
        <is>
          <t>PDF p.29 (印刷頁 28)</t>
        </is>
      </c>
      <c r="F65" s="12" t="inlineStr">
        <is>
          <t>vation. To balance operational efficiency and environmental stewardship, we have established comprehensive policies covering air and GHG emission reduction, energy efficiency, water conservation, hazardous and non-hazardous waste management, and climate change. Employee suggestions on environmental protection are welcomed and incorporated. We have also formulated specific indicators and measures to manage natural resources responsibly and reduce our environmental footprint. 1. Management of Emissions The Group engages in the fi</t>
        </is>
      </c>
    </row>
    <row r="66">
      <c r="A66" s="10" t="inlineStr">
        <is>
          <t>ESG Data</t>
        </is>
      </c>
      <c r="B66" s="10" t="inlineStr">
        <is>
          <t>環境社會及管治數據</t>
        </is>
      </c>
      <c r="C66" s="10" t="inlineStr">
        <is>
          <t>medium</t>
        </is>
      </c>
      <c r="D66" s="12" t="inlineStr">
        <is>
          <t>carbon</t>
        </is>
      </c>
      <c r="E66" s="12" t="inlineStr">
        <is>
          <t>PDF p.30 (印刷頁 29)</t>
        </is>
      </c>
      <c r="F66" s="12" t="inlineStr">
        <is>
          <t>sources responsibly and minimising environmental impact. To promote efficient and wise resource use, we established a “Green and Low Carbon Office” and encourage employees to adopt our management principles of 5S and 4R in the workplace. The “5S” are “Sort”, “Straighten”, “Shine”, “Standardise”, and “Self-discipline”; and “4R” refers to “Reduce”, “Reuse”, “Recycle” and “Replace”. By adopting these measures, the Group has improved resource efficiency, reduced waste, and enhanced work productivity. This approach creates a positiv</t>
        </is>
      </c>
    </row>
    <row r="67">
      <c r="A67" s="10" t="inlineStr">
        <is>
          <t>ESG Data</t>
        </is>
      </c>
      <c r="B67" s="10" t="inlineStr">
        <is>
          <t>環境社會及管治數據</t>
        </is>
      </c>
      <c r="C67" s="10" t="inlineStr">
        <is>
          <t>medium</t>
        </is>
      </c>
      <c r="D67" s="12" t="inlineStr">
        <is>
          <t>energy consumption</t>
        </is>
      </c>
      <c r="E67" s="12" t="inlineStr">
        <is>
          <t>PDF p.31 (印刷頁 30)</t>
        </is>
      </c>
      <c r="F67" s="12" t="inlineStr">
        <is>
          <t>pment and technologies, and further engage our workforce in developing a culture of resource conservation. By closely monitoring our energy consumption patterns, we aim to drive measurable improvements in our electricity usage in the years ahead. 30 STYLAND HOLDINGS LIMITED ANNUAL REPORT 2025/26</t>
        </is>
      </c>
    </row>
    <row r="68">
      <c r="A68" s="10" t="inlineStr">
        <is>
          <t>ESG Data</t>
        </is>
      </c>
      <c r="B68" s="10" t="inlineStr">
        <is>
          <t>環境社會及管治數據</t>
        </is>
      </c>
      <c r="C68" s="10" t="inlineStr">
        <is>
          <t>medium</t>
        </is>
      </c>
      <c r="D68" s="12" t="inlineStr">
        <is>
          <t>carbon</t>
        </is>
      </c>
      <c r="E68" s="12" t="inlineStr">
        <is>
          <t>PDF p.33 (印刷頁 32)</t>
        </is>
      </c>
      <c r="F68" s="12" t="inlineStr">
        <is>
          <t>eness of our disclosure. Water-Saving Reminder Label by WSD (3) Conservation of Paper The Group actively promotes its “Green and Low Carbon Office” policy, encouraging employees to save paper and reduce reliance on physical documents. In daily operations, the major non-hazardous waste generated is paper. Hence, paper-saving initiatives are implemented, which include online account opening, customer communication via email and instant messaging, and issuing e-statements to all new customers. To minimise paper consumption, printe</t>
        </is>
      </c>
    </row>
    <row r="69">
      <c r="A69" s="10" t="inlineStr">
        <is>
          <t>ESG Data</t>
        </is>
      </c>
      <c r="B69" s="10" t="inlineStr">
        <is>
          <t>環境社會及管治數據</t>
        </is>
      </c>
      <c r="C69" s="10" t="inlineStr">
        <is>
          <t>medium</t>
        </is>
      </c>
      <c r="D69" s="12" t="inlineStr">
        <is>
          <t>scope 3</t>
        </is>
      </c>
      <c r="E69" s="12" t="inlineStr">
        <is>
          <t>PDF p.34 (印刷頁 33)</t>
        </is>
      </c>
      <c r="F69" s="12" t="inlineStr">
        <is>
          <t>for visitors. Employees are encouraged to use reusable water bottles and cups, minimising the use of disposable products. To address Scope 3 emissions, the Group focuses on reducing paper consumption and promoting water conservation practices, aligning with its commitment to environmental responsibility. These targeted initiatives, combined with the Group’s steadfast commitment to environmental compliance, demonstrate its holistic approach to combating climate change and promoting sustainable business practices. 3. The Environm</t>
        </is>
      </c>
    </row>
    <row r="70">
      <c r="A70" s="10" t="inlineStr">
        <is>
          <t>ESG Data</t>
        </is>
      </c>
      <c r="B70" s="10" t="inlineStr">
        <is>
          <t>環境社會及管治數據</t>
        </is>
      </c>
      <c r="C70" s="10" t="inlineStr">
        <is>
          <t>medium</t>
        </is>
      </c>
      <c r="D70" s="12" t="inlineStr">
        <is>
          <t>sustainability</t>
        </is>
      </c>
      <c r="E70" s="12" t="inlineStr">
        <is>
          <t>PDF p.35 (印刷頁 34)</t>
        </is>
      </c>
      <c r="F70" s="12" t="inlineStr">
        <is>
          <t>: Governance, Strategy, Risk Management, and Metrics and Targets. (1) Governance The Board is ultimately responsible for the Group’s sustainability strategy and the management, performance, and reporting of climate-related risks and opportunities. The Board builds its climate-related proficiency through management briefings on regulatory changes and market trends, facilitating informed decision-making. For the current reporting period, as part of its annual review process, the Board was updated on climate-related risks and oppo</t>
        </is>
      </c>
    </row>
    <row r="71">
      <c r="A71" s="10" t="inlineStr">
        <is>
          <t>ESG Data</t>
        </is>
      </c>
      <c r="B71" s="10" t="inlineStr">
        <is>
          <t>環境社會及管治數據</t>
        </is>
      </c>
      <c r="C71" s="10" t="inlineStr">
        <is>
          <t>medium</t>
        </is>
      </c>
      <c r="D71" s="12" t="inlineStr">
        <is>
          <t>carbon</t>
        </is>
      </c>
      <c r="E71" s="12" t="inlineStr">
        <is>
          <t>PDF p.36 (印刷頁 35)</t>
        </is>
      </c>
      <c r="F71" s="12" t="inlineStr">
        <is>
          <t>ich can affect the Group’s office operations and investment property. • Transition risks: these arise from the shift towards a lower-carbon economy, encompassing policy and market risks. The assessment specifically focuses on carbon tax as a key policy risk and electricity costs as a market risk, primarily due to their relevance and data availability. To proactively understand these impacts and build strategic resilience, the Group has conducted qualitative climate scenario analysis. This analysis focused on identifying climate</t>
        </is>
      </c>
    </row>
    <row r="72">
      <c r="A72" s="10" t="inlineStr">
        <is>
          <t>ESG Data</t>
        </is>
      </c>
      <c r="B72" s="10" t="inlineStr">
        <is>
          <t>環境社會及管治數據</t>
        </is>
      </c>
      <c r="C72" s="10" t="inlineStr">
        <is>
          <t>medium</t>
        </is>
      </c>
      <c r="D72" s="12" t="inlineStr">
        <is>
          <t>carbon</t>
        </is>
      </c>
      <c r="E72" s="12" t="inlineStr">
        <is>
          <t>PDF p.39 (印刷頁 38)</t>
        </is>
      </c>
      <c r="F72" s="12" t="inlineStr">
        <is>
          <t>rnance Report NGFS NDCs NGFS Current Policies Transition risks Relevance Short-term Mid-term Long-term Short-term Mid-term Long-term Carbon price Introduction of a carbon tax may Negligible Low Low Negligible Negligible Negligible increase operational costs through direct taxation on emissions from business operations Electricity price The transition toward more Low Low Low Low Low Low sustainable energy sources could increase electricity prices, raising energy costs and overall operating expenses Guided by these risk findings,</t>
        </is>
      </c>
    </row>
    <row r="73">
      <c r="A73" s="10" t="inlineStr">
        <is>
          <t>ESG Data</t>
        </is>
      </c>
      <c r="B73" s="10" t="inlineStr">
        <is>
          <t>環境社會及管治數據</t>
        </is>
      </c>
      <c r="C73" s="10" t="inlineStr">
        <is>
          <t>medium</t>
        </is>
      </c>
      <c r="D73" s="12" t="inlineStr">
        <is>
          <t>GHG emission</t>
        </is>
      </c>
      <c r="E73" s="12" t="inlineStr">
        <is>
          <t>PDF p.40 (印刷頁 39)</t>
        </is>
      </c>
      <c r="F73" s="12" t="inlineStr">
        <is>
          <t>alignment across • Carbon tax mechanism could business activities raise costs via direct taxation • Formulate and disclose clear of GHG emissions from climate risk response strategies operational energy use • Strengthen internal ESG frameworks to align with regulatory expectations Market risks • Energy market shifts may • Upstream transformation and • Monitor market trends, brand cause price volatility and demand for sustainable reputation, and customer long-term increases in solutions create both satisfaction electricity cost</t>
        </is>
      </c>
    </row>
    <row r="74">
      <c r="A74" s="10" t="inlineStr">
        <is>
          <t>ESG Data</t>
        </is>
      </c>
      <c r="B74" s="10" t="inlineStr">
        <is>
          <t>環境社會及管治數據</t>
        </is>
      </c>
      <c r="C74" s="10" t="inlineStr">
        <is>
          <t>medium</t>
        </is>
      </c>
      <c r="D74" s="12" t="inlineStr">
        <is>
          <t>greenhouse gas</t>
        </is>
      </c>
      <c r="E74" s="12" t="inlineStr">
        <is>
          <t>PDF p.41 (印刷頁 40)</t>
        </is>
      </c>
      <c r="F74" s="12" t="inlineStr">
        <is>
          <t>(Waste Generated in Operations) and Category 6 (Business Travel). The greenhouse gas accounting for these categories aligns with the Greenhouse Gas Protocol Corporate Value Chain (Scope 3) Accounting and Reporting Standard (2011). These specific categories were selected based on data availability and their direct relevance to the Group’s operational footprint. 40 STYLAND HOLDINGS LIMITED ANNUAL REPORT 2025/26</t>
        </is>
      </c>
    </row>
    <row r="75">
      <c r="A75" s="10" t="inlineStr">
        <is>
          <t>ESG Data</t>
        </is>
      </c>
      <c r="B75" s="10" t="inlineStr">
        <is>
          <t>環境社會及管治數據</t>
        </is>
      </c>
      <c r="C75" s="10" t="inlineStr">
        <is>
          <t>medium</t>
        </is>
      </c>
      <c r="D75" s="12" t="inlineStr">
        <is>
          <t>greenhouse gas</t>
        </is>
      </c>
      <c r="E75" s="12" t="inlineStr">
        <is>
          <t>PDF p.42 (印刷頁 41)</t>
        </is>
      </c>
      <c r="F75" s="12" t="inlineStr">
        <is>
          <t>ssions is referenced to the Greenhouse Gas Protocol: A Corporate Accounting and Reporting Standard (2004) for Scope 1 and 2, and the Greenhouse Gas Protocol Corporate Value Chain (Scope 3) Accounting and Reporting Standard (2011) for Scope 3. Inputs for the Group’s measurement are primarily derived from internal activity records, such as utility invoices and meter readings. For minor gaps occurring between the ending and beginning months of the reporting cycle, the Group applies a pro-rata extrapolation based on the average dai</t>
        </is>
      </c>
    </row>
    <row r="76">
      <c r="A76" s="10" t="inlineStr">
        <is>
          <t>ESG Data</t>
        </is>
      </c>
      <c r="B76" s="10" t="inlineStr">
        <is>
          <t>環境社會及管治數據</t>
        </is>
      </c>
      <c r="C76" s="10" t="inlineStr">
        <is>
          <t>medium</t>
        </is>
      </c>
      <c r="D76" s="12" t="inlineStr">
        <is>
          <t>carbon</t>
        </is>
      </c>
      <c r="E76" s="12" t="inlineStr">
        <is>
          <t>PDF p.43 (印刷頁 42)</t>
        </is>
      </c>
      <c r="F76" s="12" t="inlineStr">
        <is>
          <t>Environmental, Social and Governance Report The Group has not yet incorporated internal carbon pricing into its decision-making, as this is not currently materially relevant to our operational priorities. The Group will continue to monitor best practices for future integration. Similarly, the Group recognises the importance of aligning executive incentives with sustainability outcomes but has not yet formalised climate-related targets within its remuneration policy. We are currently</t>
        </is>
      </c>
    </row>
    <row r="77">
      <c r="A77" s="10" t="inlineStr">
        <is>
          <t>ESG Data</t>
        </is>
      </c>
      <c r="B77" s="10" t="inlineStr">
        <is>
          <t>環境社會及管治數據</t>
        </is>
      </c>
      <c r="C77" s="10" t="inlineStr">
        <is>
          <t>medium</t>
        </is>
      </c>
      <c r="D77" s="12" t="inlineStr">
        <is>
          <t>carbon</t>
        </is>
      </c>
      <c r="E77" s="12" t="inlineStr">
        <is>
          <t>PDF p.47 (印刷頁 46)</t>
        </is>
      </c>
      <c r="F77" s="12" t="inlineStr">
        <is>
          <t>port a healthy and smoke-free working environment. Recognising the impact and importance of air quality, we promote a “Green and Low Carbon Office” by incorporating indoor plants to enhance comfort. During this reporting period, the Group recorded zero lost days due to work-related injuries. Furthermore, no work-related fatalities have occurred in the past three financial years, including FY2026. 3. Development and Training A high-calibre corporate team is critical for the Group’s sustainable and long-term development. To suppo</t>
        </is>
      </c>
    </row>
    <row r="78">
      <c r="A78" s="10" t="inlineStr">
        <is>
          <t>ESG Data</t>
        </is>
      </c>
      <c r="B78" s="10" t="inlineStr">
        <is>
          <t>環境社會及管治數據</t>
        </is>
      </c>
      <c r="C78" s="10" t="inlineStr">
        <is>
          <t>medium</t>
        </is>
      </c>
      <c r="D78" s="12" t="inlineStr">
        <is>
          <t>ESG</t>
        </is>
      </c>
      <c r="E78" s="12" t="inlineStr">
        <is>
          <t>PDF p.52 (印刷頁 51)</t>
        </is>
      </c>
      <c r="F78" s="12" t="inlineStr">
        <is>
          <t>ives, we strive to create long-term value for our stakeholders and contribute positively to society. We will continue to enhance our ESG performance, embrace innovation and foster collaboration to build a resilient and responsible future for our business and the communities we serve. ANNUAL REPORT 2025/26 STYLAND HOLDINGS LIMITED 51</t>
        </is>
      </c>
    </row>
    <row r="79">
      <c r="A79" s="10" t="inlineStr">
        <is>
          <t>ESG Data</t>
        </is>
      </c>
      <c r="B79" s="10" t="inlineStr">
        <is>
          <t>環境社會及管治數據</t>
        </is>
      </c>
      <c r="C79" s="10" t="inlineStr">
        <is>
          <t>medium</t>
        </is>
      </c>
      <c r="D79" s="12" t="inlineStr">
        <is>
          <t>GHG emission</t>
        </is>
      </c>
      <c r="E79" s="12" t="inlineStr">
        <is>
          <t>PDF p.53 (印刷頁 52)</t>
        </is>
      </c>
      <c r="F79" s="12" t="inlineStr">
        <is>
          <t>e: Total tonnes 10.13 10.39 Intensity4 tonnes/employee 0.21 0.22 Total ’000 kWh 132.49 135.96 Intensity4 ’000 kWh/employee 2.70 2.89 GHG emissions Scope 11 Total tCO2e 36.48 37.44 Intensity4 tCO2e/employee 0.74 0.80 Scope 22 Total tCO2e 89.40 103.89 Intensity4 tCO2e/employee 1.82 2.21 Scope 33 Total tCO2e 8.26 Not Available Intensity4 tCO2e/employee 0.17 Not Available Air emissions5 Nitrogen oxides kilograms 8.12 13.10 Sulphur oxides kilograms 0.20 0.21 Particulate matters kilograms 0.60 0.96 Water consumption6 Total tonnes 2,2</t>
        </is>
      </c>
    </row>
    <row r="80">
      <c r="A80" s="10" t="inlineStr">
        <is>
          <t>ESG Data</t>
        </is>
      </c>
      <c r="B80" s="10" t="inlineStr">
        <is>
          <t>環境社會及管治數據</t>
        </is>
      </c>
      <c r="C80" s="10" t="inlineStr">
        <is>
          <t>medium</t>
        </is>
      </c>
      <c r="D80" s="12" t="inlineStr">
        <is>
          <t>energy consumption</t>
        </is>
      </c>
      <c r="E80" s="12" t="inlineStr">
        <is>
          <t>PDF p.55 (印刷頁 54)</t>
        </is>
      </c>
      <c r="F80" s="12" t="inlineStr">
        <is>
          <t>Protection Policies on the efficient use of resources, including energy, water and other raw materials. A2.1 Direct and/or indirect energy consumption by type III. Environment Protection: (e.g. electricity, gas or oil) in total (kWh in ’000s) and 2. Management of Resources Utilisation intensity (e.g. per unit of production volume, per facility). A2.2 Water consumption in total and intensity (e.g. per III. Environment Protection: unit of production volume, per facility). 2. Management of Resources Utilisation A2.3 Description o</t>
        </is>
      </c>
    </row>
    <row r="81">
      <c r="A81" s="10" t="inlineStr">
        <is>
          <t>ESG Data</t>
        </is>
      </c>
      <c r="B81" s="10" t="inlineStr">
        <is>
          <t>環境社會及管治數據</t>
        </is>
      </c>
      <c r="C81" s="10" t="inlineStr">
        <is>
          <t>medium</t>
        </is>
      </c>
      <c r="D81" s="12" t="inlineStr">
        <is>
          <t>greenhouse gas</t>
        </is>
      </c>
      <c r="E81" s="12" t="inlineStr">
        <is>
          <t>PDF p.62 (印刷頁 61)</t>
        </is>
      </c>
      <c r="F81" s="12" t="inlineStr">
        <is>
          <t>does not have a climate-related transition plan; and (iv) how the issuer plans to achieve any climate-related targets (including any greenhouse gas emissions targets (if any)), described in accordance with paragraphs 37 to 40; and (b) Information about how the issuer is resourcing, and plans to resource, the activities disclosed in accordance with paragraph 22(a). 23 An issuer shall disclose information about the progress of plans This reporting period marks the Group’s disclosed in previous reporting periods in accordance with</t>
        </is>
      </c>
    </row>
    <row r="82">
      <c r="A82" s="10" t="inlineStr">
        <is>
          <t>ESG Data</t>
        </is>
      </c>
      <c r="B82" s="10" t="inlineStr">
        <is>
          <t>環境社會及管治數據</t>
        </is>
      </c>
      <c r="C82" s="10" t="inlineStr">
        <is>
          <t>medium</t>
        </is>
      </c>
      <c r="D82" s="12" t="inlineStr">
        <is>
          <t>greenhouse gas</t>
        </is>
      </c>
      <c r="E82" s="12" t="inlineStr">
        <is>
          <t>PDF p.65 (印刷頁 64)</t>
        </is>
      </c>
      <c r="F82" s="12" t="inlineStr">
        <is>
          <t>nto and inform the issuer’s overall risk management process. (IV) Metrics and Targets 28 An issuer shall disclose its absolute gross greenhouse gas emissions III. Environmental Protection: generated during the reporting period, expressed as metric tons of 4. Climate Change – CO2 equivalent, classified as: (4) Metrics and Targets (a) Scope 1 greenhouse gas emissions; (b) Scope 2 greenhouse gas emissions; and (c) Scope 3 greenhouse gas emissions. 64 STYLAND HOLDINGS LIMITED ANNUAL REPORT 2025/26</t>
        </is>
      </c>
    </row>
    <row r="83">
      <c r="A83" s="10" t="inlineStr">
        <is>
          <t>ESG Data</t>
        </is>
      </c>
      <c r="B83" s="10" t="inlineStr">
        <is>
          <t>環境社會及管治數據</t>
        </is>
      </c>
      <c r="C83" s="10" t="inlineStr">
        <is>
          <t>medium</t>
        </is>
      </c>
      <c r="D83" s="12" t="inlineStr">
        <is>
          <t>greenhouse gas</t>
        </is>
      </c>
      <c r="E83" s="12" t="inlineStr">
        <is>
          <t>PDF p.66 (印刷頁 65)</t>
        </is>
      </c>
      <c r="F83" s="12" t="inlineStr">
        <is>
          <t>and KPIs Locations of Disclosures or Remarks 29 An issuer shall: III. Environmental Protection: 4. Climate Change – (a) Measure its greenhouse gas emissions in accordance with the (4) Metrics and Targets Greenhouse Gas Protocol: A Corporate Accounting and Reporting Standard (2004) unless required by a jurisdictional authority or The Group has applied the Reasonable another exchange on which the issuer is listed to use a different Information Relief regarding its Scope 3 method for measuring greenhouse gas emissions; greenhouse</t>
        </is>
      </c>
    </row>
    <row r="84">
      <c r="A84" s="10" t="inlineStr">
        <is>
          <t>ESG Data</t>
        </is>
      </c>
      <c r="B84" s="10" t="inlineStr">
        <is>
          <t>環境社會及管治數據</t>
        </is>
      </c>
      <c r="C84" s="10" t="inlineStr">
        <is>
          <t>medium</t>
        </is>
      </c>
      <c r="D84" s="12" t="inlineStr">
        <is>
          <t>greenhouse gas</t>
        </is>
      </c>
      <c r="E84" s="12" t="inlineStr">
        <is>
          <t>PDF p.67 (印刷頁 66)</t>
        </is>
      </c>
      <c r="F84" s="12" t="inlineStr">
        <is>
          <t>nd scenario analysis); and The Group has not yet incorporated internal carbon pricing into its (b) the price of each metric tonne of greenhouse gas emissions the decision-making, as this is not currently issuer uses to assess the costs of its greenhouse gas emissions; materially relevant to our operational priorities. The Group will continue to or an appropriate negative statement that the issuer does not apply a monitor best practices for future carbon price in decision-making. integration. 35 An issuer shall disclose whether</t>
        </is>
      </c>
    </row>
    <row r="85">
      <c r="A85" s="10" t="inlineStr">
        <is>
          <t>ESG Data</t>
        </is>
      </c>
      <c r="B85" s="10" t="inlineStr">
        <is>
          <t>環境社會及管治數據</t>
        </is>
      </c>
      <c r="C85" s="10" t="inlineStr">
        <is>
          <t>medium</t>
        </is>
      </c>
      <c r="D85" s="12" t="inlineStr">
        <is>
          <t>greenhouse gas</t>
        </is>
      </c>
      <c r="E85" s="12" t="inlineStr">
        <is>
          <t>PDF p.68 (印刷頁 67)</t>
        </is>
      </c>
      <c r="F85" s="12" t="inlineStr">
        <is>
          <t>its strategic goals; and (b) any targets the issuer is required (4) Metrics and Targets to meet by law or regulation, including any greenhouse gas emissions targets. For each target, the issuer shall disclose: (a) the metric used to set the target; (b) the objective of the target (for example, mitigation, adaptation or conformance with science-based initiatives); (c) the part of the issuer to which the target applies (for example, whether the target applies to the issuer in its entirety or only a part of the issuer, such as a</t>
        </is>
      </c>
    </row>
    <row r="86">
      <c r="A86" s="10" t="inlineStr">
        <is>
          <t>ESG Data</t>
        </is>
      </c>
      <c r="B86" s="10" t="inlineStr">
        <is>
          <t>環境社會及管治數據</t>
        </is>
      </c>
      <c r="C86" s="10" t="inlineStr">
        <is>
          <t>medium</t>
        </is>
      </c>
      <c r="D86" s="12" t="inlineStr">
        <is>
          <t>greenhouse gas</t>
        </is>
      </c>
      <c r="E86" s="12" t="inlineStr">
        <is>
          <t>PDF p.69 (印刷頁 68)</t>
        </is>
      </c>
      <c r="F86" s="12" t="inlineStr">
        <is>
          <t>Governance Report Requirements, Subject Areas, Aspects, General Disclosures and KPIs Locations of Disclosures or Remarks 40 For each greenhouse gas emissions target disclosed in accordance with III. Environmental Protection: paragraphs 37 to 39, an issuer shall disclose: 4. Climate Change – (4) Metrics and Targets (a) which greenhouse gases are covered by the target; (b) whether Scope 1, Scope 2 or Scope 3 greenhouse gas emissions are covered by the target; (c) whether the target is a gross greenhouse gas emissions target or a</t>
        </is>
      </c>
    </row>
    <row r="87">
      <c r="A87" s="10" t="inlineStr">
        <is>
          <t>ESG Data</t>
        </is>
      </c>
      <c r="B87" s="10" t="inlineStr">
        <is>
          <t>環境社會及管治數據</t>
        </is>
      </c>
      <c r="C87" s="10" t="inlineStr">
        <is>
          <t>medium</t>
        </is>
      </c>
      <c r="D87" s="12" t="inlineStr">
        <is>
          <t>ESG</t>
        </is>
      </c>
      <c r="E87" s="12" t="inlineStr">
        <is>
          <t>PDF p.80 (印刷頁 79)</t>
        </is>
      </c>
      <c r="F87" s="12" t="inlineStr">
        <is>
          <t>e Company promotes an inclusive culture in the workplace and encourages staff to speak up if they have concerns. BOARD’S APPROACH TO ESG The Board has the overall responsibility for the Environmental, Social and Governance (the “ESG”) strategy, reporting and determining the management approach taken in this area. The Board believes that corporate governance and ESG are complementary, with corporate governance linked to good governance of environmental and social issues, which touch on all aspects of the Group’s businesses. The</t>
        </is>
      </c>
    </row>
    <row r="88">
      <c r="A88" s="10" t="inlineStr">
        <is>
          <t>Segment Information</t>
        </is>
      </c>
      <c r="B88" s="10" t="inlineStr">
        <is>
          <t>分部資料</t>
        </is>
      </c>
      <c r="C88" s="10" t="inlineStr">
        <is>
          <t>medium</t>
        </is>
      </c>
      <c r="D88" s="12" t="inlineStr">
        <is>
          <t>geographical</t>
        </is>
      </c>
      <c r="E88" s="12" t="inlineStr">
        <is>
          <t>PDF p.45 (印刷頁 44)</t>
        </is>
      </c>
      <c r="F88" s="12" t="inlineStr">
        <is>
          <t>25 Gender Male 29 28 Female 20 19 Employment Type Full-time 48 46 Part-time 1 1 Age Group 18-30 2 1 31-45 16 19 46-60 20 18 &gt;60 11 9 Geographical Region Hong Kong 48 46 Mainland China 0 0 Taiwan 1 1 Total 49 47 44 STYLAND HOLDINGS LIMITED ANNUAL REPORT 2025/26</t>
        </is>
      </c>
    </row>
    <row r="89">
      <c r="A89" s="10" t="inlineStr">
        <is>
          <t>Segment Information</t>
        </is>
      </c>
      <c r="B89" s="10" t="inlineStr">
        <is>
          <t>分部資料</t>
        </is>
      </c>
      <c r="C89" s="10" t="inlineStr">
        <is>
          <t>medium</t>
        </is>
      </c>
      <c r="D89" s="12" t="inlineStr">
        <is>
          <t>geographical</t>
        </is>
      </c>
      <c r="E89" s="12" t="inlineStr">
        <is>
          <t>PDF p.46 (印刷頁 45)</t>
        </is>
      </c>
      <c r="F89" s="12" t="inlineStr">
        <is>
          <t>iled below: FY2026 Gender1 Male 0% Female 0% Employment Type1 Full-time 0% Part-time 0% Age Group1 18-30 0% 31-45 0% 46-60 0% &gt;60 0% Geographical Region1 Hong Kong 0% Mainland China 0% Taiwan 0% Note: 1. The turnover rate is calculated as: (L(x)/E(x))*100, where L(x) is the number of employees in the specific category leaving employment during the year, and E(x) is the total number of employees in that specific category. (2) Compensation, Welfare and Other Benefits The Group attracts and retains outstanding talents through comp</t>
        </is>
      </c>
    </row>
    <row r="90">
      <c r="A90" s="10" t="inlineStr">
        <is>
          <t>Segment Information</t>
        </is>
      </c>
      <c r="B90" s="10" t="inlineStr">
        <is>
          <t>分部資料</t>
        </is>
      </c>
      <c r="C90" s="10" t="inlineStr">
        <is>
          <t>medium</t>
        </is>
      </c>
      <c r="D90" s="12" t="inlineStr">
        <is>
          <t>geographical</t>
        </is>
      </c>
      <c r="E90" s="12" t="inlineStr">
        <is>
          <t>PDF p.56 (印刷頁 55)</t>
        </is>
      </c>
      <c r="F90" s="12" t="inlineStr">
        <is>
          <t>force by gender, employment type (for IV. Employment and Labour Practices: example, full- or part-time), age group and 1. Employment geographical region. B1.2 Employee turnover rate by gender, age group and IV. Employment and Labour Practices: geographical region. 1. Employment B2: Health and Safety General Disclosure: IV. Employment and Labour Practices Information: (a) the policies; and (b) compliance with relevant laws regulations that have a significant impact on the issuer relating to providing a safe working environment a</t>
        </is>
      </c>
    </row>
    <row r="91">
      <c r="A91" s="10" t="inlineStr">
        <is>
          <t>Segment Information</t>
        </is>
      </c>
      <c r="B91" s="10" t="inlineStr">
        <is>
          <t>分部資料</t>
        </is>
      </c>
      <c r="C91" s="10" t="inlineStr">
        <is>
          <t>medium</t>
        </is>
      </c>
      <c r="D91" s="12" t="inlineStr">
        <is>
          <t>geographical</t>
        </is>
      </c>
      <c r="E91" s="12" t="inlineStr">
        <is>
          <t>PDF p.57 (印刷頁 56)</t>
        </is>
      </c>
      <c r="F91" s="12" t="inlineStr">
        <is>
          <t>Operating Practices Management Policies on managing environmental and social risks of the supply chain. B5.1 Number of suppliers by geographical region. V. Operating Practices: 1. Supply Chain Management B5.2 Description of practices relating to engaging V. Operating Practices: suppliers, number of suppliers where the practices 1. Supply Chain Management are being implemented and how they are implemented and monitored. B5.3 Description of practices used to identify V. Operating Practices: environmental and social risks along t</t>
        </is>
      </c>
    </row>
    <row r="92">
      <c r="A92" s="10" t="inlineStr">
        <is>
          <t>Segment Information</t>
        </is>
      </c>
      <c r="B92" s="10" t="inlineStr">
        <is>
          <t>分部資料</t>
        </is>
      </c>
      <c r="C92" s="10" t="inlineStr">
        <is>
          <t>medium</t>
        </is>
      </c>
      <c r="D92" s="12" t="inlineStr">
        <is>
          <t>geographical</t>
        </is>
      </c>
      <c r="E92" s="12" t="inlineStr">
        <is>
          <t>PDF p.61 (印刷頁 60)</t>
        </is>
      </c>
      <c r="F92" s="12" t="inlineStr">
        <is>
          <t>tream activities, it chain climate-related risks and opportunities are concentrated (for will work to enhance the depth and example, geographical areas, facilities and types of assets). precision of this assessment in future disclosures as our data maturity improves. 60 STYLAND HOLDINGS LIMITED ANNUAL REPORT 2025/26</t>
        </is>
      </c>
    </row>
    <row r="93">
      <c r="A93" s="10" t="inlineStr">
        <is>
          <t>Segment Information</t>
        </is>
      </c>
      <c r="B93" s="10" t="inlineStr">
        <is>
          <t>分部資料</t>
        </is>
      </c>
      <c r="C93" s="10" t="inlineStr">
        <is>
          <t>medium</t>
        </is>
      </c>
      <c r="D93" s="12" t="inlineStr">
        <is>
          <t>operating segment</t>
        </is>
      </c>
      <c r="E93" s="12" t="inlineStr">
        <is>
          <t>PDF p.120 (印刷頁 119)</t>
        </is>
      </c>
      <c r="F93" s="12" t="inlineStr">
        <is>
          <t>the lowest level within the Group at which the licence right is monitored for internal management purpose and not be larger than an operating segment. Impairment loss is charged pro rata to the assets in the CGU, except that the carrying amount of an asset will not be reduced below its individual fair value less cost of disposal, or value in use, if determinable. An impairment loss is reversed if there has been a favourable change in the estimates used to determine the asset’s recoverable amount and only to the extent that the</t>
        </is>
      </c>
    </row>
    <row r="94">
      <c r="A94" s="10" t="inlineStr">
        <is>
          <t>Segment Information</t>
        </is>
      </c>
      <c r="B94" s="10" t="inlineStr">
        <is>
          <t>分部資料</t>
        </is>
      </c>
      <c r="C94" s="10" t="inlineStr">
        <is>
          <t>medium</t>
        </is>
      </c>
      <c r="D94" s="12" t="inlineStr">
        <is>
          <t>operating segment</t>
        </is>
      </c>
      <c r="E94" s="12" t="inlineStr">
        <is>
          <t>PDF p.125 (印刷頁 124)</t>
        </is>
      </c>
      <c r="F94" s="12" t="inlineStr">
        <is>
          <t>ts for the asset or liability that are not based on observable market data (significant unobservable inputs). 2.20 Segment reporting Operating segments are reported in a manner consistent with the internal reporting provided to the chief operating decision-maker. The chief operating decision-maker, who is responsible for making strategic and operational decision and allocating resources and assessing performance of the operating segments, has been identified as the executive directors. 124 STYLAND HOLDINGS LIMITED ANNUAL REPORT</t>
        </is>
      </c>
    </row>
    <row r="95">
      <c r="A95" s="10" t="inlineStr">
        <is>
          <t>Segment Information</t>
        </is>
      </c>
      <c r="B95" s="10" t="inlineStr">
        <is>
          <t>分部資料</t>
        </is>
      </c>
      <c r="C95" s="10" t="inlineStr">
        <is>
          <t>medium</t>
        </is>
      </c>
      <c r="D95" s="12" t="inlineStr">
        <is>
          <t>segment information</t>
        </is>
      </c>
      <c r="E95" s="12" t="inlineStr">
        <is>
          <t>PDF p.131 (印刷頁 130)</t>
        </is>
      </c>
      <c r="F95" s="12" t="inlineStr">
        <is>
          <t>r example, referral fee) to obtain the contract as these costs would have been fully amortised to profit or loss within one year. 5. SEGMENT INFORMATION Information reported to the executive directors, being the chief operating decision makers, for the purposes of resource allocation and assessment of segment performance, focuses on the type of services provided or products traded. The Group’s reportable segments under HKFRS 8 are as follows: – the financial services segment provides securities and futures dealing, brokerage fi</t>
        </is>
      </c>
    </row>
    <row r="96">
      <c r="A96" s="10" t="inlineStr">
        <is>
          <t>Segment Information</t>
        </is>
      </c>
      <c r="B96" s="10" t="inlineStr">
        <is>
          <t>分部資料</t>
        </is>
      </c>
      <c r="C96" s="10" t="inlineStr">
        <is>
          <t>medium</t>
        </is>
      </c>
      <c r="D96" s="12" t="inlineStr">
        <is>
          <t>segment information</t>
        </is>
      </c>
      <c r="E96" s="12" t="inlineStr">
        <is>
          <t>PDF p.132 (印刷頁 131)</t>
        </is>
      </c>
      <c r="F96" s="12" t="inlineStr">
        <is>
          <t>5. SEGMENT INFORMATION (CONTINUED) Segment revenue and results The following is an analysis of the Group’s revenues and results by reportable segments. For the year ended 31 March 2026 Financial Mortgage Insurance Property Securities services financing brokerage investment trading Eliminations Total HK$’000 HK$’000 HK$’000 HK$’000 HK$’000 HK$’000 HK$’000 Segment revenues: Revenue from external custom</t>
        </is>
      </c>
    </row>
    <row r="97">
      <c r="A97" s="10" t="inlineStr">
        <is>
          <t>Segment Information</t>
        </is>
      </c>
      <c r="B97" s="10" t="inlineStr">
        <is>
          <t>分部資料</t>
        </is>
      </c>
      <c r="C97" s="10" t="inlineStr">
        <is>
          <t>medium</t>
        </is>
      </c>
      <c r="D97" s="12" t="inlineStr">
        <is>
          <t>segment information</t>
        </is>
      </c>
      <c r="E97" s="12" t="inlineStr">
        <is>
          <t>PDF p.133 (印刷頁 132)</t>
        </is>
      </c>
      <c r="F97" s="12" t="inlineStr">
        <is>
          <t>Notes to the Consolidated Financial Statements for the year ended 31 March 2026 5. SEGMENT INFORMATION (CONTINUED) Segment revenue and results (Continued) The accounting policies of the reportable segments described in note 2.20 are the same as the Group’s accounting policies. Segment results represent the results from each segment without allocation of unallocated administrative expenses, unallocated sundry income, unallocated directors’ remunerations, bank interest income and</t>
        </is>
      </c>
    </row>
    <row r="98">
      <c r="A98" s="10" t="inlineStr">
        <is>
          <t>Segment Information</t>
        </is>
      </c>
      <c r="B98" s="10" t="inlineStr">
        <is>
          <t>分部資料</t>
        </is>
      </c>
      <c r="C98" s="10" t="inlineStr">
        <is>
          <t>medium</t>
        </is>
      </c>
      <c r="D98" s="12" t="inlineStr">
        <is>
          <t>segment information</t>
        </is>
      </c>
      <c r="E98" s="12" t="inlineStr">
        <is>
          <t>PDF p.134 (印刷頁 133)</t>
        </is>
      </c>
      <c r="F98" s="12" t="inlineStr">
        <is>
          <t>5. SEGMENT INFORMATION (CONTINUED) Other segment information For the year ended 31 March 2026 Financial Mortgage Insurance Property Securities services financing brokerage investment trading Unallocated Total HK$’000 HK$’000 HK$’000 HK$’000 HK$’000 HK$’000 HK$’000 Amounts included in the measurement of segment profit or loss or segment assets Change in fair value of investment property – – – (23,000)</t>
        </is>
      </c>
    </row>
    <row r="99">
      <c r="A99" s="10" t="inlineStr">
        <is>
          <t>Segment Information</t>
        </is>
      </c>
      <c r="B99" s="10" t="inlineStr">
        <is>
          <t>分部資料</t>
        </is>
      </c>
      <c r="C99" s="10" t="inlineStr">
        <is>
          <t>medium</t>
        </is>
      </c>
      <c r="D99" s="12" t="inlineStr">
        <is>
          <t>segment information</t>
        </is>
      </c>
      <c r="E99" s="12" t="inlineStr">
        <is>
          <t>PDF p.135 (印刷頁 134)</t>
        </is>
      </c>
      <c r="F99" s="12" t="inlineStr">
        <is>
          <t>Notes to the Consolidated Financial Statements for the year ended 31 March 2026 5. SEGMENT INFORMATION (CONTINUED) Other segment information (Continued) For the year ended 31 March 2025 Financial Mortgage Insurance Property Securities services financing brokerage investment trading Unallocated Total HK$’000 HK$’000 HK$’000 HK$’000 HK$’000 HK$’000 HK$’000 Amounts included in the measurement of segment profit or loss or segment assets Change in fair value of investment property –</t>
        </is>
      </c>
    </row>
    <row r="100">
      <c r="A100" s="10" t="inlineStr">
        <is>
          <t>Segment Information</t>
        </is>
      </c>
      <c r="B100" s="10" t="inlineStr">
        <is>
          <t>分部資料</t>
        </is>
      </c>
      <c r="C100" s="10" t="inlineStr">
        <is>
          <t>medium</t>
        </is>
      </c>
      <c r="D100" s="12" t="inlineStr">
        <is>
          <t>segment information</t>
        </is>
      </c>
      <c r="E100" s="12" t="inlineStr">
        <is>
          <t>PDF p.136 (印刷頁 135)</t>
        </is>
      </c>
      <c r="F100" s="12" t="inlineStr">
        <is>
          <t>5. SEGMENT INFORMATION (CONTINUED) Geographical information The Group’s operations are located in Hong Kong. All of the Group’s non-current assets (excluding financial assets at FVTPL and loans receivable) are located in Hong Kong. In addition, all of the Group’s revenue during the years ended 31 March 2026 and 2025 were derived from Hong Kong. Information about major customers For the year ended 31</t>
        </is>
      </c>
    </row>
    <row r="101">
      <c r="A101" s="10" t="inlineStr">
        <is>
          <t>Segment Information</t>
        </is>
      </c>
      <c r="B101" s="10" t="inlineStr">
        <is>
          <t>分部資料</t>
        </is>
      </c>
      <c r="C101" s="10" t="inlineStr">
        <is>
          <t>medium</t>
        </is>
      </c>
      <c r="D101" s="12" t="inlineStr">
        <is>
          <t>geographical</t>
        </is>
      </c>
      <c r="E101" s="12" t="inlineStr">
        <is>
          <t>PDF p.172 (印刷頁 171)</t>
        </is>
      </c>
      <c r="F101" s="12" t="inlineStr">
        <is>
          <t>oup’s largest accounts receivable and the five largest accounts receivable respectively. The Group’s concentration of credit risk by geographical locations is mainly in Hong Kong, which accounted for 100% (2025: 100%) of the total accounts receivable as at 31 March 2026. ANNUAL REPORT 2025/26 STYLAND HOLDINGS LIMITED 171</t>
        </is>
      </c>
    </row>
    <row r="102">
      <c r="A102" s="10" t="inlineStr">
        <is>
          <t>Share-based Payment</t>
        </is>
      </c>
      <c r="B102" s="10" t="inlineStr">
        <is>
          <t>以股份為基礎的付款</t>
        </is>
      </c>
      <c r="C102" s="10" t="inlineStr">
        <is>
          <t>medium</t>
        </is>
      </c>
      <c r="D102" s="12" t="inlineStr">
        <is>
          <t>share option</t>
        </is>
      </c>
      <c r="E102" s="12" t="inlineStr">
        <is>
          <t>PDF p.44 (印刷頁 43)</t>
        </is>
      </c>
      <c r="F102" s="12" t="inlineStr">
        <is>
          <t>promotions, based on experience, seniority, skills, performance, and contribution. Additionally, the Group is considering adopting a share option scheme to incentivise and reward eligible contributors to the Group’s success. We seek committed talents who take responsibility, embrace continuous learning, improve their abilities, and advance with the Group on an equal opportunity basis. At the end of the financial year, the Group’s workforce gender ratio was 59% male and 41% female. While the Group considers this gender ratio to</t>
        </is>
      </c>
    </row>
    <row r="103">
      <c r="A103" s="10" t="inlineStr">
        <is>
          <t>Share-based Payment</t>
        </is>
      </c>
      <c r="B103" s="10" t="inlineStr">
        <is>
          <t>以股份為基礎的付款</t>
        </is>
      </c>
      <c r="C103" s="10" t="inlineStr">
        <is>
          <t>medium</t>
        </is>
      </c>
      <c r="D103" s="12" t="inlineStr">
        <is>
          <t>share option</t>
        </is>
      </c>
      <c r="E103" s="12" t="inlineStr">
        <is>
          <t>PDF p.181 (印刷頁 180)</t>
        </is>
      </c>
      <c r="F103" s="12" t="inlineStr">
        <is>
          <t>h class of capital and will balance its overall capital structure through the raise of borrowings, payment of dividends and issue of share options and new shares. There is no change in the capital risk management policy adopted by the Group during the years ended 31 March 2026 and 2025. The Group monitors its capital structure on the basis of the net debt to equity ratio. The net debt to equity ratio (excluding assets and liabilities classified as held for sale) at the reporting date was: 2026 2025 HK$’000 HK$’000 Loans 119,924</t>
        </is>
      </c>
    </row>
    <row r="104">
      <c r="A104" s="10" t="inlineStr">
        <is>
          <t>Related Party Transactions</t>
        </is>
      </c>
      <c r="B104" s="10" t="inlineStr">
        <is>
          <t>關聯方交易</t>
        </is>
      </c>
      <c r="C104" s="10" t="inlineStr">
        <is>
          <t>low</t>
        </is>
      </c>
      <c r="D104" s="12" t="inlineStr">
        <is>
          <t>connected transaction</t>
        </is>
      </c>
      <c r="E104" s="12" t="inlineStr">
        <is>
          <t>PDF p.13 (印刷頁 12)</t>
        </is>
      </c>
      <c r="F104" s="12" t="inlineStr">
        <is>
          <t>rson of the Company as defined by the Listing Rules. The transactions contemplated under the Tenancy Agreement constitute continuing connected transaction on the part of the Company under Chapter 14A of the Listing Rules. The rental income for the FY2026 was HK$6,000,000. Securities Trading As at 31 March 2026, the Group held a portfolio of listed securities investments consisting of 12 securities, which were engaged in the sectors of (i) consumer discretionary; (ii) healthcare; (iii) properties and construction; (iv) financial</t>
        </is>
      </c>
    </row>
    <row r="105">
      <c r="A105" s="10" t="inlineStr">
        <is>
          <t>Related Party Transactions</t>
        </is>
      </c>
      <c r="B105" s="10" t="inlineStr">
        <is>
          <t>關聯方交易</t>
        </is>
      </c>
      <c r="C105" s="10" t="inlineStr">
        <is>
          <t>low</t>
        </is>
      </c>
      <c r="D105" s="12" t="inlineStr">
        <is>
          <t>related party</t>
        </is>
      </c>
      <c r="E105" s="12" t="inlineStr">
        <is>
          <t>PDF p.75 (印刷頁 74)</t>
        </is>
      </c>
      <c r="F105" s="12" t="inlineStr">
        <is>
          <t>ractices adopted by the Company is set out in the “Corporate Governance Report” on pages 77 to 85. CONTINUING CONNECTED TRANSACTIONS Related party transactions entered into by the Group for FY2026 are disclosed in Note 32 to the consolidated financial statements. The related party transactions included in Note 32(a) to the consolidated financial statements did not fall under the definition of connected transaction or continuing connected transaction as defined in Chapter 14A of the Listing Rules. Save for the related party tran</t>
        </is>
      </c>
    </row>
    <row r="106">
      <c r="A106" s="10" t="inlineStr">
        <is>
          <t>Related Party Transactions</t>
        </is>
      </c>
      <c r="B106" s="10" t="inlineStr">
        <is>
          <t>關聯方交易</t>
        </is>
      </c>
      <c r="C106" s="10" t="inlineStr">
        <is>
          <t>low</t>
        </is>
      </c>
      <c r="D106" s="12" t="inlineStr">
        <is>
          <t>connected transaction</t>
        </is>
      </c>
      <c r="E106" s="12" t="inlineStr">
        <is>
          <t>PDF p.77 (印刷頁 76)</t>
        </is>
      </c>
      <c r="F106" s="12" t="inlineStr">
        <is>
          <t>sting Rules but is exempt from the circular and the independent Shareholders’ approval requirements. Annual Review on the Continuing Connected Transaction The INEDs have reviewed the continuing connected transactions mentioned above pursuant to Rule 14A.55 of the Listing Rules and confirmed that the aforesaid continuing connected transaction had been entered into: (i) in the ordinary and usual course of business of the Group; (ii) on normal commercial terms or better to the Group; and (iii) in accordance with the relevant agree</t>
        </is>
      </c>
    </row>
    <row r="107">
      <c r="A107" s="10" t="inlineStr">
        <is>
          <t>Related Party Transactions</t>
        </is>
      </c>
      <c r="B107" s="10" t="inlineStr">
        <is>
          <t>關聯方交易</t>
        </is>
      </c>
      <c r="C107" s="10" t="inlineStr">
        <is>
          <t>low</t>
        </is>
      </c>
      <c r="D107" s="12" t="inlineStr">
        <is>
          <t>related party</t>
        </is>
      </c>
      <c r="E107" s="12" t="inlineStr">
        <is>
          <t>PDF p.162 (印刷頁 161)</t>
        </is>
      </c>
      <c r="F107" s="12" t="inlineStr">
        <is>
          <t>32. RELATED PARTY TRANSACTIONS During the years ended 31 March 2026 and 2025, the Group had the following related party transactions or continuing related party transactions, certain of which fall under the definition of connected transactions or continuing connected transactions in Chapter 14A of the Listing Rules, but are exempted from the reporting, announcement, shareholders’ approval and annual r</t>
        </is>
      </c>
    </row>
    <row r="108">
      <c r="A108" s="10" t="inlineStr">
        <is>
          <t>Related Party Transactions</t>
        </is>
      </c>
      <c r="B108" s="10" t="inlineStr">
        <is>
          <t>關聯方交易</t>
        </is>
      </c>
      <c r="C108" s="10" t="inlineStr">
        <is>
          <t>low</t>
        </is>
      </c>
      <c r="D108" s="12" t="inlineStr">
        <is>
          <t>related party</t>
        </is>
      </c>
      <c r="E108" s="12" t="inlineStr">
        <is>
          <t>PDF p.163 (印刷頁 162)</t>
        </is>
      </c>
      <c r="F108" s="12" t="inlineStr">
        <is>
          <t>Notes to the Consolidated Financial Statements for the year ended 31 March 2026 32. RELATED PARTY TRANSACTIONS (CONTINUED) (b) Material transactions with its related parties: (Continued) Notes: (i) Mr. Cheung Chi Shing is the father of Mr. Cheung Hoo Win, the executive director and Chief Executive Officer of the Company. (ii) Mr. Cheung Hoo Yin is a substantial shareholder of the Company. (iii) Elfie Limited is beneficially owned by Mr. Cheung Chi Shing and Ms. Yeung Han Yi Yvonn</t>
        </is>
      </c>
    </row>
    <row r="109">
      <c r="A109" s="10" t="inlineStr">
        <is>
          <t>Related Party Transactions</t>
        </is>
      </c>
      <c r="B109" s="10" t="inlineStr">
        <is>
          <t>關聯方交易</t>
        </is>
      </c>
      <c r="C109" s="10" t="inlineStr">
        <is>
          <t>low</t>
        </is>
      </c>
      <c r="D109" s="12" t="inlineStr">
        <is>
          <t>related party</t>
        </is>
      </c>
      <c r="E109" s="12" t="inlineStr">
        <is>
          <t>PDF p.164 (印刷頁 163)</t>
        </is>
      </c>
      <c r="F109" s="12" t="inlineStr">
        <is>
          <t>32. RELATED PARTY TRANSACTIONS (CONTINUED) (c) As at the reporting date, the Group had the following material balances with its related parties: 2026 2025 HK$’000 HK$’000 Accounts payable (note (i)): Amount due to Mr. Cheung Chi Shing 736 386 Amount due to Mr. Cheung Hoo Win 563 519 Amount due to Ms. Cheung (note (ii)) 322 243 Amount due to Mr. Cheung Hoo Yin 13 288 Amount due to K.Y. Limited (note (i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3"/>
  <sheetViews>
    <sheetView workbookViewId="0">
      <pane ySplit="41" topLeftCell="A4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10" t="inlineStr">
        <is>
          <t>Income Statement</t>
        </is>
      </c>
      <c r="B8" s="10" t="inlineStr">
        <is>
          <t>Revenue</t>
        </is>
      </c>
    </row>
    <row r="9">
      <c r="A9" s="10" t="inlineStr">
        <is>
          <t>Income Statement</t>
        </is>
      </c>
      <c r="B9" s="10" t="inlineStr">
        <is>
          <t>Cost of Sales</t>
        </is>
      </c>
    </row>
    <row r="10">
      <c r="A10" s="10" t="inlineStr">
        <is>
          <t>Income Statement</t>
        </is>
      </c>
      <c r="B10" s="10" t="inlineStr">
        <is>
          <t>Gross Profit</t>
        </is>
      </c>
    </row>
    <row r="11">
      <c r="A11" s="10" t="inlineStr">
        <is>
          <t>Income Statement</t>
        </is>
      </c>
      <c r="B11" s="10" t="inlineStr">
        <is>
          <t>Operating Profit</t>
        </is>
      </c>
    </row>
    <row r="12">
      <c r="A12" s="10" t="inlineStr">
        <is>
          <t>Income Statement</t>
        </is>
      </c>
      <c r="B12" s="10" t="inlineStr">
        <is>
          <t>Finance Costs</t>
        </is>
      </c>
    </row>
    <row r="13">
      <c r="A13" s="10" t="inlineStr">
        <is>
          <t>Income Statement</t>
        </is>
      </c>
      <c r="B13" s="10" t="inlineStr">
        <is>
          <t>Profit Before Tax</t>
        </is>
      </c>
    </row>
    <row r="14">
      <c r="A14" s="10" t="inlineStr">
        <is>
          <t>Income Statement</t>
        </is>
      </c>
      <c r="B14" s="10" t="inlineStr">
        <is>
          <t>Income Tax</t>
        </is>
      </c>
    </row>
    <row r="15">
      <c r="A15" s="10" t="inlineStr">
        <is>
          <t>Income Statement</t>
        </is>
      </c>
      <c r="B15" s="10" t="inlineStr">
        <is>
          <t>Profit for the Year</t>
        </is>
      </c>
    </row>
    <row r="16">
      <c r="A16" s="10" t="inlineStr">
        <is>
          <t>Income Statement</t>
        </is>
      </c>
      <c r="B16" s="10" t="inlineStr">
        <is>
          <t>R&amp;D Expenses</t>
        </is>
      </c>
    </row>
    <row r="17">
      <c r="A17" s="10" t="inlineStr">
        <is>
          <t>Income Statement</t>
        </is>
      </c>
      <c r="B17" s="10" t="inlineStr">
        <is>
          <t>Depreciation</t>
        </is>
      </c>
    </row>
    <row r="18">
      <c r="A18" s="10" t="inlineStr">
        <is>
          <t>Income Statement</t>
        </is>
      </c>
      <c r="B18" s="10" t="inlineStr">
        <is>
          <t>Amortisation</t>
        </is>
      </c>
    </row>
    <row r="19">
      <c r="A19" s="10" t="inlineStr">
        <is>
          <t>Balance Sheet</t>
        </is>
      </c>
      <c r="B19" s="10" t="inlineStr">
        <is>
          <t>Total Assets</t>
        </is>
      </c>
    </row>
    <row r="20">
      <c r="A20" s="10" t="inlineStr">
        <is>
          <t>Balance Sheet</t>
        </is>
      </c>
      <c r="B20" s="10" t="inlineStr">
        <is>
          <t>Total Current Assets</t>
        </is>
      </c>
    </row>
    <row r="21">
      <c r="A21" s="10" t="inlineStr">
        <is>
          <t>Balance Sheet</t>
        </is>
      </c>
      <c r="B21" s="10" t="inlineStr">
        <is>
          <t>Cash and Equivalents</t>
        </is>
      </c>
    </row>
    <row r="22">
      <c r="A22" s="10" t="inlineStr">
        <is>
          <t>Balance Sheet</t>
        </is>
      </c>
      <c r="B22" s="10" t="inlineStr">
        <is>
          <t>Inventories</t>
        </is>
      </c>
    </row>
    <row r="23">
      <c r="A23" s="10" t="inlineStr">
        <is>
          <t>Balance Sheet</t>
        </is>
      </c>
      <c r="B23" s="10" t="inlineStr">
        <is>
          <t>Trade Receivables</t>
        </is>
      </c>
    </row>
    <row r="24">
      <c r="A24" s="10" t="inlineStr">
        <is>
          <t>Balance Sheet</t>
        </is>
      </c>
      <c r="B24" s="10" t="inlineStr">
        <is>
          <t>Goodwill</t>
        </is>
      </c>
    </row>
    <row r="25">
      <c r="A25" s="10" t="inlineStr">
        <is>
          <t>Balance Sheet</t>
        </is>
      </c>
      <c r="B25" s="10" t="inlineStr">
        <is>
          <t>Intangible Assets</t>
        </is>
      </c>
    </row>
    <row r="26">
      <c r="A26" s="10" t="inlineStr">
        <is>
          <t>Balance Sheet</t>
        </is>
      </c>
      <c r="B26" s="10" t="inlineStr">
        <is>
          <t>Investment Properties</t>
        </is>
      </c>
    </row>
    <row r="27">
      <c r="A27" s="10" t="inlineStr">
        <is>
          <t>Balance Sheet</t>
        </is>
      </c>
      <c r="B27" s="10" t="inlineStr">
        <is>
          <t>Property Plant and Equipment</t>
        </is>
      </c>
    </row>
    <row r="28">
      <c r="A28" s="10" t="inlineStr">
        <is>
          <t>Balance Sheet</t>
        </is>
      </c>
      <c r="B28" s="10" t="inlineStr">
        <is>
          <t>Total Liabilities</t>
        </is>
      </c>
    </row>
    <row r="29">
      <c r="A29" s="10" t="inlineStr">
        <is>
          <t>Balance Sheet</t>
        </is>
      </c>
      <c r="B29" s="10" t="inlineStr">
        <is>
          <t>Total Current Liabilities</t>
        </is>
      </c>
    </row>
    <row r="30">
      <c r="A30" s="10" t="inlineStr">
        <is>
          <t>Balance Sheet</t>
        </is>
      </c>
      <c r="B30" s="10" t="inlineStr">
        <is>
          <t>Borrowings</t>
        </is>
      </c>
    </row>
    <row r="31">
      <c r="A31" s="10" t="inlineStr">
        <is>
          <t>Balance Sheet</t>
        </is>
      </c>
      <c r="B31" s="10" t="inlineStr">
        <is>
          <t>Total Equity</t>
        </is>
      </c>
    </row>
    <row r="32">
      <c r="A32" s="10" t="inlineStr">
        <is>
          <t>Cash Flow</t>
        </is>
      </c>
      <c r="B32" s="10" t="inlineStr">
        <is>
          <t>Operating Cash Flow</t>
        </is>
      </c>
    </row>
    <row r="33">
      <c r="A33" s="10" t="inlineStr">
        <is>
          <t>Cash Flow</t>
        </is>
      </c>
      <c r="B33" s="10" t="inlineStr">
        <is>
          <t>Investing Cash Flow</t>
        </is>
      </c>
    </row>
    <row r="34">
      <c r="A34" s="10" t="inlineStr">
        <is>
          <t>Cash Flow</t>
        </is>
      </c>
      <c r="B34" s="10" t="inlineStr">
        <is>
          <t>Financing Cash Flow</t>
        </is>
      </c>
    </row>
    <row r="35">
      <c r="A35" s="10" t="inlineStr">
        <is>
          <t>Cash Flow</t>
        </is>
      </c>
      <c r="B35" s="10" t="inlineStr">
        <is>
          <t>Capital Expenditure</t>
        </is>
      </c>
    </row>
    <row r="38">
      <c r="A38" s="5" t="inlineStr">
        <is>
          <t>二、文字量過低的頁面(疑似掃描頁)</t>
        </is>
      </c>
    </row>
    <row r="39">
      <c r="A39" s="2" t="inlineStr">
        <is>
          <t>這些頁面幾乎抓不到文字,通常是掃描件或純圖表,建議人手翻閱或另行 OCR。</t>
        </is>
      </c>
    </row>
    <row r="41">
      <c r="A41" s="7" t="inlineStr">
        <is>
          <t>PDF 頁碼</t>
        </is>
      </c>
      <c r="B41" s="7" t="inlineStr">
        <is>
          <t>狀態</t>
        </is>
      </c>
    </row>
    <row r="42">
      <c r="A42" s="10" t="n">
        <v>1</v>
      </c>
      <c r="B42" s="10" t="inlineStr">
        <is>
          <t>文字量過低 — 可能為掃描頁/圖表頁</t>
        </is>
      </c>
    </row>
    <row r="43">
      <c r="A43" s="10" t="n">
        <v>184</v>
      </c>
      <c r="B43" s="10"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2026-08-30T14:16:56Z</dcterms:created>
  <dcterms:modified xsi:type="dcterms:W3CDTF">2026-08-30T14:16:56Z</dcterms:modified>
</cp:coreProperties>
</file>
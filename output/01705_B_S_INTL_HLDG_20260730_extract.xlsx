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01705_B_S_INTL_HLDG_20260730.pdf</t>
        </is>
      </c>
    </row>
    <row r="5">
      <c r="A5" s="3" t="inlineStr">
        <is>
          <t>產生時間 Generated</t>
        </is>
      </c>
      <c r="B5" s="4" t="inlineStr">
        <is>
          <t>2026-08-30 22:15</t>
        </is>
      </c>
    </row>
    <row r="6">
      <c r="A6" s="4" t="inlineStr"/>
      <c r="B6" s="4" t="inlineStr"/>
    </row>
    <row r="7">
      <c r="A7" s="3" t="inlineStr">
        <is>
          <t>總頁數 Total pages</t>
        </is>
      </c>
      <c r="B7" s="4" t="n">
        <v>175</v>
      </c>
    </row>
    <row r="8">
      <c r="A8" s="3" t="inlineStr">
        <is>
          <t>已擷取字元 Characters extracted</t>
        </is>
      </c>
      <c r="B8" s="4" t="n">
        <v>324152</v>
      </c>
    </row>
    <row r="9">
      <c r="A9" s="3" t="inlineStr">
        <is>
          <t>含表格頁數 Pages with tables</t>
        </is>
      </c>
      <c r="B9" s="4" t="n">
        <v>0</v>
      </c>
    </row>
    <row r="10">
      <c r="A10" s="3" t="inlineStr">
        <is>
          <t>需人手/OCR 頁數 Pages needing OCR</t>
        </is>
      </c>
      <c r="B10" s="4" t="n">
        <v>13</v>
      </c>
    </row>
    <row r="11">
      <c r="A11" s="4" t="inlineStr"/>
      <c r="B11" s="4" t="inlineStr"/>
    </row>
    <row r="12">
      <c r="A12" s="3" t="inlineStr">
        <is>
          <t>估值參數擷取筆數 Valuation parameters</t>
        </is>
      </c>
      <c r="B12" s="4" t="n">
        <v>4</v>
      </c>
    </row>
    <row r="13">
      <c r="A13" s="3" t="inlineStr">
        <is>
          <t>財務科目擷取筆數 Financial line items</t>
        </is>
      </c>
      <c r="B13" s="4" t="n">
        <v>1</v>
      </c>
    </row>
    <row r="14">
      <c r="A14" s="3" t="inlineStr">
        <is>
          <t>主題段落擷取筆數 Topic extracts</t>
        </is>
      </c>
      <c r="B14" s="4" t="n">
        <v>81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三大報表應相鄰</t>
        </is>
      </c>
      <c r="B19" s="4" t="inlineStr">
        <is>
          <t>Balance Sheet: p.140、Cash Flow: p.157(相距 17 頁)</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11</v>
      </c>
      <c r="D5" s="10" t="n">
        <v>11</v>
      </c>
      <c r="E5" s="11" t="inlineStr">
        <is>
          <t>11%</t>
        </is>
      </c>
      <c r="F5" s="11" t="inlineStr">
        <is>
          <t>Medium</t>
        </is>
      </c>
      <c r="G5" s="11" t="inlineStr">
        <is>
          <t>PDF p.138 (印刷頁 137)</t>
        </is>
      </c>
      <c r="H5" s="11" t="inlineStr">
        <is>
          <t>storical information and estimated changes in proportional to forecast revenue. Discount rate: The pre-tax discount rate used to determine the recoverable amounts is approximately 11% which is determined based on the weighted cost of capital. The result</t>
        </is>
      </c>
    </row>
    <row r="6">
      <c r="A6" s="8" t="inlineStr">
        <is>
          <t>Gross Margin</t>
        </is>
      </c>
      <c r="B6" s="8" t="inlineStr">
        <is>
          <t>毛利率</t>
        </is>
      </c>
      <c r="C6" s="9" t="n">
        <v>1.2</v>
      </c>
      <c r="D6" s="10" t="n">
        <v>1.2</v>
      </c>
      <c r="E6" s="11" t="inlineStr">
        <is>
          <t>1.2%</t>
        </is>
      </c>
      <c r="F6" s="11" t="inlineStr">
        <is>
          <t>Medium</t>
        </is>
      </c>
      <c r="G6" s="11" t="inlineStr">
        <is>
          <t>PDF p.25 (印刷頁 24)</t>
        </is>
      </c>
      <c r="H6" s="11" t="inlineStr">
        <is>
          <t>0% from approximately HK$110.9 million for the same period in 2025. The Group’s gross profit margin for the year ended 31 March 2026 increased by approximately 1.2% to approximately 23.2% as compared to that of approximately 22.0% for the same period in 2025.</t>
        </is>
      </c>
    </row>
    <row r="7">
      <c r="A7" s="8" t="inlineStr">
        <is>
          <t>Gross Margin</t>
        </is>
      </c>
      <c r="B7" s="8" t="inlineStr">
        <is>
          <t>毛利率</t>
        </is>
      </c>
      <c r="C7" s="9" t="n">
        <v>22</v>
      </c>
      <c r="D7" s="10" t="n">
        <v>22</v>
      </c>
      <c r="E7" s="11" t="inlineStr">
        <is>
          <t>22.0%</t>
        </is>
      </c>
      <c r="F7" s="11" t="inlineStr">
        <is>
          <t>Medium</t>
        </is>
      </c>
      <c r="G7" s="11" t="inlineStr">
        <is>
          <t>PDF p.25 (印刷頁 24)</t>
        </is>
      </c>
      <c r="H7" s="11" t="inlineStr">
        <is>
          <t>ed to that of approximately 22.0% for the same period in 2025. Such increase in gross profit margin was mainly due to the margin enhancing strategy implemented by the Group in our distribution segment. Selling and distribution expenses For the year ended 31 M</t>
        </is>
      </c>
    </row>
    <row r="8">
      <c r="A8" s="8" t="inlineStr">
        <is>
          <t>Gross Margin</t>
        </is>
      </c>
      <c r="B8" s="8" t="inlineStr">
        <is>
          <t>毛利率</t>
        </is>
      </c>
      <c r="C8" s="9" t="n">
        <v>6</v>
      </c>
      <c r="D8" s="10" t="n">
        <v>6</v>
      </c>
      <c r="E8" s="11" t="inlineStr">
        <is>
          <t>6.0%</t>
        </is>
      </c>
      <c r="F8" s="12" t="inlineStr">
        <is>
          <t>Low</t>
        </is>
      </c>
      <c r="G8" s="11" t="inlineStr">
        <is>
          <t>PDF p.25 (印刷頁 24)</t>
        </is>
      </c>
      <c r="H8" s="11" t="inlineStr">
        <is>
          <t>MANAGEMENT DISCUSSION AND ANALYSIS Gross profit and gross profit margin For the year ended 31 March 2026, the Group’s gross profit amounted to approximately HK$117.5 million, representing an increase of approximately 6.0% from appr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Cash Flow</t>
        </is>
      </c>
      <c r="B5" s="8" t="inlineStr">
        <is>
          <t>Operating Cash Flow</t>
        </is>
      </c>
      <c r="C5" s="13" t="n">
        <v>61058</v>
      </c>
      <c r="D5" s="14" t="n">
        <v>80517</v>
      </c>
      <c r="E5" s="15">
        <f>IF(ISERROR((C5-D5)/ABS(D5)),"",(C5-D5)/ABS(D5))</f>
        <v>-0.24167567097631557</v>
      </c>
      <c r="F5" s="11" t="inlineStr">
        <is>
          <t>PDF p.157 (印刷頁 156)</t>
        </is>
      </c>
      <c r="G5" s="11" t="inlineStr">
        <is>
          <t>Cash generated from operations 61,058 80,517</t>
        </is>
      </c>
    </row>
    <row r="7">
      <c r="A7"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t="str">
        <f>IF(ISERROR(INDEX('Financials 財務數據'!$C$5:$C$5,MATCH("Gross Profit",'Financials 財務數據'!$B$5:$B$5,0))/INDEX('Financials 財務數據'!$C$5:$C$5,MATCH("Revenue",'Financials 財務數據'!$B$5:$B$5,0))),"n/a",INDEX('Financials 財務數據'!$C$5:$C$5,MATCH("Gross Profit",'Financials 財務數據'!$B$5:$B$5,0))/INDEX('Financials 財務數據'!$C$5:$C$5,MATCH("Revenue",'Financials 財務數據'!$B$5:$B$5,0)))</f>
        <v>n/a</v>
      </c>
      <c r="C5" s="16" t="str">
        <f>IF(ISERROR(INDEX('Financials 財務數據'!$D$5:$D$5,MATCH("Gross Profit",'Financials 財務數據'!$B$5:$B$5,0))/INDEX('Financials 財務數據'!$D$5:$D$5,MATCH("Revenue",'Financials 財務數據'!$B$5:$B$5,0))),"n/a",INDEX('Financials 財務數據'!$D$5:$D$5,MATCH("Gross Profit",'Financials 財務數據'!$B$5:$B$5,0))/INDEX('Financials 財務數據'!$D$5:$D$5,MATCH("Revenue",'Financials 財務數據'!$B$5:$B$5,0)))</f>
        <v>n/a</v>
      </c>
      <c r="D5" s="2" t="inlineStr">
        <is>
          <t>毛利 ÷ 收入</t>
        </is>
      </c>
    </row>
    <row r="6">
      <c r="A6" s="4" t="inlineStr">
        <is>
          <t>Net Margin 淨利率</t>
        </is>
      </c>
      <c r="B6" s="16" t="str">
        <f>IF(ISERROR(INDEX('Financials 財務數據'!$C$5:$C$5,MATCH("Profit for the Year",'Financials 財務數據'!$B$5:$B$5,0))/INDEX('Financials 財務數據'!$C$5:$C$5,MATCH("Revenue",'Financials 財務數據'!$B$5:$B$5,0))),"n/a",INDEX('Financials 財務數據'!$C$5:$C$5,MATCH("Profit for the Year",'Financials 財務數據'!$B$5:$B$5,0))/INDEX('Financials 財務數據'!$C$5:$C$5,MATCH("Revenue",'Financials 財務數據'!$B$5:$B$5,0)))</f>
        <v>n/a</v>
      </c>
      <c r="C6" s="16" t="str">
        <f>IF(ISERROR(INDEX('Financials 財務數據'!$D$5:$D$5,MATCH("Profit for the Year",'Financials 財務數據'!$B$5:$B$5,0))/INDEX('Financials 財務數據'!$D$5:$D$5,MATCH("Revenue",'Financials 財務數據'!$B$5:$B$5,0))),"n/a",INDEX('Financials 財務數據'!$D$5:$D$5,MATCH("Profit for the Year",'Financials 財務數據'!$B$5:$B$5,0))/INDEX('Financials 財務數據'!$D$5:$D$5,MATCH("Revenue",'Financials 財務數據'!$B$5:$B$5,0)))</f>
        <v>n/a</v>
      </c>
      <c r="D6" s="2" t="inlineStr">
        <is>
          <t>年內溢利 ÷ 收入</t>
        </is>
      </c>
    </row>
    <row r="7">
      <c r="A7" s="4" t="inlineStr">
        <is>
          <t>Current Ratio 流動比率</t>
        </is>
      </c>
      <c r="B7" s="17" t="str">
        <f>IF(ISERROR(INDEX('Financials 財務數據'!$C$5:$C$5,MATCH("Total Current Assets",'Financials 財務數據'!$B$5:$B$5,0))/INDEX('Financials 財務數據'!$C$5:$C$5,MATCH("Total Current Liabilities",'Financials 財務數據'!$B$5:$B$5,0))),"n/a",INDEX('Financials 財務數據'!$C$5:$C$5,MATCH("Total Current Assets",'Financials 財務數據'!$B$5:$B$5,0))/INDEX('Financials 財務數據'!$C$5:$C$5,MATCH("Total Current Liabilities",'Financials 財務數據'!$B$5:$B$5,0)))</f>
        <v>n/a</v>
      </c>
      <c r="C7" s="17" t="str">
        <f>IF(ISERROR(INDEX('Financials 財務數據'!$D$5:$D$5,MATCH("Total Current Assets",'Financials 財務數據'!$B$5:$B$5,0))/INDEX('Financials 財務數據'!$D$5:$D$5,MATCH("Total Current Liabilities",'Financials 財務數據'!$B$5:$B$5,0))),"n/a",INDEX('Financials 財務數據'!$D$5:$D$5,MATCH("Total Current Assets",'Financials 財務數據'!$B$5:$B$5,0))/INDEX('Financials 財務數據'!$D$5:$D$5,MATCH("Total Current Liabilities",'Financials 財務數據'!$B$5:$B$5,0)))</f>
        <v>n/a</v>
      </c>
      <c r="D7" s="2" t="inlineStr">
        <is>
          <t>流動資產 ÷ 流動負債</t>
        </is>
      </c>
    </row>
    <row r="8">
      <c r="A8" s="4" t="inlineStr">
        <is>
          <t>Debt / Equity 負債權益比</t>
        </is>
      </c>
      <c r="B8" s="17" t="str">
        <f>IF(ISERROR(INDEX('Financials 財務數據'!$C$5:$C$5,MATCH("Total Liabilities",'Financials 財務數據'!$B$5:$B$5,0))/INDEX('Financials 財務數據'!$C$5:$C$5,MATCH("Total Equity",'Financials 財務數據'!$B$5:$B$5,0))),"n/a",INDEX('Financials 財務數據'!$C$5:$C$5,MATCH("Total Liabilities",'Financials 財務數據'!$B$5:$B$5,0))/INDEX('Financials 財務數據'!$C$5:$C$5,MATCH("Total Equity",'Financials 財務數據'!$B$5:$B$5,0)))</f>
        <v>n/a</v>
      </c>
      <c r="C8" s="17" t="str">
        <f>IF(ISERROR(INDEX('Financials 財務數據'!$D$5:$D$5,MATCH("Total Liabilities",'Financials 財務數據'!$B$5:$B$5,0))/INDEX('Financials 財務數據'!$D$5:$D$5,MATCH("Total Equity",'Financials 財務數據'!$B$5:$B$5,0))),"n/a",INDEX('Financials 財務數據'!$D$5:$D$5,MATCH("Total Liabilities",'Financials 財務數據'!$B$5:$B$5,0))/INDEX('Financials 財務數據'!$D$5:$D$5,MATCH("Total Equity",'Financials 財務數據'!$B$5:$B$5,0)))</f>
        <v>n/a</v>
      </c>
      <c r="D8" s="2" t="inlineStr">
        <is>
          <t>總負債 ÷ 總權益</t>
        </is>
      </c>
    </row>
    <row r="9">
      <c r="A9" s="4" t="inlineStr">
        <is>
          <t>Goodwill / Total Assets</t>
        </is>
      </c>
      <c r="B9" s="16" t="str">
        <f>IF(ISERROR(INDEX('Financials 財務數據'!$C$5:$C$5,MATCH("Goodwill",'Financials 財務數據'!$B$5:$B$5,0))/INDEX('Financials 財務數據'!$C$5:$C$5,MATCH("Total Assets",'Financials 財務數據'!$B$5:$B$5,0))),"n/a",INDEX('Financials 財務數據'!$C$5:$C$5,MATCH("Goodwill",'Financials 財務數據'!$B$5:$B$5,0))/INDEX('Financials 財務數據'!$C$5:$C$5,MATCH("Total Assets",'Financials 財務數據'!$B$5:$B$5,0)))</f>
        <v>n/a</v>
      </c>
      <c r="C9" s="16" t="str">
        <f>IF(ISERROR(INDEX('Financials 財務數據'!$D$5:$D$5,MATCH("Goodwill",'Financials 財務數據'!$B$5:$B$5,0))/INDEX('Financials 財務數據'!$D$5:$D$5,MATCH("Total Assets",'Financials 財務數據'!$B$5:$B$5,0))),"n/a",INDEX('Financials 財務數據'!$D$5:$D$5,MATCH("Goodwill",'Financials 財務數據'!$B$5:$B$5,0))/INDEX('Financials 財務數據'!$D$5:$D$5,MATCH("Total Assets",'Financials 財務數據'!$B$5:$B$5,0)))</f>
        <v>n/a</v>
      </c>
      <c r="D9" s="2" t="inlineStr">
        <is>
          <t>商譽佔總資產比重 — 減值風險指標</t>
        </is>
      </c>
    </row>
    <row r="10">
      <c r="A10" s="4" t="inlineStr">
        <is>
          <t>Intangibles / Total Assets</t>
        </is>
      </c>
      <c r="B10" s="16" t="str">
        <f>IF(ISERROR(INDEX('Financials 財務數據'!$C$5:$C$5,MATCH("Intangible Assets",'Financials 財務數據'!$B$5:$B$5,0))/INDEX('Financials 財務數據'!$C$5:$C$5,MATCH("Total Assets",'Financials 財務數據'!$B$5:$B$5,0))),"n/a",INDEX('Financials 財務數據'!$C$5:$C$5,MATCH("Intangible Assets",'Financials 財務數據'!$B$5:$B$5,0))/INDEX('Financials 財務數據'!$C$5:$C$5,MATCH("Total Assets",'Financials 財務數據'!$B$5:$B$5,0)))</f>
        <v>n/a</v>
      </c>
      <c r="C10" s="16" t="str">
        <f>IF(ISERROR(INDEX('Financials 財務數據'!$D$5:$D$5,MATCH("Intangible Assets",'Financials 財務數據'!$B$5:$B$5,0))/INDEX('Financials 財務數據'!$D$5:$D$5,MATCH("Total Assets",'Financials 財務數據'!$B$5:$B$5,0))),"n/a",INDEX('Financials 財務數據'!$D$5:$D$5,MATCH("Intangible Assets",'Financials 財務數據'!$B$5:$B$5,0))/INDEX('Financials 財務數據'!$D$5:$D$5,MATCH("Total Assets",'Financials 財務數據'!$B$5:$B$5,0)))</f>
        <v>n/a</v>
      </c>
      <c r="D10" s="2" t="inlineStr">
        <is>
          <t>無形資產佔比</t>
        </is>
      </c>
    </row>
    <row r="11">
      <c r="A11" s="4" t="inlineStr">
        <is>
          <t>ROE 股本回報率</t>
        </is>
      </c>
      <c r="B11" s="16" t="str">
        <f>IF(ISERROR(INDEX('Financials 財務數據'!$C$5:$C$5,MATCH("Profit for the Year",'Financials 財務數據'!$B$5:$B$5,0))/INDEX('Financials 財務數據'!$C$5:$C$5,MATCH("Total Equity",'Financials 財務數據'!$B$5:$B$5,0))),"n/a",INDEX('Financials 財務數據'!$C$5:$C$5,MATCH("Profit for the Year",'Financials 財務數據'!$B$5:$B$5,0))/INDEX('Financials 財務數據'!$C$5:$C$5,MATCH("Total Equity",'Financials 財務數據'!$B$5:$B$5,0)))</f>
        <v>n/a</v>
      </c>
      <c r="C11" s="16" t="str">
        <f>IF(ISERROR(INDEX('Financials 財務數據'!$D$5:$D$5,MATCH("Profit for the Year",'Financials 財務數據'!$B$5:$B$5,0))/INDEX('Financials 財務數據'!$D$5:$D$5,MATCH("Total Equity",'Financials 財務數據'!$B$5:$B$5,0))),"n/a",INDEX('Financials 財務數據'!$D$5:$D$5,MATCH("Profit for the Year",'Financials 財務數據'!$B$5:$B$5,0))/INDEX('Financials 財務數據'!$D$5:$D$5,MATCH("Total Equity",'Financials 財務數據'!$B$5:$B$5,0)))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Impairment Testing</t>
        </is>
      </c>
      <c r="B4" s="8" t="inlineStr">
        <is>
          <t>減值測試</t>
        </is>
      </c>
      <c r="C4" s="19" t="inlineStr">
        <is>
          <t>high</t>
        </is>
      </c>
      <c r="D4" s="11" t="inlineStr">
        <is>
          <t>recoverable amount</t>
        </is>
      </c>
      <c r="E4" s="11" t="inlineStr">
        <is>
          <t>PDF p.28 (印刷頁 27)</t>
        </is>
      </c>
      <c r="F4" s="11" t="inlineStr">
        <is>
          <t>itoring procedures to ensure that followup action is taken to recover overdue debts. In addition, management reviews regularly the recoverable amount of each individual trade receivable by taking into account the market conditions, customers’ profiles and contractual terms to ensure that adequate impairment is made for irrecoverable amounts. On top of these ongoing credit evaluations, the Board also closely monitors the Group’s liquidity position to ensure that the liquidity structure of the Group’s assets, liabilities and co</t>
        </is>
      </c>
    </row>
    <row r="5">
      <c r="A5" s="8" t="inlineStr">
        <is>
          <t>Impairment Testing</t>
        </is>
      </c>
      <c r="B5" s="8" t="inlineStr">
        <is>
          <t>減值測試</t>
        </is>
      </c>
      <c r="C5" s="19" t="inlineStr">
        <is>
          <t>high</t>
        </is>
      </c>
      <c r="D5" s="11" t="inlineStr">
        <is>
          <t>impairment loss</t>
        </is>
      </c>
      <c r="E5" s="11" t="inlineStr">
        <is>
          <t>PDF p.120 (印刷頁 119)</t>
        </is>
      </c>
      <c r="F5" s="11" t="inlineStr">
        <is>
          <t>hers, the failure of a debtor to engage in a repayment plan with the Group, and a failure to make contractual payments for a period. Impairment losses on trade receivables are presented as net impairment losses within operating profit. Subsequent recoveries of amounts previously written off are credited against the same line item. Other receivables and deposits at amortised cost Other receivables and deposits at amortised cost mainly represents rental deposits in well-known landlords. The management considers that its credit ri</t>
        </is>
      </c>
    </row>
    <row r="6">
      <c r="A6" s="8" t="inlineStr">
        <is>
          <t>Impairment Testing</t>
        </is>
      </c>
      <c r="B6" s="8" t="inlineStr">
        <is>
          <t>減值測試</t>
        </is>
      </c>
      <c r="C6" s="19" t="inlineStr">
        <is>
          <t>high</t>
        </is>
      </c>
      <c r="D6" s="11" t="inlineStr">
        <is>
          <t>impairment test</t>
        </is>
      </c>
      <c r="E6" s="11" t="inlineStr">
        <is>
          <t>PDF p.124 (印刷頁 123)</t>
        </is>
      </c>
      <c r="F6" s="11" t="inlineStr">
        <is>
          <t>rment, including the discount rates and the growth rate in the cash flow projections, could affect the net present value used in the impairment test and as a result affect the Group’s financial position and results of operations. 5 SEGMENT INFORMATION The chief operating decision-maker has been identified as the Executive Directors of the Group (collectively referred to as the “CODM”) that make strategic decisions. The CODM reviews the internal reporting of the Group in order to assess performance and allocate resources. The Gr</t>
        </is>
      </c>
    </row>
    <row r="7">
      <c r="A7" s="8" t="inlineStr">
        <is>
          <t>Impairment Testing</t>
        </is>
      </c>
      <c r="B7" s="8" t="inlineStr">
        <is>
          <t>減值測試</t>
        </is>
      </c>
      <c r="C7" s="19" t="inlineStr">
        <is>
          <t>high</t>
        </is>
      </c>
      <c r="D7" s="11" t="inlineStr">
        <is>
          <t>impairment loss</t>
        </is>
      </c>
      <c r="E7" s="11" t="inlineStr">
        <is>
          <t>PDF p.125 (印刷頁 124)</t>
        </is>
      </c>
      <c r="F7" s="11" t="inlineStr">
        <is>
          <t>items included: Depreciation of property, plant and equipment 796 4,655 5,451 Depreciation of right-of-use assets 884 37,276 38,160 Impairment loss on property, plant and equipment – 396 396 Impairment loss on right-of-use assets – 1,508 1,508 124 B &amp; S International Holdings Ltd.</t>
        </is>
      </c>
    </row>
    <row r="8">
      <c r="A8" s="8" t="inlineStr">
        <is>
          <t>Impairment Testing</t>
        </is>
      </c>
      <c r="B8" s="8" t="inlineStr">
        <is>
          <t>減值測試</t>
        </is>
      </c>
      <c r="C8" s="19" t="inlineStr">
        <is>
          <t>high</t>
        </is>
      </c>
      <c r="D8" s="11" t="inlineStr">
        <is>
          <t>impairment loss</t>
        </is>
      </c>
      <c r="E8" s="11" t="inlineStr">
        <is>
          <t>PDF p.126 (印刷頁 125)</t>
        </is>
      </c>
      <c r="F8" s="11" t="inlineStr">
        <is>
          <t>items included: Depreciation of property, plant and equipment 633 3,654 4,287 Depreciation of right-of-use assets 884 37,406 38,290 Impairment loss on property, plant and equipment – 569 569 Impairment loss on right-of-use assets – 1,561 1,561 Annual Report 2026 125</t>
        </is>
      </c>
    </row>
    <row r="9">
      <c r="A9" s="8" t="inlineStr">
        <is>
          <t>Impairment Testing</t>
        </is>
      </c>
      <c r="B9" s="8" t="inlineStr">
        <is>
          <t>減值測試</t>
        </is>
      </c>
      <c r="C9" s="19" t="inlineStr">
        <is>
          <t>high</t>
        </is>
      </c>
      <c r="D9" s="11" t="inlineStr">
        <is>
          <t>impairment loss</t>
        </is>
      </c>
      <c r="E9" s="11" t="inlineStr">
        <is>
          <t>PDF p.131 (印刷頁 130)</t>
        </is>
      </c>
      <c r="F9" s="11" t="inlineStr">
        <is>
          <t>nd logistics service expenses 13,250 12,633 Freight charges 5,540 5,448 Auditor’s remuneration 1,100 1,000 Franchise fee 4,627 4,409 Impairment loss on property, plant and equipment (Note 15) 396 569 Impairment loss on right-of-use assets (Note 16) 1,508 1,561 Legal and professional fees 2,003 2,595 Others 21,351 17,203 479,486 478,561 Representing: Cost of sales 387,867 393,848 Selling and distribution expenses 44,274 39,761 Administrative expenses 47,345 44,952 479,486 478,561 130 B &amp; S International Holdings Ltd.</t>
        </is>
      </c>
    </row>
    <row r="10">
      <c r="A10" s="8" t="inlineStr">
        <is>
          <t>Impairment Testing</t>
        </is>
      </c>
      <c r="B10" s="8" t="inlineStr">
        <is>
          <t>減值測試</t>
        </is>
      </c>
      <c r="C10" s="19" t="inlineStr">
        <is>
          <t>high</t>
        </is>
      </c>
      <c r="D10" s="11" t="inlineStr">
        <is>
          <t>impairment loss</t>
        </is>
      </c>
      <c r="E10" s="11" t="inlineStr">
        <is>
          <t>PDF p.138 (印刷頁 137)</t>
        </is>
      </c>
      <c r="F10" s="11" t="inlineStr">
        <is>
          <t>lculations using discounted cash flow projections based on the management’s forecasts covering the remaining tenure of the lease. An impairment loss of property, plant and equipment and right-of-use assets of HK$396,000 and HK$1,508,000 (2025: HK$569,000 and HK$1,561,000), respectively was recognised in costs of sales. Key assumptions used in the value-in-use calculations for the recoverable amount of retail store assets are as follow: Revenue: Management estimated revenue over the remaining lease terms based on actual monthly</t>
        </is>
      </c>
    </row>
    <row r="11">
      <c r="A11" s="8" t="inlineStr">
        <is>
          <t>Impairment Testing</t>
        </is>
      </c>
      <c r="B11" s="8" t="inlineStr">
        <is>
          <t>減值測試</t>
        </is>
      </c>
      <c r="C11" s="19" t="inlineStr">
        <is>
          <t>high</t>
        </is>
      </c>
      <c r="D11" s="11" t="inlineStr">
        <is>
          <t>impairment loss</t>
        </is>
      </c>
      <c r="E11" s="11" t="inlineStr">
        <is>
          <t>PDF p.139 (印刷頁 138)</t>
        </is>
      </c>
      <c r="F11" s="11" t="inlineStr">
        <is>
          <t>policy of property, plant and equipment Property, plant and equipment is stated at historical cost less accumulated depreciation and impairment loss. Historical cost includes expenditure that is directly attributable to the acquisition of the items. Subsequent costs are included in the asset’s carrying amount or recognised as a separate asset, as appropriate, only when it is probable that future economic benefits associated with the item will flow to the Group and the cost of the item can be measured reliably. All other repairs</t>
        </is>
      </c>
    </row>
    <row r="12">
      <c r="A12" s="8" t="inlineStr">
        <is>
          <t>Impairment Testing</t>
        </is>
      </c>
      <c r="B12" s="8" t="inlineStr">
        <is>
          <t>減值測試</t>
        </is>
      </c>
      <c r="C12" s="19" t="inlineStr">
        <is>
          <t>high</t>
        </is>
      </c>
      <c r="D12" s="11" t="inlineStr">
        <is>
          <t>impairment loss</t>
        </is>
      </c>
      <c r="E12" s="11" t="inlineStr">
        <is>
          <t>PDF p.140 (印刷頁 139)</t>
        </is>
      </c>
      <c r="F12" s="11" t="inlineStr">
        <is>
          <t>income The consolidated statement of comprehensive income shows the following amounts relating to leases: 2026 2025 HK$’000 HK$’000 Impairment loss on right-of-use assets (Note 9, 15) 1,508 1,561 Depreciation of right-of-use assets (Note 9) 38,160 38,290 Interest expenses (included in finance cost) (Note 11) 3,639 3,929 Expenses relating to short-term leases (included in cost of sales and administrative expenses) 12,332 12,531 Expenses relating to variable lease payments 5,434 6,078 The total cash outflows for leases, excludin</t>
        </is>
      </c>
    </row>
    <row r="13">
      <c r="A13" s="8" t="inlineStr">
        <is>
          <t>Impairment Testing</t>
        </is>
      </c>
      <c r="B13" s="8" t="inlineStr">
        <is>
          <t>減值測試</t>
        </is>
      </c>
      <c r="C13" s="19" t="inlineStr">
        <is>
          <t>high</t>
        </is>
      </c>
      <c r="D13" s="11" t="inlineStr">
        <is>
          <t>impairment loss</t>
        </is>
      </c>
      <c r="E13" s="11" t="inlineStr">
        <is>
          <t>PDF p.142 (印刷頁 141)</t>
        </is>
      </c>
      <c r="F13" s="11" t="inlineStr">
        <is>
          <t>seful life. The leasehold land and land use rights have finite useful life and are carried at cost less accumulated amortisation and impairment loss (if any). Amortisation are calculated using the straight-line method to allocate the costs of leasehold land over their terms. Leasehold land and land use rights are presented as right-of-use assets in the consolidated statement of financial position. In determining the lease term, management considers all facts and circumstances that create an economic incentive to exercise an ext</t>
        </is>
      </c>
    </row>
    <row r="14">
      <c r="A14" s="8" t="inlineStr">
        <is>
          <t>Impairment Testing</t>
        </is>
      </c>
      <c r="B14" s="8" t="inlineStr">
        <is>
          <t>減值測試</t>
        </is>
      </c>
      <c r="C14" s="19" t="inlineStr">
        <is>
          <t>high</t>
        </is>
      </c>
      <c r="D14" s="11" t="inlineStr">
        <is>
          <t>impairment test</t>
        </is>
      </c>
      <c r="E14" s="11" t="inlineStr">
        <is>
          <t>PDF p.168 (印刷頁 167)</t>
        </is>
      </c>
      <c r="F14" s="11" t="inlineStr">
        <is>
          <t>costs of investment. The results of subsidiaries are accounted for by the company on the basis of dividend received and receivable. Impairment testing of the investments in subsidiaries is required upon receiving a dividend from these investments if the dividend exceeds the total comprehensive income of the subsidiary in the period the dividend is declared or if the carrying amount of the investment in the separate financial statements exceeds the carrying amount in the consolidated financial statements of the investee’s net a</t>
        </is>
      </c>
    </row>
    <row r="15">
      <c r="A15" s="8" t="inlineStr">
        <is>
          <t>Impairment Testing</t>
        </is>
      </c>
      <c r="B15" s="8" t="inlineStr">
        <is>
          <t>減值測試</t>
        </is>
      </c>
      <c r="C15" s="19" t="inlineStr">
        <is>
          <t>high</t>
        </is>
      </c>
      <c r="D15" s="11" t="inlineStr">
        <is>
          <t>impairment loss</t>
        </is>
      </c>
      <c r="E15" s="11" t="inlineStr">
        <is>
          <t>PDF p.169 (印刷頁 168)</t>
        </is>
      </c>
      <c r="F15" s="11" t="inlineStr">
        <is>
          <t>are reviewed for impairment whenever events or changes in circumstances indicate that the carrying amount may not be recoverable. An impairment loss is recognised for the amount by which the asset’s carrying amount exceeds its recoverable amount. The recoverable amount is the higher of an asset’s fair value less costs to sell and value in use. For the purposes of assessing impairment, assets are grouped at the lowest levels for which there are separately identifiable cash flows (cashgenerating units). Non-financial assets tha</t>
        </is>
      </c>
    </row>
    <row r="16">
      <c r="A16" s="8" t="inlineStr">
        <is>
          <t>Impairment Testing</t>
        </is>
      </c>
      <c r="B16" s="8" t="inlineStr">
        <is>
          <t>減值測試</t>
        </is>
      </c>
      <c r="C16" s="19" t="inlineStr">
        <is>
          <t>high</t>
        </is>
      </c>
      <c r="D16" s="11" t="inlineStr">
        <is>
          <t>recoverable amount</t>
        </is>
      </c>
      <c r="E16" s="11" t="inlineStr">
        <is>
          <t>PDF p.174 (印刷頁 173)</t>
        </is>
      </c>
      <c r="F16" s="11" t="inlineStr">
        <is>
          <t>recognised using the effective interest method. When a loan and receivable is impaired, the Group reduces the carrying amount to its recoverable amount, being the estimated future cash flow discounted at the original effective interest rate of the instrument, and continues unwinding the discount as interest income. Interest income on impaired loan and receivables are recognised using the original effective interest rate. 34.16 Dividend distribution Provision is made for the amount of any dividend declared, being appropriately a</t>
        </is>
      </c>
    </row>
    <row r="17">
      <c r="A17" s="8" t="inlineStr">
        <is>
          <t>Intangible Assets &amp; Goodwill</t>
        </is>
      </c>
      <c r="B17" s="8" t="inlineStr">
        <is>
          <t>無形資產及商譽</t>
        </is>
      </c>
      <c r="C17" s="19" t="inlineStr">
        <is>
          <t>high</t>
        </is>
      </c>
      <c r="D17" s="11" t="inlineStr">
        <is>
          <t>licence</t>
        </is>
      </c>
      <c r="E17" s="11" t="inlineStr">
        <is>
          <t>PDF p.54 (印刷頁 53)</t>
        </is>
      </c>
      <c r="F17" s="11" t="inlineStr">
        <is>
          <t>hasing department regularly conducts supplier reviews to ensure product quality and safety. All suppliers are required to hold valid licences required by the government, and all imported goods shall obtain proper clearance from the respective authorities. The supplier review and assessment system are based on a set of selection criteria, including but not limited to pricing, ingredient quality, supplier reputation, service standards, agility, delivery efficiency, past performance, and ESG-specific requirements, to identify any</t>
        </is>
      </c>
    </row>
    <row r="18">
      <c r="A18" s="8" t="inlineStr">
        <is>
          <t>Intangible Assets &amp; Goodwill</t>
        </is>
      </c>
      <c r="B18" s="8" t="inlineStr">
        <is>
          <t>無形資產及商譽</t>
        </is>
      </c>
      <c r="C18" s="19" t="inlineStr">
        <is>
          <t>high</t>
        </is>
      </c>
      <c r="D18" s="11" t="inlineStr">
        <is>
          <t>intangible asset</t>
        </is>
      </c>
      <c r="E18" s="11" t="inlineStr">
        <is>
          <t>PDF p.114 (印刷頁 113)</t>
        </is>
      </c>
      <c r="F18" s="11" t="inlineStr">
        <is>
          <t>odwill will be required to be separately presented in the consolidated balance sheet, the Group will disaggregate goodwill and other intangible assets and present them separately in the consolidated balance sheet. Annual Report 2026 113</t>
        </is>
      </c>
    </row>
    <row r="19">
      <c r="A19" s="8" t="inlineStr">
        <is>
          <t>Intangible Assets &amp; Goodwill</t>
        </is>
      </c>
      <c r="B19" s="8" t="inlineStr">
        <is>
          <t>無形資產及商譽</t>
        </is>
      </c>
      <c r="C19" s="19" t="inlineStr">
        <is>
          <t>high</t>
        </is>
      </c>
      <c r="D19" s="11" t="inlineStr">
        <is>
          <t>goodwill</t>
        </is>
      </c>
      <c r="E19" s="11" t="inlineStr">
        <is>
          <t>PDF p.135 (印刷頁 134)</t>
        </is>
      </c>
      <c r="F19" s="11" t="inlineStr">
        <is>
          <t>he consolidated financial statements. However, deferred tax liabilities are not recognised if they arise from initial recognition of goodwill. Deferred income tax is also not accounted for if it arises from initial recognition of an asset or liability in a transaction other than a business combination that at the time of the transaction affects neither accounting nor taxable profit or loss. Deferred income tax is determined using tax rates (and laws) that have been enacted or substantially enacted by the balance sheet date and</t>
        </is>
      </c>
    </row>
    <row r="20">
      <c r="A20" s="8" t="inlineStr">
        <is>
          <t>Intangible Assets &amp; Goodwill</t>
        </is>
      </c>
      <c r="B20" s="8" t="inlineStr">
        <is>
          <t>無形資產及商譽</t>
        </is>
      </c>
      <c r="C20" s="19" t="inlineStr">
        <is>
          <t>high</t>
        </is>
      </c>
      <c r="D20" s="11" t="inlineStr">
        <is>
          <t>useful life</t>
        </is>
      </c>
      <c r="E20" s="11" t="inlineStr">
        <is>
          <t>PDF p.141 (印刷頁 140)</t>
        </is>
      </c>
      <c r="F20" s="11" t="inlineStr">
        <is>
          <t>est on the remaining balance of the liability for each period. The right-of-use asset is depreciated over the shorter of the asset’s useful life and the lease term on a straight-line basis. Assets and liabilities arising from a lease are initially measured on a present value basis. Lease liabilities include the net present value of the following lease payments: • fixed payments (including in-substance fixed payments), less any lease incentives receivable; • variable lease payment that are based on a rate; • the exercise price o</t>
        </is>
      </c>
    </row>
    <row r="21">
      <c r="A21" s="8" t="inlineStr">
        <is>
          <t>Intangible Assets &amp; Goodwill</t>
        </is>
      </c>
      <c r="B21" s="8" t="inlineStr">
        <is>
          <t>無形資產及商譽</t>
        </is>
      </c>
      <c r="C21" s="19" t="inlineStr">
        <is>
          <t>high</t>
        </is>
      </c>
      <c r="D21" s="11" t="inlineStr">
        <is>
          <t>amortisation</t>
        </is>
      </c>
      <c r="E21" s="11" t="inlineStr">
        <is>
          <t>PDF p.142 (印刷頁 141)</t>
        </is>
      </c>
      <c r="F21" s="11" t="inlineStr">
        <is>
          <t>erlying asset’s useful life. The leasehold land and land use rights have finite useful life and are carried at cost less accumulated amortisation and impairment loss (if any). Amortisation are calculated using the straight-line method to allocate the costs of leasehold land over their terms. Leasehold land and land use rights are presented as right-of-use assets in the consolidated statement of financial position. In determining the lease term, management considers all facts and circumstances that create an economic incentive t</t>
        </is>
      </c>
    </row>
    <row r="22">
      <c r="A22" s="8" t="inlineStr">
        <is>
          <t>Intangible Assets &amp; Goodwill</t>
        </is>
      </c>
      <c r="B22" s="8" t="inlineStr">
        <is>
          <t>無形資產及商譽</t>
        </is>
      </c>
      <c r="C22" s="19" t="inlineStr">
        <is>
          <t>high</t>
        </is>
      </c>
      <c r="D22" s="11" t="inlineStr">
        <is>
          <t>goodwill</t>
        </is>
      </c>
      <c r="E22" s="11" t="inlineStr">
        <is>
          <t>PDF p.168 (印刷頁 167)</t>
        </is>
      </c>
      <c r="F22" s="11" t="inlineStr">
        <is>
          <t>fair value of any previous equity interest in the acquire over the fair value of the identifiable net assets acquired is recorded as goodwill. If the total of consideration transferred, noncontrolling interest recognised and previously held interest measured is less than the fair value of the net assets of the subsidiary acquired in the case of a bargain purchase, the difference is recognised directly in the consolidated statements of comprehensive income. Intra-group transactions, balances and unrealised gains on transaction</t>
        </is>
      </c>
    </row>
    <row r="23">
      <c r="A23" s="8" t="inlineStr">
        <is>
          <t>Intangible Assets &amp; Goodwill</t>
        </is>
      </c>
      <c r="B23" s="8" t="inlineStr">
        <is>
          <t>無形資產及商譽</t>
        </is>
      </c>
      <c r="C23" s="19" t="inlineStr">
        <is>
          <t>high</t>
        </is>
      </c>
      <c r="D23" s="11" t="inlineStr">
        <is>
          <t>amortisation</t>
        </is>
      </c>
      <c r="E23" s="11" t="inlineStr">
        <is>
          <t>PDF p.169 (印刷頁 168)</t>
        </is>
      </c>
      <c r="F23" s="11" t="inlineStr">
        <is>
          <t>income within “other losses”. 34.4 Impairment of non-financial assets Assets that have an indefinite useful life are not subject to amortisation and are at least tested annually for impairment. Assets which are subject to amortisation are reviewed for impairment whenever events or changes in circumstances indicate that the carrying amount may not be recoverable. An impairment loss is recognised for the amount by which the asset’s carrying amount exceeds its recoverable amount. The recoverable amount is the higher of an asset’s</t>
        </is>
      </c>
    </row>
    <row r="24">
      <c r="A24" s="8" t="inlineStr">
        <is>
          <t>ESG Data</t>
        </is>
      </c>
      <c r="B24" s="8" t="inlineStr">
        <is>
          <t>環境社會及管治數據</t>
        </is>
      </c>
      <c r="C24" s="8" t="inlineStr">
        <is>
          <t>medium</t>
        </is>
      </c>
      <c r="D24" s="11" t="inlineStr">
        <is>
          <t>sustainability</t>
        </is>
      </c>
      <c r="E24" s="11" t="inlineStr">
        <is>
          <t>PDF p.22 (印刷頁 21)</t>
        </is>
      </c>
      <c r="F24" s="11" t="inlineStr">
        <is>
          <t>the market. We will continue to closely monitor market trends and adjust our pricing strategies accordingly to ensure our long-term sustainability and success. The following table sets forth the average selling price and average daily sales volume of our “TenRen (天仁茗茶)” tea drink products for the years indicated: Year ended 31 March 2026 2025 Average selling price (HK$) Tea drink products (per cup) 31.0 30.6 Packaged tea leaves products (per unit) 106.1 105.2 Average daily sales volume Tea drink products (cup) 20,000 18,000 Pa</t>
        </is>
      </c>
    </row>
    <row r="25">
      <c r="A25" s="8" t="inlineStr">
        <is>
          <t>ESG Data</t>
        </is>
      </c>
      <c r="B25" s="8" t="inlineStr">
        <is>
          <t>環境社會及管治數據</t>
        </is>
      </c>
      <c r="C25" s="8" t="inlineStr">
        <is>
          <t>medium</t>
        </is>
      </c>
      <c r="D25" s="11" t="inlineStr">
        <is>
          <t>sustainability</t>
        </is>
      </c>
      <c r="E25" s="11" t="inlineStr">
        <is>
          <t>PDF p.26 (印刷頁 25)</t>
        </is>
      </c>
      <c r="F25" s="11" t="inlineStr">
        <is>
          <t>gree of transparency and accountability, which does not only enhance corporate value for Shareholders but also protect the long-term sustainability of the Group. In the opinion of the Board, during FY2026 and up to the date of this annual report, the Company has complied with all the code provisions of the CG Code, save and except for code provision C.2.1 which states that the roles of chairman and chief executive officer should be separated and should not be performed by the same individual. Mr. Chan Kam Chuen Andrew is both o</t>
        </is>
      </c>
    </row>
    <row r="26">
      <c r="A26" s="8" t="inlineStr">
        <is>
          <t>ESG Data</t>
        </is>
      </c>
      <c r="B26" s="8" t="inlineStr">
        <is>
          <t>環境社會及管治數據</t>
        </is>
      </c>
      <c r="C26" s="8" t="inlineStr">
        <is>
          <t>medium</t>
        </is>
      </c>
      <c r="D26" s="11" t="inlineStr">
        <is>
          <t>sustainability</t>
        </is>
      </c>
      <c r="E26" s="11" t="inlineStr">
        <is>
          <t>PDF p.32 (印刷頁 31)</t>
        </is>
      </c>
      <c r="F26" s="11" t="inlineStr">
        <is>
          <t>gree of transparency and accountability, which does not only enhance corporate value for Shareholders but also protect the long-term sustainability of the Group. In the opinion of the Board, during the year ended 31 March 2026 and up to the date of this annual report, the Company has complied with all the code provisions of the CG Code, save and except for code provision C.2.1 which states that the roles of chairman and chief executive officer should be separated and should not be performed by the same individual. Mr. Chan Kam</t>
        </is>
      </c>
    </row>
    <row r="27">
      <c r="A27" s="8" t="inlineStr">
        <is>
          <t>ESG Data</t>
        </is>
      </c>
      <c r="B27" s="8" t="inlineStr">
        <is>
          <t>環境社會及管治數據</t>
        </is>
      </c>
      <c r="C27" s="8" t="inlineStr">
        <is>
          <t>medium</t>
        </is>
      </c>
      <c r="D27" s="11" t="inlineStr">
        <is>
          <t>ESG</t>
        </is>
      </c>
      <c r="E27" s="11" t="inlineStr">
        <is>
          <t>PDF p.43 (印刷頁 42)</t>
        </is>
      </c>
      <c r="F27" s="11" t="inlineStr">
        <is>
          <t>fy significant risks in the Group’s operation environment and evaluate the impacts of those risks on the Group’s business (including ESG risks); – develop necessary measures to manage those risks; and – monitor and review the effectiveness of such measures. The Group has formulated the policies and procedures relating to risk management and internal control as follows: – the Group established an organisational structure with clear operating and reporting procedures, lines of responsibility and delegated authority; – each busine</t>
        </is>
      </c>
    </row>
    <row r="28">
      <c r="A28" s="8" t="inlineStr">
        <is>
          <t>ESG Data</t>
        </is>
      </c>
      <c r="B28" s="8" t="inlineStr">
        <is>
          <t>環境社會及管治數據</t>
        </is>
      </c>
      <c r="C28" s="8" t="inlineStr">
        <is>
          <t>medium</t>
        </is>
      </c>
      <c r="D28" s="11" t="inlineStr">
        <is>
          <t>ESG</t>
        </is>
      </c>
      <c r="E28" s="11" t="inlineStr">
        <is>
          <t>PDF p.47 (印刷頁 46)</t>
        </is>
      </c>
      <c r="F28" s="11" t="inlineStr">
        <is>
          <t>company, B &amp; S International Holdings Ltd (the “Group” or “B &amp; S”) is pleased to present the Environmental, Social and Governance (“ESG”) Report (“ESG Report”) for the year ended 31 March 2026 (the “reporting period). Through providing our stakeholders a comprehensive understanding of our ESG strategy, policies and performance, we aim to illustrate our long-term commitment to ensure our Group maintains its position in the market as a socially, environmentally and economically sustainable business. Scope of the ESG Report The s</t>
        </is>
      </c>
    </row>
    <row r="29">
      <c r="A29" s="8" t="inlineStr">
        <is>
          <t>ESG Data</t>
        </is>
      </c>
      <c r="B29" s="8" t="inlineStr">
        <is>
          <t>環境社會及管治數據</t>
        </is>
      </c>
      <c r="C29" s="8" t="inlineStr">
        <is>
          <t>medium</t>
        </is>
      </c>
      <c r="D29" s="11" t="inlineStr">
        <is>
          <t>greenhouse gas</t>
        </is>
      </c>
      <c r="E29" s="11" t="inlineStr">
        <is>
          <t>PDF p.48 (印刷頁 47)</t>
        </is>
      </c>
      <c r="F29" s="11" t="inlineStr">
        <is>
          <t>ties (COP30). We also educate and reward our employees for their ongoing commitment to supporting our climate ambition. Reducing our greenhouse gas emissions was one of the most important achievements we obtained in the year ended 31 March 2026. The next major milestone of our sustainability journey will be to further reduce our carbon footprint by exploring other green and innovative solutions. Sustainability is firmly embedded in the core of our business and reflected in our purpose. Every day, our employees at B&amp;S work to de</t>
        </is>
      </c>
    </row>
    <row r="30">
      <c r="A30" s="8" t="inlineStr">
        <is>
          <t>ESG Data</t>
        </is>
      </c>
      <c r="B30" s="8" t="inlineStr">
        <is>
          <t>環境社會及管治數據</t>
        </is>
      </c>
      <c r="C30" s="8" t="inlineStr">
        <is>
          <t>medium</t>
        </is>
      </c>
      <c r="D30" s="11" t="inlineStr">
        <is>
          <t>ESG</t>
        </is>
      </c>
      <c r="E30" s="11" t="inlineStr">
        <is>
          <t>PDF p.49 (印刷頁 48)</t>
        </is>
      </c>
      <c r="F30" s="11" t="inlineStr">
        <is>
          <t>stakeholders. In the reporting period, the Group engaged with the following key stakeholder groups and identified their concerns on ESG issues: Key Stakeholder Engaged Major Communication Channels Major Concerns Internal Employees • Business Meetings • Training Opportunities and Career • Job Briefings Development • Performance Appraisals Sessions • Health and Safety of Work Environment • Internal Training Workshop • Protection of Employee’s Rights and Benefits • Protection of Employee Data and Privacy Shareholders • Annual Gen</t>
        </is>
      </c>
    </row>
    <row r="31">
      <c r="A31" s="8" t="inlineStr">
        <is>
          <t>ESG Data</t>
        </is>
      </c>
      <c r="B31" s="8" t="inlineStr">
        <is>
          <t>環境社會及管治數據</t>
        </is>
      </c>
      <c r="C31" s="8" t="inlineStr">
        <is>
          <t>medium</t>
        </is>
      </c>
      <c r="D31" s="11" t="inlineStr">
        <is>
          <t>ESG</t>
        </is>
      </c>
      <c r="E31" s="11" t="inlineStr">
        <is>
          <t>PDF p.51 (印刷頁 50)</t>
        </is>
      </c>
      <c r="F31" s="11" t="inlineStr">
        <is>
          <t>sessment In this reporting period, the stakeholders that have an impact on the Group were invited to share their perspectives on our ESG performance in an electronic survey. After compiling their opinions, we determined the key ESG issues that are identified as material aspects for the Group to focus on. The materiality assessment ensures that the stakeholders’ perspectives and expectations are fully understood to assist the Group in defining and further developing the sustainable business strategy. Materiality Assessment Matri</t>
        </is>
      </c>
    </row>
    <row r="32">
      <c r="A32" s="8" t="inlineStr">
        <is>
          <t>ESG Data</t>
        </is>
      </c>
      <c r="B32" s="8" t="inlineStr">
        <is>
          <t>環境社會及管治數據</t>
        </is>
      </c>
      <c r="C32" s="8" t="inlineStr">
        <is>
          <t>medium</t>
        </is>
      </c>
      <c r="D32" s="11" t="inlineStr">
        <is>
          <t>greenhouse gas</t>
        </is>
      </c>
      <c r="E32" s="11" t="inlineStr">
        <is>
          <t>PDF p.52 (印刷頁 51)</t>
        </is>
      </c>
      <c r="F32" s="11" t="inlineStr">
        <is>
          <t>11 Marketing communications (e.g. advertisement) 25 Mitigation measures to protect environment and natural resources 12 Water use 26 Greenhouse gas emissions 13 Anti-corruption training provided to directors and 27 Air emissions staff 14 Diversity and equal opportunity of employees 28 Community support (e.g. donation, volunteering) The important ESG issues to both internal and external stakeholders are positioned at the top right corner of the materiality matrix. The main issues are as follows: 1. Product health and safety; 2.</t>
        </is>
      </c>
    </row>
    <row r="33">
      <c r="A33" s="8" t="inlineStr">
        <is>
          <t>ESG Data</t>
        </is>
      </c>
      <c r="B33" s="8" t="inlineStr">
        <is>
          <t>環境社會及管治數據</t>
        </is>
      </c>
      <c r="C33" s="8" t="inlineStr">
        <is>
          <t>medium</t>
        </is>
      </c>
      <c r="D33" s="11" t="inlineStr">
        <is>
          <t>ESG</t>
        </is>
      </c>
      <c r="E33" s="11" t="inlineStr">
        <is>
          <t>PDF p.53 (印刷頁 52)</t>
        </is>
      </c>
      <c r="F33" s="11" t="inlineStr">
        <is>
          <t>t business updates are available to the public through our website. The Group welcomes all stakeholders’ feedback regarding with the ESG issues. Interested parties can contact the Group to share their suggestions and opinions through the channels listed below: Website: https://www.bandshk.com/ Address: Unit 01, 11/F, Block A, Ko Fai Industrial Building, 7 Ko Fai Rood, Yau Tong Kowloon, Hong Kong ENVIRONMENTAL, SOCIAL AND GOVERNANCE To facilitate effective management of the ESG issues, the Group has established a governance stru</t>
        </is>
      </c>
    </row>
    <row r="34">
      <c r="A34" s="8" t="inlineStr">
        <is>
          <t>ESG Data</t>
        </is>
      </c>
      <c r="B34" s="8" t="inlineStr">
        <is>
          <t>環境社會及管治數據</t>
        </is>
      </c>
      <c r="C34" s="8" t="inlineStr">
        <is>
          <t>medium</t>
        </is>
      </c>
      <c r="D34" s="11" t="inlineStr">
        <is>
          <t>ESG</t>
        </is>
      </c>
      <c r="E34" s="11" t="inlineStr">
        <is>
          <t>PDF p.54 (印刷頁 53)</t>
        </is>
      </c>
      <c r="F34" s="11" t="inlineStr">
        <is>
          <t>limited to pricing, ingredient quality, supplier reputation, service standards, agility, delivery efficiency, past performance, and ESG-specific requirements, to identify any potential environmental and social risks associated with the suppliers. The assessment results are reviewed regularly to make sure that the suppliers meet our expectations regarding environmental compliance and labour practices. Environmental criteria are also taken into consideration during our procurement process. We encourage our suppliers to enhance t</t>
        </is>
      </c>
    </row>
    <row r="35">
      <c r="A35" s="8" t="inlineStr">
        <is>
          <t>ESG Data</t>
        </is>
      </c>
      <c r="B35" s="8" t="inlineStr">
        <is>
          <t>環境社會及管治數據</t>
        </is>
      </c>
      <c r="C35" s="8" t="inlineStr">
        <is>
          <t>medium</t>
        </is>
      </c>
      <c r="D35" s="11" t="inlineStr">
        <is>
          <t>greenhouse gas</t>
        </is>
      </c>
      <c r="E35" s="11" t="inlineStr">
        <is>
          <t>PDF p.60 (印刷頁 59)</t>
        </is>
      </c>
      <c r="F35" s="11" t="inlineStr">
        <is>
          <t>port the Paris Agreement target, which is to achieve net zero emissions by 2050. Also, we are dedicated to reducing the emissions of greenhouse gas to support Goal 13 (Climate Action) of the United Nations Sustainability Development Goal. The Group aims to utilise energy efficiently and as a major means to reduce our greenhouse gas (“GHG”) emissions. In order to continuously improve our energy performance and lower our carbon footprint, monitoring our energy usage is crucial. We always look for possible energy-saving opportunit</t>
        </is>
      </c>
    </row>
    <row r="36">
      <c r="A36" s="8" t="inlineStr">
        <is>
          <t>ESG Data</t>
        </is>
      </c>
      <c r="B36" s="8" t="inlineStr">
        <is>
          <t>環境社會及管治數據</t>
        </is>
      </c>
      <c r="C36" s="8" t="inlineStr">
        <is>
          <t>medium</t>
        </is>
      </c>
      <c r="D36" s="11" t="inlineStr">
        <is>
          <t>greenhouse gas</t>
        </is>
      </c>
      <c r="E36" s="11" t="inlineStr">
        <is>
          <t>PDF p.61 (印刷頁 60)</t>
        </is>
      </c>
      <c r="F36" s="11" t="inlineStr">
        <is>
          <t>ehouse, central kitchen, and the head office. As the Group’s retail business does not contain any flame cooking kitchen devices, the greenhouse gas emissions produced by the Group is basically indirect and attributed to the consumption of purchased electricity from “HK Electric” and “CLP” as well as water from “Water Supplies Department” which are located in the Scope 2 and Scope 3 of greenhouse gas emission areas, respectively. The Group adheres to the concept of energy conservation and emission reduction for green business. W</t>
        </is>
      </c>
    </row>
    <row r="37">
      <c r="A37" s="8" t="inlineStr">
        <is>
          <t>ESG Data</t>
        </is>
      </c>
      <c r="B37" s="8" t="inlineStr">
        <is>
          <t>環境社會及管治數據</t>
        </is>
      </c>
      <c r="C37" s="8" t="inlineStr">
        <is>
          <t>medium</t>
        </is>
      </c>
      <c r="D37" s="11" t="inlineStr">
        <is>
          <t>greenhouse gas</t>
        </is>
      </c>
      <c r="E37" s="11" t="inlineStr">
        <is>
          <t>PDF p.62 (印刷頁 61)</t>
        </is>
      </c>
      <c r="F37" s="11" t="inlineStr">
        <is>
          <t>er any issue in sourcing water that is fit for purpose during the reporting period. The Group will continue to assess and record its greenhouse gas emissions and other environmental data annually and compare them with last year’s data to assist the Group in further developing emission reduction targets in the future. Packaging Materials Usage During the operation of retail outlets including “TenRen (天仁茗茶)”, “Nam Kok (南國小喫)” and “Chef Hung Taiwanese Beef Noodle (洪師父牛肉麵)”, the Group consumed several kinds of packaging materials i</t>
        </is>
      </c>
    </row>
    <row r="38">
      <c r="A38" s="8" t="inlineStr">
        <is>
          <t>ESG Data</t>
        </is>
      </c>
      <c r="B38" s="8" t="inlineStr">
        <is>
          <t>環境社會及管治數據</t>
        </is>
      </c>
      <c r="C38" s="8" t="inlineStr">
        <is>
          <t>medium</t>
        </is>
      </c>
      <c r="D38" s="11" t="inlineStr">
        <is>
          <t>carbon</t>
        </is>
      </c>
      <c r="E38" s="11" t="inlineStr">
        <is>
          <t>PDF p.63 (印刷頁 62)</t>
        </is>
      </c>
      <c r="F38" s="11" t="inlineStr">
        <is>
          <t>stage management, the Group utilises e-communication when interacting with the customers to reduce paper usage. Also, for minimising carbon footprint across the office, the Group promotes the use of e-statements for reducing paperwork. The Group’s business operation does not produce any hazardous waste. Environmental Protection and Reduction of Wastage Practices Apart from the energy saving measures in our business operations, we have broadened this idea to the offices and our employees. Employees are also given guidelines remi</t>
        </is>
      </c>
    </row>
    <row r="39">
      <c r="A39" s="8" t="inlineStr">
        <is>
          <t>ESG Data</t>
        </is>
      </c>
      <c r="B39" s="8" t="inlineStr">
        <is>
          <t>環境社會及管治數據</t>
        </is>
      </c>
      <c r="C39" s="8" t="inlineStr">
        <is>
          <t>medium</t>
        </is>
      </c>
      <c r="D39" s="11" t="inlineStr">
        <is>
          <t>ESG</t>
        </is>
      </c>
      <c r="E39" s="11" t="inlineStr">
        <is>
          <t>PDF p.64 (印刷頁 63)</t>
        </is>
      </c>
      <c r="F39" s="11" t="inlineStr">
        <is>
          <t>heading our climate strategy, setting the climate risk appetite statement and establishing the climate risk management approach. The ESG Working Group’s main role is to perform a risk assessment that aligns with our risk management framework, and provide updates on climate and sustainability initiatives to the Board on a regular basis, through a range of high-level risk reports, regulatory updates, presentations and deep dives. The climate risk across the Group’s business lines has been reviewed and countermeasures have been im</t>
        </is>
      </c>
    </row>
    <row r="40">
      <c r="A40" s="8" t="inlineStr">
        <is>
          <t>ESG Data</t>
        </is>
      </c>
      <c r="B40" s="8" t="inlineStr">
        <is>
          <t>環境社會及管治數據</t>
        </is>
      </c>
      <c r="C40" s="8" t="inlineStr">
        <is>
          <t>medium</t>
        </is>
      </c>
      <c r="D40" s="11" t="inlineStr">
        <is>
          <t>carbon</t>
        </is>
      </c>
      <c r="E40" s="11" t="inlineStr">
        <is>
          <t>PDF p.66 (印刷頁 65)</t>
        </is>
      </c>
      <c r="F40" s="11" t="inlineStr">
        <is>
          <t>uced if consumers Group has been shifting towards drinks and smaller shift the attitudes towards using less environmentally damaging carbon footprint healthier food and materials for containers for food and products. beverages. beverages. The Group had laid out the building blocks towards a lowcarbon economy, which aims to lower the market and reputational risk. As part of this commitment, the Group also seeks to reduce financing to carbon-intensive companies. Annual Report 2026 65</t>
        </is>
      </c>
    </row>
    <row r="41">
      <c r="A41" s="8" t="inlineStr">
        <is>
          <t>ESG Data</t>
        </is>
      </c>
      <c r="B41" s="8" t="inlineStr">
        <is>
          <t>環境社會及管治數據</t>
        </is>
      </c>
      <c r="C41" s="8" t="inlineStr">
        <is>
          <t>medium</t>
        </is>
      </c>
      <c r="D41" s="11" t="inlineStr">
        <is>
          <t>GHG emission</t>
        </is>
      </c>
      <c r="E41" s="11" t="inlineStr">
        <is>
          <t>PDF p.67 (印刷頁 66)</t>
        </is>
      </c>
      <c r="F41" s="11" t="inlineStr">
        <is>
          <t>sources raw materials and waste initiatives to improve operational efficiency management costs. efficiency and reduce energy • Lower GHG emissions and consumption. We will also upgrade resource waste. high-consumption equipment, where • Improve production efficiency appropriate, to enhance resources and environmental compliance. efficiency. In addition, the Group will • Enhance brand image and strengthen the monitoring of resources long-term competitiveness. use and improve recycling and water reuse practices across our operati</t>
        </is>
      </c>
    </row>
    <row r="42">
      <c r="A42" s="8" t="inlineStr">
        <is>
          <t>ESG Data</t>
        </is>
      </c>
      <c r="B42" s="8" t="inlineStr">
        <is>
          <t>環境社會及管治數據</t>
        </is>
      </c>
      <c r="C42" s="8" t="inlineStr">
        <is>
          <t>medium</t>
        </is>
      </c>
      <c r="D42" s="11" t="inlineStr">
        <is>
          <t>greenhouse gas</t>
        </is>
      </c>
      <c r="E42" s="11" t="inlineStr">
        <is>
          <t>PDF p.68 (印刷頁 67)</t>
        </is>
      </c>
      <c r="F42" s="11" t="inlineStr">
        <is>
          <t>to below 2°C. In contrast, the Limited Action scenario, represented by RCP 8.5, reflects a high-emissions pathway under which global greenhouse gas emissions continue to rise over time without stabilisation. 2. S: Short-term (1-3 years), M: Medium-term (3-5 years), and L: Long-term (more than 5 years) Annual Report 2026 67</t>
        </is>
      </c>
    </row>
    <row r="43">
      <c r="A43" s="8" t="inlineStr">
        <is>
          <t>ESG Data</t>
        </is>
      </c>
      <c r="B43" s="8" t="inlineStr">
        <is>
          <t>環境社會及管治數據</t>
        </is>
      </c>
      <c r="C43" s="8" t="inlineStr">
        <is>
          <t>medium</t>
        </is>
      </c>
      <c r="D43" s="11" t="inlineStr">
        <is>
          <t>greenhouse gas</t>
        </is>
      </c>
      <c r="E43" s="11" t="inlineStr">
        <is>
          <t>PDF p.69 (印刷頁 68)</t>
        </is>
      </c>
      <c r="F43" s="11" t="inlineStr">
        <is>
          <t>hicles (kg) 2.46 – – Nitrogen oxide (kg) 2.24 – – Respiratory suspended particles (kg) 0.17 – – Sulphur oxides (kg) 0.05 – – Table 1 Greenhouse Gas Emissions Percentage Indicators FY2026 FY2025 Change Total GHG emissions (tonnes CO2e) 1,349.92 1,517.25 –11.03% Total GHG emissions per floor area (tonnes CO2e/square feet) 0.030 0.011 +172.73% Total GHG emissions per employee (tonnes CO2e/employee) 2.22 2.41 –7.88% Scope 1 – Energy direct emissions (tonnes CO2e) 8.64 – – Scope 2 – Energy indirect emissions (tonnes CO2e) 1,269.92 1</t>
        </is>
      </c>
    </row>
    <row r="44">
      <c r="A44" s="8" t="inlineStr">
        <is>
          <t>ESG Data</t>
        </is>
      </c>
      <c r="B44" s="8" t="inlineStr">
        <is>
          <t>環境社會及管治數據</t>
        </is>
      </c>
      <c r="C44" s="8" t="inlineStr">
        <is>
          <t>medium</t>
        </is>
      </c>
      <c r="D44" s="11" t="inlineStr">
        <is>
          <t>greenhouse gas</t>
        </is>
      </c>
      <c r="E44" s="11" t="inlineStr">
        <is>
          <t>PDF p.72 (印刷頁 71)</t>
        </is>
      </c>
      <c r="F44" s="11" t="inlineStr">
        <is>
          <t>) is presented in carbon dioxide equivalent based on the reporting requirement of the EPD’s “Guidelines to Account for and Report on Greenhouse Gas Emissions and Removals for Buildings (Commercial, Residential or Institutional Purposes) in Hong Kong” issued by Electrical and Mechanical Services Department and Environmental Protection Department and the “Carbon Audit Toolkit for Small and Medium Enterprises in Hong Kong” published by the University of Hong Kong and City University of Hong Kong. 4. In table 3, the total energy co</t>
        </is>
      </c>
    </row>
    <row r="45">
      <c r="A45" s="8" t="inlineStr">
        <is>
          <t>ESG Data</t>
        </is>
      </c>
      <c r="B45" s="8" t="inlineStr">
        <is>
          <t>環境社會及管治數據</t>
        </is>
      </c>
      <c r="C45" s="8" t="inlineStr">
        <is>
          <t>medium</t>
        </is>
      </c>
      <c r="D45" s="11" t="inlineStr">
        <is>
          <t>ESG</t>
        </is>
      </c>
      <c r="E45" s="11" t="inlineStr">
        <is>
          <t>PDF p.74 (印刷頁 73)</t>
        </is>
      </c>
      <c r="F45" s="11" t="inlineStr">
        <is>
          <t>ENVIRONMENTAL, SOCIAL AND GOVERNANCE REPORT HKEX ESG REPORTING CODE CONTENT INDEX Aspects, General Disclosures and KPIs Description 2026 ESG Report A. Environmental Aspect A1: Emissions General Disclosure Information on: This report- Environment, (a) the policies; and pages 59 (b) compliance with relevant laws and regulations that have a significant impact on the issuer relating to air emissions, discharges into water and land, and generation of</t>
        </is>
      </c>
    </row>
    <row r="46">
      <c r="A46" s="8" t="inlineStr">
        <is>
          <t>ESG Data</t>
        </is>
      </c>
      <c r="B46" s="8" t="inlineStr">
        <is>
          <t>環境社會及管治數據</t>
        </is>
      </c>
      <c r="C46" s="8" t="inlineStr">
        <is>
          <t>medium</t>
        </is>
      </c>
      <c r="D46" s="11" t="inlineStr">
        <is>
          <t>energy consumption</t>
        </is>
      </c>
      <c r="E46" s="11" t="inlineStr">
        <is>
          <t>PDF p.75 (印刷頁 74)</t>
        </is>
      </c>
      <c r="F46" s="11" t="inlineStr">
        <is>
          <t>se of resources, including energy, This report- Environment, water and other raw materials. pages 59 KPI A2.1 Direct and/or indirect energy consumption by type (e.g. This report- Environment, electricity, gas or oil) in total (kWh in ’000s) and intensity (e.g. per pages 59 unit of production volume, per facility). This report- Performance Summary, pages 68 KPI A2.2 Water consumption in total and intensity (e.g. per unit of This report- Environment, production volume, per facility). pages 59 This report- Performance Summary, pag</t>
        </is>
      </c>
    </row>
    <row r="47">
      <c r="A47" s="8" t="inlineStr">
        <is>
          <t>ESG Data</t>
        </is>
      </c>
      <c r="B47" s="8" t="inlineStr">
        <is>
          <t>環境社會及管治數據</t>
        </is>
      </c>
      <c r="C47" s="8" t="inlineStr">
        <is>
          <t>medium</t>
        </is>
      </c>
      <c r="D47" s="11" t="inlineStr">
        <is>
          <t>ESG</t>
        </is>
      </c>
      <c r="E47" s="11" t="inlineStr">
        <is>
          <t>PDF p.76 (印刷頁 75)</t>
        </is>
      </c>
      <c r="F47" s="11" t="inlineStr">
        <is>
          <t>ENVIRONMENTAL, SOCIAL AND GOVERNANCE REPORT Aspects, General Disclosures and KPIs Description 2026 ESG Report Aspect A3 The Environment and Natural Resources General Disclosure Policies on minimising the issuer’s significant impact on the This report- Environment, environment and natural resources. pages 59 KPI A3.1 Description of the significant impacts of activities on the This report- Environment, environment and natural resources and the actions taken to pages 59 manage them. B. Social Empl</t>
        </is>
      </c>
    </row>
    <row r="48">
      <c r="A48" s="8" t="inlineStr">
        <is>
          <t>ESG Data</t>
        </is>
      </c>
      <c r="B48" s="8" t="inlineStr">
        <is>
          <t>環境社會及管治數據</t>
        </is>
      </c>
      <c r="C48" s="8" t="inlineStr">
        <is>
          <t>medium</t>
        </is>
      </c>
      <c r="D48" s="11" t="inlineStr">
        <is>
          <t>ESG</t>
        </is>
      </c>
      <c r="E48" s="11" t="inlineStr">
        <is>
          <t>PDF p.77 (印刷頁 76)</t>
        </is>
      </c>
      <c r="F48" s="11" t="inlineStr">
        <is>
          <t>ENVIRONMENTAL, SOCIAL AND GOVERNANCE REPORT Aspects, General Disclosures and KPIs Description 2026 ESG Report Aspect B2: Health and Safety General Disclosure Information on This report- Workplace, (a) the policies; and pages 55 (b) compliance with relevant laws and regulations that have a significant impact on the issuer relating to providing a safe working environment and protecting employees from occupational hazards. KPI B2.1 Number and rate of work-related fatalities occurred in each of Thi</t>
        </is>
      </c>
    </row>
    <row r="49">
      <c r="A49" s="8" t="inlineStr">
        <is>
          <t>ESG Data</t>
        </is>
      </c>
      <c r="B49" s="8" t="inlineStr">
        <is>
          <t>環境社會及管治數據</t>
        </is>
      </c>
      <c r="C49" s="8" t="inlineStr">
        <is>
          <t>medium</t>
        </is>
      </c>
      <c r="D49" s="11" t="inlineStr">
        <is>
          <t>ESG</t>
        </is>
      </c>
      <c r="E49" s="11" t="inlineStr">
        <is>
          <t>PDF p.78 (印刷頁 77)</t>
        </is>
      </c>
      <c r="F49" s="11" t="inlineStr">
        <is>
          <t>ENVIRONMENTAL, SOCIAL AND GOVERNANCE REPORT Aspects, General Disclosures and KPIs Description 2026 ESG Report Aspect B4: Labour Standard General Disclosure Information on: This report- Workplace, (a) the policies; and pages 55 (b) compliance with relevant laws and regulations that have a significant impact on the issuer relating to preventing child and forced labour. KPI B4.1 Description of measures to review employment practices to avoid This report- Workplace, child and forced labour. pages 5</t>
        </is>
      </c>
    </row>
    <row r="50">
      <c r="A50" s="8" t="inlineStr">
        <is>
          <t>ESG Data</t>
        </is>
      </c>
      <c r="B50" s="8" t="inlineStr">
        <is>
          <t>環境社會及管治數據</t>
        </is>
      </c>
      <c r="C50" s="8" t="inlineStr">
        <is>
          <t>medium</t>
        </is>
      </c>
      <c r="D50" s="11" t="inlineStr">
        <is>
          <t>ESG</t>
        </is>
      </c>
      <c r="E50" s="11" t="inlineStr">
        <is>
          <t>PDF p.79 (印刷頁 78)</t>
        </is>
      </c>
      <c r="F50" s="11" t="inlineStr">
        <is>
          <t>ENVIRONMENTAL, SOCIAL AND GOVERNANCE REPORT Aspects, General Disclosures and KPIs Description 2026 ESG Report Aspect B6: Product Responsibility General Disclosure Information on: This report- Marketplace, (a) the policies; and pages 53 (b) compliance with relevant laws and regulations that have a significant impact on the issuer relating to health and safety, advertising, labelling and privacy matters relating to products and services provided and methods of redress. KPI B6.1 Percentage of tota</t>
        </is>
      </c>
    </row>
    <row r="51">
      <c r="A51" s="8" t="inlineStr">
        <is>
          <t>ESG Data</t>
        </is>
      </c>
      <c r="B51" s="8" t="inlineStr">
        <is>
          <t>環境社會及管治數據</t>
        </is>
      </c>
      <c r="C51" s="8" t="inlineStr">
        <is>
          <t>medium</t>
        </is>
      </c>
      <c r="D51" s="11" t="inlineStr">
        <is>
          <t>ESG</t>
        </is>
      </c>
      <c r="E51" s="11" t="inlineStr">
        <is>
          <t>PDF p.80 (印刷頁 79)</t>
        </is>
      </c>
      <c r="F51" s="11" t="inlineStr">
        <is>
          <t>ENVIRONMENTAL, SOCIAL AND GOVERNANCE REPORT Aspects, General Disclosures and KPIs Description 2026 ESG Report Aspect B7: Anti-Corruption General Disclosure Information on: This report- Marketplace, (a) the policies; and pages 53 (b) compliance with relevant laws and regulations that have a significant impact on the issuer relating to bribery, extortion, fraud and money laundering. KPI B7.1 Number of concluded legal cases regarding corrupt practices This report- Marketplace, brought against the</t>
        </is>
      </c>
    </row>
    <row r="52">
      <c r="A52" s="8" t="inlineStr">
        <is>
          <t>ESG Data</t>
        </is>
      </c>
      <c r="B52" s="8" t="inlineStr">
        <is>
          <t>環境社會及管治數據</t>
        </is>
      </c>
      <c r="C52" s="8" t="inlineStr">
        <is>
          <t>medium</t>
        </is>
      </c>
      <c r="D52" s="11" t="inlineStr">
        <is>
          <t>ESG</t>
        </is>
      </c>
      <c r="E52" s="11" t="inlineStr">
        <is>
          <t>PDF p.81 (印刷頁 80)</t>
        </is>
      </c>
      <c r="F52" s="11" t="inlineStr">
        <is>
          <t>ENVIRONMENTAL, SOCIAL AND GOVERNANCE REPORT IMPLEMENTATION GUIDANCE FOR CLIMATE DISCLOSURES UNDER HKEX ESG REPORTING FRAMEWORK Climate-related Disclosures 2026 ESG Report Governance 19 An issuer shall disclose information about: (a) the governance body(s) (which can include a board, committee or equivalent body charged with governance) or individual(s) responsible for oversight of climate-related risks and opportunities. Specifically, the issuer shall identify that body(s) or individual(s) and disc</t>
        </is>
      </c>
    </row>
    <row r="53">
      <c r="A53" s="8" t="inlineStr">
        <is>
          <t>ESG Data</t>
        </is>
      </c>
      <c r="B53" s="8" t="inlineStr">
        <is>
          <t>環境社會及管治數據</t>
        </is>
      </c>
      <c r="C53" s="8" t="inlineStr">
        <is>
          <t>medium</t>
        </is>
      </c>
      <c r="D53" s="11" t="inlineStr">
        <is>
          <t>ESG</t>
        </is>
      </c>
      <c r="E53" s="11" t="inlineStr">
        <is>
          <t>PDF p.82 (印刷頁 81)</t>
        </is>
      </c>
      <c r="F53" s="11" t="inlineStr">
        <is>
          <t>ENVIRONMENTAL, SOCIAL AND GOVERNANCE REPORT Climate-related Disclosures 2026 ESG Report (b) An issuer shall disclose information about management’s role in the governance processes, controls and procedures used to monitor, manage and oversee climate-related risks and opportunities, including information about: (i) whether the role is delegated to a specific management-level position This report- Environmental, or management-level committee and how oversight is exercised ov</t>
        </is>
      </c>
    </row>
    <row r="54">
      <c r="A54" s="8" t="inlineStr">
        <is>
          <t>ESG Data</t>
        </is>
      </c>
      <c r="B54" s="8" t="inlineStr">
        <is>
          <t>環境社會及管治數據</t>
        </is>
      </c>
      <c r="C54" s="8" t="inlineStr">
        <is>
          <t>medium</t>
        </is>
      </c>
      <c r="D54" s="11" t="inlineStr">
        <is>
          <t>greenhouse gas</t>
        </is>
      </c>
      <c r="E54" s="11" t="inlineStr">
        <is>
          <t>PDF p.83 (印刷頁 82)</t>
        </is>
      </c>
      <c r="F54" s="11" t="inlineStr">
        <is>
          <t>e-related transition plan; (iv) how the issuer plans to achieve any climate-related targets (including This report- Environment, any greenhouse gas emissions targets (if any), described in accordance pages 59 with paragraphs 37 to 40; and (b) information about how the issuer is resourcing, and plans to resource, This report- Environment, the activities disclosed in accordance with paragraph 22(a). pages 59 82 B &amp; S International Holdings Ltd.</t>
        </is>
      </c>
    </row>
    <row r="55">
      <c r="A55" s="8" t="inlineStr">
        <is>
          <t>ESG Data</t>
        </is>
      </c>
      <c r="B55" s="8" t="inlineStr">
        <is>
          <t>環境社會及管治數據</t>
        </is>
      </c>
      <c r="C55" s="8" t="inlineStr">
        <is>
          <t>medium</t>
        </is>
      </c>
      <c r="D55" s="11" t="inlineStr">
        <is>
          <t>ESG</t>
        </is>
      </c>
      <c r="E55" s="11" t="inlineStr">
        <is>
          <t>PDF p.84 (印刷頁 83)</t>
        </is>
      </c>
      <c r="F55" s="11" t="inlineStr">
        <is>
          <t>ENVIRONMENTAL, SOCIAL AND GOVERNANCE REPORT Climate-related Disclosures 2026 ESG Report 23 An issuer shall disclose information about the progress of plans disclosed in This report- Environment, previous reporting periods in accordance with paragraph 22(a). pages 59 24 An issuer shall disclose qualitative and quantitative information about: (a) how climate-related risks and opportunities have affected its financial This report- Environment, position, financial performance</t>
        </is>
      </c>
    </row>
    <row r="56">
      <c r="A56" s="8" t="inlineStr">
        <is>
          <t>ESG Data</t>
        </is>
      </c>
      <c r="B56" s="8" t="inlineStr">
        <is>
          <t>環境社會及管治數據</t>
        </is>
      </c>
      <c r="C56" s="8" t="inlineStr">
        <is>
          <t>medium</t>
        </is>
      </c>
      <c r="D56" s="11" t="inlineStr">
        <is>
          <t>ESG</t>
        </is>
      </c>
      <c r="E56" s="11" t="inlineStr">
        <is>
          <t>PDF p.85 (印刷頁 84)</t>
        </is>
      </c>
      <c r="F56" s="11" t="inlineStr">
        <is>
          <t>ENVIRONMENTAL, SOCIAL AND GOVERNANCE REPORT Climate-related Disclosures 2026 ESG Report 26 An issuer shall disclose information that enables an understanding of the resilience of the issuer’s strategy and business model to climate-related changes, developments and uncertainties, taking into consideration the issuer’s identified climate-related risks and opportunities. An issuer shall use climate-related scenario analysis to assess its climate resilience using an approach t</t>
        </is>
      </c>
    </row>
    <row r="57">
      <c r="A57" s="8" t="inlineStr">
        <is>
          <t>ESG Data</t>
        </is>
      </c>
      <c r="B57" s="8" t="inlineStr">
        <is>
          <t>環境社會及管治數據</t>
        </is>
      </c>
      <c r="C57" s="8" t="inlineStr">
        <is>
          <t>medium</t>
        </is>
      </c>
      <c r="D57" s="11" t="inlineStr">
        <is>
          <t>ESG</t>
        </is>
      </c>
      <c r="E57" s="11" t="inlineStr">
        <is>
          <t>PDF p.86 (印刷頁 85)</t>
        </is>
      </c>
      <c r="F57" s="11" t="inlineStr">
        <is>
          <t>ENVIRONMENTAL, SOCIAL AND GOVERNANCE REPORT Climate-related Disclosures 2026 ESG Report (5) why the issuer decided that its chosen climate-related scenarios This report- Environment, are relevant to assessing its resilience to climate-related changes, pages 59 developments or uncertainties; (6) time horizons the issuer used in the analysis; and This report- Environment, pages 59 (7) what scope of operations the issuer used in the analysis (for example, This report- Environ</t>
        </is>
      </c>
    </row>
    <row r="58">
      <c r="A58" s="8" t="inlineStr">
        <is>
          <t>ESG Data</t>
        </is>
      </c>
      <c r="B58" s="8" t="inlineStr">
        <is>
          <t>環境社會及管治數據</t>
        </is>
      </c>
      <c r="C58" s="8" t="inlineStr">
        <is>
          <t>medium</t>
        </is>
      </c>
      <c r="D58" s="11" t="inlineStr">
        <is>
          <t>greenhouse gas</t>
        </is>
      </c>
      <c r="E58" s="11" t="inlineStr">
        <is>
          <t>PDF p.87 (印刷頁 86)</t>
        </is>
      </c>
      <c r="F58" s="11" t="inlineStr">
        <is>
          <t>ted into and inform the issuer’s overall risk management process. Metrics and Targets 28 An issuer shall disclose its absolute gross greenhouse gas emissions generated during the reporting period, expressed as metric tons of CO2 equivalent, classified as: (a) Scope 1 greenhouse gas emissions; This report- Performance Summary, pages 68 (b) Scope 2 greenhouse gas emissions; and This report- Performance Summary, pages 68 (c) Scope 3 greenhouse gas emissions This report- Performance Summary, pages 68 29 An issuer shall: (a) measure</t>
        </is>
      </c>
    </row>
    <row r="59">
      <c r="A59" s="8" t="inlineStr">
        <is>
          <t>ESG Data</t>
        </is>
      </c>
      <c r="B59" s="8" t="inlineStr">
        <is>
          <t>環境社會及管治數據</t>
        </is>
      </c>
      <c r="C59" s="8" t="inlineStr">
        <is>
          <t>medium</t>
        </is>
      </c>
      <c r="D59" s="11" t="inlineStr">
        <is>
          <t>greenhouse gas</t>
        </is>
      </c>
      <c r="E59" s="11" t="inlineStr">
        <is>
          <t>PDF p.88 (印刷頁 87)</t>
        </is>
      </c>
      <c r="F59" s="11" t="inlineStr">
        <is>
          <t>ts This report- Environment, and assumptions during the reporting period and the reasons for those pages 59 changes; (c) for Scope 2 greenhouse gas emissions disclosed in accordance with This report- Environment, paragraph 28(b), disclose its location-based Scope 2 greenhouse gas pages 59 emissions, and provide information about any contractual instruments that is necessary to enable an understanding of the issuer’s Scope 2 greenhouse gas emissions; and (d) for Scope 3 greenhouse gas emissions disclosed in accordance with This</t>
        </is>
      </c>
    </row>
    <row r="60">
      <c r="A60" s="8" t="inlineStr">
        <is>
          <t>ESG Data</t>
        </is>
      </c>
      <c r="B60" s="8" t="inlineStr">
        <is>
          <t>環境社會及管治數據</t>
        </is>
      </c>
      <c r="C60" s="8" t="inlineStr">
        <is>
          <t>medium</t>
        </is>
      </c>
      <c r="D60" s="11" t="inlineStr">
        <is>
          <t>greenhouse gas</t>
        </is>
      </c>
      <c r="E60" s="11" t="inlineStr">
        <is>
          <t>PDF p.89 (印刷頁 88)</t>
        </is>
      </c>
      <c r="F60" s="11" t="inlineStr">
        <is>
          <t>ogress towards achieving its strategic goals; and (b) any targets the issuer is required to meet by law or regulation, including any greenhouse gas emissions targets. For each target, the issuer shall disclose: (a) the metric used to set the target; To ensure full alignment with the latest regulatory (b) the objective of the target (for example, mitigation, adaptation or disclosure standards, conformance with science-based initiatives); the management is diligently defining the (c) the part of the issuer to which the target app</t>
        </is>
      </c>
    </row>
    <row r="61">
      <c r="A61" s="8" t="inlineStr">
        <is>
          <t>ESG Data</t>
        </is>
      </c>
      <c r="B61" s="8" t="inlineStr">
        <is>
          <t>環境社會及管治數據</t>
        </is>
      </c>
      <c r="C61" s="8" t="inlineStr">
        <is>
          <t>medium</t>
        </is>
      </c>
      <c r="D61" s="11" t="inlineStr">
        <is>
          <t>greenhouse gas</t>
        </is>
      </c>
      <c r="E61" s="11" t="inlineStr">
        <is>
          <t>PDF p.90 (印刷頁 89)</t>
        </is>
      </c>
      <c r="F61" s="11" t="inlineStr">
        <is>
          <t>climate-related target and an analysis of trends or changes in the issuer’s Social and Governance, performance. page 52 40 For each greenhouse gas emission targets disclosed in accordance with paragraphs 37 to 39, an issuer shall disclose: (a) which greenhouse gases are covered by the target; As our overall target framework is still being (b) whether Scope 1, Scope 2 or Scope 3 greenhouse gas emissions are refined, the specific covered by the target; technical parameters of our GHG targets (c) whether the target is a gross gre</t>
        </is>
      </c>
    </row>
    <row r="62">
      <c r="A62" s="8" t="inlineStr">
        <is>
          <t>ESG Data</t>
        </is>
      </c>
      <c r="B62" s="8" t="inlineStr">
        <is>
          <t>環境社會及管治數據</t>
        </is>
      </c>
      <c r="C62" s="8" t="inlineStr">
        <is>
          <t>medium</t>
        </is>
      </c>
      <c r="D62" s="11" t="inlineStr">
        <is>
          <t>greenhouse gas</t>
        </is>
      </c>
      <c r="E62" s="11" t="inlineStr">
        <is>
          <t>PDF p.91 (印刷頁 90)</t>
        </is>
      </c>
      <c r="F62" s="11" t="inlineStr">
        <is>
          <t>L, SOCIAL AND GOVERNANCE REPORT Climate-related Disclosures 2026 ESG Report (e) the issuer’s planned use of carbon credits to offset greenhouse gas emissions to achieve any net greenhouse gas emissions target. In explaining its planned use of carbon credits, the issuer shall disclose: (i) the extent to which, and how, achieving any net greenhouse gas We have not purchased emissions target relies on the use of carbon credits; carbon credits to offset our emissions to date. (ii) which third-party scheme(s) will verify or certify</t>
        </is>
      </c>
    </row>
    <row r="63">
      <c r="A63" s="8" t="inlineStr">
        <is>
          <t>R&amp;D Expenditure</t>
        </is>
      </c>
      <c r="B63" s="8" t="inlineStr">
        <is>
          <t>研發開支</t>
        </is>
      </c>
      <c r="C63" s="8" t="inlineStr">
        <is>
          <t>medium</t>
        </is>
      </c>
      <c r="D63" s="11" t="inlineStr">
        <is>
          <t>research and development</t>
        </is>
      </c>
      <c r="E63" s="11" t="inlineStr">
        <is>
          <t>PDF p.67 (印刷頁 66)</t>
        </is>
      </c>
      <c r="F63" s="11" t="inlineStr">
        <is>
          <t>onses to the opportunities Product Medium • Capture demand for low- The Group will continue to strengthen the carbon and sustainable research and development capabilities products. and promote product innovation. We • Enhance product differentiation will explore the development of lowand market competitiveness. carbon products and increase the use of • Strengthen customer loyalty sustainable materials, where practicable. and brand value. Energy and Long • Reduce energy, water, The Group will implement energy-saving resources</t>
        </is>
      </c>
    </row>
    <row r="64">
      <c r="A64" s="8" t="inlineStr">
        <is>
          <t>Segment Information</t>
        </is>
      </c>
      <c r="B64" s="8" t="inlineStr">
        <is>
          <t>分部資料</t>
        </is>
      </c>
      <c r="C64" s="8" t="inlineStr">
        <is>
          <t>medium</t>
        </is>
      </c>
      <c r="D64" s="11" t="inlineStr">
        <is>
          <t>geographical</t>
        </is>
      </c>
      <c r="E64" s="11" t="inlineStr">
        <is>
          <t>PDF p.70 (印刷頁 69)</t>
        </is>
      </c>
      <c r="F64" s="11" t="inlineStr">
        <is>
          <t>up – Between 18 and 35 436 (72%) 490 (77%) -11.02% – Between 36 and 55 137 (22%) 91 (14%) +50.55% – Above 56 35 (6%) 57 (9%) -38.60% Geographical region – Hong Kong 608 (100%) 638 (100%) -4.70% Table 6 Annual Report 2026 69</t>
        </is>
      </c>
    </row>
    <row r="65">
      <c r="A65" s="8" t="inlineStr">
        <is>
          <t>Segment Information</t>
        </is>
      </c>
      <c r="B65" s="8" t="inlineStr">
        <is>
          <t>分部資料</t>
        </is>
      </c>
      <c r="C65" s="8" t="inlineStr">
        <is>
          <t>medium</t>
        </is>
      </c>
      <c r="D65" s="11" t="inlineStr">
        <is>
          <t>geographical</t>
        </is>
      </c>
      <c r="E65" s="11" t="inlineStr">
        <is>
          <t>PDF p.71 (印刷頁 70)</t>
        </is>
      </c>
      <c r="F65" s="11" t="inlineStr">
        <is>
          <t>Female 104% 117% –15 pp Age Group – Between 18 and 35 142% 140% +12 pp – Between 36 and 55 32% 94% –62 pp – Above 56 23% 51% –23 pp Geographical region – Hong Kong 110% 127% -17 pp Table 7 Training FY2026 FY2025 Percentage of Average Percentage of Average Employees Training Employees Training Category Trained Hours Trained Hours Total 6% 0.50 46% 3.65 Gender – Male 37% 0.66 30% 3.52 – Female 63% 0.44 70% 3.71 Employee Category – Senior management 18% 5.09 2% 5.09 – Middle management – – – – – General employees 82% 0.42 98% 3.9</t>
        </is>
      </c>
    </row>
    <row r="66">
      <c r="A66" s="8" t="inlineStr">
        <is>
          <t>Segment Information</t>
        </is>
      </c>
      <c r="B66" s="8" t="inlineStr">
        <is>
          <t>分部資料</t>
        </is>
      </c>
      <c r="C66" s="8" t="inlineStr">
        <is>
          <t>medium</t>
        </is>
      </c>
      <c r="D66" s="11" t="inlineStr">
        <is>
          <t>geographical</t>
        </is>
      </c>
      <c r="E66" s="11" t="inlineStr">
        <is>
          <t>PDF p.72 (印刷頁 71)</t>
        </is>
      </c>
      <c r="F66" s="11" t="inlineStr">
        <is>
          <t>tion Completed Directors 7 56 7 56 Employees 1 8 0 0 Total 8 64 7 56 Table 9 Supplier Distribution FY2026 FY2025 Number of Number of Geographical Region Suppliers Suppliers Hong Kong 826 1,885 PRC 75 90 Taiwan 126 197 Others (Italy, Vietnam, Spain etc.) 79 114 Total 1,106 2,286 Table 10 Notes: 1. In table 1, the Group purchased new vehicles during the reporting period. We will continue to monitor emissions from vehicle operations and implement measures to improve environmental performance. 2. The largest component of GHG emissi</t>
        </is>
      </c>
    </row>
    <row r="67">
      <c r="A67" s="8" t="inlineStr">
        <is>
          <t>Segment Information</t>
        </is>
      </c>
      <c r="B67" s="8" t="inlineStr">
        <is>
          <t>分部資料</t>
        </is>
      </c>
      <c r="C67" s="8" t="inlineStr">
        <is>
          <t>medium</t>
        </is>
      </c>
      <c r="D67" s="11" t="inlineStr">
        <is>
          <t>geographical</t>
        </is>
      </c>
      <c r="E67" s="11" t="inlineStr">
        <is>
          <t>PDF p.73 (印刷頁 72)</t>
        </is>
      </c>
      <c r="F67" s="11" t="inlineStr">
        <is>
          <t>.70% in FY2026 as compared to the same in FY2025. 8. In table 7, the total turnover and employee turnover per gender, age group, and geographical region are calculated by dividing by the number of total employees and the total number of employees of the specified category, respectively. 9. In table 8, the percentage per employees trained by gender and employee category is obtained by dividing by the number of employees who took part in training. Whereas the total number of employees trained is calculated by dividing by the tota</t>
        </is>
      </c>
    </row>
    <row r="68">
      <c r="A68" s="8" t="inlineStr">
        <is>
          <t>Segment Information</t>
        </is>
      </c>
      <c r="B68" s="8" t="inlineStr">
        <is>
          <t>分部資料</t>
        </is>
      </c>
      <c r="C68" s="8" t="inlineStr">
        <is>
          <t>medium</t>
        </is>
      </c>
      <c r="D68" s="11" t="inlineStr">
        <is>
          <t>geographical</t>
        </is>
      </c>
      <c r="E68" s="11" t="inlineStr">
        <is>
          <t>PDF p.76 (印刷頁 75)</t>
        </is>
      </c>
      <c r="F68" s="11" t="inlineStr">
        <is>
          <t>lfare. KPI B1.1 Total workforce by gender, employment type (for example, full- This report- Performance or part-time), age group and geographical region. Summary, pages 68 KPI B1.2 Employee turnover rate by gender, age group and geographical This report- Performance region. Summary, pages 68 Annual Report 2026 75</t>
        </is>
      </c>
    </row>
    <row r="69">
      <c r="A69" s="8" t="inlineStr">
        <is>
          <t>Segment Information</t>
        </is>
      </c>
      <c r="B69" s="8" t="inlineStr">
        <is>
          <t>分部資料</t>
        </is>
      </c>
      <c r="C69" s="8" t="inlineStr">
        <is>
          <t>medium</t>
        </is>
      </c>
      <c r="D69" s="11" t="inlineStr">
        <is>
          <t>geographical</t>
        </is>
      </c>
      <c r="E69" s="11" t="inlineStr">
        <is>
          <t>PDF p.78 (印刷頁 77)</t>
        </is>
      </c>
      <c r="F69" s="11" t="inlineStr">
        <is>
          <t>s on managing environmental and social risks of the supply This report- Marketplace, chain. pages 53 KPI B5.1 Number of suppliers by geographical region. This report- Performance Summary, pages 68 KPI B5.2 Description of practices relating to engaging suppliers, number This report- Marketplace, of suppliers where the practices are being implemented, and how pages 53 they are implemented and monitored. KPI B5.3 Description of practices used to identify environmental and This report- Marketplace, social risks along the supply cha</t>
        </is>
      </c>
    </row>
    <row r="70">
      <c r="A70" s="8" t="inlineStr">
        <is>
          <t>Segment Information</t>
        </is>
      </c>
      <c r="B70" s="8" t="inlineStr">
        <is>
          <t>分部資料</t>
        </is>
      </c>
      <c r="C70" s="8" t="inlineStr">
        <is>
          <t>medium</t>
        </is>
      </c>
      <c r="D70" s="11" t="inlineStr">
        <is>
          <t>geographical</t>
        </is>
      </c>
      <c r="E70" s="11" t="inlineStr">
        <is>
          <t>PDF p.83 (印刷頁 82)</t>
        </is>
      </c>
      <c r="F70" s="11" t="inlineStr">
        <is>
          <t>ness model and value chain This report- Environment, climate related risks and opportunities are concentrated (for example, pages 59 geographical areas, facilities and types of assets). 22 An issuer shall disclose information that enables an understanding of the effects of climate-related risks and opportunities on its strategy and decision-making. Specifically, the issuer shall disclose: (a) information about how the issuer has responded to, and plans to respond to, climate-related risks and opportunities in its strategy and d</t>
        </is>
      </c>
    </row>
    <row r="71">
      <c r="A71" s="8" t="inlineStr">
        <is>
          <t>Segment Information</t>
        </is>
      </c>
      <c r="B71" s="8" t="inlineStr">
        <is>
          <t>分部資料</t>
        </is>
      </c>
      <c r="C71" s="8" t="inlineStr">
        <is>
          <t>medium</t>
        </is>
      </c>
      <c r="D71" s="11" t="inlineStr">
        <is>
          <t>operating segment</t>
        </is>
      </c>
      <c r="E71" s="11" t="inlineStr">
        <is>
          <t>PDF p.93 (印刷頁 92)</t>
        </is>
      </c>
      <c r="F71" s="11" t="inlineStr">
        <is>
          <t>cipally engaged in the distribution and retail of food and beverage products. An analysis of our Group’s performance for the year by operating segments is set out in Note 5 to the consolidated financial statements. RESULTS AND APPROPRIATIONS The results of our Group for the year ended 31 March 2026 are set out in the consolidated statement of comprehensive income on page 107 of this annual report. The Board recommended the declaration and payment of a final dividend of HK2.5 cents per Share (the “Final Dividend”) and a special</t>
        </is>
      </c>
    </row>
    <row r="72">
      <c r="A72" s="8" t="inlineStr">
        <is>
          <t>Segment Information</t>
        </is>
      </c>
      <c r="B72" s="8" t="inlineStr">
        <is>
          <t>分部資料</t>
        </is>
      </c>
      <c r="C72" s="8" t="inlineStr">
        <is>
          <t>medium</t>
        </is>
      </c>
      <c r="D72" s="11" t="inlineStr">
        <is>
          <t>segment information</t>
        </is>
      </c>
      <c r="E72" s="11" t="inlineStr">
        <is>
          <t>PDF p.124 (印刷頁 123)</t>
        </is>
      </c>
      <c r="F72" s="11" t="inlineStr">
        <is>
          <t>the net present value used in the impairment test and as a result affect the Group’s financial position and results of operations. 5 SEGMENT INFORMATION The chief operating decision-maker has been identified as the Executive Directors of the Group (collectively referred to as the “CODM”) that make strategic decisions. The CODM reviews the internal reporting of the Group in order to assess performance and allocate resources. The Group is principally engaged in Distribution Business and Retail Business in Hong Kong. The Executive</t>
        </is>
      </c>
    </row>
    <row r="73">
      <c r="A73" s="8" t="inlineStr">
        <is>
          <t>Segment Information</t>
        </is>
      </c>
      <c r="B73" s="8" t="inlineStr">
        <is>
          <t>分部資料</t>
        </is>
      </c>
      <c r="C73" s="8" t="inlineStr">
        <is>
          <t>medium</t>
        </is>
      </c>
      <c r="D73" s="11" t="inlineStr">
        <is>
          <t>segment information</t>
        </is>
      </c>
      <c r="E73" s="11" t="inlineStr">
        <is>
          <t>PDF p.125 (印刷頁 124)</t>
        </is>
      </c>
      <c r="F73" s="11" t="inlineStr">
        <is>
          <t>NOTES TO THE CONSOLIDATED FINANCIAL STATEMENTS For the year ended 31 March 2026 5 SEGMENT INFORMATION (Continued) The segment information provided to the CODM for the reportable segments for the years ended 31 March 2026 and 2025 is as follows: For the year ended 31 March 2026 Distribution Retail Business Business Total HK$’000 HK$’000 HK$’000 Segment revenue - recognised at a point in time 252,749 252,656 505,405 Segment results 54,227 8,911 63,138 Corporate expenses (note(a))</t>
        </is>
      </c>
    </row>
    <row r="74">
      <c r="A74" s="8" t="inlineStr">
        <is>
          <t>Segment Information</t>
        </is>
      </c>
      <c r="B74" s="8" t="inlineStr">
        <is>
          <t>分部資料</t>
        </is>
      </c>
      <c r="C74" s="8" t="inlineStr">
        <is>
          <t>medium</t>
        </is>
      </c>
      <c r="D74" s="11" t="inlineStr">
        <is>
          <t>segment information</t>
        </is>
      </c>
      <c r="E74" s="11" t="inlineStr">
        <is>
          <t>PDF p.126 (印刷頁 125)</t>
        </is>
      </c>
      <c r="F74" s="11" t="inlineStr">
        <is>
          <t>NOTES TO THE CONSOLIDATED FINANCIAL STATEMENTS For the year ended 31 March 2026 5 SEGMENT INFORMATION (Continued) The segment information provided to the CODM for the reportable segments for the years ended 31 March 2026 and 2025 is as follows: (Continued) For the year ended 31 March 2025 Distribution Retail Business Business Total HK$’000 HK$’000 HK$’000 Segment revenue - recognised at a point in time 260,523 244,225 504,748 Segment results 60,461 6,590 67,051 Corporate expens</t>
        </is>
      </c>
    </row>
    <row r="75">
      <c r="A75" s="8" t="inlineStr">
        <is>
          <t>Segment Information</t>
        </is>
      </c>
      <c r="B75" s="8" t="inlineStr">
        <is>
          <t>分部資料</t>
        </is>
      </c>
      <c r="C75" s="8" t="inlineStr">
        <is>
          <t>medium</t>
        </is>
      </c>
      <c r="D75" s="11" t="inlineStr">
        <is>
          <t>segment information</t>
        </is>
      </c>
      <c r="E75" s="11" t="inlineStr">
        <is>
          <t>PDF p.127 (印刷頁 126)</t>
        </is>
      </c>
      <c r="F75" s="11" t="inlineStr">
        <is>
          <t>NOTES TO THE CONSOLIDATED FINANCIAL STATEMENTS For the year ended 31 March 2026 5 SEGMENT INFORMATION (Continued) The segment assets as at 31 March 2026 and 2025 and the reconciliation to the total assets are as follows: As at 31 March 2026 Distribution Retail Business Business Total HK$’000 HK$’000 HK$’000 Total segment assets 79,299 72,470 151,769 Total segment assets include: Additions to non-current assets (other than financial instruments and deferred income tax assets) 72</t>
        </is>
      </c>
    </row>
    <row r="76">
      <c r="A76" s="8" t="inlineStr">
        <is>
          <t>Segment Information</t>
        </is>
      </c>
      <c r="B76" s="8" t="inlineStr">
        <is>
          <t>分部資料</t>
        </is>
      </c>
      <c r="C76" s="8" t="inlineStr">
        <is>
          <t>medium</t>
        </is>
      </c>
      <c r="D76" s="11" t="inlineStr">
        <is>
          <t>segment information</t>
        </is>
      </c>
      <c r="E76" s="11" t="inlineStr">
        <is>
          <t>PDF p.128 (印刷頁 127)</t>
        </is>
      </c>
      <c r="F76" s="11" t="inlineStr">
        <is>
          <t>NOTES TO THE CONSOLIDATED FINANCIAL STATEMENTS For the year ended 31 March 2026 5 SEGMENT INFORMATION (Continued) Reconciliation of total segment assets to total assets is provided as follows: 2026 2025 HK$’000 HK$’000 Total segment assets 151,769 163,597 Unallocated: Deferred income tax assets 7,371 7,886 Deposit and other assets 4,833 4,798 Income tax refundable 1,457 1,561 Restricted cash 30,000 30,000 Cash and cash equivalents 42,488 55,384 Total assets 237,918 263,226 The</t>
        </is>
      </c>
    </row>
    <row r="77">
      <c r="A77" s="8" t="inlineStr">
        <is>
          <t>Segment Information</t>
        </is>
      </c>
      <c r="B77" s="8" t="inlineStr">
        <is>
          <t>分部資料</t>
        </is>
      </c>
      <c r="C77" s="8" t="inlineStr">
        <is>
          <t>medium</t>
        </is>
      </c>
      <c r="D77" s="11" t="inlineStr">
        <is>
          <t>segment information</t>
        </is>
      </c>
      <c r="E77" s="11" t="inlineStr">
        <is>
          <t>PDF p.129 (印刷頁 128)</t>
        </is>
      </c>
      <c r="F77" s="11" t="inlineStr">
        <is>
          <t>NOTES TO THE CONSOLIDATED FINANCIAL STATEMENTS For the year ended 31 March 2026 5 SEGMENT INFORMATION (Continued) Reconciliation of total segment liabilities to total liabilities is provided as follows: 2026 2025 HK$’000 HK$’000 Total segment liabilities 78,778 99,471 Unallocated: Other payables 801 1,484 Income tax payable – 303 Bank borrowings 4,000 4,000 Total liabilities 83,579 105,258 Note: (a) Corporate expenses mainly included employee benefit expenses, depreciation of p</t>
        </is>
      </c>
    </row>
    <row r="78">
      <c r="A78" s="8" t="inlineStr">
        <is>
          <t>Segment Information</t>
        </is>
      </c>
      <c r="B78" s="8" t="inlineStr">
        <is>
          <t>分部資料</t>
        </is>
      </c>
      <c r="C78" s="8" t="inlineStr">
        <is>
          <t>medium</t>
        </is>
      </c>
      <c r="D78" s="11" t="inlineStr">
        <is>
          <t>operating segment</t>
        </is>
      </c>
      <c r="E78" s="11" t="inlineStr">
        <is>
          <t>PDF p.169 (印刷頁 168)</t>
        </is>
      </c>
      <c r="F78" s="11" t="inlineStr">
        <is>
          <t>NTS For the year ended 31 March 2026 34 SUMMARY OF OTHER POTENTIALLY MATERIAL ACCOUNTING POLICIES (Continued) 34.2 Segment reporting Operating segments are reported in a manner consistent with the internal reporting provided to the chief operating decision-makers. The chief operating decision-makers, who are responsible for allocating resources and assessing performance of the operating segments has been identified as the Executive Directors who make strategic decisions. 34.3 Foreign currency translation (a) Functional and pres</t>
        </is>
      </c>
    </row>
    <row r="79">
      <c r="A79" s="8" t="inlineStr">
        <is>
          <t>Share-based Payment</t>
        </is>
      </c>
      <c r="B79" s="8" t="inlineStr">
        <is>
          <t>以股份為基礎的付款</t>
        </is>
      </c>
      <c r="C79" s="8" t="inlineStr">
        <is>
          <t>medium</t>
        </is>
      </c>
      <c r="D79" s="11" t="inlineStr">
        <is>
          <t>share option</t>
        </is>
      </c>
      <c r="E79" s="11" t="inlineStr">
        <is>
          <t>PDF p.95 (印刷頁 94)</t>
        </is>
      </c>
      <c r="F79" s="11" t="inlineStr">
        <is>
          <t>listed securities (including treasury Shares, if any) during the year ended 31 March 2026 and up to the date of this annual report. SHARE OPTION SCHEME Our Company has adopted a share option scheme (the “Share Option Scheme”) on 12 February 2018. The total number of Shares which may be issued upon exercise of all options to be granted under the Share Option Scheme shall not in aggregate exceed 40,000,000 Shares, representing 10% of the total number of issued Shares (excluding treasury Shares, if any) as at the date of this ann</t>
        </is>
      </c>
    </row>
    <row r="80">
      <c r="A80" s="8" t="inlineStr">
        <is>
          <t>Share-based Payment</t>
        </is>
      </c>
      <c r="B80" s="8" t="inlineStr">
        <is>
          <t>以股份為基礎的付款</t>
        </is>
      </c>
      <c r="C80" s="8" t="inlineStr">
        <is>
          <t>medium</t>
        </is>
      </c>
      <c r="D80" s="11" t="inlineStr">
        <is>
          <t>share option</t>
        </is>
      </c>
      <c r="E80" s="11" t="inlineStr">
        <is>
          <t>PDF p.96 (印刷頁 95)</t>
        </is>
      </c>
      <c r="F80" s="11" t="inlineStr">
        <is>
          <t>an eligible participant within 21 days from the date of the offer of grant of the option. The subscription price per Share under the Share Option Scheme shall be determined at the absolute discretion of our Directors, provided that it shall not be less than the highest of (i) the closing price of the Shares as stated in the Stock Exchange’s daily quotations sheet on the date on which the offer for the grant of option is made, which must be a Business Day; (ii) the average closing price of the Shares as stated in the Stock Excha</t>
        </is>
      </c>
    </row>
    <row r="81">
      <c r="A81" s="8" t="inlineStr">
        <is>
          <t>Related Party Transactions</t>
        </is>
      </c>
      <c r="B81" s="8" t="inlineStr">
        <is>
          <t>關聯方交易</t>
        </is>
      </c>
      <c r="C81" s="8" t="inlineStr">
        <is>
          <t>low</t>
        </is>
      </c>
      <c r="D81" s="11" t="inlineStr">
        <is>
          <t>connected transaction</t>
        </is>
      </c>
      <c r="E81" s="11" t="inlineStr">
        <is>
          <t>PDF p.100 (印刷頁 99)</t>
        </is>
      </c>
      <c r="F81" s="11" t="inlineStr">
        <is>
          <t>any or any of its subsidiaries by the Company’s controlling shareholders or their subsidiaries, during the year ended 31 March 2026. CONNECTED TRANSACTIONS Apart from the following connected transactions, there were no other transactions which need to be disclosed as connected transactions in accordance with the Listing Rules. Annual Report 2026 99</t>
        </is>
      </c>
    </row>
    <row r="82">
      <c r="A82" s="8" t="inlineStr">
        <is>
          <t>Related Party Transactions</t>
        </is>
      </c>
      <c r="B82" s="8" t="inlineStr">
        <is>
          <t>關聯方交易</t>
        </is>
      </c>
      <c r="C82" s="8" t="inlineStr">
        <is>
          <t>low</t>
        </is>
      </c>
      <c r="D82" s="11" t="inlineStr">
        <is>
          <t>related party</t>
        </is>
      </c>
      <c r="E82" s="11" t="inlineStr">
        <is>
          <t>PDF p.101 (印刷頁 100)</t>
        </is>
      </c>
      <c r="F82" s="11" t="inlineStr">
        <is>
          <t>ings) paid by our Group was approximately HK$8.0 million. The transactions contemplated under the Tenancy Agreements also constitute related party transactions of our Company under HKFRS, details of which are set out in Note 31 to the consolidated financial statements. RELATED PARTY TRANSACTIONS Details of related party transactions undertaken in the normal course of business of the Group are provided under Note 31 to the consolidated financial statements. Save for the connected transactions as set out in the paragraph headed “</t>
        </is>
      </c>
    </row>
    <row r="83">
      <c r="A83" s="8" t="inlineStr">
        <is>
          <t>Related Party Transactions</t>
        </is>
      </c>
      <c r="B83" s="8" t="inlineStr">
        <is>
          <t>關聯方交易</t>
        </is>
      </c>
      <c r="C83" s="8" t="inlineStr">
        <is>
          <t>low</t>
        </is>
      </c>
      <c r="D83" s="11" t="inlineStr">
        <is>
          <t>related party</t>
        </is>
      </c>
      <c r="E83" s="11" t="inlineStr">
        <is>
          <t>PDF p.160 (印刷頁 159)</t>
        </is>
      </c>
      <c r="F83" s="11" t="inlineStr">
        <is>
          <t>NOTES TO THE CONSOLIDATED FINANCIAL STATEMENTS For the year ended 31 March 2026 31 RELATED PARTY TRANSACTIONS As at 31 March 2026, the major shareholders of the Company are ACAC Investment Limited, SCSC Holdings Limited and CCST investment Limited, which owned 25%, 25% and 25% of the Company’s issued shares respectively. The ultimate controlling parties of the Group are Mr. Chan Kam Chuen, Andrew, Mr. Chan Siu Cheung, Stephan and Mr. Chau Wing Kong, William, the directors of the</t>
        </is>
      </c>
    </row>
    <row r="84">
      <c r="A84" s="8" t="inlineStr">
        <is>
          <t>Related Party Transactions</t>
        </is>
      </c>
      <c r="B84" s="8" t="inlineStr">
        <is>
          <t>關聯方交易</t>
        </is>
      </c>
      <c r="C84" s="8" t="inlineStr">
        <is>
          <t>low</t>
        </is>
      </c>
      <c r="D84" s="11" t="inlineStr">
        <is>
          <t>related party</t>
        </is>
      </c>
      <c r="E84" s="11" t="inlineStr">
        <is>
          <t>PDF p.161 (印刷頁 160)</t>
        </is>
      </c>
      <c r="F84" s="11" t="inlineStr">
        <is>
          <t>NOTES TO THE CONSOLIDATED FINANCIAL STATEMENTS For the year ended 31 March 2026 31 RELATED PARTY TRANSACTIONS (Continued) (b) Transactions with related parties In addition to those disclosed elsewhere in the consolidated financial statements, the Group had the following transactions with related parties: 2026 2025 HK$’000 HK$’000 Operating lease rental paid to a related party – Best Source Enterprise Limited 8,049 8,049 Sales of goods and rental expenses and income were based 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2"/>
  <sheetViews>
    <sheetView workbookViewId="0">
      <pane ySplit="29" topLeftCell="A30"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Balance Sheet</t>
        </is>
      </c>
      <c r="B8" s="8" t="inlineStr">
        <is>
          <t>Total Assets</t>
        </is>
      </c>
    </row>
    <row r="9">
      <c r="A9" s="8" t="inlineStr">
        <is>
          <t>Balance Sheet</t>
        </is>
      </c>
      <c r="B9" s="8" t="inlineStr">
        <is>
          <t>Total Current Assets</t>
        </is>
      </c>
    </row>
    <row r="10">
      <c r="A10" s="8" t="inlineStr">
        <is>
          <t>Balance Sheet</t>
        </is>
      </c>
      <c r="B10" s="8" t="inlineStr">
        <is>
          <t>Cash and Equivalents</t>
        </is>
      </c>
    </row>
    <row r="11">
      <c r="A11" s="8" t="inlineStr">
        <is>
          <t>Balance Sheet</t>
        </is>
      </c>
      <c r="B11" s="8" t="inlineStr">
        <is>
          <t>Inventories</t>
        </is>
      </c>
    </row>
    <row r="12">
      <c r="A12" s="8" t="inlineStr">
        <is>
          <t>Balance Sheet</t>
        </is>
      </c>
      <c r="B12" s="8" t="inlineStr">
        <is>
          <t>Trade Receivables</t>
        </is>
      </c>
    </row>
    <row r="13">
      <c r="A13" s="8" t="inlineStr">
        <is>
          <t>Balance Sheet</t>
        </is>
      </c>
      <c r="B13" s="8" t="inlineStr">
        <is>
          <t>Goodwill</t>
        </is>
      </c>
    </row>
    <row r="14">
      <c r="A14" s="8" t="inlineStr">
        <is>
          <t>Balance Sheet</t>
        </is>
      </c>
      <c r="B14" s="8" t="inlineStr">
        <is>
          <t>Intangible Assets</t>
        </is>
      </c>
    </row>
    <row r="15">
      <c r="A15" s="8" t="inlineStr">
        <is>
          <t>Balance Sheet</t>
        </is>
      </c>
      <c r="B15" s="8" t="inlineStr">
        <is>
          <t>Investment Properties</t>
        </is>
      </c>
    </row>
    <row r="16">
      <c r="A16" s="8" t="inlineStr">
        <is>
          <t>Balance Sheet</t>
        </is>
      </c>
      <c r="B16" s="8" t="inlineStr">
        <is>
          <t>Property Plant and Equipment</t>
        </is>
      </c>
    </row>
    <row r="17">
      <c r="A17" s="8" t="inlineStr">
        <is>
          <t>Balance Sheet</t>
        </is>
      </c>
      <c r="B17" s="8" t="inlineStr">
        <is>
          <t>Total Liabilities</t>
        </is>
      </c>
    </row>
    <row r="18">
      <c r="A18" s="8" t="inlineStr">
        <is>
          <t>Balance Sheet</t>
        </is>
      </c>
      <c r="B18" s="8" t="inlineStr">
        <is>
          <t>Total Current Liabilities</t>
        </is>
      </c>
    </row>
    <row r="19">
      <c r="A19" s="8" t="inlineStr">
        <is>
          <t>Balance Sheet</t>
        </is>
      </c>
      <c r="B19" s="8" t="inlineStr">
        <is>
          <t>Borrowings</t>
        </is>
      </c>
    </row>
    <row r="20">
      <c r="A20" s="8" t="inlineStr">
        <is>
          <t>Balance Sheet</t>
        </is>
      </c>
      <c r="B20" s="8" t="inlineStr">
        <is>
          <t>Total Equity</t>
        </is>
      </c>
    </row>
    <row r="21">
      <c r="A21" s="8" t="inlineStr">
        <is>
          <t>Cash Flow</t>
        </is>
      </c>
      <c r="B21" s="8" t="inlineStr">
        <is>
          <t>Investing Cash Flow</t>
        </is>
      </c>
    </row>
    <row r="22">
      <c r="A22" s="8" t="inlineStr">
        <is>
          <t>Cash Flow</t>
        </is>
      </c>
      <c r="B22" s="8" t="inlineStr">
        <is>
          <t>Financing Cash Flow</t>
        </is>
      </c>
    </row>
    <row r="23">
      <c r="A23" s="8" t="inlineStr">
        <is>
          <t>Cash Flow</t>
        </is>
      </c>
      <c r="B23" s="8" t="inlineStr">
        <is>
          <t>Capital Expenditure</t>
        </is>
      </c>
    </row>
    <row r="26">
      <c r="A26" s="5" t="inlineStr">
        <is>
          <t>二、文字量過低的頁面(疑似掃描頁)</t>
        </is>
      </c>
    </row>
    <row r="27">
      <c r="A27" s="2" t="inlineStr">
        <is>
          <t>這些頁面幾乎抓不到文字,通常是掃描件或純圖表,建議人手翻閱或另行 OCR。</t>
        </is>
      </c>
    </row>
    <row r="29">
      <c r="A29" s="7" t="inlineStr">
        <is>
          <t>PDF 頁碼</t>
        </is>
      </c>
      <c r="B29" s="7" t="inlineStr">
        <is>
          <t>狀態</t>
        </is>
      </c>
    </row>
    <row r="30">
      <c r="A30" s="8" t="n">
        <v>1</v>
      </c>
      <c r="B30" s="8" t="inlineStr">
        <is>
          <t>文字量過低 — 可能為掃描頁/圖表頁</t>
        </is>
      </c>
    </row>
    <row r="31">
      <c r="A31" s="8" t="n">
        <v>3</v>
      </c>
      <c r="B31" s="8" t="inlineStr">
        <is>
          <t>文字量過低 — 可能為掃描頁/圖表頁</t>
        </is>
      </c>
    </row>
    <row r="32">
      <c r="A32" s="8" t="n">
        <v>4</v>
      </c>
      <c r="B32" s="8" t="inlineStr">
        <is>
          <t>文字量過低 — 可能為掃描頁/圖表頁</t>
        </is>
      </c>
    </row>
    <row r="33">
      <c r="A33" s="8" t="n">
        <v>5</v>
      </c>
      <c r="B33" s="8" t="inlineStr">
        <is>
          <t>文字量過低 — 可能為掃描頁/圖表頁</t>
        </is>
      </c>
    </row>
    <row r="34">
      <c r="A34" s="8" t="n">
        <v>6</v>
      </c>
      <c r="B34" s="8" t="inlineStr">
        <is>
          <t>文字量過低 — 可能為掃描頁/圖表頁</t>
        </is>
      </c>
    </row>
    <row r="35">
      <c r="A35" s="8" t="n">
        <v>7</v>
      </c>
      <c r="B35" s="8" t="inlineStr">
        <is>
          <t>文字量過低 — 可能為掃描頁/圖表頁</t>
        </is>
      </c>
    </row>
    <row r="36">
      <c r="A36" s="8" t="n">
        <v>8</v>
      </c>
      <c r="B36" s="8" t="inlineStr">
        <is>
          <t>文字量過低 — 可能為掃描頁/圖表頁</t>
        </is>
      </c>
    </row>
    <row r="37">
      <c r="A37" s="8" t="n">
        <v>14</v>
      </c>
      <c r="B37" s="8" t="inlineStr">
        <is>
          <t>文字量過低 — 可能為掃描頁/圖表頁</t>
        </is>
      </c>
    </row>
    <row r="38">
      <c r="A38" s="8" t="n">
        <v>15</v>
      </c>
      <c r="B38" s="8" t="inlineStr">
        <is>
          <t>文字量過低 — 可能為掃描頁/圖表頁</t>
        </is>
      </c>
    </row>
    <row r="39">
      <c r="A39" s="8" t="n">
        <v>16</v>
      </c>
      <c r="B39" s="8" t="inlineStr">
        <is>
          <t>文字量過低 — 可能為掃描頁/圖表頁</t>
        </is>
      </c>
    </row>
    <row r="40">
      <c r="A40" s="8" t="n">
        <v>17</v>
      </c>
      <c r="B40" s="8" t="inlineStr">
        <is>
          <t>文字量過低 — 可能為掃描頁/圖表頁</t>
        </is>
      </c>
    </row>
    <row r="41">
      <c r="A41" s="8" t="n">
        <v>18</v>
      </c>
      <c r="B41" s="8" t="inlineStr">
        <is>
          <t>文字量過低 — 可能為掃描頁/圖表頁</t>
        </is>
      </c>
    </row>
    <row r="42">
      <c r="A42" s="8" t="n">
        <v>19</v>
      </c>
      <c r="B42"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2026-08-30T14:15:41Z</dcterms:created>
  <dcterms:modified xsi:type="dcterms:W3CDTF">2026-08-30T14:15:41Z</dcterms:modified>
</cp:coreProperties>
</file>
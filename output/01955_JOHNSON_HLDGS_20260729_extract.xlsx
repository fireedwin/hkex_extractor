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01955_JOHNSON_HLDGS_20260729.pdf</t>
        </is>
      </c>
    </row>
    <row r="5">
      <c r="A5" s="3" t="inlineStr">
        <is>
          <t>產生時間 Generated</t>
        </is>
      </c>
      <c r="B5" s="4" t="inlineStr">
        <is>
          <t>2026-08-30 22:16</t>
        </is>
      </c>
    </row>
    <row r="6">
      <c r="A6" s="4" t="inlineStr"/>
      <c r="B6" s="4" t="inlineStr"/>
    </row>
    <row r="7">
      <c r="A7" s="3" t="inlineStr">
        <is>
          <t>總頁數 Total pages</t>
        </is>
      </c>
      <c r="B7" s="4" t="n">
        <v>121</v>
      </c>
    </row>
    <row r="8">
      <c r="A8" s="3" t="inlineStr">
        <is>
          <t>已擷取字元 Characters extracted</t>
        </is>
      </c>
      <c r="B8" s="4" t="n">
        <v>265358</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4</v>
      </c>
    </row>
    <row r="13">
      <c r="A13" s="3" t="inlineStr">
        <is>
          <t>財務科目擷取筆數 Financial line items</t>
        </is>
      </c>
      <c r="B13" s="4" t="n">
        <v>15</v>
      </c>
    </row>
    <row r="14">
      <c r="A14" s="3" t="inlineStr">
        <is>
          <t>主題段落擷取筆數 Topic extracts</t>
        </is>
      </c>
      <c r="B14" s="4" t="n">
        <v>29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921,951 − 533,166 = 388,785</t>
        </is>
      </c>
    </row>
    <row r="20">
      <c r="A20" s="6" t="inlineStr">
        <is>
          <t>✓ 除稅前溢利 ± 稅項 = 年內溢利</t>
        </is>
      </c>
      <c r="B20" s="4" t="inlineStr">
        <is>
          <t>3,220 + 1,176 = 2,044 vs 2,044</t>
        </is>
      </c>
    </row>
    <row r="21">
      <c r="A21" s="6" t="inlineStr">
        <is>
          <t>✓ 三大報表應相鄰</t>
        </is>
      </c>
      <c r="B21" s="4" t="inlineStr">
        <is>
          <t>Income Statement: p.58、Balance Sheet: p.59、Cash Flow: p.62(相距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2.12</v>
      </c>
      <c r="D5" s="10" t="n">
        <v>3.67</v>
      </c>
      <c r="E5" s="11" t="inlineStr">
        <is>
          <t>2.12% to 3.67%</t>
        </is>
      </c>
      <c r="F5" s="11" t="inlineStr">
        <is>
          <t>High</t>
        </is>
      </c>
      <c r="G5" s="11" t="inlineStr">
        <is>
          <t>PDF p.111 (印刷頁 110)</t>
        </is>
      </c>
      <c r="H5" s="11" t="inlineStr">
        <is>
          <t>gnificant actuarial assumptions for the determination of the LSP obligation are discount rate of 2.12% to 3.67% (2025: from 2.8% to 3.7%) and expected staff turnover rate from 9.1% to 29.0% (2025: from 9.9%% to 23.5%). The sensitivity analysis below hav</t>
        </is>
      </c>
    </row>
    <row r="6">
      <c r="A6" s="8" t="inlineStr">
        <is>
          <t>Gross Margin</t>
        </is>
      </c>
      <c r="B6" s="8" t="inlineStr">
        <is>
          <t>毛利率</t>
        </is>
      </c>
      <c r="C6" s="9" t="n">
        <v>5.1</v>
      </c>
      <c r="D6" s="10" t="n">
        <v>3.2</v>
      </c>
      <c r="E6" s="11" t="inlineStr">
        <is>
          <t>5.1% to 3.2%</t>
        </is>
      </c>
      <c r="F6" s="11" t="inlineStr">
        <is>
          <t>High</t>
        </is>
      </c>
      <c r="G6" s="11" t="inlineStr">
        <is>
          <t>PDF p.8 (印刷頁 7)</t>
        </is>
      </c>
      <c r="H6" s="11" t="inlineStr">
        <is>
          <t>mately HK$1,836.1 million for the year ended 31 March 2025. The Group’s overall gross profit margin decreased from approximately 5.1% to 3.2%. Profit for the year decreased by approximately HK$13.9 million or 87.2% from approximately HK$16.0 million for the y</t>
        </is>
      </c>
    </row>
    <row r="7">
      <c r="A7" s="8" t="inlineStr">
        <is>
          <t>Gross Margin</t>
        </is>
      </c>
      <c r="B7" s="8" t="inlineStr">
        <is>
          <t>毛利率</t>
        </is>
      </c>
      <c r="C7" s="9" t="n">
        <v>3.2</v>
      </c>
      <c r="D7" s="10" t="n">
        <v>5.1</v>
      </c>
      <c r="E7" s="11" t="inlineStr">
        <is>
          <t>3.2% and 5.1%</t>
        </is>
      </c>
      <c r="F7" s="11" t="inlineStr">
        <is>
          <t>Medium</t>
        </is>
      </c>
      <c r="G7" s="11" t="inlineStr">
        <is>
          <t>PDF p.9 (印刷頁 8)</t>
        </is>
      </c>
      <c r="H7" s="11" t="inlineStr">
        <is>
          <t xml:space="preserve"> 13.1% from approximately HK$94.5 million for the year ended 31 March 2025. The gross profit margins of the Group for the years ended 31 March 2026 and 2025 were approximately 3.2% and 5.1% respectively. As mentioned above, the decline in gross profit margin </t>
        </is>
      </c>
    </row>
    <row r="8">
      <c r="A8" s="8" t="inlineStr">
        <is>
          <t>Gross Margin</t>
        </is>
      </c>
      <c r="B8" s="8" t="inlineStr">
        <is>
          <t>毛利率</t>
        </is>
      </c>
      <c r="C8" s="9" t="n">
        <v>5.1</v>
      </c>
      <c r="D8" s="10" t="n">
        <v>5.1</v>
      </c>
      <c r="E8" s="11" t="inlineStr">
        <is>
          <t>5.1%</t>
        </is>
      </c>
      <c r="F8" s="11" t="inlineStr">
        <is>
          <t>Medium</t>
        </is>
      </c>
      <c r="G8" s="11" t="inlineStr">
        <is>
          <t>PDF p.9 (印刷頁 8)</t>
        </is>
      </c>
      <c r="H8" s="11" t="inlineStr">
        <is>
          <t>re approximately 3.2% and 5.1% respectively. As mentioned above, the decline in gross profit margin was mainly attributable to rising oil prices, coupled with intensified market competition in recent years, which in turn has reduced the profitability of the 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3377553</v>
      </c>
      <c r="D5" s="13" t="n">
        <v>1836054</v>
      </c>
      <c r="E5" s="14">
        <f>IF(ISERROR((C5-D5)/ABS(D5)),"",(C5-D5)/ABS(D5))</f>
        <v>0.8395717119431128</v>
      </c>
      <c r="F5" s="11" t="inlineStr">
        <is>
          <t>PDF p.58 (印刷頁 57)</t>
        </is>
      </c>
      <c r="G5" s="11" t="inlineStr">
        <is>
          <t>Revenue 8 3,377,553 1,836,054</t>
        </is>
      </c>
    </row>
    <row r="6">
      <c r="A6" s="8" t="inlineStr">
        <is>
          <t>Income Statement</t>
        </is>
      </c>
      <c r="B6" s="8" t="inlineStr">
        <is>
          <t>Gross Profit</t>
        </is>
      </c>
      <c r="C6" s="12" t="n">
        <v>106942</v>
      </c>
      <c r="D6" s="13" t="n">
        <v>94530</v>
      </c>
      <c r="E6" s="14">
        <f>IF(ISERROR((C6-D6)/ABS(D6)),"",(C6-D6)/ABS(D6))</f>
        <v>0.13130223209563102</v>
      </c>
      <c r="F6" s="11" t="inlineStr">
        <is>
          <t>PDF p.58 (印刷頁 57)</t>
        </is>
      </c>
      <c r="G6" s="11" t="inlineStr">
        <is>
          <t>Gross profit 106,942 94,530</t>
        </is>
      </c>
    </row>
    <row r="7">
      <c r="A7" s="8" t="inlineStr">
        <is>
          <t>Income Statement</t>
        </is>
      </c>
      <c r="B7" s="8" t="inlineStr">
        <is>
          <t>Operating Profit</t>
        </is>
      </c>
      <c r="C7" s="12" t="n">
        <v>10607</v>
      </c>
      <c r="D7" s="13" t="n">
        <v>18960</v>
      </c>
      <c r="E7" s="14">
        <f>IF(ISERROR((C7-D7)/ABS(D7)),"",(C7-D7)/ABS(D7))</f>
        <v>-0.4405590717299578</v>
      </c>
      <c r="F7" s="11" t="inlineStr">
        <is>
          <t>PDF p.58 (印刷頁 57)</t>
        </is>
      </c>
      <c r="G7" s="11" t="inlineStr">
        <is>
          <t>Profit from operations 10,607 18,960</t>
        </is>
      </c>
    </row>
    <row r="8">
      <c r="A8" s="8" t="inlineStr">
        <is>
          <t>Income Statement</t>
        </is>
      </c>
      <c r="B8" s="8" t="inlineStr">
        <is>
          <t>Finance Costs</t>
        </is>
      </c>
      <c r="C8" s="12" t="n">
        <v>-7387</v>
      </c>
      <c r="D8" s="13" t="n">
        <v>-826</v>
      </c>
      <c r="E8" s="14">
        <f>IF(ISERROR((C8-D8)/ABS(D8)),"",(C8-D8)/ABS(D8))</f>
        <v>-7.943099273607748</v>
      </c>
      <c r="F8" s="11" t="inlineStr">
        <is>
          <t>PDF p.58 (印刷頁 57)</t>
        </is>
      </c>
      <c r="G8" s="11" t="inlineStr">
        <is>
          <t>Finance costs 12 (7,387) (826)</t>
        </is>
      </c>
    </row>
    <row r="9">
      <c r="A9" s="8" t="inlineStr">
        <is>
          <t>Income Statement</t>
        </is>
      </c>
      <c r="B9" s="8" t="inlineStr">
        <is>
          <t>Profit Before Tax</t>
        </is>
      </c>
      <c r="C9" s="12" t="n">
        <v>3220</v>
      </c>
      <c r="D9" s="13" t="n">
        <v>18134</v>
      </c>
      <c r="E9" s="14">
        <f>IF(ISERROR((C9-D9)/ABS(D9)),"",(C9-D9)/ABS(D9))</f>
        <v>-0.8224329987868093</v>
      </c>
      <c r="F9" s="11" t="inlineStr">
        <is>
          <t>PDF p.58 (印刷頁 57)</t>
        </is>
      </c>
      <c r="G9" s="11" t="inlineStr">
        <is>
          <t>Profit before tax 3,220 18,134</t>
        </is>
      </c>
    </row>
    <row r="10">
      <c r="A10" s="8" t="inlineStr">
        <is>
          <t>Income Statement</t>
        </is>
      </c>
      <c r="B10" s="8" t="inlineStr">
        <is>
          <t>Income Tax</t>
        </is>
      </c>
      <c r="C10" s="12" t="n">
        <v>-1176</v>
      </c>
      <c r="D10" s="13" t="n">
        <v>-2180</v>
      </c>
      <c r="E10" s="14">
        <f>IF(ISERROR((C10-D10)/ABS(D10)),"",(C10-D10)/ABS(D10))</f>
        <v>0.46055045871559636</v>
      </c>
      <c r="F10" s="11" t="inlineStr">
        <is>
          <t>PDF p.58 (印刷頁 57)</t>
        </is>
      </c>
      <c r="G10" s="11" t="inlineStr">
        <is>
          <t>Income tax expense 13 (1,176) (2,180)</t>
        </is>
      </c>
    </row>
    <row r="11">
      <c r="A11" s="8" t="inlineStr">
        <is>
          <t>Income Statement</t>
        </is>
      </c>
      <c r="B11" s="8" t="inlineStr">
        <is>
          <t>Profit for the Year</t>
        </is>
      </c>
      <c r="C11" s="12" t="n">
        <v>2044</v>
      </c>
      <c r="D11" s="13" t="n">
        <v>15954</v>
      </c>
      <c r="E11" s="14">
        <f>IF(ISERROR((C11-D11)/ABS(D11)),"",(C11-D11)/ABS(D11))</f>
        <v>-0.8718816597718441</v>
      </c>
      <c r="F11" s="11" t="inlineStr">
        <is>
          <t>PDF p.58 (印刷頁 57)</t>
        </is>
      </c>
      <c r="G11" s="11" t="inlineStr">
        <is>
          <t>Profit for the year attributable to equity holders of the Company 14 2,044 15,954</t>
        </is>
      </c>
    </row>
    <row r="12">
      <c r="A12" s="8" t="inlineStr">
        <is>
          <t>Balance Sheet</t>
        </is>
      </c>
      <c r="B12" s="8" t="inlineStr">
        <is>
          <t>Property Plant and Equipment</t>
        </is>
      </c>
      <c r="C12" s="12" t="n">
        <v>196392</v>
      </c>
      <c r="D12" s="13" t="n">
        <v>107841</v>
      </c>
      <c r="E12" s="14">
        <f>IF(ISERROR((C12-D12)/ABS(D12)),"",(C12-D12)/ABS(D12))</f>
        <v>0.8211255459426378</v>
      </c>
      <c r="F12" s="11" t="inlineStr">
        <is>
          <t>PDF p.59 (印刷頁 58)</t>
        </is>
      </c>
      <c r="G12" s="11" t="inlineStr">
        <is>
          <t>Property, plant and equipment 18 196,392 107,841</t>
        </is>
      </c>
    </row>
    <row r="13">
      <c r="A13" s="8" t="inlineStr">
        <is>
          <t>Balance Sheet</t>
        </is>
      </c>
      <c r="B13" s="8" t="inlineStr">
        <is>
          <t>Inventories</t>
        </is>
      </c>
      <c r="C13" s="12" t="n">
        <v>4180</v>
      </c>
      <c r="D13" s="13" t="n">
        <v>3962</v>
      </c>
      <c r="E13" s="14">
        <f>IF(ISERROR((C13-D13)/ABS(D13)),"",(C13-D13)/ABS(D13))</f>
        <v>0.05502271580010096</v>
      </c>
      <c r="F13" s="11" t="inlineStr">
        <is>
          <t>PDF p.59 (印刷頁 58)</t>
        </is>
      </c>
      <c r="G13" s="11" t="inlineStr">
        <is>
          <t>Inventories 23 4,180 3,962</t>
        </is>
      </c>
    </row>
    <row r="14">
      <c r="A14" s="8" t="inlineStr">
        <is>
          <t>Balance Sheet</t>
        </is>
      </c>
      <c r="B14" s="8" t="inlineStr">
        <is>
          <t>Total Current Assets</t>
        </is>
      </c>
      <c r="C14" s="12" t="n">
        <v>921951</v>
      </c>
      <c r="D14" s="13" t="n">
        <v>781237</v>
      </c>
      <c r="E14" s="14">
        <f>IF(ISERROR((C14-D14)/ABS(D14)),"",(C14-D14)/ABS(D14))</f>
        <v>0.1801169171455013</v>
      </c>
      <c r="F14" s="11" t="inlineStr">
        <is>
          <t>PDF p.59 (印刷頁 58)</t>
        </is>
      </c>
      <c r="G14" s="11" t="inlineStr">
        <is>
          <t>Total current assets 921,951 781,237</t>
        </is>
      </c>
    </row>
    <row r="15">
      <c r="A15" s="8" t="inlineStr">
        <is>
          <t>Balance Sheet</t>
        </is>
      </c>
      <c r="B15" s="8" t="inlineStr">
        <is>
          <t>Total Current Liabilities</t>
        </is>
      </c>
      <c r="C15" s="12" t="n">
        <v>533166</v>
      </c>
      <c r="D15" s="13" t="n">
        <v>304510</v>
      </c>
      <c r="E15" s="14">
        <f>IF(ISERROR((C15-D15)/ABS(D15)),"",(C15-D15)/ABS(D15))</f>
        <v>0.7508981642638993</v>
      </c>
      <c r="F15" s="11" t="inlineStr">
        <is>
          <t>PDF p.59 (印刷頁 58)</t>
        </is>
      </c>
      <c r="G15" s="11" t="inlineStr">
        <is>
          <t>Total current liabilities 533,166 304,510</t>
        </is>
      </c>
    </row>
    <row r="16">
      <c r="A16" s="8" t="inlineStr">
        <is>
          <t>Balance Sheet</t>
        </is>
      </c>
      <c r="B16" s="8" t="inlineStr">
        <is>
          <t>Total Equity</t>
        </is>
      </c>
      <c r="C16" s="12" t="n">
        <v>604859</v>
      </c>
      <c r="D16" s="13" t="n">
        <v>607730</v>
      </c>
      <c r="E16" s="14">
        <f>IF(ISERROR((C16-D16)/ABS(D16)),"",(C16-D16)/ABS(D16))</f>
        <v>-0.004724137363631876</v>
      </c>
      <c r="F16" s="11" t="inlineStr">
        <is>
          <t>PDF p.60 (印刷頁 59)</t>
        </is>
      </c>
      <c r="G16" s="11" t="inlineStr">
        <is>
          <t>TOTAL EQUITY 604,859 607,730</t>
        </is>
      </c>
    </row>
    <row r="17">
      <c r="A17" s="8" t="inlineStr">
        <is>
          <t>Cash Flow</t>
        </is>
      </c>
      <c r="B17" s="8" t="inlineStr">
        <is>
          <t>Operating Cash Flow</t>
        </is>
      </c>
      <c r="C17" s="12" t="n">
        <v>52892</v>
      </c>
      <c r="D17" s="13" t="n">
        <v>-51374</v>
      </c>
      <c r="E17" s="14">
        <f>IF(ISERROR((C17-D17)/ABS(D17)),"",(C17-D17)/ABS(D17))</f>
        <v>2.0295480203994236</v>
      </c>
      <c r="F17" s="11" t="inlineStr">
        <is>
          <t>PDF p.62 (印刷頁 61)</t>
        </is>
      </c>
      <c r="G17" s="11" t="inlineStr">
        <is>
          <t>Net cash generated from/(used in) operating activities 52,892 (51,374)</t>
        </is>
      </c>
    </row>
    <row r="18">
      <c r="A18" s="8" t="inlineStr">
        <is>
          <t>Cash Flow</t>
        </is>
      </c>
      <c r="B18" s="8" t="inlineStr">
        <is>
          <t>Investing Cash Flow</t>
        </is>
      </c>
      <c r="C18" s="12" t="n">
        <v>-117048</v>
      </c>
      <c r="D18" s="13" t="n">
        <v>-52240</v>
      </c>
      <c r="E18" s="14">
        <f>IF(ISERROR((C18-D18)/ABS(D18)),"",(C18-D18)/ABS(D18))</f>
        <v>-1.240581929555896</v>
      </c>
      <c r="F18" s="11" t="inlineStr">
        <is>
          <t>PDF p.63 (印刷頁 62)</t>
        </is>
      </c>
      <c r="G18" s="11" t="inlineStr">
        <is>
          <t>Net cash used in investing activities (117,048) (52,240)</t>
        </is>
      </c>
    </row>
    <row r="19">
      <c r="A19" s="8" t="inlineStr">
        <is>
          <t>Cash Flow</t>
        </is>
      </c>
      <c r="B19" s="8" t="inlineStr">
        <is>
          <t>Financing Cash Flow</t>
        </is>
      </c>
      <c r="C19" s="12" t="n">
        <v>49745</v>
      </c>
      <c r="D19" s="13" t="n">
        <v>-20784</v>
      </c>
      <c r="E19" s="14">
        <f>IF(ISERROR((C19-D19)/ABS(D19)),"",(C19-D19)/ABS(D19))</f>
        <v>3.393427636643572</v>
      </c>
      <c r="F19" s="11" t="inlineStr">
        <is>
          <t>PDF p.63 (印刷頁 62)</t>
        </is>
      </c>
      <c r="G19" s="11" t="inlineStr">
        <is>
          <t>Net cash from/(used in) financing activities 49,745 (20,784)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0.0316625675452021</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0.051485413827697876</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0.0006051718507451993</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0.008689286916397884</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1.7292006617076108</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2.565554497389248</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0.003379299969083704</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0.026251789445971074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1836054</v>
      </c>
      <c r="C5" s="18" t="n">
        <v>3377553</v>
      </c>
    </row>
    <row r="6">
      <c r="A6" s="4" t="inlineStr">
        <is>
          <t>Gross Profit</t>
        </is>
      </c>
      <c r="B6" s="18" t="n">
        <v>94530</v>
      </c>
      <c r="C6" s="18" t="n">
        <v>106942</v>
      </c>
    </row>
    <row r="7">
      <c r="A7" s="4" t="inlineStr">
        <is>
          <t>Profit Before Tax</t>
        </is>
      </c>
      <c r="B7" s="18" t="n">
        <v>18134</v>
      </c>
      <c r="C7" s="18" t="n">
        <v>3220</v>
      </c>
    </row>
    <row r="8">
      <c r="A8" s="4" t="inlineStr">
        <is>
          <t>Profit for the Year</t>
        </is>
      </c>
      <c r="B8" s="18" t="n">
        <v>15954</v>
      </c>
      <c r="C8" s="18" t="n">
        <v>2044</v>
      </c>
    </row>
    <row r="9">
      <c r="A9" s="4" t="inlineStr">
        <is>
          <t>Total Equity</t>
        </is>
      </c>
      <c r="B9" s="18" t="n">
        <v>607730</v>
      </c>
      <c r="C9" s="18" t="n">
        <v>604859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p.92 (印刷頁 91)</t>
        </is>
      </c>
      <c r="F4" s="11" t="inlineStr">
        <is>
          <t>orderly transaction between market participants at the measurement date. The following disclosures of fair value measurements use a fair value hierarchy that categorises into three levels the inputs to valuation techniques used to measure fair value: Level 1 inputs: quoted prices (unadjusted) in active markets for identical assets or liabilities that the Group can access at the measurement date. Level 2 inputs: inputs other than quoted prices included within level 1 that are observable for the asset or liability, either direct</t>
        </is>
      </c>
    </row>
    <row r="5">
      <c r="A5" s="8" t="inlineStr">
        <is>
          <t>Fair Value Measurement</t>
        </is>
      </c>
      <c r="B5" s="8" t="inlineStr">
        <is>
          <t>公允價值計量</t>
        </is>
      </c>
      <c r="C5" s="19" t="inlineStr">
        <is>
          <t>high</t>
        </is>
      </c>
      <c r="D5" s="11" t="inlineStr">
        <is>
          <t>fair value hierarchy</t>
        </is>
      </c>
      <c r="E5" s="11" t="inlineStr">
        <is>
          <t>PDF p.93 (印刷頁 92)</t>
        </is>
      </c>
      <c r="F5" s="11" t="inlineStr">
        <is>
          <t>onsolidated Financial Statements For the year ended 31 March 2026 7. FAIR VALUE MEASUREMENTS (Continued) (a) Disclosures of level in fair value hierarchy: (Continued) Fair value measurements using: Total Description Level 2 Level 3 31 March 2025 HK$’000 HK$’000 HK$’000 Recurring fair value measurements: Financial assets Financial assets at FVTPL Investments in unlisted unit trusts 1,713 – 1,713 Investments in life insurance – 11,208 11,208 Total 1,713 11,208 12,921 (b) Reconciliation of assets measured at fair value based on le</t>
        </is>
      </c>
    </row>
    <row r="6">
      <c r="A6" s="8" t="inlineStr">
        <is>
          <t>Fair Value Measurement</t>
        </is>
      </c>
      <c r="B6" s="8" t="inlineStr">
        <is>
          <t>公允價值計量</t>
        </is>
      </c>
      <c r="C6" s="19" t="inlineStr">
        <is>
          <t>high</t>
        </is>
      </c>
      <c r="D6" s="11" t="inlineStr">
        <is>
          <t>level 2</t>
        </is>
      </c>
      <c r="E6" s="11" t="inlineStr">
        <is>
          <t>PDF p.94 (印刷頁 93)</t>
        </is>
      </c>
      <c r="F6" s="11" t="inlineStr">
        <is>
          <t>ns of valuation processes and results are held between the Chief Financial Officer and the Board of Directors at least twice a year. Level 2 fair value measurements Assets fair value as at 31 March 2026 2025 Description Valuation technique HK$’000 HK$’000 Investments in unlisted unit trusts Derived from quoted unit prices 1,771 1,713 Level 3 fair value measurements The investments in life insurance in level 3 represents life insurance policies for key management (note 20 to the consolidated financial statements). The fair value</t>
        </is>
      </c>
    </row>
    <row r="7">
      <c r="A7" s="8" t="inlineStr">
        <is>
          <t>Impairment Testing</t>
        </is>
      </c>
      <c r="B7" s="8" t="inlineStr">
        <is>
          <t>減值測試</t>
        </is>
      </c>
      <c r="C7" s="19" t="inlineStr">
        <is>
          <t>high</t>
        </is>
      </c>
      <c r="D7" s="11" t="inlineStr">
        <is>
          <t>impairment test</t>
        </is>
      </c>
      <c r="E7" s="11" t="inlineStr">
        <is>
          <t>PDF p.67 (印刷頁 66)</t>
        </is>
      </c>
      <c r="F7" s="11" t="inlineStr">
        <is>
          <t>costs of investments. The results of subsidiaries are accounted for by the Company on the basis of dividend received or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8">
      <c r="A8" s="8" t="inlineStr">
        <is>
          <t>Impairment Testing</t>
        </is>
      </c>
      <c r="B8" s="8" t="inlineStr">
        <is>
          <t>減值測試</t>
        </is>
      </c>
      <c r="C8" s="19" t="inlineStr">
        <is>
          <t>high</t>
        </is>
      </c>
      <c r="D8" s="11" t="inlineStr">
        <is>
          <t>impairment loss</t>
        </is>
      </c>
      <c r="E8" s="11" t="inlineStr">
        <is>
          <t>PDF p.68 (印刷頁 67)</t>
        </is>
      </c>
      <c r="F8" s="11" t="inlineStr">
        <is>
          <t>ted in the consolidated statement of financial position at cost, less subsequent accumulated depreciation and subsequent accumulated impairment losses, if any.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 and maintenance are recognised in profit or loss during the period in which they are incu</t>
        </is>
      </c>
    </row>
    <row r="9">
      <c r="A9" s="8" t="inlineStr">
        <is>
          <t>Impairment Testing</t>
        </is>
      </c>
      <c r="B9" s="8" t="inlineStr">
        <is>
          <t>減值測試</t>
        </is>
      </c>
      <c r="C9" s="19" t="inlineStr">
        <is>
          <t>high</t>
        </is>
      </c>
      <c r="D9" s="11" t="inlineStr">
        <is>
          <t>impairment loss</t>
        </is>
      </c>
      <c r="E9" s="11" t="inlineStr">
        <is>
          <t>PDF p.70 (印刷頁 69)</t>
        </is>
      </c>
      <c r="F9" s="11" t="inlineStr">
        <is>
          <t>t value, less any lease incentives received. The right-of-use asset is subsequently stated at cost less accumulated depreciation and impairment losses.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paid</t>
        </is>
      </c>
    </row>
    <row r="10">
      <c r="A10" s="8" t="inlineStr">
        <is>
          <t>Impairment Testing</t>
        </is>
      </c>
      <c r="B10" s="8" t="inlineStr">
        <is>
          <t>減值測試</t>
        </is>
      </c>
      <c r="C10" s="19" t="inlineStr">
        <is>
          <t>high</t>
        </is>
      </c>
      <c r="D10" s="11" t="inlineStr">
        <is>
          <t>impairment loss</t>
        </is>
      </c>
      <c r="E10" s="11" t="inlineStr">
        <is>
          <t>PDF p.79 (印刷頁 78)</t>
        </is>
      </c>
      <c r="F10" s="11" t="inlineStr">
        <is>
          <t>es that reflect the time value of money and the risks specific to the asset/cash-generating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(u) Impairment of financial assets The Group recognises a loss allowance f</t>
        </is>
      </c>
    </row>
    <row r="11">
      <c r="A11" s="8" t="inlineStr">
        <is>
          <t>Impairment Testing</t>
        </is>
      </c>
      <c r="B11" s="8" t="inlineStr">
        <is>
          <t>減值測試</t>
        </is>
      </c>
      <c r="C11" s="19" t="inlineStr">
        <is>
          <t>high</t>
        </is>
      </c>
      <c r="D11" s="11" t="inlineStr">
        <is>
          <t>impairment loss</t>
        </is>
      </c>
      <c r="E11" s="11" t="inlineStr">
        <is>
          <t>PDF p.85 (印刷頁 84)</t>
        </is>
      </c>
      <c r="F11" s="11" t="inlineStr">
        <is>
          <t>RCES OF ESTIMATION UNCERTAINTY (Continued) (c) Impairment of account receivables The management of the Group estimates the amount of impairment loss for ECL on account receivables based on the credit risk of account receivables. The amount of the impairment loss based on ECL model is measured as the difference between all contractual cash flows that are due to the Group in accordance with the contract and all the cash flows that the Group expects to receive, discounted at the effective interest rate determined at initial recogn</t>
        </is>
      </c>
    </row>
    <row r="12">
      <c r="A12" s="8" t="inlineStr">
        <is>
          <t>Intangible Assets &amp; Goodwill</t>
        </is>
      </c>
      <c r="B12" s="8" t="inlineStr">
        <is>
          <t>無形資產及商譽</t>
        </is>
      </c>
      <c r="C12" s="19" t="inlineStr">
        <is>
          <t>high</t>
        </is>
      </c>
      <c r="D12" s="11" t="inlineStr">
        <is>
          <t>goodwill</t>
        </is>
      </c>
      <c r="E12" s="11" t="inlineStr">
        <is>
          <t>PDF p.67 (印刷頁 66)</t>
        </is>
      </c>
      <c r="F12" s="11" t="inlineStr">
        <is>
          <t>ate financial statements exceeds the carrying amount in the consolidated financial statements of the investee’s net assets including goodwill. 66 HONG KONG JOHNSON HOLDINGS CO., LTD. Annual Report 2025/2026</t>
        </is>
      </c>
    </row>
    <row r="13">
      <c r="A13" s="8" t="inlineStr">
        <is>
          <t>Intangible Assets &amp; Goodwill</t>
        </is>
      </c>
      <c r="B13" s="8" t="inlineStr">
        <is>
          <t>無形資產及商譽</t>
        </is>
      </c>
      <c r="C13" s="19" t="inlineStr">
        <is>
          <t>high</t>
        </is>
      </c>
      <c r="D13" s="11" t="inlineStr">
        <is>
          <t>useful life</t>
        </is>
      </c>
      <c r="E13" s="11" t="inlineStr">
        <is>
          <t>PDF p.70 (印刷頁 69)</t>
        </is>
      </c>
      <c r="F13" s="11" t="inlineStr">
        <is>
          <t>he end of the useful life. Otherwise, right-of-use assets are depreciated on a straight-line basis over the shorter of its estimated useful life and the lease term. Refundable rental deposits paid are accounted under HKFRS 9 “Financial Instruments” and initially measured at fair value. Adjustments to fair value at initial recognition are considered as additional lease payments and included in the cost of right-of-use assets. The lease liability is remeasured when there is a change in future lease payments arising from a change</t>
        </is>
      </c>
    </row>
    <row r="14">
      <c r="A14" s="8" t="inlineStr">
        <is>
          <t>Intangible Assets &amp; Goodwill</t>
        </is>
      </c>
      <c r="B14" s="8" t="inlineStr">
        <is>
          <t>無形資產及商譽</t>
        </is>
      </c>
      <c r="C14" s="19" t="inlineStr">
        <is>
          <t>high</t>
        </is>
      </c>
      <c r="D14" s="11" t="inlineStr">
        <is>
          <t>goodwill</t>
        </is>
      </c>
      <c r="E14" s="11" t="inlineStr">
        <is>
          <t>PDF p.79 (印刷頁 78)</t>
        </is>
      </c>
      <c r="F14" s="11" t="inlineStr">
        <is>
          <t>cash-generating unit whose impairment is being measured. Impairment losses for cash-generating units are allocated first against the goodwill of the unit and then pro rata amongst the other assets of the cash-generating unit. Subsequent increases in the recoverable amount caused by changes in estimates are credited to profit or loss to the extent that they reverse the impairment. (u) Impairment of financial assets The Group recognises a loss allowance for ECL on account receivables as well as on financial guarantee contracts. T</t>
        </is>
      </c>
    </row>
    <row r="15">
      <c r="A15" s="8" t="inlineStr">
        <is>
          <t>ESG Data</t>
        </is>
      </c>
      <c r="B15" s="8" t="inlineStr">
        <is>
          <t>環境社會及管治數據</t>
        </is>
      </c>
      <c r="C15" s="8" t="inlineStr">
        <is>
          <t>medium</t>
        </is>
      </c>
      <c r="D15" s="11" t="inlineStr">
        <is>
          <t>carbon</t>
        </is>
      </c>
      <c r="E15" s="11" t="inlineStr">
        <is>
          <t>PDF p.6 (印刷頁 5)</t>
        </is>
      </c>
      <c r="F15" s="11" t="inlineStr">
        <is>
          <t>r business expansion. Therefore, while enhancing the competitiveness of the Group, we also focus on responsible operations, reducing carbon footprint and caring for frontline staff team. We are honoured to receive certificates of commendation from the World Wide Fund for Nature, Hong Kong Council of Social Service, HK Electric Limited and CBRE Limited respectively, which is a recognition of our brand by all walks of life. HONG KONG JOHNSON HOLDINGS CO., LTD. 5 Annual Report 2025/2026</t>
        </is>
      </c>
    </row>
    <row r="16">
      <c r="A16" s="8" t="inlineStr">
        <is>
          <t>ESG Data</t>
        </is>
      </c>
      <c r="B16" s="8" t="inlineStr">
        <is>
          <t>環境社會及管治數據</t>
        </is>
      </c>
      <c r="C16" s="8" t="inlineStr">
        <is>
          <t>medium</t>
        </is>
      </c>
      <c r="D16" s="11" t="inlineStr">
        <is>
          <t>ESG</t>
        </is>
      </c>
      <c r="E16" s="11" t="inlineStr">
        <is>
          <t>PDF p.13 (印刷頁 12)</t>
        </is>
      </c>
      <c r="F16" s="11" t="inlineStr">
        <is>
          <t>and was re-designated as an executive Director and became a member of the Risk Management and Environmental, Social and Governance (“ESG”) Committee of the Company on 20 May 2026. He has been the Chairman of the Board since 20 February 2026. He has been a director of each of Johnson Cleaning Services Company Limited and Johnson Investment Holding Co., Ltd. (“Johnson Investment Holding”), both being wholly-owned subsidiaries of the Company, since 6 June 2022. Mr. Yan joined Zhuhai Huafa Group Company Limited* (珠海華發集團有限公司) (“Zhuh</t>
        </is>
      </c>
    </row>
    <row r="17">
      <c r="A17" s="8" t="inlineStr">
        <is>
          <t>ESG Data</t>
        </is>
      </c>
      <c r="B17" s="8" t="inlineStr">
        <is>
          <t>環境社會及管治數據</t>
        </is>
      </c>
      <c r="C17" s="8" t="inlineStr">
        <is>
          <t>medium</t>
        </is>
      </c>
      <c r="D17" s="11" t="inlineStr">
        <is>
          <t>ESG</t>
        </is>
      </c>
      <c r="E17" s="11" t="inlineStr">
        <is>
          <t>PDF p.17 (印刷頁 16)</t>
        </is>
      </c>
      <c r="F17" s="11" t="inlineStr">
        <is>
          <t>le for providing independent advice to the Group. He is also the chairman of each of the Audit Committee and the Risk Management and ESG Committee of the Company. Mr. Fan joined Luks Group (Vietnam Holdings) Company Limited, a company the shares of which are listed on the Main Board of the Stock Exchange (stock code: 366) in August 1991 and currently serves as the executive director, company secretary and financial controller of the company. He obtained a Bachelor of Social Sciences from the University of Hong Kong in December</t>
        </is>
      </c>
    </row>
    <row r="18">
      <c r="A18" s="8" t="inlineStr">
        <is>
          <t>ESG Data</t>
        </is>
      </c>
      <c r="B18" s="8" t="inlineStr">
        <is>
          <t>環境社會及管治數據</t>
        </is>
      </c>
      <c r="C18" s="8" t="inlineStr">
        <is>
          <t>medium</t>
        </is>
      </c>
      <c r="D18" s="11" t="inlineStr">
        <is>
          <t>ESG</t>
        </is>
      </c>
      <c r="E18" s="11" t="inlineStr">
        <is>
          <t>PDF p.19 (印刷頁 18)</t>
        </is>
      </c>
      <c r="F18" s="11" t="inlineStr">
        <is>
          <t>Group. He is also the chairman of the Remuneration Committee and a member of each of the Audit Committee and the Risk Management and ESG Committee of the Company. Mr. Leung has over 28 years of experience in the areas of accounting, auditing and company secretarial work. Mr. Leung has served as the financial controller and company secretary of China Starch Holdings Limited, a company the shares of which are listed on the Main Board of the Stock Exchange (stock code: 3838) since February 2008. Mr. Leung was the independent non-e</t>
        </is>
      </c>
    </row>
    <row r="19">
      <c r="A19" s="8" t="inlineStr">
        <is>
          <t>ESG Data</t>
        </is>
      </c>
      <c r="B19" s="8" t="inlineStr">
        <is>
          <t>環境社會及管治數據</t>
        </is>
      </c>
      <c r="C19" s="8" t="inlineStr">
        <is>
          <t>medium</t>
        </is>
      </c>
      <c r="D19" s="11" t="inlineStr">
        <is>
          <t>ESG</t>
        </is>
      </c>
      <c r="E19" s="11" t="inlineStr">
        <is>
          <t>PDF p.24 (印刷頁 23)</t>
        </is>
      </c>
      <c r="F19" s="11" t="inlineStr">
        <is>
          <t>he Company dated 30 March 2026, Mr. Fung resigned as the chief executive officer of the Company, a member of the Risk Management and ESG Committee and all other offices and positions in the Group with effect from 30 March 2026. The Board considers that as at the date of this annual report, the business and operations of the Group remain normal. The Company is in the course of identifying a suitable candidate as the Chief Executive Officer. Further announcement will be made by the Company in relation to the appointment of the Ch</t>
        </is>
      </c>
    </row>
    <row r="20">
      <c r="A20" s="8" t="inlineStr">
        <is>
          <t>ESG Data</t>
        </is>
      </c>
      <c r="B20" s="8" t="inlineStr">
        <is>
          <t>環境社會及管治數據</t>
        </is>
      </c>
      <c r="C20" s="8" t="inlineStr">
        <is>
          <t>medium</t>
        </is>
      </c>
      <c r="D20" s="11" t="inlineStr">
        <is>
          <t>ESG</t>
        </is>
      </c>
      <c r="E20" s="11" t="inlineStr">
        <is>
          <t>PDF p.26 (印刷頁 25)</t>
        </is>
      </c>
      <c r="F20" s="11" t="inlineStr">
        <is>
          <t>year ended 31 March 2026 is set out below: Attendance/Number of Meeting(s) Risk Management Annual Audit Remuneration Nomination and ESG General Name of Director Board Committee Committee Committee Committee Meeting Executive Director: Dr. LI Zhuang (note 1) 6/6 – – – 1/1 1/1 Non-executive Directors: Mr. YAN Jun (note 2) 6/6 – – – – 1/1 Dr. XIE Hui (note 3) 2/5 – – – – 1/1 Ms. LI Yanmei 6/6 – – – – 1/1 Ms. LEE Wing Yee Loretta (note 4) 0/0 – – – – – Ms. WONG Ling Fong Lisa (note 4) 0/0 – – – – – Mr. LU Xuefang (note 4) 5/5 – –</t>
        </is>
      </c>
    </row>
    <row r="21">
      <c r="A21" s="8" t="inlineStr">
        <is>
          <t>ESG Data</t>
        </is>
      </c>
      <c r="B21" s="8" t="inlineStr">
        <is>
          <t>環境社會及管治數據</t>
        </is>
      </c>
      <c r="C21" s="8" t="inlineStr">
        <is>
          <t>medium</t>
        </is>
      </c>
      <c r="D21" s="11" t="inlineStr">
        <is>
          <t>ESG</t>
        </is>
      </c>
      <c r="E21" s="11" t="inlineStr">
        <is>
          <t>PDF p.29 (印刷頁 28)</t>
        </is>
      </c>
      <c r="F21" s="11" t="inlineStr">
        <is>
          <t>employees, for more details, please refer to page 52 of the Company’s 2025/26 Environmental, Social and Governance Report (“2025/26 ESG Report”). The Board considered that gender diversity of the workforce of the Group had maintained its gender diversity. The Company is committed to fostering an inclusive culture where every employee feels being respected and valued. By appropriately empowering employees, we encourage them to share diverse perspectives and leverage their unique strengths. Continuous training, support, and reso</t>
        </is>
      </c>
    </row>
    <row r="22">
      <c r="A22" s="8" t="inlineStr">
        <is>
          <t>ESG Data</t>
        </is>
      </c>
      <c r="B22" s="8" t="inlineStr">
        <is>
          <t>環境社會及管治數據</t>
        </is>
      </c>
      <c r="C22" s="8" t="inlineStr">
        <is>
          <t>medium</t>
        </is>
      </c>
      <c r="D22" s="11" t="inlineStr">
        <is>
          <t>ESG</t>
        </is>
      </c>
      <c r="E22" s="11" t="inlineStr">
        <is>
          <t>PDF p.30 (印刷頁 29)</t>
        </is>
      </c>
      <c r="F22" s="11" t="inlineStr">
        <is>
          <t>Board has established four committees, namely, Audit Committee, Remuneration Committee, Nomination Committee and Risk Management and ESG Committee, for overseeing particular aspects of the Company’s affairs. All Board committees of the Company are established with specific written terms of reference which deal clearly with their authority and duties. The terms of reference of the Audit Committee, Remuneration Committee, Nomination Committee and Risk Management and ESG Committee are posted on the Company’s website and the Stock</t>
        </is>
      </c>
    </row>
    <row r="23">
      <c r="A23" s="8" t="inlineStr">
        <is>
          <t>ESG Data</t>
        </is>
      </c>
      <c r="B23" s="8" t="inlineStr">
        <is>
          <t>環境社會及管治數據</t>
        </is>
      </c>
      <c r="C23" s="8" t="inlineStr">
        <is>
          <t>medium</t>
        </is>
      </c>
      <c r="D23" s="11" t="inlineStr">
        <is>
          <t>ESG</t>
        </is>
      </c>
      <c r="E23" s="11" t="inlineStr">
        <is>
          <t>PDF p.32 (印刷頁 31)</t>
        </is>
      </c>
      <c r="F23" s="11" t="inlineStr">
        <is>
          <t>Corporate Governance Report Risk Management and Environmental, Social and Governance Committee The Risk Management and ESG Committee comprises at least two independent non-executive Directors. Mr. FAN Chiu Tat Martin is the chairman of the Committee. The terms of reference of the Risk Management and ESG Committee is responsible for formulating and reviewing the Company’s corporate governance policies and practices and making recommendations to the Board, assessing the Company's ESG-related business and operational</t>
        </is>
      </c>
    </row>
    <row r="24">
      <c r="A24" s="8" t="inlineStr">
        <is>
          <t>ESG Data</t>
        </is>
      </c>
      <c r="B24" s="8" t="inlineStr">
        <is>
          <t>環境社會及管治數據</t>
        </is>
      </c>
      <c r="C24" s="8" t="inlineStr">
        <is>
          <t>medium</t>
        </is>
      </c>
      <c r="D24" s="11" t="inlineStr">
        <is>
          <t>ESG</t>
        </is>
      </c>
      <c r="E24" s="11" t="inlineStr">
        <is>
          <t>PDF p.33 (印刷頁 32)</t>
        </is>
      </c>
      <c r="F24" s="11" t="inlineStr">
        <is>
          <t>or losses. The Board has the overall responsibility for evaluating and determining the nature and extent of the risks (including the ESG risks) it is willing to take in achieving the Company’s strategic objectives, and establishing and maintaining appropriate and effective risk management and internal control systems. The Audit Committee assists the Board in leading management team and overseeing their design, implementation and monitoring of the risk management and internal control systems. The systems of internal control cove</t>
        </is>
      </c>
    </row>
    <row r="25">
      <c r="A25" s="8" t="inlineStr">
        <is>
          <t>ESG Data</t>
        </is>
      </c>
      <c r="B25" s="8" t="inlineStr">
        <is>
          <t>環境社會及管治數據</t>
        </is>
      </c>
      <c r="C25" s="8" t="inlineStr">
        <is>
          <t>medium</t>
        </is>
      </c>
      <c r="D25" s="11" t="inlineStr">
        <is>
          <t>ESG</t>
        </is>
      </c>
      <c r="E25" s="11" t="inlineStr">
        <is>
          <t>PDF p.34 (印刷頁 33)</t>
        </is>
      </c>
      <c r="F25" s="11" t="inlineStr">
        <is>
          <t>of the Group and various aspects, including key operational and financial processes, regulatory compliance, information security and ESG, and report relevant findings to Audit Committee and the Board. In mitigation of identified risks, the management, in coordination with department heads, actively assessed the effect of changes in situation(s), and worked closely with internal and external parties taking proper actions, if necessary, to avoid or mitigate their adverse impacts. The following principal risks of the Group were id</t>
        </is>
      </c>
    </row>
    <row r="26">
      <c r="A26" s="8" t="inlineStr">
        <is>
          <t>ESG Data</t>
        </is>
      </c>
      <c r="B26" s="8" t="inlineStr">
        <is>
          <t>環境社會及管治數據</t>
        </is>
      </c>
      <c r="C26" s="8" t="inlineStr">
        <is>
          <t>medium</t>
        </is>
      </c>
      <c r="D26" s="11" t="inlineStr">
        <is>
          <t>ESG</t>
        </is>
      </c>
      <c r="E26" s="11" t="inlineStr">
        <is>
          <t>PDF p.37 (印刷頁 36)</t>
        </is>
      </c>
      <c r="F26" s="11" t="inlineStr">
        <is>
          <t>actions. Financial Risk Please refer to note 6 to the consolidated financial statements for the financial risks facing by the Group. ESG Risk Major ESG risks of the Company were identified by the Company and disclosed in the 2025/26 ESG Report of the Company on pages 11 to 12. The internal control review function of the Group works with the external independent consultant to review the internal control systems and procedures of the Company in assessing the adequacy of the internal control. In the course of its reviews, the inte</t>
        </is>
      </c>
    </row>
    <row r="27">
      <c r="A27" s="8" t="inlineStr">
        <is>
          <t>ESG Data</t>
        </is>
      </c>
      <c r="B27" s="8" t="inlineStr">
        <is>
          <t>環境社會及管治數據</t>
        </is>
      </c>
      <c r="C27" s="8" t="inlineStr">
        <is>
          <t>medium</t>
        </is>
      </c>
      <c r="D27" s="11" t="inlineStr">
        <is>
          <t>ESG</t>
        </is>
      </c>
      <c r="E27" s="11" t="inlineStr">
        <is>
          <t>PDF p.42 (印刷頁 41)</t>
        </is>
      </c>
      <c r="F27" s="11" t="inlineStr">
        <is>
          <t>p’s environmental policies, relationships with its employees, customers and suppliers (key stakeholders) are included in the 2025/26 ESG Report. All these discussions form part of this report of the Directors. DIVIDEND The Board recommended the payment of a final dividend of 0.12 HK cent per share, in an aggregate amount of HK$600,000, for the year ended 31 March 2026 (2025: 0.87 HK cent per share, in an aggregate amount of HK$4,350,000). Subject to the approval of the shareholders of the Company (the “Shareholders”) at the ann</t>
        </is>
      </c>
    </row>
    <row r="28">
      <c r="A28" s="8" t="inlineStr">
        <is>
          <t>Segment Information</t>
        </is>
      </c>
      <c r="B28" s="8" t="inlineStr">
        <is>
          <t>分部資料</t>
        </is>
      </c>
      <c r="C28" s="8" t="inlineStr">
        <is>
          <t>medium</t>
        </is>
      </c>
      <c r="D28" s="11" t="inlineStr">
        <is>
          <t>segment information</t>
        </is>
      </c>
      <c r="E28" s="11" t="inlineStr">
        <is>
          <t>PDF p.96 (印刷頁 95)</t>
        </is>
      </c>
      <c r="F28" s="11" t="inlineStr">
        <is>
          <t>Gain on disposals of property, plant and equipment, net 259 93 Fair value gain on financial assets at FVTPL, net 376 272 635 365 11. SEGMENT INFORMATION The Group has carried on a single business, which is provision of cleaning, janitorial and other related services in Hong Kong. Accordingly, there is only one single reportable segment of the Group which is regularly reviewed by the chief operating decision maker. Geographical information: No geographical information is presented as all of the Group’s business is carried out in</t>
        </is>
      </c>
    </row>
    <row r="29">
      <c r="A29" s="8" t="inlineStr">
        <is>
          <t>Related Party Transactions</t>
        </is>
      </c>
      <c r="B29" s="8" t="inlineStr">
        <is>
          <t>關聯方交易</t>
        </is>
      </c>
      <c r="C29" s="8" t="inlineStr">
        <is>
          <t>low</t>
        </is>
      </c>
      <c r="D29" s="11" t="inlineStr">
        <is>
          <t>connected transaction</t>
        </is>
      </c>
      <c r="E29" s="11" t="inlineStr">
        <is>
          <t>PDF p.46 (印刷頁 45)</t>
        </is>
      </c>
      <c r="F29" s="11" t="inlineStr">
        <is>
          <t>erence to salaries paid by comparable companies, time commitment and responsibilities of the Directors and performance of the Group. CONNECTED TRANSACTION AND CONTINUING CONNECTED TRANSACTION During the year ended 31 March 2026, the Company did not have any connected transactions which were subject to the reporting requirements under Chapter 14A of the Listing Rules. HONG KONG JOHNSON HOLDINGS CO., LTD. 45 Annual Report 2025/2026</t>
        </is>
      </c>
    </row>
    <row r="30">
      <c r="A30" s="8" t="inlineStr">
        <is>
          <t>Related Party Transactions</t>
        </is>
      </c>
      <c r="B30" s="8" t="inlineStr">
        <is>
          <t>關聯方交易</t>
        </is>
      </c>
      <c r="C30" s="8" t="inlineStr">
        <is>
          <t>low</t>
        </is>
      </c>
      <c r="D30" s="11" t="inlineStr">
        <is>
          <t>related party</t>
        </is>
      </c>
      <c r="E30" s="11" t="inlineStr">
        <is>
          <t>PDF p.47 (印刷頁 46)</t>
        </is>
      </c>
      <c r="F30" s="11" t="inlineStr">
        <is>
          <t>Report of the Directors RELATED PARTY TRANSACTION Details of the related party transactions for the year ended 31 March 2026 are set out in note 38 to the consolidated financial statements. The related party transactions as set out in note 38 to the consolidated financial statements constituted fully exempt continuing connected transactions as defined in Chapter 14A of the Listing Rules. DIRECTORS’ INTERESTS IN TRANSACTI</t>
        </is>
      </c>
    </row>
    <row r="31">
      <c r="A31" s="8" t="inlineStr">
        <is>
          <t>Related Party Transactions</t>
        </is>
      </c>
      <c r="B31" s="8" t="inlineStr">
        <is>
          <t>關聯方交易</t>
        </is>
      </c>
      <c r="C31" s="8" t="inlineStr">
        <is>
          <t>low</t>
        </is>
      </c>
      <c r="D31" s="11" t="inlineStr">
        <is>
          <t>related party</t>
        </is>
      </c>
      <c r="E31" s="11" t="inlineStr">
        <is>
          <t>PDF p.119 (印刷頁 118)</t>
        </is>
      </c>
      <c r="F31" s="11" t="inlineStr">
        <is>
          <t>to the following: 2026 2025 HK$’000 HK$’000 Lease rental paid 4,787 3,273 Payments for right-of-use assets 749 4,270 5,536 7,543 38. RELATED PARTY TRANSACTIONS (a) In addition to those related party transactions and balances disclosed elsewhere in the consolidated financial statements, the Group had the following transactions with its related parties during the year: 2026 2025 HK$’000 HK$’000 Compliance advisor fee to a related company (note (i)) 360 360 Purchases of consumable goods from a related company (note (i)) – 445 Depo</t>
        </is>
      </c>
    </row>
    <row r="32">
      <c r="A32" s="8" t="inlineStr">
        <is>
          <t>Related Party Transactions</t>
        </is>
      </c>
      <c r="B32" s="8" t="inlineStr">
        <is>
          <t>關聯方交易</t>
        </is>
      </c>
      <c r="C32" s="8" t="inlineStr">
        <is>
          <t>low</t>
        </is>
      </c>
      <c r="D32" s="11" t="inlineStr">
        <is>
          <t>related party</t>
        </is>
      </c>
      <c r="E32" s="11" t="inlineStr">
        <is>
          <t>PDF p.120 (印刷頁 119)</t>
        </is>
      </c>
      <c r="F32" s="11" t="inlineStr">
        <is>
          <t>Notes to the Consolidated Financial Statements For the year ended 31 March 2026 38. RELATED PARTY TRANSACTIONS (Continued) (b) The remuneration of directors of the Company and other members of key management personnel during the year are as follows: 2026 2025 HK$’000 HK$’000 Salaries and allowances 5,969 5,134 Bonuses 3,471 2,282 Retirement benefit scheme contributions 209 200 9,649 7,616 39. DETAILS OF SUBSIDIARIES Place of Percentage of ownership incorporation/ Issued and paid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Trade Receivables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2026-08-30T14:16:34Z</dcterms:created>
  <dcterms:modified xsi:type="dcterms:W3CDTF">2026-08-30T14:16:34Z</dcterms:modified>
</cp:coreProperties>
</file>
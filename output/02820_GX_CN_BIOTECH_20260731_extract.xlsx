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6"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02820_GX_CN_BIOTECH_20260731.pdf</t>
        </is>
      </c>
    </row>
    <row r="5">
      <c r="A5" s="3" t="inlineStr">
        <is>
          <t>產生時間 Generated</t>
        </is>
      </c>
      <c r="B5" s="4" t="inlineStr">
        <is>
          <t>2026-08-30 22:17</t>
        </is>
      </c>
    </row>
    <row r="6">
      <c r="A6" s="4" t="inlineStr"/>
      <c r="B6" s="4" t="inlineStr"/>
    </row>
    <row r="7">
      <c r="A7" s="3" t="inlineStr">
        <is>
          <t>總頁數 Total pages</t>
        </is>
      </c>
      <c r="B7" s="4" t="n">
        <v>188</v>
      </c>
    </row>
    <row r="8">
      <c r="A8" s="3" t="inlineStr">
        <is>
          <t>已擷取字元 Characters extracted</t>
        </is>
      </c>
      <c r="B8" s="4" t="n">
        <v>341720</v>
      </c>
    </row>
    <row r="9">
      <c r="A9" s="3" t="inlineStr">
        <is>
          <t>含表格頁數 Pages with tables</t>
        </is>
      </c>
      <c r="B9" s="4" t="n">
        <v>0</v>
      </c>
    </row>
    <row r="10">
      <c r="A10" s="3" t="inlineStr">
        <is>
          <t>需人手/OCR 頁數 Pages needing OCR</t>
        </is>
      </c>
      <c r="B10" s="4" t="n">
        <v>8</v>
      </c>
    </row>
    <row r="11">
      <c r="A11" s="4" t="inlineStr"/>
      <c r="B11" s="4" t="inlineStr"/>
    </row>
    <row r="12">
      <c r="A12" s="3" t="inlineStr">
        <is>
          <t>估值參數擷取筆數 Valuation parameters</t>
        </is>
      </c>
      <c r="B12" s="4" t="n">
        <v>0</v>
      </c>
    </row>
    <row r="13">
      <c r="A13" s="3" t="inlineStr">
        <is>
          <t>財務科目擷取筆數 Financial line items</t>
        </is>
      </c>
      <c r="B13" s="4" t="n">
        <v>3</v>
      </c>
    </row>
    <row r="14">
      <c r="A14" s="3" t="inlineStr">
        <is>
          <t>主題段落擷取筆數 Topic extracts</t>
        </is>
      </c>
      <c r="B14" s="4" t="n">
        <v>52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c r="A5" s="7" t="inlineStr">
        <is>
          <t>Income Statement</t>
        </is>
      </c>
      <c r="B5" s="7" t="inlineStr">
        <is>
          <t>Operating Profit</t>
        </is>
      </c>
      <c r="C5" s="8" t="n">
        <v>380195998</v>
      </c>
      <c r="D5" s="9" t="n">
        <v>894543342</v>
      </c>
      <c r="E5" s="10">
        <f>IF(ISERROR((C5-D5)/ABS(D5)),"",(C5-D5)/ABS(D5))</f>
        <v>-0.5749831448636504</v>
      </c>
      <c r="F5" s="11" t="inlineStr">
        <is>
          <t>PDF p.16 (印刷頁 14)</t>
        </is>
      </c>
      <c r="G5" s="11" t="inlineStr">
        <is>
          <t>Operating profit/(loss) 380,195,998 894,543,342 921,653,336 1,419,732,442 46,621,610 52,432,320 (9,837,270) 69,773,828 699,232 4,027,993</t>
        </is>
      </c>
    </row>
    <row r="6">
      <c r="A6" s="7" t="inlineStr">
        <is>
          <t>Income Statement</t>
        </is>
      </c>
      <c r="B6" s="7" t="inlineStr">
        <is>
          <t>Finance Costs</t>
        </is>
      </c>
      <c r="C6" s="8" t="n">
        <v>-48793</v>
      </c>
      <c r="D6" s="9" t="n">
        <v>-253</v>
      </c>
      <c r="E6" s="10">
        <f>IF(ISERROR((C6-D6)/ABS(D6)),"",(C6-D6)/ABS(D6))</f>
        <v>-191.85770750988144</v>
      </c>
      <c r="F6" s="11" t="inlineStr">
        <is>
          <t>PDF p.16 (印刷頁 14)</t>
        </is>
      </c>
      <c r="G6" s="11" t="inlineStr">
        <is>
          <t>FINANCE COSTS … Interest expense (48,793) (253) – (8) (6,331) (88) (4,666) (730) – –</t>
        </is>
      </c>
    </row>
    <row r="7">
      <c r="A7" s="7" t="inlineStr">
        <is>
          <t>Income Statement</t>
        </is>
      </c>
      <c r="B7" s="7" t="inlineStr">
        <is>
          <t>Profit Before Tax</t>
        </is>
      </c>
      <c r="C7" s="8" t="n">
        <v>380147205</v>
      </c>
      <c r="D7" s="9" t="n">
        <v>894543089</v>
      </c>
      <c r="E7" s="10">
        <f>IF(ISERROR((C7-D7)/ABS(D7)),"",(C7-D7)/ABS(D7))</f>
        <v>-0.5750375698224192</v>
      </c>
      <c r="F7" s="11" t="inlineStr">
        <is>
          <t>PDF p.16 (印刷頁 14)</t>
        </is>
      </c>
      <c r="G7" s="11" t="inlineStr">
        <is>
          <t>Profit/(loss) before tax 380,147,205 894,543,089 658,845,336 1,008,164,434 46,615,279 52,432,232 (9,841,936) 69,773,098 699,232 4,027,993</t>
        </is>
      </c>
    </row>
    <row r="9">
      <c r="A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12" t="str">
        <f>IF(ISERROR(INDEX('Financials 財務數據'!$C$5:$C$7,MATCH("Gross Profit",'Financials 財務數據'!$B$5:$B$7,0))/INDEX('Financials 財務數據'!$C$5:$C$7,MATCH("Revenue",'Financials 財務數據'!$B$5:$B$7,0))),"n/a",INDEX('Financials 財務數據'!$C$5:$C$7,MATCH("Gross Profit",'Financials 財務數據'!$B$5:$B$7,0))/INDEX('Financials 財務數據'!$C$5:$C$7,MATCH("Revenue",'Financials 財務數據'!$B$5:$B$7,0)))</f>
        <v>n/a</v>
      </c>
      <c r="C5" s="12" t="str">
        <f>IF(ISERROR(INDEX('Financials 財務數據'!$D$5:$D$7,MATCH("Gross Profit",'Financials 財務數據'!$B$5:$B$7,0))/INDEX('Financials 財務數據'!$D$5:$D$7,MATCH("Revenue",'Financials 財務數據'!$B$5:$B$7,0))),"n/a",INDEX('Financials 財務數據'!$D$5:$D$7,MATCH("Gross Profit",'Financials 財務數據'!$B$5:$B$7,0))/INDEX('Financials 財務數據'!$D$5:$D$7,MATCH("Revenue",'Financials 財務數據'!$B$5:$B$7,0)))</f>
        <v>n/a</v>
      </c>
      <c r="D5" s="2" t="inlineStr">
        <is>
          <t>毛利 ÷ 收入</t>
        </is>
      </c>
    </row>
    <row r="6">
      <c r="A6" s="4" t="inlineStr">
        <is>
          <t>Net Margin 淨利率</t>
        </is>
      </c>
      <c r="B6" s="12" t="str">
        <f>IF(ISERROR(INDEX('Financials 財務數據'!$C$5:$C$7,MATCH("Profit for the Year",'Financials 財務數據'!$B$5:$B$7,0))/INDEX('Financials 財務數據'!$C$5:$C$7,MATCH("Revenue",'Financials 財務數據'!$B$5:$B$7,0))),"n/a",INDEX('Financials 財務數據'!$C$5:$C$7,MATCH("Profit for the Year",'Financials 財務數據'!$B$5:$B$7,0))/INDEX('Financials 財務數據'!$C$5:$C$7,MATCH("Revenue",'Financials 財務數據'!$B$5:$B$7,0)))</f>
        <v>n/a</v>
      </c>
      <c r="C6" s="12" t="str">
        <f>IF(ISERROR(INDEX('Financials 財務數據'!$D$5:$D$7,MATCH("Profit for the Year",'Financials 財務數據'!$B$5:$B$7,0))/INDEX('Financials 財務數據'!$D$5:$D$7,MATCH("Revenue",'Financials 財務數據'!$B$5:$B$7,0))),"n/a",INDEX('Financials 財務數據'!$D$5:$D$7,MATCH("Profit for the Year",'Financials 財務數據'!$B$5:$B$7,0))/INDEX('Financials 財務數據'!$D$5:$D$7,MATCH("Revenue",'Financials 財務數據'!$B$5:$B$7,0)))</f>
        <v>n/a</v>
      </c>
      <c r="D6" s="2" t="inlineStr">
        <is>
          <t>年內溢利 ÷ 收入</t>
        </is>
      </c>
    </row>
    <row r="7">
      <c r="A7" s="4" t="inlineStr">
        <is>
          <t>Current Ratio 流動比率</t>
        </is>
      </c>
      <c r="B7" s="13" t="str">
        <f>IF(ISERROR(INDEX('Financials 財務數據'!$C$5:$C$7,MATCH("Total Current Assets",'Financials 財務數據'!$B$5:$B$7,0))/INDEX('Financials 財務數據'!$C$5:$C$7,MATCH("Total Current Liabilities",'Financials 財務數據'!$B$5:$B$7,0))),"n/a",INDEX('Financials 財務數據'!$C$5:$C$7,MATCH("Total Current Assets",'Financials 財務數據'!$B$5:$B$7,0))/INDEX('Financials 財務數據'!$C$5:$C$7,MATCH("Total Current Liabilities",'Financials 財務數據'!$B$5:$B$7,0)))</f>
        <v>n/a</v>
      </c>
      <c r="C7" s="13" t="str">
        <f>IF(ISERROR(INDEX('Financials 財務數據'!$D$5:$D$7,MATCH("Total Current Assets",'Financials 財務數據'!$B$5:$B$7,0))/INDEX('Financials 財務數據'!$D$5:$D$7,MATCH("Total Current Liabilities",'Financials 財務數據'!$B$5:$B$7,0))),"n/a",INDEX('Financials 財務數據'!$D$5:$D$7,MATCH("Total Current Assets",'Financials 財務數據'!$B$5:$B$7,0))/INDEX('Financials 財務數據'!$D$5:$D$7,MATCH("Total Current Liabilities",'Financials 財務數據'!$B$5:$B$7,0)))</f>
        <v>n/a</v>
      </c>
      <c r="D7" s="2" t="inlineStr">
        <is>
          <t>流動資產 ÷ 流動負債</t>
        </is>
      </c>
    </row>
    <row r="8">
      <c r="A8" s="4" t="inlineStr">
        <is>
          <t>Debt / Equity 負債權益比</t>
        </is>
      </c>
      <c r="B8" s="13" t="str">
        <f>IF(ISERROR(INDEX('Financials 財務數據'!$C$5:$C$7,MATCH("Total Liabilities",'Financials 財務數據'!$B$5:$B$7,0))/INDEX('Financials 財務數據'!$C$5:$C$7,MATCH("Total Equity",'Financials 財務數據'!$B$5:$B$7,0))),"n/a",INDEX('Financials 財務數據'!$C$5:$C$7,MATCH("Total Liabilities",'Financials 財務數據'!$B$5:$B$7,0))/INDEX('Financials 財務數據'!$C$5:$C$7,MATCH("Total Equity",'Financials 財務數據'!$B$5:$B$7,0)))</f>
        <v>n/a</v>
      </c>
      <c r="C8" s="13" t="str">
        <f>IF(ISERROR(INDEX('Financials 財務數據'!$D$5:$D$7,MATCH("Total Liabilities",'Financials 財務數據'!$B$5:$B$7,0))/INDEX('Financials 財務數據'!$D$5:$D$7,MATCH("Total Equity",'Financials 財務數據'!$B$5:$B$7,0))),"n/a",INDEX('Financials 財務數據'!$D$5:$D$7,MATCH("Total Liabilities",'Financials 財務數據'!$B$5:$B$7,0))/INDEX('Financials 財務數據'!$D$5:$D$7,MATCH("Total Equity",'Financials 財務數據'!$B$5:$B$7,0)))</f>
        <v>n/a</v>
      </c>
      <c r="D8" s="2" t="inlineStr">
        <is>
          <t>總負債 ÷ 總權益</t>
        </is>
      </c>
    </row>
    <row r="9">
      <c r="A9" s="4" t="inlineStr">
        <is>
          <t>Goodwill / Total Assets</t>
        </is>
      </c>
      <c r="B9" s="12" t="str">
        <f>IF(ISERROR(INDEX('Financials 財務數據'!$C$5:$C$7,MATCH("Goodwill",'Financials 財務數據'!$B$5:$B$7,0))/INDEX('Financials 財務數據'!$C$5:$C$7,MATCH("Total Assets",'Financials 財務數據'!$B$5:$B$7,0))),"n/a",INDEX('Financials 財務數據'!$C$5:$C$7,MATCH("Goodwill",'Financials 財務數據'!$B$5:$B$7,0))/INDEX('Financials 財務數據'!$C$5:$C$7,MATCH("Total Assets",'Financials 財務數據'!$B$5:$B$7,0)))</f>
        <v>n/a</v>
      </c>
      <c r="C9" s="12" t="str">
        <f>IF(ISERROR(INDEX('Financials 財務數據'!$D$5:$D$7,MATCH("Goodwill",'Financials 財務數據'!$B$5:$B$7,0))/INDEX('Financials 財務數據'!$D$5:$D$7,MATCH("Total Assets",'Financials 財務數據'!$B$5:$B$7,0))),"n/a",INDEX('Financials 財務數據'!$D$5:$D$7,MATCH("Goodwill",'Financials 財務數據'!$B$5:$B$7,0))/INDEX('Financials 財務數據'!$D$5:$D$7,MATCH("Total Assets",'Financials 財務數據'!$B$5:$B$7,0)))</f>
        <v>n/a</v>
      </c>
      <c r="D9" s="2" t="inlineStr">
        <is>
          <t>商譽佔總資產比重 — 減值風險指標</t>
        </is>
      </c>
    </row>
    <row r="10">
      <c r="A10" s="4" t="inlineStr">
        <is>
          <t>Intangibles / Total Assets</t>
        </is>
      </c>
      <c r="B10" s="12" t="str">
        <f>IF(ISERROR(INDEX('Financials 財務數據'!$C$5:$C$7,MATCH("Intangible Assets",'Financials 財務數據'!$B$5:$B$7,0))/INDEX('Financials 財務數據'!$C$5:$C$7,MATCH("Total Assets",'Financials 財務數據'!$B$5:$B$7,0))),"n/a",INDEX('Financials 財務數據'!$C$5:$C$7,MATCH("Intangible Assets",'Financials 財務數據'!$B$5:$B$7,0))/INDEX('Financials 財務數據'!$C$5:$C$7,MATCH("Total Assets",'Financials 財務數據'!$B$5:$B$7,0)))</f>
        <v>n/a</v>
      </c>
      <c r="C10" s="12" t="str">
        <f>IF(ISERROR(INDEX('Financials 財務數據'!$D$5:$D$7,MATCH("Intangible Assets",'Financials 財務數據'!$B$5:$B$7,0))/INDEX('Financials 財務數據'!$D$5:$D$7,MATCH("Total Assets",'Financials 財務數據'!$B$5:$B$7,0))),"n/a",INDEX('Financials 財務數據'!$D$5:$D$7,MATCH("Intangible Assets",'Financials 財務數據'!$B$5:$B$7,0))/INDEX('Financials 財務數據'!$D$5:$D$7,MATCH("Total Assets",'Financials 財務數據'!$B$5:$B$7,0)))</f>
        <v>n/a</v>
      </c>
      <c r="D10" s="2" t="inlineStr">
        <is>
          <t>無形資產佔比</t>
        </is>
      </c>
    </row>
    <row r="11">
      <c r="A11" s="4" t="inlineStr">
        <is>
          <t>ROE 股本回報率</t>
        </is>
      </c>
      <c r="B11" s="12" t="str">
        <f>IF(ISERROR(INDEX('Financials 財務數據'!$C$5:$C$7,MATCH("Profit for the Year",'Financials 財務數據'!$B$5:$B$7,0))/INDEX('Financials 財務數據'!$C$5:$C$7,MATCH("Total Equity",'Financials 財務數據'!$B$5:$B$7,0))),"n/a",INDEX('Financials 財務數據'!$C$5:$C$7,MATCH("Profit for the Year",'Financials 財務數據'!$B$5:$B$7,0))/INDEX('Financials 財務數據'!$C$5:$C$7,MATCH("Total Equity",'Financials 財務數據'!$B$5:$B$7,0)))</f>
        <v>n/a</v>
      </c>
      <c r="C11" s="12" t="str">
        <f>IF(ISERROR(INDEX('Financials 財務數據'!$D$5:$D$7,MATCH("Profit for the Year",'Financials 財務數據'!$B$5:$B$7,0))/INDEX('Financials 財務數據'!$D$5:$D$7,MATCH("Total Equity",'Financials 財務數據'!$B$5:$B$7,0))),"n/a",INDEX('Financials 財務數據'!$D$5:$D$7,MATCH("Profit for the Year",'Financials 財務數據'!$B$5:$B$7,0))/INDEX('Financials 財務數據'!$D$5:$D$7,MATCH("Total Equity",'Financials 財務數據'!$B$5:$B$7,0)))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4" t="inlineStr">
        <is>
          <t>Item</t>
        </is>
      </c>
      <c r="B4" s="14" t="inlineStr">
        <is>
          <t>Prior</t>
        </is>
      </c>
      <c r="C4" s="14" t="inlineStr">
        <is>
          <t>Current</t>
        </is>
      </c>
    </row>
    <row r="5">
      <c r="A5" s="4" t="inlineStr">
        <is>
          <t>Profit Before Tax</t>
        </is>
      </c>
      <c r="B5" s="15" t="n">
        <v>894543089</v>
      </c>
      <c r="C5" s="15" t="n">
        <v>380147205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7" t="inlineStr">
        <is>
          <t>Fair Value Measurement</t>
        </is>
      </c>
      <c r="B4" s="7" t="inlineStr">
        <is>
          <t>公允價值計量</t>
        </is>
      </c>
      <c r="C4" s="16" t="inlineStr">
        <is>
          <t>high</t>
        </is>
      </c>
      <c r="D4" s="11" t="inlineStr">
        <is>
          <t>valuation technique</t>
        </is>
      </c>
      <c r="E4" s="11" t="inlineStr">
        <is>
          <t>PDF p.46 (印刷頁 44)</t>
        </is>
      </c>
      <c r="F4" s="11" t="inlineStr">
        <is>
          <t>re within the bid-ask spread. For all other financial instruments not traded in an active market, the fair value is determined using valuation techniques deemed to be appropriate in the circumstances. Valuation techniques include the market approach (i.e., using recent arm’s length market transactions, adjusted as necessary, and reference to the current market value of another instrument that is substantially the same) and the income approach (i.e., discounted cash flow analysis and option pricing models making as much use of a</t>
        </is>
      </c>
    </row>
    <row r="5">
      <c r="A5" s="7" t="inlineStr">
        <is>
          <t>Fair Value Measurement</t>
        </is>
      </c>
      <c r="B5" s="7" t="inlineStr">
        <is>
          <t>公允價值計量</t>
        </is>
      </c>
      <c r="C5" s="16" t="inlineStr">
        <is>
          <t>high</t>
        </is>
      </c>
      <c r="D5" s="11" t="inlineStr">
        <is>
          <t>fair value hierarchy</t>
        </is>
      </c>
      <c r="E5" s="11" t="inlineStr">
        <is>
          <t>PDF p.47 (印刷頁 45)</t>
        </is>
      </c>
      <c r="F5" s="11" t="inlineStr">
        <is>
          <t>ued) All assets and liabilities for which fair value is measured or disclosed in the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t>
        </is>
      </c>
    </row>
    <row r="6">
      <c r="A6" s="7" t="inlineStr">
        <is>
          <t>Fair Value Measurement</t>
        </is>
      </c>
      <c r="B6" s="7" t="inlineStr">
        <is>
          <t>公允價值計量</t>
        </is>
      </c>
      <c r="C6" s="16" t="inlineStr">
        <is>
          <t>high</t>
        </is>
      </c>
      <c r="D6" s="11" t="inlineStr">
        <is>
          <t>fair value hierarchy</t>
        </is>
      </c>
      <c r="E6" s="11" t="inlineStr">
        <is>
          <t>PDF p.114 (印刷頁 112)</t>
        </is>
      </c>
      <c r="F6" s="11" t="inlineStr">
        <is>
          <t>y occurring market transactions on an arm’s length basis. IFRS 13 requires the Sub-Funds to classify fair value measurements using a fair value hierarchy that reflects the significance of the inputs used in making the measurements. The level in the fair value hierarchy within which the fair value measurement is categorised in its entirety is determined on the basis of the lowest level input that is significant to the fair value measurement in its entirety. For this purpose, the significance of an input is assessed against the f</t>
        </is>
      </c>
    </row>
    <row r="7">
      <c r="A7" s="7" t="inlineStr">
        <is>
          <t>Fair Value Measurement</t>
        </is>
      </c>
      <c r="B7" s="7" t="inlineStr">
        <is>
          <t>公允價值計量</t>
        </is>
      </c>
      <c r="C7" s="16" t="inlineStr">
        <is>
          <t>high</t>
        </is>
      </c>
      <c r="D7" s="11" t="inlineStr">
        <is>
          <t>fair value hierarchy</t>
        </is>
      </c>
      <c r="E7" s="11" t="inlineStr">
        <is>
          <t>PDF p.115 (印刷頁 113)</t>
        </is>
      </c>
      <c r="F7" s="11" t="inlineStr">
        <is>
          <t>(continued) Financial assets carried at fair value The following tables analyse by class the Sub-Funds’ financial assets within the fair value hierarchy measured at fair value as at 31 March 2026 and 2025: As at 31 March 2026 Quoted prices Significant Significant in active observable unobservable markets inputs inputs Level 1 Level 2 Level 3 Total Financial assets at fair value through profit or loss: Equity securities MSCI China ETF (in HK$) 1,036,021,025 – – 1,036,021,025 Hang Seng High Dividend Yield ETF (in HK$) 6,154,334,</t>
        </is>
      </c>
    </row>
    <row r="8">
      <c r="A8" s="7" t="inlineStr">
        <is>
          <t>Fair Value Measurement</t>
        </is>
      </c>
      <c r="B8" s="7" t="inlineStr">
        <is>
          <t>公允價值計量</t>
        </is>
      </c>
      <c r="C8" s="16" t="inlineStr">
        <is>
          <t>high</t>
        </is>
      </c>
      <c r="D8" s="11" t="inlineStr">
        <is>
          <t>level 1</t>
        </is>
      </c>
      <c r="E8" s="11" t="inlineStr">
        <is>
          <t>PDF p.116 (印刷頁 114)</t>
        </is>
      </c>
      <c r="F8" s="11" t="inlineStr">
        <is>
          <t>value (continued) As at 31 March 2025 Quoted prices Significant Significant in active observable unobservable markets inputs inputs Level 1 Level 2 Level 3 Total Financial assets at fair value through profit or loss: Equity securities MSCI China ETF (in HK$) 7,429,954,557 – – 7,429,954,557 Hang Seng High Dividend Yield ETF (in HK$) 4,610,930,892 – – 4,610,930,892 China Biotech ETF (in RMB) 227,262,308 – – 227,262,308 China Cloud Computing ETF (in RMB) 146,005,787 – – 146,005,787 Hang Seng ESG ETF (in HK$) 13,228,088 – – 13,228</t>
        </is>
      </c>
    </row>
    <row r="9">
      <c r="A9" s="7" t="inlineStr">
        <is>
          <t>Fair Value Measurement</t>
        </is>
      </c>
      <c r="B9" s="7" t="inlineStr">
        <is>
          <t>公允價值計量</t>
        </is>
      </c>
      <c r="C9" s="16" t="inlineStr">
        <is>
          <t>high</t>
        </is>
      </c>
      <c r="D9" s="11" t="inlineStr">
        <is>
          <t>level 3</t>
        </is>
      </c>
      <c r="E9" s="11" t="inlineStr">
        <is>
          <t>PDF p.117 (印刷頁 115)</t>
        </is>
      </c>
      <c r="F9" s="11" t="inlineStr">
        <is>
          <t>ts Asia Active ETF and India Sector Leader Active ETF). Following are the details of investments held by the Sub-Funds classified at level 3 as at 31 March 2026 and 2025: List of Level 3 investments As at 31 March 2026 Sub-Fund Securities Stock code HK$ MSCI China ETF China Common Rich Renewable Energy N/A – Investments Ltd. (note a) China Huishan Dairy Holdings Co. Ltd. (note b) N/A – – As at 31 March 2025 Sub-Fund Securities Stock code HK$ MSCI China ETF China Common Rich Renewable Energy N/A – Investments Ltd. (note a) China</t>
        </is>
      </c>
    </row>
    <row r="10">
      <c r="A10" s="7" t="inlineStr">
        <is>
          <t>Fair Value Measurement</t>
        </is>
      </c>
      <c r="B10" s="7" t="inlineStr">
        <is>
          <t>公允價值計量</t>
        </is>
      </c>
      <c r="C10" s="16" t="inlineStr">
        <is>
          <t>high</t>
        </is>
      </c>
      <c r="D10" s="11" t="inlineStr">
        <is>
          <t>level 3</t>
        </is>
      </c>
      <c r="E10" s="11" t="inlineStr">
        <is>
          <t>PDF p.118 (印刷頁 116)</t>
        </is>
      </c>
      <c r="F10" s="11" t="inlineStr">
        <is>
          <t>h 2026 15. FINANCIAL RISK MANAGEMENT OBJECTIVES AND POLICIES (CONTINUED) (e) Fair value estimation (continued) Valuation process for Level 3 valuations The valuation of level 3 investments is performed on a semi-annual basis by the Manager. According to the Trust Deed, the Manager may, at any time, get the approval from the Trustee by request. If fair value changes are more than certain thresholds set, the changes are further considered by the senior management of the Manager. The Manager considers the appropriateness of the va</t>
        </is>
      </c>
    </row>
    <row r="11">
      <c r="A11" s="7" t="inlineStr">
        <is>
          <t>Fair Value Measurement</t>
        </is>
      </c>
      <c r="B11" s="7" t="inlineStr">
        <is>
          <t>公允價值計量</t>
        </is>
      </c>
      <c r="C11" s="16" t="inlineStr">
        <is>
          <t>high</t>
        </is>
      </c>
      <c r="D11" s="11" t="inlineStr">
        <is>
          <t>level 3</t>
        </is>
      </c>
      <c r="E11" s="11" t="inlineStr">
        <is>
          <t>PDF p.135 (印刷頁 133)</t>
        </is>
      </c>
      <c r="F11" s="11" t="inlineStr">
        <is>
          <t>ACIFIC INSURANCE GR-H 133,497 4,255,884 0.41% CHINA PETROLEUM &amp; CHEMICAL-H 1,143,985 5,136,493 0.50% 1This security is classified as level 3 investment and has been marked at zero value by the Manager for the year ended 31 March 2026. 133</t>
        </is>
      </c>
    </row>
    <row r="12">
      <c r="A12" s="7" t="inlineStr">
        <is>
          <t>Intangible Assets &amp; Goodwill</t>
        </is>
      </c>
      <c r="B12" s="7" t="inlineStr">
        <is>
          <t>無形資產及商譽</t>
        </is>
      </c>
      <c r="C12" s="16" t="inlineStr">
        <is>
          <t>high</t>
        </is>
      </c>
      <c r="D12" s="11" t="inlineStr">
        <is>
          <t>amortisation</t>
        </is>
      </c>
      <c r="E12" s="11" t="inlineStr">
        <is>
          <t>PDF p.45 (印刷頁 43)</t>
        </is>
      </c>
      <c r="F12" s="11" t="inlineStr">
        <is>
          <t>nt. Gains and losses are recognised in profit or loss when the debt instruments are derecognised or impaired, as well as through the amortisation process. Financial liabilities, other than those classified as at FVPL, are measured at amortised cost using the effective interest method. Gains and losses are recognised in profit or loss when the liabilities are derecognised, as well as through the amortisation process. The effective interest method is a method of calculating the amortised cost of a financial asset or a financial l</t>
        </is>
      </c>
    </row>
    <row r="13">
      <c r="A13" s="7" t="inlineStr">
        <is>
          <t>ESG Data</t>
        </is>
      </c>
      <c r="B13" s="7" t="inlineStr">
        <is>
          <t>環境社會及管治數據</t>
        </is>
      </c>
      <c r="C13" s="7" t="inlineStr">
        <is>
          <t>medium</t>
        </is>
      </c>
      <c r="D13" s="11" t="inlineStr">
        <is>
          <t>ESG</t>
        </is>
      </c>
      <c r="E13" s="11" t="inlineStr">
        <is>
          <t>PDF p.1</t>
        </is>
      </c>
      <c r="F13" s="11" t="inlineStr">
        <is>
          <t>HINA ETF GLOBAL X HANG SENG HIGH DIVIDEND YIELD ETF GLOBAL X CHINA BIOTECH ETF GLOBAL X CHINA CLOUD COMPUTING ETF GLOBAL X HANG SENG ESG ETF GLOBAL X EV AND HUMANOID ROBOT ACTIVE ETF (FORMERLY KNOWN AS GLOBAL X ELECTRIC VEHICLE AND BATTERY ACTIVE ETF) GLOBAL X AI &amp; INNOVATIVE TECHNOLOGY ACTIVE ETF GLOBAL X HANG SENG TECH ETF GLOBAL X USD MONEY MARKET ETF GLOBAL X INNOVATIVE BLUECHIP TOP 10 ETF GLOBAL X JAPAN GLOBAL LEADERS ETF GLOBAL X INDIA SELECT TOP 10 ETF GLOBAL X US TREASURY 3-5 YEAR ETF GLOBAL X EMERGING MARKETS ASIA ACTI</t>
        </is>
      </c>
    </row>
    <row r="14">
      <c r="A14" s="7" t="inlineStr">
        <is>
          <t>ESG Data</t>
        </is>
      </c>
      <c r="B14" s="7" t="inlineStr">
        <is>
          <t>環境社會及管治數據</t>
        </is>
      </c>
      <c r="C14" s="7" t="inlineStr">
        <is>
          <t>medium</t>
        </is>
      </c>
      <c r="D14" s="11" t="inlineStr">
        <is>
          <t>ESG</t>
        </is>
      </c>
      <c r="E14" s="11" t="inlineStr">
        <is>
          <t>PDF p.2</t>
        </is>
      </c>
      <c r="F14" s="11" t="inlineStr">
        <is>
          <t>changes in net assets attributable to unitholders 19 - 21 Statement of cash flows 22 - 36 Notes to the financial statements 37 - 123 ESG Disclosure for Global X Hang Seng ESG ETF (Unaudited) 124 - 125 Investment portfolio (Unaudited) 126 - 156 Statement of movements in investment portfolio (Unaudited) 157 - 171 Details of security lending arrangements (Unaudited) 172 - 173 Details in respect of financial derivative instruments (Unaudited) 174 Holdings of Collateral (Unaudited) 174 - 176 Performance record (Unaudited) 177 - 184</t>
        </is>
      </c>
    </row>
    <row r="15">
      <c r="A15" s="7" t="inlineStr">
        <is>
          <t>ESG Data</t>
        </is>
      </c>
      <c r="B15" s="7" t="inlineStr">
        <is>
          <t>環境社會及管治數據</t>
        </is>
      </c>
      <c r="C15" s="7" t="inlineStr">
        <is>
          <t>medium</t>
        </is>
      </c>
      <c r="D15" s="11" t="inlineStr">
        <is>
          <t>ESG</t>
        </is>
      </c>
      <c r="E15" s="11" t="inlineStr">
        <is>
          <t>PDF p.10 (印刷頁 8)</t>
        </is>
      </c>
      <c r="F15" s="11" t="inlineStr">
        <is>
          <t>lobal X Hang Seng High Dividend Global X China Cloud Computing China ETF Yield ETF Global X China Biotech ETF ETF Global X Hang Seng ESG ETF 2026 2025 2026 2025 2026 2025 2026 2025 2026 2025 Notes HK$ HK$ HK$ HK$ RMB RMB RMB RMB HK$ HK$ ASSETS 6(f), 13, Financial assets at fair value 15(b)(i), through profit or loss 15(e) 1,036,021,025 7,429,954,557 6,154,334,954 4,610,930,892 551,868,935 370,171,862 184,878,429 248,853,892 14,266,638 13,228,088 Dividends receivable 38,389 304,890 1,923,205 – 5,558 – – – 31,583 19,216 Amounts d</t>
        </is>
      </c>
    </row>
    <row r="16">
      <c r="A16" s="7" t="inlineStr">
        <is>
          <t>ESG Data</t>
        </is>
      </c>
      <c r="B16" s="7" t="inlineStr">
        <is>
          <t>環境社會及管治數據</t>
        </is>
      </c>
      <c r="C16" s="7" t="inlineStr">
        <is>
          <t>medium</t>
        </is>
      </c>
      <c r="D16" s="11" t="inlineStr">
        <is>
          <t>ESG</t>
        </is>
      </c>
      <c r="E16" s="11" t="inlineStr">
        <is>
          <t>PDF p.11 (印刷頁 9)</t>
        </is>
      </c>
      <c r="F16" s="11" t="inlineStr">
        <is>
          <t>lobal X Hang Seng High Dividend Global X China Cloud Computing China ETF Yield ETF Global X China Biotech ETF ETF Global X Hang Seng ESG ETF 2026 2025 2026 2025 2026 2025 2026 2025 2026 2025 Notes HK$ HK$ HK$ HK$ RMB RMB RMB RMB HK$ HK$ Accounting net assets attributable to unitholders 1,036,798,793 7,440,008,812 6,161,552,526 4,618,209,028 – – – – – – Adjustment for different basis adopted by the Sub-Fund in arriving at net assets attributable to unitholders 3(a) 1,494 (3,523) 9,302 7,499 – – – – – – Net assets attributable to</t>
        </is>
      </c>
    </row>
    <row r="17">
      <c r="A17" s="7" t="inlineStr">
        <is>
          <t>ESG Data</t>
        </is>
      </c>
      <c r="B17" s="7" t="inlineStr">
        <is>
          <t>環境社會及管治數據</t>
        </is>
      </c>
      <c r="C17" s="7" t="inlineStr">
        <is>
          <t>medium</t>
        </is>
      </c>
      <c r="D17" s="11" t="inlineStr">
        <is>
          <t>ESG</t>
        </is>
      </c>
      <c r="E17" s="11" t="inlineStr">
        <is>
          <t>PDF p.16 (印刷頁 14)</t>
        </is>
      </c>
      <c r="F17" s="11" t="inlineStr">
        <is>
          <t>eng Global X China Cloud Computing Global X MSCI China ETF High Dividend Yield ETF Global X China Biotech ETF ETF Global X Hang Seng ESG ETF For the year For the year For the year For the year For the year For the year For the year For the year For the year For the year ended ended ended ended ended ended ended ended ended ended 31 March 31 March 31 March 31 March 31 March 31 March 31 March 31 March 31 March 31 March 2026 2025 2026 2025 2026 2025 2026 2025 2026 2025 Notes HK$ HK$ HK$ HK$ RMB RMB RMB RMB HK$ HK$ INCOME Dividend</t>
        </is>
      </c>
    </row>
    <row r="18">
      <c r="A18" s="7" t="inlineStr">
        <is>
          <t>ESG Data</t>
        </is>
      </c>
      <c r="B18" s="7" t="inlineStr">
        <is>
          <t>環境社會及管治數據</t>
        </is>
      </c>
      <c r="C18" s="7" t="inlineStr">
        <is>
          <t>medium</t>
        </is>
      </c>
      <c r="D18" s="11" t="inlineStr">
        <is>
          <t>ESG</t>
        </is>
      </c>
      <c r="E18" s="11" t="inlineStr">
        <is>
          <t>PDF p.21 (印刷頁 19)</t>
        </is>
      </c>
      <c r="F18" s="11" t="inlineStr">
        <is>
          <t>eng Global X China Cloud Computing Global X MSCI China ETF High Dividend Yield ETF Global X China Biotech ETF ETF Global X Hang Seng ESG ETF For the year For the year For the year For the year For the year For the year For the year For the year For the year For the year ended ended ended ended ended ended ended ended ended ended 31 March 31 March 31 March 31 March 31 March 31 March 31 March 31 March 31 March 31 March 2026 2025 2026 2025 2026 2025 2026 2025 2026 2025 Notes HK$ HK$ HK$ HK$ RMB RMB RMB RMB HK$ HK$ Balance at the b</t>
        </is>
      </c>
    </row>
    <row r="19">
      <c r="A19" s="7" t="inlineStr">
        <is>
          <t>ESG Data</t>
        </is>
      </c>
      <c r="B19" s="7" t="inlineStr">
        <is>
          <t>環境社會及管治數據</t>
        </is>
      </c>
      <c r="C19" s="7" t="inlineStr">
        <is>
          <t>medium</t>
        </is>
      </c>
      <c r="D19" s="11" t="inlineStr">
        <is>
          <t>ESG</t>
        </is>
      </c>
      <c r="E19" s="11" t="inlineStr">
        <is>
          <t>PDF p.28 (印刷頁 26)</t>
        </is>
      </c>
      <c r="F19" s="11" t="inlineStr">
        <is>
          <t>GLOBAL X ETF SERIES STATEMENT OF CASH FLOWS (CONTINUED) For the year ended 31 March 2026 Global X Hang Seng ESG ETF 2026 2025 Notes HK$ HK$ CASH FLOWS FROM OPERATING ACTIVITIES Profit before tax 699,232 4,027,993 Adjustments for: Dividend income (377,703) (469,844) Interest income (5) (3) 321,524 3,558,146 Increase in financial assets at fair value through profit or loss (5,112,550) (798,970) Increase in management fee payable 399 273 Decrease in amounts due to brokers – (26,412) Increase in registratio</t>
        </is>
      </c>
    </row>
    <row r="20">
      <c r="A20" s="7" t="inlineStr">
        <is>
          <t>ESG Data</t>
        </is>
      </c>
      <c r="B20" s="7" t="inlineStr">
        <is>
          <t>環境社會及管治數據</t>
        </is>
      </c>
      <c r="C20" s="7" t="inlineStr">
        <is>
          <t>medium</t>
        </is>
      </c>
      <c r="D20" s="11" t="inlineStr">
        <is>
          <t>ESG</t>
        </is>
      </c>
      <c r="E20" s="11" t="inlineStr">
        <is>
          <t>PDF p.39 (印刷頁 37)</t>
        </is>
      </c>
      <c r="F20" s="11" t="inlineStr">
        <is>
          <t>ETF, Global X Hang Seng High Dividend Yield ETF, Global X China Biotech ETF, Global X China Cloud Computing ETF, Global X Hang Seng ESG ETF, Global X EV and Humanoid Robot Active ETF (formerly known as Global X Electric Vehicle and Battery Active ETF), Global X AI &amp; Innovative Technology Active ETF, Global X Hang Seng TECH ETF, Global X USD Money Market ETF, Global X Innovative Bluechip Top 10 ETF, Global X Japan Global Leaders ETF, Global X India Select Top 10 ETF, Global X US Treasury 3-5 Year ETF, Global X Emerging Markets</t>
        </is>
      </c>
    </row>
    <row r="21">
      <c r="A21" s="7" t="inlineStr">
        <is>
          <t>ESG Data</t>
        </is>
      </c>
      <c r="B21" s="7" t="inlineStr">
        <is>
          <t>環境社會及管治數據</t>
        </is>
      </c>
      <c r="C21" s="7" t="inlineStr">
        <is>
          <t>medium</t>
        </is>
      </c>
      <c r="D21" s="11" t="inlineStr">
        <is>
          <t>ESG</t>
        </is>
      </c>
      <c r="E21" s="11" t="inlineStr">
        <is>
          <t>PDF p.40 (印刷頁 38)</t>
        </is>
      </c>
      <c r="F21" s="11" t="inlineStr">
        <is>
          <t>to the fifteen Sub-Funds, MSCI China ETF, Hang Seng High Dividend Yield ETF, China Biotech ETF, China Cloud Computing ETF, Hang Seng ESG ETF, EV and Humanoid Robot Active ETF (formerly known as Electric Vehicle and Battery Active ETF), AI &amp; Innovative Technology Active ETF, Hang Seng TECH ETF, USD Money Market ETF, Innovative Bluechip Top 10 ETF, Japan Global Leaders ETF, India Select Top 10 ETF, US Treasury 3-5 Year ETF, Emerging Markets Asia Active ETF and India Sector Leader Active ETF. The Manager is responsible for the pre</t>
        </is>
      </c>
    </row>
    <row r="22">
      <c r="A22" s="7" t="inlineStr">
        <is>
          <t>ESG Data</t>
        </is>
      </c>
      <c r="B22" s="7" t="inlineStr">
        <is>
          <t>環境社會及管治數據</t>
        </is>
      </c>
      <c r="C22" s="7" t="inlineStr">
        <is>
          <t>medium</t>
        </is>
      </c>
      <c r="D22" s="11" t="inlineStr">
        <is>
          <t>ESG</t>
        </is>
      </c>
      <c r="E22" s="11" t="inlineStr">
        <is>
          <t>PDF p.42 (印刷頁 40)</t>
        </is>
      </c>
      <c r="F22" s="11" t="inlineStr">
        <is>
          <t>The financial statements are presented in Hong Kong dollars (“HK$”) for MSCI China ETF, Hang Seng High Dividend Yield ETF, Hang Seng ESG ETF and Hang Seng TECH ETF, Renminbi (“RMB”) for China Biotech ETF and China Cloud Computing ETF, United States dollars (“USD”) for EV and Humanoid Robot Active ETF (formerly known as Electric Vehicle and Battery Active ETF), AI &amp; Innovative Technology Active ETF, USD Money Market ETF, Innovative Bluechip Top 10 ETF, India Select Top 10 ETF, US Treasury 3-5 Year ETF, Emerging Markets Asia Acti</t>
        </is>
      </c>
    </row>
    <row r="23">
      <c r="A23" s="7" t="inlineStr">
        <is>
          <t>ESG Data</t>
        </is>
      </c>
      <c r="B23" s="7" t="inlineStr">
        <is>
          <t>環境社會及管治數據</t>
        </is>
      </c>
      <c r="C23" s="7" t="inlineStr">
        <is>
          <t>medium</t>
        </is>
      </c>
      <c r="D23" s="11" t="inlineStr">
        <is>
          <t>ESG</t>
        </is>
      </c>
      <c r="E23" s="11" t="inlineStr">
        <is>
          <t>PDF p.48 (印刷頁 46)</t>
        </is>
      </c>
      <c r="F23" s="11" t="inlineStr">
        <is>
          <t>tion currency MSCI China ETF HK$ Hang Seng High Dividend Yield ETF HK$ China Biotech ETF RMB China Cloud Computing ETF RMB Hang Seng ESG ETF HK$ EV and Humanoid Robot Active ETF (formerly known as Electric Vehicle and Battery Active ETF) USD AI &amp; Innovative Technology Active ETF USD Hang Seng TECH ETF HK$ USD Money Market ETF USD Innovative Bluechip Top 10 ETF USD Japan Global Leaders ETF JPY India Select Top 10 ETF USD US Treasury 3-5 Year ETF USD Emerging Markets Asia Active ETF USD India Sector Leader Active ETF USD Transact</t>
        </is>
      </c>
    </row>
    <row r="24">
      <c r="A24" s="7" t="inlineStr">
        <is>
          <t>ESG Data</t>
        </is>
      </c>
      <c r="B24" s="7" t="inlineStr">
        <is>
          <t>環境社會及管治數據</t>
        </is>
      </c>
      <c r="C24" s="7" t="inlineStr">
        <is>
          <t>medium</t>
        </is>
      </c>
      <c r="D24" s="11" t="inlineStr">
        <is>
          <t>ESG</t>
        </is>
      </c>
      <c r="E24" s="11" t="inlineStr">
        <is>
          <t>PDF p.55 (印刷頁 53)</t>
        </is>
      </c>
      <c r="F24" s="11" t="inlineStr">
        <is>
          <t>F UNITS (CONTINUED) (a) Net assets attributable to unitholders (continued) As at As at 31 March 2026 31 March 2025 HK$ HK$ Hang Seng ESG ETF Accounting NAV as reported in the statement of net assets/ Dealing NAV 14,328,332 13,280,287 As at As at 31 March 2026 31 March 2025 USD USD EV and Humanoid Robot Active ETF (formerly known as Electric Vehicle and Battery Active ETF) Accounting NAV as reported in the statement of net assets 1,065,131 738,424 Adjustment for timing difference* 38 – Dealing NAV 1,065,169 738,424 As at As at 3</t>
        </is>
      </c>
    </row>
    <row r="25">
      <c r="A25" s="7" t="inlineStr">
        <is>
          <t>ESG Data</t>
        </is>
      </c>
      <c r="B25" s="7" t="inlineStr">
        <is>
          <t>環境社會及管治數據</t>
        </is>
      </c>
      <c r="C25" s="7" t="inlineStr">
        <is>
          <t>medium</t>
        </is>
      </c>
      <c r="D25" s="11" t="inlineStr">
        <is>
          <t>ESG</t>
        </is>
      </c>
      <c r="E25" s="11" t="inlineStr">
        <is>
          <t>PDF p.57 (印刷頁 55)</t>
        </is>
      </c>
      <c r="F25" s="11" t="inlineStr">
        <is>
          <t>0) 9,200,000 RMB60.0199 RMB60.0199 China Cloud Computing ETF 4,650,000 500,000 (1,500,000) 3,650,000 RMB50.7112 RMB50.7112 Hang Seng ESG ETF 3,000,000 2,000,000 (2,000,000) 3,000,000 HK$4.7762 HK$4.7762 EV and Humanoid Robot Active ETF (formerly known as Electric Vehicle and Battery Active ETF) 100,000 100,000 (100,000) 100,000 USD10.6514 USD10.6517 AI &amp; Innovative Technology Active ETF 150,000 100,000 (50,000) 200,000 USD13.1303 USD13.1303 Hang Seng TECH ETF 344,800,000 116,800,000 (143,600,000) 318,000,000 HK$5.7230 HK$5.7231</t>
        </is>
      </c>
    </row>
    <row r="26">
      <c r="A26" s="7" t="inlineStr">
        <is>
          <t>ESG Data</t>
        </is>
      </c>
      <c r="B26" s="7" t="inlineStr">
        <is>
          <t>環境社會及管治數據</t>
        </is>
      </c>
      <c r="C26" s="7" t="inlineStr">
        <is>
          <t>medium</t>
        </is>
      </c>
      <c r="D26" s="11" t="inlineStr">
        <is>
          <t>ESG</t>
        </is>
      </c>
      <c r="E26" s="11" t="inlineStr">
        <is>
          <t>PDF p.59 (印刷頁 57)</t>
        </is>
      </c>
      <c r="F26" s="11" t="inlineStr">
        <is>
          <t>0) 7,400,000 RMB50.0532 RMB50.0532 China Cloud Computing ETF 6,100,000 400,000 (1,850,000) 4,650,000 RMB53.6523 RMB53.6523 Hang Seng ESG ETF 4,000,000 – (1,000,000) 3,000,000 HK$4.4268 HK$4.4268 EV and Humanoid Robot Active ETF (formerly known as Electric Vehicle and Battery Active ETF) 200,000 – (100,000) 100,000 USD7.3843 USD7.3843 AI &amp; Innovative Technology Active ETF 250,000 – (100,000) 150,000 USD10.6474 USD10.6474 Hang Seng TECH ETF 780,800,000 51,600,000 (487,600,000) 344,800,000 HK$6.6092 HK$6.6096 USD Money Market ETF</t>
        </is>
      </c>
    </row>
    <row r="27">
      <c r="A27" s="7" t="inlineStr">
        <is>
          <t>ESG Data</t>
        </is>
      </c>
      <c r="B27" s="7" t="inlineStr">
        <is>
          <t>環境社會及管治數據</t>
        </is>
      </c>
      <c r="C27" s="7" t="inlineStr">
        <is>
          <t>medium</t>
        </is>
      </c>
      <c r="D27" s="11" t="inlineStr">
        <is>
          <t>ESG</t>
        </is>
      </c>
      <c r="E27" s="11" t="inlineStr">
        <is>
          <t>PDF p.61 (印刷頁 59)</t>
        </is>
      </c>
      <c r="F27" s="11" t="inlineStr">
        <is>
          <t>t Hang Seng High Dividend Yield ETF (in HK$) 125,055,936 573,079,369 3,350,721,140 116,598,074 1,018,053,488 2,014,673,040 Hang Seng ESG ETF (in HK$) 2,000,000 9,423,185 – 2,000,000 4,990,618 4,074,000 Hang Seng TECH ETF (in HK$) 116,804,500 14,829,008 747,256,000 143,600,000 310,378,686 571,841,640 Creation in Redemption in Creation in exchange of Redemption in Redemption in exchange of As at 31 March 2025 Creation in units exchange of cash investment units exchange of cash investment Hang Seng High Dividend Yield ETF (in HK$)</t>
        </is>
      </c>
    </row>
    <row r="28">
      <c r="A28" s="7" t="inlineStr">
        <is>
          <t>ESG Data</t>
        </is>
      </c>
      <c r="B28" s="7" t="inlineStr">
        <is>
          <t>環境社會及管治數據</t>
        </is>
      </c>
      <c r="C28" s="7" t="inlineStr">
        <is>
          <t>medium</t>
        </is>
      </c>
      <c r="D28" s="11" t="inlineStr">
        <is>
          <t>ESG</t>
        </is>
      </c>
      <c r="E28" s="11" t="inlineStr">
        <is>
          <t>PDF p.62 (印刷頁 60)</t>
        </is>
      </c>
      <c r="F28" s="11" t="inlineStr">
        <is>
          <t>value through profit or loss: Hang Seng High China Cloud MSCI China ETF Dividend Yield ETF China Biotech ETF Computing ETF Hang Seng ESG ETF For the year ended For the year ended For the year ended For the year ended For the year ended 31 March 2026 31 March 2026 31 March 2026 31 March 2026 31 March 2026 HK$ HK$ RMB RMB HK$ Net realised gain/loss on sale of financial assets at fair value through profit or loss 128,898,131 292,930,979 14,661,432 23,618,073 993,922 Net change in unrealised gain/loss on financial assets at fair va</t>
        </is>
      </c>
    </row>
    <row r="29">
      <c r="A29" s="7" t="inlineStr">
        <is>
          <t>ESG Data</t>
        </is>
      </c>
      <c r="B29" s="7" t="inlineStr">
        <is>
          <t>環境社會及管治數據</t>
        </is>
      </c>
      <c r="C29" s="7" t="inlineStr">
        <is>
          <t>medium</t>
        </is>
      </c>
      <c r="D29" s="11" t="inlineStr">
        <is>
          <t>ESG</t>
        </is>
      </c>
      <c r="E29" s="11" t="inlineStr">
        <is>
          <t>PDF p.64 (印刷頁 62)</t>
        </is>
      </c>
      <c r="F29" s="11" t="inlineStr">
        <is>
          <t>value through profit or loss: Hang Seng High China Cloud MSCI China ETF Dividend Yield ETF China Biotech ETF Computing ETF Hang Seng ESG ETF For the year ended For the year ended For the year ended For the year ended For the year ended 31 March 2025 31 March 2025 31 March 2025 31 March 2025 31 March 2025 HK$ HK$ RMB RMB HK$ Net realised gain/loss on sale of financial assets at fair value through profit or loss 1,045,479,615 984,446,690 (98,660,715) (34,784,217) (1,539,960) Net change in unrealised gain/loss on financial assets</t>
        </is>
      </c>
    </row>
    <row r="30">
      <c r="A30" s="7" t="inlineStr">
        <is>
          <t>ESG Data</t>
        </is>
      </c>
      <c r="B30" s="7" t="inlineStr">
        <is>
          <t>環境社會及管治數據</t>
        </is>
      </c>
      <c r="C30" s="7" t="inlineStr">
        <is>
          <t>medium</t>
        </is>
      </c>
      <c r="D30" s="11" t="inlineStr">
        <is>
          <t>ESG</t>
        </is>
      </c>
      <c r="E30" s="11" t="inlineStr">
        <is>
          <t>PDF p.66 (印刷頁 64)</t>
        </is>
      </c>
      <c r="F30" s="11" t="inlineStr">
        <is>
          <t>obal Markets Limited# 126,223,460 16.57% 16,591 0.01% Mirae Asset Securities (HK) Limited* 307,393,446 40.34% 91,164 0.03% Hang Seng ESG ETF (in HK$) For the year ended 31 March 2026: Citigroup Global Markets Limited# 13,785,811 41.88% 1,314 0.01% Mirae Asset Securities (HK) Limited* 8,213,823 24.96% 2,464 0.03% For the year ended 31 March 2025: Citigroup Global Markets Limited# 5,959,319 65.76% 1,225 0.02% Mirae Asset Securities (HK) Limited* – 0.00% – 0.00% 64</t>
        </is>
      </c>
    </row>
    <row r="31">
      <c r="A31" s="7" t="inlineStr">
        <is>
          <t>ESG Data</t>
        </is>
      </c>
      <c r="B31" s="7" t="inlineStr">
        <is>
          <t>環境社會及管治數據</t>
        </is>
      </c>
      <c r="C31" s="7" t="inlineStr">
        <is>
          <t>medium</t>
        </is>
      </c>
      <c r="D31" s="11" t="inlineStr">
        <is>
          <t>ESG</t>
        </is>
      </c>
      <c r="E31" s="11" t="inlineStr">
        <is>
          <t>PDF p.69 (印刷頁 67)</t>
        </is>
      </c>
      <c r="F31" s="11" t="inlineStr">
        <is>
          <t>g Seng High Dividend Yield ETF1 2% 0.68% 0.68% China Biotech ETF1 2% 0.68% 0.68% China Cloud Computing ETF1 2% 0.68% 0.68% Hang Seng ESG ETF1 2% 0.29% 0.29% EV and Humanoid Robot Active ETF (formerly known as Electric Vehicle and Battery Active ETF)1 2% 0.75% 0.75% AI &amp; Innovative Technology Active ETF 1 2% 0.75% 0.75% Hang Seng TECH ETF2 2% 0.35% 0.35% USD Money Market ETF3 2% 0.05% 0.05% Innovative Bluechip Top 10 ETF1 6 2% 0.68% 0.68% Japan Global Leaders ETF1 6 2% 0.68% 0.68% India Select Top 10 ETF1 7 2% 0.68% 0.68% US Tre</t>
        </is>
      </c>
    </row>
    <row r="32">
      <c r="A32" s="7" t="inlineStr">
        <is>
          <t>ESG Data</t>
        </is>
      </c>
      <c r="B32" s="7" t="inlineStr">
        <is>
          <t>環境社會及管治數據</t>
        </is>
      </c>
      <c r="C32" s="7" t="inlineStr">
        <is>
          <t>medium</t>
        </is>
      </c>
      <c r="D32" s="11" t="inlineStr">
        <is>
          <t>ESG</t>
        </is>
      </c>
      <c r="E32" s="11" t="inlineStr">
        <is>
          <t>PDF p.70 (印刷頁 68)</t>
        </is>
      </c>
      <c r="F32" s="11" t="inlineStr">
        <is>
          <t>325,614 24,267,876 China Biotech ETF (in RMB)1 3,479,477 2,222,938 China Cloud Computing ETF (in RMB)1 1,683,175 1,584,040 Hang Seng ESG ETF (in HK$)1 40,700 34,819 EV and Humanoid Robot Active ETF (formerly known as Electric Vehicle and Battery Active ETF) (in USD)1 6,727 6,149 AI &amp; Innovative Technology Active ETF (in USD)1 18,789 13,366 Hang Seng TECH ETF (in HK$) 5,780,918 10,233,493 USD Money Market ETF (in USD) 2 30,754 29,114 Innovative Bluechip Top 10 ETF (in USD)1 5 25,394 53,269 Japan Global Leaders ETF (in JPY)1 5 1,</t>
        </is>
      </c>
    </row>
    <row r="33">
      <c r="A33" s="7" t="inlineStr">
        <is>
          <t>ESG Data</t>
        </is>
      </c>
      <c r="B33" s="7" t="inlineStr">
        <is>
          <t>環境社會及管治數據</t>
        </is>
      </c>
      <c r="C33" s="7" t="inlineStr">
        <is>
          <t>medium</t>
        </is>
      </c>
      <c r="D33" s="11" t="inlineStr">
        <is>
          <t>ESG</t>
        </is>
      </c>
      <c r="E33" s="11" t="inlineStr">
        <is>
          <t>PDF p.71 (印刷頁 69)</t>
        </is>
      </c>
      <c r="F33" s="11" t="inlineStr">
        <is>
          <t>HK$)1 3,717,676 3,580,574 China Biotech ETF (in RMB)1 322,097 196,547 China Cloud Computing ETF (in RMB)1 121,848 154,203 Hang Seng ESG ETF (in HK$)1 3,776 3,377 EV and Humanoid Robot Active ETF (formerly known as Electric Vehicle and Battery Active ETF) (in USD)1 708 487 AI &amp; Innovative Technology Active ETF (in USD)1 1,800 1,061 Hang Seng TECH ETF (in HK$) 551,167 743,014 USD Money Market ETF (in USD)2 37,768 7,015 Innovative Bluechip Top 10 ETF (in USD)1 1,149 3,694 Japan Global Leaders ETF (in JPY)1 271,998 259,537 India S</t>
        </is>
      </c>
    </row>
    <row r="34">
      <c r="A34" s="7" t="inlineStr">
        <is>
          <t>ESG Data</t>
        </is>
      </c>
      <c r="B34" s="7" t="inlineStr">
        <is>
          <t>環境社會及管治數據</t>
        </is>
      </c>
      <c r="C34" s="7" t="inlineStr">
        <is>
          <t>medium</t>
        </is>
      </c>
      <c r="D34" s="11" t="inlineStr">
        <is>
          <t>ESG</t>
        </is>
      </c>
      <c r="E34" s="11" t="inlineStr">
        <is>
          <t>PDF p.76 (印刷頁 74)</t>
        </is>
      </c>
      <c r="F34" s="11" t="inlineStr">
        <is>
          <t>,610,930,892 China Biotech ETF (in RMB) 397,555,010 227,262,308 China Cloud Computing ETF (in RMB) 121,665,498 146,005,787 Hang Seng ESG ETF (in HK$) 14,266,638 13,228,088 EV and Humanoid Robot Active ETF (formerly known as Electric Vehicle and Battery Active ETF) (in USD) 963,522 679,007 AI &amp; Innovative Technology Active ETF (in USD) 2,504,686 1,563,180 Hang Seng TECH ETF (in HK$) 1,819,087,569 2,272,712,792 Innovative Bluechip Top 10 ETF (in USD) 1,758,339 5,777,364 Japan Global Leaders ETF (in JPY) 522,868,913 468,578,951 In</t>
        </is>
      </c>
    </row>
    <row r="35">
      <c r="A35" s="7" t="inlineStr">
        <is>
          <t>ESG Data</t>
        </is>
      </c>
      <c r="B35" s="7" t="inlineStr">
        <is>
          <t>環境社會及管治數據</t>
        </is>
      </c>
      <c r="C35" s="7" t="inlineStr">
        <is>
          <t>medium</t>
        </is>
      </c>
      <c r="D35" s="11" t="inlineStr">
        <is>
          <t>ESG</t>
        </is>
      </c>
      <c r="E35" s="11" t="inlineStr">
        <is>
          <t>PDF p.77 (印刷頁 75)</t>
        </is>
      </c>
      <c r="F35" s="11" t="inlineStr">
        <is>
          <t>igh Dividend Yield ETF 16,200,000 81,000,000 China Biotech ETF 1,200,000 550,000 China Cloud Computing ETF 100,000 300,000 Hang Seng ESG ETF 1,000,000 – EV and Humanoid Robot Active ETF (formerly known as Electric Vehicle and Battery Active ETF) 100,000 – AI &amp; Innovative Technology Active ETF 100,000 – Hang Seng TECH ETF 2,000,000 41,600,000 USD Money Market ETF 130,000 625,000 Innovative Bluechip Top 10 ETF1 75,000 1,375,000 Japan Global Leaders ETF1 150,000 625,000 India Select Top 10 ETF2 – 3,100,000 US Treasury 3-5 Year ETF</t>
        </is>
      </c>
    </row>
    <row r="36">
      <c r="A36" s="7" t="inlineStr">
        <is>
          <t>ESG Data</t>
        </is>
      </c>
      <c r="B36" s="7" t="inlineStr">
        <is>
          <t>環境社會及管治數據</t>
        </is>
      </c>
      <c r="C36" s="7" t="inlineStr">
        <is>
          <t>medium</t>
        </is>
      </c>
      <c r="D36" s="11" t="inlineStr">
        <is>
          <t>ESG</t>
        </is>
      </c>
      <c r="E36" s="11" t="inlineStr">
        <is>
          <t>PDF p.78 (印刷頁 76)</t>
        </is>
      </c>
      <c r="F36" s="11" t="inlineStr">
        <is>
          <t>h Dividend Yield ETF 17,800,000 57,600,000 China Biotech ETF 450,000 2,250,000 China Cloud Computing ETF 400,000 1,450,000 Hang Seng ESG ETF 2,000,000 1,000,000 EV and Humanoid Robot Active ETF (formerly known as Electric Vehicle and Battery Active ETF) 100,000 100,000 AI &amp; Innovative Technology Active ETF 50,000 100,000 Hang Seng TECH ETF 143,600,000 485,600,000 USD Money Market ETF 130,000 430,000 Innovative Bluechip Top 10 ETF1 575,000 900,000 Japan Global Leaders ETF1 200,000 425,000 India Select Top 10 ETF2 250,000 2,600,0</t>
        </is>
      </c>
    </row>
    <row r="37">
      <c r="A37" s="7" t="inlineStr">
        <is>
          <t>ESG Data</t>
        </is>
      </c>
      <c r="B37" s="7" t="inlineStr">
        <is>
          <t>環境社會及管治數據</t>
        </is>
      </c>
      <c r="C37" s="7" t="inlineStr">
        <is>
          <t>medium</t>
        </is>
      </c>
      <c r="D37" s="11" t="inlineStr">
        <is>
          <t>ESG</t>
        </is>
      </c>
      <c r="E37" s="11" t="inlineStr">
        <is>
          <t>PDF p.79 (印刷頁 77)</t>
        </is>
      </c>
      <c r="F37" s="11" t="inlineStr">
        <is>
          <t>hina ETF HK$7,500 Hang Seng High Dividend Yield ETF HK$7,500 China Biotech ETF RMB6,000 China Cloud Computing ETF RMB6,000 Hang Seng ESG ETF HK$7,500 EV and Humanoid Robot Active ETF (formerly known as Electric Vehicle and Battery Active ETF) USD1,000 AI &amp; Innovative Technology Active ETF USD1,000 Hang Seng TECH ETF HK$4,000 USD Money Market ETF USD100 Innovative Bluechip Top 10 ETF USD1,000 Japan Global Leaders ETF USD1,000 India Select Top 10 ETF USD1,000 US Treasury 3-5 Year ETF USD1,000 Emerging Markets Asia Active ETF USD1</t>
        </is>
      </c>
    </row>
    <row r="38">
      <c r="A38" s="7" t="inlineStr">
        <is>
          <t>ESG Data</t>
        </is>
      </c>
      <c r="B38" s="7" t="inlineStr">
        <is>
          <t>環境社會及管治數據</t>
        </is>
      </c>
      <c r="C38" s="7" t="inlineStr">
        <is>
          <t>medium</t>
        </is>
      </c>
      <c r="D38" s="11" t="inlineStr">
        <is>
          <t>ESG</t>
        </is>
      </c>
      <c r="E38" s="11" t="inlineStr">
        <is>
          <t>PDF p.80 (印刷頁 78)</t>
        </is>
      </c>
      <c r="F38" s="11" t="inlineStr">
        <is>
          <t>ETF (in HK$) 435,000 780,000 China Biotech ETF (in RMB) 156,000 174,000 China Cloud Computing ETF (in RMB) 72,000 144,000 Hang Seng ESG ETF (in HK$) 15,000 7,500 EV and Humanoid Robot Active ETF (formerly known as Electric Vehicle and Battery Active ETF) (in USD) 4,000 – AI &amp; Innovative Technology Active ETF (in USD) 1,000 – Hang Seng TECH ETF (in HK$) 48,000 144,000 USD Money Market ETF (in USD) 700 1,500 Innovative Bluechip Top 10 ETF (in USD) 3,000 22,000 Japan Global Leaders ETF (in JPY) 421,186 1,989,140 India Select Top</t>
        </is>
      </c>
    </row>
    <row r="39">
      <c r="A39" s="7" t="inlineStr">
        <is>
          <t>ESG Data</t>
        </is>
      </c>
      <c r="B39" s="7" t="inlineStr">
        <is>
          <t>環境社會及管治數據</t>
        </is>
      </c>
      <c r="C39" s="7" t="inlineStr">
        <is>
          <t>medium</t>
        </is>
      </c>
      <c r="D39" s="11" t="inlineStr">
        <is>
          <t>ESG</t>
        </is>
      </c>
      <c r="E39" s="11" t="inlineStr">
        <is>
          <t>PDF p.81 (印刷頁 79)</t>
        </is>
      </c>
      <c r="F39" s="11" t="inlineStr">
        <is>
          <t>25 are as follows: Manager’s holding (units) As at 31 March 2026 As at 31 March 2025 Listed Class MSCI China ETF 400,000 – Hang Seng ESG ETF 1,000,000 2,000,000 AI &amp; Innovative Technology Active ETF 100,000 100,000 USD Money Market ETF 60,000 55,000 Innovative Bluechip Top 10 ETF – 150,000 Japan Global Leaders ETF – 150,000 India Select Top 10 ETF – 150,000 Emerging Markets Asia Active ETF 71,428 71,428 India Sector Leader Active ETF 21,428 71,428 Unlisted Class – Class R2 (HKD) MSCI China ETF 333 333 Hang Seng High Dividend Yi</t>
        </is>
      </c>
    </row>
    <row r="40">
      <c r="A40" s="7" t="inlineStr">
        <is>
          <t>ESG Data</t>
        </is>
      </c>
      <c r="B40" s="7" t="inlineStr">
        <is>
          <t>環境社會及管治數據</t>
        </is>
      </c>
      <c r="C40" s="7" t="inlineStr">
        <is>
          <t>medium</t>
        </is>
      </c>
      <c r="D40" s="11" t="inlineStr">
        <is>
          <t>ESG</t>
        </is>
      </c>
      <c r="E40" s="11" t="inlineStr">
        <is>
          <t>PDF p.82 (印刷頁 80)</t>
        </is>
      </c>
      <c r="F40" s="11" t="inlineStr">
        <is>
          <t>TECH ETF 94,469,788 – Manager’s realised gains/(losses) For the year ended For the year ended 31 March 2026 31 March 2025 Hang Seng ESG ETF (in HKD) 501,200 (1,283,100) USD Money Market ETF (in USD) – 149,259 Innovative Bluechip Top 10 ETF (in USD) 641,983 – Japan Global Leaders ETF (in JPY) 27,589,388 – India Select Top 10 ETF (in USD) 17,869 – India Sector Leader Active ETF (in USD) 7,209 – 80</t>
        </is>
      </c>
    </row>
    <row r="41">
      <c r="A41" s="7" t="inlineStr">
        <is>
          <t>ESG Data</t>
        </is>
      </c>
      <c r="B41" s="7" t="inlineStr">
        <is>
          <t>環境社會及管治數據</t>
        </is>
      </c>
      <c r="C41" s="7" t="inlineStr">
        <is>
          <t>medium</t>
        </is>
      </c>
      <c r="D41" s="11" t="inlineStr">
        <is>
          <t>ESG</t>
        </is>
      </c>
      <c r="E41" s="11" t="inlineStr">
        <is>
          <t>PDF p.86 (印刷頁 84)</t>
        </is>
      </c>
      <c r="F41" s="11" t="inlineStr">
        <is>
          <t>USDnil). There were no distributions made to unitholders of MSCI China ETF, China Biotech ETF, China Cloud Computing ETF, Hang Seng ESG ETF, EV and Humanoid Robot Active ETF (formerly known as Electric Vehicle and Battery Active ETF), AI &amp; Innovative Technology Active ETF, Hang Seng TECH ETF, USD Money Market ETF, Innovative Bluechip Top 10 ETF1, Japan Global Leaders ETF1, India Select Top 10 ETF2, Emerging Markets Asia Active ETF3 and India Sector Leader Active ETF3 for the year/period ended 31 March 2026 and 2025. 84</t>
        </is>
      </c>
    </row>
    <row r="42">
      <c r="A42" s="7" t="inlineStr">
        <is>
          <t>ESG Data</t>
        </is>
      </c>
      <c r="B42" s="7" t="inlineStr">
        <is>
          <t>環境社會及管治數據</t>
        </is>
      </c>
      <c r="C42" s="7" t="inlineStr">
        <is>
          <t>medium</t>
        </is>
      </c>
      <c r="D42" s="11" t="inlineStr">
        <is>
          <t>ESG</t>
        </is>
      </c>
      <c r="E42" s="11" t="inlineStr">
        <is>
          <t>PDF p.88 (印刷頁 86)</t>
        </is>
      </c>
      <c r="F42" s="11" t="inlineStr">
        <is>
          <t>551,868,935 370,171,862 EV and Humanoid Robot Active ETF (formerly known as Electric Vehicle and China Cloud Computing ETF Hang Seng ESG ETF Battery Active ETF) As at As at As at As at As at As at 31 March 2026 31 March 2025 31 March 2026 31 March 2025 31 March 2026 31 March 2025 RMB RMB HK$ HK$ USD USD Listed equities 121,665,498 146,005,787 14,266,638 13,228,088 963,522 679,007 Unlisted total return swaps 63,212,931 102,848,105 – – – – 184,878,429 248,853,892 14,266,638 13,228,088 963,522 679,007 AI &amp; Innovative Technology Ac</t>
        </is>
      </c>
    </row>
    <row r="43">
      <c r="A43" s="7" t="inlineStr">
        <is>
          <t>ESG Data</t>
        </is>
      </c>
      <c r="B43" s="7" t="inlineStr">
        <is>
          <t>環境社會及管治數據</t>
        </is>
      </c>
      <c r="C43" s="7" t="inlineStr">
        <is>
          <t>medium</t>
        </is>
      </c>
      <c r="D43" s="11" t="inlineStr">
        <is>
          <t>ESG</t>
        </is>
      </c>
      <c r="E43" s="11" t="inlineStr">
        <is>
          <t>PDF p.91 (印刷頁 89)</t>
        </is>
      </c>
      <c r="F43" s="11" t="inlineStr">
        <is>
          <t>ys Ltd. 10.21% 10.18% Sun Pharmaceutical Indus 11.08% 11.04% Hang Seng High Dividend Yield ETF, China Cloud Computing ETF, Hang Seng ESG ETF, EV and Humanoid Robot Active ETF (formerly known as Electric Vehicle and Battery Active ETF), Hang Seng TECH ETF, USD Money Market ETF, US Treasury 3-5 Year ETF, Emerging Markets Asia Active ETF and India Sector Leader Active ETF (31 March 2025: Hang Seng High Dividend Yield ETF, Hang Seng ESG ETF, Hang Seng TECH ETF, USD Money Market ETF, US Treasury 3-5 Year ETF3, Emerging Markets Asia</t>
        </is>
      </c>
    </row>
    <row r="44">
      <c r="A44" s="7" t="inlineStr">
        <is>
          <t>ESG Data</t>
        </is>
      </c>
      <c r="B44" s="7" t="inlineStr">
        <is>
          <t>環境社會及管治數據</t>
        </is>
      </c>
      <c r="C44" s="7" t="inlineStr">
        <is>
          <t>medium</t>
        </is>
      </c>
      <c r="D44" s="11" t="inlineStr">
        <is>
          <t>ESG</t>
        </is>
      </c>
      <c r="E44" s="11" t="inlineStr">
        <is>
          <t>PDF p.94 (印刷頁 92)</t>
        </is>
      </c>
      <c r="F44" s="11" t="inlineStr">
        <is>
          <t>INANCIAL RISK MANAGEMENT OBJECTIVES AND POLICIES (CONTINUED) (b) Market risk (continued) (i) Market price risk (continued) Hang Seng ESG ETF As at 31 March 2026 As at 31 March 2025 Fair value % of net Fair value % of net HK$ asset value HK$ asset value Listed equities - By industry Communication Services 2,604,095 18.17 1,748,142 13.16 Consumer Discretionary 3,023,730 21.11 3,211,442 24.18 Consumer Staples 394,412 2.75 205,658 1.56 Financials 5,128,839 35.80 4,282,473 32.25 Health Care 525,573 3.67 601,820 4.53 Industrials 337,</t>
        </is>
      </c>
    </row>
    <row r="45">
      <c r="A45" s="7" t="inlineStr">
        <is>
          <t>ESG Data</t>
        </is>
      </c>
      <c r="B45" s="7" t="inlineStr">
        <is>
          <t>環境社會及管治數據</t>
        </is>
      </c>
      <c r="C45" s="7" t="inlineStr">
        <is>
          <t>medium</t>
        </is>
      </c>
      <c r="D45" s="11" t="inlineStr">
        <is>
          <t>ESG</t>
        </is>
      </c>
      <c r="E45" s="11" t="inlineStr">
        <is>
          <t>PDF p.98 (印刷頁 96)</t>
        </is>
      </c>
      <c r="F45" s="11" t="inlineStr">
        <is>
          <t>4% +/-115,561,009 +/-18.93% +/-70,073,601 China Cloud Computing ETF (in RMB) +/-4.92% +/-9,100,500 +/-35.94% +/-89,432,008 Hang Seng ESG ETF (in HK$) +/-8.47% +/-1,208,316 +/-42.48% +/-5,618,878 EV and Humanoid Robot Active ETF (formerly known as Electric Vehicle and Battery Active ETF) (in USD) +/-38.21% +/-368,194 +/-12.82% +/-87,019 AI &amp; Innovative Technology Active ETF (in USD) +/-26.02% +/-651,594 +/-8.91% +/-139,232 Hang Seng TECH ETF (in HK$) +/-12.94% +/-235,469,475 +/-56.69% +/-1,288,353,720 Innovative Bluechip Top 10</t>
        </is>
      </c>
    </row>
    <row r="46">
      <c r="A46" s="7" t="inlineStr">
        <is>
          <t>ESG Data</t>
        </is>
      </c>
      <c r="B46" s="7" t="inlineStr">
        <is>
          <t>環境社會及管治數據</t>
        </is>
      </c>
      <c r="C46" s="7" t="inlineStr">
        <is>
          <t>medium</t>
        </is>
      </c>
      <c r="D46" s="11" t="inlineStr">
        <is>
          <t>ESG</t>
        </is>
      </c>
      <c r="E46" s="11" t="inlineStr">
        <is>
          <t>PDF p.111 (印刷頁 109)</t>
        </is>
      </c>
      <c r="F46" s="11" t="inlineStr">
        <is>
          <t>than 10% of China Cloud Computing ETF’s units, representing 32.71%, 19.71% and 10.59% of the Sub-Fund’s total net assets. Hang Seng ESG ETF As at 31 March 2026 and 2025, the financial liabilities including the management fee payable and registration fee payable. All the financial liabilities are with less than 1 month maturity as at 31 March 2026 and 2025. As at 31 March 2026, two unitholders held more than 10% of Hang Seng ESG ETF’s units, representing 60.39% and 33.33% respectively of the Sub-Fund’s total net assets. As at 3</t>
        </is>
      </c>
    </row>
    <row r="47">
      <c r="A47" s="7" t="inlineStr">
        <is>
          <t>ESG Data</t>
        </is>
      </c>
      <c r="B47" s="7" t="inlineStr">
        <is>
          <t>環境社會及管治數據</t>
        </is>
      </c>
      <c r="C47" s="7" t="inlineStr">
        <is>
          <t>medium</t>
        </is>
      </c>
      <c r="D47" s="11" t="inlineStr">
        <is>
          <t>ESG</t>
        </is>
      </c>
      <c r="E47" s="11" t="inlineStr">
        <is>
          <t>PDF p.115 (印刷頁 113)</t>
        </is>
      </c>
      <c r="F47" s="11" t="inlineStr">
        <is>
          <t>,954 China Biotech ETF (in RMB) 397,555,010 – – 397,555,010 China Cloud Computing ETF (in RMB) 121,665,498 – – 121,665,498 Hang Seng ESG ETF (in HK$) 14,266,638 – – 14,266,638 EV and Humanoid Robot Active ETF (formerly known as Electric Vehicle and Battery Active ETF) (in USD) 963,522 – – 963,522 AI &amp; Innovative Technology Active ETF (in USD) 2,504,686 – – 2,504,686 Hang Seng TECH ETF (in HK$) 1,819,087,569 – – 1,819,087,569 Innovative Bluechip Top 10 ETF (in USD) 1,758,339 – – 1,758,339 Japan Global Leaders ETF (in JPY) 522,86</t>
        </is>
      </c>
    </row>
    <row r="48">
      <c r="A48" s="7" t="inlineStr">
        <is>
          <t>ESG Data</t>
        </is>
      </c>
      <c r="B48" s="7" t="inlineStr">
        <is>
          <t>環境社會及管治數據</t>
        </is>
      </c>
      <c r="C48" s="7" t="inlineStr">
        <is>
          <t>medium</t>
        </is>
      </c>
      <c r="D48" s="11" t="inlineStr">
        <is>
          <t>ESG</t>
        </is>
      </c>
      <c r="E48" s="11" t="inlineStr">
        <is>
          <t>PDF p.116 (印刷頁 114)</t>
        </is>
      </c>
      <c r="F48" s="11" t="inlineStr">
        <is>
          <t>,892 China Biotech ETF (in RMB) 227,262,308 – – 227,262,308 China Cloud Computing ETF (in RMB) 146,005,787 – – 146,005,787 Hang Seng ESG ETF (in HK$) 13,228,088 – – 13,228,088 EV and Humanoid Robot Active ETF (formerly known as Electric Vehicle and Battery Active ETF) (in USD) 679,007 – – 679,007 AI &amp; Innovative Technology Active ETF (in USD) 1,563,180 – – 1,563,180 Hang Seng TECH ETF (in HK$) 2,272,712,792 – – 2,272,712,792 Innovative Bluechip Top 10 ETF (in USD) 5,777,364 – – 5,777,364 Japan Global Leaders ETF (in JPY) 468,57</t>
        </is>
      </c>
    </row>
    <row r="49">
      <c r="A49" s="7" t="inlineStr">
        <is>
          <t>ESG Data</t>
        </is>
      </c>
      <c r="B49" s="7" t="inlineStr">
        <is>
          <t>環境社會及管治數據</t>
        </is>
      </c>
      <c r="C49" s="7" t="inlineStr">
        <is>
          <t>medium</t>
        </is>
      </c>
      <c r="D49" s="11" t="inlineStr">
        <is>
          <t>ESG</t>
        </is>
      </c>
      <c r="E49" s="11" t="inlineStr">
        <is>
          <t>PDF p.117 (印刷頁 115)</t>
        </is>
      </c>
      <c r="F49" s="11" t="inlineStr">
        <is>
          <t>(e) Fair value estimation (continued) For Hang Seng High Dividend Yield ETF, China Biotech ETF, China Cloud Computing ETF, Hang Seng ESG ETF, EV and Humanoid Robot Active ETF (formerly known as Electric Vehicle and Battery Active ETF), AI &amp; Innovative Technology Active ETF, Hang Seng TECH ETF, USD Money Market ETF, Innovative Bluechip Top 10 ETF, Japan Global Leaders ETF, India Select Top 10 ETF, US Treasury 3-5 Year ETF, Emerging Markets Asia Active ETF and India Sector Leader Active ETF, there were no transfers between levels</t>
        </is>
      </c>
    </row>
    <row r="50">
      <c r="A50" s="7" t="inlineStr">
        <is>
          <t>ESG Data</t>
        </is>
      </c>
      <c r="B50" s="7" t="inlineStr">
        <is>
          <t>環境社會及管治數據</t>
        </is>
      </c>
      <c r="C50" s="7" t="inlineStr">
        <is>
          <t>medium</t>
        </is>
      </c>
      <c r="D50" s="11" t="inlineStr">
        <is>
          <t>ESG</t>
        </is>
      </c>
      <c r="E50" s="11" t="inlineStr">
        <is>
          <t>PDF p.124 (印刷頁 122)</t>
        </is>
      </c>
      <c r="F50" s="11" t="inlineStr">
        <is>
          <t>vesting in securities for MSCI China ETF, Hang Seng High Dividend Yield ETF, China Biotech ETF, China Cloud Computing ETF, Hang Seng ESG ETF, EV and Humanoid Robot Active ETF (formerly known as Electric Vehicle and Battery Active ETF), AI &amp; Innovative Technology Active ETF, Hang Seng TECH ETF, Innovative Bluechip Top 10 ETF, Japan Global Leaders ETF, India Select Top 10 ETF, Emerging Markets Asia Active ETF and India Sector Leader Active ETF, investing in term deposits and high quality money market investments for USD Money Mar</t>
        </is>
      </c>
    </row>
    <row r="51">
      <c r="A51" s="7" t="inlineStr">
        <is>
          <t>ESG Data</t>
        </is>
      </c>
      <c r="B51" s="7" t="inlineStr">
        <is>
          <t>環境社會及管治數據</t>
        </is>
      </c>
      <c r="C51" s="7" t="inlineStr">
        <is>
          <t>medium</t>
        </is>
      </c>
      <c r="D51" s="11" t="inlineStr">
        <is>
          <t>ESG</t>
        </is>
      </c>
      <c r="E51" s="11" t="inlineStr">
        <is>
          <t>PDF p.126 (印刷頁 124)</t>
        </is>
      </c>
      <c r="F51" s="11" t="inlineStr">
        <is>
          <t>GLOBAL X ETF SERIES NOTES TO THE FINANCIAL STATEMENTS 31 March 2026 ESG DISCLOSURE FOR GLOBAL X HANG SENG ESG ETF (UNAUDITED) Global X ETF Series Global X Hang Seng ESG ETF (1 April 2025 – 31 March 2026) Actual proportion of underlying investments From 1 April 2025 to 31 March 2026, 99.5% of the Sub-Fund’s that are commensurate with the Sub-Fund’s average net asset value was invested in securities that are ESG focus commensurate with the Sub-Fund’s ESG focus. Actu</t>
        </is>
      </c>
    </row>
    <row r="52">
      <c r="A52" s="7" t="inlineStr">
        <is>
          <t>ESG Data</t>
        </is>
      </c>
      <c r="B52" s="7" t="inlineStr">
        <is>
          <t>環境社會及管治數據</t>
        </is>
      </c>
      <c r="C52" s="7" t="inlineStr">
        <is>
          <t>medium</t>
        </is>
      </c>
      <c r="D52" s="11" t="inlineStr">
        <is>
          <t>ESG</t>
        </is>
      </c>
      <c r="E52" s="11" t="inlineStr">
        <is>
          <t>PDF p.127 (印刷頁 125)</t>
        </is>
      </c>
      <c r="F52" s="11" t="inlineStr">
        <is>
          <t>GLOBAL X ETF SERIES NOTES TO THE FINANCIAL STATEMENTS 31 March 2026 ESG DISCLOSURE FOR GLOBAL X HANG SENG ESG ETF (UNAUDITED) (CONTINUED) Global X ETF Series Global X Hang Seng ESG ETF (1 April 2025 – 31 March 2026) Description of the basis of the assessment The underlying index of the Sub-Fund only includes securities performed issued by companies that are commensurate with the Sub-Fund’s ESG focus. The actual proportion of underlying investments that are commens</t>
        </is>
      </c>
    </row>
    <row r="53">
      <c r="A53" s="7" t="inlineStr">
        <is>
          <t>Segment Information</t>
        </is>
      </c>
      <c r="B53" s="7" t="inlineStr">
        <is>
          <t>分部資料</t>
        </is>
      </c>
      <c r="C53" s="7" t="inlineStr">
        <is>
          <t>medium</t>
        </is>
      </c>
      <c r="D53" s="11" t="inlineStr">
        <is>
          <t>segment information</t>
        </is>
      </c>
      <c r="E53" s="11" t="inlineStr">
        <is>
          <t>PDF p.124 (印刷頁 122)</t>
        </is>
      </c>
      <c r="F53" s="11" t="inlineStr">
        <is>
          <t>on affects only that year or in the year of the revision and future years if the revision affects both current and future years. 17. SEGMENT INFORMATION The Manager makes the strategic resource allocations on behalf of the Sub-Funds and has determined the operating segments based on the reports reviewed which are used to make strategic decisions. The Manager considers that each Sub-Fund has a single operating segment which is investing in securities for MSCI China ETF, Hang Seng High Dividend Yield ETF, China Biotech ETF, China</t>
        </is>
      </c>
    </row>
    <row r="54">
      <c r="A54" s="7" t="inlineStr">
        <is>
          <t>Segment Information</t>
        </is>
      </c>
      <c r="B54" s="7" t="inlineStr">
        <is>
          <t>分部資料</t>
        </is>
      </c>
      <c r="C54" s="7" t="inlineStr">
        <is>
          <t>medium</t>
        </is>
      </c>
      <c r="D54" s="11" t="inlineStr">
        <is>
          <t>segment information</t>
        </is>
      </c>
      <c r="E54" s="11" t="inlineStr">
        <is>
          <t>PDF p.125 (印刷頁 123)</t>
        </is>
      </c>
      <c r="F54" s="11" t="inlineStr">
        <is>
          <t>GLOBAL X ETF SERIES NOTES TO THE FINANCIAL STATEMENTS 31 March 2026 17. SEGMENT INFORMATION (CONTINUED) The Fund has a diversified portfolio of investments. Please refer to Note 14 for unit holdings that account for more than 10% of each Sub-Fund’s net asset value. 18. EVENTS AFTER THE REPORTING PERIOD Subsequent Significant Redemption on the Sub-Fund(s) Subsequent to 31 March 2026 and up to the date of authorisation of these financial statements, the Sub-Funds which</t>
        </is>
      </c>
    </row>
    <row r="55">
      <c r="A55" s="7" t="inlineStr">
        <is>
          <t>Related Party Transactions</t>
        </is>
      </c>
      <c r="B55" s="7" t="inlineStr">
        <is>
          <t>關聯方交易</t>
        </is>
      </c>
      <c r="C55" s="7" t="inlineStr">
        <is>
          <t>low</t>
        </is>
      </c>
      <c r="D55" s="11" t="inlineStr">
        <is>
          <t>related party</t>
        </is>
      </c>
      <c r="E55" s="11" t="inlineStr">
        <is>
          <t>PDF p.80 (印刷頁 78)</t>
        </is>
      </c>
      <c r="F55" s="11" t="inlineStr">
        <is>
          <t>ain amounts of due from/to brokers of the Sub-Funds as at 31 March 2026 and 2025 are due from/to Citigroup Global Markets Limited, a related party of the Trustee and Mirae Asset Securities (HK) Limited, a related company of the Manager is as follows: Amounts due from brokers As at 31 March 2026 As at 31 March 2025 Citigroup Global Markets Limited MSCI China ETF (in HK$) 238 – Innovative Bluechip Top 10 ETF (in USD) 1 – Emerging Markets Asia Active ETF (in USD) 42 – Mirae Asset Securities (HK) Limited India Sector Leader Active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7" t="inlineStr">
        <is>
          <t>Income Statement</t>
        </is>
      </c>
      <c r="B8" s="7" t="inlineStr">
        <is>
          <t>Revenue</t>
        </is>
      </c>
    </row>
    <row r="9">
      <c r="A9" s="7" t="inlineStr">
        <is>
          <t>Income Statement</t>
        </is>
      </c>
      <c r="B9" s="7" t="inlineStr">
        <is>
          <t>Cost of Sales</t>
        </is>
      </c>
    </row>
    <row r="10">
      <c r="A10" s="7" t="inlineStr">
        <is>
          <t>Income Statement</t>
        </is>
      </c>
      <c r="B10" s="7" t="inlineStr">
        <is>
          <t>Gross Profit</t>
        </is>
      </c>
    </row>
    <row r="11">
      <c r="A11" s="7" t="inlineStr">
        <is>
          <t>Income Statement</t>
        </is>
      </c>
      <c r="B11" s="7" t="inlineStr">
        <is>
          <t>Income Tax</t>
        </is>
      </c>
    </row>
    <row r="12">
      <c r="A12" s="7" t="inlineStr">
        <is>
          <t>Income Statement</t>
        </is>
      </c>
      <c r="B12" s="7" t="inlineStr">
        <is>
          <t>Profit for the Year</t>
        </is>
      </c>
    </row>
    <row r="13">
      <c r="A13" s="7" t="inlineStr">
        <is>
          <t>Income Statement</t>
        </is>
      </c>
      <c r="B13" s="7" t="inlineStr">
        <is>
          <t>R&amp;D Expenses</t>
        </is>
      </c>
    </row>
    <row r="14">
      <c r="A14" s="7" t="inlineStr">
        <is>
          <t>Income Statement</t>
        </is>
      </c>
      <c r="B14" s="7" t="inlineStr">
        <is>
          <t>Depreciation</t>
        </is>
      </c>
    </row>
    <row r="15">
      <c r="A15" s="7" t="inlineStr">
        <is>
          <t>Income Statement</t>
        </is>
      </c>
      <c r="B15" s="7" t="inlineStr">
        <is>
          <t>Amortisation</t>
        </is>
      </c>
    </row>
    <row r="18">
      <c r="A18" s="5" t="inlineStr">
        <is>
          <t>二、文字量過低的頁面(疑似掃描頁)</t>
        </is>
      </c>
    </row>
    <row r="19">
      <c r="A19" s="2" t="inlineStr">
        <is>
          <t>這些頁面幾乎抓不到文字,通常是掃描件或純圖表,建議人手翻閱或另行 OCR。</t>
        </is>
      </c>
    </row>
    <row r="21">
      <c r="A21" s="6" t="inlineStr">
        <is>
          <t>PDF 頁碼</t>
        </is>
      </c>
      <c r="B21" s="6" t="inlineStr">
        <is>
          <t>狀態</t>
        </is>
      </c>
    </row>
    <row r="22">
      <c r="A22" s="7" t="n">
        <v>3</v>
      </c>
      <c r="B22" s="7" t="inlineStr">
        <is>
          <t>文字量過低 — 可能為掃描頁/圖表頁</t>
        </is>
      </c>
    </row>
    <row r="23">
      <c r="A23" s="7" t="n">
        <v>4</v>
      </c>
      <c r="B23" s="7" t="inlineStr">
        <is>
          <t>文字量過低 — 可能為掃描頁/圖表頁</t>
        </is>
      </c>
    </row>
    <row r="24">
      <c r="A24" s="7" t="n">
        <v>5</v>
      </c>
      <c r="B24" s="7" t="inlineStr">
        <is>
          <t>文字量過低 — 可能為掃描頁/圖表頁</t>
        </is>
      </c>
    </row>
    <row r="25">
      <c r="A25" s="7" t="n">
        <v>6</v>
      </c>
      <c r="B25" s="7" t="inlineStr">
        <is>
          <t>文字量過低 — 可能為掃描頁/圖表頁</t>
        </is>
      </c>
    </row>
    <row r="26">
      <c r="A26" s="7" t="n">
        <v>7</v>
      </c>
      <c r="B26" s="7" t="inlineStr">
        <is>
          <t>文字量過低 — 可能為掃描頁/圖表頁</t>
        </is>
      </c>
    </row>
    <row r="27">
      <c r="A27" s="7" t="n">
        <v>8</v>
      </c>
      <c r="B27" s="7" t="inlineStr">
        <is>
          <t>文字量過低 — 可能為掃描頁/圖表頁</t>
        </is>
      </c>
    </row>
    <row r="28">
      <c r="A28" s="7" t="n">
        <v>9</v>
      </c>
      <c r="B28" s="7" t="inlineStr">
        <is>
          <t>文字量過低 — 可能為掃描頁/圖表頁</t>
        </is>
      </c>
    </row>
    <row r="29">
      <c r="A29" s="7" t="n">
        <v>15</v>
      </c>
      <c r="B29" s="7"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2026-08-30T14:17:07Z</dcterms:created>
  <dcterms:modified xsi:type="dcterms:W3CDTF">2026-08-30T14:17:07Z</dcterms:modified>
</cp:coreProperties>
</file>
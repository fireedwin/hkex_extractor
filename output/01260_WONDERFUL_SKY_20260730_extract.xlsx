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趨勢圖'!$A$5:$A$6</f>
            </numRef>
          </cat>
          <val>
            <numRef>
              <f>'Chart 趨勢圖'!$B$5:$B$6</f>
            </numRef>
          </val>
        </ser>
        <ser>
          <idx val="1"/>
          <order val="1"/>
          <tx>
            <strRef>
              <f>'Chart 趨勢圖'!C4</f>
            </strRef>
          </tx>
          <spPr>
            <a:ln>
              <a:prstDash val="solid"/>
            </a:ln>
          </spPr>
          <cat>
            <numRef>
              <f>'Chart 趨勢圖'!$A$5:$A$6</f>
            </numRef>
          </cat>
          <val>
            <numRef>
              <f>'Chart 趨勢圖'!$C$5:$C$6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01260_WONDERFUL_SKY_20260730.pdf</t>
        </is>
      </c>
    </row>
    <row r="5">
      <c r="A5" s="3" t="inlineStr">
        <is>
          <t>產生時間 Generated</t>
        </is>
      </c>
      <c r="B5" s="4" t="inlineStr">
        <is>
          <t>2026-08-30 22:15</t>
        </is>
      </c>
    </row>
    <row r="6">
      <c r="A6" s="4" t="inlineStr"/>
      <c r="B6" s="4" t="inlineStr"/>
    </row>
    <row r="7">
      <c r="A7" s="3" t="inlineStr">
        <is>
          <t>總頁數 Total pages</t>
        </is>
      </c>
      <c r="B7" s="4" t="n">
        <v>109</v>
      </c>
    </row>
    <row r="8">
      <c r="A8" s="3" t="inlineStr">
        <is>
          <t>已擷取字元 Characters extracted</t>
        </is>
      </c>
      <c r="B8" s="4" t="n">
        <v>227081</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0</v>
      </c>
    </row>
    <row r="13">
      <c r="A13" s="3" t="inlineStr">
        <is>
          <t>財務科目擷取筆數 Financial line items</t>
        </is>
      </c>
      <c r="B13" s="4" t="n">
        <v>5</v>
      </c>
    </row>
    <row r="14">
      <c r="A14" s="3" t="inlineStr">
        <is>
          <t>主題段落擷取筆數 Topic extracts</t>
        </is>
      </c>
      <c r="B14" s="4" t="n">
        <v>68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三大報表應相鄰</t>
        </is>
      </c>
      <c r="B19" s="4" t="inlineStr">
        <is>
          <t>Income Statement: p.77、Balance Sheet: p.89、Cash Flow: p.39(相距 50 頁,可能有一張抓錯頁)</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Profit Before Tax</t>
        </is>
      </c>
      <c r="C5" s="9" t="n">
        <v>100108</v>
      </c>
      <c r="D5" s="10" t="n">
        <v>48086</v>
      </c>
      <c r="E5" s="11">
        <f>IF(ISERROR((C5-D5)/ABS(D5)),"",(C5-D5)/ABS(D5))</f>
        <v>1.0818533460882584</v>
      </c>
      <c r="F5" s="12" t="inlineStr">
        <is>
          <t>PDF p.77 (印刷頁 76)</t>
        </is>
      </c>
      <c r="G5" s="12" t="inlineStr">
        <is>
          <t>Profit before taxation 100,108 48,086</t>
        </is>
      </c>
    </row>
    <row r="6">
      <c r="A6" s="8" t="inlineStr">
        <is>
          <t>Income Statement</t>
        </is>
      </c>
      <c r="B6" s="8" t="inlineStr">
        <is>
          <t>Profit for the Year</t>
        </is>
      </c>
      <c r="C6" s="9" t="n">
        <v>2026</v>
      </c>
      <c r="D6" s="10" t="n">
        <v>2025</v>
      </c>
      <c r="E6" s="11">
        <f>IF(ISERROR((C6-D6)/ABS(D6)),"",(C6-D6)/ABS(D6))</f>
        <v>0.0004938271604938272</v>
      </c>
      <c r="F6" s="12" t="inlineStr">
        <is>
          <t>PDF p.78 (印刷頁 77)</t>
        </is>
      </c>
      <c r="G6" s="12" t="inlineStr">
        <is>
          <t>Profit for the year attributable to owners of the Company for the … 2026 2025</t>
        </is>
      </c>
    </row>
    <row r="7">
      <c r="A7" s="8" t="inlineStr">
        <is>
          <t>Cash Flow</t>
        </is>
      </c>
      <c r="B7" s="8" t="inlineStr">
        <is>
          <t>Operating Cash Flow</t>
        </is>
      </c>
      <c r="C7" s="9" t="n">
        <v>138401</v>
      </c>
      <c r="D7" s="10" t="n">
        <v>54254</v>
      </c>
      <c r="E7" s="11">
        <f>IF(ISERROR((C7-D7)/ABS(D7)),"",(C7-D7)/ABS(D7))</f>
        <v>1.5509824160430568</v>
      </c>
      <c r="F7" s="12" t="inlineStr">
        <is>
          <t>PDF p.39 (印刷頁 38)</t>
        </is>
      </c>
      <c r="G7" s="12" t="inlineStr">
        <is>
          <t>Net cash from operating activities 138,401 54,254</t>
        </is>
      </c>
    </row>
    <row r="8">
      <c r="A8" s="8" t="inlineStr">
        <is>
          <t>Cash Flow</t>
        </is>
      </c>
      <c r="B8" s="8" t="inlineStr">
        <is>
          <t>Capital Expenditure</t>
        </is>
      </c>
      <c r="C8" s="9" t="n">
        <v>-66</v>
      </c>
      <c r="D8" s="10" t="n">
        <v>-60</v>
      </c>
      <c r="E8" s="11">
        <f>IF(ISERROR((C8-D8)/ABS(D8)),"",(C8-D8)/ABS(D8))</f>
        <v>-0.1</v>
      </c>
      <c r="F8" s="12" t="inlineStr">
        <is>
          <t>PDF p.40 (印刷頁 39)</t>
        </is>
      </c>
      <c r="G8" s="12" t="inlineStr">
        <is>
          <t>Purchase of property, plant and equipment (66) (60)</t>
        </is>
      </c>
    </row>
    <row r="9">
      <c r="A9" s="8" t="inlineStr">
        <is>
          <t>Cash Flow</t>
        </is>
      </c>
      <c r="B9" s="8" t="inlineStr">
        <is>
          <t>Investing Cash Flow</t>
        </is>
      </c>
      <c r="C9" s="9" t="n">
        <v>-151569</v>
      </c>
      <c r="D9" s="10" t="n">
        <v>-232522</v>
      </c>
      <c r="E9" s="11">
        <f>IF(ISERROR((C9-D9)/ABS(D9)),"",(C9-D9)/ABS(D9))</f>
        <v>0.3481520028212384</v>
      </c>
      <c r="F9" s="12" t="inlineStr">
        <is>
          <t>PDF p.40 (印刷頁 39)</t>
        </is>
      </c>
      <c r="G9" s="12" t="inlineStr">
        <is>
          <t>Net cash used in investing activities (151,569) (232,522)</t>
        </is>
      </c>
    </row>
    <row r="11">
      <c r="A1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t="str">
        <f>IF(ISERROR(INDEX('Financials 財務數據'!$C$5:$C$9,MATCH("Gross Profit",'Financials 財務數據'!$B$5:$B$9,0))/INDEX('Financials 財務數據'!$C$5:$C$9,MATCH("Revenue",'Financials 財務數據'!$B$5:$B$9,0))),"n/a",INDEX('Financials 財務數據'!$C$5:$C$9,MATCH("Gross Profit",'Financials 財務數據'!$B$5:$B$9,0))/INDEX('Financials 財務數據'!$C$5:$C$9,MATCH("Revenue",'Financials 財務數據'!$B$5:$B$9,0)))</f>
        <v>n/a</v>
      </c>
      <c r="C5" s="13" t="str">
        <f>IF(ISERROR(INDEX('Financials 財務數據'!$D$5:$D$9,MATCH("Gross Profit",'Financials 財務數據'!$B$5:$B$9,0))/INDEX('Financials 財務數據'!$D$5:$D$9,MATCH("Revenue",'Financials 財務數據'!$B$5:$B$9,0))),"n/a",INDEX('Financials 財務數據'!$D$5:$D$9,MATCH("Gross Profit",'Financials 財務數據'!$B$5:$B$9,0))/INDEX('Financials 財務數據'!$D$5:$D$9,MATCH("Revenue",'Financials 財務數據'!$B$5:$B$9,0)))</f>
        <v>n/a</v>
      </c>
      <c r="D5" s="2" t="inlineStr">
        <is>
          <t>毛利 ÷ 收入</t>
        </is>
      </c>
    </row>
    <row r="6">
      <c r="A6" s="4" t="inlineStr">
        <is>
          <t>Net Margin 淨利率</t>
        </is>
      </c>
      <c r="B6" s="13" t="str">
        <f>IF(ISERROR(INDEX('Financials 財務數據'!$C$5:$C$9,MATCH("Profit for the Year",'Financials 財務數據'!$B$5:$B$9,0))/INDEX('Financials 財務數據'!$C$5:$C$9,MATCH("Revenue",'Financials 財務數據'!$B$5:$B$9,0))),"n/a",INDEX('Financials 財務數據'!$C$5:$C$9,MATCH("Profit for the Year",'Financials 財務數據'!$B$5:$B$9,0))/INDEX('Financials 財務數據'!$C$5:$C$9,MATCH("Revenue",'Financials 財務數據'!$B$5:$B$9,0)))</f>
        <v>n/a</v>
      </c>
      <c r="C6" s="13" t="str">
        <f>IF(ISERROR(INDEX('Financials 財務數據'!$D$5:$D$9,MATCH("Profit for the Year",'Financials 財務數據'!$B$5:$B$9,0))/INDEX('Financials 財務數據'!$D$5:$D$9,MATCH("Revenue",'Financials 財務數據'!$B$5:$B$9,0))),"n/a",INDEX('Financials 財務數據'!$D$5:$D$9,MATCH("Profit for the Year",'Financials 財務數據'!$B$5:$B$9,0))/INDEX('Financials 財務數據'!$D$5:$D$9,MATCH("Revenue",'Financials 財務數據'!$B$5:$B$9,0)))</f>
        <v>n/a</v>
      </c>
      <c r="D6" s="2" t="inlineStr">
        <is>
          <t>年內溢利 ÷ 收入</t>
        </is>
      </c>
    </row>
    <row r="7">
      <c r="A7" s="4" t="inlineStr">
        <is>
          <t>Current Ratio 流動比率</t>
        </is>
      </c>
      <c r="B7" s="14" t="str">
        <f>IF(ISERROR(INDEX('Financials 財務數據'!$C$5:$C$9,MATCH("Total Current Assets",'Financials 財務數據'!$B$5:$B$9,0))/INDEX('Financials 財務數據'!$C$5:$C$9,MATCH("Total Current Liabilities",'Financials 財務數據'!$B$5:$B$9,0))),"n/a",INDEX('Financials 財務數據'!$C$5:$C$9,MATCH("Total Current Assets",'Financials 財務數據'!$B$5:$B$9,0))/INDEX('Financials 財務數據'!$C$5:$C$9,MATCH("Total Current Liabilities",'Financials 財務數據'!$B$5:$B$9,0)))</f>
        <v>n/a</v>
      </c>
      <c r="C7" s="14" t="str">
        <f>IF(ISERROR(INDEX('Financials 財務數據'!$D$5:$D$9,MATCH("Total Current Assets",'Financials 財務數據'!$B$5:$B$9,0))/INDEX('Financials 財務數據'!$D$5:$D$9,MATCH("Total Current Liabilities",'Financials 財務數據'!$B$5:$B$9,0))),"n/a",INDEX('Financials 財務數據'!$D$5:$D$9,MATCH("Total Current Assets",'Financials 財務數據'!$B$5:$B$9,0))/INDEX('Financials 財務數據'!$D$5:$D$9,MATCH("Total Current Liabilities",'Financials 財務數據'!$B$5:$B$9,0)))</f>
        <v>n/a</v>
      </c>
      <c r="D7" s="2" t="inlineStr">
        <is>
          <t>流動資產 ÷ 流動負債</t>
        </is>
      </c>
    </row>
    <row r="8">
      <c r="A8" s="4" t="inlineStr">
        <is>
          <t>Debt / Equity 負債權益比</t>
        </is>
      </c>
      <c r="B8" s="14" t="str">
        <f>IF(ISERROR(INDEX('Financials 財務數據'!$C$5:$C$9,MATCH("Total Liabilities",'Financials 財務數據'!$B$5:$B$9,0))/INDEX('Financials 財務數據'!$C$5:$C$9,MATCH("Total Equity",'Financials 財務數據'!$B$5:$B$9,0))),"n/a",INDEX('Financials 財務數據'!$C$5:$C$9,MATCH("Total Liabilities",'Financials 財務數據'!$B$5:$B$9,0))/INDEX('Financials 財務數據'!$C$5:$C$9,MATCH("Total Equity",'Financials 財務數據'!$B$5:$B$9,0)))</f>
        <v>n/a</v>
      </c>
      <c r="C8" s="14" t="str">
        <f>IF(ISERROR(INDEX('Financials 財務數據'!$D$5:$D$9,MATCH("Total Liabilities",'Financials 財務數據'!$B$5:$B$9,0))/INDEX('Financials 財務數據'!$D$5:$D$9,MATCH("Total Equity",'Financials 財務數據'!$B$5:$B$9,0))),"n/a",INDEX('Financials 財務數據'!$D$5:$D$9,MATCH("Total Liabilities",'Financials 財務數據'!$B$5:$B$9,0))/INDEX('Financials 財務數據'!$D$5:$D$9,MATCH("Total Equity",'Financials 財務數據'!$B$5:$B$9,0)))</f>
        <v>n/a</v>
      </c>
      <c r="D8" s="2" t="inlineStr">
        <is>
          <t>總負債 ÷ 總權益</t>
        </is>
      </c>
    </row>
    <row r="9">
      <c r="A9" s="4" t="inlineStr">
        <is>
          <t>Goodwill / Total Assets</t>
        </is>
      </c>
      <c r="B9" s="13" t="str">
        <f>IF(ISERROR(INDEX('Financials 財務數據'!$C$5:$C$9,MATCH("Goodwill",'Financials 財務數據'!$B$5:$B$9,0))/INDEX('Financials 財務數據'!$C$5:$C$9,MATCH("Total Assets",'Financials 財務數據'!$B$5:$B$9,0))),"n/a",INDEX('Financials 財務數據'!$C$5:$C$9,MATCH("Goodwill",'Financials 財務數據'!$B$5:$B$9,0))/INDEX('Financials 財務數據'!$C$5:$C$9,MATCH("Total Assets",'Financials 財務數據'!$B$5:$B$9,0)))</f>
        <v>n/a</v>
      </c>
      <c r="C9" s="13" t="str">
        <f>IF(ISERROR(INDEX('Financials 財務數據'!$D$5:$D$9,MATCH("Goodwill",'Financials 財務數據'!$B$5:$B$9,0))/INDEX('Financials 財務數據'!$D$5:$D$9,MATCH("Total Assets",'Financials 財務數據'!$B$5:$B$9,0))),"n/a",INDEX('Financials 財務數據'!$D$5:$D$9,MATCH("Goodwill",'Financials 財務數據'!$B$5:$B$9,0))/INDEX('Financials 財務數據'!$D$5:$D$9,MATCH("Total Assets",'Financials 財務數據'!$B$5:$B$9,0)))</f>
        <v>n/a</v>
      </c>
      <c r="D9" s="2" t="inlineStr">
        <is>
          <t>商譽佔總資產比重 — 減值風險指標</t>
        </is>
      </c>
    </row>
    <row r="10">
      <c r="A10" s="4" t="inlineStr">
        <is>
          <t>Intangibles / Total Assets</t>
        </is>
      </c>
      <c r="B10" s="13" t="str">
        <f>IF(ISERROR(INDEX('Financials 財務數據'!$C$5:$C$9,MATCH("Intangible Assets",'Financials 財務數據'!$B$5:$B$9,0))/INDEX('Financials 財務數據'!$C$5:$C$9,MATCH("Total Assets",'Financials 財務數據'!$B$5:$B$9,0))),"n/a",INDEX('Financials 財務數據'!$C$5:$C$9,MATCH("Intangible Assets",'Financials 財務數據'!$B$5:$B$9,0))/INDEX('Financials 財務數據'!$C$5:$C$9,MATCH("Total Assets",'Financials 財務數據'!$B$5:$B$9,0)))</f>
        <v>n/a</v>
      </c>
      <c r="C10" s="13" t="str">
        <f>IF(ISERROR(INDEX('Financials 財務數據'!$D$5:$D$9,MATCH("Intangible Assets",'Financials 財務數據'!$B$5:$B$9,0))/INDEX('Financials 財務數據'!$D$5:$D$9,MATCH("Total Assets",'Financials 財務數據'!$B$5:$B$9,0))),"n/a",INDEX('Financials 財務數據'!$D$5:$D$9,MATCH("Intangible Assets",'Financials 財務數據'!$B$5:$B$9,0))/INDEX('Financials 財務數據'!$D$5:$D$9,MATCH("Total Assets",'Financials 財務數據'!$B$5:$B$9,0)))</f>
        <v>n/a</v>
      </c>
      <c r="D10" s="2" t="inlineStr">
        <is>
          <t>無形資產佔比</t>
        </is>
      </c>
    </row>
    <row r="11">
      <c r="A11" s="4" t="inlineStr">
        <is>
          <t>ROE 股本回報率</t>
        </is>
      </c>
      <c r="B11" s="13" t="str">
        <f>IF(ISERROR(INDEX('Financials 財務數據'!$C$5:$C$9,MATCH("Profit for the Year",'Financials 財務數據'!$B$5:$B$9,0))/INDEX('Financials 財務數據'!$C$5:$C$9,MATCH("Total Equity",'Financials 財務數據'!$B$5:$B$9,0))),"n/a",INDEX('Financials 財務數據'!$C$5:$C$9,MATCH("Profit for the Year",'Financials 財務數據'!$B$5:$B$9,0))/INDEX('Financials 財務數據'!$C$5:$C$9,MATCH("Total Equity",'Financials 財務數據'!$B$5:$B$9,0)))</f>
        <v>n/a</v>
      </c>
      <c r="C11" s="13" t="str">
        <f>IF(ISERROR(INDEX('Financials 財務數據'!$D$5:$D$9,MATCH("Profit for the Year",'Financials 財務數據'!$B$5:$B$9,0))/INDEX('Financials 財務數據'!$D$5:$D$9,MATCH("Total Equity",'Financials 財務數據'!$B$5:$B$9,0))),"n/a",INDEX('Financials 財務數據'!$D$5:$D$9,MATCH("Profit for the Year",'Financials 財務數據'!$B$5:$B$9,0))/INDEX('Financials 財務數據'!$D$5:$D$9,MATCH("Total Equity",'Financials 財務數據'!$B$5:$B$9,0)))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5" t="inlineStr">
        <is>
          <t>Item</t>
        </is>
      </c>
      <c r="B4" s="15" t="inlineStr">
        <is>
          <t>Prior</t>
        </is>
      </c>
      <c r="C4" s="15" t="inlineStr">
        <is>
          <t>Current</t>
        </is>
      </c>
    </row>
    <row r="5">
      <c r="A5" s="4" t="inlineStr">
        <is>
          <t>Profit Before Tax</t>
        </is>
      </c>
      <c r="B5" s="16" t="n">
        <v>48086</v>
      </c>
      <c r="C5" s="16" t="n">
        <v>100108</v>
      </c>
    </row>
    <row r="6">
      <c r="A6" s="4" t="inlineStr">
        <is>
          <t>Profit for the Year</t>
        </is>
      </c>
      <c r="B6" s="16" t="n">
        <v>2025</v>
      </c>
      <c r="C6" s="16" t="n">
        <v>2026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7" t="inlineStr">
        <is>
          <t>high</t>
        </is>
      </c>
      <c r="D4" s="12" t="inlineStr">
        <is>
          <t>level 1</t>
        </is>
      </c>
      <c r="E4" s="12" t="inlineStr">
        <is>
          <t>PDF p.43 (印刷頁 42)</t>
        </is>
      </c>
      <c r="F4" s="12" t="inlineStr">
        <is>
          <t>technique equals the transaction price.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5">
      <c r="A5" s="8" t="inlineStr">
        <is>
          <t>Fair Value Measurement</t>
        </is>
      </c>
      <c r="B5" s="8" t="inlineStr">
        <is>
          <t>公允價值計量</t>
        </is>
      </c>
      <c r="C5" s="17" t="inlineStr">
        <is>
          <t>high</t>
        </is>
      </c>
      <c r="D5" s="12" t="inlineStr">
        <is>
          <t>fair value hierarchy</t>
        </is>
      </c>
      <c r="E5" s="12" t="inlineStr">
        <is>
          <t>PDF p.81 (印刷頁 80)</t>
        </is>
      </c>
      <c r="F5" s="12" t="inlineStr">
        <is>
          <t>ns as available in the relevant market. The fair value measurement of the investment properties is categorised within level 2 of the fair value hierarchy. 80 Wonderful Sky Financial Group Holdings Limited</t>
        </is>
      </c>
    </row>
    <row r="6">
      <c r="A6" s="8" t="inlineStr">
        <is>
          <t>Fair Value Measurement</t>
        </is>
      </c>
      <c r="B6" s="8" t="inlineStr">
        <is>
          <t>公允價值計量</t>
        </is>
      </c>
      <c r="C6" s="17" t="inlineStr">
        <is>
          <t>high</t>
        </is>
      </c>
      <c r="D6" s="12" t="inlineStr">
        <is>
          <t>fair value hierarchy</t>
        </is>
      </c>
      <c r="E6" s="12" t="inlineStr">
        <is>
          <t>PDF p.82 (印刷頁 81)</t>
        </is>
      </c>
      <c r="F6" s="12" t="inlineStr">
        <is>
          <t>luation technique during the reporting period. The fair value measurement of the club debenture is categorised within level 2 of the fair value hierarchy. Annual Report 2026 81</t>
        </is>
      </c>
    </row>
    <row r="7">
      <c r="A7" s="8" t="inlineStr">
        <is>
          <t>Fair Value Measurement</t>
        </is>
      </c>
      <c r="B7" s="8" t="inlineStr">
        <is>
          <t>公允價值計量</t>
        </is>
      </c>
      <c r="C7" s="17" t="inlineStr">
        <is>
          <t>high</t>
        </is>
      </c>
      <c r="D7" s="12" t="inlineStr">
        <is>
          <t>fair value hierarchy</t>
        </is>
      </c>
      <c r="E7" s="12" t="inlineStr">
        <is>
          <t>PDF p.85 (印刷頁 84)</t>
        </is>
      </c>
      <c r="F7" s="12" t="inlineStr">
        <is>
          <t>rence to the net asset value provided by administrators of the funds at the reporting date and are categorised within level 3 of the fair value hierarchy as further detailed in note 29. The directors believe that the estimated fair value provided by the administrators of the fund are reasonable, and these are the most appropriate values at the end of reporting period. Loss on change in fair value of the unlisted investment funds of HK$887,000 (2025: HK$5,002,000) were recognised to profit or loss for the year ended 31 March 202</t>
        </is>
      </c>
    </row>
    <row r="8">
      <c r="A8" s="8" t="inlineStr">
        <is>
          <t>Fair Value Measurement</t>
        </is>
      </c>
      <c r="B8" s="8" t="inlineStr">
        <is>
          <t>公允價值計量</t>
        </is>
      </c>
      <c r="C8" s="17" t="inlineStr">
        <is>
          <t>high</t>
        </is>
      </c>
      <c r="D8" s="12" t="inlineStr">
        <is>
          <t>fair value hierarchy</t>
        </is>
      </c>
      <c r="E8" s="12" t="inlineStr">
        <is>
          <t>PDF p.103 (印刷頁 102)</t>
        </is>
      </c>
      <c r="F8" s="12" t="inlineStr">
        <is>
          <t>es of these financial assets are determined (in particular, the valuation technique(s) and inputs used), as well as the level of the fair value hierarchy into which the fair value measurements are categorised (Level 1 to 3) based on the degree to which the inputs to the fair value measurements is observable. Significant Relationship of Fair value Valuation technique unobservable unobservable inputs Financial assets Fair value as at 31 March hierarchy and key inputs inputs to the fair value 2026 2025 HK$’000 HK$’000 Financial as</t>
        </is>
      </c>
    </row>
    <row r="9">
      <c r="A9" s="8" t="inlineStr">
        <is>
          <t>Fair Value Measurement</t>
        </is>
      </c>
      <c r="B9" s="8" t="inlineStr">
        <is>
          <t>公允價值計量</t>
        </is>
      </c>
      <c r="C9" s="17" t="inlineStr">
        <is>
          <t>high</t>
        </is>
      </c>
      <c r="D9" s="12" t="inlineStr">
        <is>
          <t>level 3</t>
        </is>
      </c>
      <c r="E9" s="12" t="inlineStr">
        <is>
          <t>PDF p.104 (印刷頁 103)</t>
        </is>
      </c>
      <c r="F9" s="12" t="inlineStr">
        <is>
          <t>nued) Fair value of the Group’ s financial assets that are measured at fair value on a recurring basis (Continued) Reconciliation of Level 3 fair value measurements Financial assets at FVTPL HK$’000 At 1 April 2024 28,230 Addition 3,438 On disposals or maturity (1,083) Fair value loss (5,002) At 31 March 2025 and 1 April 2025 25,583 Addition 6,300 On disposals or maturity (2,035) Fair value loss (887) At 31 March 2026 28,961 Changes in fair values included in “other gain and losses, net” at the end of the reporting periods: 202</t>
        </is>
      </c>
    </row>
    <row r="10">
      <c r="A10" s="8" t="inlineStr">
        <is>
          <t>Impairment Testing</t>
        </is>
      </c>
      <c r="B10" s="8" t="inlineStr">
        <is>
          <t>減值測試</t>
        </is>
      </c>
      <c r="C10" s="17" t="inlineStr">
        <is>
          <t>high</t>
        </is>
      </c>
      <c r="D10" s="12" t="inlineStr">
        <is>
          <t>impairment loss</t>
        </is>
      </c>
      <c r="E10" s="12" t="inlineStr">
        <is>
          <t>PDF p.6 (印刷頁 5)</t>
        </is>
      </c>
      <c r="F10" s="12" t="inlineStr">
        <is>
          <t>assessment on debt instruments at FVTOCI under the ECL model individually. Based on the results of assessment, the Group recognised impairment loss of approximately HK$16.8 million (2025: approximately HK$38.5 million) in profit or loss in connection with the debt instruments at FVTOCI as a result of the decline in the credit quality of certain listed bond issuers. Annual Report 2026 5</t>
        </is>
      </c>
    </row>
    <row r="11">
      <c r="A11" s="8" t="inlineStr">
        <is>
          <t>Impairment Testing</t>
        </is>
      </c>
      <c r="B11" s="8" t="inlineStr">
        <is>
          <t>減值測試</t>
        </is>
      </c>
      <c r="C11" s="17" t="inlineStr">
        <is>
          <t>high</t>
        </is>
      </c>
      <c r="D11" s="12" t="inlineStr">
        <is>
          <t>impairment loss</t>
        </is>
      </c>
      <c r="E11" s="12" t="inlineStr">
        <is>
          <t>PDF p.31 (印刷頁 30)</t>
        </is>
      </c>
      <c r="F11" s="12" t="inlineStr">
        <is>
          <t>bles amounted to HK$28,804,000 (net impaired trade receivables; and of ECL allowances of HK$37,779,000) and the Group recognised net impairment loss of HK$5,315,000 to profit • Evaluating the disclosures regarding the or loss for the year ended 31 March 2026. impairment assessment of trade receivables in the consolidated financial statements. 30 Wonderful Sky Financial Group Holdings Limited</t>
        </is>
      </c>
    </row>
    <row r="12">
      <c r="A12" s="8" t="inlineStr">
        <is>
          <t>Impairment Testing</t>
        </is>
      </c>
      <c r="B12" s="8" t="inlineStr">
        <is>
          <t>減值測試</t>
        </is>
      </c>
      <c r="C12" s="17" t="inlineStr">
        <is>
          <t>high</t>
        </is>
      </c>
      <c r="D12" s="12" t="inlineStr">
        <is>
          <t>impairment loss</t>
        </is>
      </c>
      <c r="E12" s="12" t="inlineStr">
        <is>
          <t>PDF p.32 (印刷頁 31)</t>
        </is>
      </c>
      <c r="F12" s="12" t="inlineStr">
        <is>
          <t>audit matter Impairment assessment of debt instruments at fair value through other comprehensive income (“FVTOCI”) We identified the impairment loss on debt instruments at Our key audit procedures in relation to evaluating the FVTOCI as a key audit matter due to the determination impairment assessment of debt instruments at FVTOCI of loss allowances for debt instruments at FVTOCI included: using the ECL model involves significant estimates and judgements, including determination of whether • Evaluating methodology and assumptio</t>
        </is>
      </c>
    </row>
    <row r="13">
      <c r="A13" s="8" t="inlineStr">
        <is>
          <t>Impairment Testing</t>
        </is>
      </c>
      <c r="B13" s="8" t="inlineStr">
        <is>
          <t>減值測試</t>
        </is>
      </c>
      <c r="C13" s="17" t="inlineStr">
        <is>
          <t>high</t>
        </is>
      </c>
      <c r="D13" s="12" t="inlineStr">
        <is>
          <t>impairment loss</t>
        </is>
      </c>
      <c r="E13" s="12" t="inlineStr">
        <is>
          <t>PDF p.35 (印刷頁 34)</t>
        </is>
      </c>
      <c r="F13" s="12" t="inlineStr">
        <is>
          <t>,432 51,777 Other gains and losses, net 7 (7,205) (4,672) Selling expenses (6,906) (5,446) Administrative expenses (64,025) (61,294) Impairment loss recognised on financial assets, net 29 – Trade receivables (5,315) (1,629) – Debt instruments at fair value through other comprehensive income (“FVTOCI”) (16,822) (38,529) Share of results of associates 15 1,324 1,119 Profit before taxation 8 100,108 48,086 Taxation 10 (14,881) (6,865) Profit for the year 85,227 41,221 Other comprehensive income for the year Items that are or may b</t>
        </is>
      </c>
    </row>
    <row r="14">
      <c r="A14" s="8" t="inlineStr">
        <is>
          <t>Impairment Testing</t>
        </is>
      </c>
      <c r="B14" s="8" t="inlineStr">
        <is>
          <t>減值測試</t>
        </is>
      </c>
      <c r="C14" s="17" t="inlineStr">
        <is>
          <t>high</t>
        </is>
      </c>
      <c r="D14" s="12" t="inlineStr">
        <is>
          <t>impairment loss</t>
        </is>
      </c>
      <c r="E14" s="12" t="inlineStr">
        <is>
          <t>PDF p.37 (印刷頁 36)</t>
        </is>
      </c>
      <c r="F14" s="12" t="inlineStr">
        <is>
          <t>– – – – – 41,221 41,221 Net loss on change in fair value of debt instruments at FVTOCI, net of tax – – – – – – (17,206) – – (17,206) Impairment loss on debt instruments at FVTOCI included in profit or loss – – – – – – 38,529 – – 38,529 Reclassification of cumulative FVTOCI reserve upon derecognition of debt instruments at FVTOCI – – – – – – 249 – – 249 Exchange difference on translating foreign operations – – – – – – – (5,253) – (5,253) Other comprehensive income/(loss) for the year – – – – – – 21,572 (5,253) – 16,319 Total com</t>
        </is>
      </c>
    </row>
    <row r="15">
      <c r="A15" s="8" t="inlineStr">
        <is>
          <t>Impairment Testing</t>
        </is>
      </c>
      <c r="B15" s="8" t="inlineStr">
        <is>
          <t>減值測試</t>
        </is>
      </c>
      <c r="C15" s="17" t="inlineStr">
        <is>
          <t>high</t>
        </is>
      </c>
      <c r="D15" s="12" t="inlineStr">
        <is>
          <t>impairment loss</t>
        </is>
      </c>
      <c r="E15" s="12" t="inlineStr">
        <is>
          <t>PDF p.38 (印刷頁 37)</t>
        </is>
      </c>
      <c r="F15" s="12" t="inlineStr">
        <is>
          <t>– – – – – – 85,227 85,227 Net loss on change in fair value of debt instruments at FVTOCI, net of tax – – – – – – (8,242) – – (8,242) Impairment loss on debt instruments at FVTOCI included in profit or loss – – – – – – 16,822 – – 16,822 Reclassification of cumulative FVTOCI reserve upon derecognition of debt instruments at FVTOCI – – – – – – 15,923 – – 15,923 Exchange difference on translating foreign operations – – – – – – – 9,725 – 9,725 Other comprehensive income for the year – – – – – – 24,503 9,725 – 34,228 Total comprehens</t>
        </is>
      </c>
    </row>
    <row r="16">
      <c r="A16" s="8" t="inlineStr">
        <is>
          <t>Impairment Testing</t>
        </is>
      </c>
      <c r="B16" s="8" t="inlineStr">
        <is>
          <t>減值測試</t>
        </is>
      </c>
      <c r="C16" s="17" t="inlineStr">
        <is>
          <t>high</t>
        </is>
      </c>
      <c r="D16" s="12" t="inlineStr">
        <is>
          <t>impairment loss</t>
        </is>
      </c>
      <c r="E16" s="12" t="inlineStr">
        <is>
          <t>PDF p.39 (印刷頁 38)</t>
        </is>
      </c>
      <c r="F16" s="12" t="inlineStr">
        <is>
          <t>(37,640) (25,328) Depreciation of property, plant and equipment 8 29,636 29,680 Depreciation of investment properties 8 1,431 1,431 Impairment loss recognised on trade receivables, net 5,315 1,629 Impairment loss recognised on debt instruments at FVTOCI, net 16,822 38,529 Interest income from debt instruments at FVTOCI 6 (1,209) (5,388) Loss (gain) on derecognition/disposal of debt instruments at FVTOCI 7 20,130 (536) Dividend income from financial assets at FVTPL 6 (3,016) (401) Net loss (gain) on changes in fair value of fin</t>
        </is>
      </c>
    </row>
    <row r="17">
      <c r="A17" s="8" t="inlineStr">
        <is>
          <t>Impairment Testing</t>
        </is>
      </c>
      <c r="B17" s="8" t="inlineStr">
        <is>
          <t>減值測試</t>
        </is>
      </c>
      <c r="C17" s="17" t="inlineStr">
        <is>
          <t>high</t>
        </is>
      </c>
      <c r="D17" s="12" t="inlineStr">
        <is>
          <t>value in use</t>
        </is>
      </c>
      <c r="E17" s="12" t="inlineStr">
        <is>
          <t>PDF p.43 (印刷頁 42)</t>
        </is>
      </c>
      <c r="F17" s="12" t="inlineStr">
        <is>
          <t>asurements that have some similarities to fair value but are not fair value, such as net realisable value in HKAS 2 “Inventories” or value in use in HKAS 36 “Impairment of Assets”. For financial instruments which are transacted at fair value and a valuation technique that unobservable inputs are to be used to measure fair value in subsequent periods, the valuation technique is calibrated so that at initial recognition the results of the valuation technique equals the transaction price. In addition, for financial reporting purpo</t>
        </is>
      </c>
    </row>
    <row r="18">
      <c r="A18" s="8" t="inlineStr">
        <is>
          <t>Impairment Testing</t>
        </is>
      </c>
      <c r="B18" s="8" t="inlineStr">
        <is>
          <t>減值測試</t>
        </is>
      </c>
      <c r="C18" s="17" t="inlineStr">
        <is>
          <t>high</t>
        </is>
      </c>
      <c r="D18" s="12" t="inlineStr">
        <is>
          <t>impairment loss</t>
        </is>
      </c>
      <c r="E18" s="12" t="inlineStr">
        <is>
          <t>PDF p.45 (印刷頁 44)</t>
        </is>
      </c>
      <c r="F18" s="12" t="inlineStr">
        <is>
          <t>set by comparing its recoverable amount (higher of value in use and fair value less costs of disposal) with its carrying amount. Any impairment loss recognised is not allocated to any asset, including goodwill, that forms part of the carrying amount of the investment. Any reversal of that impairment loss is recognised in accordance with HKAS 36 to the extent that the recoverable amount of the investment subsequently increases. 44 Wonderful Sky Financial Group Holdings Limited</t>
        </is>
      </c>
    </row>
    <row r="19">
      <c r="A19" s="8" t="inlineStr">
        <is>
          <t>Impairment Testing</t>
        </is>
      </c>
      <c r="B19" s="8" t="inlineStr">
        <is>
          <t>減值測試</t>
        </is>
      </c>
      <c r="C19" s="17" t="inlineStr">
        <is>
          <t>high</t>
        </is>
      </c>
      <c r="D19" s="12" t="inlineStr">
        <is>
          <t>impairment loss</t>
        </is>
      </c>
      <c r="E19" s="12" t="inlineStr">
        <is>
          <t>PDF p.48 (印刷頁 47)</t>
        </is>
      </c>
      <c r="F19" s="12" t="inlineStr">
        <is>
          <t>ated in the consolidated statement of financial position at cost less subsequent accumulated depreciation and subsequent accumulated impairment losses, if any. When the Group makes payments for ownership interests of properties which includes both leasehold land and building elements, the entire consideration is allocated between the leasehold land and the building elements in proportion to the relative fair values at initial recognition. To the extent the allocation of the relevant payments can be made reliably, interest in le</t>
        </is>
      </c>
    </row>
    <row r="20">
      <c r="A20" s="8" t="inlineStr">
        <is>
          <t>Impairment Testing</t>
        </is>
      </c>
      <c r="B20" s="8" t="inlineStr">
        <is>
          <t>減值測試</t>
        </is>
      </c>
      <c r="C20" s="17" t="inlineStr">
        <is>
          <t>high</t>
        </is>
      </c>
      <c r="D20" s="12" t="inlineStr">
        <is>
          <t>impairment loss</t>
        </is>
      </c>
      <c r="E20" s="12" t="inlineStr">
        <is>
          <t>PDF p.49 (印刷頁 48)</t>
        </is>
      </c>
      <c r="F20" s="12" t="inlineStr">
        <is>
          <t>equent to initial recognition, investment properties are stated at cost less subsequent accumulated depreciation and any accumulated impairment losses. Depreciation is recognised so as to write off the cost of investment properties over their estimated useful lives and after taking into account of their estimated residual value, using the straight-line method. If an item of property, plant and equipment becomes an investment property because its use has changed as evidenced by end of owner-occupation, the carrying amount of tha</t>
        </is>
      </c>
    </row>
    <row r="21">
      <c r="A21" s="8" t="inlineStr">
        <is>
          <t>Impairment Testing</t>
        </is>
      </c>
      <c r="B21" s="8" t="inlineStr">
        <is>
          <t>減值測試</t>
        </is>
      </c>
      <c r="C21" s="17" t="inlineStr">
        <is>
          <t>high</t>
        </is>
      </c>
      <c r="D21" s="12" t="inlineStr">
        <is>
          <t>impairment loss</t>
        </is>
      </c>
      <c r="E21" s="12" t="inlineStr">
        <is>
          <t>PDF p.50 (印刷頁 49)</t>
        </is>
      </c>
      <c r="F21" s="12" t="inlineStr">
        <is>
          <t>assets (Continued) Club debenture Club debenture has an infinite useful life and is carried at cost less any subsequent accumulated impairment losses. Impairment on property, plant and equipment, investment property and intangible assets At the end of each reporting period, the Group reviews the carrying amounts of its property, plant and equipment, investment property and intangible assets to determine whether there is any indication that those assets have suffered an impairment loss. If any such indication exists, the recove</t>
        </is>
      </c>
    </row>
    <row r="22">
      <c r="A22" s="8" t="inlineStr">
        <is>
          <t>Impairment Testing</t>
        </is>
      </c>
      <c r="B22" s="8" t="inlineStr">
        <is>
          <t>減值測試</t>
        </is>
      </c>
      <c r="C22" s="17" t="inlineStr">
        <is>
          <t>high</t>
        </is>
      </c>
      <c r="D22" s="12" t="inlineStr">
        <is>
          <t>impairment loss</t>
        </is>
      </c>
      <c r="E22" s="12" t="inlineStr">
        <is>
          <t>PDF p.51 (印刷頁 50)</t>
        </is>
      </c>
      <c r="F22" s="12" t="inlineStr">
        <is>
          <t>information (Continued) Impairment on property, plant and equipment, investment property and intangible assets (Continued) Where an impairment loss subsequently reverses, the carrying amount of the asset (or cashgenerating unit or a group of cash-generating units) is increased to the revised estimate of its recoverable amount, but so that the increased carrying amount does not exceed the carrying amount that would have been determined had no impairment loss been recognised for the asset (or a cash-generating unit or a group</t>
        </is>
      </c>
    </row>
    <row r="23">
      <c r="A23" s="8" t="inlineStr">
        <is>
          <t>Impairment Testing</t>
        </is>
      </c>
      <c r="B23" s="8" t="inlineStr">
        <is>
          <t>減值測試</t>
        </is>
      </c>
      <c r="C23" s="17" t="inlineStr">
        <is>
          <t>high</t>
        </is>
      </c>
      <c r="D23" s="12" t="inlineStr">
        <is>
          <t>impairment loss</t>
        </is>
      </c>
      <c r="E23" s="12" t="inlineStr">
        <is>
          <t>PDF p.65 (印刷頁 64)</t>
        </is>
      </c>
      <c r="F23" s="12" t="inlineStr">
        <is>
          <t>1 March 2026, the carrying amount of debt instruments at FVTOCI was HK$59,860,000 (2025: HK$85,069,000) and the Group recognised net impairment loss of HK$16,822,000 (2025: HK$38,529,000) for the year ended 31 March 2026. 64 Wonderful Sky Financial Group Holdings Limited</t>
        </is>
      </c>
    </row>
    <row r="24">
      <c r="A24" s="8" t="inlineStr">
        <is>
          <t>Impairment Testing</t>
        </is>
      </c>
      <c r="B24" s="8" t="inlineStr">
        <is>
          <t>減值測試</t>
        </is>
      </c>
      <c r="C24" s="17" t="inlineStr">
        <is>
          <t>high</t>
        </is>
      </c>
      <c r="D24" s="12" t="inlineStr">
        <is>
          <t>impairment loss</t>
        </is>
      </c>
      <c r="E24" s="12" t="inlineStr">
        <is>
          <t>PDF p.67 (印刷頁 66)</t>
        </is>
      </c>
      <c r="F24" s="12" t="inlineStr">
        <is>
          <t>Segment profit/(loss) 115,488 (3) 115,485 Unallocated corporate income 45,688 Interest income from debt instruments at FVTOCI 1,209 Impairment loss recognised on debt instruments at FVTOCI (16,822) Loss on derecognition/disposal of debt instruments at FVTOCI (20,130) Gain on disposal of an associate 79 Net loss on change in fair value of financial assets at FVTPL (1,819) Unallocated staff costs (including retirement benefit schemes contributions and sharebased payments) (15,490) Share of results of associates 1,324 Net forei</t>
        </is>
      </c>
    </row>
    <row r="25">
      <c r="A25" s="8" t="inlineStr">
        <is>
          <t>Impairment Testing</t>
        </is>
      </c>
      <c r="B25" s="8" t="inlineStr">
        <is>
          <t>減值測試</t>
        </is>
      </c>
      <c r="C25" s="17" t="inlineStr">
        <is>
          <t>high</t>
        </is>
      </c>
      <c r="D25" s="12" t="inlineStr">
        <is>
          <t>impairment loss</t>
        </is>
      </c>
      <c r="E25" s="12" t="inlineStr">
        <is>
          <t>PDF p.68 (印刷頁 67)</t>
        </is>
      </c>
      <c r="F25" s="12" t="inlineStr">
        <is>
          <t>6 Segment profit/(loss) 92,525 (12) 92,513 Unallocated corporate income 27,895 Interest income from debt instruments at FVTOCI 5,388 Impairment loss recognised on debt instruments at FVTOCI (38,529) Gain on derecognition/disposal of debt instruments at FVTOCI 536 Net gain on change in fair value of financial assets at FVTPL 7,334 Unallocated staff costs (including retirement benefit schemes contributions and sharebased payments) (17,125) Share of results of associates 1,119 Net foreign exchange loss (12,542) Other unallocated</t>
        </is>
      </c>
    </row>
    <row r="26">
      <c r="A26" s="8" t="inlineStr">
        <is>
          <t>Impairment Testing</t>
        </is>
      </c>
      <c r="B26" s="8" t="inlineStr">
        <is>
          <t>減值測試</t>
        </is>
      </c>
      <c r="C26" s="17" t="inlineStr">
        <is>
          <t>high</t>
        </is>
      </c>
      <c r="D26" s="12" t="inlineStr">
        <is>
          <t>impairment loss</t>
        </is>
      </c>
      <c r="E26" s="12" t="inlineStr">
        <is>
          <t>PDF p.71 (印刷頁 70)</t>
        </is>
      </c>
      <c r="F26" s="12" t="inlineStr">
        <is>
          <t>6 – – 66 Depreciation of property, plant and equipment (29,636) – – (29,636) Depreciation of investment property – – (1,431) (1,431) Impairment loss recognised on trade receivables, net (5,315) – – (5,315) Amounts regularly provided to the CODM but not included in the measure of segment profit or segment assets: Dividend income from financial assets at FVTPL – – 3,016 3,016 Loss on derecognition/disposal of debt instruments at FVTOCI – – (20,130) (20,130) Gain on disposal of an associate – – 79 79 Impairment loss recognised on</t>
        </is>
      </c>
    </row>
    <row r="27">
      <c r="A27" s="8" t="inlineStr">
        <is>
          <t>Impairment Testing</t>
        </is>
      </c>
      <c r="B27" s="8" t="inlineStr">
        <is>
          <t>減值測試</t>
        </is>
      </c>
      <c r="C27" s="17" t="inlineStr">
        <is>
          <t>high</t>
        </is>
      </c>
      <c r="D27" s="12" t="inlineStr">
        <is>
          <t>impairment loss</t>
        </is>
      </c>
      <c r="E27" s="12" t="inlineStr">
        <is>
          <t>PDF p.72 (印刷頁 71)</t>
        </is>
      </c>
      <c r="F27" s="12" t="inlineStr">
        <is>
          <t>98 1,058 Depreciation of property, plant and equipment (29,680) – – (29,680) Depreciation of investment property – – (1,431) (1,431) Impairment loss (recognised)/ reversed on trade receivables, net (1,636) 7 – (1,629) Amounts regularly provided to the CODM but not included in the measure of segment profit or segment assets: Dividend income from financial assets at FVTPL – – 401 401 Gain on derecognition/disposal of debt instruments at FVTOCI – – 536 536 Impairment loss recognised on debt instruments at FVTOCI – – (38,529) (38,5</t>
        </is>
      </c>
    </row>
    <row r="28">
      <c r="A28" s="8" t="inlineStr">
        <is>
          <t>Impairment Testing</t>
        </is>
      </c>
      <c r="B28" s="8" t="inlineStr">
        <is>
          <t>減值測試</t>
        </is>
      </c>
      <c r="C28" s="17" t="inlineStr">
        <is>
          <t>high</t>
        </is>
      </c>
      <c r="D28" s="12" t="inlineStr">
        <is>
          <t>impairment loss</t>
        </is>
      </c>
      <c r="E28" s="12" t="inlineStr">
        <is>
          <t>PDF p.82 (印刷頁 81)</t>
        </is>
      </c>
      <c r="F28" s="12" t="inlineStr">
        <is>
          <t>UB DEBENTURE At 31 March 2026, the unlisted club debenture of HK$12,200,000 (2025: HK$12,200,000) is stated at cost less accumulated impairment losses. The recoverable amount of the club debenture is its fair value less costs of disposal, as determined by the directors of the Company using the direct comparison method. In the direct comparison method, the value is estimated for the assets appraised through analysis of market price information of comparable club debenture with reference to the prices quoted in the relevant marke</t>
        </is>
      </c>
    </row>
    <row r="29">
      <c r="A29" s="8" t="inlineStr">
        <is>
          <t>Impairment Testing</t>
        </is>
      </c>
      <c r="B29" s="8" t="inlineStr">
        <is>
          <t>減值測試</t>
        </is>
      </c>
      <c r="C29" s="17" t="inlineStr">
        <is>
          <t>high</t>
        </is>
      </c>
      <c r="D29" s="12" t="inlineStr">
        <is>
          <t>impairment loss</t>
        </is>
      </c>
      <c r="E29" s="12" t="inlineStr">
        <is>
          <t>PDF p.87 (印刷頁 86)</t>
        </is>
      </c>
      <c r="F29" s="12" t="inlineStr">
        <is>
          <t>nts affecting these bonds and disposals giving rise to derecognition. Upon derecognition, the cumulative fair value gain or loss and impairment loss of HK$15,923,000 which were previously recognised in the FVTOCI reserve was reclassified to profit or loss. In addition, the Group recognised convertible bonds of HK$1,693,000 and perpetual bond security of HK$204,000 during the year. The fair values of the listed bond securities are based on the market bid prices at the end of reporting period. Included in debt instruments at FVTO</t>
        </is>
      </c>
    </row>
    <row r="30">
      <c r="A30" s="8" t="inlineStr">
        <is>
          <t>Impairment Testing</t>
        </is>
      </c>
      <c r="B30" s="8" t="inlineStr">
        <is>
          <t>減值測試</t>
        </is>
      </c>
      <c r="C30" s="17" t="inlineStr">
        <is>
          <t>high</t>
        </is>
      </c>
      <c r="D30" s="12" t="inlineStr">
        <is>
          <t>impairment loss</t>
        </is>
      </c>
      <c r="E30" s="12" t="inlineStr">
        <is>
          <t>PDF p.99 (印刷頁 98)</t>
        </is>
      </c>
      <c r="F30" s="12" t="inlineStr">
        <is>
          <t>credit- ECL (creditimpaired) impaired) Total HK$’000 HK$’000 HK$’000 At 1 April 2024 3,800 31,518 35,318 Transfer 4,097 (4,097) – Impairment loss (reversed) recognised, net (4,139) 5,768 1,629 Written-off (98) (3,673) (3,771) At 31 March 2025 and 1 April 2025 3,660 29,516 33,176 Transfer 48 (48) – Impairment loss (reversed) recognised, net (1,911) 7,226 5,315 Written-off (667) (45) (712) At 31 March 2026 1,130 36,649 37,779 98 Wonderful Sky Financial Group Holdings Limited</t>
        </is>
      </c>
    </row>
    <row r="31">
      <c r="A31" s="8" t="inlineStr">
        <is>
          <t>Impairment Testing</t>
        </is>
      </c>
      <c r="B31" s="8" t="inlineStr">
        <is>
          <t>減值測試</t>
        </is>
      </c>
      <c r="C31" s="17" t="inlineStr">
        <is>
          <t>high</t>
        </is>
      </c>
      <c r="D31" s="12" t="inlineStr">
        <is>
          <t>impairment loss</t>
        </is>
      </c>
      <c r="E31" s="12" t="inlineStr">
        <is>
          <t>PDF p.100 (印刷頁 99)</t>
        </is>
      </c>
      <c r="F31" s="12" t="inlineStr">
        <is>
          <t>assessment (Continued) Trade receivables arising from contracts with customers (Continued) During the year ended 31 March 2026, net impairment loss of HK$5,315,000 (2025: HK$1,629,000) was recognised in profit or loss for the Group’s trade receivables, based on the individual assessment, which includes net impairment loss of HK$7,226,000 (2025: HK$5,768,000) recognised on credit-impaired debtors. The Group writes off trade receivables when there is information indicating that the debtor is in severe financial difficulty and th</t>
        </is>
      </c>
    </row>
    <row r="32">
      <c r="A32" s="8" t="inlineStr">
        <is>
          <t>Impairment Testing</t>
        </is>
      </c>
      <c r="B32" s="8" t="inlineStr">
        <is>
          <t>減值測試</t>
        </is>
      </c>
      <c r="C32" s="17" t="inlineStr">
        <is>
          <t>high</t>
        </is>
      </c>
      <c r="D32" s="12" t="inlineStr">
        <is>
          <t>impairment loss</t>
        </is>
      </c>
      <c r="E32" s="12" t="inlineStr">
        <is>
          <t>PDF p.101 (印刷頁 100)</t>
        </is>
      </c>
      <c r="F32" s="12" t="inlineStr">
        <is>
          <t>12m ECL impaired) impaired) Total HK$’000 HK$’000 HK$’000 HK$’000 At 1 April 2024 – 5,519 199,993 205,512 Transfer – (3,892) 3,892 – Impairment loss recognised, net 65 474 37,990 38,529 Reversal of impairment loss recognised due to derecognition, net – (655) – (655) At 31 March 2025 and 1 April 2025 65 1,446 241,875 243,386 Impairment loss (reversed) recognised, net (34) 3,053 13,803 16,822 Reversal of impairment loss recognised due to derecognition, net (18) (1,445) (47,302) (48,765) At 31 March 2026 13 3,054 208,376 211,443 O</t>
        </is>
      </c>
    </row>
    <row r="33">
      <c r="A33" s="8" t="inlineStr">
        <is>
          <t>Impairment Testing</t>
        </is>
      </c>
      <c r="B33" s="8" t="inlineStr">
        <is>
          <t>減值測試</t>
        </is>
      </c>
      <c r="C33" s="17" t="inlineStr">
        <is>
          <t>high</t>
        </is>
      </c>
      <c r="D33" s="12" t="inlineStr">
        <is>
          <t>impairment loss</t>
        </is>
      </c>
      <c r="E33" s="12" t="inlineStr">
        <is>
          <t>PDF p.108 (印刷頁 107)</t>
        </is>
      </c>
      <c r="F33" s="12" t="inlineStr">
        <is>
          <t>9 22,098 (37,018) 694,400 Loss for the year – – – – (28,909) (28,909) Net gain on debt instruments at FVTOCI – – – (6,003) – (6,003) Impairment loss on debt instruments at FVTOCI included in profit or loss – – – 34,316 – 34,316 Reclassification of cumulative FVTOCI reserve upon derecognition of debt instruments at FVTOCI – – – 249 – 249 Other comprehensive income for the year – – – 28,562 – 28,562 Total comprehensive income for the year – – – 28,562 (28,909) (347) Effect of lapsed share options – – (2,319) – 2,319 – At 31 March</t>
        </is>
      </c>
    </row>
    <row r="34">
      <c r="A34" s="8" t="inlineStr">
        <is>
          <t>Impairment Testing</t>
        </is>
      </c>
      <c r="B34" s="8" t="inlineStr">
        <is>
          <t>減值測試</t>
        </is>
      </c>
      <c r="C34" s="17" t="inlineStr">
        <is>
          <t>high</t>
        </is>
      </c>
      <c r="D34" s="12" t="inlineStr">
        <is>
          <t>impairment loss</t>
        </is>
      </c>
      <c r="E34" s="12" t="inlineStr">
        <is>
          <t>PDF p.109 (印刷頁 108)</t>
        </is>
      </c>
      <c r="F34" s="12" t="inlineStr">
        <is>
          <t>– 50,660 (63,608) 694,053 Loss for the year – – – – (22,276) (22,276) Net gain on debt instruments at FVTOCI – – – (7,983) – (7,983) Impairment loss on debt instruments at FVTOCI included in profit or loss – – – 16,562 – 16,562 Reclassification of cumulative FVTOCI reserve upon derecognition of debt instruments at FVTOCI – – – 14,598 – 14,598 Other comprehensive income for the year – – – 23,177 – 23,177 Total comprehensive income for the year – – – 23,177 (22,276) 901 At 31 March 2026 711,774 (4,773) - 73,837 (85,884) 694,954 3</t>
        </is>
      </c>
    </row>
    <row r="35">
      <c r="A35" s="8" t="inlineStr">
        <is>
          <t>Intangible Assets &amp; Goodwill</t>
        </is>
      </c>
      <c r="B35" s="8" t="inlineStr">
        <is>
          <t>無形資產及商譽</t>
        </is>
      </c>
      <c r="C35" s="17" t="inlineStr">
        <is>
          <t>high</t>
        </is>
      </c>
      <c r="D35" s="12" t="inlineStr">
        <is>
          <t>goodwill</t>
        </is>
      </c>
      <c r="E35" s="12" t="inlineStr">
        <is>
          <t>PDF p.45 (印刷頁 44)</t>
        </is>
      </c>
      <c r="F35" s="12" t="inlineStr">
        <is>
          <t>nterest in an associate may be impaired. When any objective evidence exists, the entire carrying amount of the investment (including goodwill) is tested for impairment in accordance with HKAS 36 as a single asset by comparing its recoverable amount (higher of value in use and fair value less costs of disposal) with its carrying amount. Any impairment loss recognised is not allocated to any asset, including goodwill, that forms part of the carrying amount of the investment. Any reversal of that impairment loss is recognised in a</t>
        </is>
      </c>
    </row>
    <row r="36">
      <c r="A36" s="8" t="inlineStr">
        <is>
          <t>Intangible Assets &amp; Goodwill</t>
        </is>
      </c>
      <c r="B36" s="8" t="inlineStr">
        <is>
          <t>無形資產及商譽</t>
        </is>
      </c>
      <c r="C36" s="17" t="inlineStr">
        <is>
          <t>high</t>
        </is>
      </c>
      <c r="D36" s="12" t="inlineStr">
        <is>
          <t>intangible asset</t>
        </is>
      </c>
      <c r="E36" s="12" t="inlineStr">
        <is>
          <t>PDF p.46 (印刷頁 45)</t>
        </is>
      </c>
      <c r="F36" s="12" t="inlineStr">
        <is>
          <t>. A contract cost represents cost incurred (other than the cost which is capitalised as inventory, property, plant and equipment and intangible assets) to fulfil a contract with a customer Contract cost is capitalised as an asset if all of the following criteria are met: (a) The cost relates directly to a contract or to an anticipated contract that the entity can specifically identify. (b) The cost generates or enhances resources of the entity that will be used in satisfying (or in continuing to satisfy) performance obligations</t>
        </is>
      </c>
    </row>
    <row r="37">
      <c r="A37" s="8" t="inlineStr">
        <is>
          <t>Intangible Assets &amp; Goodwill</t>
        </is>
      </c>
      <c r="B37" s="8" t="inlineStr">
        <is>
          <t>無形資產及商譽</t>
        </is>
      </c>
      <c r="C37" s="17" t="inlineStr">
        <is>
          <t>high</t>
        </is>
      </c>
      <c r="D37" s="12" t="inlineStr">
        <is>
          <t>intangible asset</t>
        </is>
      </c>
      <c r="E37" s="12" t="inlineStr">
        <is>
          <t>PDF p.49 (印刷頁 48)</t>
        </is>
      </c>
      <c r="F37" s="12" t="inlineStr">
        <is>
          <t>al proceeds and the carrying amount of the asset) is included in profit or loss in the period in which the property is derecognised. Intangible assets Intangible assets acquired in a business combination Intangible assets acquired in a business combination are initially recognised at their fair value at the acquisition date (which is regarded as their cost). Subsequent to initial recognition, intangible assets acquired in a business combination with indefinite useful lives are carried at cost less any subsequent accumulated imp</t>
        </is>
      </c>
    </row>
    <row r="38">
      <c r="A38" s="8" t="inlineStr">
        <is>
          <t>Intangible Assets &amp; Goodwill</t>
        </is>
      </c>
      <c r="B38" s="8" t="inlineStr">
        <is>
          <t>無形資產及商譽</t>
        </is>
      </c>
      <c r="C38" s="17" t="inlineStr">
        <is>
          <t>high</t>
        </is>
      </c>
      <c r="D38" s="12" t="inlineStr">
        <is>
          <t>intangible asset</t>
        </is>
      </c>
      <c r="E38" s="12" t="inlineStr">
        <is>
          <t>PDF p.50 (印刷頁 49)</t>
        </is>
      </c>
      <c r="F38" s="12" t="inlineStr">
        <is>
          <t>. BASIS OF PREPARATION AND MATERIAL ACCOUNTING POLICY INFORMATION (CONTINUED) 3.2 Material accounting policy information (Continued) Intangible assets (Continued) Club debenture Club debenture has an infinite useful life and is carried at cost less any subsequent accumulated impairment losses. Impairment on property, plant and equipment, investment property and intangible assets At the end of each reporting period, the Group reviews the carrying amounts of its property, plant and equipment, investment property and intangible as</t>
        </is>
      </c>
    </row>
    <row r="39">
      <c r="A39" s="8" t="inlineStr">
        <is>
          <t>Intangible Assets &amp; Goodwill</t>
        </is>
      </c>
      <c r="B39" s="8" t="inlineStr">
        <is>
          <t>無形資產及商譽</t>
        </is>
      </c>
      <c r="C39" s="17" t="inlineStr">
        <is>
          <t>high</t>
        </is>
      </c>
      <c r="D39" s="12" t="inlineStr">
        <is>
          <t>intangible asset</t>
        </is>
      </c>
      <c r="E39" s="12" t="inlineStr">
        <is>
          <t>PDF p.51 (印刷頁 50)</t>
        </is>
      </c>
      <c r="F39" s="12" t="inlineStr">
        <is>
          <t>NTINUED) 3.2 Material accounting policy information (Continued) Impairment on property, plant and equipment, investment property and intangible assets (Continued) Where an impairment loss subsequently reverses, the carrying amount of the asset (or cashgenerating unit or a group of cash-generating units) is increased to the revised estimate of its recoverable amount, but so that the increased carrying amount does not exceed the carrying amount that would have been determined had no impairment loss been recognised for the asset</t>
        </is>
      </c>
    </row>
    <row r="40">
      <c r="A40" s="8" t="inlineStr">
        <is>
          <t>Investment Properties</t>
        </is>
      </c>
      <c r="B40" s="8" t="inlineStr">
        <is>
          <t>投資物業</t>
        </is>
      </c>
      <c r="C40" s="17" t="inlineStr">
        <is>
          <t>high</t>
        </is>
      </c>
      <c r="D40" s="12" t="inlineStr">
        <is>
          <t>investment property</t>
        </is>
      </c>
      <c r="E40" s="12" t="inlineStr">
        <is>
          <t>PDF p.49 (印刷頁 48)</t>
        </is>
      </c>
      <c r="F40" s="12" t="inlineStr">
        <is>
          <t>to account of their estimated residual value, using the straight-line method. If an item of property, plant and equipment becomes an investment property because its use has changed as evidenced by end of owner-occupation, the carrying amount of that item at the date of transfer is recognised as cost of that item in investment property. An investment property is derecognised upon disposal or when the investment property is permanently withdrawn from use and no future economic benefits are expected from its disposal. Any gain or</t>
        </is>
      </c>
    </row>
    <row r="41">
      <c r="A41" s="8" t="inlineStr">
        <is>
          <t>Investment Properties</t>
        </is>
      </c>
      <c r="B41" s="8" t="inlineStr">
        <is>
          <t>投資物業</t>
        </is>
      </c>
      <c r="C41" s="17" t="inlineStr">
        <is>
          <t>high</t>
        </is>
      </c>
      <c r="D41" s="12" t="inlineStr">
        <is>
          <t>investment property</t>
        </is>
      </c>
      <c r="E41" s="12" t="inlineStr">
        <is>
          <t>PDF p.50 (印刷頁 49)</t>
        </is>
      </c>
      <c r="F41" s="12" t="inlineStr">
        <is>
          <t>e useful life and is carried at cost less any subsequent accumulated impairment losses. Impairment on property, plant and equipment, investment property and intangible assets At the end of each reporting period, the Group reviews the carrying amounts of its property, plant and equipment, investment property and intangible assets to determine whether there is any indication that those assets have suffered an impairment loss. If any such indication exists, the recoverable amount of the relevant asset is estimated in order to dete</t>
        </is>
      </c>
    </row>
    <row r="42">
      <c r="A42" s="8" t="inlineStr">
        <is>
          <t>Investment Properties</t>
        </is>
      </c>
      <c r="B42" s="8" t="inlineStr">
        <is>
          <t>投資物業</t>
        </is>
      </c>
      <c r="C42" s="17" t="inlineStr">
        <is>
          <t>high</t>
        </is>
      </c>
      <c r="D42" s="12" t="inlineStr">
        <is>
          <t>investment property</t>
        </is>
      </c>
      <c r="E42" s="12" t="inlineStr">
        <is>
          <t>PDF p.51 (印刷頁 50)</t>
        </is>
      </c>
      <c r="F42" s="12" t="inlineStr">
        <is>
          <t>G POLICY INFORMATION (CONTINUED) 3.2 Material accounting policy information (Continued) Impairment on property, plant and equipment, investment property and intangible assets (Continued) Where an impairment loss subsequently reverses, the carrying amount of the asset (or cashgenerating unit or a group of cash-generating units) is increased to the revised estimate of its recoverable amount, but so that the increased carrying amount does not exceed the carrying amount that would have been determined had no impairment loss been</t>
        </is>
      </c>
    </row>
    <row r="43">
      <c r="A43" s="8" t="inlineStr">
        <is>
          <t>Investment Properties</t>
        </is>
      </c>
      <c r="B43" s="8" t="inlineStr">
        <is>
          <t>投資物業</t>
        </is>
      </c>
      <c r="C43" s="17" t="inlineStr">
        <is>
          <t>high</t>
        </is>
      </c>
      <c r="D43" s="12" t="inlineStr">
        <is>
          <t>investment property</t>
        </is>
      </c>
      <c r="E43" s="12" t="inlineStr">
        <is>
          <t>PDF p.71 (印刷頁 70)</t>
        </is>
      </c>
      <c r="F43" s="12" t="inlineStr">
        <is>
          <t>ssets: Additions to non-current assets 66 – – 66 Depreciation of property, plant and equipment (29,636) – – (29,636) Depreciation of investment property – – (1,431) (1,431) Impairment loss recognised on trade receivables, net (5,315) – – (5,315) Amounts regularly provided to the CODM but not included in the measure of segment profit or segment assets: Dividend income from financial assets at FVTPL – – 3,016 3,016 Loss on derecognition/disposal of debt instruments at FVTOCI – – (20,130) (20,130) Gain on disposal of an associate</t>
        </is>
      </c>
    </row>
    <row r="44">
      <c r="A44" s="8" t="inlineStr">
        <is>
          <t>Investment Properties</t>
        </is>
      </c>
      <c r="B44" s="8" t="inlineStr">
        <is>
          <t>投資物業</t>
        </is>
      </c>
      <c r="C44" s="17" t="inlineStr">
        <is>
          <t>high</t>
        </is>
      </c>
      <c r="D44" s="12" t="inlineStr">
        <is>
          <t>investment property</t>
        </is>
      </c>
      <c r="E44" s="12" t="inlineStr">
        <is>
          <t>PDF p.72 (印刷頁 71)</t>
        </is>
      </c>
      <c r="F44" s="12" t="inlineStr">
        <is>
          <t>: Additions to non-current assets 60 – 998 1,058 Depreciation of property, plant and equipment (29,680) – – (29,680) Depreciation of investment property – – (1,431) (1,431) Impairment loss (recognised)/ reversed on trade receivables, net (1,636) 7 – (1,629) Amounts regularly provided to the CODM but not included in the measure of segment profit or segment assets: Dividend income from financial assets at FVTPL – – 401 401 Gain on derecognition/disposal of debt instruments at FVTOCI – – 536 536 Impairment loss recognised on debt</t>
        </is>
      </c>
    </row>
    <row r="45">
      <c r="A45" s="8" t="inlineStr">
        <is>
          <t>ESG Data</t>
        </is>
      </c>
      <c r="B45" s="8" t="inlineStr">
        <is>
          <t>環境社會及管治數據</t>
        </is>
      </c>
      <c r="C45" s="8" t="inlineStr">
        <is>
          <t>medium</t>
        </is>
      </c>
      <c r="D45" s="12" t="inlineStr">
        <is>
          <t>carbon</t>
        </is>
      </c>
      <c r="E45" s="12" t="inlineStr">
        <is>
          <t>PDF p.10 (印刷頁 9)</t>
        </is>
      </c>
      <c r="F45" s="12" t="inlineStr">
        <is>
          <t>TORS OF THE COMPANY Mr. Cheung Kwong Tat (張廣達） （“Mr Cheung”）, aged 58, is currently the treasurer and management team member of Asia Carbon Institute, a non-profit organization dedicated to fostering sustainable climate action throughout Asia and beyond, focusing on development and implementation of climate position initiatives and bespoke solutions that address Asia's unique environmental challenges and opportunities. Mr. Cheung was a founding regional managing partner of Western China in Deloitte Touche Tohmatsu. He has solid</t>
        </is>
      </c>
    </row>
    <row r="46">
      <c r="A46" s="8" t="inlineStr">
        <is>
          <t>ESG Data</t>
        </is>
      </c>
      <c r="B46" s="8" t="inlineStr">
        <is>
          <t>環境社會及管治數據</t>
        </is>
      </c>
      <c r="C46" s="8" t="inlineStr">
        <is>
          <t>medium</t>
        </is>
      </c>
      <c r="D46" s="12" t="inlineStr">
        <is>
          <t>energy consumption</t>
        </is>
      </c>
      <c r="E46" s="12" t="inlineStr">
        <is>
          <t>PDF p.11 (印刷頁 10)</t>
        </is>
      </c>
      <c r="F46" s="12" t="inlineStr">
        <is>
          <t>green office concept by promoting paperless office, using LED lights and selecting energy-saving electric appliances so as to reduce energy consumption. To comply with the requirements set forth in Appendix C2 to the Main Board Listing Rules – “Environmental, Social and Governance Reporting Code”, we present in another section of this annual report our Environmental, Social and Governance report (“ESG Report”) for the year ended 31 March 2026. COMPLIANCE WITH LAWS AND REGULATION The Group recognises the importance of compliance</t>
        </is>
      </c>
    </row>
    <row r="47">
      <c r="A47" s="8" t="inlineStr">
        <is>
          <t>ESG Data</t>
        </is>
      </c>
      <c r="B47" s="8" t="inlineStr">
        <is>
          <t>環境社會及管治數據</t>
        </is>
      </c>
      <c r="C47" s="8" t="inlineStr">
        <is>
          <t>medium</t>
        </is>
      </c>
      <c r="D47" s="12" t="inlineStr">
        <is>
          <t>sustainability</t>
        </is>
      </c>
      <c r="E47" s="12" t="inlineStr">
        <is>
          <t>PDF p.12 (印刷頁 11)</t>
        </is>
      </c>
      <c r="F47" s="12" t="inlineStr">
        <is>
          <t>of the Group is to enhance corporate value to shareholders. The Group is dedicated to foster business developments for achieving the sustainability of earnings growth and rewarding shareholders by stable dividend payouts taking into account liquidity positions and future business expansion needs of the Group. Annual Report 2026 11</t>
        </is>
      </c>
    </row>
    <row r="48">
      <c r="A48" s="8" t="inlineStr">
        <is>
          <t>ESG Data</t>
        </is>
      </c>
      <c r="B48" s="8" t="inlineStr">
        <is>
          <t>環境社會及管治數據</t>
        </is>
      </c>
      <c r="C48" s="8" t="inlineStr">
        <is>
          <t>medium</t>
        </is>
      </c>
      <c r="D48" s="12" t="inlineStr">
        <is>
          <t>greenhouse gas</t>
        </is>
      </c>
      <c r="E48" s="12" t="inlineStr">
        <is>
          <t>PDF p.26 (印刷頁 25)</t>
        </is>
      </c>
      <c r="F48" s="12" t="inlineStr">
        <is>
          <t>copy for the document. 1. Emission – Measures to reduce carbon emission include: The Group’s business does not generate significant greenhouse gas emissions as the emissions are indirectly and principally resulting from consuming electricity at the workplace, vehicles and business travels by employees. The discharge into water and land, and generation of hazardous and non-hazardous waste during our course of operations is minimal. Electricity consumed by the Group’s office in its normal business operation is supplied by The HK</t>
        </is>
      </c>
    </row>
    <row r="49">
      <c r="A49" s="8" t="inlineStr">
        <is>
          <t>ESG Data</t>
        </is>
      </c>
      <c r="B49" s="8" t="inlineStr">
        <is>
          <t>環境社會及管治數據</t>
        </is>
      </c>
      <c r="C49" s="8" t="inlineStr">
        <is>
          <t>medium</t>
        </is>
      </c>
      <c r="D49" s="12" t="inlineStr">
        <is>
          <t>greenhouse gas</t>
        </is>
      </c>
      <c r="E49" s="12" t="inlineStr">
        <is>
          <t>PDF p.27 (印刷頁 26)</t>
        </is>
      </c>
      <c r="F49" s="12" t="inlineStr">
        <is>
          <t>t aware of any incidents of non-compliance with laws and regulations that have a significant impact on the Group relating to air and greenhouse gas emissions, discharges into water and land, and generation of hazardous and non-hazardous waste. 2. Use of Resources We have undertaken various resources saving measures to demonstrate our efforts in efficient use of resources in our daily operations. Employees are encouraged to optimise resources to help the Group to minimise the impact on the environment and natural resources e.g.</t>
        </is>
      </c>
    </row>
    <row r="50">
      <c r="A50" s="8" t="inlineStr">
        <is>
          <t>Segment Information</t>
        </is>
      </c>
      <c r="B50" s="8" t="inlineStr">
        <is>
          <t>分部資料</t>
        </is>
      </c>
      <c r="C50" s="8" t="inlineStr">
        <is>
          <t>medium</t>
        </is>
      </c>
      <c r="D50" s="12" t="inlineStr">
        <is>
          <t>operating segment</t>
        </is>
      </c>
      <c r="E50" s="12" t="inlineStr">
        <is>
          <t>PDF p.62 (印刷頁 61)</t>
        </is>
      </c>
      <c r="F50" s="12" t="inlineStr">
        <is>
          <t>ng to employees (such as wages and salaries, annual leave and sick leave) after deducting any amount already paid. Segment reporting Operating segments, and the amounts of each segment item reported in the consolidated financial statements, are identified from the financial information provided regularly to the Group’s most senior executive management for the purpose of allocating resources to, and assessing the performance of, the Group’s various lines of business and geographical locations. Individual material operating segme</t>
        </is>
      </c>
    </row>
    <row r="51">
      <c r="A51" s="8" t="inlineStr">
        <is>
          <t>Segment Information</t>
        </is>
      </c>
      <c r="B51" s="8" t="inlineStr">
        <is>
          <t>分部資料</t>
        </is>
      </c>
      <c r="C51" s="8" t="inlineStr">
        <is>
          <t>medium</t>
        </is>
      </c>
      <c r="D51" s="12" t="inlineStr">
        <is>
          <t>segment information</t>
        </is>
      </c>
      <c r="E51" s="12" t="inlineStr">
        <is>
          <t>PDF p.66 (印刷頁 65)</t>
        </is>
      </c>
      <c r="F51" s="12" t="inlineStr">
        <is>
          <t>NOTES TO THE CONSOLIDATED FINANCIAL STATEMENTS FOR THE YEAR ENDED 31 MARCH 2026 5. REVENUE AND SEGMENT INFORMATION An analysis of the Group’s revenue is as follows: 2026 2025 HK$’ 000 HK$’000 Recognised at a point in time Project-based financial public relations services 176,706 110,410 Financial printing services for non-IPO Clients 50,939 41,678 227,645 152,088 Recognised over time Daily financial public relations service under subscription model 32,826 38,748 260,471 190,836 All sales co</t>
        </is>
      </c>
    </row>
    <row r="52">
      <c r="A52" s="8" t="inlineStr">
        <is>
          <t>Segment Information</t>
        </is>
      </c>
      <c r="B52" s="8" t="inlineStr">
        <is>
          <t>分部資料</t>
        </is>
      </c>
      <c r="C52" s="8" t="inlineStr">
        <is>
          <t>medium</t>
        </is>
      </c>
      <c r="D52" s="12" t="inlineStr">
        <is>
          <t>segment information</t>
        </is>
      </c>
      <c r="E52" s="12" t="inlineStr">
        <is>
          <t>PDF p.67 (印刷頁 66)</t>
        </is>
      </c>
      <c r="F52" s="12" t="inlineStr">
        <is>
          <t>NOTES TO THE CONSOLIDATED FINANCIAL STATEMENTS FOR THE YEAR ENDED 31 MARCH 2026 5. REVENUE AND SEGMENT INFORMATION (CONTINUED) Segment revenue and results The following is an analysis of the Group’s revenue and results by operating and reportable segment: For the year ended 31 March 2026 Organisation Provision and of financial coordination public relations of international services roadshows Consolidated HK$’ 000 HK$’ 000 HK$’ 000 Revenue 260,471 – 260,471 Segment profit/(loss) 115,488 (3)</t>
        </is>
      </c>
    </row>
    <row r="53">
      <c r="A53" s="8" t="inlineStr">
        <is>
          <t>Segment Information</t>
        </is>
      </c>
      <c r="B53" s="8" t="inlineStr">
        <is>
          <t>分部資料</t>
        </is>
      </c>
      <c r="C53" s="8" t="inlineStr">
        <is>
          <t>medium</t>
        </is>
      </c>
      <c r="D53" s="12" t="inlineStr">
        <is>
          <t>segment information</t>
        </is>
      </c>
      <c r="E53" s="12" t="inlineStr">
        <is>
          <t>PDF p.68 (印刷頁 67)</t>
        </is>
      </c>
      <c r="F53" s="12" t="inlineStr">
        <is>
          <t>NOTES TO THE CONSOLIDATED FINANCIAL STATEMENTS FOR THE YEAR ENDED 31 MARCH 2026 5. REVENUE AND SEGMENT INFORMATION (CONTINUED) Segment revenue and results (Continued) For the year ended 31 March 2025 Organisation Provision and of financial coordination public relations of international services roadshows Consolidated HK$’ 000 HK$’ 000 HK$’ 000 Revenue 190,836 – 190,836 Segment profit/(loss) 92,525 (12) 92,513 Unallocated corporate income 27,895 Interest income from debt instruments at FVTOC</t>
        </is>
      </c>
    </row>
    <row r="54">
      <c r="A54" s="8" t="inlineStr">
        <is>
          <t>Segment Information</t>
        </is>
      </c>
      <c r="B54" s="8" t="inlineStr">
        <is>
          <t>分部資料</t>
        </is>
      </c>
      <c r="C54" s="8" t="inlineStr">
        <is>
          <t>medium</t>
        </is>
      </c>
      <c r="D54" s="12" t="inlineStr">
        <is>
          <t>segment information</t>
        </is>
      </c>
      <c r="E54" s="12" t="inlineStr">
        <is>
          <t>PDF p.69 (印刷頁 68)</t>
        </is>
      </c>
      <c r="F54" s="12" t="inlineStr">
        <is>
          <t>NOTES TO THE CONSOLIDATED FINANCIAL STATEMENTS FOR THE YEAR ENDED 31 MARCH 2026 5. REVENUE AND SEGMENT INFORMATION (CONTINUED) Segment assets and liabilities The following is an analysis of the Group’s assets and liabilities by reportable and operating segment: At 31 March 2026 Organisation Provision and of financial coordination public relations of international services roadshows Consolidated HK$’ 000 HK$’ 000 HK$’ 000 Assets Segment assets 571,231 257 571,488 Investment properties 45,877</t>
        </is>
      </c>
    </row>
    <row r="55">
      <c r="A55" s="8" t="inlineStr">
        <is>
          <t>Segment Information</t>
        </is>
      </c>
      <c r="B55" s="8" t="inlineStr">
        <is>
          <t>分部資料</t>
        </is>
      </c>
      <c r="C55" s="8" t="inlineStr">
        <is>
          <t>medium</t>
        </is>
      </c>
      <c r="D55" s="12" t="inlineStr">
        <is>
          <t>segment information</t>
        </is>
      </c>
      <c r="E55" s="12" t="inlineStr">
        <is>
          <t>PDF p.70 (印刷頁 69)</t>
        </is>
      </c>
      <c r="F55" s="12" t="inlineStr">
        <is>
          <t>NOTES TO THE CONSOLIDATED FINANCIAL STATEMENTS FOR THE YEAR ENDED 31 MARCH 2026 5. REVENUE AND SEGMENT INFORMATION (CONTINUED) Segment assets and liabilities (Continued) At 31 March 2025 Organisation Provision and of financial coordination public relations of international services roadshows Consolidated HK$’ 000 HK$’ 000 HK$’ 000 Assets Segment assets 598,611 257 598,868 Investment properties 44,982 Interests in associates 5,260 Financial assets at FVTPL 55,403 Debt instruments at FVTOCI 8</t>
        </is>
      </c>
    </row>
    <row r="56">
      <c r="A56" s="8" t="inlineStr">
        <is>
          <t>Segment Information</t>
        </is>
      </c>
      <c r="B56" s="8" t="inlineStr">
        <is>
          <t>分部資料</t>
        </is>
      </c>
      <c r="C56" s="8" t="inlineStr">
        <is>
          <t>medium</t>
        </is>
      </c>
      <c r="D56" s="12" t="inlineStr">
        <is>
          <t>segment information</t>
        </is>
      </c>
      <c r="E56" s="12" t="inlineStr">
        <is>
          <t>PDF p.71 (印刷頁 70)</t>
        </is>
      </c>
      <c r="F56" s="12" t="inlineStr">
        <is>
          <t>NOTES TO THE CONSOLIDATED FINANCIAL STATEMENTS FOR THE YEAR ENDED 31 MARCH 2026 5. REVENUE AND SEGMENT INFORMATION (CONTINUED) Other segment information For the year ended 31 March 2026 Provision of Organisation financial and public coordination relations of international services roadshows Unallocated Consolidated HK$’000 HK$’000 HK$’000 HK$’000 Amounts included in the measure of segment profit/loss or segment assets: Additions to non-current assets 66 – – 66 Depreciation of property, plan</t>
        </is>
      </c>
    </row>
    <row r="57">
      <c r="A57" s="8" t="inlineStr">
        <is>
          <t>Segment Information</t>
        </is>
      </c>
      <c r="B57" s="8" t="inlineStr">
        <is>
          <t>分部資料</t>
        </is>
      </c>
      <c r="C57" s="8" t="inlineStr">
        <is>
          <t>medium</t>
        </is>
      </c>
      <c r="D57" s="12" t="inlineStr">
        <is>
          <t>segment information</t>
        </is>
      </c>
      <c r="E57" s="12" t="inlineStr">
        <is>
          <t>PDF p.72 (印刷頁 71)</t>
        </is>
      </c>
      <c r="F57" s="12" t="inlineStr">
        <is>
          <t>NOTES TO THE CONSOLIDATED FINANCIAL STATEMENTS FOR THE YEAR ENDED 31 MARCH 2026 5. REVENUE AND SEGMENT INFORMATION (CONTINUED) Other segment information (Continued) For the year ended 31 March 2025 Provision of Organisation financial and public coordination relations of international services roadshows Unallocated Consolidated HK$’000 HK$’000 HK$’000 HK$’000 Amounts included in the measure of segment profit/loss or segment assets: Additions to non-current assets 60 – 998 1,058 Depreciation</t>
        </is>
      </c>
    </row>
    <row r="58">
      <c r="A58" s="8" t="inlineStr">
        <is>
          <t>Segment Information</t>
        </is>
      </c>
      <c r="B58" s="8" t="inlineStr">
        <is>
          <t>分部資料</t>
        </is>
      </c>
      <c r="C58" s="8" t="inlineStr">
        <is>
          <t>medium</t>
        </is>
      </c>
      <c r="D58" s="12" t="inlineStr">
        <is>
          <t>segment information</t>
        </is>
      </c>
      <c r="E58" s="12" t="inlineStr">
        <is>
          <t>PDF p.73 (印刷頁 72)</t>
        </is>
      </c>
      <c r="F58" s="12" t="inlineStr">
        <is>
          <t>NOTES TO THE CONSOLIDATED FINANCIAL STATEMENTS FOR THE YEAR ENDED 31 MARCH 2026 5. REVENUE AND SEGMENT INFORMATION (CONTINUED) Geographical information More than 91% (2025: 90%) of the Group’s revenue are arisen in Hong Kong, the place of domicile of the relevant group entities. The Group’s non-current assets (excluding debt instruments at FVTOCI, financial assets at FVTPL, interests in associates, time deposits and deferred tax asset) by geographical location of the assets are detailed bel</t>
        </is>
      </c>
    </row>
    <row r="59">
      <c r="A59" s="8" t="inlineStr">
        <is>
          <t>Share-based Payment</t>
        </is>
      </c>
      <c r="B59" s="8" t="inlineStr">
        <is>
          <t>以股份為基礎的付款</t>
        </is>
      </c>
      <c r="C59" s="8" t="inlineStr">
        <is>
          <t>medium</t>
        </is>
      </c>
      <c r="D59" s="12" t="inlineStr">
        <is>
          <t>share option</t>
        </is>
      </c>
      <c r="E59" s="12" t="inlineStr">
        <is>
          <t>PDF p.8 (印刷頁 7)</t>
        </is>
      </c>
      <c r="F59" s="12" t="inlineStr">
        <is>
          <t>ormance appraisals and other relevant factors. Staff benefits plans maintained by the Group include mandatory provident fund scheme, share option scheme and medical insurance. CLOSURE OF REGISTER OF MEMBERS FOR THE ANNUAL GENERAL MEETING (“AGM” ) The AGM of the Company will be held on 30 September 2026. The register of members of the Company will be closed from 25 September 2026 to 30 September 2026 (both days inclusive) during which period no transfer of shares will be registered. In order to qualify for attending and voting a</t>
        </is>
      </c>
    </row>
    <row r="60">
      <c r="A60" s="8" t="inlineStr">
        <is>
          <t>Share-based Payment</t>
        </is>
      </c>
      <c r="B60" s="8" t="inlineStr">
        <is>
          <t>以股份為基礎的付款</t>
        </is>
      </c>
      <c r="C60" s="8" t="inlineStr">
        <is>
          <t>medium</t>
        </is>
      </c>
      <c r="D60" s="12" t="inlineStr">
        <is>
          <t>share option</t>
        </is>
      </c>
      <c r="E60" s="12" t="inlineStr">
        <is>
          <t>PDF p.14 (印刷頁 13)</t>
        </is>
      </c>
      <c r="F60" s="12" t="inlineStr">
        <is>
          <t>share capital during the year are set out in note 24 to the consolidated financial statements. EQUITY-LINKED AGREEMENT Save for the share option scheme disclosed in this annual report, there were no equity-linked agreement was entered into during the year or subsisted at the end of the year. PRE-EMPTIVE RIGHTS There are no provisions for pre-emptive rights under the Company’s articles of association or the laws of the Cayman Islands which would oblige the Company to offer new shares on a pro rata basis to existing shareholders</t>
        </is>
      </c>
    </row>
    <row r="61">
      <c r="A61" s="8" t="inlineStr">
        <is>
          <t>Share-based Payment</t>
        </is>
      </c>
      <c r="B61" s="8" t="inlineStr">
        <is>
          <t>以股份為基礎的付款</t>
        </is>
      </c>
      <c r="C61" s="8" t="inlineStr">
        <is>
          <t>medium</t>
        </is>
      </c>
      <c r="D61" s="12" t="inlineStr">
        <is>
          <t>share option</t>
        </is>
      </c>
      <c r="E61" s="12" t="inlineStr">
        <is>
          <t>PDF p.18 (印刷頁 17)</t>
        </is>
      </c>
      <c r="F61" s="12" t="inlineStr">
        <is>
          <t>PLOYEES OF SUBSTANTIAL SHAREHOLDERS Mr. Liu is the sole director of Sapphire Star which is a substantial shareholder of the Company. SHARE OPTION SCHEME On 7 March 2012, the Company’s share option scheme (the “Scheme”) was adopted. Details of the Company’s Scheme are stated in note 25 to the consolidated financial statements. On 27 July 2024, all outstanding options were expired and there were neither share options granted, nor exercised by the Directors during the year ended 31 March 2026. DIRECTORS’ INTERESTS IN COMPETING BUS</t>
        </is>
      </c>
    </row>
    <row r="62">
      <c r="A62" s="8" t="inlineStr">
        <is>
          <t>Share-based Payment</t>
        </is>
      </c>
      <c r="B62" s="8" t="inlineStr">
        <is>
          <t>以股份為基礎的付款</t>
        </is>
      </c>
      <c r="C62" s="8" t="inlineStr">
        <is>
          <t>medium</t>
        </is>
      </c>
      <c r="D62" s="12" t="inlineStr">
        <is>
          <t>share option</t>
        </is>
      </c>
      <c r="E62" s="12" t="inlineStr">
        <is>
          <t>PDF p.22 (印刷頁 21)</t>
        </is>
      </c>
      <c r="F62" s="12" t="inlineStr">
        <is>
          <t>incipal elements of the Group’s executive remuneration package include: • basic salary; • discretionary bonus without capping; and • share options granted under a shareholders’ approved option scheme. NOMINATION COMMITTEE The Nomination Committee was established on 7 March 2012 and currently has 4 members, namely Ms. Li Ling Xiu, Ms. Lam, Sally, Mr. Cheung Kwong Tat and Mr. Liu Tianni. This committee is chaired by Ms. Li Ling Xiu. The terms of reference of the Nomination Committee have been determined with reference to the List</t>
        </is>
      </c>
    </row>
    <row r="63">
      <c r="A63" s="8" t="inlineStr">
        <is>
          <t>Share-based Payment</t>
        </is>
      </c>
      <c r="B63" s="8" t="inlineStr">
        <is>
          <t>以股份為基礎的付款</t>
        </is>
      </c>
      <c r="C63" s="8" t="inlineStr">
        <is>
          <t>medium</t>
        </is>
      </c>
      <c r="D63" s="12" t="inlineStr">
        <is>
          <t>share option</t>
        </is>
      </c>
      <c r="E63" s="12" t="inlineStr">
        <is>
          <t>PDF p.37 (印刷頁 36)</t>
        </is>
      </c>
      <c r="F63" s="12" t="inlineStr">
        <is>
          <t>– – 21,572 (5,253) – 16,319 Total comprehensive income/(loss) for the year – – – – – – 21,572 (5,253) 41,221 57,540 Effect of lapsed share options (note 25) – – – – – (2,319) – – 2,319 – At 31 March 2025 11,515 711,774 10 (1) (4,773) – (6,626) 6,779 796,107 1,514,785 36 Wonderful Sky Financial Group Holdings Limited</t>
        </is>
      </c>
    </row>
    <row r="64">
      <c r="A64" s="8" t="inlineStr">
        <is>
          <t>Share-based Payment</t>
        </is>
      </c>
      <c r="B64" s="8" t="inlineStr">
        <is>
          <t>以股份為基礎的付款</t>
        </is>
      </c>
      <c r="C64" s="8" t="inlineStr">
        <is>
          <t>medium</t>
        </is>
      </c>
      <c r="D64" s="12" t="inlineStr">
        <is>
          <t>share-based payment</t>
        </is>
      </c>
      <c r="E64" s="12" t="inlineStr">
        <is>
          <t>PDF p.38 (印刷頁 37)</t>
        </is>
      </c>
      <c r="F64" s="12" t="inlineStr">
        <is>
          <t>grant date of share options granted to employees of the Group and is dealt with in accordance with the accounting policy adopted for share-based payment. (vi) The FVTOCI reserve has been set up and is dealt with in accordance with the accounting policies adopted for the (i) cumulative net changes of the fair value of debt instruments at FVTOCI and (ii) accumulated loss allowance on the debt instruments at FVTOCI as set out in note 3 to the consolidated financial statements. (vii) Translation reserve has been set up and is dealt</t>
        </is>
      </c>
    </row>
    <row r="65">
      <c r="A65" s="8" t="inlineStr">
        <is>
          <t>Share-based Payment</t>
        </is>
      </c>
      <c r="B65" s="8" t="inlineStr">
        <is>
          <t>以股份為基礎的付款</t>
        </is>
      </c>
      <c r="C65" s="8" t="inlineStr">
        <is>
          <t>medium</t>
        </is>
      </c>
      <c r="D65" s="12" t="inlineStr">
        <is>
          <t>share-based payment</t>
        </is>
      </c>
      <c r="E65" s="12" t="inlineStr">
        <is>
          <t>PDF p.43 (印刷頁 42)</t>
        </is>
      </c>
      <c r="F65" s="12" t="inlineStr">
        <is>
          <t>inancial statements is determined on such a basis, except for share-based payment transactions that are within the scope of HKFRS 2 “Share-based Payment”, leasing transactions that are accounted for in accordance with HKFRS 16 (since 1 April 2019) or HKAS 17 (before application of HKFRS 16), and measurements that have some similarities to fair value but are not fair value, such as net realisable value in HKAS 2 “Inventories” or value in use in HKAS 36 “Impairment of Assets”. For financial instruments which are transacted at fai</t>
        </is>
      </c>
    </row>
    <row r="66">
      <c r="A66" s="8" t="inlineStr">
        <is>
          <t>Share-based Payment</t>
        </is>
      </c>
      <c r="B66" s="8" t="inlineStr">
        <is>
          <t>以股份為基礎的付款</t>
        </is>
      </c>
      <c r="C66" s="8" t="inlineStr">
        <is>
          <t>medium</t>
        </is>
      </c>
      <c r="D66" s="12" t="inlineStr">
        <is>
          <t>share-based payment</t>
        </is>
      </c>
      <c r="E66" s="12" t="inlineStr">
        <is>
          <t>PDF p.91 (印刷頁 90)</t>
        </is>
      </c>
      <c r="F66" s="12" t="inlineStr">
        <is>
          <t>NOTES TO THE CONSOLIDATED FINANCIAL STATEMENTS FOR THE YEAR ENDED 31 MARCH 2026 25. SHARE-BASED PAYMENT TRANSACTIONS The Share Option Scheme of the Company was adopted pursuant to a resolution in writing of the sole shareholder passed on 7 March 2012. The purposes of the Share Option Scheme are to enable the Group to grant options to full-time or part-time employees, directors (whether executive or non-executive), suppliers, customers, joint venture partners, business associates</t>
        </is>
      </c>
    </row>
    <row r="67">
      <c r="A67" s="8" t="inlineStr">
        <is>
          <t>Share-based Payment</t>
        </is>
      </c>
      <c r="B67" s="8" t="inlineStr">
        <is>
          <t>以股份為基礎的付款</t>
        </is>
      </c>
      <c r="C67" s="8" t="inlineStr">
        <is>
          <t>medium</t>
        </is>
      </c>
      <c r="D67" s="12" t="inlineStr">
        <is>
          <t>share-based payment</t>
        </is>
      </c>
      <c r="E67" s="12" t="inlineStr">
        <is>
          <t>PDF p.92 (印刷頁 91)</t>
        </is>
      </c>
      <c r="F67" s="12" t="inlineStr">
        <is>
          <t>NOTES TO THE CONSOLIDATED FINANCIAL STATEMENTS FOR THE YEAR ENDED 31 MARCH 2026 25. SHARE-BASED PAYMENT TRANSACTIONS (CONTINUED) The following table sets out the movements in the Company’s share options held by the employees of the Group during the year ended 31 March 2026: Outstanding Lapsed/forfeited Outstanding Date of grant Exercisable period Exercise price at 1.4.2024 during the year at 31.3.2025 HK$ Employees: 26.1.2018 27.7.2019–27.7.2024 1.500 800,000 (800,000) – 26.1.201</t>
        </is>
      </c>
    </row>
    <row r="68">
      <c r="A68" s="8" t="inlineStr">
        <is>
          <t>Share-based Payment</t>
        </is>
      </c>
      <c r="B68" s="8" t="inlineStr">
        <is>
          <t>以股份為基礎的付款</t>
        </is>
      </c>
      <c r="C68" s="8" t="inlineStr">
        <is>
          <t>medium</t>
        </is>
      </c>
      <c r="D68" s="12" t="inlineStr">
        <is>
          <t>share option</t>
        </is>
      </c>
      <c r="E68" s="12" t="inlineStr">
        <is>
          <t>PDF p.108 (印刷頁 107)</t>
        </is>
      </c>
      <c r="F68" s="12" t="inlineStr">
        <is>
          <t>nsive income for the year – – – 28,562 – 28,562 Total comprehensive income for the year – – – 28,562 (28,909) (347) Effect of lapsed share options – – (2,319) – 2,319 – At 31 March 2025 711,774 (4,773) – 50,660 (63,608) 694,053 Annual Report 2026 107</t>
        </is>
      </c>
    </row>
    <row r="69">
      <c r="A69" s="8" t="inlineStr">
        <is>
          <t>Related Party Transactions</t>
        </is>
      </c>
      <c r="B69" s="8" t="inlineStr">
        <is>
          <t>關聯方交易</t>
        </is>
      </c>
      <c r="C69" s="8" t="inlineStr">
        <is>
          <t>low</t>
        </is>
      </c>
      <c r="D69" s="12" t="inlineStr">
        <is>
          <t>related party</t>
        </is>
      </c>
      <c r="E69" s="12" t="inlineStr">
        <is>
          <t>PDF p.63 (印刷頁 62)</t>
        </is>
      </c>
      <c r="F69" s="12" t="inlineStr">
        <is>
          <t>TION AND MATERIAL ACCOUNTING POLICY INFORMATION (CONTINUED) 3.2 Material accounting policy information (Continued) Related parties A related party is a person or entity that is related to the Group. (a) A person or a close member of that person’s family is related to the Group if that person: (i) has control or joint control over the Group; (ii) has significant influence over the Group; or (iii) is a member of the key management personnel of the Group or of the parent of the Group. (b) An entity is related to the Group if any o</t>
        </is>
      </c>
    </row>
    <row r="70">
      <c r="A70" s="8" t="inlineStr">
        <is>
          <t>Related Party Transactions</t>
        </is>
      </c>
      <c r="B70" s="8" t="inlineStr">
        <is>
          <t>關聯方交易</t>
        </is>
      </c>
      <c r="C70" s="8" t="inlineStr">
        <is>
          <t>low</t>
        </is>
      </c>
      <c r="D70" s="12" t="inlineStr">
        <is>
          <t>related party</t>
        </is>
      </c>
      <c r="E70" s="12" t="inlineStr">
        <is>
          <t>PDF p.64 (印刷頁 63)</t>
        </is>
      </c>
      <c r="F70" s="12" t="inlineStr">
        <is>
          <t>’s spouse or domestic partner; and (c) dependants of that person or that person’s spouse or domestic partner. In the definition of a related party, an associate includes subsidiaries of the associate and a joint venture includes subsidiaries of the joint venture. 4. KEY SOURCES OF ESTIMATION UNCERTAINTY In the application of the Group’s accounting policies, which are set out in note 3, the directors of the Company are required to make judgements, estimates and assumptions about the carrying amounts of assets and liabilities tha</t>
        </is>
      </c>
    </row>
    <row r="71">
      <c r="A71" s="8" t="inlineStr">
        <is>
          <t>Related Party Transactions</t>
        </is>
      </c>
      <c r="B71" s="8" t="inlineStr">
        <is>
          <t>關聯方交易</t>
        </is>
      </c>
      <c r="C71" s="8" t="inlineStr">
        <is>
          <t>low</t>
        </is>
      </c>
      <c r="D71" s="12" t="inlineStr">
        <is>
          <t>related party</t>
        </is>
      </c>
      <c r="E71" s="12" t="inlineStr">
        <is>
          <t>PDF p.105 (印刷頁 104)</t>
        </is>
      </c>
      <c r="F71" s="12" t="inlineStr">
        <is>
          <t>NOTES TO THE CONSOLIDATED FINANCIAL STATEMENTS FOR THE YEAR ENDED 31 MARCH 2026 30. RELATED PARTY TRANSACTIONS In addition to the transactions and balances disclosed elsewhere in the consolidated financial statements, the Group had also entered into the following related party transactions: 2026 2025 HK$’ 000 HK$’000 Rental expenses paid to Fortunate Sun Investment Limited (Note 2) 2,980 2,980 Salaries and allowances paid to related parties (Note 1) 652 652 Notes: 1. These relate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7"/>
  <sheetViews>
    <sheetView workbookViewId="0">
      <pane ySplit="36" topLeftCell="A3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Revenue</t>
        </is>
      </c>
    </row>
    <row r="9">
      <c r="A9" s="8" t="inlineStr">
        <is>
          <t>Income Statement</t>
        </is>
      </c>
      <c r="B9" s="8" t="inlineStr">
        <is>
          <t>Cost of Sales</t>
        </is>
      </c>
    </row>
    <row r="10">
      <c r="A10" s="8" t="inlineStr">
        <is>
          <t>Income Statement</t>
        </is>
      </c>
      <c r="B10" s="8" t="inlineStr">
        <is>
          <t>Gross Profit</t>
        </is>
      </c>
    </row>
    <row r="11">
      <c r="A11" s="8" t="inlineStr">
        <is>
          <t>Income Statement</t>
        </is>
      </c>
      <c r="B11" s="8" t="inlineStr">
        <is>
          <t>Operating Profit</t>
        </is>
      </c>
    </row>
    <row r="12">
      <c r="A12" s="8" t="inlineStr">
        <is>
          <t>Income Statement</t>
        </is>
      </c>
      <c r="B12" s="8" t="inlineStr">
        <is>
          <t>Finance Costs</t>
        </is>
      </c>
    </row>
    <row r="13">
      <c r="A13" s="8" t="inlineStr">
        <is>
          <t>Income Statement</t>
        </is>
      </c>
      <c r="B13" s="8" t="inlineStr">
        <is>
          <t>Income Tax</t>
        </is>
      </c>
    </row>
    <row r="14">
      <c r="A14" s="8" t="inlineStr">
        <is>
          <t>Income Statement</t>
        </is>
      </c>
      <c r="B14" s="8" t="inlineStr">
        <is>
          <t>R&amp;D Expenses</t>
        </is>
      </c>
    </row>
    <row r="15">
      <c r="A15" s="8" t="inlineStr">
        <is>
          <t>Income Statement</t>
        </is>
      </c>
      <c r="B15" s="8" t="inlineStr">
        <is>
          <t>Depreciation</t>
        </is>
      </c>
    </row>
    <row r="16">
      <c r="A16" s="8" t="inlineStr">
        <is>
          <t>Income Statement</t>
        </is>
      </c>
      <c r="B16" s="8" t="inlineStr">
        <is>
          <t>Amortisation</t>
        </is>
      </c>
    </row>
    <row r="17">
      <c r="A17" s="8" t="inlineStr">
        <is>
          <t>Balance Sheet</t>
        </is>
      </c>
      <c r="B17" s="8" t="inlineStr">
        <is>
          <t>Total Assets</t>
        </is>
      </c>
    </row>
    <row r="18">
      <c r="A18" s="8" t="inlineStr">
        <is>
          <t>Balance Sheet</t>
        </is>
      </c>
      <c r="B18" s="8" t="inlineStr">
        <is>
          <t>Total Current Assets</t>
        </is>
      </c>
    </row>
    <row r="19">
      <c r="A19" s="8" t="inlineStr">
        <is>
          <t>Balance Sheet</t>
        </is>
      </c>
      <c r="B19" s="8" t="inlineStr">
        <is>
          <t>Cash and Equivalents</t>
        </is>
      </c>
    </row>
    <row r="20">
      <c r="A20" s="8" t="inlineStr">
        <is>
          <t>Balance Sheet</t>
        </is>
      </c>
      <c r="B20" s="8" t="inlineStr">
        <is>
          <t>Inventories</t>
        </is>
      </c>
    </row>
    <row r="21">
      <c r="A21" s="8" t="inlineStr">
        <is>
          <t>Balance Sheet</t>
        </is>
      </c>
      <c r="B21" s="8" t="inlineStr">
        <is>
          <t>Trade Receivables</t>
        </is>
      </c>
    </row>
    <row r="22">
      <c r="A22" s="8" t="inlineStr">
        <is>
          <t>Balance Sheet</t>
        </is>
      </c>
      <c r="B22" s="8" t="inlineStr">
        <is>
          <t>Goodwill</t>
        </is>
      </c>
    </row>
    <row r="23">
      <c r="A23" s="8" t="inlineStr">
        <is>
          <t>Balance Sheet</t>
        </is>
      </c>
      <c r="B23" s="8" t="inlineStr">
        <is>
          <t>Intangible Assets</t>
        </is>
      </c>
    </row>
    <row r="24">
      <c r="A24" s="8" t="inlineStr">
        <is>
          <t>Balance Sheet</t>
        </is>
      </c>
      <c r="B24" s="8" t="inlineStr">
        <is>
          <t>Investment Properties</t>
        </is>
      </c>
    </row>
    <row r="25">
      <c r="A25" s="8" t="inlineStr">
        <is>
          <t>Balance Sheet</t>
        </is>
      </c>
      <c r="B25" s="8" t="inlineStr">
        <is>
          <t>Property Plant and Equipment</t>
        </is>
      </c>
    </row>
    <row r="26">
      <c r="A26" s="8" t="inlineStr">
        <is>
          <t>Balance Sheet</t>
        </is>
      </c>
      <c r="B26" s="8" t="inlineStr">
        <is>
          <t>Total Liabilities</t>
        </is>
      </c>
    </row>
    <row r="27">
      <c r="A27" s="8" t="inlineStr">
        <is>
          <t>Balance Sheet</t>
        </is>
      </c>
      <c r="B27" s="8" t="inlineStr">
        <is>
          <t>Total Current Liabilities</t>
        </is>
      </c>
    </row>
    <row r="28">
      <c r="A28" s="8" t="inlineStr">
        <is>
          <t>Balance Sheet</t>
        </is>
      </c>
      <c r="B28" s="8" t="inlineStr">
        <is>
          <t>Borrowings</t>
        </is>
      </c>
    </row>
    <row r="29">
      <c r="A29" s="8" t="inlineStr">
        <is>
          <t>Balance Sheet</t>
        </is>
      </c>
      <c r="B29" s="8" t="inlineStr">
        <is>
          <t>Total Equity</t>
        </is>
      </c>
    </row>
    <row r="30">
      <c r="A30" s="8" t="inlineStr">
        <is>
          <t>Cash Flow</t>
        </is>
      </c>
      <c r="B30" s="8" t="inlineStr">
        <is>
          <t>Financing Cash Flow</t>
        </is>
      </c>
    </row>
    <row r="33">
      <c r="A33" s="5" t="inlineStr">
        <is>
          <t>二、文字量過低的頁面(疑似掃描頁)</t>
        </is>
      </c>
    </row>
    <row r="34">
      <c r="A34" s="2" t="inlineStr">
        <is>
          <t>這些頁面幾乎抓不到文字,通常是掃描件或純圖表,建議人手翻閱或另行 OCR。</t>
        </is>
      </c>
    </row>
    <row r="36">
      <c r="A36" s="7" t="inlineStr">
        <is>
          <t>PDF 頁碼</t>
        </is>
      </c>
      <c r="B36" s="7" t="inlineStr">
        <is>
          <t>狀態</t>
        </is>
      </c>
    </row>
    <row r="37">
      <c r="A37" s="8" t="n">
        <v>1</v>
      </c>
      <c r="B37"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2026-08-30T14:15:28Z</dcterms:created>
  <dcterms:modified xsi:type="dcterms:W3CDTF">2026-08-30T14:15:28Z</dcterms:modified>
</cp:coreProperties>
</file>
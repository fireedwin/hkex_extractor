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摘要" sheetId="1" state="visible" r:id="rId1"/>
    <sheet name="Valuation Params 估值參數" sheetId="2" state="visible" r:id="rId2"/>
    <sheet name="Financials 財務數據" sheetId="3" state="visible" r:id="rId3"/>
    <sheet name="Ratios 財務比率" sheetId="4" state="visible" r:id="rId4"/>
    <sheet name="Chart 趨勢圖" sheetId="5" state="visible" r:id="rId5"/>
    <sheet name="Extracts 主題段落" sheetId="6" state="visible" r:id="rId6"/>
    <sheet name="Review Queue 待覆核" sheetId="7" state="visible" r:id="rId7"/>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10">
    <font>
      <name val="Calibri"/>
      <family val="2"/>
      <color theme="1"/>
      <sz val="11"/>
      <scheme val="minor"/>
    </font>
    <font>
      <name val="Arial"/>
      <b val="1"/>
      <color rgb="001F4E5F"/>
      <sz val="14"/>
    </font>
    <font>
      <name val="Arial"/>
      <i val="1"/>
      <color rgb="00808080"/>
      <sz val="9"/>
    </font>
    <font>
      <name val="Arial"/>
      <b val="1"/>
      <sz val="10"/>
    </font>
    <font>
      <name val="Arial"/>
      <sz val="10"/>
    </font>
    <font>
      <name val="Arial"/>
      <b val="1"/>
      <sz val="11"/>
    </font>
    <font>
      <name val="Arial"/>
      <color rgb="00006100"/>
      <sz val="10"/>
    </font>
    <font>
      <name val="Arial"/>
      <b val="1"/>
      <color rgb="009C0006"/>
      <sz val="10"/>
    </font>
    <font>
      <name val="Arial"/>
      <b val="1"/>
      <color rgb="00FFFFFF"/>
      <sz val="10"/>
    </font>
    <font>
      <name val="Arial"/>
      <color rgb="000000FF"/>
      <sz val="10"/>
    </font>
  </fonts>
  <fills count="4">
    <fill>
      <patternFill/>
    </fill>
    <fill>
      <patternFill patternType="gray125"/>
    </fill>
    <fill>
      <patternFill patternType="solid">
        <fgColor rgb="001F4E5F"/>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2" borderId="0" applyAlignment="1" pivotButton="0" quotePrefix="0" xfId="0">
      <alignment vertical="center" wrapText="1"/>
    </xf>
    <xf numFmtId="0" fontId="4" fillId="0" borderId="1" applyAlignment="1" pivotButton="0" quotePrefix="0" xfId="0">
      <alignment vertical="top"/>
    </xf>
    <xf numFmtId="2" fontId="4" fillId="0" borderId="1" applyAlignment="1" pivotButton="0" quotePrefix="0" xfId="0">
      <alignment vertical="top"/>
    </xf>
    <xf numFmtId="2" fontId="4" fillId="0" borderId="1" applyAlignment="1" pivotButton="0" quotePrefix="0" xfId="0">
      <alignment vertical="top" wrapText="1"/>
    </xf>
    <xf numFmtId="0" fontId="4" fillId="0" borderId="1" applyAlignment="1" pivotButton="0" quotePrefix="0" xfId="0">
      <alignment vertical="top" wrapText="1"/>
    </xf>
    <xf numFmtId="164" fontId="4" fillId="0" borderId="1" applyAlignment="1" pivotButton="0" quotePrefix="0" xfId="0">
      <alignment vertical="top"/>
    </xf>
    <xf numFmtId="164" fontId="4" fillId="0" borderId="1" applyAlignment="1" pivotButton="0" quotePrefix="0" xfId="0">
      <alignment vertical="top" wrapText="1"/>
    </xf>
    <xf numFmtId="165" fontId="4" fillId="0" borderId="1" applyAlignment="1" pivotButton="0" quotePrefix="0" xfId="0">
      <alignment vertical="top" wrapText="1"/>
    </xf>
    <xf numFmtId="165" fontId="4" fillId="0" borderId="0" pivotButton="0" quotePrefix="0" xfId="0"/>
    <xf numFmtId="2" fontId="4" fillId="0" borderId="0" pivotButton="0" quotePrefix="0" xfId="0"/>
    <xf numFmtId="0" fontId="8" fillId="2" borderId="0" pivotButton="0" quotePrefix="0" xfId="0"/>
    <xf numFmtId="164" fontId="0" fillId="0" borderId="0" pivotButton="0" quotePrefix="0" xfId="0"/>
    <xf numFmtId="0" fontId="4"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style val="10"/>
  <chart>
    <title>
      <tx>
        <rich>
          <a:bodyPr/>
          <a:p>
            <a:pPr>
              <a:defRPr/>
            </a:pPr>
            <a:r>
              <a:t>Key Financials — Prior vs Current</a:t>
            </a:r>
          </a:p>
        </rich>
      </tx>
    </title>
    <plotArea>
      <barChart>
        <barDir val="col"/>
        <grouping val="clustered"/>
        <ser>
          <idx val="0"/>
          <order val="0"/>
          <tx>
            <strRef>
              <f>'Chart 趨勢圖'!B4</f>
            </strRef>
          </tx>
          <spPr>
            <a:ln>
              <a:prstDash val="solid"/>
            </a:ln>
          </spPr>
          <cat>
            <numRef>
              <f>'Chart 趨勢圖'!$A$5:$A$8</f>
            </numRef>
          </cat>
          <val>
            <numRef>
              <f>'Chart 趨勢圖'!$B$5:$B$8</f>
            </numRef>
          </val>
        </ser>
        <ser>
          <idx val="1"/>
          <order val="1"/>
          <tx>
            <strRef>
              <f>'Chart 趨勢圖'!C4</f>
            </strRef>
          </tx>
          <spPr>
            <a:ln>
              <a:prstDash val="solid"/>
            </a:ln>
          </spPr>
          <cat>
            <numRef>
              <f>'Chart 趨勢圖'!$A$5:$A$8</f>
            </numRef>
          </cat>
          <val>
            <numRef>
              <f>'Chart 趨勢圖'!$C$5:$C$8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Amount (as reported)</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7920000" cy="396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42" customWidth="1" min="1" max="1"/>
    <col width="60" customWidth="1" min="2" max="2"/>
  </cols>
  <sheetData>
    <row r="1">
      <c r="A1" s="1" t="inlineStr">
        <is>
          <t>HKEX 文件資料萃取報告</t>
        </is>
      </c>
    </row>
    <row r="2">
      <c r="A2" s="2" t="inlineStr">
        <is>
          <t>Automated Extraction Report — Business Valuation Support</t>
        </is>
      </c>
    </row>
    <row r="4">
      <c r="A4" s="3" t="inlineStr">
        <is>
          <t>來源文件 Source file</t>
        </is>
      </c>
      <c r="B4" s="4" t="inlineStr">
        <is>
          <t>01709_DL_HOLDINGS_GP_20260730.pdf</t>
        </is>
      </c>
    </row>
    <row r="5">
      <c r="A5" s="3" t="inlineStr">
        <is>
          <t>產生時間 Generated</t>
        </is>
      </c>
      <c r="B5" s="4" t="inlineStr">
        <is>
          <t>2026-08-30 22:15</t>
        </is>
      </c>
    </row>
    <row r="6">
      <c r="A6" s="4" t="inlineStr"/>
      <c r="B6" s="4" t="inlineStr"/>
    </row>
    <row r="7">
      <c r="A7" s="3" t="inlineStr">
        <is>
          <t>總頁數 Total pages</t>
        </is>
      </c>
      <c r="B7" s="4" t="n">
        <v>187</v>
      </c>
    </row>
    <row r="8">
      <c r="A8" s="3" t="inlineStr">
        <is>
          <t>已擷取字元 Characters extracted</t>
        </is>
      </c>
      <c r="B8" s="4" t="n">
        <v>527128</v>
      </c>
    </row>
    <row r="9">
      <c r="A9" s="3" t="inlineStr">
        <is>
          <t>含表格頁數 Pages with tables</t>
        </is>
      </c>
      <c r="B9" s="4" t="n">
        <v>0</v>
      </c>
    </row>
    <row r="10">
      <c r="A10" s="3" t="inlineStr">
        <is>
          <t>需人手/OCR 頁數 Pages needing OCR</t>
        </is>
      </c>
      <c r="B10" s="4" t="n">
        <v>1</v>
      </c>
    </row>
    <row r="11">
      <c r="A11" s="4" t="inlineStr"/>
      <c r="B11" s="4" t="inlineStr"/>
    </row>
    <row r="12">
      <c r="A12" s="3" t="inlineStr">
        <is>
          <t>估值參數擷取筆數 Valuation parameters</t>
        </is>
      </c>
      <c r="B12" s="4" t="n">
        <v>5</v>
      </c>
    </row>
    <row r="13">
      <c r="A13" s="3" t="inlineStr">
        <is>
          <t>財務科目擷取筆數 Financial line items</t>
        </is>
      </c>
      <c r="B13" s="4" t="n">
        <v>9</v>
      </c>
    </row>
    <row r="14">
      <c r="A14" s="3" t="inlineStr">
        <is>
          <t>主題段落擷取筆數 Topic extracts</t>
        </is>
      </c>
      <c r="B14" s="4" t="n">
        <v>106</v>
      </c>
    </row>
    <row r="15">
      <c r="A15" s="3" t="inlineStr">
        <is>
          <t>AI 複核筆數 AI-verified findings</t>
        </is>
      </c>
      <c r="B15" s="4" t="n">
        <v>0</v>
      </c>
    </row>
    <row r="17">
      <c r="A17" s="5" t="inlineStr">
        <is>
          <t>資料完整性檢查 Integrity checks</t>
        </is>
      </c>
    </row>
    <row r="18">
      <c r="A18" s="2" t="inlineStr">
        <is>
          <t>用會計恆等式交叉驗證擷取結果 —— 數字之間本來就該對得上,對不上代表某欄可能抓錯,請翻回來源頁核對。</t>
        </is>
      </c>
    </row>
    <row r="19">
      <c r="A19" s="6" t="inlineStr">
        <is>
          <t>✓ 除稅前溢利 ± 稅項 = 年內溢利</t>
        </is>
      </c>
      <c r="B19" s="4" t="inlineStr">
        <is>
          <t>371,868 + 4,604 = 367,264 vs 367,264</t>
        </is>
      </c>
    </row>
    <row r="20">
      <c r="A20" s="7" t="inlineStr">
        <is>
          <t>✗ 三大報表應相鄰</t>
        </is>
      </c>
      <c r="B20" s="4" t="inlineStr">
        <is>
          <t>Income Statement: p.70、Balance Sheet: p.173、Cash Flow: p.146(相距 103 頁,可能有一張抓錯頁)</t>
        </is>
      </c>
    </row>
    <row r="22">
      <c r="A22" s="5" t="inlineStr">
        <is>
          <t>方法論 Methodology</t>
        </is>
      </c>
    </row>
    <row r="23">
      <c r="A23" s="4" t="inlineStr">
        <is>
          <t>1. 逐頁擷取文字,全程保留 PDF 頁碼與年報印刷頁碼(可追溯性)。</t>
        </is>
      </c>
    </row>
    <row r="24">
      <c r="A24" s="4" t="inlineStr">
        <is>
          <t>2. 規則層(正則/關鍵字)先把全份文件縮減為少數相關頁面 —— 解決「文件太大」。</t>
        </is>
      </c>
    </row>
    <row r="25">
      <c r="A25" s="4" t="inlineStr">
        <is>
          <t>3. 數字由正則精確擷取並做合理性檢查,不由語言模型生成 —— 解決「準確度」。</t>
        </is>
      </c>
    </row>
    <row r="26">
      <c r="A26" s="4" t="inlineStr">
        <is>
          <t>4. AI 僅在縮減後的頁面上做語意判斷,且輸出頁碼須通過驗證才保留。</t>
        </is>
      </c>
    </row>
    <row r="27">
      <c r="A27" s="4" t="inlineStr">
        <is>
          <t>5. 所有結果附來源頁碼與原文行,供估值師覆核。信心度為 Low 者建議人手確認。</t>
        </is>
      </c>
    </row>
    <row r="28">
      <c r="A28" s="4" t="inlineStr">
        <is>
          <t>6. 支援中英對照年報、破折號(nil)、Profit/(loss) 等港股常見排版。</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9"/>
  <sheetViews>
    <sheetView workbookViewId="0">
      <pane ySplit="4" topLeftCell="A5" activePane="bottomLeft" state="frozen"/>
      <selection pane="bottomLeft" activeCell="A1" sqref="A1"/>
    </sheetView>
  </sheetViews>
  <sheetFormatPr baseColWidth="8" defaultRowHeight="15"/>
  <cols>
    <col width="24" customWidth="1" min="1" max="1"/>
    <col width="18" customWidth="1" min="2" max="2"/>
    <col width="12" customWidth="1" min="3" max="3"/>
    <col width="12" customWidth="1" min="4" max="4"/>
    <col width="14" customWidth="1" min="5" max="5"/>
    <col width="10" customWidth="1" min="6" max="6"/>
    <col width="22" customWidth="1" min="7" max="7"/>
    <col width="90" customWidth="1" min="8" max="8"/>
  </cols>
  <sheetData>
    <row r="1">
      <c r="A1" s="1" t="inlineStr">
        <is>
          <t>估值參數 Benchmark — 可直接併入行內參數資料庫</t>
        </is>
      </c>
    </row>
    <row r="2">
      <c r="A2" s="2" t="inlineStr">
        <is>
          <t>數字由正則式從原文精確擷取,並經合理範圍檢查;非由 AI 生成。</t>
        </is>
      </c>
    </row>
    <row r="4">
      <c r="A4" s="8" t="inlineStr">
        <is>
          <t>參數 Parameter</t>
        </is>
      </c>
      <c r="B4" s="8" t="inlineStr">
        <is>
          <t>中文</t>
        </is>
      </c>
      <c r="C4" s="8" t="inlineStr">
        <is>
          <t>下限 Low (%)</t>
        </is>
      </c>
      <c r="D4" s="8" t="inlineStr">
        <is>
          <t>上限 High (%)</t>
        </is>
      </c>
      <c r="E4" s="8" t="inlineStr">
        <is>
          <t>原文數值</t>
        </is>
      </c>
      <c r="F4" s="8" t="inlineStr">
        <is>
          <t>信心度</t>
        </is>
      </c>
      <c r="G4" s="8" t="inlineStr">
        <is>
          <t>來源頁 Source Page</t>
        </is>
      </c>
      <c r="H4" s="8" t="inlineStr">
        <is>
          <t>上下文 Context</t>
        </is>
      </c>
    </row>
    <row r="5">
      <c r="A5" s="9" t="inlineStr">
        <is>
          <t>Discount Rate</t>
        </is>
      </c>
      <c r="B5" s="9" t="inlineStr">
        <is>
          <t>折現率</t>
        </is>
      </c>
      <c r="C5" s="10" t="n">
        <v>12.7</v>
      </c>
      <c r="D5" s="11" t="n">
        <v>12.7</v>
      </c>
      <c r="E5" s="12" t="inlineStr">
        <is>
          <t>12.7%</t>
        </is>
      </c>
      <c r="F5" s="12" t="inlineStr">
        <is>
          <t>High</t>
        </is>
      </c>
      <c r="G5" s="12" t="inlineStr">
        <is>
          <t>PDF p.133 (印刷頁 132)</t>
        </is>
      </c>
      <c r="H5" s="12" t="inlineStr">
        <is>
          <t>ffice HK Finance Advisory Securities Seasons Emerald Office HK Finance Advisory Discount rate 12.7% 13.2% 13.7% 12.7% 12.8% 13.0% 12.0% 12.0% 12.0% 13.9% 15.8% 13.7% Operating profit margin 25.0% 24.7% 4.9% 38.0% 42.8% 5.9% 1.7% 34.5% 6.6% 37.0% 12.0% 1</t>
        </is>
      </c>
    </row>
    <row r="6">
      <c r="A6" s="9" t="inlineStr">
        <is>
          <t>Discount Rate</t>
        </is>
      </c>
      <c r="B6" s="9" t="inlineStr">
        <is>
          <t>折現率</t>
        </is>
      </c>
      <c r="C6" s="10" t="n">
        <v>2</v>
      </c>
      <c r="D6" s="11" t="n">
        <v>2</v>
      </c>
      <c r="E6" s="12" t="inlineStr">
        <is>
          <t>2.0%</t>
        </is>
      </c>
      <c r="F6" s="12" t="inlineStr">
        <is>
          <t>Medium</t>
        </is>
      </c>
      <c r="G6" s="12" t="inlineStr">
        <is>
          <t>PDF p.133 (印刷頁 132)</t>
        </is>
      </c>
      <c r="H6" s="12" t="inlineStr">
        <is>
          <t>.0% 1.0% 3.0%-15.0% 3.0%-20.0% 2.0% 2.0% 5.0% 1.0% 1.0% 5.0-15.0% 1.0% 2.0% The discount rate used is pre-tax and reflects specific risks relating to the provision of financial services of licensed business, family office services business, money lendin</t>
        </is>
      </c>
    </row>
    <row r="7">
      <c r="A7" s="9" t="inlineStr">
        <is>
          <t>Discount Rate</t>
        </is>
      </c>
      <c r="B7" s="9" t="inlineStr">
        <is>
          <t>折現率</t>
        </is>
      </c>
      <c r="C7" s="10" t="n">
        <v>11.51</v>
      </c>
      <c r="D7" s="11" t="n">
        <v>11.51</v>
      </c>
      <c r="E7" s="12" t="inlineStr">
        <is>
          <t>11.51%</t>
        </is>
      </c>
      <c r="F7" s="12" t="inlineStr">
        <is>
          <t>High</t>
        </is>
      </c>
      <c r="G7" s="12" t="inlineStr">
        <is>
          <t>PDF p.155 (印刷頁 154)</t>
        </is>
      </c>
      <c r="H7" s="12" t="inlineStr">
        <is>
          <t>ws: At issue date, At 31 March 30 December 2026 2025 Risk-free rate 3.45% 3.77% Discount rate 11.51% 13.98% Volatility 52.63% 62.71% Dividend yield 0.00% 0.00% The variables and assumptions used in calculating the fair value of convertible bonds are bas</t>
        </is>
      </c>
    </row>
    <row r="8">
      <c r="A8" s="9" t="inlineStr">
        <is>
          <t>Gross Margin</t>
        </is>
      </c>
      <c r="B8" s="9" t="inlineStr">
        <is>
          <t>毛利率</t>
        </is>
      </c>
      <c r="C8" s="10" t="n">
        <v>82.7</v>
      </c>
      <c r="D8" s="11" t="n">
        <v>82.7</v>
      </c>
      <c r="E8" s="12" t="inlineStr">
        <is>
          <t>82.7%</t>
        </is>
      </c>
      <c r="F8" s="12" t="inlineStr">
        <is>
          <t>High</t>
        </is>
      </c>
      <c r="G8" s="12" t="inlineStr">
        <is>
          <t>PDF p.16 (印刷頁 15)</t>
        </is>
      </c>
      <c r="H8" s="12" t="inlineStr">
        <is>
          <t>ts an increase of approximately 92.7%. During the Reporting Period, the Group’s gross profit margin increased to approximately 82.7% (FY2025: 73.2%). Other gains, net During the Reporting Period, the Group recorded net other gains of approximately HK$397.0 mi</t>
        </is>
      </c>
    </row>
    <row r="9">
      <c r="A9" s="9" t="inlineStr">
        <is>
          <t>Risk-free Rate</t>
        </is>
      </c>
      <c r="B9" s="9" t="inlineStr">
        <is>
          <t>無風險利率</t>
        </is>
      </c>
      <c r="C9" s="10" t="n">
        <v>3.45</v>
      </c>
      <c r="D9" s="11" t="n">
        <v>3.45</v>
      </c>
      <c r="E9" s="12" t="inlineStr">
        <is>
          <t>3.45%</t>
        </is>
      </c>
      <c r="F9" s="12" t="inlineStr">
        <is>
          <t>High</t>
        </is>
      </c>
      <c r="G9" s="12" t="inlineStr">
        <is>
          <t>PDF p.155 (印刷頁 154)</t>
        </is>
      </c>
      <c r="H9" s="12" t="inlineStr">
        <is>
          <t xml:space="preserve"> 31 March 2026 are as follows: At issue date, At 31 March 30 December 2026 2025 Risk-free rate 3.45% 3.77% Discount rate 11.51% 13.98% Volatility 52.63% 62.71% Dividend yield 0.00% 0.00% The variables and assumptions used in calculating the fair value of</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5"/>
  <sheetViews>
    <sheetView workbookViewId="0">
      <pane ySplit="4" topLeftCell="A5" activePane="bottomLeft" state="frozen"/>
      <selection pane="bottomLeft" activeCell="A1" sqref="A1"/>
    </sheetView>
  </sheetViews>
  <sheetFormatPr baseColWidth="8" defaultRowHeight="15"/>
  <cols>
    <col width="20" customWidth="1" min="1" max="1"/>
    <col width="28" customWidth="1" min="2" max="2"/>
    <col width="16" customWidth="1" min="3" max="3"/>
    <col width="16" customWidth="1" min="4" max="4"/>
    <col width="12" customWidth="1" min="5" max="5"/>
    <col width="20" customWidth="1" min="6" max="6"/>
    <col width="70" customWidth="1" min="7" max="7"/>
  </cols>
  <sheetData>
    <row r="1">
      <c r="A1" s="1" t="inlineStr">
        <is>
          <t>三大報表擷取結果</t>
        </is>
      </c>
    </row>
    <row r="2">
      <c r="A2" s="2" t="inlineStr">
        <is>
          <t>偵測到的年度欄位 — Income Statement: 2026 / 2025; Balance Sheet: 2026 / 2025; Cash Flow: 2026 / 2025</t>
        </is>
      </c>
    </row>
    <row r="4">
      <c r="A4" s="8" t="inlineStr">
        <is>
          <t>報表 Statement</t>
        </is>
      </c>
      <c r="B4" s="8" t="inlineStr">
        <is>
          <t>科目 Item</t>
        </is>
      </c>
      <c r="C4" s="8" t="inlineStr">
        <is>
          <t>本年 Current</t>
        </is>
      </c>
      <c r="D4" s="8" t="inlineStr">
        <is>
          <t>上年 Prior</t>
        </is>
      </c>
      <c r="E4" s="8" t="inlineStr">
        <is>
          <t>變動 YoY %</t>
        </is>
      </c>
      <c r="F4" s="8" t="inlineStr">
        <is>
          <t>來源頁</t>
        </is>
      </c>
      <c r="G4" s="8" t="inlineStr">
        <is>
          <t>原文行 Source line</t>
        </is>
      </c>
    </row>
    <row r="5">
      <c r="A5" s="9" t="inlineStr">
        <is>
          <t>Income Statement</t>
        </is>
      </c>
      <c r="B5" s="9" t="inlineStr">
        <is>
          <t>Revenue</t>
        </is>
      </c>
      <c r="C5" s="13" t="n">
        <v>323685</v>
      </c>
      <c r="D5" s="14" t="n">
        <v>189660</v>
      </c>
      <c r="E5" s="15">
        <f>IF(ISERROR((C5-D5)/ABS(D5)),"",(C5-D5)/ABS(D5))</f>
        <v>0.7066592850363809</v>
      </c>
      <c r="F5" s="12" t="inlineStr">
        <is>
          <t>PDF p.70 (印刷頁 69)</t>
        </is>
      </c>
      <c r="G5" s="12" t="inlineStr">
        <is>
          <t>Revenue 5 323,685 189,660</t>
        </is>
      </c>
    </row>
    <row r="6">
      <c r="A6" s="9" t="inlineStr">
        <is>
          <t>Income Statement</t>
        </is>
      </c>
      <c r="B6" s="9" t="inlineStr">
        <is>
          <t>Gross Profit</t>
        </is>
      </c>
      <c r="C6" s="13" t="n">
        <v>267578</v>
      </c>
      <c r="D6" s="14" t="n">
        <v>138915</v>
      </c>
      <c r="E6" s="15">
        <f>IF(ISERROR((C6-D6)/ABS(D6)),"",(C6-D6)/ABS(D6))</f>
        <v>0.9261994744987943</v>
      </c>
      <c r="F6" s="12" t="inlineStr">
        <is>
          <t>PDF p.70 (印刷頁 69)</t>
        </is>
      </c>
      <c r="G6" s="12" t="inlineStr">
        <is>
          <t>Gross profit 267,578 138,915</t>
        </is>
      </c>
    </row>
    <row r="7">
      <c r="A7" s="9" t="inlineStr">
        <is>
          <t>Income Statement</t>
        </is>
      </c>
      <c r="B7" s="9" t="inlineStr">
        <is>
          <t>Operating Profit</t>
        </is>
      </c>
      <c r="C7" s="13" t="n">
        <v>377327</v>
      </c>
      <c r="D7" s="14" t="n">
        <v>164364</v>
      </c>
      <c r="E7" s="15">
        <f>IF(ISERROR((C7-D7)/ABS(D7)),"",(C7-D7)/ABS(D7))</f>
        <v>1.2956791024798617</v>
      </c>
      <c r="F7" s="12" t="inlineStr">
        <is>
          <t>PDF p.70 (印刷頁 69)</t>
        </is>
      </c>
      <c r="G7" s="12" t="inlineStr">
        <is>
          <t>Operating profit 377,327 164,364</t>
        </is>
      </c>
    </row>
    <row r="8">
      <c r="A8" s="9" t="inlineStr">
        <is>
          <t>Income Statement</t>
        </is>
      </c>
      <c r="B8" s="9" t="inlineStr">
        <is>
          <t>Finance Costs</t>
        </is>
      </c>
      <c r="C8" s="13" t="n">
        <v>-15579</v>
      </c>
      <c r="D8" s="14" t="n">
        <v>-29992</v>
      </c>
      <c r="E8" s="15">
        <f>IF(ISERROR((C8-D8)/ABS(D8)),"",(C8-D8)/ABS(D8))</f>
        <v>0.4805614830621499</v>
      </c>
      <c r="F8" s="12" t="inlineStr">
        <is>
          <t>PDF p.70 (印刷頁 69)</t>
        </is>
      </c>
      <c r="G8" s="12" t="inlineStr">
        <is>
          <t>Finance costs 12 (15,579) (29,992)</t>
        </is>
      </c>
    </row>
    <row r="9">
      <c r="A9" s="9" t="inlineStr">
        <is>
          <t>Income Statement</t>
        </is>
      </c>
      <c r="B9" s="9" t="inlineStr">
        <is>
          <t>Profit Before Tax</t>
        </is>
      </c>
      <c r="C9" s="13" t="n">
        <v>371868</v>
      </c>
      <c r="D9" s="14" t="n">
        <v>137304</v>
      </c>
      <c r="E9" s="15">
        <f>IF(ISERROR((C9-D9)/ABS(D9)),"",(C9-D9)/ABS(D9))</f>
        <v>1.708355182660374</v>
      </c>
      <c r="F9" s="12" t="inlineStr">
        <is>
          <t>PDF p.70 (印刷頁 69)</t>
        </is>
      </c>
      <c r="G9" s="12" t="inlineStr">
        <is>
          <t>Profit before income tax 371,868 137,304</t>
        </is>
      </c>
    </row>
    <row r="10">
      <c r="A10" s="9" t="inlineStr">
        <is>
          <t>Income Statement</t>
        </is>
      </c>
      <c r="B10" s="9" t="inlineStr">
        <is>
          <t>Income Tax</t>
        </is>
      </c>
      <c r="C10" s="13" t="n">
        <v>-4604</v>
      </c>
      <c r="D10" s="14" t="n">
        <v>-208</v>
      </c>
      <c r="E10" s="15">
        <f>IF(ISERROR((C10-D10)/ABS(D10)),"",(C10-D10)/ABS(D10))</f>
        <v>-21.134615384615383</v>
      </c>
      <c r="F10" s="12" t="inlineStr">
        <is>
          <t>PDF p.70 (印刷頁 69)</t>
        </is>
      </c>
      <c r="G10" s="12" t="inlineStr">
        <is>
          <t>Income tax expenses 13 (4,604) (208)</t>
        </is>
      </c>
    </row>
    <row r="11">
      <c r="A11" s="9" t="inlineStr">
        <is>
          <t>Income Statement</t>
        </is>
      </c>
      <c r="B11" s="9" t="inlineStr">
        <is>
          <t>Profit for the Year</t>
        </is>
      </c>
      <c r="C11" s="13" t="n">
        <v>367264</v>
      </c>
      <c r="D11" s="14" t="n">
        <v>137096</v>
      </c>
      <c r="E11" s="15">
        <f>IF(ISERROR((C11-D11)/ABS(D11)),"",(C11-D11)/ABS(D11))</f>
        <v>1.6788819513333721</v>
      </c>
      <c r="F11" s="12" t="inlineStr">
        <is>
          <t>PDF p.70 (印刷頁 69)</t>
        </is>
      </c>
      <c r="G11" s="12" t="inlineStr">
        <is>
          <t>Profit for the year 367,264 137,096</t>
        </is>
      </c>
    </row>
    <row r="12">
      <c r="A12" s="9" t="inlineStr">
        <is>
          <t>Balance Sheet</t>
        </is>
      </c>
      <c r="B12" s="9" t="inlineStr">
        <is>
          <t>Trade Receivables</t>
        </is>
      </c>
      <c r="C12" s="13" t="n">
        <v>0</v>
      </c>
      <c r="D12" s="14" t="n">
        <v>300670</v>
      </c>
      <c r="E12" s="15">
        <f>IF(ISERROR((C12-D12)/ABS(D12)),"",(C12-D12)/ABS(D12))</f>
        <v>-1.0</v>
      </c>
      <c r="F12" s="12" t="inlineStr">
        <is>
          <t>PDF p.173 (印刷頁 172)</t>
        </is>
      </c>
      <c r="G12" s="12" t="inlineStr">
        <is>
          <t>– Trade and other receivables, deposits 300,670 288,629</t>
        </is>
      </c>
    </row>
    <row r="13">
      <c r="A13" s="9" t="inlineStr">
        <is>
          <t>Balance Sheet</t>
        </is>
      </c>
      <c r="B13" s="9" t="inlineStr">
        <is>
          <t>Cash and Equivalents</t>
        </is>
      </c>
      <c r="C13" s="13" t="n">
        <v>0</v>
      </c>
      <c r="D13" s="14" t="n">
        <v>369504</v>
      </c>
      <c r="E13" s="15">
        <f>IF(ISERROR((C13-D13)/ABS(D13)),"",(C13-D13)/ABS(D13))</f>
        <v>-1.0</v>
      </c>
      <c r="F13" s="12" t="inlineStr">
        <is>
          <t>PDF p.173 (印刷頁 172)</t>
        </is>
      </c>
      <c r="G13" s="12" t="inlineStr">
        <is>
          <t>– Cash and cash equivalents 369,504 31,627</t>
        </is>
      </c>
    </row>
    <row r="15">
      <c r="A15" s="2" t="inlineStr">
        <is>
          <t>藍色 = 從 PDF 原文擷取的數值(硬輸入);黑色 = 公式計算。單位依原報表所示(通常為千元或百萬元),請對照來源頁確認。</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pane ySplit="4" topLeftCell="A5" activePane="bottomLeft" state="frozen"/>
      <selection pane="bottomLeft" activeCell="A1" sqref="A1"/>
    </sheetView>
  </sheetViews>
  <sheetFormatPr baseColWidth="8" defaultRowHeight="15"/>
  <cols>
    <col width="30" customWidth="1" min="1" max="1"/>
    <col width="16" customWidth="1" min="2" max="2"/>
    <col width="16" customWidth="1" min="3" max="3"/>
    <col width="48" customWidth="1" min="4" max="4"/>
  </cols>
  <sheetData>
    <row r="1">
      <c r="A1" s="1" t="inlineStr">
        <is>
          <t>衍生比率 — 全部以公式連結至 Financials 分頁</t>
        </is>
      </c>
    </row>
    <row r="2">
      <c r="A2" s="2" t="inlineStr">
        <is>
          <t>改動 Financials 分頁的數字,本頁會自動重算。</t>
        </is>
      </c>
    </row>
    <row r="4">
      <c r="A4" s="8" t="inlineStr">
        <is>
          <t>比率 Ratio</t>
        </is>
      </c>
      <c r="B4" s="8" t="inlineStr">
        <is>
          <t>本年 Current</t>
        </is>
      </c>
      <c r="C4" s="8" t="inlineStr">
        <is>
          <t>上年 Prior</t>
        </is>
      </c>
      <c r="D4" s="8" t="inlineStr">
        <is>
          <t>說明</t>
        </is>
      </c>
    </row>
    <row r="5">
      <c r="A5" s="4" t="inlineStr">
        <is>
          <t>Gross Margin 毛利率</t>
        </is>
      </c>
      <c r="B5" s="16">
        <f>IF(ISERROR(INDEX('Financials 財務數據'!$C$5:$C$13,MATCH("Gross Profit",'Financials 財務數據'!$B$5:$B$13,0))/INDEX('Financials 財務數據'!$C$5:$C$13,MATCH("Revenue",'Financials 財務數據'!$B$5:$B$13,0))),"n/a",INDEX('Financials 財務數據'!$C$5:$C$13,MATCH("Gross Profit",'Financials 財務數據'!$B$5:$B$13,0))/INDEX('Financials 財務數據'!$C$5:$C$13,MATCH("Revenue",'Financials 財務數據'!$B$5:$B$13,0)))</f>
        <v>0.826661723589292</v>
      </c>
      <c r="C5" s="16">
        <f>IF(ISERROR(INDEX('Financials 財務數據'!$D$5:$D$13,MATCH("Gross Profit",'Financials 財務數據'!$B$5:$B$13,0))/INDEX('Financials 財務數據'!$D$5:$D$13,MATCH("Revenue",'Financials 財務數據'!$B$5:$B$13,0))),"n/a",INDEX('Financials 財務數據'!$D$5:$D$13,MATCH("Gross Profit",'Financials 財務數據'!$B$5:$B$13,0))/INDEX('Financials 財務數據'!$D$5:$D$13,MATCH("Revenue",'Financials 財務數據'!$B$5:$B$13,0)))</f>
        <v>0.7324422651059791</v>
      </c>
      <c r="D5" s="2" t="inlineStr">
        <is>
          <t>毛利 ÷ 收入</t>
        </is>
      </c>
    </row>
    <row r="6">
      <c r="A6" s="4" t="inlineStr">
        <is>
          <t>Net Margin 淨利率</t>
        </is>
      </c>
      <c r="B6" s="16">
        <f>IF(ISERROR(INDEX('Financials 財務數據'!$C$5:$C$13,MATCH("Profit for the Year",'Financials 財務數據'!$B$5:$B$13,0))/INDEX('Financials 財務數據'!$C$5:$C$13,MATCH("Revenue",'Financials 財務數據'!$B$5:$B$13,0))),"n/a",INDEX('Financials 財務數據'!$C$5:$C$13,MATCH("Profit for the Year",'Financials 財務數據'!$B$5:$B$13,0))/INDEX('Financials 財務數據'!$C$5:$C$13,MATCH("Revenue",'Financials 財務數據'!$B$5:$B$13,0)))</f>
        <v>1.1346339805675272</v>
      </c>
      <c r="C6" s="16">
        <f>IF(ISERROR(INDEX('Financials 財務數據'!$D$5:$D$13,MATCH("Profit for the Year",'Financials 財務數據'!$B$5:$B$13,0))/INDEX('Financials 財務數據'!$D$5:$D$13,MATCH("Revenue",'Financials 財務數據'!$B$5:$B$13,0))),"n/a",INDEX('Financials 財務數據'!$D$5:$D$13,MATCH("Profit for the Year",'Financials 財務數據'!$B$5:$B$13,0))/INDEX('Financials 財務數據'!$D$5:$D$13,MATCH("Revenue",'Financials 財務數據'!$B$5:$B$13,0)))</f>
        <v>0.7228514183275335</v>
      </c>
      <c r="D6" s="2" t="inlineStr">
        <is>
          <t>年內溢利 ÷ 收入</t>
        </is>
      </c>
    </row>
    <row r="7">
      <c r="A7" s="4" t="inlineStr">
        <is>
          <t>Current Ratio 流動比率</t>
        </is>
      </c>
      <c r="B7" s="17" t="str">
        <f>IF(ISERROR(INDEX('Financials 財務數據'!$C$5:$C$13,MATCH("Total Current Assets",'Financials 財務數據'!$B$5:$B$13,0))/INDEX('Financials 財務數據'!$C$5:$C$13,MATCH("Total Current Liabilities",'Financials 財務數據'!$B$5:$B$13,0))),"n/a",INDEX('Financials 財務數據'!$C$5:$C$13,MATCH("Total Current Assets",'Financials 財務數據'!$B$5:$B$13,0))/INDEX('Financials 財務數據'!$C$5:$C$13,MATCH("Total Current Liabilities",'Financials 財務數據'!$B$5:$B$13,0)))</f>
        <v>n/a</v>
      </c>
      <c r="C7" s="17" t="str">
        <f>IF(ISERROR(INDEX('Financials 財務數據'!$D$5:$D$13,MATCH("Total Current Assets",'Financials 財務數據'!$B$5:$B$13,0))/INDEX('Financials 財務數據'!$D$5:$D$13,MATCH("Total Current Liabilities",'Financials 財務數據'!$B$5:$B$13,0))),"n/a",INDEX('Financials 財務數據'!$D$5:$D$13,MATCH("Total Current Assets",'Financials 財務數據'!$B$5:$B$13,0))/INDEX('Financials 財務數據'!$D$5:$D$13,MATCH("Total Current Liabilities",'Financials 財務數據'!$B$5:$B$13,0)))</f>
        <v>n/a</v>
      </c>
      <c r="D7" s="2" t="inlineStr">
        <is>
          <t>流動資產 ÷ 流動負債</t>
        </is>
      </c>
    </row>
    <row r="8">
      <c r="A8" s="4" t="inlineStr">
        <is>
          <t>Debt / Equity 負債權益比</t>
        </is>
      </c>
      <c r="B8" s="17" t="str">
        <f>IF(ISERROR(INDEX('Financials 財務數據'!$C$5:$C$13,MATCH("Total Liabilities",'Financials 財務數據'!$B$5:$B$13,0))/INDEX('Financials 財務數據'!$C$5:$C$13,MATCH("Total Equity",'Financials 財務數據'!$B$5:$B$13,0))),"n/a",INDEX('Financials 財務數據'!$C$5:$C$13,MATCH("Total Liabilities",'Financials 財務數據'!$B$5:$B$13,0))/INDEX('Financials 財務數據'!$C$5:$C$13,MATCH("Total Equity",'Financials 財務數據'!$B$5:$B$13,0)))</f>
        <v>n/a</v>
      </c>
      <c r="C8" s="17" t="str">
        <f>IF(ISERROR(INDEX('Financials 財務數據'!$D$5:$D$13,MATCH("Total Liabilities",'Financials 財務數據'!$B$5:$B$13,0))/INDEX('Financials 財務數據'!$D$5:$D$13,MATCH("Total Equity",'Financials 財務數據'!$B$5:$B$13,0))),"n/a",INDEX('Financials 財務數據'!$D$5:$D$13,MATCH("Total Liabilities",'Financials 財務數據'!$B$5:$B$13,0))/INDEX('Financials 財務數據'!$D$5:$D$13,MATCH("Total Equity",'Financials 財務數據'!$B$5:$B$13,0)))</f>
        <v>n/a</v>
      </c>
      <c r="D8" s="2" t="inlineStr">
        <is>
          <t>總負債 ÷ 總權益</t>
        </is>
      </c>
    </row>
    <row r="9">
      <c r="A9" s="4" t="inlineStr">
        <is>
          <t>Goodwill / Total Assets</t>
        </is>
      </c>
      <c r="B9" s="16" t="str">
        <f>IF(ISERROR(INDEX('Financials 財務數據'!$C$5:$C$13,MATCH("Goodwill",'Financials 財務數據'!$B$5:$B$13,0))/INDEX('Financials 財務數據'!$C$5:$C$13,MATCH("Total Assets",'Financials 財務數據'!$B$5:$B$13,0))),"n/a",INDEX('Financials 財務數據'!$C$5:$C$13,MATCH("Goodwill",'Financials 財務數據'!$B$5:$B$13,0))/INDEX('Financials 財務數據'!$C$5:$C$13,MATCH("Total Assets",'Financials 財務數據'!$B$5:$B$13,0)))</f>
        <v>n/a</v>
      </c>
      <c r="C9" s="16" t="str">
        <f>IF(ISERROR(INDEX('Financials 財務數據'!$D$5:$D$13,MATCH("Goodwill",'Financials 財務數據'!$B$5:$B$13,0))/INDEX('Financials 財務數據'!$D$5:$D$13,MATCH("Total Assets",'Financials 財務數據'!$B$5:$B$13,0))),"n/a",INDEX('Financials 財務數據'!$D$5:$D$13,MATCH("Goodwill",'Financials 財務數據'!$B$5:$B$13,0))/INDEX('Financials 財務數據'!$D$5:$D$13,MATCH("Total Assets",'Financials 財務數據'!$B$5:$B$13,0)))</f>
        <v>n/a</v>
      </c>
      <c r="D9" s="2" t="inlineStr">
        <is>
          <t>商譽佔總資產比重 — 減值風險指標</t>
        </is>
      </c>
    </row>
    <row r="10">
      <c r="A10" s="4" t="inlineStr">
        <is>
          <t>Intangibles / Total Assets</t>
        </is>
      </c>
      <c r="B10" s="16" t="str">
        <f>IF(ISERROR(INDEX('Financials 財務數據'!$C$5:$C$13,MATCH("Intangible Assets",'Financials 財務數據'!$B$5:$B$13,0))/INDEX('Financials 財務數據'!$C$5:$C$13,MATCH("Total Assets",'Financials 財務數據'!$B$5:$B$13,0))),"n/a",INDEX('Financials 財務數據'!$C$5:$C$13,MATCH("Intangible Assets",'Financials 財務數據'!$B$5:$B$13,0))/INDEX('Financials 財務數據'!$C$5:$C$13,MATCH("Total Assets",'Financials 財務數據'!$B$5:$B$13,0)))</f>
        <v>n/a</v>
      </c>
      <c r="C10" s="16" t="str">
        <f>IF(ISERROR(INDEX('Financials 財務數據'!$D$5:$D$13,MATCH("Intangible Assets",'Financials 財務數據'!$B$5:$B$13,0))/INDEX('Financials 財務數據'!$D$5:$D$13,MATCH("Total Assets",'Financials 財務數據'!$B$5:$B$13,0))),"n/a",INDEX('Financials 財務數據'!$D$5:$D$13,MATCH("Intangible Assets",'Financials 財務數據'!$B$5:$B$13,0))/INDEX('Financials 財務數據'!$D$5:$D$13,MATCH("Total Assets",'Financials 財務數據'!$B$5:$B$13,0)))</f>
        <v>n/a</v>
      </c>
      <c r="D10" s="2" t="inlineStr">
        <is>
          <t>無形資產佔比</t>
        </is>
      </c>
    </row>
    <row r="11">
      <c r="A11" s="4" t="inlineStr">
        <is>
          <t>ROE 股本回報率</t>
        </is>
      </c>
      <c r="B11" s="16" t="str">
        <f>IF(ISERROR(INDEX('Financials 財務數據'!$C$5:$C$13,MATCH("Profit for the Year",'Financials 財務數據'!$B$5:$B$13,0))/INDEX('Financials 財務數據'!$C$5:$C$13,MATCH("Total Equity",'Financials 財務數據'!$B$5:$B$13,0))),"n/a",INDEX('Financials 財務數據'!$C$5:$C$13,MATCH("Profit for the Year",'Financials 財務數據'!$B$5:$B$13,0))/INDEX('Financials 財務數據'!$C$5:$C$13,MATCH("Total Equity",'Financials 財務數據'!$B$5:$B$13,0)))</f>
        <v>n/a</v>
      </c>
      <c r="C11" s="16" t="str">
        <f>IF(ISERROR(INDEX('Financials 財務數據'!$D$5:$D$13,MATCH("Profit for the Year",'Financials 財務數據'!$B$5:$B$13,0))/INDEX('Financials 財務數據'!$D$5:$D$13,MATCH("Total Equity",'Financials 財務數據'!$B$5:$B$13,0))),"n/a",INDEX('Financials 財務數據'!$D$5:$D$13,MATCH("Profit for the Year",'Financials 財務數據'!$B$5:$B$13,0))/INDEX('Financials 財務數據'!$D$5:$D$13,MATCH("Total Equity",'Financials 財務數據'!$B$5:$B$13,0)))</f>
        <v>n/a</v>
      </c>
      <c r="D11" s="2" t="inlineStr">
        <is>
          <t>年內溢利 ÷ 總權益</t>
        </is>
      </c>
    </row>
    <row r="13">
      <c r="A13" s="2" t="inlineStr">
        <is>
          <t>顯示 "n/a" 表示該科目未在文件中成功擷取,需人手補入。</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inlineStr">
        <is>
          <t>本年 vs 上年 — 主要科目比較</t>
        </is>
      </c>
    </row>
    <row r="2">
      <c r="A2" s="2" t="inlineStr">
        <is>
          <t>港交所主板及 GEM 自 2024 年起均無強制季度報告,故以年度 / 中期數據作趨勢比較較符合披露實況。</t>
        </is>
      </c>
    </row>
    <row r="4">
      <c r="A4" s="18" t="inlineStr">
        <is>
          <t>Item</t>
        </is>
      </c>
      <c r="B4" s="18" t="inlineStr">
        <is>
          <t>Prior</t>
        </is>
      </c>
      <c r="C4" s="18" t="inlineStr">
        <is>
          <t>Current</t>
        </is>
      </c>
    </row>
    <row r="5">
      <c r="A5" s="4" t="inlineStr">
        <is>
          <t>Revenue</t>
        </is>
      </c>
      <c r="B5" s="19" t="n">
        <v>189660</v>
      </c>
      <c r="C5" s="19" t="n">
        <v>323685</v>
      </c>
    </row>
    <row r="6">
      <c r="A6" s="4" t="inlineStr">
        <is>
          <t>Gross Profit</t>
        </is>
      </c>
      <c r="B6" s="19" t="n">
        <v>138915</v>
      </c>
      <c r="C6" s="19" t="n">
        <v>267578</v>
      </c>
    </row>
    <row r="7">
      <c r="A7" s="4" t="inlineStr">
        <is>
          <t>Profit Before Tax</t>
        </is>
      </c>
      <c r="B7" s="19" t="n">
        <v>137304</v>
      </c>
      <c r="C7" s="19" t="n">
        <v>371868</v>
      </c>
    </row>
    <row r="8">
      <c r="A8" s="4" t="inlineStr">
        <is>
          <t>Profit for the Year</t>
        </is>
      </c>
      <c r="B8" s="19" t="n">
        <v>137096</v>
      </c>
      <c r="C8" s="19" t="n">
        <v>367264</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109"/>
  <sheetViews>
    <sheetView workbookViewId="0">
      <pane ySplit="3" topLeftCell="A4" activePane="bottomLeft" state="frozen"/>
      <selection pane="bottomLeft" activeCell="A1" sqref="A1"/>
    </sheetView>
  </sheetViews>
  <sheetFormatPr baseColWidth="8" defaultRowHeight="15"/>
  <cols>
    <col width="28" customWidth="1" min="1" max="1"/>
    <col width="20" customWidth="1" min="2" max="2"/>
    <col width="10" customWidth="1" min="3" max="3"/>
    <col width="20" customWidth="1" min="4" max="4"/>
    <col width="20" customWidth="1" min="5" max="5"/>
    <col width="100" customWidth="1" min="6" max="6"/>
  </cols>
  <sheetData>
    <row r="1">
      <c r="A1" s="1" t="inlineStr">
        <is>
          <t>主題式段落擷取 — 供估值師快速定位原文</t>
        </is>
      </c>
    </row>
    <row r="3">
      <c r="A3" s="8" t="inlineStr">
        <is>
          <t>主題 Topic</t>
        </is>
      </c>
      <c r="B3" s="8" t="inlineStr">
        <is>
          <t>中文</t>
        </is>
      </c>
      <c r="C3" s="8" t="inlineStr">
        <is>
          <t>優先</t>
        </is>
      </c>
      <c r="D3" s="8" t="inlineStr">
        <is>
          <t>命中詞</t>
        </is>
      </c>
      <c r="E3" s="8" t="inlineStr">
        <is>
          <t>來源頁</t>
        </is>
      </c>
      <c r="F3" s="8" t="inlineStr">
        <is>
          <t>段落 Snippet</t>
        </is>
      </c>
    </row>
    <row r="4">
      <c r="A4" s="9" t="inlineStr">
        <is>
          <t>Fair Value Measurement</t>
        </is>
      </c>
      <c r="B4" s="9" t="inlineStr">
        <is>
          <t>公允價值計量</t>
        </is>
      </c>
      <c r="C4" s="20" t="inlineStr">
        <is>
          <t>high</t>
        </is>
      </c>
      <c r="D4" s="12" t="inlineStr">
        <is>
          <t>level 3</t>
        </is>
      </c>
      <c r="E4" s="12" t="inlineStr">
        <is>
          <t>PDF p.20 (印刷頁 19)</t>
        </is>
      </c>
      <c r="F4" s="12" t="inlineStr">
        <is>
          <t>here were no significant differences between the audited figures and data used in the valuations. Further details in relation to the level 3 fair value measurement for the valuation of the investment in Neuralfin which is stated in investment in associate measured at fair value through profit or loss as at 31 March 2026 are set out in note 47(g)(ii) to the consolidated financial statements of the Group in this annual report. Save as disclosed above, as at 31 March 2026, the Group had no significant investments accounting for mo</t>
        </is>
      </c>
    </row>
    <row r="5">
      <c r="A5" s="9" t="inlineStr">
        <is>
          <t>Fair Value Measurement</t>
        </is>
      </c>
      <c r="B5" s="9" t="inlineStr">
        <is>
          <t>公允價值計量</t>
        </is>
      </c>
      <c r="C5" s="20" t="inlineStr">
        <is>
          <t>high</t>
        </is>
      </c>
      <c r="D5" s="12" t="inlineStr">
        <is>
          <t>level 3</t>
        </is>
      </c>
      <c r="E5" s="12" t="inlineStr">
        <is>
          <t>PDF p.65 (印刷頁 64)</t>
        </is>
      </c>
      <c r="F5" s="12" t="inlineStr">
        <is>
          <t>INDEPENDENT AUDITOR’S REPORT KEY AUDIT MATTERS (Continued) Fair value measurement of Level 3 financial instruments As at 31 March 2026, the Group had financial assets measured at fair value through profit or loss categorised as Level 3 which include an investment amounting to approximately HK$321,953,000. Due to the significance of the judgement and estimates made by the management and the subjectivity in determination of Level 3 fair value given the lack of availability of market</t>
        </is>
      </c>
    </row>
    <row r="6">
      <c r="A6" s="9" t="inlineStr">
        <is>
          <t>Fair Value Measurement</t>
        </is>
      </c>
      <c r="B6" s="9" t="inlineStr">
        <is>
          <t>公允價值計量</t>
        </is>
      </c>
      <c r="C6" s="20" t="inlineStr">
        <is>
          <t>high</t>
        </is>
      </c>
      <c r="D6" s="12" t="inlineStr">
        <is>
          <t>valuation technique</t>
        </is>
      </c>
      <c r="E6" s="12" t="inlineStr">
        <is>
          <t>PDF p.105 (印刷頁 104)</t>
        </is>
      </c>
      <c r="F6" s="12" t="inlineStr">
        <is>
          <t>ue for other financial instruments and investment in an associate for which there is no observable market price, requires the use of valuation technique. For financial instruments that trade infrequently and have little price transparency, fair value is less objective, and requires varying degrees of judgement depending on liquidity, concentration, uncertainty of market factors, pricing assumptions and other risks affecting the specific asset or instrument. Changes in assumptions relating to these factors could result in materi</t>
        </is>
      </c>
    </row>
    <row r="7">
      <c r="A7" s="9" t="inlineStr">
        <is>
          <t>Fair Value Measurement</t>
        </is>
      </c>
      <c r="B7" s="9" t="inlineStr">
        <is>
          <t>公允價值計量</t>
        </is>
      </c>
      <c r="C7" s="20" t="inlineStr">
        <is>
          <t>high</t>
        </is>
      </c>
      <c r="D7" s="12" t="inlineStr">
        <is>
          <t>level 1</t>
        </is>
      </c>
      <c r="E7" s="12" t="inlineStr">
        <is>
          <t>PDF p.106 (印刷頁 105)</t>
        </is>
      </c>
      <c r="F7" s="12" t="inlineStr">
        <is>
          <t>easurement are categorised into different levels based on how observable of the key inputs used in the valuation techniques are: (i) Level 1: Quoted prices in active markets for identical items (unadjusted); (ii) Level 2: Observable direct or indirect inputs other than Level 1 inputs; and (iii) Level 3: Unobservable inputs (i.e. not derived from market data). The classification of an item into the above levels is based on the lowest level of the key inputs used that has a significant effect on the fair value measurement. Transf</t>
        </is>
      </c>
    </row>
    <row r="8">
      <c r="A8" s="9" t="inlineStr">
        <is>
          <t>Fair Value Measurement</t>
        </is>
      </c>
      <c r="B8" s="9" t="inlineStr">
        <is>
          <t>公允價值計量</t>
        </is>
      </c>
      <c r="C8" s="20" t="inlineStr">
        <is>
          <t>high</t>
        </is>
      </c>
      <c r="D8" s="12" t="inlineStr">
        <is>
          <t>level 1</t>
        </is>
      </c>
      <c r="E8" s="12" t="inlineStr">
        <is>
          <t>PDF p.130 (印刷頁 129)</t>
        </is>
      </c>
      <c r="F8" s="12" t="inlineStr">
        <is>
          <t>measurement as at 31 March 2026 using Quoted prices Significant Significant in active observable unobservable markets inputs inputs (Level 1) (Level 2) (Level 3) Total HK$’000 HK$’000 HK$’000 HK$’000 Recurring fair value measurement for investment properties – – 62,600 62,600 Fair value measurement as at 31 March 2025 using Quoted prices Significant Significant in active observable unobservable markets inputs inputs (Level 1) (Level 2) (Level 3) Total HK$’000 HK$’000 HK$’000 HK$’000 Recurring fair value measurement for investme</t>
        </is>
      </c>
    </row>
    <row r="9">
      <c r="A9" s="9" t="inlineStr">
        <is>
          <t>Fair Value Measurement</t>
        </is>
      </c>
      <c r="B9" s="9" t="inlineStr">
        <is>
          <t>公允價值計量</t>
        </is>
      </c>
      <c r="C9" s="20" t="inlineStr">
        <is>
          <t>high</t>
        </is>
      </c>
      <c r="D9" s="12" t="inlineStr">
        <is>
          <t>level 1</t>
        </is>
      </c>
      <c r="E9" s="12" t="inlineStr">
        <is>
          <t>PDF p.131 (印刷頁 130)</t>
        </is>
      </c>
      <c r="F9" s="12" t="inlineStr">
        <is>
          <t>ENT PROPERTIES (Continued) During the years ended 31 March 2026 and 2025, there were no transfers of fair value measurements between Level 1 and Level 2 and no transfers into or out of Level 3. Below is a summary of the valuation techniques used and the key inputs to the valuation of investment properties as at 31 March 2026 and 2025: Relationship of Valuation Significant Estimated unobservable inputs Type of properties technique unobservable inputs unobservable inputs to fair value Residential property Market approach Unit rat</t>
        </is>
      </c>
    </row>
    <row r="10">
      <c r="A10" s="9" t="inlineStr">
        <is>
          <t>Fair Value Measurement</t>
        </is>
      </c>
      <c r="B10" s="9" t="inlineStr">
        <is>
          <t>公允價值計量</t>
        </is>
      </c>
      <c r="C10" s="20" t="inlineStr">
        <is>
          <t>high</t>
        </is>
      </c>
      <c r="D10" s="12" t="inlineStr">
        <is>
          <t>fair value hierarchy</t>
        </is>
      </c>
      <c r="E10" s="12" t="inlineStr">
        <is>
          <t>PDF p.136 (印刷頁 135)</t>
        </is>
      </c>
      <c r="F10" s="12" t="inlineStr">
        <is>
          <t>instruments measured at FVTPL under HKFRS 9. The fair values of financial assets at FVTPL are at Level 1, Level 2 and Level 3 of the fair value hierarchy (note 47(g)). Information about the Group’s exposure to price risk is provided in note 47(e) to the consolidated financial statements. The listed and unlisted securities are classified as non-current as the management expects to realise these financial assets after twelve months after the reporting period. DL HOLDINGS GROUP LIMITED / ANNUAL REPORT 2025/2026 135</t>
        </is>
      </c>
    </row>
    <row r="11">
      <c r="A11" s="9" t="inlineStr">
        <is>
          <t>Fair Value Measurement</t>
        </is>
      </c>
      <c r="B11" s="9" t="inlineStr">
        <is>
          <t>公允價值計量</t>
        </is>
      </c>
      <c r="C11" s="20" t="inlineStr">
        <is>
          <t>high</t>
        </is>
      </c>
      <c r="D11" s="12" t="inlineStr">
        <is>
          <t>fair value hierarchy</t>
        </is>
      </c>
      <c r="E11" s="12" t="inlineStr">
        <is>
          <t>PDF p.139 (印刷頁 138)</t>
        </is>
      </c>
      <c r="F11" s="12" t="inlineStr">
        <is>
          <t>and Appraisal Limited, an independent qualified professional valuer not connected to the Group, which are included in Level 3 of the fair value hierarchy (note 47(g)). Details of the Group’s material associate measured at FVTPL at the end of the reporting period are as follows: Place of incorporation and principal Proportion of place of Principal ownership interest Proportion of voting rights Name business activities held by the Group held by the Group 2026 2025 2026 2025 Neuralfin note (a) note (a) 34.3% – 34.3% – Note: (a) Ne</t>
        </is>
      </c>
    </row>
    <row r="12">
      <c r="A12" s="9" t="inlineStr">
        <is>
          <t>Fair Value Measurement</t>
        </is>
      </c>
      <c r="B12" s="9" t="inlineStr">
        <is>
          <t>公允價值計量</t>
        </is>
      </c>
      <c r="C12" s="20" t="inlineStr">
        <is>
          <t>high</t>
        </is>
      </c>
      <c r="D12" s="12" t="inlineStr">
        <is>
          <t>fair value hierarchy</t>
        </is>
      </c>
      <c r="E12" s="12" t="inlineStr">
        <is>
          <t>PDF p.155 (印刷頁 154)</t>
        </is>
      </c>
      <c r="F12" s="12" t="inlineStr">
        <is>
          <t>at the end of reporting period were determined with significant unobservable inputs and therefore were classified as level 3 of the fair value hierarchy. The convertible bonds that contain host debt component and embedded derivative liability were classified separately into their respective items on initial recognition. The fair value of the convertible bonds as a whole is determined by using the Binomial Option Pricing Model. The fair value of the host debt component of the convertible bonds is calculated using cash flows dis</t>
        </is>
      </c>
    </row>
    <row r="13">
      <c r="A13" s="9" t="inlineStr">
        <is>
          <t>Fair Value Measurement</t>
        </is>
      </c>
      <c r="B13" s="9" t="inlineStr">
        <is>
          <t>公允價值計量</t>
        </is>
      </c>
      <c r="C13" s="20" t="inlineStr">
        <is>
          <t>high</t>
        </is>
      </c>
      <c r="D13" s="12" t="inlineStr">
        <is>
          <t>level 1</t>
        </is>
      </c>
      <c r="E13" s="12" t="inlineStr">
        <is>
          <t>PDF p.180 (印刷頁 179)</t>
        </is>
      </c>
      <c r="F13" s="12" t="inlineStr">
        <is>
          <t>ing from investment in equity securities, the Group closely monitors the financial performance of each investee company. The Group’s Level 1 equity investments are publicly traded in their respective Stock Exchange. Sensitivity analysis As at 31 March 2026, if the equity securities prices increase/decrease by 5% with all other variables held constant, the Group’s profit before taxation will be HK$8,070,000 higher/lower (2025: profit before taxation will be HK$130,000 higher/lower) as a result of gains/losses on equity securitie</t>
        </is>
      </c>
    </row>
    <row r="14">
      <c r="A14" s="9" t="inlineStr">
        <is>
          <t>Fair Value Measurement</t>
        </is>
      </c>
      <c r="B14" s="9" t="inlineStr">
        <is>
          <t>公允價值計量</t>
        </is>
      </c>
      <c r="C14" s="20" t="inlineStr">
        <is>
          <t>high</t>
        </is>
      </c>
      <c r="D14" s="12" t="inlineStr">
        <is>
          <t>fair value hierarchy</t>
        </is>
      </c>
      <c r="E14" s="12" t="inlineStr">
        <is>
          <t>PDF p.181 (印刷頁 180)</t>
        </is>
      </c>
      <c r="F14" s="12" t="inlineStr">
        <is>
          <t>22,625 27,875 – 98,662 84,000 Lease liabilities 12,199 11,319 17,864 – 41,382 37,242 255,445 34,550 47,660 3,210 340,865 318,054 (g) Fair value hierarchy The table below analyses the Group’s financial instruments carried at fair value as at 31 March 2026 and 2025 by level of inputs to valuation techniques used to measure fair value. Such inputs are categorised into three levels within a fair value hierarchy as follows: • Quoted prices (unadjusted) in active markets for identical assets or liabilities (Level 1). • Inputs other t</t>
        </is>
      </c>
    </row>
    <row r="15">
      <c r="A15" s="9" t="inlineStr">
        <is>
          <t>Fair Value Measurement</t>
        </is>
      </c>
      <c r="B15" s="9" t="inlineStr">
        <is>
          <t>公允價值計量</t>
        </is>
      </c>
      <c r="C15" s="20" t="inlineStr">
        <is>
          <t>high</t>
        </is>
      </c>
      <c r="D15" s="12" t="inlineStr">
        <is>
          <t>fair value hierarchy</t>
        </is>
      </c>
      <c r="E15" s="12" t="inlineStr">
        <is>
          <t>PDF p.182 (印刷頁 181)</t>
        </is>
      </c>
      <c r="F15" s="12" t="inlineStr">
        <is>
          <t>ATED FINANCIAL STATEMENTS For the year ended 31 March 2026 47. FINANCIAL RISK MANAGEMENT AND FAIR VALUE MEASUREMENTS (Continued) (g) Fair value hierarchy (Continued) Level 1 Level 2 Level 3 Total HK$’000 HK$’000 HK$’000 HK$’000 As at 31 March 2026 Financial assets at FVTPL – Listed equity securities 161,405 – – 161,405 – Unlisted equity investments – – 332,017 332,017 – Unlisted investment funds – 269,978 55,305 325,283 Investment in an associate measured at FVTPL – – 339,974 339,974 Debt instruments at FVTOCI – Listed debt ins</t>
        </is>
      </c>
    </row>
    <row r="16">
      <c r="A16" s="9" t="inlineStr">
        <is>
          <t>Fair Value Measurement</t>
        </is>
      </c>
      <c r="B16" s="9" t="inlineStr">
        <is>
          <t>公允價值計量</t>
        </is>
      </c>
      <c r="C16" s="20" t="inlineStr">
        <is>
          <t>high</t>
        </is>
      </c>
      <c r="D16" s="12" t="inlineStr">
        <is>
          <t>fair value hierarchy</t>
        </is>
      </c>
      <c r="E16" s="12" t="inlineStr">
        <is>
          <t>PDF p.183 (印刷頁 182)</t>
        </is>
      </c>
      <c r="F16" s="12" t="inlineStr">
        <is>
          <t>ATED FINANCIAL STATEMENTS For the year ended 31 March 2026 47. FINANCIAL RISK MANAGEMENT AND FAIR VALUE MEASUREMENTS (Continued) (g) Fair value hierarchy (Continued) Valuation process used by the Group and valuation techniques and inputs used in fair value measurements (Continued) Level 3 fair value measurements (i) Unlisted equity investment In determining fair value, specific valuation techniques (asset-based approach) are used with reference to significant inputs such as property under development’s market value, loan from o</t>
        </is>
      </c>
    </row>
    <row r="17">
      <c r="A17" s="9" t="inlineStr">
        <is>
          <t>Fair Value Measurement</t>
        </is>
      </c>
      <c r="B17" s="9" t="inlineStr">
        <is>
          <t>公允價值計量</t>
        </is>
      </c>
      <c r="C17" s="20" t="inlineStr">
        <is>
          <t>high</t>
        </is>
      </c>
      <c r="D17" s="12" t="inlineStr">
        <is>
          <t>fair value hierarchy</t>
        </is>
      </c>
      <c r="E17" s="12" t="inlineStr">
        <is>
          <t>PDF p.184 (印刷頁 183)</t>
        </is>
      </c>
      <c r="F17" s="12" t="inlineStr">
        <is>
          <t>ATED FINANCIAL STATEMENTS For the year ended 31 March 2026 47. FINANCIAL RISK MANAGEMENT AND FAIR VALUE MEASUREMENTS (Continued) (g) Fair value hierarchy (Continued) Valuation process used by the Group and valuation techniques and inputs used in fair value measurements (Continued) Level 3 fair value measurements (Continued) The reconciliation of the carrying amount of the Group’s financial instruments classified within Level 3 fair value measurement is as follows: Investment in an associate Debt instrument Financial asset measu</t>
        </is>
      </c>
    </row>
    <row r="18">
      <c r="A18" s="9" t="inlineStr">
        <is>
          <t>Impairment Testing</t>
        </is>
      </c>
      <c r="B18" s="9" t="inlineStr">
        <is>
          <t>減值測試</t>
        </is>
      </c>
      <c r="C18" s="20" t="inlineStr">
        <is>
          <t>high</t>
        </is>
      </c>
      <c r="D18" s="12" t="inlineStr">
        <is>
          <t>impairment loss</t>
        </is>
      </c>
      <c r="E18" s="12" t="inlineStr">
        <is>
          <t>PDF p.13 (印刷頁 12)</t>
        </is>
      </c>
      <c r="F18" s="12" t="inlineStr">
        <is>
          <t>he commencement of bitcoin mining operation during the Reporting Period. The increase in the segment loss was mainly attributable to impairment loss of digital assets during the reporting period. PROSPECTS Future outlook In view of the uncertainties and fluctuations in the global and local economies faced by the Group, the Directors expect that the overall business environment the Group operates in will remain challenging, particularly pursuant to the continuing effect of the high interest rate environment. In particular, globa</t>
        </is>
      </c>
    </row>
    <row r="19">
      <c r="A19" s="9" t="inlineStr">
        <is>
          <t>Impairment Testing</t>
        </is>
      </c>
      <c r="B19" s="9" t="inlineStr">
        <is>
          <t>減值測試</t>
        </is>
      </c>
      <c r="C19" s="20" t="inlineStr">
        <is>
          <t>high</t>
        </is>
      </c>
      <c r="D19" s="12" t="inlineStr">
        <is>
          <t>impairment loss</t>
        </is>
      </c>
      <c r="E19" s="12" t="inlineStr">
        <is>
          <t>PDF p.66 (印刷頁 65)</t>
        </is>
      </c>
      <c r="F19" s="12" t="inlineStr">
        <is>
          <t>$1,335,000, primarily in relation to the Group’s acquisition of subsidiaries. Management has assessed the goodwill impairment and no impairment losses of goodwill was recognised for the year then ended. Goodwill is tested for impairment annually, or when there are events or changes in circumstances indicate that it might be impaired. For the purpose of impairment assessment, goodwill was allocated to each cash-generated unit. Management assessed impairment of goodwill with the assistance of an independent external valuer and de</t>
        </is>
      </c>
    </row>
    <row r="20">
      <c r="A20" s="9" t="inlineStr">
        <is>
          <t>Impairment Testing</t>
        </is>
      </c>
      <c r="B20" s="9" t="inlineStr">
        <is>
          <t>減值測試</t>
        </is>
      </c>
      <c r="C20" s="20" t="inlineStr">
        <is>
          <t>high</t>
        </is>
      </c>
      <c r="D20" s="12" t="inlineStr">
        <is>
          <t>impairment loss</t>
        </is>
      </c>
      <c r="E20" s="12" t="inlineStr">
        <is>
          <t>PDF p.78 (印刷頁 77)</t>
        </is>
      </c>
      <c r="F20" s="12" t="inlineStr">
        <is>
          <t>carried at cost and adjusted for the post-acquisition changes in the Group’s share of the associate’s net assets less any identified impairment loss, unless it is classified as held for sale (or included in a disposal group that is classified as held for sale). The profit or loss for the year includes the Group’s share of the post-acquisition, post-tax results of the associate for the year, including any impairment loss on the investment in associate recognised for the year. The Group’s other comprehensive income for the year i</t>
        </is>
      </c>
    </row>
    <row r="21">
      <c r="A21" s="9" t="inlineStr">
        <is>
          <t>Impairment Testing</t>
        </is>
      </c>
      <c r="B21" s="9" t="inlineStr">
        <is>
          <t>減值測試</t>
        </is>
      </c>
      <c r="C21" s="20" t="inlineStr">
        <is>
          <t>high</t>
        </is>
      </c>
      <c r="D21" s="12" t="inlineStr">
        <is>
          <t>impairment loss</t>
        </is>
      </c>
      <c r="E21" s="12" t="inlineStr">
        <is>
          <t>PDF p.79 (印刷頁 78)</t>
        </is>
      </c>
      <c r="F21" s="12" t="inlineStr">
        <is>
          <t>counting (Continued) After the application of equity method, the Group determines whether it is necessary to recognise an additional impairment loss on the Group’s investment in its associate. At the end of each reporting period, the Group determines whether there is any objective evidence that the investment in associate is impaired. If such indications are identified, the Group calculates the amount of impairment as being the difference between the recoverable amount (i.e. higher of value in use and fair value less costs of d</t>
        </is>
      </c>
    </row>
    <row r="22">
      <c r="A22" s="9" t="inlineStr">
        <is>
          <t>Impairment Testing</t>
        </is>
      </c>
      <c r="B22" s="9" t="inlineStr">
        <is>
          <t>減值測試</t>
        </is>
      </c>
      <c r="C22" s="20" t="inlineStr">
        <is>
          <t>high</t>
        </is>
      </c>
      <c r="D22" s="12" t="inlineStr">
        <is>
          <t>impairment loss</t>
        </is>
      </c>
      <c r="E22" s="12" t="inlineStr">
        <is>
          <t>PDF p.81 (印刷頁 80)</t>
        </is>
      </c>
      <c r="F22" s="12" t="inlineStr">
        <is>
          <t>n the manner intended by the Group’s management). They are subsequently stated at cost less accumulated depreciation and accumulated impairment losses, if any. Depreciation is recognised so as to write off the cost or valuation of assets less their residual values over their estimated useful lives, using the straight-line method, at the following rates per annum: Cryptocurrency mining machines 4 years Leasehold improvements Over the lease term of 3 years Office equipment 5 years Computer equipment 3 years Fitting and furniture</t>
        </is>
      </c>
    </row>
    <row r="23">
      <c r="A23" s="9" t="inlineStr">
        <is>
          <t>Impairment Testing</t>
        </is>
      </c>
      <c r="B23" s="9" t="inlineStr">
        <is>
          <t>減值測試</t>
        </is>
      </c>
      <c r="C23" s="20" t="inlineStr">
        <is>
          <t>high</t>
        </is>
      </c>
      <c r="D23" s="12" t="inlineStr">
        <is>
          <t>impairment loss</t>
        </is>
      </c>
      <c r="E23" s="12" t="inlineStr">
        <is>
          <t>PDF p.89 (印刷頁 88)</t>
        </is>
      </c>
      <c r="F23" s="12" t="inlineStr">
        <is>
          <t>nitial recognition, intangible assets with finite useful lives are carried at cost less accumulated amortisation and any accumulated impairment losses. Amortisation for intangible assets with finite useful lives is provided on straight-line basis over their estimated useful lives. Amortisation commences when the intangible assets are available for use. The following useful lives are applied: Customer relationships 9 years Computer software 3 years The assets’ amortisation methods and useful lives are reviewed, and adjusted if a</t>
        </is>
      </c>
    </row>
    <row r="24">
      <c r="A24" s="9" t="inlineStr">
        <is>
          <t>Impairment Testing</t>
        </is>
      </c>
      <c r="B24" s="9" t="inlineStr">
        <is>
          <t>減值測試</t>
        </is>
      </c>
      <c r="C24" s="20" t="inlineStr">
        <is>
          <t>high</t>
        </is>
      </c>
      <c r="D24" s="12" t="inlineStr">
        <is>
          <t>impairment loss</t>
        </is>
      </c>
      <c r="E24" s="12" t="inlineStr">
        <is>
          <t>PDF p.92 (印刷頁 91)</t>
        </is>
      </c>
      <c r="F24" s="12" t="inlineStr">
        <is>
          <t>ntangible asset with an indefinite useful life measured at cost, which is deemed to be the fair value upon receipt, less accumulated impairment losses. The Group has classified certain digital assets on hand at the end of the reporting period as current assets as management has determined that cryptocurrency markets have sufficient liquidity to allow conversion within the Group’s normal operating cycle and the Group expects to realise them within that cycle. Certain digital assets are classified as non-current assets as these a</t>
        </is>
      </c>
    </row>
    <row r="25">
      <c r="A25" s="9" t="inlineStr">
        <is>
          <t>Impairment Testing</t>
        </is>
      </c>
      <c r="B25" s="9" t="inlineStr">
        <is>
          <t>減值測試</t>
        </is>
      </c>
      <c r="C25" s="20" t="inlineStr">
        <is>
          <t>high</t>
        </is>
      </c>
      <c r="D25" s="12" t="inlineStr">
        <is>
          <t>impairment test</t>
        </is>
      </c>
      <c r="E25" s="12" t="inlineStr">
        <is>
          <t>PDF p.93 (印刷頁 92)</t>
        </is>
      </c>
      <c r="F25" s="12" t="inlineStr">
        <is>
          <t>RY OF MATERIAL ACCOUNTING POLICY INFORMATION (Continued) 2.17 Impairment of non-financial assets The following assets are subject to impairment testing: • Goodwill arising on acquisition of subsidiaries; • Intangible assets; • Property, plant and equipment; • Right-of-use assets; • Investment in an associate using equity accounting; • Digital assets; and • The Company’s interests in subsidiaries. Goodwill and other intangible assets with indefinite useful life or those not yet available for use are tested for impairment at leas</t>
        </is>
      </c>
    </row>
    <row r="26">
      <c r="A26" s="9" t="inlineStr">
        <is>
          <t>Impairment Testing</t>
        </is>
      </c>
      <c r="B26" s="9" t="inlineStr">
        <is>
          <t>減值測試</t>
        </is>
      </c>
      <c r="C26" s="20" t="inlineStr">
        <is>
          <t>high</t>
        </is>
      </c>
      <c r="D26" s="12" t="inlineStr">
        <is>
          <t>impairment test</t>
        </is>
      </c>
      <c r="E26" s="12" t="inlineStr">
        <is>
          <t>PDF p.102 (印刷頁 101)</t>
        </is>
      </c>
      <c r="F26" s="12" t="inlineStr">
        <is>
          <t>should be accounted for as indefinite-lived intangible assets and measured under the cost model. In determining fair values used for impairment tests, management needs to apply judgment to identify the relevant available markets for trading of digital assets, and to consider accessibility to and activity within those markets in order to identify the principal digital assets markets to ascertain the respective fair market values. Details of these digital assets are disclosed in note 25 to the consolidated financial statements. C</t>
        </is>
      </c>
    </row>
    <row r="27">
      <c r="A27" s="9" t="inlineStr">
        <is>
          <t>Impairment Testing</t>
        </is>
      </c>
      <c r="B27" s="9" t="inlineStr">
        <is>
          <t>減值測試</t>
        </is>
      </c>
      <c r="C27" s="20" t="inlineStr">
        <is>
          <t>high</t>
        </is>
      </c>
      <c r="D27" s="12" t="inlineStr">
        <is>
          <t>impairment loss</t>
        </is>
      </c>
      <c r="E27" s="12" t="inlineStr">
        <is>
          <t>PDF p.106 (印刷頁 105)</t>
        </is>
      </c>
      <c r="F27" s="12" t="inlineStr">
        <is>
          <t>f goodwill and intangible assets are HK$226,430,000 (2025: HK$226,430,000) and HK$79,004,000 (2025: HK$86,379,000), respectively. No impairment loss on goodwill and intangible assets was recognised during the years ended 31 March 2026 and 2025. Fair value measurement of investment properties Investment properties are carried at fair value at the end of each reporting period. In determining the fair value, the valuer uses the most relevant valuation techniques involving certain estimates of market conditions and utilisation of m</t>
        </is>
      </c>
    </row>
    <row r="28">
      <c r="A28" s="9" t="inlineStr">
        <is>
          <t>Impairment Testing</t>
        </is>
      </c>
      <c r="B28" s="9" t="inlineStr">
        <is>
          <t>減值測試</t>
        </is>
      </c>
      <c r="C28" s="20" t="inlineStr">
        <is>
          <t>high</t>
        </is>
      </c>
      <c r="D28" s="12" t="inlineStr">
        <is>
          <t>impairment test</t>
        </is>
      </c>
      <c r="E28" s="12" t="inlineStr">
        <is>
          <t>PDF p.107 (印刷頁 106)</t>
        </is>
      </c>
      <c r="F28" s="12" t="inlineStr">
        <is>
          <t>luding the discount rates or the growth rate in the cash flow projections, could materially affect the net present value used in the impairment test. As at 31 March 2026, the carrying amounts of property, plant and equipment, right-of-use assets and investment in an associate measured using equity accounting are HK$622,970,000 (2025: HK$7,380,000), HK$24,195,000 (2025: HK$34,579,000) and HK$Nil (2025: HK$97,734,000), respectively. No impairment loss has been recognised during the years ended 31 March 2026 and 2025. 5. REVENUE A</t>
        </is>
      </c>
    </row>
    <row r="29">
      <c r="A29" s="9" t="inlineStr">
        <is>
          <t>Impairment Testing</t>
        </is>
      </c>
      <c r="B29" s="9" t="inlineStr">
        <is>
          <t>減值測試</t>
        </is>
      </c>
      <c r="C29" s="20" t="inlineStr">
        <is>
          <t>high</t>
        </is>
      </c>
      <c r="D29" s="12" t="inlineStr">
        <is>
          <t>impairment loss</t>
        </is>
      </c>
      <c r="E29" s="12" t="inlineStr">
        <is>
          <t>PDF p.108 (印刷頁 107)</t>
        </is>
      </c>
      <c r="F29" s="12" t="inlineStr">
        <is>
          <t>ns services) and net fair value gains/(losses) on financial asset at FVTPL (related to segment of enterprise solutions services) and impairment loss on digital assets (related to segment of digital finance). Changes in fair value of financial assets at FVTPL (excluding financial assets at FVTPL in reportable and operating segments), fair value gains from an associate at FVTPL, fair value gain on investment properties, certain finance income, certain finance costs, certain depreciation of right-of-use assets and unallocated corp</t>
        </is>
      </c>
    </row>
    <row r="30">
      <c r="A30" s="9" t="inlineStr">
        <is>
          <t>Impairment Testing</t>
        </is>
      </c>
      <c r="B30" s="9" t="inlineStr">
        <is>
          <t>減值測試</t>
        </is>
      </c>
      <c r="C30" s="20" t="inlineStr">
        <is>
          <t>high</t>
        </is>
      </c>
      <c r="D30" s="12" t="inlineStr">
        <is>
          <t>impairment loss</t>
        </is>
      </c>
      <c r="E30" s="12" t="inlineStr">
        <is>
          <t>PDF p.110 (印刷頁 109)</t>
        </is>
      </c>
      <c r="F30" s="12" t="inlineStr">
        <is>
          <t>) Profit before income tax 371,868 Other information: Net fair value losses on financial assets at FVTPL – – – – (8,801) – – (8,801) Impairment loss on digital assets – – – – – (7,422) – (7,422) Finance income 1,325 63 3 – 2 – – 1,393 Depreciation of property, plant and equipment (906) (540) (109) (35) (27) (45,969) – (47,586) Depreciation of right-of-use assets – – (3,443) – – – – (3,443) (Provision for)/reversal of ECL on – trade receivables (376) (62) – – 282 – – (156) – loan and interest receivables – – (1,471) – – – – (1,4</t>
        </is>
      </c>
    </row>
    <row r="31">
      <c r="A31" s="9" t="inlineStr">
        <is>
          <t>Impairment Testing</t>
        </is>
      </c>
      <c r="B31" s="9" t="inlineStr">
        <is>
          <t>減值測試</t>
        </is>
      </c>
      <c r="C31" s="20" t="inlineStr">
        <is>
          <t>high</t>
        </is>
      </c>
      <c r="D31" s="12" t="inlineStr">
        <is>
          <t>impairment loss</t>
        </is>
      </c>
      <c r="E31" s="12" t="inlineStr">
        <is>
          <t>PDF p.114 (印刷頁 113)</t>
        </is>
      </c>
      <c r="F31" s="12" t="inlineStr">
        <is>
          <t>(note 18) 8,080 1,151 Share of results of consolidated structured entity attributable to third party investors (note 38) (10,646) – Impairment loss on digital assets (note 25) (7,422) – Reversal of over-provision of expenses in prior years 3,156 – Rental income 2,818 – Others 5,795 763 397,017 196,111 Note: (a) On 12 April 2024, the guarantee agreements were entered into among the Company, as guarantor, five borrowers who are limited companies incorporated in BVI and being the investment vehicles wholly-owned by a limited part</t>
        </is>
      </c>
    </row>
    <row r="32">
      <c r="A32" s="9" t="inlineStr">
        <is>
          <t>Impairment Testing</t>
        </is>
      </c>
      <c r="B32" s="9" t="inlineStr">
        <is>
          <t>減值測試</t>
        </is>
      </c>
      <c r="C32" s="20" t="inlineStr">
        <is>
          <t>high</t>
        </is>
      </c>
      <c r="D32" s="12" t="inlineStr">
        <is>
          <t>recoverable amount</t>
        </is>
      </c>
      <c r="E32" s="12" t="inlineStr">
        <is>
          <t>PDF p.133 (印刷頁 132)</t>
        </is>
      </c>
      <c r="F32" s="12" t="inlineStr">
        <is>
          <t>Money lending services business – DL Finance 98 98 Enterprise solutions services business – DL Advisory 263 263 226,430 226,430 The recoverable amount of the CGUs have been determined from value-in-use calculation based on cash flow projections from budgets covering a five-year period. Cash flow beyond the five-year period are extrapolated using an estimated weighted average growth rate of 2.5% (2025: 2.5%). 2026 2025 DL Four DL DL Family DL DL DL Four DL DL Family DL DL Securities Seasons Emerald Office HK Finance Advisory Se</t>
        </is>
      </c>
    </row>
    <row r="33">
      <c r="A33" s="9" t="inlineStr">
        <is>
          <t>Impairment Testing</t>
        </is>
      </c>
      <c r="B33" s="9" t="inlineStr">
        <is>
          <t>減值測試</t>
        </is>
      </c>
      <c r="C33" s="20" t="inlineStr">
        <is>
          <t>high</t>
        </is>
      </c>
      <c r="D33" s="12" t="inlineStr">
        <is>
          <t>impairment loss</t>
        </is>
      </c>
      <c r="E33" s="12" t="inlineStr">
        <is>
          <t>PDF p.134 (印刷頁 133)</t>
        </is>
      </c>
      <c r="F33" s="12" t="inlineStr">
        <is>
          <t>ffice HK. The Group regards these licenses to have an indefinite useful life and are carried at cost less any subsequent accumulated impairment losses. In respect of the licenses which were allocated to the CGUs of the financial services of licensed business, CGU of money lending business and CGU of family office services business acquired, the licenses have no foreseeable limit to the period over which the Group can use to generate net cash flows. The directors consider the licenses as having indefinite useful lives because th</t>
        </is>
      </c>
    </row>
    <row r="34">
      <c r="A34" s="9" t="inlineStr">
        <is>
          <t>Impairment Testing</t>
        </is>
      </c>
      <c r="B34" s="9" t="inlineStr">
        <is>
          <t>減值測試</t>
        </is>
      </c>
      <c r="C34" s="20" t="inlineStr">
        <is>
          <t>high</t>
        </is>
      </c>
      <c r="D34" s="12" t="inlineStr">
        <is>
          <t>impairment loss</t>
        </is>
      </c>
      <c r="E34" s="12" t="inlineStr">
        <is>
          <t>PDF p.140 (印刷頁 139)</t>
        </is>
      </c>
      <c r="F34" s="12" t="inlineStr">
        <is>
          <t>April 2025 – Additions 153,232 As at 31 March 2026 153,232 Accumulated impairment As at 1 April 2024, 31 March 2025, 1 April 2025 – Impairment loss (note 6) (7,422) As at 31 March 2026 (7,422) Net carrying amount As at 31 March 2026 145,810 As at 31 March 2025 – Analysed for reporting purpose as: Non-current assets 106,015 Current assets 39,795 145,810 At 31 March 2026, the Group held digital assets with carrying amount of approximately HK$145,810,000 (2025: HK$Nil) as follows: 2026 HK$’000 Bitcoin (“BTC”) 106,015 Tether – XAU</t>
        </is>
      </c>
    </row>
    <row r="35">
      <c r="A35" s="9" t="inlineStr">
        <is>
          <t>Impairment Testing</t>
        </is>
      </c>
      <c r="B35" s="9" t="inlineStr">
        <is>
          <t>減值測試</t>
        </is>
      </c>
      <c r="C35" s="20" t="inlineStr">
        <is>
          <t>high</t>
        </is>
      </c>
      <c r="D35" s="12" t="inlineStr">
        <is>
          <t>impairment loss</t>
        </is>
      </c>
      <c r="E35" s="12" t="inlineStr">
        <is>
          <t>PDF p.161 (印刷頁 160)</t>
        </is>
      </c>
      <c r="F35" s="12" t="inlineStr">
        <is>
          <t>of-use assets 7 10,384 9,583 – Loss on early termination of lease – 7 – Dividend income from financial assets at FVTPL 6 – (1,281) – Impairment loss on digital assets 6 7,422 – – Provision for/(reversal of) ECL of trade receivables, net 7 156 (1,720) – Provision for/(reversal of) ECL of loan and interest receivables, net 7 1,471 (4,623) – Written off of property, plant and equipment 7 – 2 – Net fair value gains on financial assets at FVTPL 6 (145,417) (22,357) – Fair value gains from an associate measured at FVTPL 6 (241,907) –</t>
        </is>
      </c>
    </row>
    <row r="36">
      <c r="A36" s="9" t="inlineStr">
        <is>
          <t>Intangible Assets &amp; Goodwill</t>
        </is>
      </c>
      <c r="B36" s="9" t="inlineStr">
        <is>
          <t>無形資產及商譽</t>
        </is>
      </c>
      <c r="C36" s="20" t="inlineStr">
        <is>
          <t>high</t>
        </is>
      </c>
      <c r="D36" s="12" t="inlineStr">
        <is>
          <t>licence</t>
        </is>
      </c>
      <c r="E36" s="12" t="inlineStr">
        <is>
          <t>PDF p.4 (印刷頁 3)</t>
        </is>
      </c>
      <c r="F36" s="12" t="inlineStr">
        <is>
          <t>banking business – DL Securities DL Securities (HK) Limited is the core vehicle of the Group’s licensed financial services, holding licences for Type 1 (dealing in securities), Type 4 (advising on securities) and Type 6 (advising on corporate finance) regulated activities from the Securities and Futures Commission of Hong Kong (the “SFC”). During the Year, the licensed financial services business recorded revenue of approximately HK$119.7 million, representing a year-on-year increase of 9.5%, and was the Group’s largest source</t>
        </is>
      </c>
    </row>
    <row r="37">
      <c r="A37" s="9" t="inlineStr">
        <is>
          <t>Intangible Assets &amp; Goodwill</t>
        </is>
      </c>
      <c r="B37" s="9" t="inlineStr">
        <is>
          <t>無形資產及商譽</t>
        </is>
      </c>
      <c r="C37" s="20" t="inlineStr">
        <is>
          <t>high</t>
        </is>
      </c>
      <c r="D37" s="12" t="inlineStr">
        <is>
          <t>licence</t>
        </is>
      </c>
      <c r="E37" s="12" t="inlineStr">
        <is>
          <t>PDF p.7 (印刷頁 6)</t>
        </is>
      </c>
      <c r="F37" s="12" t="inlineStr">
        <is>
          <t>rities’ client base will extend from institutions to retail, forming a more multidimensional user structure. The Type 2 and Type 5 licences under application will further complete its derivatives service capabilities. Digital financial asset infrastructure is the foundation of this ecosystem. The Bitcoin mining business provides a continuous reserve of digital gold; RWA tokenisation has opened up the technical and compliance channels for bringing traditional assets onto the blockchain; and in March 2026, the Board decided to</t>
        </is>
      </c>
    </row>
    <row r="38">
      <c r="A38" s="9" t="inlineStr">
        <is>
          <t>Intangible Assets &amp; Goodwill</t>
        </is>
      </c>
      <c r="B38" s="9" t="inlineStr">
        <is>
          <t>無形資產及商譽</t>
        </is>
      </c>
      <c r="C38" s="20" t="inlineStr">
        <is>
          <t>high</t>
        </is>
      </c>
      <c r="D38" s="12" t="inlineStr">
        <is>
          <t>brand name</t>
        </is>
      </c>
      <c r="E38" s="12" t="inlineStr">
        <is>
          <t>PDF p.14 (印刷頁 13)</t>
        </is>
      </c>
      <c r="F38" s="12" t="inlineStr">
        <is>
          <t>hilosophy of “Delivering Legacy”, employ competent think-tanks and talent teams, and strengthen the application and promotion of the brand name of “DL Research”, to solidly promote and enhance the Group’s research capability and customer service level. DL HOLDINGS GROUP LIMITED / ANNUAL REPORT 2025/2026 13</t>
        </is>
      </c>
    </row>
    <row r="39">
      <c r="A39" s="9" t="inlineStr">
        <is>
          <t>Intangible Assets &amp; Goodwill</t>
        </is>
      </c>
      <c r="B39" s="9" t="inlineStr">
        <is>
          <t>無形資產及商譽</t>
        </is>
      </c>
      <c r="C39" s="20" t="inlineStr">
        <is>
          <t>high</t>
        </is>
      </c>
      <c r="D39" s="12" t="inlineStr">
        <is>
          <t>licence</t>
        </is>
      </c>
      <c r="E39" s="12" t="inlineStr">
        <is>
          <t>PDF p.26 (印刷頁 25)</t>
        </is>
      </c>
      <c r="F39" s="12" t="inlineStr">
        <is>
          <t>ecurities, margin – – – 30.0 21.6 8.4 31 December 2026 financing and money lending businesses (vii) Setting up SFC Type 2 and Type 5 licences in Hong Kong – – – 5.0 – 5.0 31 March 2027 (viii) General working capital of the Group 153.7 153.7 – 45.9 11.3 34.6 31 March 2027 1,537.4 1,166.4 371.0 371.0 68.5 302.5 DL HOLDINGS GROUP LIMITED / ANNUAL REPORT 2025/2026 25</t>
        </is>
      </c>
    </row>
    <row r="40">
      <c r="A40" s="9" t="inlineStr">
        <is>
          <t>Intangible Assets &amp; Goodwill</t>
        </is>
      </c>
      <c r="B40" s="9" t="inlineStr">
        <is>
          <t>無形資產及商譽</t>
        </is>
      </c>
      <c r="C40" s="20" t="inlineStr">
        <is>
          <t>high</t>
        </is>
      </c>
      <c r="D40" s="12" t="inlineStr">
        <is>
          <t>goodwill</t>
        </is>
      </c>
      <c r="E40" s="12" t="inlineStr">
        <is>
          <t>PDF p.66 (印刷頁 65)</t>
        </is>
      </c>
      <c r="F40" s="12" t="inlineStr">
        <is>
          <t>INDEPENDENT AUDITOR’S REPORT KEY AUDIT MATTERS (Continued) Assessment of goodwill impairment As at 31 March 2026, the Group had goodwill of HK$226,430,000, net of impairment of HK$1,335,000, primarily in relation to the Group’s acquisition of subsidiaries. Management has assessed the goodwill impairment and no impairment losses of goodwill was recognised for the year then ended. Goodwill is tested for impairment annually, or when there are events or changes in circumst</t>
        </is>
      </c>
    </row>
    <row r="41">
      <c r="A41" s="9" t="inlineStr">
        <is>
          <t>Intangible Assets &amp; Goodwill</t>
        </is>
      </c>
      <c r="B41" s="9" t="inlineStr">
        <is>
          <t>無形資產及商譽</t>
        </is>
      </c>
      <c r="C41" s="20" t="inlineStr">
        <is>
          <t>high</t>
        </is>
      </c>
      <c r="D41" s="12" t="inlineStr">
        <is>
          <t>intangible asset</t>
        </is>
      </c>
      <c r="E41" s="12" t="inlineStr">
        <is>
          <t>PDF p.71 (印刷頁 70)</t>
        </is>
      </c>
      <c r="F41" s="12" t="inlineStr">
        <is>
          <t>nt assets Property, plant and equipment 16 622,970 7,380 Right-of-use assets 17 24,195 34,579 Investment properties 18 62,600 11,960 Intangible assets 19 79,004 86,379 Goodwill 19 226,430 226,430 Deferred tax assets 20 704 701 Deposits 26 2,299 1,739 Financial assets at fair value through profit or loss (“FVTPL”) 21 818,705 203,063 Debt instruments at fair value through other comprehensive income 22 3,045 2,720 Investment in an associate measured using equity accounting 23 – 97,734 Investment in an associate measured at fair va</t>
        </is>
      </c>
    </row>
    <row r="42">
      <c r="A42" s="9" t="inlineStr">
        <is>
          <t>Intangible Assets &amp; Goodwill</t>
        </is>
      </c>
      <c r="B42" s="9" t="inlineStr">
        <is>
          <t>無形資產及商譽</t>
        </is>
      </c>
      <c r="C42" s="20" t="inlineStr">
        <is>
          <t>high</t>
        </is>
      </c>
      <c r="D42" s="12" t="inlineStr">
        <is>
          <t>intangible asset</t>
        </is>
      </c>
      <c r="E42" s="12" t="inlineStr">
        <is>
          <t>PDF p.74 (印刷頁 73)</t>
        </is>
      </c>
      <c r="F42" s="12" t="inlineStr">
        <is>
          <t>,007 1,095 Purchase of an investment property (20,391) – Purchases of property, plant and equipment (494,320) (7,306) Purchase of an intangible asset (2,561) – Proceeds from disposals of financial assets at FVTPL – 70,673 Receipts from promissory notes receivables 76,437 – Net cash used in investing activities (847,361) (46,085) Cash flows from financing activities Capital element of lease rentals paid 40(b) (10,326) (6,949) Dividend paid 14(b) – (30,063) Proceed from short-term bank borrowings 40(b) 74,000 30,000 Repayment of</t>
        </is>
      </c>
    </row>
    <row r="43">
      <c r="A43" s="9" t="inlineStr">
        <is>
          <t>Intangible Assets &amp; Goodwill</t>
        </is>
      </c>
      <c r="B43" s="9" t="inlineStr">
        <is>
          <t>無形資產及商譽</t>
        </is>
      </c>
      <c r="C43" s="20" t="inlineStr">
        <is>
          <t>high</t>
        </is>
      </c>
      <c r="D43" s="12" t="inlineStr">
        <is>
          <t>goodwill</t>
        </is>
      </c>
      <c r="E43" s="12" t="inlineStr">
        <is>
          <t>PDF p.77 (印刷頁 76)</t>
        </is>
      </c>
      <c r="F43" s="12" t="inlineStr">
        <is>
          <t>group of similar identifiable assets. The gross assets under assessment exclude cash and cash equivalents, deferred tax assets, and goodwill resulting from the effects of deferred tax liabilities. If the concentration test is met, the set of activities and assets is determined not to be a business and no further assessment is needed. Asset acquisitions When the Group acquires a group of assets and liabilities that do not constitute a business, the Group identifies and recognises the individual identifiable assets acquired and</t>
        </is>
      </c>
    </row>
    <row r="44">
      <c r="A44" s="9" t="inlineStr">
        <is>
          <t>Intangible Assets &amp; Goodwill</t>
        </is>
      </c>
      <c r="B44" s="9" t="inlineStr">
        <is>
          <t>無形資產及商譽</t>
        </is>
      </c>
      <c r="C44" s="20" t="inlineStr">
        <is>
          <t>high</t>
        </is>
      </c>
      <c r="D44" s="12" t="inlineStr">
        <is>
          <t>goodwill</t>
        </is>
      </c>
      <c r="E44" s="12" t="inlineStr">
        <is>
          <t>PDF p.78 (印刷頁 77)</t>
        </is>
      </c>
      <c r="F44" s="12" t="inlineStr">
        <is>
          <t>of pre-existing relationships. The gain or loss on the settlement of any pre-existing relationship is recognised in profit or loss. Goodwill is measured as the excess of the sum of the consideration transferred, the amount of any non-controlling interests in the acquiree, and the fair value of the acquirer’s previously held equity in the acquiree (if any) over the net of the acquisition-date amounts of the identifiable assets acquired and liabilities assumed. If, after reassessment, the net of the acquisition-date amounts of t</t>
        </is>
      </c>
    </row>
    <row r="45">
      <c r="A45" s="9" t="inlineStr">
        <is>
          <t>Intangible Assets &amp; Goodwill</t>
        </is>
      </c>
      <c r="B45" s="9" t="inlineStr">
        <is>
          <t>無形資產及商譽</t>
        </is>
      </c>
      <c r="C45" s="20" t="inlineStr">
        <is>
          <t>high</t>
        </is>
      </c>
      <c r="D45" s="12" t="inlineStr">
        <is>
          <t>goodwill</t>
        </is>
      </c>
      <c r="E45" s="12" t="inlineStr">
        <is>
          <t>PDF p.81 (印刷頁 80)</t>
        </is>
      </c>
      <c r="F45" s="12" t="inlineStr">
        <is>
          <t>er costs, such as repairs and maintenance, are charged to profit or loss during the financial period in which they are incurred. 2.7 Goodwill Set out below are the accounting policies on goodwill arising on acquisitions of subsidiaries. Accounting for goodwill arising on acquisition of interest in an associate is set out in note 2.4. Goodwill arising in a business combination is recognised as an asset at the date that control is acquired (the acquisition date). Goodwill is measured as the excess of the aggregate of the fair val</t>
        </is>
      </c>
    </row>
    <row r="46">
      <c r="A46" s="9" t="inlineStr">
        <is>
          <t>Intangible Assets &amp; Goodwill</t>
        </is>
      </c>
      <c r="B46" s="9" t="inlineStr">
        <is>
          <t>無形資產及商譽</t>
        </is>
      </c>
      <c r="C46" s="20" t="inlineStr">
        <is>
          <t>high</t>
        </is>
      </c>
      <c r="D46" s="12" t="inlineStr">
        <is>
          <t>useful life</t>
        </is>
      </c>
      <c r="E46" s="12" t="inlineStr">
        <is>
          <t>PDF p.88 (印刷頁 87)</t>
        </is>
      </c>
      <c r="F46" s="12" t="inlineStr">
        <is>
          <t>Group depreciates the right-of-use assets on a straight-line basis from the lease commencement date to the earlier of the end of the useful life of the right-of-use assets or the end of the lease term unless the Group is reasonably certain to obtain ownership at the end of the lease term. The Group also assesses the right-of-use assets for impairment when such indicator exists. At the commencement date, the Group measures the lease liability at the present value of the lease payments unpaid at that date, discounted using the in</t>
        </is>
      </c>
    </row>
    <row r="47">
      <c r="A47" s="9" t="inlineStr">
        <is>
          <t>Intangible Assets &amp; Goodwill</t>
        </is>
      </c>
      <c r="B47" s="9" t="inlineStr">
        <is>
          <t>無形資產及商譽</t>
        </is>
      </c>
      <c r="C47" s="20" t="inlineStr">
        <is>
          <t>high</t>
        </is>
      </c>
      <c r="D47" s="12" t="inlineStr">
        <is>
          <t>intangible asset</t>
        </is>
      </c>
      <c r="E47" s="12" t="inlineStr">
        <is>
          <t>PDF p.89 (印刷頁 88)</t>
        </is>
      </c>
      <c r="F47" s="12" t="inlineStr">
        <is>
          <t>et of any related income tax benefit) to the extent they are incremental costs directly attributable to the equity transaction. 2.14 Intangible assets (other than goodwill and digital assets) Acquired intangible assets are recognised initially at cost. After initial recognition, intangible assets with finite useful lives are carried at cost less accumulated amortisation and any accumulated impairment losses. Amortisation for intangible assets with finite useful lives is provided on straight-line basis over their estimated usefu</t>
        </is>
      </c>
    </row>
    <row r="48">
      <c r="A48" s="9" t="inlineStr">
        <is>
          <t>Intangible Assets &amp; Goodwill</t>
        </is>
      </c>
      <c r="B48" s="9" t="inlineStr">
        <is>
          <t>無形資產及商譽</t>
        </is>
      </c>
      <c r="C48" s="20" t="inlineStr">
        <is>
          <t>high</t>
        </is>
      </c>
      <c r="D48" s="12" t="inlineStr">
        <is>
          <t>intangible asset</t>
        </is>
      </c>
      <c r="E48" s="12" t="inlineStr">
        <is>
          <t>PDF p.92 (印刷頁 91)</t>
        </is>
      </c>
      <c r="F48" s="12" t="inlineStr">
        <is>
          <t>vidend is established. 2.16 Digital assets Digital assets on hand at the end of the reporting period are accounted for under HKAS 38 Intangible Assets as an intangible asset with an indefinite useful life measured at cost, which is deemed to be the fair value upon receipt, less accumulated impairment losses. The Group has classified certain digital assets on hand at the end of the reporting period as current assets as management has determined that cryptocurrency markets have sufficient liquidity to allow conversion within the</t>
        </is>
      </c>
    </row>
    <row r="49">
      <c r="A49" s="9" t="inlineStr">
        <is>
          <t>Intangible Assets &amp; Goodwill</t>
        </is>
      </c>
      <c r="B49" s="9" t="inlineStr">
        <is>
          <t>無形資產及商譽</t>
        </is>
      </c>
      <c r="C49" s="20" t="inlineStr">
        <is>
          <t>high</t>
        </is>
      </c>
      <c r="D49" s="12" t="inlineStr">
        <is>
          <t>intangible asset</t>
        </is>
      </c>
      <c r="E49" s="12" t="inlineStr">
        <is>
          <t>PDF p.93 (印刷頁 92)</t>
        </is>
      </c>
      <c r="F49" s="12" t="inlineStr">
        <is>
          <t>of non-financial assets The following assets are subject to impairment testing: • Goodwill arising on acquisition of subsidiaries; • Intangible assets; • Property, plant and equipment; • Right-of-use assets; • Investment in an associate using equity accounting; • Digital assets; and • The Company’s interests in subsidiaries. Goodwill and other intangible assets with indefinite useful life or those not yet available for use are tested for impairment at least annually, irrespective of whether there is any indication that they are</t>
        </is>
      </c>
    </row>
    <row r="50">
      <c r="A50" s="9" t="inlineStr">
        <is>
          <t>Intangible Assets &amp; Goodwill</t>
        </is>
      </c>
      <c r="B50" s="9" t="inlineStr">
        <is>
          <t>無形資產及商譽</t>
        </is>
      </c>
      <c r="C50" s="20" t="inlineStr">
        <is>
          <t>high</t>
        </is>
      </c>
      <c r="D50" s="12" t="inlineStr">
        <is>
          <t>goodwill</t>
        </is>
      </c>
      <c r="E50" s="12" t="inlineStr">
        <is>
          <t>PDF p.96 (印刷頁 95)</t>
        </is>
      </c>
      <c r="F50" s="12" t="inlineStr">
        <is>
          <t>d unused tax credits can be utilised. Deferred tax assets and liabilities are not recognised if the temporary difference arises from goodwill or from initial recognition (other than in a business combination) of assets and liabilities in a transaction that affects neither taxable nor accounting profit or loss and does not give rise to equal taxable and deductible temporary differences. Deferred tax liabilities are recognised for taxable temporary differences arising on investments in subsidiaries and an associate, except where</t>
        </is>
      </c>
    </row>
    <row r="51">
      <c r="A51" s="9" t="inlineStr">
        <is>
          <t>Intangible Assets &amp; Goodwill</t>
        </is>
      </c>
      <c r="B51" s="9" t="inlineStr">
        <is>
          <t>無形資產及商譽</t>
        </is>
      </c>
      <c r="C51" s="20" t="inlineStr">
        <is>
          <t>high</t>
        </is>
      </c>
      <c r="D51" s="12" t="inlineStr">
        <is>
          <t>intangible asset</t>
        </is>
      </c>
      <c r="E51" s="12" t="inlineStr">
        <is>
          <t>PDF p.102 (印刷頁 101)</t>
        </is>
      </c>
      <c r="F51" s="12" t="inlineStr">
        <is>
          <t>igital assets, management considered that digital assets purchased and held by the Group should be accounted for as indefinite-lived intangible assets and measured under the cost model. In determining fair values used for impairment tests, management needs to apply judgment to identify the relevant available markets for trading of digital assets, and to consider accessibility to and activity within those markets in order to identify the principal digital assets markets to ascertain the respective fair market values. Details of</t>
        </is>
      </c>
    </row>
    <row r="52">
      <c r="A52" s="9" t="inlineStr">
        <is>
          <t>Intangible Assets &amp; Goodwill</t>
        </is>
      </c>
      <c r="B52" s="9" t="inlineStr">
        <is>
          <t>無形資產及商譽</t>
        </is>
      </c>
      <c r="C52" s="20" t="inlineStr">
        <is>
          <t>high</t>
        </is>
      </c>
      <c r="D52" s="12" t="inlineStr">
        <is>
          <t>useful life</t>
        </is>
      </c>
      <c r="E52" s="12" t="inlineStr">
        <is>
          <t>PDF p.104 (印刷頁 103)</t>
        </is>
      </c>
      <c r="F52" s="12" t="inlineStr">
        <is>
          <t>be required to change its accounting policies, which could have a material effect on the Group’s consolidated financial statements. Useful life of cryptocurrency mining machines The cryptocurrency mining machines are used to generate cryptocurrencies. The rate at which the Group generates cryptocurrencies and therefore, consumes the economic benefits of its cryptocurrency mining machines is influenced by several factors including, but not limited to, the following: • the complexity of the cryptocurrency mining process, which i</t>
        </is>
      </c>
    </row>
    <row r="53">
      <c r="A53" s="9" t="inlineStr">
        <is>
          <t>Intangible Assets &amp; Goodwill</t>
        </is>
      </c>
      <c r="B53" s="9" t="inlineStr">
        <is>
          <t>無形資產及商譽</t>
        </is>
      </c>
      <c r="C53" s="20" t="inlineStr">
        <is>
          <t>high</t>
        </is>
      </c>
      <c r="D53" s="12" t="inlineStr">
        <is>
          <t>intangible asset</t>
        </is>
      </c>
      <c r="E53" s="12" t="inlineStr">
        <is>
          <t>PDF p.106 (印刷頁 105)</t>
        </is>
      </c>
      <c r="F53" s="12" t="inlineStr">
        <is>
          <t>orary differences or tax losses can be utilised. The nature of their actual utilisation may be different. Impairment of goodwill and intangible assets The Group tests annually whether goodwill and intangible assets has suffered any impairment in accordance with the accounting policy stated in note 2.17, respectively. The recoverable amounts of CGUs have been determined based on value-in-use calculations. These calculations require the use of estimates about (i) compound annual growth rate of revenue, (ii) earnings before income</t>
        </is>
      </c>
    </row>
    <row r="54">
      <c r="A54" s="9" t="inlineStr">
        <is>
          <t>Intangible Assets &amp; Goodwill</t>
        </is>
      </c>
      <c r="B54" s="9" t="inlineStr">
        <is>
          <t>無形資產及商譽</t>
        </is>
      </c>
      <c r="C54" s="20" t="inlineStr">
        <is>
          <t>high</t>
        </is>
      </c>
      <c r="D54" s="12" t="inlineStr">
        <is>
          <t>amortisation</t>
        </is>
      </c>
      <c r="E54" s="12" t="inlineStr">
        <is>
          <t>PDF p.110 (印刷頁 109)</t>
        </is>
      </c>
      <c r="F54" s="12" t="inlineStr">
        <is>
          <t>The Group applied the practical expedient in HKFRS15.94 and therefore expensed the incremental costs of obtaining a contract if the amortisation period is one year or less. Note: 2026 2025 HK$’000 HK$’000 Revenue from provision of financial services of licensed business Service fee income from financial advisory services and investment management services 39,730 68,763 Commission and brokerage arising on securities dealing 7,545 4,691 Commission and brokerage from insurance brokerage services 65,590 27,977 112,865 101,431 The</t>
        </is>
      </c>
    </row>
    <row r="55">
      <c r="A55" s="9" t="inlineStr">
        <is>
          <t>Intangible Assets &amp; Goodwill</t>
        </is>
      </c>
      <c r="B55" s="9" t="inlineStr">
        <is>
          <t>無形資產及商譽</t>
        </is>
      </c>
      <c r="C55" s="20" t="inlineStr">
        <is>
          <t>high</t>
        </is>
      </c>
      <c r="D55" s="12" t="inlineStr">
        <is>
          <t>intangible asset</t>
        </is>
      </c>
      <c r="E55" s="12" t="inlineStr">
        <is>
          <t>PDF p.113 (印刷頁 112)</t>
        </is>
      </c>
      <c r="F55" s="12" t="inlineStr">
        <is>
          <t>roperty, plant and equipment and right-of-use assets; and the location of the operations to which they are allocated, in the case of intangible assets and goodwill and investment in an associate and digital assets. Specified noncurrent assets do not include deferred tax assets and financial instruments for the purpose of geographical information disclosure. The Group’s operations are principally located in Hong Kong and overseas. The Group’s information about its specified non-current assets by geographical locations are deta</t>
        </is>
      </c>
    </row>
    <row r="56">
      <c r="A56" s="9" t="inlineStr">
        <is>
          <t>Intangible Assets &amp; Goodwill</t>
        </is>
      </c>
      <c r="B56" s="9" t="inlineStr">
        <is>
          <t>無形資產及商譽</t>
        </is>
      </c>
      <c r="C56" s="20" t="inlineStr">
        <is>
          <t>high</t>
        </is>
      </c>
      <c r="D56" s="12" t="inlineStr">
        <is>
          <t>intangible asset</t>
        </is>
      </c>
      <c r="E56" s="12" t="inlineStr">
        <is>
          <t>PDF p.115 (印刷頁 114)</t>
        </is>
      </c>
      <c r="F56" s="12" t="inlineStr">
        <is>
          <t>E CONSOLIDATED FINANCIAL STATEMENTS For the year ended 31 March 2026 7. EXPENSES BY NATURE 2026 2025 HK$’000 HK$’000 Amortisation of intangible assets (note 19) 9,936 9,667 Auditor’s remuneration – Audit services 1,500 1,150 – Non-audit services 350 250 Computer expense 3,501 6,732 Consultancy fees 8,030 16,954 Cost of services 56,107 50,745 Depreciation of property, plant and equipment (note 16) 47,586 1,480 Depreciation of right-of-use assets (note 17) 10,384 9,583 Donations 1,147 394 Entertainment 2,753 5,098 Provision for/(</t>
        </is>
      </c>
    </row>
    <row r="57">
      <c r="A57" s="9" t="inlineStr">
        <is>
          <t>Intangible Assets &amp; Goodwill</t>
        </is>
      </c>
      <c r="B57" s="9" t="inlineStr">
        <is>
          <t>無形資產及商譽</t>
        </is>
      </c>
      <c r="C57" s="20" t="inlineStr">
        <is>
          <t>high</t>
        </is>
      </c>
      <c r="D57" s="12" t="inlineStr">
        <is>
          <t>intangible asset</t>
        </is>
      </c>
      <c r="E57" s="12" t="inlineStr">
        <is>
          <t>PDF p.132 (印刷頁 131)</t>
        </is>
      </c>
      <c r="F57" s="12" t="inlineStr">
        <is>
          <t>NOTES TO THE CONSOLIDATED FINANCIAL STATEMENTS For the year ended 31 March 2026 19. INTANGIBLE ASSETS AND GOODWILL Intangible assets SFC License Money SFC License Types 1,4 Lending Types 4 Customer Computer Goodwill and 6 License and 9 relationships software Total HK$’000 HK$’000 HK$’000 HK$’000 HK$’000 HK$’000 HK$’000 Cost As at 1 April 2024, 31 March 2025 and 1 April 2025 227,765 11,748 500 612 86,385 – 99,245 Additions – – – – – 2,561 2,561 As at 31 March 2026 227,765 11,748 5</t>
        </is>
      </c>
    </row>
    <row r="58">
      <c r="A58" s="9" t="inlineStr">
        <is>
          <t>Intangible Assets &amp; Goodwill</t>
        </is>
      </c>
      <c r="B58" s="9" t="inlineStr">
        <is>
          <t>無形資產及商譽</t>
        </is>
      </c>
      <c r="C58" s="20" t="inlineStr">
        <is>
          <t>high</t>
        </is>
      </c>
      <c r="D58" s="12" t="inlineStr">
        <is>
          <t>intangible asset</t>
        </is>
      </c>
      <c r="E58" s="12" t="inlineStr">
        <is>
          <t>PDF p.133 (印刷頁 132)</t>
        </is>
      </c>
      <c r="F58" s="12" t="inlineStr">
        <is>
          <t>NOTES TO THE CONSOLIDATED FINANCIAL STATEMENTS For the year ended 31 March 2026 19. INTANGIBLE ASSETS AND GOODWILL (Continued) Goodwill acquired in a business combination is allocated, at acquisition, to the CGUs that are expected to benefit from that business combination. The carrying amount of goodwill had been allocated as follows: 2026 2025 HK$’000 HK$’000 Financial services of licensed business – DL Securities 274 274 – Four Seasons 5,951 5,951 – DL Emerald 12,811 12,811 19,</t>
        </is>
      </c>
    </row>
    <row r="59">
      <c r="A59" s="9" t="inlineStr">
        <is>
          <t>Intangible Assets &amp; Goodwill</t>
        </is>
      </c>
      <c r="B59" s="9" t="inlineStr">
        <is>
          <t>無形資產及商譽</t>
        </is>
      </c>
      <c r="C59" s="20" t="inlineStr">
        <is>
          <t>high</t>
        </is>
      </c>
      <c r="D59" s="12" t="inlineStr">
        <is>
          <t>intangible asset</t>
        </is>
      </c>
      <c r="E59" s="12" t="inlineStr">
        <is>
          <t>PDF p.134 (印刷頁 133)</t>
        </is>
      </c>
      <c r="F59" s="12" t="inlineStr">
        <is>
          <t>NOTES TO THE CONSOLIDATED FINANCIAL STATEMENTS For the year ended 31 March 2026 19. INTANGIBLE ASSETS AND GOODWILL (Continued) Intangible assets included the Securities and Futures Commission (the “SFC”) License Types 1 (dealing in securities), 4 (advising on securities) and 6 (advising on corporate finance) of DL Securities, Money Lending License of DA Finance and SFC License Types 4 (advising on securities) and 9 (asset management) of DL Family Office HK. The Group regards thes</t>
        </is>
      </c>
    </row>
    <row r="60">
      <c r="A60" s="9" t="inlineStr">
        <is>
          <t>Intangible Assets &amp; Goodwill</t>
        </is>
      </c>
      <c r="B60" s="9" t="inlineStr">
        <is>
          <t>無形資產及商譽</t>
        </is>
      </c>
      <c r="C60" s="20" t="inlineStr">
        <is>
          <t>high</t>
        </is>
      </c>
      <c r="D60" s="12" t="inlineStr">
        <is>
          <t>intangible asset</t>
        </is>
      </c>
      <c r="E60" s="12" t="inlineStr">
        <is>
          <t>PDF p.161 (印刷頁 160)</t>
        </is>
      </c>
      <c r="F60" s="12" t="inlineStr">
        <is>
          <t>income tax 371,868 137,304 Adjustments for: – Finance costs 12 15,579 29,992 – Finance income 12 (10,120) (2,932) – Amortisation of intangible assets 7 9,936 9,667 – Depreciation of property, plant and equipment 7 47,586 1,480 – Depreciation of right-of-use assets 7 10,384 9,583 – Loss on early termination of lease – 7 – Dividend income from financial assets at FVTPL 6 – (1,281) – Impairment loss on digital assets 6 7,422 – – Provision for/(reversal of) ECL of trade receivables, net 7 156 (1,720) – Provision for/(reversal of)</t>
        </is>
      </c>
    </row>
    <row r="61">
      <c r="A61" s="9" t="inlineStr">
        <is>
          <t>Investment Properties</t>
        </is>
      </c>
      <c r="B61" s="9" t="inlineStr">
        <is>
          <t>投資物業</t>
        </is>
      </c>
      <c r="C61" s="20" t="inlineStr">
        <is>
          <t>high</t>
        </is>
      </c>
      <c r="D61" s="12" t="inlineStr">
        <is>
          <t>investment property</t>
        </is>
      </c>
      <c r="E61" s="12" t="inlineStr">
        <is>
          <t>PDF p.74 (印刷頁 73)</t>
        </is>
      </c>
      <c r="F61" s="12" t="inlineStr">
        <is>
          <t>,187) Purchase of debt instruments at FVTOCI – (3,113) Dividend received – 1,281 Interest income received 9,007 1,095 Purchase of an investment property (20,391) – Purchases of property, plant and equipment (494,320) (7,306) Purchase of an intangible asset (2,561) – Proceeds from disposals of financial assets at FVTPL – 70,673 Receipts from promissory notes receivables 76,437 – Net cash used in investing activities (847,361) (46,085) Cash flows from financing activities Capital element of lease rentals paid 40(b) (10,326) (6,94</t>
        </is>
      </c>
    </row>
    <row r="62">
      <c r="A62" s="9" t="inlineStr">
        <is>
          <t>Investment Properties</t>
        </is>
      </c>
      <c r="B62" s="9" t="inlineStr">
        <is>
          <t>投資物業</t>
        </is>
      </c>
      <c r="C62" s="20" t="inlineStr">
        <is>
          <t>high</t>
        </is>
      </c>
      <c r="D62" s="12" t="inlineStr">
        <is>
          <t>investment property</t>
        </is>
      </c>
      <c r="E62" s="12" t="inlineStr">
        <is>
          <t>PDF p.96 (印刷頁 95)</t>
        </is>
      </c>
      <c r="F62" s="12" t="inlineStr">
        <is>
          <t>perties are presumed to be recovered entirely through sale, unless the presumption is rebutted. The presumption is rebutted when the investment property is depreciable and is held within a business model whose objective is to consume substantially all of the economic benefits embodied in the investment property over time, rather than through sale, except for freehold land, which is always presumed to be recovered entirely through sale. For leasing transactions in which the tax deductions are attributable to the lease liabilitie</t>
        </is>
      </c>
    </row>
    <row r="63">
      <c r="A63" s="9" t="inlineStr">
        <is>
          <t>Investment Properties</t>
        </is>
      </c>
      <c r="B63" s="9" t="inlineStr">
        <is>
          <t>投資物業</t>
        </is>
      </c>
      <c r="C63" s="20" t="inlineStr">
        <is>
          <t>high</t>
        </is>
      </c>
      <c r="D63" s="12" t="inlineStr">
        <is>
          <t>investment property</t>
        </is>
      </c>
      <c r="E63" s="12" t="inlineStr">
        <is>
          <t>PDF p.130 (印刷頁 129)</t>
        </is>
      </c>
      <c r="F63" s="12" t="inlineStr">
        <is>
          <t>n held for generating rental income. The investment property was pledged to secure other borrowings (note 34(b)). The addition of an investment property represents commercial property located in Hong Kong and held for generating rental income during the year ended 31 March 2026. Total consideration of HK$42,560,000 was settled by cash amounting to approximately HK$20,391,000 and issuing a promissory notes payables amounting to approximately HK$22,169,000 (note 33). As at 31 March 2026, included in the carrying amount of the inv</t>
        </is>
      </c>
    </row>
    <row r="64">
      <c r="A64" s="9" t="inlineStr">
        <is>
          <t>Investment Properties</t>
        </is>
      </c>
      <c r="B64" s="9" t="inlineStr">
        <is>
          <t>投資物業</t>
        </is>
      </c>
      <c r="C64" s="20" t="inlineStr">
        <is>
          <t>high</t>
        </is>
      </c>
      <c r="D64" s="12" t="inlineStr">
        <is>
          <t>investment property</t>
        </is>
      </c>
      <c r="E64" s="12" t="inlineStr">
        <is>
          <t>PDF p.152 (印刷頁 151)</t>
        </is>
      </c>
      <c r="F64" s="12" t="inlineStr">
        <is>
          <t>b) As at 31 March 2026, the other borrowings include a loan from an independent licensed money lender in Hong Kong for purchasing an investment property and loans from an independent overseas money lender to finance the purchase of cryptocurrency mining machines and cryptocurrency mining operating expenses. As at 31 March 2026 and 2025, the other borrowing for purchasing the investment property is repayable within 10 years with the interest rate of 2.8% per annum above 1 month’s Tokyo Interbank Offered Rate or over the cost of</t>
        </is>
      </c>
    </row>
    <row r="65">
      <c r="A65" s="9" t="inlineStr">
        <is>
          <t>Investment Properties</t>
        </is>
      </c>
      <c r="B65" s="9" t="inlineStr">
        <is>
          <t>投資物業</t>
        </is>
      </c>
      <c r="C65" s="20" t="inlineStr">
        <is>
          <t>high</t>
        </is>
      </c>
      <c r="D65" s="12" t="inlineStr">
        <is>
          <t>investment property</t>
        </is>
      </c>
      <c r="E65" s="12" t="inlineStr">
        <is>
          <t>PDF p.166 (印刷頁 165)</t>
        </is>
      </c>
      <c r="F65" s="12" t="inlineStr">
        <is>
          <t>was completed on 29 November 2024. Assets and liabilities of DL Japan recognised at the date of acquisition are as follows: HK$’000 Investment property (note 18) 10,809 Other receivables, prepayments and deposits 5,800 Cash and cash equivalents 1,530 Other payables and accruals (3,776) Other borrowings (5,672) Non-controlling interests (3,691) Net assets acquired 5,000 Satisfied by: Cash 5,000 Net cash outflow arising on acquisition of DL Japan Cash consideration paid (5,000) Cash and cash equivalents acquired 1,530 (3,470) DL</t>
        </is>
      </c>
    </row>
    <row r="66">
      <c r="A66" s="9" t="inlineStr">
        <is>
          <t>Segment Information</t>
        </is>
      </c>
      <c r="B66" s="9" t="inlineStr">
        <is>
          <t>分部資料</t>
        </is>
      </c>
      <c r="C66" s="9" t="inlineStr">
        <is>
          <t>medium</t>
        </is>
      </c>
      <c r="D66" s="12" t="inlineStr">
        <is>
          <t>operating segment</t>
        </is>
      </c>
      <c r="E66" s="12" t="inlineStr">
        <is>
          <t>PDF p.93 (印刷頁 92)</t>
        </is>
      </c>
      <c r="F66" s="12" t="inlineStr">
        <is>
          <t>esent the lowest level within the Group at which the goodwill is monitored for internal management purpose and not be larger than an operating segment. Impairment losses recognised for CGUs, to which goodwill has been allocated, are credited initially to the carrying amount of goodwill. Any remaining impairment loss is charged pro rata to the other assets in the CGUs, except that the carrying value of an asset will not be reduced below its individual fair value less cost of disposal, or value in use, if determinable. An impairm</t>
        </is>
      </c>
    </row>
    <row r="67">
      <c r="A67" s="9" t="inlineStr">
        <is>
          <t>Segment Information</t>
        </is>
      </c>
      <c r="B67" s="9" t="inlineStr">
        <is>
          <t>分部資料</t>
        </is>
      </c>
      <c r="C67" s="9" t="inlineStr">
        <is>
          <t>medium</t>
        </is>
      </c>
      <c r="D67" s="12" t="inlineStr">
        <is>
          <t>segment information</t>
        </is>
      </c>
      <c r="E67" s="12" t="inlineStr">
        <is>
          <t>PDF p.98 (印刷頁 97)</t>
        </is>
      </c>
      <c r="F67" s="12" t="inlineStr">
        <is>
          <t>RY OF MATERIAL ACCOUNTING POLICY INFORMATION (Continued) 2.23 Segment reporting The Group identifies operating segments and prepares segment information based on the regular internal financial information reported to the executive directors for their decisions about resources allocation to the Group’s business components and for their review of the performance of those components. The business components in the internal financial information reported to the executive directors are determined following the Group’s major product</t>
        </is>
      </c>
    </row>
    <row r="68">
      <c r="A68" s="9" t="inlineStr">
        <is>
          <t>Segment Information</t>
        </is>
      </c>
      <c r="B68" s="9" t="inlineStr">
        <is>
          <t>分部資料</t>
        </is>
      </c>
      <c r="C68" s="9" t="inlineStr">
        <is>
          <t>medium</t>
        </is>
      </c>
      <c r="D68" s="12" t="inlineStr">
        <is>
          <t>segment information</t>
        </is>
      </c>
      <c r="E68" s="12" t="inlineStr">
        <is>
          <t>PDF p.107 (印刷頁 106)</t>
        </is>
      </c>
      <c r="F68" s="12" t="inlineStr">
        <is>
          <t>: HK$97,734,000), respectively. No impairment loss has been recognised during the years ended 31 March 2026 and 2025. 5. REVENUE AND SEGMENT INFORMATION The Group identifies operating segments and prepares segment information based on the regular internal financial information reported to the executive directors (i.e. the chief operating decision-maker (“CODM”)) for their decisions about resources allocation to the Group’s business components and for their review of the performance of those components. The business components i</t>
        </is>
      </c>
    </row>
    <row r="69">
      <c r="A69" s="9" t="inlineStr">
        <is>
          <t>Segment Information</t>
        </is>
      </c>
      <c r="B69" s="9" t="inlineStr">
        <is>
          <t>分部資料</t>
        </is>
      </c>
      <c r="C69" s="9" t="inlineStr">
        <is>
          <t>medium</t>
        </is>
      </c>
      <c r="D69" s="12" t="inlineStr">
        <is>
          <t>segment information</t>
        </is>
      </c>
      <c r="E69" s="12" t="inlineStr">
        <is>
          <t>PDF p.108 (印刷頁 107)</t>
        </is>
      </c>
      <c r="F69" s="12" t="inlineStr">
        <is>
          <t>NOTES TO THE CONSOLIDATED FINANCIAL STATEMENTS For the year ended 31 March 2026 5. REVENUE AND SEGMENT INFORMATION (Continued) Each of these reportable segments is managed separately as each of the product and service lines requires different resources as well as marketing approaches. All inter-segment transfers are carried out at arm’s length prices. For the purposes of assessing segment performance and allocating resources between segments, the Group’s CODM monitors the results, assets an</t>
        </is>
      </c>
    </row>
    <row r="70">
      <c r="A70" s="9" t="inlineStr">
        <is>
          <t>Segment Information</t>
        </is>
      </c>
      <c r="B70" s="9" t="inlineStr">
        <is>
          <t>分部資料</t>
        </is>
      </c>
      <c r="C70" s="9" t="inlineStr">
        <is>
          <t>medium</t>
        </is>
      </c>
      <c r="D70" s="12" t="inlineStr">
        <is>
          <t>segment information</t>
        </is>
      </c>
      <c r="E70" s="12" t="inlineStr">
        <is>
          <t>PDF p.109 (印刷頁 108)</t>
        </is>
      </c>
      <c r="F70" s="12" t="inlineStr">
        <is>
          <t>NOTES TO THE CONSOLIDATED FINANCIAL STATEMENTS For the year ended 31 March 2026 5. REVENUE AND SEGMENT INFORMATION (Continued) Disaggregation of revenue from contracts with customers by major products or service lines and timing of revenue recognition are as follows: 2026 2025 HK$’000 HK$’000 Revenue from contracts with customers within the scope of HKFRS 15 Disaggregated by major products or service lines – Provision of financial services of licensed business (note) 112,865 101,431 – Provi</t>
        </is>
      </c>
    </row>
    <row r="71">
      <c r="A71" s="9" t="inlineStr">
        <is>
          <t>Segment Information</t>
        </is>
      </c>
      <c r="B71" s="9" t="inlineStr">
        <is>
          <t>分部資料</t>
        </is>
      </c>
      <c r="C71" s="9" t="inlineStr">
        <is>
          <t>medium</t>
        </is>
      </c>
      <c r="D71" s="12" t="inlineStr">
        <is>
          <t>segment information</t>
        </is>
      </c>
      <c r="E71" s="12" t="inlineStr">
        <is>
          <t>PDF p.110 (印刷頁 109)</t>
        </is>
      </c>
      <c r="F71" s="12" t="inlineStr">
        <is>
          <t>NOTES TO THE CONSOLIDATED FINANCIAL STATEMENTS For the year ended 31 March 2026 5. REVENUE AND SEGMENT INFORMATION (Continued) The Group applied the practical expedient in HKFRS15.94 and therefore expensed the incremental costs of obtaining a contract if the amortisation period is one year or less. Note: 2026 2025 HK$’000 HK$’000 Revenue from provision of financial services of licensed business Service fee income from financial advisory services and investment management services 39,730 68,</t>
        </is>
      </c>
    </row>
    <row r="72">
      <c r="A72" s="9" t="inlineStr">
        <is>
          <t>Segment Information</t>
        </is>
      </c>
      <c r="B72" s="9" t="inlineStr">
        <is>
          <t>分部資料</t>
        </is>
      </c>
      <c r="C72" s="9" t="inlineStr">
        <is>
          <t>medium</t>
        </is>
      </c>
      <c r="D72" s="12" t="inlineStr">
        <is>
          <t>segment information</t>
        </is>
      </c>
      <c r="E72" s="12" t="inlineStr">
        <is>
          <t>PDF p.111 (印刷頁 110)</t>
        </is>
      </c>
      <c r="F72" s="12" t="inlineStr">
        <is>
          <t>NOTES TO THE CONSOLIDATED FINANCIAL STATEMENTS For the year ended 31 March 2026 5. REVENUE AND SEGMENT INFORMATION (Continued) The segment information provided to the CODM for the reportable segments for the year ended 31 March 2025 is as follows: Financial Family services of office Money Sales of Enterprise Interlicensed services lending apparel solutions company business business services products services elimination Total HK$’000 HK$’000 HK$’000 HK$’000 HK$’000 HK$’000 HK$’000 Revenue</t>
        </is>
      </c>
    </row>
    <row r="73">
      <c r="A73" s="9" t="inlineStr">
        <is>
          <t>Segment Information</t>
        </is>
      </c>
      <c r="B73" s="9" t="inlineStr">
        <is>
          <t>分部資料</t>
        </is>
      </c>
      <c r="C73" s="9" t="inlineStr">
        <is>
          <t>medium</t>
        </is>
      </c>
      <c r="D73" s="12" t="inlineStr">
        <is>
          <t>segment information</t>
        </is>
      </c>
      <c r="E73" s="12" t="inlineStr">
        <is>
          <t>PDF p.112 (印刷頁 111)</t>
        </is>
      </c>
      <c r="F73" s="12" t="inlineStr">
        <is>
          <t>NOTES TO THE CONSOLIDATED FINANCIAL STATEMENTS For the year ended 31 March 2026 5. REVENUE AND SEGMENT INFORMATION (Continued) Financial Family Unallocated services of office Money Sales of Enterprise corporate Interlicensed services lending apparel solutions Digital assets/ company business business services products services finance (liabilities) elimination Total HK$’000 HK$’000 HK$’000 HK$’000 HK$’000 HK$’000 HK$’000 HK$’000 HK$’000 As at 31 March 2026 Reportable segment assets 495,81</t>
        </is>
      </c>
    </row>
    <row r="74">
      <c r="A74" s="9" t="inlineStr">
        <is>
          <t>Segment Information</t>
        </is>
      </c>
      <c r="B74" s="9" t="inlineStr">
        <is>
          <t>分部資料</t>
        </is>
      </c>
      <c r="C74" s="9" t="inlineStr">
        <is>
          <t>medium</t>
        </is>
      </c>
      <c r="D74" s="12" t="inlineStr">
        <is>
          <t>segment information</t>
        </is>
      </c>
      <c r="E74" s="12" t="inlineStr">
        <is>
          <t>PDF p.113 (印刷頁 112)</t>
        </is>
      </c>
      <c r="F74" s="12" t="inlineStr">
        <is>
          <t>NOTES TO THE CONSOLIDATED FINANCIAL STATEMENTS For the year ended 31 March 2026 5. REVENUE AND SEGMENT INFORMATION (Continued) Geographical information The geographical location of customers is based on the location at which the services were provided or the goods were delivered. The geographical location of the specified non-current assets is based on the physical location of the assets, in the case of property, plant and equipment and right-of-use assets; and the location of the operation</t>
        </is>
      </c>
    </row>
    <row r="75">
      <c r="A75" s="9" t="inlineStr">
        <is>
          <t>Share-based Payment</t>
        </is>
      </c>
      <c r="B75" s="9" t="inlineStr">
        <is>
          <t>以股份為基礎的付款</t>
        </is>
      </c>
      <c r="C75" s="9" t="inlineStr">
        <is>
          <t>medium</t>
        </is>
      </c>
      <c r="D75" s="12" t="inlineStr">
        <is>
          <t>share option</t>
        </is>
      </c>
      <c r="E75" s="12" t="inlineStr">
        <is>
          <t>PDF p.23 (印刷頁 22)</t>
        </is>
      </c>
      <c r="F75" s="12" t="inlineStr">
        <is>
          <t>y, year-end bonuses would be discretionarily offered to employees in accordance with their performance. The Group has also adopted a share option scheme and a share award scheme in which the employees of the Group are a category of eligible participants as incentive or reward for their contribution to the Group. The Group also provides appropriate staff training and development, so as enhance the Group’s sustainable development. COMPLIANCE WITH LAWS AND REGULATIONS The Group mainly carries out its businesses in Hong Kong. To th</t>
        </is>
      </c>
    </row>
    <row r="76">
      <c r="A76" s="9" t="inlineStr">
        <is>
          <t>Share-based Payment</t>
        </is>
      </c>
      <c r="B76" s="9" t="inlineStr">
        <is>
          <t>以股份為基礎的付款</t>
        </is>
      </c>
      <c r="C76" s="9" t="inlineStr">
        <is>
          <t>medium</t>
        </is>
      </c>
      <c r="D76" s="12" t="inlineStr">
        <is>
          <t>share option</t>
        </is>
      </c>
      <c r="E76" s="12" t="inlineStr">
        <is>
          <t>PDF p.38 (印刷頁 37)</t>
        </is>
      </c>
      <c r="F76" s="12" t="inlineStr">
        <is>
          <t>March 2026, as well as performance review and remuneration package of Directors and senior management, and to consider the grants of share options and share awards to eligible participants. During the year ended 31 March 2026, the Remuneration Committee made recommendations to the Board on the remuneration packages of Directors and senior management. The remuneration of individual Director and senior management is determined with reference to his/her experience, duties and responsibilities undertaken with the Company as well as</t>
        </is>
      </c>
    </row>
    <row r="77">
      <c r="A77" s="9" t="inlineStr">
        <is>
          <t>Share-based Payment</t>
        </is>
      </c>
      <c r="B77" s="9" t="inlineStr">
        <is>
          <t>以股份為基礎的付款</t>
        </is>
      </c>
      <c r="C77" s="9" t="inlineStr">
        <is>
          <t>medium</t>
        </is>
      </c>
      <c r="D77" s="12" t="inlineStr">
        <is>
          <t>share option</t>
        </is>
      </c>
      <c r="E77" s="12" t="inlineStr">
        <is>
          <t>PDF p.46 (印刷頁 45)</t>
        </is>
      </c>
      <c r="F77" s="12" t="inlineStr">
        <is>
          <t>hares) during the Reporting Period. EQUITY LINKED AGREEMENT Save as disclosed in the sections headed “Report of the Directors – 2015 Share Option Scheme” and “Management Discussion and Analysis – Placing of New Shares and Use of Proceeds” in this annual report, no equity linked agreement was entered into by the Group, or subsisted, during the year ended 31 March 2026. RESERVES Details of the movements in the reserves of the Company and the Group during the year ended 31 March 2026 are set out in note 46 to the consolidated fina</t>
        </is>
      </c>
    </row>
    <row r="78">
      <c r="A78" s="9" t="inlineStr">
        <is>
          <t>Share-based Payment</t>
        </is>
      </c>
      <c r="B78" s="9" t="inlineStr">
        <is>
          <t>以股份為基礎的付款</t>
        </is>
      </c>
      <c r="C78" s="9" t="inlineStr">
        <is>
          <t>medium</t>
        </is>
      </c>
      <c r="D78" s="12" t="inlineStr">
        <is>
          <t>share option</t>
        </is>
      </c>
      <c r="E78" s="12" t="inlineStr">
        <is>
          <t>PDF p.52 (印刷頁 51)</t>
        </is>
      </c>
      <c r="F78" s="12" t="inlineStr">
        <is>
          <t>REPORT OF THE DIRECTORS 2015 SHARE OPTION SCHEME A share option scheme was adopted and approved by the then Shareholders on 22 September 2015 (the “2015 Share Option Scheme”). The purpose of the 2015 Share Option Scheme was to enable the Company to grant options to eligible participants as incentive or reward for their contribution to the Group to subscribe for the Shares thereby linking their interest with that of the Group.</t>
        </is>
      </c>
    </row>
    <row r="79">
      <c r="A79" s="9" t="inlineStr">
        <is>
          <t>Share-based Payment</t>
        </is>
      </c>
      <c r="B79" s="9" t="inlineStr">
        <is>
          <t>以股份為基礎的付款</t>
        </is>
      </c>
      <c r="C79" s="9" t="inlineStr">
        <is>
          <t>medium</t>
        </is>
      </c>
      <c r="D79" s="12" t="inlineStr">
        <is>
          <t>share option</t>
        </is>
      </c>
      <c r="E79" s="12" t="inlineStr">
        <is>
          <t>PDF p.53 (印刷頁 52)</t>
        </is>
      </c>
      <c r="F79" s="12" t="inlineStr">
        <is>
          <t>REPORT OF THE DIRECTORS At the time of grant of the share options, the Company may specify any minimum period(s) for which an option must be held before it can be exercised. An option may be exercised at any time during the period to be determined and identified by the Board to each grantee at the time of making an offer for the grant of an option, but in any event no later than 10 years from the date of grant but subject to the early termination o</t>
        </is>
      </c>
    </row>
    <row r="80">
      <c r="A80" s="9" t="inlineStr">
        <is>
          <t>Share-based Payment</t>
        </is>
      </c>
      <c r="B80" s="9" t="inlineStr">
        <is>
          <t>以股份為基礎的付款</t>
        </is>
      </c>
      <c r="C80" s="9" t="inlineStr">
        <is>
          <t>medium</t>
        </is>
      </c>
      <c r="D80" s="12" t="inlineStr">
        <is>
          <t>share option</t>
        </is>
      </c>
      <c r="E80" s="12" t="inlineStr">
        <is>
          <t>PDF p.54 (印刷頁 53)</t>
        </is>
      </c>
      <c r="F80" s="12" t="inlineStr">
        <is>
          <t>of the Listing Rules relating to share schemes which came into effect on 1 January 2023, the Company proposed to terminate the 2015 Share Option Scheme and adopt the 2025 Share Incentive Scheme (as defined and detailed below) to replace the 2015 Share Option Scheme for the purpose of, among other things, reflecting the latest changes and requirements under Chapter 17 of the Listing Rules. The proposed termination of the 2015 Share Option Scheme was approved by the shareholders of the Company in the extraordinary general meetin</t>
        </is>
      </c>
    </row>
    <row r="81">
      <c r="A81" s="9" t="inlineStr">
        <is>
          <t>Share-based Payment</t>
        </is>
      </c>
      <c r="B81" s="9" t="inlineStr">
        <is>
          <t>以股份為基礎的付款</t>
        </is>
      </c>
      <c r="C81" s="9" t="inlineStr">
        <is>
          <t>medium</t>
        </is>
      </c>
      <c r="D81" s="12" t="inlineStr">
        <is>
          <t>share-based payment</t>
        </is>
      </c>
      <c r="E81" s="12" t="inlineStr">
        <is>
          <t>PDF p.55 (印刷頁 54)</t>
        </is>
      </c>
      <c r="F81" s="12" t="inlineStr">
        <is>
          <t>market price of the Shares at the respective grant date. The Group has adopted the accounting standard in accordance with HKFRS 2 – Share-based Payment. 2. There are no performance targets attached to the awards granted during the Reporting Period. 3. The number was adjusted due to bonus issue on the basis of one bonus share for 50 existing shares completed on 10 October 2024. Upon termination of the 2020 Share Award Scheme, no further award shares may be granted thereunder, while the award shares already granted before the te</t>
        </is>
      </c>
    </row>
    <row r="82">
      <c r="A82" s="9" t="inlineStr">
        <is>
          <t>Share-based Payment</t>
        </is>
      </c>
      <c r="B82" s="9" t="inlineStr">
        <is>
          <t>以股份為基礎的付款</t>
        </is>
      </c>
      <c r="C82" s="9" t="inlineStr">
        <is>
          <t>medium</t>
        </is>
      </c>
      <c r="D82" s="12" t="inlineStr">
        <is>
          <t>share option</t>
        </is>
      </c>
      <c r="E82" s="12" t="inlineStr">
        <is>
          <t>PDF p.56 (印刷頁 55)</t>
        </is>
      </c>
      <c r="F82" s="12" t="inlineStr">
        <is>
          <t>l be in the interest of the Company and will serve the purpose of the 2025 Share Incentive Scheme. For awards which take the form of share options, the Board shall determine the exercise price for such share options, provided that the exercise price shall in any event be no less than the higher of: (i) the closing price of the Shares as stated in the daily quotations sheet issued by the Stock Exchange on the offer date, which must be a business day; and (ii) the average closing price of the shares as stated in the daily quotati</t>
        </is>
      </c>
    </row>
    <row r="83">
      <c r="A83" s="9" t="inlineStr">
        <is>
          <t>Share-based Payment</t>
        </is>
      </c>
      <c r="B83" s="9" t="inlineStr">
        <is>
          <t>以股份為基礎的付款</t>
        </is>
      </c>
      <c r="C83" s="9" t="inlineStr">
        <is>
          <t>medium</t>
        </is>
      </c>
      <c r="D83" s="12" t="inlineStr">
        <is>
          <t>share-based payment</t>
        </is>
      </c>
      <c r="E83" s="12" t="inlineStr">
        <is>
          <t>PDF p.58 (印刷頁 57)</t>
        </is>
      </c>
      <c r="F83" s="12" t="inlineStr">
        <is>
          <t>market price of the Shares at the respective grant date. The Group has adopted the accounting standard in accordance with HKFRS 2 – Share-based Payment. 2. There are no performance targets attached to the awards granted during the Reporting Period. During the Reporting Period, the Company has granted and vested 440,000 shares under the 2025 Restricted Share Award Scheme. Up to 31 March 2026, a total of 440,000 shares has been awarded under the 2025 Restricted Share Award Scheme, representing approximately 0.03% of the number o</t>
        </is>
      </c>
    </row>
    <row r="84">
      <c r="A84" s="9" t="inlineStr">
        <is>
          <t>Share-based Payment</t>
        </is>
      </c>
      <c r="B84" s="9" t="inlineStr">
        <is>
          <t>以股份為基礎的付款</t>
        </is>
      </c>
      <c r="C84" s="9" t="inlineStr">
        <is>
          <t>medium</t>
        </is>
      </c>
      <c r="D84" s="12" t="inlineStr">
        <is>
          <t>share-based payment</t>
        </is>
      </c>
      <c r="E84" s="12" t="inlineStr">
        <is>
          <t>PDF p.72 (印刷頁 71)</t>
        </is>
      </c>
      <c r="F84" s="12" t="inlineStr">
        <is>
          <t>) – – – – – – (1,053) 1,053 – Deemed disposal of a subsidiary (note 44.1) – – – – (4,801) – – – – – – (4,801) 4,801 – Equity settled share-based payment (note 44.1) – – – – 23,340 – – – – – – 23,340 – 23,340 Partial disposal of a subsidiary without loss of control (note 44.2) – – – – 55,813 – – – – – – 55,813 12,437 68,250 Release upon disposal of a subsidiary (note 44.3) – – – – – – – – – – – – (3,404) (3,404) Deemed disposal of a subsidiary (note 44.3) – – – – (11,295) – – – – – – (11,295) 11,295 – Shares granted under 2020 S</t>
        </is>
      </c>
    </row>
    <row r="85">
      <c r="A85" s="9" t="inlineStr">
        <is>
          <t>Share-based Payment</t>
        </is>
      </c>
      <c r="B85" s="9" t="inlineStr">
        <is>
          <t>以股份為基礎的付款</t>
        </is>
      </c>
      <c r="C85" s="9" t="inlineStr">
        <is>
          <t>medium</t>
        </is>
      </c>
      <c r="D85" s="12" t="inlineStr">
        <is>
          <t>share option</t>
        </is>
      </c>
      <c r="E85" s="12" t="inlineStr">
        <is>
          <t>PDF p.73 (印刷頁 72)</t>
        </is>
      </c>
      <c r="F85" s="12" t="inlineStr">
        <is>
          <t>n classified as equity relating to acquisition of property, plant and equipment – – – – 11,710 – – – – – – 11,710 – 11,710 Lapsed of share option – – – – – (15,098) – – – – 15,098 – – – Acquisition of shares under 2025 Restricted Share Award Scheme (note 11) – – – – – – – (182,380) – – – (182,380) – (182,380) Shares granted under 2025 Restricted Share Award Scheme (note 11) – – – – – – 1,011 – – – – 1,011 – 1,011 Shares vested under 2025 Restricted Share Award Scheme (note 11) – – – – – – (1,011) 1,215 – – (207) (3) – (3) Lapse</t>
        </is>
      </c>
    </row>
    <row r="86">
      <c r="A86" s="9" t="inlineStr">
        <is>
          <t>Share-based Payment</t>
        </is>
      </c>
      <c r="B86" s="9" t="inlineStr">
        <is>
          <t>以股份為基礎的付款</t>
        </is>
      </c>
      <c r="C86" s="9" t="inlineStr">
        <is>
          <t>medium</t>
        </is>
      </c>
      <c r="D86" s="12" t="inlineStr">
        <is>
          <t>share option</t>
        </is>
      </c>
      <c r="E86" s="12" t="inlineStr">
        <is>
          <t>PDF p.74 (印刷頁 73)</t>
        </is>
      </c>
      <c r="F86" s="12" t="inlineStr">
        <is>
          <t>sts attributable to issue of shares upon placements and subscription 30 (28,420) (99) Proceeds from issue of shares upon exercise of share options – 1,890 Acquisition of shares under 2025 Restricted Share Award Scheme (182,380) – Net cash generated from financing activities 1,346,133 21,031 Net increase/(decrease) in cash and cash equivalents 337,973 (8,142) Cash and cash equivalents at beginning of year 31,700 39,842 Effect of foreign exchange rate changes (122) – Cash and cash equivalents at end of year 29 369,551 31,700 DL H</t>
        </is>
      </c>
    </row>
    <row r="87">
      <c r="A87" s="9" t="inlineStr">
        <is>
          <t>Share-based Payment</t>
        </is>
      </c>
      <c r="B87" s="9" t="inlineStr">
        <is>
          <t>以股份為基礎的付款</t>
        </is>
      </c>
      <c r="C87" s="9" t="inlineStr">
        <is>
          <t>medium</t>
        </is>
      </c>
      <c r="D87" s="12" t="inlineStr">
        <is>
          <t>share-based payment</t>
        </is>
      </c>
      <c r="E87" s="12" t="inlineStr">
        <is>
          <t>PDF p.95 (印刷頁 94)</t>
        </is>
      </c>
      <c r="F87" s="12" t="inlineStr">
        <is>
          <t>OLIDATED FINANCIAL STATEMENTS For the year ended 31 March 2026 2. SUMMARY OF MATERIAL ACCOUNTING POLICY INFORMATION (Continued) 2.19 Share-based payments (i) Share options The Group granted share options to its employees, external consultants and a supplier under its 2015 Share Option Scheme. The vesting period for the share options granted are ranged between immediate vested to one year according to the 2015 Share Option Scheme. The fair value of the share options is recognised as an expense in profit or loss over the vesting</t>
        </is>
      </c>
    </row>
    <row r="88">
      <c r="A88" s="9" t="inlineStr">
        <is>
          <t>Share-based Payment</t>
        </is>
      </c>
      <c r="B88" s="9" t="inlineStr">
        <is>
          <t>以股份為基礎的付款</t>
        </is>
      </c>
      <c r="C88" s="9" t="inlineStr">
        <is>
          <t>medium</t>
        </is>
      </c>
      <c r="D88" s="12" t="inlineStr">
        <is>
          <t>share-based payment</t>
        </is>
      </c>
      <c r="E88" s="12" t="inlineStr">
        <is>
          <t>PDF p.115 (印刷頁 114)</t>
        </is>
      </c>
      <c r="F88" s="12" t="inlineStr">
        <is>
          <t>8) 81,906 71,195 Legal and professional fees 9,630 10,225 Written off of property, plant and equipment (note 16) – 2 Equity-settled share-based payment (note 44.1) – 23,340 8. EMPLOYEE BENEFIT EXPENSES (INCLUDING DIRECTORS’ EMOLUMENTS) 2026 2025 HK$’000 HK$’000 Salaries, bonus and other short-term employee benefits 78,429 67,852 Share awards granted to employees and directors 1,011 1,058 (Reversal of)/provision for unutilised annual leave (55) 6 Pension costs – defined contribution plans (note) 2,521 2,279 81,906 71,195 Note:</t>
        </is>
      </c>
    </row>
    <row r="89">
      <c r="A89" s="9" t="inlineStr">
        <is>
          <t>Share-based Payment</t>
        </is>
      </c>
      <c r="B89" s="9" t="inlineStr">
        <is>
          <t>以股份為基礎的付款</t>
        </is>
      </c>
      <c r="C89" s="9" t="inlineStr">
        <is>
          <t>medium</t>
        </is>
      </c>
      <c r="D89" s="12" t="inlineStr">
        <is>
          <t>share option</t>
        </is>
      </c>
      <c r="E89" s="12" t="inlineStr">
        <is>
          <t>PDF p.118 (印刷頁 117)</t>
        </is>
      </c>
      <c r="F89" s="12" t="inlineStr">
        <is>
          <t>ements under which a director waived or agreed to waive any remuneration during the years ended 31 March 2026 and 2025. The value of share options granted to directors is measured according to the Group’s accounting policy for share-based compensation set out in note 2.19. The details of these benefits in kind including the principal terms and number of options granted are disclosed under the section headed “Report of the Directors-2015 Share Option Scheme” in the 2025/2026 annual report and note 11. 10. FIVE HIGHEST PAID INDIV</t>
        </is>
      </c>
    </row>
    <row r="90">
      <c r="A90" s="9" t="inlineStr">
        <is>
          <t>Share-based Payment</t>
        </is>
      </c>
      <c r="B90" s="9" t="inlineStr">
        <is>
          <t>以股份為基礎的付款</t>
        </is>
      </c>
      <c r="C90" s="9" t="inlineStr">
        <is>
          <t>medium</t>
        </is>
      </c>
      <c r="D90" s="12" t="inlineStr">
        <is>
          <t>share-based payment</t>
        </is>
      </c>
      <c r="E90" s="12" t="inlineStr">
        <is>
          <t>PDF p.119 (印刷頁 118)</t>
        </is>
      </c>
      <c r="F90" s="12" t="inlineStr">
        <is>
          <t>NOTES TO THE CONSOLIDATED FINANCIAL STATEMENTS For the year ended 31 March 2026 11. SHARE-BASED PAYMENTS (a) 2015 Share Option Scheme The Company has a Share Option Scheme which was adopted on 22 September 2015 (“2015 Share Option Scheme”) whereby the directors of the Company are authorised, at their discretion, to invite employees of the Group, including directors of any company in the Group, to take up options to subscribe for shares of the Company by payment of HK$1.00 conside</t>
        </is>
      </c>
    </row>
    <row r="91">
      <c r="A91" s="9" t="inlineStr">
        <is>
          <t>Share-based Payment</t>
        </is>
      </c>
      <c r="B91" s="9" t="inlineStr">
        <is>
          <t>以股份為基礎的付款</t>
        </is>
      </c>
      <c r="C91" s="9" t="inlineStr">
        <is>
          <t>medium</t>
        </is>
      </c>
      <c r="D91" s="12" t="inlineStr">
        <is>
          <t>share-based payment</t>
        </is>
      </c>
      <c r="E91" s="12" t="inlineStr">
        <is>
          <t>PDF p.120 (印刷頁 119)</t>
        </is>
      </c>
      <c r="F91" s="12" t="inlineStr">
        <is>
          <t>NOTES TO THE CONSOLIDATED FINANCIAL STATEMENTS For the year ended 31 March 2026 11. SHARE-BASED PAYMENTS (Continued) (a) 2015 Share Option Scheme (Continued) During the year ended 31 March 2026, totalling 26,432,000 share options have been lapsed for option type 2023A. (2025: The share options outstanding at 31 March 2025 had exercise prices of HK$2.7). During the year ended 31 March 2026, no share options were exercised. (2025: 700,000 share options were exercised with weighted</t>
        </is>
      </c>
    </row>
    <row r="92">
      <c r="A92" s="9" t="inlineStr">
        <is>
          <t>Share-based Payment</t>
        </is>
      </c>
      <c r="B92" s="9" t="inlineStr">
        <is>
          <t>以股份為基礎的付款</t>
        </is>
      </c>
      <c r="C92" s="9" t="inlineStr">
        <is>
          <t>medium</t>
        </is>
      </c>
      <c r="D92" s="12" t="inlineStr">
        <is>
          <t>share-based payment</t>
        </is>
      </c>
      <c r="E92" s="12" t="inlineStr">
        <is>
          <t>PDF p.121 (印刷頁 120)</t>
        </is>
      </c>
      <c r="F92" s="12" t="inlineStr">
        <is>
          <t>NOTES TO THE CONSOLIDATED FINANCIAL STATEMENTS For the year ended 31 March 2026 11. SHARE-BASED PAYMENTS (Continued) (b) 2020 Share Award Scheme (Continued) On 17 April 2024, the Group granted a total of 200,000 shares under the 2020 Share Award Scheme with a vesting period of a year. Number of Name shares granted Employee(s) of the Group 200,000 On 24 April 2024, the Group granted a total 150,000 shares under the 2020 Share Award Scheme with no vesting period. Number of Name sha</t>
        </is>
      </c>
    </row>
    <row r="93">
      <c r="A93" s="9" t="inlineStr">
        <is>
          <t>Share-based Payment</t>
        </is>
      </c>
      <c r="B93" s="9" t="inlineStr">
        <is>
          <t>以股份為基礎的付款</t>
        </is>
      </c>
      <c r="C93" s="9" t="inlineStr">
        <is>
          <t>medium</t>
        </is>
      </c>
      <c r="D93" s="12" t="inlineStr">
        <is>
          <t>share-based payment</t>
        </is>
      </c>
      <c r="E93" s="12" t="inlineStr">
        <is>
          <t>PDF p.122 (印刷頁 121)</t>
        </is>
      </c>
      <c r="F93" s="12" t="inlineStr">
        <is>
          <t>NOTES TO THE CONSOLIDATED FINANCIAL STATEMENTS For the year ended 31 March 2026 11. SHARE-BASED PAYMENTS (Continued) (b) 2020 Share Award Scheme (Continued) Movement in 2020 Share Award Scheme Lapsed during the As at year ended As at 1 April 2025 31 March 2026 31 March 2026 Employee(s) of the Group 204,000 (204,000) – Total 204,000 (204,000) – Granted Vested Lapsed Adjustment* during the during the during the during the As at year ended year ended year ended year ended As at 1 Ap</t>
        </is>
      </c>
    </row>
    <row r="94">
      <c r="A94" s="9" t="inlineStr">
        <is>
          <t>Share-based Payment</t>
        </is>
      </c>
      <c r="B94" s="9" t="inlineStr">
        <is>
          <t>以股份為基礎的付款</t>
        </is>
      </c>
      <c r="C94" s="9" t="inlineStr">
        <is>
          <t>medium</t>
        </is>
      </c>
      <c r="D94" s="12" t="inlineStr">
        <is>
          <t>share-based payment</t>
        </is>
      </c>
      <c r="E94" s="12" t="inlineStr">
        <is>
          <t>PDF p.123 (印刷頁 122)</t>
        </is>
      </c>
      <c r="F94" s="12" t="inlineStr">
        <is>
          <t>NOTES TO THE CONSOLIDATED FINANCIAL STATEMENTS For the year ended 31 March 2026 11. SHARE-BASED PAYMENTS (Continued) (d) 2025 Restricted Share Award Scheme A restricted share award scheme was adopted by the Company on 2 June 2025 (the “2025 Restricted Share Award Scheme”). The 2025 Restricted Share Award Scheme is (i) to recognise the contributions by certain participants of the scheme and to provide them with incentives in order to retain them for the continual operation and dev</t>
        </is>
      </c>
    </row>
    <row r="95">
      <c r="A95" s="9" t="inlineStr">
        <is>
          <t>Share-based Payment</t>
        </is>
      </c>
      <c r="B95" s="9" t="inlineStr">
        <is>
          <t>以股份為基礎的付款</t>
        </is>
      </c>
      <c r="C95" s="9" t="inlineStr">
        <is>
          <t>medium</t>
        </is>
      </c>
      <c r="D95" s="12" t="inlineStr">
        <is>
          <t>share-based payment</t>
        </is>
      </c>
      <c r="E95" s="12" t="inlineStr">
        <is>
          <t>PDF p.124 (印刷頁 123)</t>
        </is>
      </c>
      <c r="F95" s="12" t="inlineStr">
        <is>
          <t>NOTES TO THE CONSOLIDATED FINANCIAL STATEMENTS For the year ended 31 March 2026 11. SHARE-BASED PAYMENTS (Continued) (e) 2025 Share Incentive Scheme 2025 Share Incentive Scheme was adopted by the Company on 19 June 2025 (the “2025 Share Incentive Scheme”). The 2025 Share Incentive Scheme is (i) to enable the Company to grant awards to eligible participants as incentive or reward for their contribution to the Group; (ii) to provide the Company with a flexible means of remunerating</t>
        </is>
      </c>
    </row>
    <row r="96">
      <c r="A96" s="9" t="inlineStr">
        <is>
          <t>Share-based Payment</t>
        </is>
      </c>
      <c r="B96" s="9" t="inlineStr">
        <is>
          <t>以股份為基礎的付款</t>
        </is>
      </c>
      <c r="C96" s="9" t="inlineStr">
        <is>
          <t>medium</t>
        </is>
      </c>
      <c r="D96" s="12" t="inlineStr">
        <is>
          <t>share option</t>
        </is>
      </c>
      <c r="E96" s="12" t="inlineStr">
        <is>
          <t>PDF p.127 (印刷頁 126)</t>
        </is>
      </c>
      <c r="F96" s="12" t="inlineStr">
        <is>
          <t>ings per share (‘000) (restated for the year ended 31 March 2025) 1,720,388 1,493,727 Effect of dilutive potential ordinary shares – Share options (‘000) 4,433 10,011 – Share awards (‘000) 4 91 – Convertible bonds (‘000) 53,770 – Weighted average number of ordinary shares for the purpose of calculating diluted earnings per share (‘000) (restated for the year ended 31 March 2025) 1,778,595 1,503,829 Diluted earnings per share (HK cents per share) (restated for the year ended 31 March 2025) 20.63 9.10 The calculation of diluted e</t>
        </is>
      </c>
    </row>
    <row r="97">
      <c r="A97" s="9" t="inlineStr">
        <is>
          <t>Share-based Payment</t>
        </is>
      </c>
      <c r="B97" s="9" t="inlineStr">
        <is>
          <t>以股份為基礎的付款</t>
        </is>
      </c>
      <c r="C97" s="9" t="inlineStr">
        <is>
          <t>medium</t>
        </is>
      </c>
      <c r="D97" s="12" t="inlineStr">
        <is>
          <t>share option</t>
        </is>
      </c>
      <c r="E97" s="12" t="inlineStr">
        <is>
          <t>PDF p.147 (印刷頁 146)</t>
        </is>
      </c>
      <c r="F97" s="12" t="inlineStr">
        <is>
          <t>hares upon placement (note (a)) 64,370,000 644 Issue of shares upon bonus issue (note (b)) 30,366,527 304 Issue of shares under 2015 Share Option Scheme (note (c)) 700,000 7 As at 31 March 2025 and 1 April 2025 1,549,392,877 15,494 Issue of shares upon placements and subscription (note (d) and (e)) 520,472,000 5,205 As at 31 March 2026 2,069,864,877 20,699 Notes: (a) On 21 March 2024, the Company entered into a placing agreement with placing agents pursuant to which the Company had conditionally agreed to place, through the pla</t>
        </is>
      </c>
    </row>
    <row r="98">
      <c r="A98" s="9" t="inlineStr">
        <is>
          <t>Share-based Payment</t>
        </is>
      </c>
      <c r="B98" s="9" t="inlineStr">
        <is>
          <t>以股份為基礎的付款</t>
        </is>
      </c>
      <c r="C98" s="9" t="inlineStr">
        <is>
          <t>medium</t>
        </is>
      </c>
      <c r="D98" s="12" t="inlineStr">
        <is>
          <t>share option</t>
        </is>
      </c>
      <c r="E98" s="12" t="inlineStr">
        <is>
          <t>PDF p.148 (印刷頁 147)</t>
        </is>
      </c>
      <c r="F98" s="12" t="inlineStr">
        <is>
          <t>d to be distributed, the Company will be in a position to pay off its debts as they fall due in the ordinary course of business. (b) Share options reserve The share options reserve represents the cumulative charge to the consolidated statement of profit or loss and other comprehensive income for the purpose of providing incentives and rewards to eligible participants who contribute to the success of the Group’s operations. DL HOLDINGS GROUP LIMITED / ANNUAL REPORT 2025/2026 147</t>
        </is>
      </c>
    </row>
    <row r="99">
      <c r="A99" s="9" t="inlineStr">
        <is>
          <t>Share-based Payment</t>
        </is>
      </c>
      <c r="B99" s="9" t="inlineStr">
        <is>
          <t>以股份為基礎的付款</t>
        </is>
      </c>
      <c r="C99" s="9" t="inlineStr">
        <is>
          <t>medium</t>
        </is>
      </c>
      <c r="D99" s="12" t="inlineStr">
        <is>
          <t>risk-free rate</t>
        </is>
      </c>
      <c r="E99" s="12" t="inlineStr">
        <is>
          <t>PDF p.155 (印刷頁 154)</t>
        </is>
      </c>
      <c r="F99" s="12" t="inlineStr">
        <is>
          <t>r value of the convertible bonds as at issue date and 31 March 2026 are as follows: At issue date, At 31 March 30 December 2026 2025 Risk-free rate 3.45% 3.77% Discount rate 11.51% 13.98% Volatility 52.63% 62.71% Dividend yield 0.00% 0.00% The variables and assumptions used in calculating the fair value of convertible bonds are based on the directors’ best estimate. 154 DL HOLDINGS GROUP LIMITED / ANNUAL REPORT 2025/2026</t>
        </is>
      </c>
    </row>
    <row r="100">
      <c r="A100" s="9" t="inlineStr">
        <is>
          <t>Share-based Payment</t>
        </is>
      </c>
      <c r="B100" s="9" t="inlineStr">
        <is>
          <t>以股份為基礎的付款</t>
        </is>
      </c>
      <c r="C100" s="9" t="inlineStr">
        <is>
          <t>medium</t>
        </is>
      </c>
      <c r="D100" s="12" t="inlineStr">
        <is>
          <t>share-based payment</t>
        </is>
      </c>
      <c r="E100" s="12" t="inlineStr">
        <is>
          <t>PDF p.161 (印刷頁 160)</t>
        </is>
      </c>
      <c r="F100" s="12" t="inlineStr">
        <is>
          <t>third party investors 6 10,646 – – Share of profit of an associate accounted for using the equity method 23 (333) – – Equity-settled share-based payment 7 – 23,340 – Share awards granted 8 1,011 1,058 – Others (3) 167 Operating profit before working capital changes 62,945 9,829 Changes in working capital: – Trade and other receivables (18,815) 49,419 – Loan and interest receivables (34,800) (26,249) – Trade and other payables 83,064 (113,608) – Digital assets (153,232) – – Bank balance – trust (97,415) 99,729 Cash (used in)/gen</t>
        </is>
      </c>
    </row>
    <row r="101">
      <c r="A101" s="9" t="inlineStr">
        <is>
          <t>Share-based Payment</t>
        </is>
      </c>
      <c r="B101" s="9" t="inlineStr">
        <is>
          <t>以股份為基礎的付款</t>
        </is>
      </c>
      <c r="C101" s="9" t="inlineStr">
        <is>
          <t>medium</t>
        </is>
      </c>
      <c r="D101" s="12" t="inlineStr">
        <is>
          <t>share-based payment</t>
        </is>
      </c>
      <c r="E101" s="12" t="inlineStr">
        <is>
          <t>PDF p.167 (印刷頁 166)</t>
        </is>
      </c>
      <c r="F101" s="12" t="inlineStr">
        <is>
          <t>lfin, at an aggregated subscription price of US$3,000,000 (equivalents to approximately HK$23,340,000), which has been recognised as share-based payment expense of the Group, in respective of the services provided by the subscriber. Pursuant to the subscription agreement, it includes a clause of put option, which stated in the event that an qualified initial public offering has not been consummated on or before the third anniversary of the subscription completion date, the subscriber shall after such exercise date have the righ</t>
        </is>
      </c>
    </row>
    <row r="102">
      <c r="A102" s="9" t="inlineStr">
        <is>
          <t>Share-based Payment</t>
        </is>
      </c>
      <c r="B102" s="9" t="inlineStr">
        <is>
          <t>以股份為基礎的付款</t>
        </is>
      </c>
      <c r="C102" s="9" t="inlineStr">
        <is>
          <t>medium</t>
        </is>
      </c>
      <c r="D102" s="12" t="inlineStr">
        <is>
          <t>share-based payment</t>
        </is>
      </c>
      <c r="E102" s="12" t="inlineStr">
        <is>
          <t>PDF p.172 (印刷頁 171)</t>
        </is>
      </c>
      <c r="F102" s="12" t="inlineStr">
        <is>
          <t>2020 Share Award Scheme (note 31(c)) – (152,678) – – – 152,678 – – – Dividend paid (note 14) – – – – – – – – (30,063) Equity-settled share-based payment – – 23,340 – – – – – – Profit and total comprehensive income for the year – – – – – – – – 122,391 Balance as at 31 March 2025 and 1 April 2025 581,482 (152,678) 35,180 15,098 447 – 19,645 –# 17,919 Equity-settled payment for acquiring financial assets – 54,692 – – – – – – – Issue of shares upon placements and subscription, net (note 30(d) and (e)) 1,533,669 – – – – – – – – Issu</t>
        </is>
      </c>
    </row>
    <row r="103">
      <c r="A103" s="9" t="inlineStr">
        <is>
          <t>Related Party Transactions</t>
        </is>
      </c>
      <c r="B103" s="9" t="inlineStr">
        <is>
          <t>關聯方交易</t>
        </is>
      </c>
      <c r="C103" s="9" t="inlineStr">
        <is>
          <t>low</t>
        </is>
      </c>
      <c r="D103" s="12" t="inlineStr">
        <is>
          <t>connected transaction</t>
        </is>
      </c>
      <c r="E103" s="12" t="inlineStr">
        <is>
          <t>PDF p.24 (印刷頁 23)</t>
        </is>
      </c>
      <c r="F103" s="12" t="inlineStr">
        <is>
          <t>subscription and the allotment and issue of the specific mandate subscription shares pursuant to the specific mandate) constitute a connected transaction of the Company under Chapter 14A of the Listing Rules. As at the date of this annual report, the specific mandate subscription has lapsed. On 11 August 2025, the Company has successfully placed a total of 201,456,000 placing Shares under the general mandate granted to the Directors by the Shareholders at the annual general meeting of the Company held on 13 September 2024. The</t>
        </is>
      </c>
    </row>
    <row r="104">
      <c r="A104" s="9" t="inlineStr">
        <is>
          <t>Related Party Transactions</t>
        </is>
      </c>
      <c r="B104" s="9" t="inlineStr">
        <is>
          <t>關聯方交易</t>
        </is>
      </c>
      <c r="C104" s="9" t="inlineStr">
        <is>
          <t>low</t>
        </is>
      </c>
      <c r="D104" s="12" t="inlineStr">
        <is>
          <t>connected transaction</t>
        </is>
      </c>
      <c r="E104" s="12" t="inlineStr">
        <is>
          <t>PDF p.58 (印刷頁 57)</t>
        </is>
      </c>
      <c r="F104" s="12" t="inlineStr">
        <is>
          <t>erest are set out in note 42 to the consolidated financial statements of the Group and the section headed “Report of the Directors – Connected Transactions/Continuing Connected Transactions” of this annual report. Save as disclosed above, no Director or any entity connected with any Director had a material interest, whether directly or indirectly, in any transactions, arrangement or contract of significance in relation to the business of the Group, to which the Company or any of its subsidiaries or its parent companies or subsi</t>
        </is>
      </c>
    </row>
    <row r="105">
      <c r="A105" s="9" t="inlineStr">
        <is>
          <t>Related Party Transactions</t>
        </is>
      </c>
      <c r="B105" s="9" t="inlineStr">
        <is>
          <t>關聯方交易</t>
        </is>
      </c>
      <c r="C105" s="9" t="inlineStr">
        <is>
          <t>low</t>
        </is>
      </c>
      <c r="D105" s="12" t="inlineStr">
        <is>
          <t>related party</t>
        </is>
      </c>
      <c r="E105" s="12" t="inlineStr">
        <is>
          <t>PDF p.59 (印刷頁 58)</t>
        </is>
      </c>
      <c r="F105" s="12" t="inlineStr">
        <is>
          <t>e. The Company has taken out and maintained appropriate insurance cover in respect of potential legal actions against the Directors. RELATED PARTY TRANSACTIONS Details of related party transactions of the Group during the year ended 31 March 2026 are set out in note 42 to the consolidated financial statements in this annual report. Each of these related party transactions constituted a connected transaction or continuing connected transaction as defined under Chapter 14A of the Listing Rules for the year ended 31 March 2026. Th</t>
        </is>
      </c>
    </row>
    <row r="106">
      <c r="A106" s="9" t="inlineStr">
        <is>
          <t>Related Party Transactions</t>
        </is>
      </c>
      <c r="B106" s="9" t="inlineStr">
        <is>
          <t>關聯方交易</t>
        </is>
      </c>
      <c r="C106" s="9" t="inlineStr">
        <is>
          <t>low</t>
        </is>
      </c>
      <c r="D106" s="12" t="inlineStr">
        <is>
          <t>connected transaction</t>
        </is>
      </c>
      <c r="E106" s="12" t="inlineStr">
        <is>
          <t>PDF p.60 (印刷頁 59)</t>
        </is>
      </c>
      <c r="F106" s="12" t="inlineStr">
        <is>
          <t>5. Please refer to the section headed “Placing of New Shares” under Management Discussion and Analysis in this annual report for the connected transaction in relation to the subscription of 20,000,000 Shares under specific mandate by DA Wolf pursuant to the Specific Mandate Subscription Agreement. Continuing Connected Transactions Pursuant to Chapter 14A of the Listing Rules, the following transactions are continuing connected transactions which are subject to the disclosure requirements under Chapter 14A of the Listing Rules.</t>
        </is>
      </c>
    </row>
    <row r="107">
      <c r="A107" s="9" t="inlineStr">
        <is>
          <t>Related Party Transactions</t>
        </is>
      </c>
      <c r="B107" s="9" t="inlineStr">
        <is>
          <t>關聯方交易</t>
        </is>
      </c>
      <c r="C107" s="9" t="inlineStr">
        <is>
          <t>low</t>
        </is>
      </c>
      <c r="D107" s="12" t="inlineStr">
        <is>
          <t>connected transaction</t>
        </is>
      </c>
      <c r="E107" s="12" t="inlineStr">
        <is>
          <t>PDF p.61 (印刷頁 60)</t>
        </is>
      </c>
      <c r="F107" s="12" t="inlineStr">
        <is>
          <t>ed person of the Company. Accordingly, the transactions contemplated under the Supplemental Advisory Agreement constitute continuing connected transactions of the Company under Chapter 14A of the Listing Rules. The Supplemental Advisory Agreement and the transactions contemplated thereunder are subject to the reporting, announcement, independent shareholders’ approval and annual review requirements under Chapter 14A of the Listing Rules. Confirmation of Independent Non-executive Directors Pursuant to Rule 14A.55 of the Listing</t>
        </is>
      </c>
    </row>
    <row r="108">
      <c r="A108" s="9" t="inlineStr">
        <is>
          <t>Related Party Transactions</t>
        </is>
      </c>
      <c r="B108" s="9" t="inlineStr">
        <is>
          <t>關聯方交易</t>
        </is>
      </c>
      <c r="C108" s="9" t="inlineStr">
        <is>
          <t>low</t>
        </is>
      </c>
      <c r="D108" s="12" t="inlineStr">
        <is>
          <t>related party</t>
        </is>
      </c>
      <c r="E108" s="12" t="inlineStr">
        <is>
          <t>PDF p.164 (印刷頁 163)</t>
        </is>
      </c>
      <c r="F108" s="12" t="inlineStr">
        <is>
          <t>NOTES TO THE CONSOLIDATED FINANCIAL STATEMENTS For the year ended 31 March 2026 42. MATERIAL RELATED PARTY TRANSACTIONS (a) Details of the material transactions between the Group and its related parties are summarised below: Save as disclosed elsewhere in these consolidated financial statements, the Group had the following material transactions with related companies during the years ended 31 March 2026 and 2025. 2026 2025 HK$’000 HK$’000 Advisory and management fee income (note (a)) 14,0</t>
        </is>
      </c>
    </row>
    <row r="109">
      <c r="A109" s="9" t="inlineStr">
        <is>
          <t>Related Party Transactions</t>
        </is>
      </c>
      <c r="B109" s="9" t="inlineStr">
        <is>
          <t>關聯方交易</t>
        </is>
      </c>
      <c r="C109" s="9" t="inlineStr">
        <is>
          <t>low</t>
        </is>
      </c>
      <c r="D109" s="12" t="inlineStr">
        <is>
          <t>related party</t>
        </is>
      </c>
      <c r="E109" s="12" t="inlineStr">
        <is>
          <t>PDF p.165 (印刷頁 164)</t>
        </is>
      </c>
      <c r="F109" s="12" t="inlineStr">
        <is>
          <t>NOTES TO THE CONSOLIDATED FINANCIAL STATEMENTS For the year ended 31 March 2026 42. MATERIAL RELATED PARTY TRANSACTIONS (Continued) (b) Balances with related parties (Continued) Notes: (i) At 31 March 2026 and 2025, the ageing analysis of trade receivables, net of ECL allowance from Mr. Chen and his family based on invoice date (or date of revenue recognition if earlier) is as follows: 2026 2025 HK$’000 HK$’000 1 to 30 days 1,617 3,473 61 to 90 days 3,431 4,375 Over 90 days 27,457 12,560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33"/>
  <sheetViews>
    <sheetView workbookViewId="0">
      <pane ySplit="32" topLeftCell="A33" activePane="bottomLeft" state="frozen"/>
      <selection pane="bottomLeft" activeCell="A1" sqref="A1"/>
    </sheetView>
  </sheetViews>
  <sheetFormatPr baseColWidth="8" defaultRowHeight="15"/>
  <cols>
    <col width="16" customWidth="1" min="1" max="1"/>
    <col width="40" customWidth="1" min="2" max="2"/>
  </cols>
  <sheetData>
    <row r="1">
      <c r="A1" s="1" t="inlineStr">
        <is>
          <t>需要人手處理的項目</t>
        </is>
      </c>
    </row>
    <row r="2">
      <c r="A2" s="2" t="inlineStr">
        <is>
          <t>工具沒抓到的東西會列在這裡,不會靜靜消失 —— 請人手翻閱原文補入。</t>
        </is>
      </c>
    </row>
    <row r="4">
      <c r="A4" s="5" t="inlineStr">
        <is>
          <t>一、未擷取到的財務科目</t>
        </is>
      </c>
    </row>
    <row r="5">
      <c r="A5" s="2" t="inlineStr">
        <is>
          <t>可能原因:該公司未單獨揭露此科目 / 用了工具不認得的措辭 / 位於跨頁或附註中。措辭問題可在 config.py 補上別名。</t>
        </is>
      </c>
    </row>
    <row r="7">
      <c r="A7" s="8" t="inlineStr">
        <is>
          <t>報表 Statement</t>
        </is>
      </c>
      <c r="B7" s="8" t="inlineStr">
        <is>
          <t>未擷取科目 Missing item</t>
        </is>
      </c>
    </row>
    <row r="8">
      <c r="A8" s="9" t="inlineStr">
        <is>
          <t>Income Statement</t>
        </is>
      </c>
      <c r="B8" s="9" t="inlineStr">
        <is>
          <t>Cost of Sales</t>
        </is>
      </c>
    </row>
    <row r="9">
      <c r="A9" s="9" t="inlineStr">
        <is>
          <t>Income Statement</t>
        </is>
      </c>
      <c r="B9" s="9" t="inlineStr">
        <is>
          <t>R&amp;D Expenses</t>
        </is>
      </c>
    </row>
    <row r="10">
      <c r="A10" s="9" t="inlineStr">
        <is>
          <t>Income Statement</t>
        </is>
      </c>
      <c r="B10" s="9" t="inlineStr">
        <is>
          <t>Depreciation</t>
        </is>
      </c>
    </row>
    <row r="11">
      <c r="A11" s="9" t="inlineStr">
        <is>
          <t>Income Statement</t>
        </is>
      </c>
      <c r="B11" s="9" t="inlineStr">
        <is>
          <t>Amortisation</t>
        </is>
      </c>
    </row>
    <row r="12">
      <c r="A12" s="9" t="inlineStr">
        <is>
          <t>Balance Sheet</t>
        </is>
      </c>
      <c r="B12" s="9" t="inlineStr">
        <is>
          <t>Total Assets</t>
        </is>
      </c>
    </row>
    <row r="13">
      <c r="A13" s="9" t="inlineStr">
        <is>
          <t>Balance Sheet</t>
        </is>
      </c>
      <c r="B13" s="9" t="inlineStr">
        <is>
          <t>Total Current Assets</t>
        </is>
      </c>
    </row>
    <row r="14">
      <c r="A14" s="9" t="inlineStr">
        <is>
          <t>Balance Sheet</t>
        </is>
      </c>
      <c r="B14" s="9" t="inlineStr">
        <is>
          <t>Inventories</t>
        </is>
      </c>
    </row>
    <row r="15">
      <c r="A15" s="9" t="inlineStr">
        <is>
          <t>Balance Sheet</t>
        </is>
      </c>
      <c r="B15" s="9" t="inlineStr">
        <is>
          <t>Goodwill</t>
        </is>
      </c>
    </row>
    <row r="16">
      <c r="A16" s="9" t="inlineStr">
        <is>
          <t>Balance Sheet</t>
        </is>
      </c>
      <c r="B16" s="9" t="inlineStr">
        <is>
          <t>Intangible Assets</t>
        </is>
      </c>
    </row>
    <row r="17">
      <c r="A17" s="9" t="inlineStr">
        <is>
          <t>Balance Sheet</t>
        </is>
      </c>
      <c r="B17" s="9" t="inlineStr">
        <is>
          <t>Investment Properties</t>
        </is>
      </c>
    </row>
    <row r="18">
      <c r="A18" s="9" t="inlineStr">
        <is>
          <t>Balance Sheet</t>
        </is>
      </c>
      <c r="B18" s="9" t="inlineStr">
        <is>
          <t>Property Plant and Equipment</t>
        </is>
      </c>
    </row>
    <row r="19">
      <c r="A19" s="9" t="inlineStr">
        <is>
          <t>Balance Sheet</t>
        </is>
      </c>
      <c r="B19" s="9" t="inlineStr">
        <is>
          <t>Total Liabilities</t>
        </is>
      </c>
    </row>
    <row r="20">
      <c r="A20" s="9" t="inlineStr">
        <is>
          <t>Balance Sheet</t>
        </is>
      </c>
      <c r="B20" s="9" t="inlineStr">
        <is>
          <t>Total Current Liabilities</t>
        </is>
      </c>
    </row>
    <row r="21">
      <c r="A21" s="9" t="inlineStr">
        <is>
          <t>Balance Sheet</t>
        </is>
      </c>
      <c r="B21" s="9" t="inlineStr">
        <is>
          <t>Borrowings</t>
        </is>
      </c>
    </row>
    <row r="22">
      <c r="A22" s="9" t="inlineStr">
        <is>
          <t>Balance Sheet</t>
        </is>
      </c>
      <c r="B22" s="9" t="inlineStr">
        <is>
          <t>Total Equity</t>
        </is>
      </c>
    </row>
    <row r="23">
      <c r="A23" s="9" t="inlineStr">
        <is>
          <t>Cash Flow</t>
        </is>
      </c>
      <c r="B23" s="9" t="inlineStr">
        <is>
          <t>Operating Cash Flow</t>
        </is>
      </c>
    </row>
    <row r="24">
      <c r="A24" s="9" t="inlineStr">
        <is>
          <t>Cash Flow</t>
        </is>
      </c>
      <c r="B24" s="9" t="inlineStr">
        <is>
          <t>Investing Cash Flow</t>
        </is>
      </c>
    </row>
    <row r="25">
      <c r="A25" s="9" t="inlineStr">
        <is>
          <t>Cash Flow</t>
        </is>
      </c>
      <c r="B25" s="9" t="inlineStr">
        <is>
          <t>Financing Cash Flow</t>
        </is>
      </c>
    </row>
    <row r="26">
      <c r="A26" s="9" t="inlineStr">
        <is>
          <t>Cash Flow</t>
        </is>
      </c>
      <c r="B26" s="9" t="inlineStr">
        <is>
          <t>Capital Expenditure</t>
        </is>
      </c>
    </row>
    <row r="29">
      <c r="A29" s="5" t="inlineStr">
        <is>
          <t>二、文字量過低的頁面(疑似掃描頁)</t>
        </is>
      </c>
    </row>
    <row r="30">
      <c r="A30" s="2" t="inlineStr">
        <is>
          <t>這些頁面幾乎抓不到文字,通常是掃描件或純圖表,建議人手翻閱或另行 OCR。</t>
        </is>
      </c>
    </row>
    <row r="32">
      <c r="A32" s="8" t="inlineStr">
        <is>
          <t>PDF 頁碼</t>
        </is>
      </c>
      <c r="B32" s="8" t="inlineStr">
        <is>
          <t>狀態</t>
        </is>
      </c>
    </row>
    <row r="33">
      <c r="A33" s="9" t="n">
        <v>1</v>
      </c>
      <c r="B33" s="9" t="inlineStr">
        <is>
          <t>文字量過低 — 可能為掃描頁/圖表頁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2026-08-30T14:15:44Z</dcterms:created>
  <dcterms:modified xsi:type="dcterms:W3CDTF">2026-08-30T14:15:44Z</dcterms:modified>
</cp:coreProperties>
</file>
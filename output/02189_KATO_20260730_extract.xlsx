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02189_KATO_20260730.pdf</t>
        </is>
      </c>
    </row>
    <row r="5">
      <c r="A5" s="3" t="inlineStr">
        <is>
          <t>產生時間 Generated</t>
        </is>
      </c>
      <c r="B5" s="4" t="inlineStr">
        <is>
          <t>2026-08-30 22:16</t>
        </is>
      </c>
    </row>
    <row r="6">
      <c r="A6" s="4" t="inlineStr"/>
      <c r="B6" s="4" t="inlineStr"/>
    </row>
    <row r="7">
      <c r="A7" s="3" t="inlineStr">
        <is>
          <t>總頁數 Total pages</t>
        </is>
      </c>
      <c r="B7" s="4" t="n">
        <v>129</v>
      </c>
    </row>
    <row r="8">
      <c r="A8" s="3" t="inlineStr">
        <is>
          <t>已擷取字元 Characters extracted</t>
        </is>
      </c>
      <c r="B8" s="4" t="n">
        <v>305060</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1</v>
      </c>
    </row>
    <row r="13">
      <c r="A13" s="3" t="inlineStr">
        <is>
          <t>財務科目擷取筆數 Financial line items</t>
        </is>
      </c>
      <c r="B13" s="4" t="n">
        <v>17</v>
      </c>
    </row>
    <row r="14">
      <c r="A14" s="3" t="inlineStr">
        <is>
          <t>主題段落擷取筆數 Topic extracts</t>
        </is>
      </c>
      <c r="B14" s="4" t="n">
        <v>65</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103,201 − 89,290 = 13,911</t>
        </is>
      </c>
    </row>
    <row r="20">
      <c r="A20" s="6" t="inlineStr">
        <is>
          <t>✓ 總資產 = 總負債 + 總權益</t>
        </is>
      </c>
      <c r="B20" s="4" t="inlineStr">
        <is>
          <t>772,599 vs 312,203 + 460,396 = 772,599</t>
        </is>
      </c>
    </row>
    <row r="21">
      <c r="A21" s="6" t="inlineStr">
        <is>
          <t>✓ 除稅前溢利 ± 稅項 = 年內溢利</t>
        </is>
      </c>
      <c r="B21" s="4" t="inlineStr">
        <is>
          <t>46,328 + 12,647 = 33,681 vs 33,681</t>
        </is>
      </c>
    </row>
    <row r="22">
      <c r="A22" s="6" t="inlineStr">
        <is>
          <t>✓ 三大報表應相鄰</t>
        </is>
      </c>
      <c r="B22" s="4" t="inlineStr">
        <is>
          <t>Income Statement: p.60、Balance Sheet: p.62、Cash Flow: p.65(相距 5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2.27</v>
      </c>
      <c r="D5" s="10" t="n">
        <v>2.27</v>
      </c>
      <c r="E5" s="11" t="inlineStr">
        <is>
          <t>2.27%</t>
        </is>
      </c>
      <c r="F5" s="11" t="inlineStr">
        <is>
          <t>High</t>
        </is>
      </c>
      <c r="G5" s="11" t="inlineStr">
        <is>
          <t>PDF p.99 (印刷頁 98)</t>
        </is>
      </c>
      <c r="H5" s="11" t="inlineStr">
        <is>
          <t>tuarial assumptions used as at 31 March 2026 and 2025 are as follows: 2026 2025 Discount rate 2.27% 2.93% Salary growth rate 2.00% 3.20% 98 98 Kato (Hong Kong) Holdings Limited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353780</v>
      </c>
      <c r="D5" s="13" t="n">
        <v>317114</v>
      </c>
      <c r="E5" s="14">
        <f>IF(ISERROR((C5-D5)/ABS(D5)),"",(C5-D5)/ABS(D5))</f>
        <v>0.11562403425897311</v>
      </c>
      <c r="F5" s="11" t="inlineStr">
        <is>
          <t>PDF p.60 (印刷頁 59)</t>
        </is>
      </c>
      <c r="G5" s="11" t="inlineStr">
        <is>
          <t>Revenue 5 353,780 317,114</t>
        </is>
      </c>
    </row>
    <row r="6">
      <c r="A6" s="8" t="inlineStr">
        <is>
          <t>Income Statement</t>
        </is>
      </c>
      <c r="B6" s="8" t="inlineStr">
        <is>
          <t>Depreciation</t>
        </is>
      </c>
      <c r="C6" s="12" t="n">
        <v>-13921</v>
      </c>
      <c r="D6" s="13" t="n">
        <v>-13578</v>
      </c>
      <c r="E6" s="14">
        <f>IF(ISERROR((C6-D6)/ABS(D6)),"",(C6-D6)/ABS(D6))</f>
        <v>-0.025261452349388716</v>
      </c>
      <c r="F6" s="11" t="inlineStr">
        <is>
          <t>PDF p.60 (印刷頁 59)</t>
        </is>
      </c>
      <c r="G6" s="11" t="inlineStr">
        <is>
          <t>Depreciation of property and equipment 12 (13,921) (13,578)</t>
        </is>
      </c>
    </row>
    <row r="7">
      <c r="A7" s="8" t="inlineStr">
        <is>
          <t>Income Statement</t>
        </is>
      </c>
      <c r="B7" s="8" t="inlineStr">
        <is>
          <t>Finance Costs</t>
        </is>
      </c>
      <c r="C7" s="12" t="n">
        <v>-9777</v>
      </c>
      <c r="D7" s="13" t="n">
        <v>-14681</v>
      </c>
      <c r="E7" s="14">
        <f>IF(ISERROR((C7-D7)/ABS(D7)),"",(C7-D7)/ABS(D7))</f>
        <v>0.3340371909270486</v>
      </c>
      <c r="F7" s="11" t="inlineStr">
        <is>
          <t>PDF p.60 (印刷頁 59)</t>
        </is>
      </c>
      <c r="G7" s="11" t="inlineStr">
        <is>
          <t>Finance costs, net 6 (9,777) (14,681)</t>
        </is>
      </c>
    </row>
    <row r="8">
      <c r="A8" s="8" t="inlineStr">
        <is>
          <t>Income Statement</t>
        </is>
      </c>
      <c r="B8" s="8" t="inlineStr">
        <is>
          <t>Profit Before Tax</t>
        </is>
      </c>
      <c r="C8" s="12" t="n">
        <v>46328</v>
      </c>
      <c r="D8" s="13" t="n">
        <v>31980</v>
      </c>
      <c r="E8" s="14">
        <f>IF(ISERROR((C8-D8)/ABS(D8)),"",(C8-D8)/ABS(D8))</f>
        <v>0.4486554096310194</v>
      </c>
      <c r="F8" s="11" t="inlineStr">
        <is>
          <t>PDF p.60 (印刷頁 59)</t>
        </is>
      </c>
      <c r="G8" s="11" t="inlineStr">
        <is>
          <t>Profit before taxation 7 46,328 31,980</t>
        </is>
      </c>
    </row>
    <row r="9">
      <c r="A9" s="8" t="inlineStr">
        <is>
          <t>Income Statement</t>
        </is>
      </c>
      <c r="B9" s="8" t="inlineStr">
        <is>
          <t>Income Tax</t>
        </is>
      </c>
      <c r="C9" s="12" t="n">
        <v>-12647</v>
      </c>
      <c r="D9" s="13" t="n">
        <v>-10853</v>
      </c>
      <c r="E9" s="14">
        <f>IF(ISERROR((C9-D9)/ABS(D9)),"",(C9-D9)/ABS(D9))</f>
        <v>-0.16529991707362018</v>
      </c>
      <c r="F9" s="11" t="inlineStr">
        <is>
          <t>PDF p.60 (印刷頁 59)</t>
        </is>
      </c>
      <c r="G9" s="11" t="inlineStr">
        <is>
          <t>Income tax expense 9 (12,647) (10,853)</t>
        </is>
      </c>
    </row>
    <row r="10">
      <c r="A10" s="8" t="inlineStr">
        <is>
          <t>Income Statement</t>
        </is>
      </c>
      <c r="B10" s="8" t="inlineStr">
        <is>
          <t>Profit for the Year</t>
        </is>
      </c>
      <c r="C10" s="12" t="n">
        <v>33681</v>
      </c>
      <c r="D10" s="13" t="n">
        <v>21127</v>
      </c>
      <c r="E10" s="14">
        <f>IF(ISERROR((C10-D10)/ABS(D10)),"",(C10-D10)/ABS(D10))</f>
        <v>0.5942159322194348</v>
      </c>
      <c r="F10" s="11" t="inlineStr">
        <is>
          <t>PDF p.60 (印刷頁 59)</t>
        </is>
      </c>
      <c r="G10" s="11" t="inlineStr">
        <is>
          <t>Profit for the year 33,681 21,127</t>
        </is>
      </c>
    </row>
    <row r="11">
      <c r="A11" s="8" t="inlineStr">
        <is>
          <t>Balance Sheet</t>
        </is>
      </c>
      <c r="B11" s="8" t="inlineStr">
        <is>
          <t>Investment Properties</t>
        </is>
      </c>
      <c r="C11" s="12" t="n">
        <v>152300</v>
      </c>
      <c r="D11" s="13" t="n">
        <v>344800</v>
      </c>
      <c r="E11" s="14">
        <f>IF(ISERROR((C11-D11)/ABS(D11)),"",(C11-D11)/ABS(D11))</f>
        <v>-0.5582946635730859</v>
      </c>
      <c r="F11" s="11" t="inlineStr">
        <is>
          <t>PDF p.62 (印刷頁 61)</t>
        </is>
      </c>
      <c r="G11" s="11" t="inlineStr">
        <is>
          <t>Investment properties 13 152,300 344,800</t>
        </is>
      </c>
    </row>
    <row r="12">
      <c r="A12" s="8" t="inlineStr">
        <is>
          <t>Balance Sheet</t>
        </is>
      </c>
      <c r="B12" s="8" t="inlineStr">
        <is>
          <t>Trade Receivables</t>
        </is>
      </c>
      <c r="C12" s="12" t="n">
        <v>19621</v>
      </c>
      <c r="D12" s="13" t="n">
        <v>15983</v>
      </c>
      <c r="E12" s="14">
        <f>IF(ISERROR((C12-D12)/ABS(D12)),"",(C12-D12)/ABS(D12))</f>
        <v>0.22761684289557654</v>
      </c>
      <c r="F12" s="11" t="inlineStr">
        <is>
          <t>PDF p.62 (印刷頁 61)</t>
        </is>
      </c>
      <c r="G12" s="11" t="inlineStr">
        <is>
          <t>Trade receivables 15 19,621 15,983</t>
        </is>
      </c>
    </row>
    <row r="13">
      <c r="A13" s="8" t="inlineStr">
        <is>
          <t>Balance Sheet</t>
        </is>
      </c>
      <c r="B13" s="8" t="inlineStr">
        <is>
          <t>Cash and Equivalents</t>
        </is>
      </c>
      <c r="C13" s="12" t="n">
        <v>60103</v>
      </c>
      <c r="D13" s="13" t="n">
        <v>51057</v>
      </c>
      <c r="E13" s="14">
        <f>IF(ISERROR((C13-D13)/ABS(D13)),"",(C13-D13)/ABS(D13))</f>
        <v>0.17717453042677792</v>
      </c>
      <c r="F13" s="11" t="inlineStr">
        <is>
          <t>PDF p.62 (印刷頁 61)</t>
        </is>
      </c>
      <c r="G13" s="11" t="inlineStr">
        <is>
          <t>Cash and cash equivalents 18 60,103 51,057</t>
        </is>
      </c>
    </row>
    <row r="14">
      <c r="A14" s="8" t="inlineStr">
        <is>
          <t>Balance Sheet</t>
        </is>
      </c>
      <c r="B14" s="8" t="inlineStr">
        <is>
          <t>Total Current Assets</t>
        </is>
      </c>
      <c r="C14" s="12" t="n">
        <v>103201</v>
      </c>
      <c r="D14" s="13" t="n">
        <v>92766</v>
      </c>
      <c r="E14" s="14">
        <f>IF(ISERROR((C14-D14)/ABS(D14)),"",(C14-D14)/ABS(D14))</f>
        <v>0.11248733372140655</v>
      </c>
      <c r="F14" s="11" t="inlineStr">
        <is>
          <t>PDF p.62 (印刷頁 61)</t>
        </is>
      </c>
      <c r="G14" s="11" t="inlineStr">
        <is>
          <t>Total current assets 103,201 92,766</t>
        </is>
      </c>
    </row>
    <row r="15">
      <c r="A15" s="8" t="inlineStr">
        <is>
          <t>Balance Sheet</t>
        </is>
      </c>
      <c r="B15" s="8" t="inlineStr">
        <is>
          <t>Total Assets</t>
        </is>
      </c>
      <c r="C15" s="12" t="n">
        <v>772599</v>
      </c>
      <c r="D15" s="13" t="n">
        <v>809566</v>
      </c>
      <c r="E15" s="14">
        <f>IF(ISERROR((C15-D15)/ABS(D15)),"",(C15-D15)/ABS(D15))</f>
        <v>-0.04566273781260577</v>
      </c>
      <c r="F15" s="11" t="inlineStr">
        <is>
          <t>PDF p.62 (印刷頁 61)</t>
        </is>
      </c>
      <c r="G15" s="11" t="inlineStr">
        <is>
          <t>Total assets 772,599 809,566</t>
        </is>
      </c>
    </row>
    <row r="16">
      <c r="A16" s="8" t="inlineStr">
        <is>
          <t>Balance Sheet</t>
        </is>
      </c>
      <c r="B16" s="8" t="inlineStr">
        <is>
          <t>Total Equity</t>
        </is>
      </c>
      <c r="C16" s="12" t="n">
        <v>460396</v>
      </c>
      <c r="D16" s="13" t="n">
        <v>442228</v>
      </c>
      <c r="E16" s="14">
        <f>IF(ISERROR((C16-D16)/ABS(D16)),"",(C16-D16)/ABS(D16))</f>
        <v>0.04108288032417667</v>
      </c>
      <c r="F16" s="11" t="inlineStr">
        <is>
          <t>PDF p.62 (印刷頁 61)</t>
        </is>
      </c>
      <c r="G16" s="11" t="inlineStr">
        <is>
          <t>Total equity 460,396 442,228</t>
        </is>
      </c>
    </row>
    <row r="17">
      <c r="A17" s="8" t="inlineStr">
        <is>
          <t>Balance Sheet</t>
        </is>
      </c>
      <c r="B17" s="8" t="inlineStr">
        <is>
          <t>Borrowings</t>
        </is>
      </c>
      <c r="C17" s="12" t="n">
        <v>156192</v>
      </c>
      <c r="D17" s="13" t="n">
        <v>179671</v>
      </c>
      <c r="E17" s="14">
        <f>IF(ISERROR((C17-D17)/ABS(D17)),"",(C17-D17)/ABS(D17))</f>
        <v>-0.13067773875583705</v>
      </c>
      <c r="F17" s="11" t="inlineStr">
        <is>
          <t>PDF p.63 (印刷頁 62)</t>
        </is>
      </c>
      <c r="G17" s="11" t="inlineStr">
        <is>
          <t>Bank borrowings 23 156,192 179,671</t>
        </is>
      </c>
    </row>
    <row r="18">
      <c r="A18" s="8" t="inlineStr">
        <is>
          <t>Balance Sheet</t>
        </is>
      </c>
      <c r="B18" s="8" t="inlineStr">
        <is>
          <t>Total Current Liabilities</t>
        </is>
      </c>
      <c r="C18" s="12" t="n">
        <v>89290</v>
      </c>
      <c r="D18" s="13" t="n">
        <v>90137</v>
      </c>
      <c r="E18" s="14">
        <f>IF(ISERROR((C18-D18)/ABS(D18)),"",(C18-D18)/ABS(D18))</f>
        <v>-0.009396807082552115</v>
      </c>
      <c r="F18" s="11" t="inlineStr">
        <is>
          <t>PDF p.63 (印刷頁 62)</t>
        </is>
      </c>
      <c r="G18" s="11" t="inlineStr">
        <is>
          <t>Total current liabilities 89,290 90,137</t>
        </is>
      </c>
    </row>
    <row r="19">
      <c r="A19" s="8" t="inlineStr">
        <is>
          <t>Balance Sheet</t>
        </is>
      </c>
      <c r="B19" s="8" t="inlineStr">
        <is>
          <t>Total Liabilities</t>
        </is>
      </c>
      <c r="C19" s="12" t="n">
        <v>312203</v>
      </c>
      <c r="D19" s="13" t="n">
        <v>367338</v>
      </c>
      <c r="E19" s="14">
        <f>IF(ISERROR((C19-D19)/ABS(D19)),"",(C19-D19)/ABS(D19))</f>
        <v>-0.1500933744943349</v>
      </c>
      <c r="F19" s="11" t="inlineStr">
        <is>
          <t>PDF p.63 (印刷頁 62)</t>
        </is>
      </c>
      <c r="G19" s="11" t="inlineStr">
        <is>
          <t>Total liabilities 312,203 367,338</t>
        </is>
      </c>
    </row>
    <row r="20">
      <c r="A20" s="8" t="inlineStr">
        <is>
          <t>Cash Flow</t>
        </is>
      </c>
      <c r="B20" s="8" t="inlineStr">
        <is>
          <t>Operating Cash Flow</t>
        </is>
      </c>
      <c r="C20" s="12" t="n">
        <v>118722</v>
      </c>
      <c r="D20" s="13" t="n">
        <v>90893</v>
      </c>
      <c r="E20" s="14">
        <f>IF(ISERROR((C20-D20)/ABS(D20)),"",(C20-D20)/ABS(D20))</f>
        <v>0.30617319265509996</v>
      </c>
      <c r="F20" s="11" t="inlineStr">
        <is>
          <t>PDF p.65 (印刷頁 64)</t>
        </is>
      </c>
      <c r="G20" s="11" t="inlineStr">
        <is>
          <t>Net cash generated from operating activities 118,722 90,893</t>
        </is>
      </c>
    </row>
    <row r="21">
      <c r="A21" s="8" t="inlineStr">
        <is>
          <t>Cash Flow</t>
        </is>
      </c>
      <c r="B21" s="8" t="inlineStr">
        <is>
          <t>Financing Cash Flow</t>
        </is>
      </c>
      <c r="C21" s="12" t="n">
        <v>-87886</v>
      </c>
      <c r="D21" s="13" t="n">
        <v>-86549</v>
      </c>
      <c r="E21" s="14">
        <f>IF(ISERROR((C21-D21)/ABS(D21)),"",(C21-D21)/ABS(D21))</f>
        <v>-0.015447896567262476</v>
      </c>
      <c r="F21" s="11" t="inlineStr">
        <is>
          <t>PDF p.65 (印刷頁 64)</t>
        </is>
      </c>
      <c r="G21" s="11" t="inlineStr">
        <is>
          <t>Net cash used in financing activities (87,886) (86,549)</t>
        </is>
      </c>
    </row>
    <row r="23">
      <c r="A23"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t="str">
        <f>IF(ISERROR(INDEX('Financials 財務數據'!$C$5:$C$21,MATCH("Gross Profit",'Financials 財務數據'!$B$5:$B$21,0))/INDEX('Financials 財務數據'!$C$5:$C$21,MATCH("Revenue",'Financials 財務數據'!$B$5:$B$21,0))),"n/a",INDEX('Financials 財務數據'!$C$5:$C$21,MATCH("Gross Profit",'Financials 財務數據'!$B$5:$B$21,0))/INDEX('Financials 財務數據'!$C$5:$C$21,MATCH("Revenue",'Financials 財務數據'!$B$5:$B$21,0)))</f>
        <v>n/a</v>
      </c>
      <c r="C5" s="15" t="str">
        <f>IF(ISERROR(INDEX('Financials 財務數據'!$D$5:$D$21,MATCH("Gross Profit",'Financials 財務數據'!$B$5:$B$21,0))/INDEX('Financials 財務數據'!$D$5:$D$21,MATCH("Revenue",'Financials 財務數據'!$B$5:$B$21,0))),"n/a",INDEX('Financials 財務數據'!$D$5:$D$21,MATCH("Gross Profit",'Financials 財務數據'!$B$5:$B$21,0))/INDEX('Financials 財務數據'!$D$5:$D$21,MATCH("Revenue",'Financials 財務數據'!$B$5:$B$21,0)))</f>
        <v>n/a</v>
      </c>
      <c r="D5" s="2" t="inlineStr">
        <is>
          <t>毛利 ÷ 收入</t>
        </is>
      </c>
    </row>
    <row r="6">
      <c r="A6" s="4" t="inlineStr">
        <is>
          <t>Net Margin 淨利率</t>
        </is>
      </c>
      <c r="B6" s="15">
        <f>IF(ISERROR(INDEX('Financials 財務數據'!$C$5:$C$21,MATCH("Profit for the Year",'Financials 財務數據'!$B$5:$B$21,0))/INDEX('Financials 財務數據'!$C$5:$C$21,MATCH("Revenue",'Financials 財務數據'!$B$5:$B$21,0))),"n/a",INDEX('Financials 財務數據'!$C$5:$C$21,MATCH("Profit for the Year",'Financials 財務數據'!$B$5:$B$21,0))/INDEX('Financials 財務數據'!$C$5:$C$21,MATCH("Revenue",'Financials 財務數據'!$B$5:$B$21,0)))</f>
        <v>0.09520323364802985</v>
      </c>
      <c r="C6" s="15">
        <f>IF(ISERROR(INDEX('Financials 財務數據'!$D$5:$D$21,MATCH("Profit for the Year",'Financials 財務數據'!$B$5:$B$21,0))/INDEX('Financials 財務數據'!$D$5:$D$21,MATCH("Revenue",'Financials 財務數據'!$B$5:$B$21,0))),"n/a",INDEX('Financials 財務數據'!$D$5:$D$21,MATCH("Profit for the Year",'Financials 財務數據'!$B$5:$B$21,0))/INDEX('Financials 財務數據'!$D$5:$D$21,MATCH("Revenue",'Financials 財務數據'!$B$5:$B$21,0)))</f>
        <v>0.06662272873477677</v>
      </c>
      <c r="D6" s="2" t="inlineStr">
        <is>
          <t>年內溢利 ÷ 收入</t>
        </is>
      </c>
    </row>
    <row r="7">
      <c r="A7" s="4" t="inlineStr">
        <is>
          <t>Current Ratio 流動比率</t>
        </is>
      </c>
      <c r="B7" s="16">
        <f>IF(ISERROR(INDEX('Financials 財務數據'!$C$5:$C$21,MATCH("Total Current Assets",'Financials 財務數據'!$B$5:$B$21,0))/INDEX('Financials 財務數據'!$C$5:$C$21,MATCH("Total Current Liabilities",'Financials 財務數據'!$B$5:$B$21,0))),"n/a",INDEX('Financials 財務數據'!$C$5:$C$21,MATCH("Total Current Assets",'Financials 財務數據'!$B$5:$B$21,0))/INDEX('Financials 財務數據'!$C$5:$C$21,MATCH("Total Current Liabilities",'Financials 財務數據'!$B$5:$B$21,0)))</f>
        <v>1.1557957218053534</v>
      </c>
      <c r="C7" s="16">
        <f>IF(ISERROR(INDEX('Financials 財務數據'!$D$5:$D$21,MATCH("Total Current Assets",'Financials 財務數據'!$B$5:$B$21,0))/INDEX('Financials 財務數據'!$D$5:$D$21,MATCH("Total Current Liabilities",'Financials 財務數據'!$B$5:$B$21,0))),"n/a",INDEX('Financials 財務數據'!$D$5:$D$21,MATCH("Total Current Assets",'Financials 財務數據'!$B$5:$B$21,0))/INDEX('Financials 財務數據'!$D$5:$D$21,MATCH("Total Current Liabilities",'Financials 財務數據'!$B$5:$B$21,0)))</f>
        <v>1.0291667128925968</v>
      </c>
      <c r="D7" s="2" t="inlineStr">
        <is>
          <t>流動資產 ÷ 流動負債</t>
        </is>
      </c>
    </row>
    <row r="8">
      <c r="A8" s="4" t="inlineStr">
        <is>
          <t>Debt / Equity 負債權益比</t>
        </is>
      </c>
      <c r="B8" s="16">
        <f>IF(ISERROR(INDEX('Financials 財務數據'!$C$5:$C$21,MATCH("Total Liabilities",'Financials 財務數據'!$B$5:$B$21,0))/INDEX('Financials 財務數據'!$C$5:$C$21,MATCH("Total Equity",'Financials 財務數據'!$B$5:$B$21,0))),"n/a",INDEX('Financials 財務數據'!$C$5:$C$21,MATCH("Total Liabilities",'Financials 財務數據'!$B$5:$B$21,0))/INDEX('Financials 財務數據'!$C$5:$C$21,MATCH("Total Equity",'Financials 財務數據'!$B$5:$B$21,0)))</f>
        <v>0.6781184024187873</v>
      </c>
      <c r="C8" s="16">
        <f>IF(ISERROR(INDEX('Financials 財務數據'!$D$5:$D$21,MATCH("Total Liabilities",'Financials 財務數據'!$B$5:$B$21,0))/INDEX('Financials 財務數據'!$D$5:$D$21,MATCH("Total Equity",'Financials 財務數據'!$B$5:$B$21,0))),"n/a",INDEX('Financials 財務數據'!$D$5:$D$21,MATCH("Total Liabilities",'Financials 財務數據'!$B$5:$B$21,0))/INDEX('Financials 財務數據'!$D$5:$D$21,MATCH("Total Equity",'Financials 財務數據'!$B$5:$B$21,0)))</f>
        <v>0.8306529663431533</v>
      </c>
      <c r="D8" s="2" t="inlineStr">
        <is>
          <t>總負債 ÷ 總權益</t>
        </is>
      </c>
    </row>
    <row r="9">
      <c r="A9" s="4" t="inlineStr">
        <is>
          <t>Goodwill / Total Assets</t>
        </is>
      </c>
      <c r="B9" s="15" t="str">
        <f>IF(ISERROR(INDEX('Financials 財務數據'!$C$5:$C$21,MATCH("Goodwill",'Financials 財務數據'!$B$5:$B$21,0))/INDEX('Financials 財務數據'!$C$5:$C$21,MATCH("Total Assets",'Financials 財務數據'!$B$5:$B$21,0))),"n/a",INDEX('Financials 財務數據'!$C$5:$C$21,MATCH("Goodwill",'Financials 財務數據'!$B$5:$B$21,0))/INDEX('Financials 財務數據'!$C$5:$C$21,MATCH("Total Assets",'Financials 財務數據'!$B$5:$B$21,0)))</f>
        <v>n/a</v>
      </c>
      <c r="C9" s="15" t="str">
        <f>IF(ISERROR(INDEX('Financials 財務數據'!$D$5:$D$21,MATCH("Goodwill",'Financials 財務數據'!$B$5:$B$21,0))/INDEX('Financials 財務數據'!$D$5:$D$21,MATCH("Total Assets",'Financials 財務數據'!$B$5:$B$21,0))),"n/a",INDEX('Financials 財務數據'!$D$5:$D$21,MATCH("Goodwill",'Financials 財務數據'!$B$5:$B$21,0))/INDEX('Financials 財務數據'!$D$5:$D$21,MATCH("Total Assets",'Financials 財務數據'!$B$5:$B$21,0)))</f>
        <v>n/a</v>
      </c>
      <c r="D9" s="2" t="inlineStr">
        <is>
          <t>商譽佔總資產比重 — 減值風險指標</t>
        </is>
      </c>
    </row>
    <row r="10">
      <c r="A10" s="4" t="inlineStr">
        <is>
          <t>Intangibles / Total Assets</t>
        </is>
      </c>
      <c r="B10" s="15" t="str">
        <f>IF(ISERROR(INDEX('Financials 財務數據'!$C$5:$C$21,MATCH("Intangible Assets",'Financials 財務數據'!$B$5:$B$21,0))/INDEX('Financials 財務數據'!$C$5:$C$21,MATCH("Total Assets",'Financials 財務數據'!$B$5:$B$21,0))),"n/a",INDEX('Financials 財務數據'!$C$5:$C$21,MATCH("Intangible Assets",'Financials 財務數據'!$B$5:$B$21,0))/INDEX('Financials 財務數據'!$C$5:$C$21,MATCH("Total Assets",'Financials 財務數據'!$B$5:$B$21,0)))</f>
        <v>n/a</v>
      </c>
      <c r="C10" s="15" t="str">
        <f>IF(ISERROR(INDEX('Financials 財務數據'!$D$5:$D$21,MATCH("Intangible Assets",'Financials 財務數據'!$B$5:$B$21,0))/INDEX('Financials 財務數據'!$D$5:$D$21,MATCH("Total Assets",'Financials 財務數據'!$B$5:$B$21,0))),"n/a",INDEX('Financials 財務數據'!$D$5:$D$21,MATCH("Intangible Assets",'Financials 財務數據'!$B$5:$B$21,0))/INDEX('Financials 財務數據'!$D$5:$D$21,MATCH("Total Assets",'Financials 財務數據'!$B$5:$B$21,0)))</f>
        <v>n/a</v>
      </c>
      <c r="D10" s="2" t="inlineStr">
        <is>
          <t>無形資產佔比</t>
        </is>
      </c>
    </row>
    <row r="11">
      <c r="A11" s="4" t="inlineStr">
        <is>
          <t>ROE 股本回報率</t>
        </is>
      </c>
      <c r="B11" s="15">
        <f>IF(ISERROR(INDEX('Financials 財務數據'!$C$5:$C$21,MATCH("Profit for the Year",'Financials 財務數據'!$B$5:$B$21,0))/INDEX('Financials 財務數據'!$C$5:$C$21,MATCH("Total Equity",'Financials 財務數據'!$B$5:$B$21,0))),"n/a",INDEX('Financials 財務數據'!$C$5:$C$21,MATCH("Profit for the Year",'Financials 財務數據'!$B$5:$B$21,0))/INDEX('Financials 財務數據'!$C$5:$C$21,MATCH("Total Equity",'Financials 財務數據'!$B$5:$B$21,0)))</f>
        <v>0.07315658693820103</v>
      </c>
      <c r="C11" s="15">
        <f>IF(ISERROR(INDEX('Financials 財務數據'!$D$5:$D$21,MATCH("Profit for the Year",'Financials 財務數據'!$B$5:$B$21,0))/INDEX('Financials 財務數據'!$D$5:$D$21,MATCH("Total Equity",'Financials 財務數據'!$B$5:$B$21,0))),"n/a",INDEX('Financials 財務數據'!$D$5:$D$21,MATCH("Profit for the Year",'Financials 財務數據'!$B$5:$B$21,0))/INDEX('Financials 財務數據'!$D$5:$D$21,MATCH("Total Equity",'Financials 財務數據'!$B$5:$B$21,0)))</f>
        <v>0.04777399893267726</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317114</v>
      </c>
      <c r="C5" s="18" t="n">
        <v>353780</v>
      </c>
    </row>
    <row r="6">
      <c r="A6" s="4" t="inlineStr">
        <is>
          <t>Profit Before Tax</t>
        </is>
      </c>
      <c r="B6" s="18" t="n">
        <v>31980</v>
      </c>
      <c r="C6" s="18" t="n">
        <v>46328</v>
      </c>
    </row>
    <row r="7">
      <c r="A7" s="4" t="inlineStr">
        <is>
          <t>Profit for the Year</t>
        </is>
      </c>
      <c r="B7" s="18" t="n">
        <v>21127</v>
      </c>
      <c r="C7" s="18" t="n">
        <v>33681</v>
      </c>
    </row>
    <row r="8">
      <c r="A8" s="4" t="inlineStr">
        <is>
          <t>Total Assets</t>
        </is>
      </c>
      <c r="B8" s="18" t="n">
        <v>809566</v>
      </c>
      <c r="C8" s="18" t="n">
        <v>772599</v>
      </c>
    </row>
    <row r="9">
      <c r="A9" s="4" t="inlineStr">
        <is>
          <t>Total Equity</t>
        </is>
      </c>
      <c r="B9" s="18" t="n">
        <v>442228</v>
      </c>
      <c r="C9" s="18" t="n">
        <v>460396</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68"/>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level 1</t>
        </is>
      </c>
      <c r="E4" s="11" t="inlineStr">
        <is>
          <t>PDF p.73 (印刷頁 72)</t>
        </is>
      </c>
      <c r="F4" s="11" t="inlineStr">
        <is>
          <t>air value estimation Financial instruments measured at fair values are analysed into the following fair value measurement hierarchy: Level 1: Quoted prices (unadjusted) in active markets for identical assets or liabilities. Level 2: Inputs other than quoted prices included within level 1 that are observable for the asset or liability, either directly (that is, as prices) or indirectly (that is, derived from prices). Level 3: Inputs for the asset or liability that are not based on observable market data (that is unobservable inp</t>
        </is>
      </c>
    </row>
    <row r="5">
      <c r="A5" s="8" t="inlineStr">
        <is>
          <t>Fair Value Measurement</t>
        </is>
      </c>
      <c r="B5" s="8" t="inlineStr">
        <is>
          <t>公允價值計量</t>
        </is>
      </c>
      <c r="C5" s="19" t="inlineStr">
        <is>
          <t>high</t>
        </is>
      </c>
      <c r="D5" s="11" t="inlineStr">
        <is>
          <t>fair value hierarchy</t>
        </is>
      </c>
      <c r="E5" s="11" t="inlineStr">
        <is>
          <t>PDF p.74 (印刷頁 73)</t>
        </is>
      </c>
      <c r="F5" s="11" t="inlineStr">
        <is>
          <t>arch 2025 Investment properties (Note 13) — — 344,800 344,800 There were no transfer of financial assets and liabilities between the fair value hierarchy classifications during the year ended 31 March 2026 (2025: same). The carrying values of the Group’s financial assets, including trade receivables, deposits and other receivables, short-term bank deposits, restricted bank deposits and cash and cash equivalents, and financial liabilities, including trade and other payables, lease liabilities and bank borrowings approximate to t</t>
        </is>
      </c>
    </row>
    <row r="6">
      <c r="A6" s="8" t="inlineStr">
        <is>
          <t>Fair Value Measurement</t>
        </is>
      </c>
      <c r="B6" s="8" t="inlineStr">
        <is>
          <t>公允價值計量</t>
        </is>
      </c>
      <c r="C6" s="19" t="inlineStr">
        <is>
          <t>high</t>
        </is>
      </c>
      <c r="D6" s="11" t="inlineStr">
        <is>
          <t>fair value hierarchy</t>
        </is>
      </c>
      <c r="E6" s="11" t="inlineStr">
        <is>
          <t>PDF p.88 (印刷頁 87)</t>
        </is>
      </c>
      <c r="F6" s="11" t="inlineStr">
        <is>
          <t>n process The investment properties of the Group are carried at fair value, by valuation method, which is categorised into different fair value hierarchy levels, refer to Note 3.3. As one or more of the significant inputs is not based on observable market data, the investment properties of the Group are categorised as level 3. The Group’s policy is to recognise transfers between fair value hierarchy levels as of the date of the event or change in circumstances that caused the transfer. As at 31 March 2026, the Group did not hav</t>
        </is>
      </c>
    </row>
    <row r="7">
      <c r="A7" s="8" t="inlineStr">
        <is>
          <t>Fair Value Measurement</t>
        </is>
      </c>
      <c r="B7" s="8" t="inlineStr">
        <is>
          <t>公允價值計量</t>
        </is>
      </c>
      <c r="C7" s="19" t="inlineStr">
        <is>
          <t>high</t>
        </is>
      </c>
      <c r="D7" s="11" t="inlineStr">
        <is>
          <t>level 3</t>
        </is>
      </c>
      <c r="E7" s="11" t="inlineStr">
        <is>
          <t>PDF p.89 (印刷頁 88)</t>
        </is>
      </c>
      <c r="F7" s="11" t="inlineStr">
        <is>
          <t>ES (CONTINUED) (d) Valuation techniques (Continued) Information about fair value measurements using significant unobservable inputs (level 3) Significant Relationship of unobservable Properties Fair value at 31 March Valuation methods unobservable inputs Range of unobservable inputs inputs to fair value 2026 2025 2026 2025 HK$’000 HK$’000 Retail shops 130,400 137,100 Income 1) Reversionary yield 6.3%–9.3% 6.3%–9.3% The higher the reversionary yield, capitalisation the lower the fair value. approach 2) Term yield 5.8%–8.8% 5.8%–</t>
        </is>
      </c>
    </row>
    <row r="8">
      <c r="A8" s="8" t="inlineStr">
        <is>
          <t>Impairment Testing</t>
        </is>
      </c>
      <c r="B8" s="8" t="inlineStr">
        <is>
          <t>減值測試</t>
        </is>
      </c>
      <c r="C8" s="19" t="inlineStr">
        <is>
          <t>high</t>
        </is>
      </c>
      <c r="D8" s="11" t="inlineStr">
        <is>
          <t>impairment loss</t>
        </is>
      </c>
      <c r="E8" s="11" t="inlineStr">
        <is>
          <t>PDF p.70 (印刷頁 69)</t>
        </is>
      </c>
      <c r="F8" s="11" t="inlineStr">
        <is>
          <t>hermore, the Group conduct regular assessments of the recoverable amount of each individual trade receivable to ensure that adequate impairment losses are recognised for irrecoverable amounts. As at 31 March 2026, the Group had concentration of credit risk as 80% (2025: 82%) of its total trade receivables was due from its largest trade debtor, the Government of the Hong Kong Special Administrative Region (the “Government of HKSAR”). The directors consider the credit risk associated with the Government of HKSAR is low in view of</t>
        </is>
      </c>
    </row>
    <row r="9">
      <c r="A9" s="8" t="inlineStr">
        <is>
          <t>Impairment Testing</t>
        </is>
      </c>
      <c r="B9" s="8" t="inlineStr">
        <is>
          <t>減值測試</t>
        </is>
      </c>
      <c r="C9" s="19" t="inlineStr">
        <is>
          <t>high</t>
        </is>
      </c>
      <c r="D9" s="11" t="inlineStr">
        <is>
          <t>impairment loss</t>
        </is>
      </c>
      <c r="E9" s="11" t="inlineStr">
        <is>
          <t>PDF p.75 (印刷頁 74)</t>
        </is>
      </c>
      <c r="F9" s="11" t="inlineStr">
        <is>
          <t>tances occurs which affects this assessment and that is within the control of the lessee. (c) Impairment of non-financial assets The impairment loss for non-financial assets, comprising property and equipment and right-of-use assets is recognised as the amount by which the carrying amount exceeds its recoverable amount in accordance with the accounting policy stated in Note 30.7. The recoverable amount is the higher of an asset’s fair value less costs to sell and value in use, which are based on the best information available t</t>
        </is>
      </c>
    </row>
    <row r="10">
      <c r="A10" s="8" t="inlineStr">
        <is>
          <t>Impairment Testing</t>
        </is>
      </c>
      <c r="B10" s="8" t="inlineStr">
        <is>
          <t>減值測試</t>
        </is>
      </c>
      <c r="C10" s="19" t="inlineStr">
        <is>
          <t>high</t>
        </is>
      </c>
      <c r="D10" s="11" t="inlineStr">
        <is>
          <t>impairment loss</t>
        </is>
      </c>
      <c r="E10" s="11" t="inlineStr">
        <is>
          <t>PDF p.76 (印刷頁 75)</t>
        </is>
      </c>
      <c r="F10" s="11" t="inlineStr">
        <is>
          <t>) Depreciation of right-of-use assets (36,527) (5,749) (614) (42,890) Fair value loss on investment properties — (10,722) — (10,722) Impairment loss on property and equipment (4,861) — — (4,861) Impairment loss on right-of-use assets (1,406) — — (1,406) Capital expenditures (16,367) (622) (4,360) (21,349) 2026 Annual Report 75 75</t>
        </is>
      </c>
    </row>
    <row r="11">
      <c r="A11" s="8" t="inlineStr">
        <is>
          <t>Impairment Testing</t>
        </is>
      </c>
      <c r="B11" s="8" t="inlineStr">
        <is>
          <t>減值測試</t>
        </is>
      </c>
      <c r="C11" s="19" t="inlineStr">
        <is>
          <t>high</t>
        </is>
      </c>
      <c r="D11" s="11" t="inlineStr">
        <is>
          <t>impairment loss</t>
        </is>
      </c>
      <c r="E11" s="11" t="inlineStr">
        <is>
          <t>PDF p.77 (印刷頁 76)</t>
        </is>
      </c>
      <c r="F11" s="11" t="inlineStr">
        <is>
          <t>(13,578) Depreciation of right-of-use assets (29,954) (5,749) (35,703) Fair value loss on investment properties — (23,300) (23,300) Impairment loss on property and equipment (1,700) — (1,700) Capital expenditures (13,451) (13,434) (26,885) 76 76 Kato (Hong Kong) Holdings Limited</t>
        </is>
      </c>
    </row>
    <row r="12">
      <c r="A12" s="8" t="inlineStr">
        <is>
          <t>Impairment Testing</t>
        </is>
      </c>
      <c r="B12" s="8" t="inlineStr">
        <is>
          <t>減值測試</t>
        </is>
      </c>
      <c r="C12" s="19" t="inlineStr">
        <is>
          <t>high</t>
        </is>
      </c>
      <c r="D12" s="11" t="inlineStr">
        <is>
          <t>impairment loss</t>
        </is>
      </c>
      <c r="E12" s="11" t="inlineStr">
        <is>
          <t>PDF p.80 (印刷頁 79)</t>
        </is>
      </c>
      <c r="F12" s="11" t="inlineStr">
        <is>
          <t>) Auditor’s remuneration Audit services 2,100 2,000 Non-audit services 261 300 Provision for loss allowance on trade receivables 5 — Impairment loss on property and equipment (Note 12) 4,861 1,700 Gain on disposal of property and equipment — (34) Impairment loss on right-of-use assets (Note 14(b)) 1,406 — Insurance expenses 1,363 1,268 Donation 671 875 Government subsidies (1,465) (4,838) As at 31 March 2026, the Group had no forfeited contributions available to reduce its contributions to the pension schemes in future years (2</t>
        </is>
      </c>
    </row>
    <row r="13">
      <c r="A13" s="8" t="inlineStr">
        <is>
          <t>Impairment Testing</t>
        </is>
      </c>
      <c r="B13" s="8" t="inlineStr">
        <is>
          <t>減值測試</t>
        </is>
      </c>
      <c r="C13" s="19" t="inlineStr">
        <is>
          <t>high</t>
        </is>
      </c>
      <c r="D13" s="11" t="inlineStr">
        <is>
          <t>impairment loss</t>
        </is>
      </c>
      <c r="E13" s="11" t="inlineStr">
        <is>
          <t>PDF p.86 (印刷頁 85)</t>
        </is>
      </c>
      <c r="F13" s="11" t="inlineStr">
        <is>
          <t>f 5.22%. (ii) During the year ended 31 March 2026, based on the impairment assessment performed by management, the Group provided an impairment loss on property and equipment of HK$4,861,000 (2025: HK$1,700,000) related to medical and check-up centres. 2026 Annual Report 85 85</t>
        </is>
      </c>
    </row>
    <row r="14">
      <c r="A14" s="8" t="inlineStr">
        <is>
          <t>Impairment Testing</t>
        </is>
      </c>
      <c r="B14" s="8" t="inlineStr">
        <is>
          <t>減值測試</t>
        </is>
      </c>
      <c r="C14" s="19" t="inlineStr">
        <is>
          <t>high</t>
        </is>
      </c>
      <c r="D14" s="11" t="inlineStr">
        <is>
          <t>impairment loss</t>
        </is>
      </c>
      <c r="E14" s="11" t="inlineStr">
        <is>
          <t>PDF p.91 (印刷頁 90)</t>
        </is>
      </c>
      <c r="F14" s="11" t="inlineStr">
        <is>
          <t>lities (Note 6) 3,332 4,202 Lease payments for short-term leases (included in property rent and related expenses) (Note 7) 246 1,503 Impairment loss on right-of-use assets 1,406 — Gain on lease modification — (8) Total cash outflows for leases for the year ended 31 March 2026 was HK$34,932,000 (2025: HK$35,692,000). (c) The Group’s leasing activities and how these are accounted for The Group leases various elderly residential care homes, day care centres, laboratory centres, staff quarters, motor vehicles, office and warehouse.</t>
        </is>
      </c>
    </row>
    <row r="15">
      <c r="A15" s="8" t="inlineStr">
        <is>
          <t>Impairment Testing</t>
        </is>
      </c>
      <c r="B15" s="8" t="inlineStr">
        <is>
          <t>減值測試</t>
        </is>
      </c>
      <c r="C15" s="19" t="inlineStr">
        <is>
          <t>high</t>
        </is>
      </c>
      <c r="D15" s="11" t="inlineStr">
        <is>
          <t>impairment loss</t>
        </is>
      </c>
      <c r="E15" s="11" t="inlineStr">
        <is>
          <t>PDF p.104 (印刷頁 103)</t>
        </is>
      </c>
      <c r="F15" s="11" t="inlineStr">
        <is>
          <t>change of investment properties 13 10,722 23,300 Provision for long service payment 780 614 Share-based payment expenses 27 — 1,906 Impairment loss on property and equipment 12 4,861 1,700 Impairment loss on right-of-use assets 14(b) 1,406 — Gain on lease modification 14(b) — (8) Gain on disposal of property and equipment — (34) Loss on disposal of subsidiaries 1,640 41 132,330 123,461 Changes in working capital: Trade receivables (4,046) (7,894) Prepayments, deposits and other receivables (1,179) (4,017) Trade and other payab</t>
        </is>
      </c>
    </row>
    <row r="16">
      <c r="A16" s="8" t="inlineStr">
        <is>
          <t>Impairment Testing</t>
        </is>
      </c>
      <c r="B16" s="8" t="inlineStr">
        <is>
          <t>減值測試</t>
        </is>
      </c>
      <c r="C16" s="19" t="inlineStr">
        <is>
          <t>high</t>
        </is>
      </c>
      <c r="D16" s="11" t="inlineStr">
        <is>
          <t>impairment test</t>
        </is>
      </c>
      <c r="E16" s="11" t="inlineStr">
        <is>
          <t>PDF p.113 (印刷頁 112)</t>
        </is>
      </c>
      <c r="F16" s="11" t="inlineStr">
        <is>
          <t>osts of investment. The results of the subsidiary are accounted for by the Company on the basis of dividend received and receivable. Impairment testing of the investments in subsidiaries is required upon receiving a dividend from these investments if the dividend exceeds the total comprehensive income of the subsidiary in the period the dividend is declared or if the carrying amount of the investment in the separate financial statements exceeds the carrying amount in the consolidated financial statements of the investee’s net a</t>
        </is>
      </c>
    </row>
    <row r="17">
      <c r="A17" s="8" t="inlineStr">
        <is>
          <t>Impairment Testing</t>
        </is>
      </c>
      <c r="B17" s="8" t="inlineStr">
        <is>
          <t>減值測試</t>
        </is>
      </c>
      <c r="C17" s="19" t="inlineStr">
        <is>
          <t>high</t>
        </is>
      </c>
      <c r="D17" s="11" t="inlineStr">
        <is>
          <t>impairment loss</t>
        </is>
      </c>
      <c r="E17" s="11" t="inlineStr">
        <is>
          <t>PDF p.117 (印刷頁 116)</t>
        </is>
      </c>
      <c r="F17" s="11" t="inlineStr">
        <is>
          <t>CIES (CONTINUED) 30.5 Property and equipment Property and equipment are stated at cost less accumulated depreciation and accumulated impairment losses. Cost includes expenditure that is directly attributable to the acquisition of the items. Cost may also include transfers from equity of any gains or losses on qualifying cash flow hedges of foreign currency purchases of property and equipment. Subsequent costs are included in the asset’s carrying amount or recognised as a separate asset, as appropriate, only when it is probable</t>
        </is>
      </c>
    </row>
    <row r="18">
      <c r="A18" s="8" t="inlineStr">
        <is>
          <t>Impairment Testing</t>
        </is>
      </c>
      <c r="B18" s="8" t="inlineStr">
        <is>
          <t>減值測試</t>
        </is>
      </c>
      <c r="C18" s="19" t="inlineStr">
        <is>
          <t>high</t>
        </is>
      </c>
      <c r="D18" s="11" t="inlineStr">
        <is>
          <t>impairment loss</t>
        </is>
      </c>
      <c r="E18" s="11" t="inlineStr">
        <is>
          <t>PDF p.118 (印刷頁 117)</t>
        </is>
      </c>
      <c r="F18" s="11" t="inlineStr">
        <is>
          <t>are reviewed for impairment whenever events or changes in circumstances indicate that the carrying amount may not be recoverable. An impairment loss is recognised for the amount by which the asset’s carrying amount exceeds its recoverable amount. The recoverable amount is the higher of an asset’s fair value less costs to sell and value in use. For the purposes of assessing impairment, assets are grouped at the lowest levels for which there are separately identifiable cash flows (cash-generating units). Non-financial assets othe</t>
        </is>
      </c>
    </row>
    <row r="19">
      <c r="A19" s="8" t="inlineStr">
        <is>
          <t>Impairment Testing</t>
        </is>
      </c>
      <c r="B19" s="8" t="inlineStr">
        <is>
          <t>減值測試</t>
        </is>
      </c>
      <c r="C19" s="19" t="inlineStr">
        <is>
          <t>high</t>
        </is>
      </c>
      <c r="D19" s="11" t="inlineStr">
        <is>
          <t>impairment loss</t>
        </is>
      </c>
      <c r="E19" s="11" t="inlineStr">
        <is>
          <t>PDF p.119 (印刷頁 118)</t>
        </is>
      </c>
      <c r="F19" s="11" t="inlineStr">
        <is>
          <t>tion is recognised directly in profit or loss and presented in other gains/(losses) together with foreign exchange gains and losses. Impairment losses are presented as separate line item in the statement of profit or loss. (b) FVOCI Assets that are held for collection of contractual cash flows and for selling the financial assets, where the assets’ cash flows represent solely payments of principal and interest, are measured at FVOCI. Movements in the carrying amount are taken through OCI, except for the recognition of impairmen</t>
        </is>
      </c>
    </row>
    <row r="20">
      <c r="A20" s="8" t="inlineStr">
        <is>
          <t>Impairment Testing</t>
        </is>
      </c>
      <c r="B20" s="8" t="inlineStr">
        <is>
          <t>減值測試</t>
        </is>
      </c>
      <c r="C20" s="19" t="inlineStr">
        <is>
          <t>high</t>
        </is>
      </c>
      <c r="D20" s="11" t="inlineStr">
        <is>
          <t>impairment loss</t>
        </is>
      </c>
      <c r="E20" s="11" t="inlineStr">
        <is>
          <t>PDF p.120 (印刷頁 119)</t>
        </is>
      </c>
      <c r="F20" s="11" t="inlineStr">
        <is>
          <t>ue of financial assets at FVPL are recognised in other gains/(losses) in the consolidated statement of profit or loss as applicable. Impairment losses (and reversal of impairment losses) on equity investments measured at FVOCI are not reported separately from other changes in fair value. 30.9 Offsetting financial instruments Financial assets and liabilities are offset and the net amount reported in the consolidated statements of financial position when there is a legally enforceable right to offset the recognised amounts and th</t>
        </is>
      </c>
    </row>
    <row r="21">
      <c r="A21" s="8" t="inlineStr">
        <is>
          <t>Intangible Assets &amp; Goodwill</t>
        </is>
      </c>
      <c r="B21" s="8" t="inlineStr">
        <is>
          <t>無形資產及商譽</t>
        </is>
      </c>
      <c r="C21" s="19" t="inlineStr">
        <is>
          <t>high</t>
        </is>
      </c>
      <c r="D21" s="11" t="inlineStr">
        <is>
          <t>brand name</t>
        </is>
      </c>
      <c r="E21" s="11" t="inlineStr">
        <is>
          <t>PDF p.8 (印刷頁 7)</t>
        </is>
      </c>
      <c r="F21" s="11" t="inlineStr">
        <is>
          <t>: six) districts in Hong Kong and the People’s Republic of China (the “PRC”). The Group’s care and attention homes operate under the brand names of “Fai To 輝濤”, “Kato 嘉濤”, “Happy Luck Home”, “Tsuen Wan Centre”, “Pine Villa”, “Ka Shui Garden 嘉瑞園”, “Hing Tin Elderly Centre”, “Ka Shing” and “Duanzhou Elderly Centre”. The Group’s customers primarily consisted of two categories, namely (i) the Social Welfare Department (the “SWD”), with which the Group entered into contractual arrangements whereby the SWD either purchased residentia</t>
        </is>
      </c>
    </row>
    <row r="22">
      <c r="A22" s="8" t="inlineStr">
        <is>
          <t>Intangible Assets &amp; Goodwill</t>
        </is>
      </c>
      <c r="B22" s="8" t="inlineStr">
        <is>
          <t>無形資產及商譽</t>
        </is>
      </c>
      <c r="C22" s="19" t="inlineStr">
        <is>
          <t>high</t>
        </is>
      </c>
      <c r="D22" s="11" t="inlineStr">
        <is>
          <t>licence</t>
        </is>
      </c>
      <c r="E22" s="11" t="inlineStr">
        <is>
          <t>PDF p.19 (印刷頁 18)</t>
        </is>
      </c>
      <c r="F22" s="11" t="inlineStr">
        <is>
          <t>Administrative Region, Chartered Membership of the Royal Institute of British Architects, Property Management Practitioner (Tier 2) Licence and the Registered Engineer of The Guangdong Institute of Engineers. Mr. Wong has around 14 years of experience in the construction industry, specializing in administration and coordination of the statutory and quality checkup in architectural and construction projects. He is currently a director of Cupio Architects Limited and Active Property and Facility Management Limited, and a technic</t>
        </is>
      </c>
    </row>
    <row r="23">
      <c r="A23" s="8" t="inlineStr">
        <is>
          <t>Intangible Assets &amp; Goodwill</t>
        </is>
      </c>
      <c r="B23" s="8" t="inlineStr">
        <is>
          <t>無形資產及商譽</t>
        </is>
      </c>
      <c r="C23" s="19" t="inlineStr">
        <is>
          <t>high</t>
        </is>
      </c>
      <c r="D23" s="11" t="inlineStr">
        <is>
          <t>licence</t>
        </is>
      </c>
      <c r="E23" s="11" t="inlineStr">
        <is>
          <t>PDF p.36 (印刷頁 35)</t>
        </is>
      </c>
      <c r="F23" s="11" t="inlineStr">
        <is>
          <t>and uncertainties identified by the Group relating to its businesses: — in the event that any residential care home for the elderly licences are suspended, cancelled or not renewed, or if the Group is unable to obtain new licence for newly established care and attention home, the Group’s ability to sustain or expand its operations may be adversely affected; — the Group derives a significant portion of its revenue from the Social Welfare Department of the Government; — the Group’s operations are highly reliant on its reputation</t>
        </is>
      </c>
    </row>
    <row r="24">
      <c r="A24" s="8" t="inlineStr">
        <is>
          <t>Intangible Assets &amp; Goodwill</t>
        </is>
      </c>
      <c r="B24" s="8" t="inlineStr">
        <is>
          <t>無形資產及商譽</t>
        </is>
      </c>
      <c r="C24" s="19" t="inlineStr">
        <is>
          <t>high</t>
        </is>
      </c>
      <c r="D24" s="11" t="inlineStr">
        <is>
          <t>goodwill</t>
        </is>
      </c>
      <c r="E24" s="11" t="inlineStr">
        <is>
          <t>PDF p.113 (印刷頁 112)</t>
        </is>
      </c>
      <c r="F24" s="11" t="inlineStr">
        <is>
          <t>ate financial statements exceeds the carrying amount in the consolidated financial statements of the investee’s net assets including goodwill. 30.1.3 Business combination The Group applies the acquisition method to account for business combinations. The consideration transferred for the acquisition of a subsidiary is the fair values of the assets transferred, the liabilities incurred to the former owners of the acquiree and the equity interests issued by the Group. The consideration transferred includes the fair value of any as</t>
        </is>
      </c>
    </row>
    <row r="25">
      <c r="A25" s="8" t="inlineStr">
        <is>
          <t>Intangible Assets &amp; Goodwill</t>
        </is>
      </c>
      <c r="B25" s="8" t="inlineStr">
        <is>
          <t>無形資產及商譽</t>
        </is>
      </c>
      <c r="C25" s="19" t="inlineStr">
        <is>
          <t>high</t>
        </is>
      </c>
      <c r="D25" s="11" t="inlineStr">
        <is>
          <t>amortisation</t>
        </is>
      </c>
      <c r="E25" s="11" t="inlineStr">
        <is>
          <t>PDF p.116 (印刷頁 115)</t>
        </is>
      </c>
      <c r="F25" s="11" t="inlineStr">
        <is>
          <t>basis as an expense in profit or loss. Short-term leases are leases with a lease term of 12 months or less. Leasehold land commences amortisation from the time when the land interest becomes available for its intended use. Amortisation on leasehold land and depreciation on other assets is calculated using the straight-line method to allocate their cost to their residual values over their estimated useful lives. 2026 Annual Report 115 115</t>
        </is>
      </c>
    </row>
    <row r="26">
      <c r="A26" s="8" t="inlineStr">
        <is>
          <t>Intangible Assets &amp; Goodwill</t>
        </is>
      </c>
      <c r="B26" s="8" t="inlineStr">
        <is>
          <t>無形資產及商譽</t>
        </is>
      </c>
      <c r="C26" s="19" t="inlineStr">
        <is>
          <t>high</t>
        </is>
      </c>
      <c r="D26" s="11" t="inlineStr">
        <is>
          <t>goodwill</t>
        </is>
      </c>
      <c r="E26" s="11" t="inlineStr">
        <is>
          <t>PDF p.118 (印刷頁 117)</t>
        </is>
      </c>
      <c r="F26" s="11" t="inlineStr">
        <is>
          <t>at the lowest levels for which there are separately identifiable cash flows (cash-generating units). Non-financial assets other than goodwill that suffered an impairment are reviewed for possible reversal of the impairment at each reporting date. 30.8 Investments and other financial assets 30.8.1 Classification The Group classifies its financial assets in the following measurement categories: • those to be measured subsequently at fair value (either through other comprehensive income (“OCI”) or through profit or loss), and • th</t>
        </is>
      </c>
    </row>
    <row r="27">
      <c r="A27" s="8" t="inlineStr">
        <is>
          <t>Intangible Assets &amp; Goodwill</t>
        </is>
      </c>
      <c r="B27" s="8" t="inlineStr">
        <is>
          <t>無形資產及商譽</t>
        </is>
      </c>
      <c r="C27" s="19" t="inlineStr">
        <is>
          <t>high</t>
        </is>
      </c>
      <c r="D27" s="11" t="inlineStr">
        <is>
          <t>goodwill</t>
        </is>
      </c>
      <c r="E27" s="11" t="inlineStr">
        <is>
          <t>PDF p.122 (印刷頁 121)</t>
        </is>
      </c>
      <c r="F27" s="11" t="inlineStr">
        <is>
          <t>onsolidated financial statements. However, deferred tax liabilities are not recognised if they arise from the initial recognition of goodwill. Deferred income tax is also not accounted for if it arises from initial recognition of an asset or liability in a transaction other than a business combination that at the time of the transaction affects neither accounting nor taxable profit or loss and does not give rise to equal taxable and deductible temporary differences. Deferred income tax is determined using tax rates (and laws) t</t>
        </is>
      </c>
    </row>
    <row r="28">
      <c r="A28" s="8" t="inlineStr">
        <is>
          <t>Investment Properties</t>
        </is>
      </c>
      <c r="B28" s="8" t="inlineStr">
        <is>
          <t>投資物業</t>
        </is>
      </c>
      <c r="C28" s="19" t="inlineStr">
        <is>
          <t>high</t>
        </is>
      </c>
      <c r="D28" s="11" t="inlineStr">
        <is>
          <t>market rent</t>
        </is>
      </c>
      <c r="E28" s="11" t="inlineStr">
        <is>
          <t>PDF p.88 (印刷頁 87)</t>
        </is>
      </c>
      <c r="F28" s="11" t="inlineStr">
        <is>
          <t>collectively “Retail shops”), the valuation was based on income capitalisation approach, which largely use unobservable inputs (e.g. market rent, yield, etc.) and taking into account the significant adjustment on term yield to account for the risk upon reversionary and the estimation in vacancy rate after expiry of current lease. For car park spaces, the valuation was based on direct comparison method by making reference to the comparable market transactions as available. The direct comparison method is based on market observab</t>
        </is>
      </c>
    </row>
    <row r="29">
      <c r="A29" s="8" t="inlineStr">
        <is>
          <t>Investment Properties</t>
        </is>
      </c>
      <c r="B29" s="8" t="inlineStr">
        <is>
          <t>投資物業</t>
        </is>
      </c>
      <c r="C29" s="19" t="inlineStr">
        <is>
          <t>high</t>
        </is>
      </c>
      <c r="D29" s="11" t="inlineStr">
        <is>
          <t>reversionary</t>
        </is>
      </c>
      <c r="E29" s="11" t="inlineStr">
        <is>
          <t>PDF p.89 (印刷頁 88)</t>
        </is>
      </c>
      <c r="F29" s="11" t="inlineStr">
        <is>
          <t>inputs Range of unobservable inputs inputs to fair value 2026 2025 2026 2025 HK$’000 HK$’000 Retail shops 130,400 137,100 Income 1) Reversionary yield 6.3%–9.3% 6.3%–9.3% The higher the reversionary yield, capitalisation the lower the fair value. approach 2) Term yield 5.8%–8.8% 5.8%–8.8% The higher the term yield, the lower the fair value. 3) Monthly rent HK$18.0–HK$78.0 HK$19.0–HK$80.0 The higher the monthly rent, the (HK$/square ft.) higher the fair value. Carparks 21,900 25,300 Direct comparison 1) Market value HK$0.83 mil</t>
        </is>
      </c>
    </row>
    <row r="30">
      <c r="A30" s="8" t="inlineStr">
        <is>
          <t>Investment Properties</t>
        </is>
      </c>
      <c r="B30" s="8" t="inlineStr">
        <is>
          <t>投資物業</t>
        </is>
      </c>
      <c r="C30" s="19" t="inlineStr">
        <is>
          <t>high</t>
        </is>
      </c>
      <c r="D30" s="11" t="inlineStr">
        <is>
          <t>investment property</t>
        </is>
      </c>
      <c r="E30" s="11" t="inlineStr">
        <is>
          <t>PDF p.118 (印刷頁 117)</t>
        </is>
      </c>
      <c r="F30" s="11" t="inlineStr">
        <is>
          <t>NTINUED) 30.6 Investment properties Investment properties are held for long-term rental yields and are not occupied by the Group. An investment property is initially measured at cost, including related transaction costs and where applicable borrowing costs. Subsequently, they are carried at fair value. Changes in fair values of the investment properties are recognised in profit or loss in the period in which they arise. Subsequent expenditure is capitalised to the asset’s carrying amount only when it is probable that future eco</t>
        </is>
      </c>
    </row>
    <row r="31">
      <c r="A31" s="8" t="inlineStr">
        <is>
          <t>Investment Properties</t>
        </is>
      </c>
      <c r="B31" s="8" t="inlineStr">
        <is>
          <t>投資物業</t>
        </is>
      </c>
      <c r="C31" s="19" t="inlineStr">
        <is>
          <t>high</t>
        </is>
      </c>
      <c r="D31" s="11" t="inlineStr">
        <is>
          <t>investment property</t>
        </is>
      </c>
      <c r="E31" s="11" t="inlineStr">
        <is>
          <t>PDF p.122 (印刷頁 121)</t>
        </is>
      </c>
      <c r="F31" s="11" t="inlineStr">
        <is>
          <t>ted deferred income tax asset is realised or the deferred income tax liability is settled. The deferred tax liability in relation to investment property that is measured at fair value is determined assuming the property will be recovered entirely through sale. Deferred tax assets are recognised only if it is probable that future taxable amounts will be available to utilise those temporary differences and losses. Deferred tax liabilities and assets are not recognised for temporary differences between the carrying amount and tax</t>
        </is>
      </c>
    </row>
    <row r="32">
      <c r="A32" s="8" t="inlineStr">
        <is>
          <t>Segment Information</t>
        </is>
      </c>
      <c r="B32" s="8" t="inlineStr">
        <is>
          <t>分部資料</t>
        </is>
      </c>
      <c r="C32" s="8" t="inlineStr">
        <is>
          <t>medium</t>
        </is>
      </c>
      <c r="D32" s="11" t="inlineStr">
        <is>
          <t>segment information</t>
        </is>
      </c>
      <c r="E32" s="11" t="inlineStr">
        <is>
          <t>PDF p.75 (印刷頁 74)</t>
        </is>
      </c>
      <c r="F32" s="11" t="inlineStr">
        <is>
          <t>hich are based on the best information available to reflect the amount obtainable at the end of each reporting period. 5 REVENUE AND SEGMENT INFORMATION The executive directors, who are the chief operating decision-maker (the “CODM”) of the Group, review the Group’s internal reporting in order to assess performance and allocate resources. Management has determined the operating segments based on reports reviewed by the executive directors that are used to make strategic decisions. The CODM has determined the operating segments</t>
        </is>
      </c>
    </row>
    <row r="33">
      <c r="A33" s="8" t="inlineStr">
        <is>
          <t>Segment Information</t>
        </is>
      </c>
      <c r="B33" s="8" t="inlineStr">
        <is>
          <t>分部資料</t>
        </is>
      </c>
      <c r="C33" s="8" t="inlineStr">
        <is>
          <t>medium</t>
        </is>
      </c>
      <c r="D33" s="11" t="inlineStr">
        <is>
          <t>segment information</t>
        </is>
      </c>
      <c r="E33" s="11" t="inlineStr">
        <is>
          <t>PDF p.76 (印刷頁 75)</t>
        </is>
      </c>
      <c r="F33" s="11" t="inlineStr">
        <is>
          <t>Notes to the Consolidated Financial Statements 5 REVENUE AND SEGMENT INFORMATION (CONTINUED) (a) Segment revenue and results The following tables present revenue and segment results regarding the Group’s reportable segments for the years ended 31 March 2026 and 2025. For the year ended 31 March 2026 Elderly care Investment services properties holding Total HK$’000 HK$’000 HK$’000 Revenue from contract with customers within the scope of HKFRS 15 Recognised o</t>
        </is>
      </c>
    </row>
    <row r="34">
      <c r="A34" s="8" t="inlineStr">
        <is>
          <t>Segment Information</t>
        </is>
      </c>
      <c r="B34" s="8" t="inlineStr">
        <is>
          <t>分部資料</t>
        </is>
      </c>
      <c r="C34" s="8" t="inlineStr">
        <is>
          <t>medium</t>
        </is>
      </c>
      <c r="D34" s="11" t="inlineStr">
        <is>
          <t>segment information</t>
        </is>
      </c>
      <c r="E34" s="11" t="inlineStr">
        <is>
          <t>PDF p.77 (印刷頁 76)</t>
        </is>
      </c>
      <c r="F34" s="11" t="inlineStr">
        <is>
          <t>Notes to the Consolidated Financial Statements 5 REVENUE AND SEGMENT INFORMATION (CONTINUED) (a) Segment revenue and results (Continued) For the year ended 31 March 2025 Investment Elderly care properties services holding Total HK$’000 HK$’000 HK$’000 Revenue from contract with customers within the scope of HKFRS 15 Recognised over time: Rendering of elderly home care services 232,962 — 232,962 Rendering of elderly community home care services 11,028 — 11,0</t>
        </is>
      </c>
    </row>
    <row r="35">
      <c r="A35" s="8" t="inlineStr">
        <is>
          <t>Segment Information</t>
        </is>
      </c>
      <c r="B35" s="8" t="inlineStr">
        <is>
          <t>分部資料</t>
        </is>
      </c>
      <c r="C35" s="8" t="inlineStr">
        <is>
          <t>medium</t>
        </is>
      </c>
      <c r="D35" s="11" t="inlineStr">
        <is>
          <t>segment information</t>
        </is>
      </c>
      <c r="E35" s="11" t="inlineStr">
        <is>
          <t>PDF p.78 (印刷頁 77)</t>
        </is>
      </c>
      <c r="F35" s="11" t="inlineStr">
        <is>
          <t>Notes to the Consolidated Financial Statements 5 REVENUE AND SEGMENT INFORMATION (CONTINUED) (a) Segment revenue and results (Continued) The Group’s revenue was derived mainly from its operations in Hong Kong during the years ended 31 March 2026 and 2025. Save for property and equipment amounting to HK$576,000 (2025: Nil), which were located in the People’s Republic of China (the “PRC”), all other non-current assets of the Group were situated in Hong Kong a</t>
        </is>
      </c>
    </row>
    <row r="36">
      <c r="A36" s="8" t="inlineStr">
        <is>
          <t>Segment Information</t>
        </is>
      </c>
      <c r="B36" s="8" t="inlineStr">
        <is>
          <t>分部資料</t>
        </is>
      </c>
      <c r="C36" s="8" t="inlineStr">
        <is>
          <t>medium</t>
        </is>
      </c>
      <c r="D36" s="11" t="inlineStr">
        <is>
          <t>segment information</t>
        </is>
      </c>
      <c r="E36" s="11" t="inlineStr">
        <is>
          <t>PDF p.79 (印刷頁 78)</t>
        </is>
      </c>
      <c r="F36" s="11" t="inlineStr">
        <is>
          <t>Notes to the Consolidated Financial Statements 5 REVENUE AND SEGMENT INFORMATION (CONTINUED) (b) Segment assets and liabilities (Continued) As at 31 March 2025 Investment Elderly care properties services holding Total HK$’000 HK$’000 HK$’000 Assets Segment assets 214,259 584,548 798,807 Unallocated: Prepayments, deposits and other receivables 1,534 Short-term bank deposits 1,600 Cash and cash equivalents 7,625 Total assets 809,566 Liabilities Segment liabil</t>
        </is>
      </c>
    </row>
    <row r="37">
      <c r="A37" s="8" t="inlineStr">
        <is>
          <t>Segment Information</t>
        </is>
      </c>
      <c r="B37" s="8" t="inlineStr">
        <is>
          <t>分部資料</t>
        </is>
      </c>
      <c r="C37" s="8" t="inlineStr">
        <is>
          <t>medium</t>
        </is>
      </c>
      <c r="D37" s="11" t="inlineStr">
        <is>
          <t>operating segment</t>
        </is>
      </c>
      <c r="E37" s="11" t="inlineStr">
        <is>
          <t>PDF p.115 (印刷頁 114)</t>
        </is>
      </c>
      <c r="F37" s="11" t="inlineStr">
        <is>
          <t>Notes to the Consolidated Financial Statements 30 SUMMARY OF MATERIAL ACCOUNTING POLICIES (CONTINUED) 30.3 Segment reporting Operating segments are reported in a manner consistent with the internal reporting provided to the CODM. The CODM, who is responsible for allocating resources and assessing performance of the operating segments, has been identified as the Executive Directors, who makes strategic decisions. 30.4 Leases 30.4.1 As the lessor A lease is an agreement whereby the lessor conveys to the lessee in return f</t>
        </is>
      </c>
    </row>
    <row r="38">
      <c r="A38" s="8" t="inlineStr">
        <is>
          <t>Share-based Payment</t>
        </is>
      </c>
      <c r="B38" s="8" t="inlineStr">
        <is>
          <t>以股份為基礎的付款</t>
        </is>
      </c>
      <c r="C38" s="8" t="inlineStr">
        <is>
          <t>medium</t>
        </is>
      </c>
      <c r="D38" s="11" t="inlineStr">
        <is>
          <t>share-based payment</t>
        </is>
      </c>
      <c r="E38" s="11" t="inlineStr">
        <is>
          <t>PDF p.12 (印刷頁 11)</t>
        </is>
      </c>
      <c r="F38" s="11" t="inlineStr">
        <is>
          <t>tirement benefit scheme contributions, staff welfare and benefits, Directors’ remunerations, provision for long service payments and share-based payment expenses. Total employee benefits expenses increased from approximately HK$133.8 million in the Previous Year to approximately HK$148.0 million in the Year. This increase was primarily attributable to (i) a higher headcount following the commencement of operations of two care and attention homes in Lam Tin providing an aggregate of 178 residential care places which commenced op</t>
        </is>
      </c>
    </row>
    <row r="39">
      <c r="A39" s="8" t="inlineStr">
        <is>
          <t>Share-based Payment</t>
        </is>
      </c>
      <c r="B39" s="8" t="inlineStr">
        <is>
          <t>以股份為基礎的付款</t>
        </is>
      </c>
      <c r="C39" s="8" t="inlineStr">
        <is>
          <t>medium</t>
        </is>
      </c>
      <c r="D39" s="11" t="inlineStr">
        <is>
          <t>share option</t>
        </is>
      </c>
      <c r="E39" s="11" t="inlineStr">
        <is>
          <t>PDF p.16 (印刷頁 15)</t>
        </is>
      </c>
      <c r="F39" s="11" t="inlineStr">
        <is>
          <t>ions are granted to certain Directors and eligible employees of the Group as an incentive to recognise their contributions under the share option scheme of the Company (the “Share Option Scheme”). During the Year, the Group’s total employee benefit expenses, including Directors’ emoluments, amounted to approximately HK$148.0 million (Previous Year: approximately HK$133.8 million). Remuneration is generally determined with reference to the qualification, experience and work performance of the relevant employee. The award of disc</t>
        </is>
      </c>
    </row>
    <row r="40">
      <c r="A40" s="8" t="inlineStr">
        <is>
          <t>Share-based Payment</t>
        </is>
      </c>
      <c r="B40" s="8" t="inlineStr">
        <is>
          <t>以股份為基礎的付款</t>
        </is>
      </c>
      <c r="C40" s="8" t="inlineStr">
        <is>
          <t>medium</t>
        </is>
      </c>
      <c r="D40" s="11" t="inlineStr">
        <is>
          <t>share option</t>
        </is>
      </c>
      <c r="E40" s="11" t="inlineStr">
        <is>
          <t>PDF p.28 (印刷頁 27)</t>
        </is>
      </c>
      <c r="F40" s="11" t="inlineStr">
        <is>
          <t>ement; and (iii) transact any other business in accordance with its terms of reference. Since there were no shares granted under the Share Option Scheme (as defined in the Report of the Directors), no material matters relating to the Share Option Scheme under Chapter 17 of the Listing Rules were required to be reviewed or approved by the Remuneration Committee during the Year. Details of the Directors’ remuneration and five highest paid individuals for the Year as regarded to be disclosed pursuant to the CG Code are provided in</t>
        </is>
      </c>
    </row>
    <row r="41">
      <c r="A41" s="8" t="inlineStr">
        <is>
          <t>Share-based Payment</t>
        </is>
      </c>
      <c r="B41" s="8" t="inlineStr">
        <is>
          <t>以股份為基礎的付款</t>
        </is>
      </c>
      <c r="C41" s="8" t="inlineStr">
        <is>
          <t>medium</t>
        </is>
      </c>
      <c r="D41" s="11" t="inlineStr">
        <is>
          <t>share option</t>
        </is>
      </c>
      <c r="E41" s="11" t="inlineStr">
        <is>
          <t>PDF p.37 (印刷頁 36)</t>
        </is>
      </c>
      <c r="F41" s="11" t="inlineStr">
        <is>
          <t>tal of the Company during the Year are set out in note 19(a) to the audited consolidated financial statements. Save as disclosed in “Share Option Scheme” below, the Company has not entered into any equity-linked agreements during the Year. DIRECTORS During the Year and up to the date of this annual report, the Directors are named as follows: Executive Directors Ngai Ka Yee Ngai Shi Shing Godfrey (Chairman and Chief Executive Officer) Lau Kwok Wo Independent non-executive Directors Or Kevin Wu Wing Fong Wong Chun Kit According t</t>
        </is>
      </c>
    </row>
    <row r="42">
      <c r="A42" s="8" t="inlineStr">
        <is>
          <t>Share-based Payment</t>
        </is>
      </c>
      <c r="B42" s="8" t="inlineStr">
        <is>
          <t>以股份為基礎的付款</t>
        </is>
      </c>
      <c r="C42" s="8" t="inlineStr">
        <is>
          <t>medium</t>
        </is>
      </c>
      <c r="D42" s="11" t="inlineStr">
        <is>
          <t>share option</t>
        </is>
      </c>
      <c r="E42" s="11" t="inlineStr">
        <is>
          <t>PDF p.40 (印刷頁 39)</t>
        </is>
      </c>
      <c r="F42" s="11" t="inlineStr">
        <is>
          <t>rs’ meeting, make recommendations to the Board as to salary increases or payment of discretionary bonuses. The Company has adopted a share option scheme to grant options to eligible participants as incentives or rewards for their contribution to the Group. Details of the scheme are set out in the paragraph headed “Share Option Scheme” below. The Company provides a comprehensive benefit package for all employees as well as career development opportunities. This includes retirement schemes, medical insurance, other insurances, st</t>
        </is>
      </c>
    </row>
    <row r="43">
      <c r="A43" s="8" t="inlineStr">
        <is>
          <t>Share-based Payment</t>
        </is>
      </c>
      <c r="B43" s="8" t="inlineStr">
        <is>
          <t>以股份為基礎的付款</t>
        </is>
      </c>
      <c r="C43" s="8" t="inlineStr">
        <is>
          <t>medium</t>
        </is>
      </c>
      <c r="D43" s="11" t="inlineStr">
        <is>
          <t>share option</t>
        </is>
      </c>
      <c r="E43" s="11" t="inlineStr">
        <is>
          <t>PDF p.41 (印刷頁 40)</t>
        </is>
      </c>
      <c r="F43" s="11" t="inlineStr">
        <is>
          <t>re deemed to be interested in the Shares held by Sheung Fung. (3) It represents the interests in underlying shares in respect of the share option granted by the Company, details of which are disclosed in the paragraph headed “Share Option Scheme” below. Ms. Ngai Ka Yee has 10,000,000 share options. (4) It represents 22,684,000 Shares held by Mr. Ngai and 10,000,000 underlying shares granted to Mr. Ngai in respect of the share option granted by the Company, details of which are disclosed in the paragraph headed “Share Option Sch</t>
        </is>
      </c>
    </row>
    <row r="44">
      <c r="A44" s="8" t="inlineStr">
        <is>
          <t>Share-based Payment</t>
        </is>
      </c>
      <c r="B44" s="8" t="inlineStr">
        <is>
          <t>以股份為基礎的付款</t>
        </is>
      </c>
      <c r="C44" s="8" t="inlineStr">
        <is>
          <t>medium</t>
        </is>
      </c>
      <c r="D44" s="11" t="inlineStr">
        <is>
          <t>share option</t>
        </is>
      </c>
      <c r="E44" s="11" t="inlineStr">
        <is>
          <t>PDF p.42 (印刷頁 41)</t>
        </is>
      </c>
      <c r="F44" s="11" t="inlineStr">
        <is>
          <t>under the SFO. (4) It represents 60,202,000 Shares held by Mr. Lam and 10,000,000 underlying shares granted to him in respect of the share option granted by the Company, details of which are disclosed in the paragraph headed “Share Option Scheme” below. (5) The approximate percentages were calculated based on 1,000,000,000 Shares in issue as at 31 March 2026. Save as disclosed above, as at 31 March 2026, the Directors were not aware of any other persons who had any interests or short positions in the Shares or underlying Shares</t>
        </is>
      </c>
    </row>
    <row r="45">
      <c r="A45" s="8" t="inlineStr">
        <is>
          <t>Share-based Payment</t>
        </is>
      </c>
      <c r="B45" s="8" t="inlineStr">
        <is>
          <t>以股份為基礎的付款</t>
        </is>
      </c>
      <c r="C45" s="8" t="inlineStr">
        <is>
          <t>medium</t>
        </is>
      </c>
      <c r="D45" s="11" t="inlineStr">
        <is>
          <t>share option</t>
        </is>
      </c>
      <c r="E45" s="11" t="inlineStr">
        <is>
          <t>PDF p.44 (印刷頁 43)</t>
        </is>
      </c>
      <c r="F45" s="11" t="inlineStr">
        <is>
          <t>to the aforesaid undertaking which should be brought to the attention of the Shareholders and the potential investors of the Group. SHARE OPTION SCHEME The following is a summary of the principal terms of the share option scheme (the “Share Option Scheme”) conditionally approved and adopted in compliance with Chapter 17 of the Listing Rules by written resolutions of all the Shareholders passed on 20 May 2019. The following summary does not form, nor is intended to be, part of the Share Option Scheme, nor should it be taken as</t>
        </is>
      </c>
    </row>
    <row r="46">
      <c r="A46" s="8" t="inlineStr">
        <is>
          <t>Share-based Payment</t>
        </is>
      </c>
      <c r="B46" s="8" t="inlineStr">
        <is>
          <t>以股份為基礎的付款</t>
        </is>
      </c>
      <c r="C46" s="8" t="inlineStr">
        <is>
          <t>medium</t>
        </is>
      </c>
      <c r="D46" s="11" t="inlineStr">
        <is>
          <t>share option</t>
        </is>
      </c>
      <c r="E46" s="11" t="inlineStr">
        <is>
          <t>PDF p.45 (印刷頁 44)</t>
        </is>
      </c>
      <c r="F46" s="11" t="inlineStr">
        <is>
          <t>ibute by way of joint venture, business alliance or other business arrangement and growth of the Group, and, for the purposes of the Share Option Scheme, the options may be granted to any company wholly owned by one or more Eligible Participants. For the avoidance of doubt, the grant of any options by the Company for the subscription of Shares or other securities of the Group to any person who falls within any of the above classes of Eligible Participants shall not, by itself, unless the Directors otherwise determined, be const</t>
        </is>
      </c>
    </row>
    <row r="47">
      <c r="A47" s="8" t="inlineStr">
        <is>
          <t>Share-based Payment</t>
        </is>
      </c>
      <c r="B47" s="8" t="inlineStr">
        <is>
          <t>以股份為基礎的付款</t>
        </is>
      </c>
      <c r="C47" s="8" t="inlineStr">
        <is>
          <t>medium</t>
        </is>
      </c>
      <c r="D47" s="11" t="inlineStr">
        <is>
          <t>share option</t>
        </is>
      </c>
      <c r="E47" s="11" t="inlineStr">
        <is>
          <t>PDF p.46 (印刷頁 45)</t>
        </is>
      </c>
      <c r="F47" s="11" t="inlineStr">
        <is>
          <t>raph (v)(bb) below, the total number of Shares issued and which may fall to be issued upon exercise of the options granted under the Share Option Scheme and any other share option scheme of the Group (including both exercised or outstanding options) to each participant in any 12-month period shall not exceed 1% of the issued share capital of the Company for the time being (“Individual Limit”). Any further grant of options in excess of the Individual Limit in any 12-month period up to and including the date of such further grant</t>
        </is>
      </c>
    </row>
    <row r="48">
      <c r="A48" s="8" t="inlineStr">
        <is>
          <t>Share-based Payment</t>
        </is>
      </c>
      <c r="B48" s="8" t="inlineStr">
        <is>
          <t>以股份為基礎的付款</t>
        </is>
      </c>
      <c r="C48" s="8" t="inlineStr">
        <is>
          <t>medium</t>
        </is>
      </c>
      <c r="D48" s="11" t="inlineStr">
        <is>
          <t>share option</t>
        </is>
      </c>
      <c r="E48" s="11" t="inlineStr">
        <is>
          <t>PDF p.47 (印刷頁 46)</t>
        </is>
      </c>
      <c r="F48" s="11" t="inlineStr">
        <is>
          <t>e can be exercised. (viii) Subscription price for Shares and consideration for the option The subscription price per Share under the Share Option Scheme shall be determined at the discretion of the Directors, provided that it shall not be less than the highest of (i) the closing price of the Shares as stated in the Stock Exchange’s daily quotations sheet on the date of the offer of grant, which must be a business day; (ii) the average closing price of the Shares as stated in the Stock Exchange’s daily quotations for the five bu</t>
        </is>
      </c>
    </row>
    <row r="49">
      <c r="A49" s="8" t="inlineStr">
        <is>
          <t>Share-based Payment</t>
        </is>
      </c>
      <c r="B49" s="8" t="inlineStr">
        <is>
          <t>以股份為基礎的付款</t>
        </is>
      </c>
      <c r="C49" s="8" t="inlineStr">
        <is>
          <t>medium</t>
        </is>
      </c>
      <c r="D49" s="11" t="inlineStr">
        <is>
          <t>share option</t>
        </is>
      </c>
      <c r="E49" s="11" t="inlineStr">
        <is>
          <t>PDF p.48 (印刷頁 47)</t>
        </is>
      </c>
      <c r="F49" s="11" t="inlineStr">
        <is>
          <t>son of the cessation of its relations with the Group or by other reason whatsoever, then the option granted to the grantee under the Share Option scheme shall lapse as a result of any event specified in sub-paragraph (aa), (bb) or (cc) above. (xvi) Rights on a general offer, a compromise or arrangement If a general or partial offer, whether by way of take-over offer, share re-purchase offer, or scheme of arrangement or otherwise in like manner is made to all the holders of Shares, or all such holders other than the offeror and/</t>
        </is>
      </c>
    </row>
    <row r="50">
      <c r="A50" s="8" t="inlineStr">
        <is>
          <t>Share-based Payment</t>
        </is>
      </c>
      <c r="B50" s="8" t="inlineStr">
        <is>
          <t>以股份為基礎的付款</t>
        </is>
      </c>
      <c r="C50" s="8" t="inlineStr">
        <is>
          <t>medium</t>
        </is>
      </c>
      <c r="D50" s="11" t="inlineStr">
        <is>
          <t>share option</t>
        </is>
      </c>
      <c r="E50" s="11" t="inlineStr">
        <is>
          <t>PDF p.49 (印刷頁 48)</t>
        </is>
      </c>
      <c r="F50" s="11" t="inlineStr">
        <is>
          <t>not already exercised) either to its full extent or to the extent specified in such notice in accordance with the provisions of the Share Option Scheme and the Company shall allot and issue to the grantee the Shares in respect of which such grantee has exercised his option not less than one business day before the date on which such resolution is to be considered and/or passed whereupon the grantee shall accordingly be entitled, in respect of the Shares allotted and issued to him/her in the aforesaid manner, to participate in</t>
        </is>
      </c>
    </row>
    <row r="51">
      <c r="A51" s="8" t="inlineStr">
        <is>
          <t>Share-based Payment</t>
        </is>
      </c>
      <c r="B51" s="8" t="inlineStr">
        <is>
          <t>以股份為基礎的付款</t>
        </is>
      </c>
      <c r="C51" s="8" t="inlineStr">
        <is>
          <t>medium</t>
        </is>
      </c>
      <c r="D51" s="11" t="inlineStr">
        <is>
          <t>share option</t>
        </is>
      </c>
      <c r="E51" s="11" t="inlineStr">
        <is>
          <t>PDF p.50 (印刷頁 49)</t>
        </is>
      </c>
      <c r="F51" s="11" t="inlineStr">
        <is>
          <t>Report of the Directors (xxi) Termination of the Share Option Scheme The Company may by resolution in general meeting of the Company at any time terminate the Share Option Scheme and in such event no further options shall be offered but in all other respects the provisions of the Share Option Scheme shall remain in force to the extent necessary to give effect to the exercise of any options (to the extent not already exercised) granted prior to t</t>
        </is>
      </c>
    </row>
    <row r="52">
      <c r="A52" s="8" t="inlineStr">
        <is>
          <t>Share-based Payment</t>
        </is>
      </c>
      <c r="B52" s="8" t="inlineStr">
        <is>
          <t>以股份為基礎的付款</t>
        </is>
      </c>
      <c r="C52" s="8" t="inlineStr">
        <is>
          <t>medium</t>
        </is>
      </c>
      <c r="D52" s="11" t="inlineStr">
        <is>
          <t>share option</t>
        </is>
      </c>
      <c r="E52" s="11" t="inlineStr">
        <is>
          <t>PDF p.51 (印刷頁 50)</t>
        </is>
      </c>
      <c r="F52" s="11" t="inlineStr">
        <is>
          <t>Report of the Directors Movements in the outstanding share options granted under the Share Option Scheme during the Year are set out below: Number of Shares over which Share Options are Exercisable Balance Cancelled/ Balance Exercise Vested Expiry as at Granted Exercised Lapsed Forfeited as at Price Per Date Date Date of Grant 1 April during the during the during the during the 31 March Share (dd/mm/ (dd/mm/ (dd/mm/yyyy) Name of Grantees Position/Ca</t>
        </is>
      </c>
    </row>
    <row r="53">
      <c r="A53" s="8" t="inlineStr">
        <is>
          <t>Share-based Payment</t>
        </is>
      </c>
      <c r="B53" s="8" t="inlineStr">
        <is>
          <t>以股份為基礎的付款</t>
        </is>
      </c>
      <c r="C53" s="8" t="inlineStr">
        <is>
          <t>medium</t>
        </is>
      </c>
      <c r="D53" s="11" t="inlineStr">
        <is>
          <t>share-based payment</t>
        </is>
      </c>
      <c r="E53" s="11" t="inlineStr">
        <is>
          <t>PDF p.64 (印刷頁 63)</t>
        </is>
      </c>
      <c r="F53" s="11" t="inlineStr">
        <is>
          <t>200 — — — (200) — — — Transactions with owners in their capacity as owners: Dividends 10 — — — — — — — (20,000) (20,000) — (20,000) Share-based payment 27 — — — — 1,906 — — — 1,906 — 1,906 Transactions with non-controlling interests — — — — — — — — — 6,000 6,000 At 31 March and 1 April 2025 10,000 126,440 36 25,493 5,880 — — 268,902 436,751 5,477 442,228 Profit/(loss) and comprehensive income/(loss): Profit/(loss) for the year — — — — — — — 34,224 34,224 (543) 33,681 Other comprehensive loss — — — — — — (3) (566) (569) (6) (57</t>
        </is>
      </c>
    </row>
    <row r="54">
      <c r="A54" s="8" t="inlineStr">
        <is>
          <t>Share-based Payment</t>
        </is>
      </c>
      <c r="B54" s="8" t="inlineStr">
        <is>
          <t>以股份為基礎的付款</t>
        </is>
      </c>
      <c r="C54" s="8" t="inlineStr">
        <is>
          <t>medium</t>
        </is>
      </c>
      <c r="D54" s="11" t="inlineStr">
        <is>
          <t>share-based payment</t>
        </is>
      </c>
      <c r="E54" s="11" t="inlineStr">
        <is>
          <t>PDF p.80 (印刷頁 79)</t>
        </is>
      </c>
      <c r="F54" s="11" t="inlineStr">
        <is>
          <t>welfare and benefits 258 248 Provision for long service payments (Note 20(a)) 780 614 Directors’ remunerations (Note 8) 4,484 5,621 Share-based payment expenses — staff portion — 1,270 Government subsidies (735) (798) Legal and professional fees 1,910 2,097 Subcontracting fees, net 11,820 9,773 Subcontracting fees 19,414 17,247 Government subsidies (7,594) (7,474) Auditor’s remuneration Audit services 2,100 2,000 Non-audit services 261 300 Provision for loss allowance on trade receivables 5 — Impairment loss on property and eq</t>
        </is>
      </c>
    </row>
    <row r="55">
      <c r="A55" s="8" t="inlineStr">
        <is>
          <t>Share-based Payment</t>
        </is>
      </c>
      <c r="B55" s="8" t="inlineStr">
        <is>
          <t>以股份為基礎的付款</t>
        </is>
      </c>
      <c r="C55" s="8" t="inlineStr">
        <is>
          <t>medium</t>
        </is>
      </c>
      <c r="D55" s="11" t="inlineStr">
        <is>
          <t>share-based payment</t>
        </is>
      </c>
      <c r="E55" s="11" t="inlineStr">
        <is>
          <t>PDF p.82 (印刷頁 81)</t>
        </is>
      </c>
      <c r="F55" s="11" t="inlineStr">
        <is>
          <t>as compensation for loss of office during the year ended 31 March 2026 (2025: Nil). (iii) Allowances and benefits in kind represents share-based payment expenses of the directors. (iv) Mr. Lau Kwok Wo was appointed as executive director of the Company on 2 April 2024. (v) Ms. Lo Ning retired as an independent non-executive director of the Company on 30 August 2024. (vi) Mr. Wong Vinci resigned as an independent non-executive director of the Company on 13 December 2024. (vii) Mr. Wong Chun Kit was appointed an independent non-ex</t>
        </is>
      </c>
    </row>
    <row r="56">
      <c r="A56" s="8" t="inlineStr">
        <is>
          <t>Share-based Payment</t>
        </is>
      </c>
      <c r="B56" s="8" t="inlineStr">
        <is>
          <t>以股份為基礎的付款</t>
        </is>
      </c>
      <c r="C56" s="8" t="inlineStr">
        <is>
          <t>medium</t>
        </is>
      </c>
      <c r="D56" s="11" t="inlineStr">
        <is>
          <t>share-based payment</t>
        </is>
      </c>
      <c r="E56" s="11" t="inlineStr">
        <is>
          <t>PDF p.83 (印刷頁 82)</t>
        </is>
      </c>
      <c r="F56" s="11" t="inlineStr">
        <is>
          <t>$’000 HK$’000 Salaries, discretionary bonus, allowances and benefit in kind 3,425 2,447 Retirement benefit scheme contribution 89 60 Share-based payment expenses — 636 3,514 3,143 The emoluments fell within the following bands: Number of individual 2026 2025 HK$500,001 to HK$1,000,000 1 — HK$1,000,001 to HK$1,500,000 2 — HK$1,500,001 to HK$2,000,000 — 2 (h) During the year ended 31 March 2026, no emoluments have been paid by the Group to the directors or the five highest paid individuals mentioned above as an inducement to join</t>
        </is>
      </c>
    </row>
    <row r="57">
      <c r="A57" s="8" t="inlineStr">
        <is>
          <t>Share-based Payment</t>
        </is>
      </c>
      <c r="B57" s="8" t="inlineStr">
        <is>
          <t>以股份為基礎的付款</t>
        </is>
      </c>
      <c r="C57" s="8" t="inlineStr">
        <is>
          <t>medium</t>
        </is>
      </c>
      <c r="D57" s="11" t="inlineStr">
        <is>
          <t>share option</t>
        </is>
      </c>
      <c r="E57" s="11" t="inlineStr">
        <is>
          <t>PDF p.85 (印刷頁 84)</t>
        </is>
      </c>
      <c r="F57" s="11" t="inlineStr">
        <is>
          <t>rage number of ordinary shares outstanding to assume conversion of all dilutive potential ordinary shares. Shares issuable under the share option scheme are the only dilutive potential ordinary shares. A calculation is made in order to determine the number of shares that could have been acquired at fair value (determined as the average daily quoted market share price of the Company’s shares) based on the monetary value of the subscription rights attached to the outstanding share options. The number of shares calculated as above</t>
        </is>
      </c>
    </row>
    <row r="58">
      <c r="A58" s="8" t="inlineStr">
        <is>
          <t>Share-based Payment</t>
        </is>
      </c>
      <c r="B58" s="8" t="inlineStr">
        <is>
          <t>以股份為基礎的付款</t>
        </is>
      </c>
      <c r="C58" s="8" t="inlineStr">
        <is>
          <t>medium</t>
        </is>
      </c>
      <c r="D58" s="11" t="inlineStr">
        <is>
          <t>share-based payment</t>
        </is>
      </c>
      <c r="E58" s="11" t="inlineStr">
        <is>
          <t>PDF p.96 (印刷頁 95)</t>
        </is>
      </c>
      <c r="F58" s="11" t="inlineStr">
        <is>
          <t>000 HK$’000 Salaries, discretionary bonus, allowances and benefit in kind 8,659 9,141 Retirement benefit scheme contribution 131 132 Share-based payment — 1,588 8,790 10,861 18 CASH AND CASH EQUIVALENTS, SHORT-TERM BANK DEPOSITS AND RESTRICTED BANK DEPOSITS 2026 2025 HK$’000 HK$’000 Short-term bank deposits — time deposits with original maturity over 3 months (Note a) 1,600 1,600 Restricted bank deposits (Note b) 11,232 10,895 Cash at banks 59,900 50,928 Cash on hand 203 129 Cash and cash equivalents 60,103 51,057 Maximum expos</t>
        </is>
      </c>
    </row>
    <row r="59">
      <c r="A59" s="8" t="inlineStr">
        <is>
          <t>Share-based Payment</t>
        </is>
      </c>
      <c r="B59" s="8" t="inlineStr">
        <is>
          <t>以股份為基礎的付款</t>
        </is>
      </c>
      <c r="C59" s="8" t="inlineStr">
        <is>
          <t>medium</t>
        </is>
      </c>
      <c r="D59" s="11" t="inlineStr">
        <is>
          <t>share-based payment</t>
        </is>
      </c>
      <c r="E59" s="11" t="inlineStr">
        <is>
          <t>PDF p.97 (印刷頁 96)</t>
        </is>
      </c>
      <c r="F59" s="11" t="inlineStr">
        <is>
          <t>FVOCI — — 200 — — — (200) — Transactions with owners in their capacity as owners: Dividends (Note 10) — — — — — — (20,000) (20,000) Share-based payment (Note 27) — — — 1,906 — — — 1,906 At 31 March 2025 and 1 April 2025 126,440 36 25,493 5,880 — — 268,902 426,751 Profit and comprehensive income: Profit for the year — — — — — — 34,224 34,224 Other comprehensive income — — — — — (3) (566) (569) Total comprehensive income — — — — — (3) 33,658 33,655 Transactions with owners in their capacity as owners: Dividends (Note 10) — — — —</t>
        </is>
      </c>
    </row>
    <row r="60">
      <c r="A60" s="8" t="inlineStr">
        <is>
          <t>Share-based Payment</t>
        </is>
      </c>
      <c r="B60" s="8" t="inlineStr">
        <is>
          <t>以股份為基礎的付款</t>
        </is>
      </c>
      <c r="C60" s="8" t="inlineStr">
        <is>
          <t>medium</t>
        </is>
      </c>
      <c r="D60" s="11" t="inlineStr">
        <is>
          <t>share-based payment</t>
        </is>
      </c>
      <c r="E60" s="11" t="inlineStr">
        <is>
          <t>PDF p.104 (印刷頁 103)</t>
        </is>
      </c>
      <c r="F60" s="11" t="inlineStr">
        <is>
          <t>se assets 14(b) 42,890 35,703 Fair value change of investment properties 13 10,722 23,300 Provision for long service payment 780 614 Share-based payment expenses 27 — 1,906 Impairment loss on property and equipment 12 4,861 1,700 Impairment loss on right-of-use assets 14(b) 1,406 — Gain on lease modification 14(b) — (8) Gain on disposal of property and equipment — (34) Loss on disposal of subsidiaries 1,640 41 132,330 123,461 Changes in working capital: Trade receivables (4,046) (7,894) Prepayments, deposits and other receivabl</t>
        </is>
      </c>
    </row>
    <row r="61">
      <c r="A61" s="8" t="inlineStr">
        <is>
          <t>Share-based Payment</t>
        </is>
      </c>
      <c r="B61" s="8" t="inlineStr">
        <is>
          <t>以股份為基礎的付款</t>
        </is>
      </c>
      <c r="C61" s="8" t="inlineStr">
        <is>
          <t>medium</t>
        </is>
      </c>
      <c r="D61" s="11" t="inlineStr">
        <is>
          <t>share-based payment</t>
        </is>
      </c>
      <c r="E61" s="11" t="inlineStr">
        <is>
          <t>PDF p.106 (印刷頁 105)</t>
        </is>
      </c>
      <c r="F61" s="11" t="inlineStr">
        <is>
          <t>nting to HK$10,341,000 (2025: HK$7,422,000) after netting off the prepayments made for the acquisition of property and equipment. 27 SHARE-BASED PAYMENT TRANSACTIONS Pursuant to the Share Option Scheme adopted by the Company on 20 May 2019, in the sole discretion of the Board, to grant options to (i) any employee (whether full-time or part-time, including any executive director but excluding any non-executive director) of the Company, any of its subsidiaries (the “Subsidiaries”) or any entity (the “Invested Entity”) in which th</t>
        </is>
      </c>
    </row>
    <row r="62">
      <c r="A62" s="8" t="inlineStr">
        <is>
          <t>Share-based Payment</t>
        </is>
      </c>
      <c r="B62" s="8" t="inlineStr">
        <is>
          <t>以股份為基礎的付款</t>
        </is>
      </c>
      <c r="C62" s="8" t="inlineStr">
        <is>
          <t>medium</t>
        </is>
      </c>
      <c r="D62" s="11" t="inlineStr">
        <is>
          <t>share-based payment</t>
        </is>
      </c>
      <c r="E62" s="11" t="inlineStr">
        <is>
          <t>PDF p.107 (印刷頁 106)</t>
        </is>
      </c>
      <c r="F62" s="11" t="inlineStr">
        <is>
          <t>Notes to the Consolidated Financial Statements 27 SHARE-BASED PAYMENT TRANSACTIONS (CONTINUED) Movement of the options granted under the share option scheme for the years ended 31 March 2026 and 2025 are as followings: Number of share options (in thousand) Outstanding as at Granted/ 1 April 2024, exercised/lapsed/ Outstanding Exercise Category of 31 March 2025 cancelled/forfeited as at 31 March price per Date of grant participants and 1 April 202</t>
        </is>
      </c>
    </row>
    <row r="63">
      <c r="A63" s="8" t="inlineStr">
        <is>
          <t>Share-based Payment</t>
        </is>
      </c>
      <c r="B63" s="8" t="inlineStr">
        <is>
          <t>以股份為基礎的付款</t>
        </is>
      </c>
      <c r="C63" s="8" t="inlineStr">
        <is>
          <t>medium</t>
        </is>
      </c>
      <c r="D63" s="11" t="inlineStr">
        <is>
          <t>share-based payment</t>
        </is>
      </c>
      <c r="E63" s="11" t="inlineStr">
        <is>
          <t>PDF p.111 (印刷頁 110)</t>
        </is>
      </c>
      <c r="F63" s="11" t="inlineStr">
        <is>
          <t>4 270,997 438,050 Loss and other comprehensive loss for the year — — — (25,821) (25,821) Dividends (Note 10) — — — (20,000) (20,000) Share-based payment (Note 27) — — 1,906 — 1,906 At 31 March 2025 and 1 April 2025 36,639 126,440 5,880 225,176 394,135 Loss and other comprehensive loss for the year — — — (32,380) (32,380) Dividends (Note 10) — — — (20,000) (20,000) At 31 March 2026 36,639 126,440 5,880 172,796 341,755 (c) Transactions with non-controlling Interests Disposal of interest in subsidiaries without loss of control In</t>
        </is>
      </c>
    </row>
    <row r="64">
      <c r="A64" s="8" t="inlineStr">
        <is>
          <t>Related Party Transactions</t>
        </is>
      </c>
      <c r="B64" s="8" t="inlineStr">
        <is>
          <t>關聯方交易</t>
        </is>
      </c>
      <c r="C64" s="8" t="inlineStr">
        <is>
          <t>low</t>
        </is>
      </c>
      <c r="D64" s="11" t="inlineStr">
        <is>
          <t>connected transaction</t>
        </is>
      </c>
      <c r="E64" s="11" t="inlineStr">
        <is>
          <t>PDF p.25 (印刷頁 24)</t>
        </is>
      </c>
      <c r="F64" s="11" t="inlineStr">
        <is>
          <t>ing potential conflicts of interest of management, Board members and Shareholders, including misuse of corporate assets and abuse in connected transaction; and (iv) ensuing processes are in place to maintain the overall integrity of the Company, including financial statements, relationships with suppliers, customers and other stakeholders, and compliance with all laws and ethics. Director’s Responsibilities for the Consolidated Financial Statements The Directors acknowledge their responsibilities for the preparation of the cons</t>
        </is>
      </c>
    </row>
    <row r="65">
      <c r="A65" s="8" t="inlineStr">
        <is>
          <t>Related Party Transactions</t>
        </is>
      </c>
      <c r="B65" s="8" t="inlineStr">
        <is>
          <t>關聯方交易</t>
        </is>
      </c>
      <c r="C65" s="8" t="inlineStr">
        <is>
          <t>low</t>
        </is>
      </c>
      <c r="D65" s="11" t="inlineStr">
        <is>
          <t>related party</t>
        </is>
      </c>
      <c r="E65" s="11" t="inlineStr">
        <is>
          <t>PDF p.52 (印刷頁 51)</t>
        </is>
      </c>
      <c r="F65" s="11" t="inlineStr">
        <is>
          <t>Report of the Directors CONNECTED TRANSACTIONS AND RELATED PARTY TRANSACTIONS During the Year, transactions between members of the Group and the connected persons have become connected transactions and a fully exempt continuing connected transaction of the Company under Chapter 14A of the Listing Rules. Details of the Group’s continuing connected transaction and connected transactions are set out as follows. Non-Exempt Connected Transactions On 3</t>
        </is>
      </c>
    </row>
    <row r="66">
      <c r="A66" s="8" t="inlineStr">
        <is>
          <t>Related Party Transactions</t>
        </is>
      </c>
      <c r="B66" s="8" t="inlineStr">
        <is>
          <t>關聯方交易</t>
        </is>
      </c>
      <c r="C66" s="8" t="inlineStr">
        <is>
          <t>low</t>
        </is>
      </c>
      <c r="D66" s="11" t="inlineStr">
        <is>
          <t>related party</t>
        </is>
      </c>
      <c r="E66" s="11" t="inlineStr">
        <is>
          <t>PDF p.54 (印刷頁 53)</t>
        </is>
      </c>
      <c r="F66" s="11" t="inlineStr">
        <is>
          <t>ts each and every calendar month during the term of the Second Renewal Letters and Tsuen Wan Warehouse Tenancy Agreement. Details of related party transactions of the Group during the Year are set out in note 17 to the audited consolidated financial statements in this annual report. During the Year, certain related party transactions set out in note 17 to the audited consolidated financial statements are regarded as connected transactions of the Company under Chapter 14A of the Listing Rules. Further, tenancy agreements for the</t>
        </is>
      </c>
    </row>
    <row r="67">
      <c r="A67" s="8" t="inlineStr">
        <is>
          <t>Related Party Transactions</t>
        </is>
      </c>
      <c r="B67" s="8" t="inlineStr">
        <is>
          <t>關聯方交易</t>
        </is>
      </c>
      <c r="C67" s="8" t="inlineStr">
        <is>
          <t>low</t>
        </is>
      </c>
      <c r="D67" s="11" t="inlineStr">
        <is>
          <t>related party</t>
        </is>
      </c>
      <c r="E67" s="11" t="inlineStr">
        <is>
          <t>PDF p.94 (印刷頁 93)</t>
        </is>
      </c>
      <c r="F67" s="11" t="inlineStr">
        <is>
          <t>ng Limited, a limited liability company incorporated in the British Virgin Islands, as at 31 March 2026 and 2025. (a) Balance with a related party Maximum outstanding balance during 2026 2025 the year HK$’000 HK$’000 HK$’000 Amount due from a non-controlling interest Lazy Elderly Care Technology Limited 1,500 1,500 1,500 Amount due from a non-controlling interest is unsecured, interest-free and recoverable on demand. The carrying amount approximates to its fair values due to its short maturities and is denominated in HK$. 2026</t>
        </is>
      </c>
    </row>
    <row r="68">
      <c r="A68" s="8" t="inlineStr">
        <is>
          <t>Related Party Transactions</t>
        </is>
      </c>
      <c r="B68" s="8" t="inlineStr">
        <is>
          <t>關聯方交易</t>
        </is>
      </c>
      <c r="C68" s="8" t="inlineStr">
        <is>
          <t>low</t>
        </is>
      </c>
      <c r="D68" s="11" t="inlineStr">
        <is>
          <t>related party</t>
        </is>
      </c>
      <c r="E68" s="11" t="inlineStr">
        <is>
          <t>PDF p.95 (印刷頁 94)</t>
        </is>
      </c>
      <c r="F68" s="11" t="inlineStr">
        <is>
          <t>Notes to the Consolidated Financial Statements 17 RELATED PARTIES BALANCES AND TRANSACTIONS (CONTINUED) (b) Related party transactions The Group had the following transactions with related parties/companies during the years ended 31 March 2026 and 2025: 2026 2025 Notes HK$’000 HK$’000 Repayment of principal and interest portion of lease liabilities to related parties: — Ms. Ngai Ka Yee (i) 671 671 — Mr. Lam Kong (ii) 660 275 — Mr. Ngai Shi Shing, Godfrey (i) 578 520 — Mr. Ngai Ha Sang (ii) 360 360 — Ms.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5"/>
  <sheetViews>
    <sheetView workbookViewId="0">
      <pane ySplit="24" topLeftCell="A25"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Cost of Sales</t>
        </is>
      </c>
    </row>
    <row r="9">
      <c r="A9" s="8" t="inlineStr">
        <is>
          <t>Income Statement</t>
        </is>
      </c>
      <c r="B9" s="8" t="inlineStr">
        <is>
          <t>Gross Profit</t>
        </is>
      </c>
    </row>
    <row r="10">
      <c r="A10" s="8" t="inlineStr">
        <is>
          <t>Income Statement</t>
        </is>
      </c>
      <c r="B10" s="8" t="inlineStr">
        <is>
          <t>Operating Profit</t>
        </is>
      </c>
    </row>
    <row r="11">
      <c r="A11" s="8" t="inlineStr">
        <is>
          <t>Income Statement</t>
        </is>
      </c>
      <c r="B11" s="8" t="inlineStr">
        <is>
          <t>R&amp;D Expenses</t>
        </is>
      </c>
    </row>
    <row r="12">
      <c r="A12" s="8" t="inlineStr">
        <is>
          <t>Income Statement</t>
        </is>
      </c>
      <c r="B12" s="8" t="inlineStr">
        <is>
          <t>Amortisation</t>
        </is>
      </c>
    </row>
    <row r="13">
      <c r="A13" s="8" t="inlineStr">
        <is>
          <t>Balance Sheet</t>
        </is>
      </c>
      <c r="B13" s="8" t="inlineStr">
        <is>
          <t>Inventories</t>
        </is>
      </c>
    </row>
    <row r="14">
      <c r="A14" s="8" t="inlineStr">
        <is>
          <t>Balance Sheet</t>
        </is>
      </c>
      <c r="B14" s="8" t="inlineStr">
        <is>
          <t>Goodwill</t>
        </is>
      </c>
    </row>
    <row r="15">
      <c r="A15" s="8" t="inlineStr">
        <is>
          <t>Balance Sheet</t>
        </is>
      </c>
      <c r="B15" s="8" t="inlineStr">
        <is>
          <t>Intangible Assets</t>
        </is>
      </c>
    </row>
    <row r="16">
      <c r="A16" s="8" t="inlineStr">
        <is>
          <t>Balance Sheet</t>
        </is>
      </c>
      <c r="B16" s="8" t="inlineStr">
        <is>
          <t>Property Plant and Equipment</t>
        </is>
      </c>
    </row>
    <row r="17">
      <c r="A17" s="8" t="inlineStr">
        <is>
          <t>Cash Flow</t>
        </is>
      </c>
      <c r="B17" s="8" t="inlineStr">
        <is>
          <t>Investing Cash Flow</t>
        </is>
      </c>
    </row>
    <row r="18">
      <c r="A18" s="8" t="inlineStr">
        <is>
          <t>Cash Flow</t>
        </is>
      </c>
      <c r="B18" s="8" t="inlineStr">
        <is>
          <t>Capital Expenditure</t>
        </is>
      </c>
    </row>
    <row r="21">
      <c r="A21" s="5" t="inlineStr">
        <is>
          <t>二、文字量過低的頁面(疑似掃描頁)</t>
        </is>
      </c>
    </row>
    <row r="22">
      <c r="A22" s="2" t="inlineStr">
        <is>
          <t>這些頁面幾乎抓不到文字,通常是掃描件或純圖表,建議人手翻閱或另行 OCR。</t>
        </is>
      </c>
    </row>
    <row r="24">
      <c r="A24" s="7" t="inlineStr">
        <is>
          <t>PDF 頁碼</t>
        </is>
      </c>
      <c r="B24" s="7" t="inlineStr">
        <is>
          <t>狀態</t>
        </is>
      </c>
    </row>
    <row r="25">
      <c r="A25" s="8" t="n">
        <v>5</v>
      </c>
      <c r="B25"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2026-08-30T14:16:13Z</dcterms:created>
  <dcterms:modified xsi:type="dcterms:W3CDTF">2026-08-30T14:16:13Z</dcterms:modified>
</cp:coreProperties>
</file>
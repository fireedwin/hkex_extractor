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0">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9C0006"/>
      <sz val="10"/>
    </font>
    <font>
      <name val="Arial"/>
      <b val="1"/>
      <color rgb="00FFFFFF"/>
      <sz val="10"/>
    </font>
    <font>
      <name val="Arial"/>
      <color rgb="000000FF"/>
      <sz val="10"/>
    </font>
  </fonts>
  <fills count="5">
    <fill>
      <patternFill/>
    </fill>
    <fill>
      <patternFill patternType="gray125"/>
    </fill>
    <fill>
      <patternFill patternType="solid">
        <fgColor rgb="001F4E5F"/>
      </patternFill>
    </fill>
    <fill>
      <patternFill patternType="solid">
        <fgColor rgb="00FFF2CC"/>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0" fontId="4" fillId="3"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8" fillId="2" borderId="0" pivotButton="0" quotePrefix="0" xfId="0"/>
    <xf numFmtId="164" fontId="0" fillId="0" borderId="0" pivotButton="0" quotePrefix="0" xfId="0"/>
    <xf numFmtId="0" fontId="4"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趨勢圖'!$A$5:$A$7</f>
            </numRef>
          </cat>
          <val>
            <numRef>
              <f>'Chart 趨勢圖'!$B$5:$B$7</f>
            </numRef>
          </val>
        </ser>
        <ser>
          <idx val="1"/>
          <order val="1"/>
          <tx>
            <strRef>
              <f>'Chart 趨勢圖'!C4</f>
            </strRef>
          </tx>
          <spPr>
            <a:ln>
              <a:prstDash val="solid"/>
            </a:ln>
          </spPr>
          <cat>
            <numRef>
              <f>'Chart 趨勢圖'!$A$5:$A$7</f>
            </numRef>
          </cat>
          <val>
            <numRef>
              <f>'Chart 趨勢圖'!$C$5:$C$7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00343_CULTURECOM_HOLD_20260730.pdf</t>
        </is>
      </c>
    </row>
    <row r="5">
      <c r="A5" s="3" t="inlineStr">
        <is>
          <t>產生時間 Generated</t>
        </is>
      </c>
      <c r="B5" s="4" t="inlineStr">
        <is>
          <t>2026-08-30 22:15</t>
        </is>
      </c>
    </row>
    <row r="6">
      <c r="A6" s="4" t="inlineStr"/>
      <c r="B6" s="4" t="inlineStr"/>
    </row>
    <row r="7">
      <c r="A7" s="3" t="inlineStr">
        <is>
          <t>總頁數 Total pages</t>
        </is>
      </c>
      <c r="B7" s="4" t="n">
        <v>302</v>
      </c>
    </row>
    <row r="8">
      <c r="A8" s="3" t="inlineStr">
        <is>
          <t>已擷取字元 Characters extracted</t>
        </is>
      </c>
      <c r="B8" s="4" t="n">
        <v>436184</v>
      </c>
    </row>
    <row r="9">
      <c r="A9" s="3" t="inlineStr">
        <is>
          <t>含表格頁數 Pages with tables</t>
        </is>
      </c>
      <c r="B9" s="4" t="n">
        <v>0</v>
      </c>
    </row>
    <row r="10">
      <c r="A10" s="3" t="inlineStr">
        <is>
          <t>需人手/OCR 頁數 Pages needing OCR</t>
        </is>
      </c>
      <c r="B10" s="4" t="n">
        <v>2</v>
      </c>
    </row>
    <row r="11">
      <c r="A11" s="4" t="inlineStr"/>
      <c r="B11" s="4" t="inlineStr"/>
    </row>
    <row r="12">
      <c r="A12" s="3" t="inlineStr">
        <is>
          <t>估值參數擷取筆數 Valuation parameters</t>
        </is>
      </c>
      <c r="B12" s="4" t="n">
        <v>9</v>
      </c>
    </row>
    <row r="13">
      <c r="A13" s="3" t="inlineStr">
        <is>
          <t>財務科目擷取筆數 Financial line items</t>
        </is>
      </c>
      <c r="B13" s="4" t="n">
        <v>10</v>
      </c>
    </row>
    <row r="14">
      <c r="A14" s="3" t="inlineStr">
        <is>
          <t>主題段落擷取筆數 Topic extracts</t>
        </is>
      </c>
      <c r="B14" s="4" t="n">
        <v>143</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52,750 − 22,255 = 30,495</t>
        </is>
      </c>
    </row>
    <row r="20">
      <c r="A20" s="7" t="inlineStr">
        <is>
          <t>✗ 三大報表應相鄰</t>
        </is>
      </c>
      <c r="B20" s="4" t="inlineStr">
        <is>
          <t>Income Statement: p.225、Balance Sheet: p.81、Cash Flow: p.86(相距 144 頁,可能有一張抓錯頁)</t>
        </is>
      </c>
    </row>
    <row r="22">
      <c r="A22" s="5" t="inlineStr">
        <is>
          <t>方法論 Methodology</t>
        </is>
      </c>
    </row>
    <row r="23">
      <c r="A23" s="4" t="inlineStr">
        <is>
          <t>1. 逐頁擷取文字,全程保留 PDF 頁碼與年報印刷頁碼(可追溯性)。</t>
        </is>
      </c>
    </row>
    <row r="24">
      <c r="A24" s="4" t="inlineStr">
        <is>
          <t>2. 規則層(正則/關鍵字)先把全份文件縮減為少數相關頁面 —— 解決「文件太大」。</t>
        </is>
      </c>
    </row>
    <row r="25">
      <c r="A25" s="4" t="inlineStr">
        <is>
          <t>3. 數字由正則精確擷取並做合理性檢查,不由語言模型生成 —— 解決「準確度」。</t>
        </is>
      </c>
    </row>
    <row r="26">
      <c r="A26" s="4" t="inlineStr">
        <is>
          <t>4. AI 僅在縮減後的頁面上做語意判斷,且輸出頁碼須通過驗證才保留。</t>
        </is>
      </c>
    </row>
    <row r="27">
      <c r="A27" s="4" t="inlineStr">
        <is>
          <t>5. 所有結果附來源頁碼與原文行,供估值師覆核。信心度為 Low 者建議人手確認。</t>
        </is>
      </c>
    </row>
    <row r="28">
      <c r="A28"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8" t="inlineStr">
        <is>
          <t>參數 Parameter</t>
        </is>
      </c>
      <c r="B4" s="8" t="inlineStr">
        <is>
          <t>中文</t>
        </is>
      </c>
      <c r="C4" s="8" t="inlineStr">
        <is>
          <t>下限 Low (%)</t>
        </is>
      </c>
      <c r="D4" s="8" t="inlineStr">
        <is>
          <t>上限 High (%)</t>
        </is>
      </c>
      <c r="E4" s="8" t="inlineStr">
        <is>
          <t>原文數值</t>
        </is>
      </c>
      <c r="F4" s="8" t="inlineStr">
        <is>
          <t>信心度</t>
        </is>
      </c>
      <c r="G4" s="8" t="inlineStr">
        <is>
          <t>來源頁 Source Page</t>
        </is>
      </c>
      <c r="H4" s="8" t="inlineStr">
        <is>
          <t>上下文 Context</t>
        </is>
      </c>
    </row>
    <row r="5">
      <c r="A5" s="9" t="inlineStr">
        <is>
          <t>Discount Rate</t>
        </is>
      </c>
      <c r="B5" s="9" t="inlineStr">
        <is>
          <t>折現率</t>
        </is>
      </c>
      <c r="C5" s="10" t="n">
        <v>16.5</v>
      </c>
      <c r="D5" s="11" t="n">
        <v>20.5</v>
      </c>
      <c r="E5" s="12" t="inlineStr">
        <is>
          <t>16.5% to 20.5%</t>
        </is>
      </c>
      <c r="F5" s="12" t="inlineStr">
        <is>
          <t>High</t>
        </is>
      </c>
      <c r="G5" s="12" t="inlineStr">
        <is>
          <t>PDF p.219 (印刷頁 218)</t>
        </is>
      </c>
      <c r="H5" s="12" t="inlineStr">
        <is>
          <t>cash 2.5%）推算。 generation pattern of the intellectual property rights. A pre-tax discount rate of 12.0% (2025: 16.5% to 20.5%) was applied. Cash flows beyond the ten-year period were extrapolated using a steady growth rate of 2.0% (2025: 2.5%). 增長率乃參考現金產</t>
        </is>
      </c>
    </row>
    <row r="6">
      <c r="A6" s="9" t="inlineStr">
        <is>
          <t>Discount Rate</t>
        </is>
      </c>
      <c r="B6" s="9" t="inlineStr">
        <is>
          <t>折現率</t>
        </is>
      </c>
      <c r="C6" s="10" t="n">
        <v>20.4</v>
      </c>
      <c r="D6" s="11" t="n">
        <v>20.4</v>
      </c>
      <c r="E6" s="12" t="inlineStr">
        <is>
          <t>20.4%</t>
        </is>
      </c>
      <c r="F6" s="12" t="inlineStr">
        <is>
          <t>High</t>
        </is>
      </c>
      <c r="G6" s="12" t="inlineStr">
        <is>
          <t>PDF p.220 (印刷頁 219)</t>
        </is>
      </c>
      <c r="H6" s="12" t="inlineStr">
        <is>
          <t>ancial budgets approved by management covering a five-year period and a pre-tax discount rate of 20.4%. Cash flows beyond the five-year period were extrapolated using a steady growth rate of 2.0%. 增長率乃參考現金產生單位的預期增長、過往表 The growth rate was determined wit</t>
        </is>
      </c>
    </row>
    <row r="7">
      <c r="A7" s="9" t="inlineStr">
        <is>
          <t>Discount Rate</t>
        </is>
      </c>
      <c r="B7" s="9" t="inlineStr">
        <is>
          <t>折現率</t>
        </is>
      </c>
      <c r="C7" s="10" t="n">
        <v>3.27</v>
      </c>
      <c r="D7" s="11" t="n">
        <v>3.27</v>
      </c>
      <c r="E7" s="12" t="inlineStr">
        <is>
          <t>3.27%</t>
        </is>
      </c>
      <c r="F7" s="12" t="inlineStr">
        <is>
          <t>High</t>
        </is>
      </c>
      <c r="G7" s="12" t="inlineStr">
        <is>
          <t>PDF p.240 (印刷頁 239)</t>
        </is>
      </c>
      <c r="H7" s="12" t="inlineStr">
        <is>
          <t>the determination of the LSP provision is as follows: 2026 2025 二零二六年 二零二五年 貼現率 Discount rate 3.27% – 年報 文化傳信集團有限公司 2025-2026 239</t>
        </is>
      </c>
    </row>
    <row r="8">
      <c r="A8" s="9" t="inlineStr">
        <is>
          <t>Discount Rate</t>
        </is>
      </c>
      <c r="B8" s="9" t="inlineStr">
        <is>
          <t>折現率</t>
        </is>
      </c>
      <c r="C8" s="10" t="n">
        <v>22</v>
      </c>
      <c r="D8" s="11" t="n">
        <v>22</v>
      </c>
      <c r="E8" s="12" t="inlineStr">
        <is>
          <t>22%</t>
        </is>
      </c>
      <c r="F8" s="12" t="inlineStr">
        <is>
          <t>High</t>
        </is>
      </c>
      <c r="G8" s="12" t="inlineStr">
        <is>
          <t>PDF p.283 (印刷頁 282)</t>
        </is>
      </c>
      <c r="H8" s="12" t="inlineStr">
        <is>
          <t xml:space="preserve">表之金融資產之 上市股本證券 Unlisted investments 97 414 Level 3 Income approach – in this 1. Discount rate: 22% 1. The higher the classified as financial approach, the discounted (2025: 12%) discount rate, the assets at FVTOCI cash flow method was used to lower the </t>
        </is>
      </c>
    </row>
    <row r="9">
      <c r="A9" s="9" t="inlineStr">
        <is>
          <t>Discount Rate</t>
        </is>
      </c>
      <c r="B9" s="9" t="inlineStr">
        <is>
          <t>折現率</t>
        </is>
      </c>
      <c r="C9" s="10" t="n">
        <v>2</v>
      </c>
      <c r="D9" s="11" t="n">
        <v>2</v>
      </c>
      <c r="E9" s="12" t="inlineStr">
        <is>
          <t>2%</t>
        </is>
      </c>
      <c r="F9" s="12" t="inlineStr">
        <is>
          <t>High</t>
        </is>
      </c>
      <c r="G9" s="12" t="inlineStr">
        <is>
          <t>PDF p.283 (印刷頁 282)</t>
        </is>
      </c>
      <c r="H9" s="12" t="inlineStr">
        <is>
          <t>enefits to be derived, based on assumed in the 2. The higher the an appropriate discount rate expected cash growth rate, the flows: 2% (2025: 2%) higher the fair value (Note ii) 分類為按公平價值計入 第3級 收益法－在此方法中，基於合適的貼現 貼現率：22%（二零 貼現率越高，公平價 1. 1. 其他全面收益之 率，使用貼現現</t>
        </is>
      </c>
    </row>
    <row r="10">
      <c r="A10" s="9" t="inlineStr">
        <is>
          <t>Discount Rate</t>
        </is>
      </c>
      <c r="B10" s="9" t="inlineStr">
        <is>
          <t>折現率</t>
        </is>
      </c>
      <c r="C10" s="10" t="n">
        <v>15</v>
      </c>
      <c r="D10" s="11" t="n">
        <v>15</v>
      </c>
      <c r="E10" s="12" t="inlineStr">
        <is>
          <t>15%</t>
        </is>
      </c>
      <c r="F10" s="12" t="inlineStr">
        <is>
          <t>High</t>
        </is>
      </c>
      <c r="G10" s="12" t="inlineStr">
        <is>
          <t>PDF p.283 (印刷頁 282)</t>
        </is>
      </c>
      <c r="H10" s="12" t="inlineStr">
        <is>
          <t xml:space="preserve">越高，公平價 2. 2. 設增長率：2%（二零 值越高（附註ii） 二五年：2%） 附註： Note: 倘貼現率上升╱下降15%，公平價 (i) If the discount rate had been 15% (i) 值將減少╱增加約2,000港元。 higher/lower, the fair value would decrease/increase by approximately HK$2,000. 倘增長率上升╱下降15%，公平價 (ii) If the growth rate had </t>
        </is>
      </c>
    </row>
    <row r="11">
      <c r="A11" s="9" t="inlineStr">
        <is>
          <t>Discount Rate</t>
        </is>
      </c>
      <c r="B11" s="9" t="inlineStr">
        <is>
          <t>折現率</t>
        </is>
      </c>
      <c r="C11" s="10" t="n">
        <v>12</v>
      </c>
      <c r="D11" s="11" t="n">
        <v>12</v>
      </c>
      <c r="E11" s="12" t="inlineStr">
        <is>
          <t>12%</t>
        </is>
      </c>
      <c r="F11" s="12" t="inlineStr">
        <is>
          <t>Medium</t>
        </is>
      </c>
      <c r="G11" s="12" t="inlineStr">
        <is>
          <t>PDF p.283 (印刷頁 282)</t>
        </is>
      </c>
      <c r="H11" s="12" t="inlineStr">
        <is>
          <t xml:space="preserve"> 1. The higher the classified as financial approach, the discounted (2025: 12%) discount rate, the assets at FVTOCI cash flow method was used to lower the fair value capture the present value of (Note i) the expected future economic 2. Growth rate benef</t>
        </is>
      </c>
    </row>
    <row r="12">
      <c r="A12" s="9" t="inlineStr">
        <is>
          <t>Gross Margin</t>
        </is>
      </c>
      <c r="B12" s="9" t="inlineStr">
        <is>
          <t>毛利率</t>
        </is>
      </c>
      <c r="C12" s="10" t="n">
        <v>44</v>
      </c>
      <c r="D12" s="11" t="n">
        <v>44</v>
      </c>
      <c r="E12" s="12" t="inlineStr">
        <is>
          <t>44.0%</t>
        </is>
      </c>
      <c r="F12" s="12" t="inlineStr">
        <is>
          <t>High</t>
        </is>
      </c>
      <c r="G12" s="12" t="inlineStr">
        <is>
          <t>PDF p.11 (印刷頁 10)</t>
        </is>
      </c>
      <c r="H12" s="12" t="inlineStr">
        <is>
          <t>o the same period of 2025, which recorded a gross profit of HK$7,627,000 with a gross profit margin of 44.0%. 毛利率減少乃由於來自出版及知識產權授 The decrease in margin percentage 權業務之收入減少。 was due to the decrease in revenue for publishing and IPs licensing business. 10 Cultu</t>
        </is>
      </c>
    </row>
    <row r="13">
      <c r="A13" s="9" t="inlineStr">
        <is>
          <t>Gross Margin</t>
        </is>
      </c>
      <c r="B13" s="9" t="inlineStr">
        <is>
          <t>毛利率</t>
        </is>
      </c>
      <c r="C13" s="10" t="n">
        <v>33.8</v>
      </c>
      <c r="D13" s="11" t="n">
        <v>33.8</v>
      </c>
      <c r="E13" s="12" t="inlineStr">
        <is>
          <t>33.8%</t>
        </is>
      </c>
      <c r="F13" s="13" t="inlineStr">
        <is>
          <t>Low</t>
        </is>
      </c>
      <c r="G13" s="12" t="inlineStr">
        <is>
          <t>PDF p.11 (印刷頁 10)</t>
        </is>
      </c>
      <c r="H13" s="12" t="inlineStr">
        <is>
          <t>ales and distribution channels for its premium wine. 毛利及毛利率 2. Gross profit and gross profit margin 2. 截至二零二六年三月三十一日止年度， The Group recorded a gross profit of 本集團錄得毛利約5,652,000港元及毛利 approximately HK$5,652,000 with gross 率33.8%，而二零二五年同期則錄得毛利 profit margin of 33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8" t="inlineStr">
        <is>
          <t>報表 Statement</t>
        </is>
      </c>
      <c r="B4" s="8" t="inlineStr">
        <is>
          <t>科目 Item</t>
        </is>
      </c>
      <c r="C4" s="8" t="inlineStr">
        <is>
          <t>本年 Current</t>
        </is>
      </c>
      <c r="D4" s="8" t="inlineStr">
        <is>
          <t>上年 Prior</t>
        </is>
      </c>
      <c r="E4" s="8" t="inlineStr">
        <is>
          <t>變動 YoY %</t>
        </is>
      </c>
      <c r="F4" s="8" t="inlineStr">
        <is>
          <t>來源頁</t>
        </is>
      </c>
      <c r="G4" s="8" t="inlineStr">
        <is>
          <t>原文行 Source line</t>
        </is>
      </c>
    </row>
    <row r="5">
      <c r="A5" s="9" t="inlineStr">
        <is>
          <t>Income Statement</t>
        </is>
      </c>
      <c r="B5" s="9" t="inlineStr">
        <is>
          <t>Income Tax</t>
        </is>
      </c>
      <c r="C5" s="14" t="n">
        <v>-13</v>
      </c>
      <c r="D5" s="15" t="n">
        <v>-89</v>
      </c>
      <c r="E5" s="16">
        <f>IF(ISERROR((C5-D5)/ABS(D5)),"",(C5-D5)/ABS(D5))</f>
        <v>0.8539325842696629</v>
      </c>
      <c r="F5" s="12" t="inlineStr">
        <is>
          <t>PDF p.203 (印刷頁 202)</t>
        </is>
      </c>
      <c r="G5" s="12" t="inlineStr">
        <is>
          <t>Income tax at concessionary rate (13) (89)</t>
        </is>
      </c>
    </row>
    <row r="6">
      <c r="A6" s="9" t="inlineStr">
        <is>
          <t>Income Statement</t>
        </is>
      </c>
      <c r="B6" s="9" t="inlineStr">
        <is>
          <t>Profit Before Tax</t>
        </is>
      </c>
      <c r="C6" s="14" t="n">
        <v>-51094</v>
      </c>
      <c r="D6" s="15" t="n">
        <v>-28728</v>
      </c>
      <c r="E6" s="16">
        <f>IF(ISERROR((C6-D6)/ABS(D6)),"",(C6-D6)/ABS(D6))</f>
        <v>-0.7785435811751601</v>
      </c>
      <c r="F6" s="12" t="inlineStr">
        <is>
          <t>PDF p.203 (印刷頁 202)</t>
        </is>
      </c>
      <c r="G6" s="12" t="inlineStr">
        <is>
          <t>Loss before tax (51,094) (28,728)</t>
        </is>
      </c>
    </row>
    <row r="7">
      <c r="A7" s="9" t="inlineStr">
        <is>
          <t>Income Statement</t>
        </is>
      </c>
      <c r="B7" s="9" t="inlineStr">
        <is>
          <t>Revenue</t>
        </is>
      </c>
      <c r="C7" s="14" t="n">
        <v>-551</v>
      </c>
      <c r="D7" s="15" t="n">
        <v>-102</v>
      </c>
      <c r="E7" s="16">
        <f>IF(ISERROR((C7-D7)/ABS(D7)),"",(C7-D7)/ABS(D7))</f>
        <v>-4.401960784313726</v>
      </c>
      <c r="F7" s="12" t="inlineStr">
        <is>
          <t>PDF p.203 (印刷頁 202)</t>
        </is>
      </c>
      <c r="G7" s="12" t="inlineStr">
        <is>
          <t>收入之稅務影響 … determining taxable profit (551) (102)</t>
        </is>
      </c>
    </row>
    <row r="8">
      <c r="A8" s="9" t="inlineStr">
        <is>
          <t>Balance Sheet</t>
        </is>
      </c>
      <c r="B8" s="9" t="inlineStr">
        <is>
          <t>Intangible Assets</t>
        </is>
      </c>
      <c r="C8" s="14" t="n">
        <v>3997</v>
      </c>
      <c r="D8" s="15" t="n">
        <v>29761</v>
      </c>
      <c r="E8" s="16">
        <f>IF(ISERROR((C8-D8)/ABS(D8)),"",(C8-D8)/ABS(D8))</f>
        <v>-0.8656967171802022</v>
      </c>
      <c r="F8" s="12" t="inlineStr">
        <is>
          <t>PDF p.81 (印刷頁 80)</t>
        </is>
      </c>
      <c r="G8" s="12" t="inlineStr">
        <is>
          <t>Intangible assets 19 3,997 29,761</t>
        </is>
      </c>
    </row>
    <row r="9">
      <c r="A9" s="9" t="inlineStr">
        <is>
          <t>Balance Sheet</t>
        </is>
      </c>
      <c r="B9" s="9" t="inlineStr">
        <is>
          <t>Inventories</t>
        </is>
      </c>
      <c r="C9" s="14" t="n">
        <v>27568</v>
      </c>
      <c r="D9" s="15" t="n">
        <v>30697</v>
      </c>
      <c r="E9" s="16">
        <f>IF(ISERROR((C9-D9)/ABS(D9)),"",(C9-D9)/ABS(D9))</f>
        <v>-0.10193178486497052</v>
      </c>
      <c r="F9" s="12" t="inlineStr">
        <is>
          <t>PDF p.81 (印刷頁 80)</t>
        </is>
      </c>
      <c r="G9" s="12" t="inlineStr">
        <is>
          <t>Inventories 22 27,568 30,697</t>
        </is>
      </c>
    </row>
    <row r="10">
      <c r="A10" s="9" t="inlineStr">
        <is>
          <t>Balance Sheet</t>
        </is>
      </c>
      <c r="B10" s="9" t="inlineStr">
        <is>
          <t>Trade Receivables</t>
        </is>
      </c>
      <c r="C10" s="14" t="n">
        <v>3343</v>
      </c>
      <c r="D10" s="15" t="n">
        <v>3666</v>
      </c>
      <c r="E10" s="16">
        <f>IF(ISERROR((C10-D10)/ABS(D10)),"",(C10-D10)/ABS(D10))</f>
        <v>-0.08810692853246045</v>
      </c>
      <c r="F10" s="12" t="inlineStr">
        <is>
          <t>PDF p.81 (印刷頁 80)</t>
        </is>
      </c>
      <c r="G10" s="12" t="inlineStr">
        <is>
          <t>Trade receivables 23 3,343 3,666</t>
        </is>
      </c>
    </row>
    <row r="11">
      <c r="A11" s="9" t="inlineStr">
        <is>
          <t>Balance Sheet</t>
        </is>
      </c>
      <c r="B11" s="9" t="inlineStr">
        <is>
          <t>Cash and Equivalents</t>
        </is>
      </c>
      <c r="C11" s="14" t="n">
        <v>14763</v>
      </c>
      <c r="D11" s="15" t="n">
        <v>18429</v>
      </c>
      <c r="E11" s="16">
        <f>IF(ISERROR((C11-D11)/ABS(D11)),"",(C11-D11)/ABS(D11))</f>
        <v>-0.19892560638124696</v>
      </c>
      <c r="F11" s="12" t="inlineStr">
        <is>
          <t>PDF p.81 (印刷頁 80)</t>
        </is>
      </c>
      <c r="G11" s="12" t="inlineStr">
        <is>
          <t>Cash and cash equivalents 26 14,763 18,429</t>
        </is>
      </c>
    </row>
    <row r="12">
      <c r="A12" s="9" t="inlineStr">
        <is>
          <t>Balance Sheet</t>
        </is>
      </c>
      <c r="B12" s="9" t="inlineStr">
        <is>
          <t>Total Equity</t>
        </is>
      </c>
      <c r="C12" s="14" t="n">
        <v>34556</v>
      </c>
      <c r="D12" s="15" t="n">
        <v>80119</v>
      </c>
      <c r="E12" s="16">
        <f>IF(ISERROR((C12-D12)/ABS(D12)),"",(C12-D12)/ABS(D12))</f>
        <v>-0.5686915712877095</v>
      </c>
      <c r="F12" s="12" t="inlineStr">
        <is>
          <t>PDF p.83 (印刷頁 82)</t>
        </is>
      </c>
      <c r="G12" s="12" t="inlineStr">
        <is>
          <t>Total equity 34,556 80,119</t>
        </is>
      </c>
    </row>
    <row r="13">
      <c r="A13" s="9" t="inlineStr">
        <is>
          <t>Balance Sheet</t>
        </is>
      </c>
      <c r="B13" s="9" t="inlineStr">
        <is>
          <t>Total Current Assets</t>
        </is>
      </c>
      <c r="C13" s="14" t="n">
        <v>52750</v>
      </c>
      <c r="D13" s="15" t="n">
        <v>61226</v>
      </c>
      <c r="E13" s="16">
        <f>IF(ISERROR((C13-D13)/ABS(D13)),"",(C13-D13)/ABS(D13))</f>
        <v>-0.1384379185313429</v>
      </c>
      <c r="F13" s="12" t="inlineStr">
        <is>
          <t>PDF p.81 (印刷頁 80)</t>
        </is>
      </c>
      <c r="G13" s="12" t="inlineStr">
        <is>
          <t>[current assets 區段小計] 52,750 61,226</t>
        </is>
      </c>
    </row>
    <row r="14">
      <c r="A14" s="9" t="inlineStr">
        <is>
          <t>Balance Sheet</t>
        </is>
      </c>
      <c r="B14" s="9" t="inlineStr">
        <is>
          <t>Total Current Liabilities</t>
        </is>
      </c>
      <c r="C14" s="14" t="n">
        <v>22255</v>
      </c>
      <c r="D14" s="15" t="n">
        <v>17379</v>
      </c>
      <c r="E14" s="16">
        <f>IF(ISERROR((C14-D14)/ABS(D14)),"",(C14-D14)/ABS(D14))</f>
        <v>0.2805685022153173</v>
      </c>
      <c r="F14" s="12" t="inlineStr">
        <is>
          <t>PDF p.82 (印刷頁 81)</t>
        </is>
      </c>
      <c r="G14" s="12" t="inlineStr">
        <is>
          <t>[current liabilities 區段小計] 22,255 17,379</t>
        </is>
      </c>
    </row>
    <row r="16">
      <c r="A16"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8" t="inlineStr">
        <is>
          <t>比率 Ratio</t>
        </is>
      </c>
      <c r="B4" s="8" t="inlineStr">
        <is>
          <t>本年 Current</t>
        </is>
      </c>
      <c r="C4" s="8" t="inlineStr">
        <is>
          <t>上年 Prior</t>
        </is>
      </c>
      <c r="D4" s="8" t="inlineStr">
        <is>
          <t>說明</t>
        </is>
      </c>
    </row>
    <row r="5">
      <c r="A5" s="4" t="inlineStr">
        <is>
          <t>Gross Margin 毛利率</t>
        </is>
      </c>
      <c r="B5" s="17" t="str">
        <f>IF(ISERROR(INDEX('Financials 財務數據'!$C$5:$C$14,MATCH("Gross Profit",'Financials 財務數據'!$B$5:$B$14,0))/INDEX('Financials 財務數據'!$C$5:$C$14,MATCH("Revenue",'Financials 財務數據'!$B$5:$B$14,0))),"n/a",INDEX('Financials 財務數據'!$C$5:$C$14,MATCH("Gross Profit",'Financials 財務數據'!$B$5:$B$14,0))/INDEX('Financials 財務數據'!$C$5:$C$14,MATCH("Revenue",'Financials 財務數據'!$B$5:$B$14,0)))</f>
        <v>n/a</v>
      </c>
      <c r="C5" s="17" t="str">
        <f>IF(ISERROR(INDEX('Financials 財務數據'!$D$5:$D$14,MATCH("Gross Profit",'Financials 財務數據'!$B$5:$B$14,0))/INDEX('Financials 財務數據'!$D$5:$D$14,MATCH("Revenue",'Financials 財務數據'!$B$5:$B$14,0))),"n/a",INDEX('Financials 財務數據'!$D$5:$D$14,MATCH("Gross Profit",'Financials 財務數據'!$B$5:$B$14,0))/INDEX('Financials 財務數據'!$D$5:$D$14,MATCH("Revenue",'Financials 財務數據'!$B$5:$B$14,0)))</f>
        <v>n/a</v>
      </c>
      <c r="D5" s="2" t="inlineStr">
        <is>
          <t>毛利 ÷ 收入</t>
        </is>
      </c>
    </row>
    <row r="6">
      <c r="A6" s="4" t="inlineStr">
        <is>
          <t>Net Margin 淨利率</t>
        </is>
      </c>
      <c r="B6" s="17" t="str">
        <f>IF(ISERROR(INDEX('Financials 財務數據'!$C$5:$C$14,MATCH("Profit for the Year",'Financials 財務數據'!$B$5:$B$14,0))/INDEX('Financials 財務數據'!$C$5:$C$14,MATCH("Revenue",'Financials 財務數據'!$B$5:$B$14,0))),"n/a",INDEX('Financials 財務數據'!$C$5:$C$14,MATCH("Profit for the Year",'Financials 財務數據'!$B$5:$B$14,0))/INDEX('Financials 財務數據'!$C$5:$C$14,MATCH("Revenue",'Financials 財務數據'!$B$5:$B$14,0)))</f>
        <v>n/a</v>
      </c>
      <c r="C6" s="17" t="str">
        <f>IF(ISERROR(INDEX('Financials 財務數據'!$D$5:$D$14,MATCH("Profit for the Year",'Financials 財務數據'!$B$5:$B$14,0))/INDEX('Financials 財務數據'!$D$5:$D$14,MATCH("Revenue",'Financials 財務數據'!$B$5:$B$14,0))),"n/a",INDEX('Financials 財務數據'!$D$5:$D$14,MATCH("Profit for the Year",'Financials 財務數據'!$B$5:$B$14,0))/INDEX('Financials 財務數據'!$D$5:$D$14,MATCH("Revenue",'Financials 財務數據'!$B$5:$B$14,0)))</f>
        <v>n/a</v>
      </c>
      <c r="D6" s="2" t="inlineStr">
        <is>
          <t>年內溢利 ÷ 收入</t>
        </is>
      </c>
    </row>
    <row r="7">
      <c r="A7" s="4" t="inlineStr">
        <is>
          <t>Current Ratio 流動比率</t>
        </is>
      </c>
      <c r="B7" s="18">
        <f>IF(ISERROR(INDEX('Financials 財務數據'!$C$5:$C$14,MATCH("Total Current Assets",'Financials 財務數據'!$B$5:$B$14,0))/INDEX('Financials 財務數據'!$C$5:$C$14,MATCH("Total Current Liabilities",'Financials 財務數據'!$B$5:$B$14,0))),"n/a",INDEX('Financials 財務數據'!$C$5:$C$14,MATCH("Total Current Assets",'Financials 財務數據'!$B$5:$B$14,0))/INDEX('Financials 財務數據'!$C$5:$C$14,MATCH("Total Current Liabilities",'Financials 財務數據'!$B$5:$B$14,0)))</f>
        <v>2.370253875533588</v>
      </c>
      <c r="C7" s="18">
        <f>IF(ISERROR(INDEX('Financials 財務數據'!$D$5:$D$14,MATCH("Total Current Assets",'Financials 財務數據'!$B$5:$B$14,0))/INDEX('Financials 財務數據'!$D$5:$D$14,MATCH("Total Current Liabilities",'Financials 財務數據'!$B$5:$B$14,0))),"n/a",INDEX('Financials 財務數據'!$D$5:$D$14,MATCH("Total Current Assets",'Financials 財務數據'!$B$5:$B$14,0))/INDEX('Financials 財務數據'!$D$5:$D$14,MATCH("Total Current Liabilities",'Financials 財務數據'!$B$5:$B$14,0)))</f>
        <v>3.522987513665919</v>
      </c>
      <c r="D7" s="2" t="inlineStr">
        <is>
          <t>流動資產 ÷ 流動負債</t>
        </is>
      </c>
    </row>
    <row r="8">
      <c r="A8" s="4" t="inlineStr">
        <is>
          <t>Debt / Equity 負債權益比</t>
        </is>
      </c>
      <c r="B8" s="18" t="str">
        <f>IF(ISERROR(INDEX('Financials 財務數據'!$C$5:$C$14,MATCH("Total Liabilities",'Financials 財務數據'!$B$5:$B$14,0))/INDEX('Financials 財務數據'!$C$5:$C$14,MATCH("Total Equity",'Financials 財務數據'!$B$5:$B$14,0))),"n/a",INDEX('Financials 財務數據'!$C$5:$C$14,MATCH("Total Liabilities",'Financials 財務數據'!$B$5:$B$14,0))/INDEX('Financials 財務數據'!$C$5:$C$14,MATCH("Total Equity",'Financials 財務數據'!$B$5:$B$14,0)))</f>
        <v>n/a</v>
      </c>
      <c r="C8" s="18" t="str">
        <f>IF(ISERROR(INDEX('Financials 財務數據'!$D$5:$D$14,MATCH("Total Liabilities",'Financials 財務數據'!$B$5:$B$14,0))/INDEX('Financials 財務數據'!$D$5:$D$14,MATCH("Total Equity",'Financials 財務數據'!$B$5:$B$14,0))),"n/a",INDEX('Financials 財務數據'!$D$5:$D$14,MATCH("Total Liabilities",'Financials 財務數據'!$B$5:$B$14,0))/INDEX('Financials 財務數據'!$D$5:$D$14,MATCH("Total Equity",'Financials 財務數據'!$B$5:$B$14,0)))</f>
        <v>n/a</v>
      </c>
      <c r="D8" s="2" t="inlineStr">
        <is>
          <t>總負債 ÷ 總權益</t>
        </is>
      </c>
    </row>
    <row r="9">
      <c r="A9" s="4" t="inlineStr">
        <is>
          <t>Goodwill / Total Assets</t>
        </is>
      </c>
      <c r="B9" s="17" t="str">
        <f>IF(ISERROR(INDEX('Financials 財務數據'!$C$5:$C$14,MATCH("Goodwill",'Financials 財務數據'!$B$5:$B$14,0))/INDEX('Financials 財務數據'!$C$5:$C$14,MATCH("Total Assets",'Financials 財務數據'!$B$5:$B$14,0))),"n/a",INDEX('Financials 財務數據'!$C$5:$C$14,MATCH("Goodwill",'Financials 財務數據'!$B$5:$B$14,0))/INDEX('Financials 財務數據'!$C$5:$C$14,MATCH("Total Assets",'Financials 財務數據'!$B$5:$B$14,0)))</f>
        <v>n/a</v>
      </c>
      <c r="C9" s="17" t="str">
        <f>IF(ISERROR(INDEX('Financials 財務數據'!$D$5:$D$14,MATCH("Goodwill",'Financials 財務數據'!$B$5:$B$14,0))/INDEX('Financials 財務數據'!$D$5:$D$14,MATCH("Total Assets",'Financials 財務數據'!$B$5:$B$14,0))),"n/a",INDEX('Financials 財務數據'!$D$5:$D$14,MATCH("Goodwill",'Financials 財務數據'!$B$5:$B$14,0))/INDEX('Financials 財務數據'!$D$5:$D$14,MATCH("Total Assets",'Financials 財務數據'!$B$5:$B$14,0)))</f>
        <v>n/a</v>
      </c>
      <c r="D9" s="2" t="inlineStr">
        <is>
          <t>商譽佔總資產比重 — 減值風險指標</t>
        </is>
      </c>
    </row>
    <row r="10">
      <c r="A10" s="4" t="inlineStr">
        <is>
          <t>Intangibles / Total Assets</t>
        </is>
      </c>
      <c r="B10" s="17" t="str">
        <f>IF(ISERROR(INDEX('Financials 財務數據'!$C$5:$C$14,MATCH("Intangible Assets",'Financials 財務數據'!$B$5:$B$14,0))/INDEX('Financials 財務數據'!$C$5:$C$14,MATCH("Total Assets",'Financials 財務數據'!$B$5:$B$14,0))),"n/a",INDEX('Financials 財務數據'!$C$5:$C$14,MATCH("Intangible Assets",'Financials 財務數據'!$B$5:$B$14,0))/INDEX('Financials 財務數據'!$C$5:$C$14,MATCH("Total Assets",'Financials 財務數據'!$B$5:$B$14,0)))</f>
        <v>n/a</v>
      </c>
      <c r="C10" s="17" t="str">
        <f>IF(ISERROR(INDEX('Financials 財務數據'!$D$5:$D$14,MATCH("Intangible Assets",'Financials 財務數據'!$B$5:$B$14,0))/INDEX('Financials 財務數據'!$D$5:$D$14,MATCH("Total Assets",'Financials 財務數據'!$B$5:$B$14,0))),"n/a",INDEX('Financials 財務數據'!$D$5:$D$14,MATCH("Intangible Assets",'Financials 財務數據'!$B$5:$B$14,0))/INDEX('Financials 財務數據'!$D$5:$D$14,MATCH("Total Assets",'Financials 財務數據'!$B$5:$B$14,0)))</f>
        <v>n/a</v>
      </c>
      <c r="D10" s="2" t="inlineStr">
        <is>
          <t>無形資產佔比</t>
        </is>
      </c>
    </row>
    <row r="11">
      <c r="A11" s="4" t="inlineStr">
        <is>
          <t>ROE 股本回報率</t>
        </is>
      </c>
      <c r="B11" s="17" t="str">
        <f>IF(ISERROR(INDEX('Financials 財務數據'!$C$5:$C$14,MATCH("Profit for the Year",'Financials 財務數據'!$B$5:$B$14,0))/INDEX('Financials 財務數據'!$C$5:$C$14,MATCH("Total Equity",'Financials 財務數據'!$B$5:$B$14,0))),"n/a",INDEX('Financials 財務數據'!$C$5:$C$14,MATCH("Profit for the Year",'Financials 財務數據'!$B$5:$B$14,0))/INDEX('Financials 財務數據'!$C$5:$C$14,MATCH("Total Equity",'Financials 財務數據'!$B$5:$B$14,0)))</f>
        <v>n/a</v>
      </c>
      <c r="C11" s="17" t="str">
        <f>IF(ISERROR(INDEX('Financials 財務數據'!$D$5:$D$14,MATCH("Profit for the Year",'Financials 財務數據'!$B$5:$B$14,0))/INDEX('Financials 財務數據'!$D$5:$D$14,MATCH("Total Equity",'Financials 財務數據'!$B$5:$B$14,0))),"n/a",INDEX('Financials 財務數據'!$D$5:$D$14,MATCH("Profit for the Year",'Financials 財務數據'!$B$5:$B$14,0))/INDEX('Financials 財務數據'!$D$5:$D$14,MATCH("Total Equity",'Financials 財務數據'!$B$5:$B$14,0)))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9" t="inlineStr">
        <is>
          <t>Item</t>
        </is>
      </c>
      <c r="B4" s="19" t="inlineStr">
        <is>
          <t>Prior</t>
        </is>
      </c>
      <c r="C4" s="19" t="inlineStr">
        <is>
          <t>Current</t>
        </is>
      </c>
    </row>
    <row r="5">
      <c r="A5" s="4" t="inlineStr">
        <is>
          <t>Revenue</t>
        </is>
      </c>
      <c r="B5" s="20" t="n">
        <v>-102</v>
      </c>
      <c r="C5" s="20" t="n">
        <v>-551</v>
      </c>
    </row>
    <row r="6">
      <c r="A6" s="4" t="inlineStr">
        <is>
          <t>Profit Before Tax</t>
        </is>
      </c>
      <c r="B6" s="20" t="n">
        <v>-28728</v>
      </c>
      <c r="C6" s="20" t="n">
        <v>-51094</v>
      </c>
    </row>
    <row r="7">
      <c r="A7" s="4" t="inlineStr">
        <is>
          <t>Total Equity</t>
        </is>
      </c>
      <c r="B7" s="20" t="n">
        <v>80119</v>
      </c>
      <c r="C7" s="20" t="n">
        <v>34556</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46"/>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8" t="inlineStr">
        <is>
          <t>主題 Topic</t>
        </is>
      </c>
      <c r="B3" s="8" t="inlineStr">
        <is>
          <t>中文</t>
        </is>
      </c>
      <c r="C3" s="8" t="inlineStr">
        <is>
          <t>優先</t>
        </is>
      </c>
      <c r="D3" s="8" t="inlineStr">
        <is>
          <t>命中詞</t>
        </is>
      </c>
      <c r="E3" s="8" t="inlineStr">
        <is>
          <t>來源頁</t>
        </is>
      </c>
      <c r="F3" s="8" t="inlineStr">
        <is>
          <t>段落 Snippet</t>
        </is>
      </c>
    </row>
    <row r="4">
      <c r="A4" s="9" t="inlineStr">
        <is>
          <t>Fair Value Measurement</t>
        </is>
      </c>
      <c r="B4" s="9" t="inlineStr">
        <is>
          <t>公允價值計量</t>
        </is>
      </c>
      <c r="C4" s="21" t="inlineStr">
        <is>
          <t>high</t>
        </is>
      </c>
      <c r="D4" s="12" t="inlineStr">
        <is>
          <t>獨立估值師</t>
        </is>
      </c>
      <c r="E4" s="12" t="inlineStr">
        <is>
          <t>PDF p.71 (印刷頁 70)</t>
        </is>
      </c>
      <c r="F4" s="12" t="inlineStr">
        <is>
          <t>to exercise significant appropriateness of key input data used in the judgement and make estimation to assess (1) valuation; 獲取管理層的外部獨立估值師所編製的估值報告， whether an event has occurred or any indicators 以評估估值方法的適當性及關鍵假設的合理性；並 that may affect the value of the CGU; (2) 評估估值中使用的關鍵輸入數據的適當性； whether the carrying value of the CGU can be supported by the recoverable amount; and (3) the appropriate key assumptions to be applied • Evaluating the independent external valuer’s in estimating the recoverable amounts including competence, capabilit</t>
        </is>
      </c>
    </row>
    <row r="5">
      <c r="A5" s="9" t="inlineStr">
        <is>
          <t>Fair Value Measurement</t>
        </is>
      </c>
      <c r="B5" s="9" t="inlineStr">
        <is>
          <t>公允價值計量</t>
        </is>
      </c>
      <c r="C5" s="21" t="inlineStr">
        <is>
          <t>high</t>
        </is>
      </c>
      <c r="D5" s="12" t="inlineStr">
        <is>
          <t>valuation technique</t>
        </is>
      </c>
      <c r="E5" s="12" t="inlineStr">
        <is>
          <t>PDF p.96 (印刷頁 95)</t>
        </is>
      </c>
      <c r="F5" s="12" t="inlineStr">
        <is>
          <t>了市場參與者於計量 date, regardless of whether that price 日期為該資產或負債進行定價時將會 is directly observable or estimated 考慮的資產或負債特徵。在此等綜合 using another valuation technique. In 財務報表中計量及╱或披露的公平價 estimating the fair value of an asset or 值均在此基礎上予以確定，惟香港財 a liability, the Group takes into account 務報告準則第2號以股份為基礎付款 the characteristics of the asset or 範圍內之以股份為基礎付款交易、根 liability if market participants would 據香港財務報告準則第16號列賬之租 take those characteristics into account 賃交易及與公平價值類似但並非公平 when pricing the asset or liability at 價值的計量（例如香港會計準則第2號 the measurement da</t>
        </is>
      </c>
    </row>
    <row r="6">
      <c r="A6" s="9" t="inlineStr">
        <is>
          <t>Fair Value Measurement</t>
        </is>
      </c>
      <c r="B6" s="9" t="inlineStr">
        <is>
          <t>公允價值計量</t>
        </is>
      </c>
      <c r="C6" s="21" t="inlineStr">
        <is>
          <t>high</t>
        </is>
      </c>
      <c r="D6" s="12" t="inlineStr">
        <is>
          <t>level 1</t>
        </is>
      </c>
      <c r="E6" s="12" t="inlineStr">
        <is>
          <t>PDF p.97 (印刷頁 96)</t>
        </is>
      </c>
      <c r="F6" s="12" t="inlineStr">
        <is>
          <t>公平價值計量 In addition, for financial reporting 根據公平價值計量之輸入數據可觀察 purposes, fair value measurements are 程度及輸入數據對公平價值計量之整 categorised into Level 1, 2 or 3 based 體重要性分類為第一級、第二級或第 on the degree to which the inputs 三級，載述如下： to the fair value measurements are observable and the significance of the inputs to the fair value measurement in its entirety, which are described as follows: 第一級輸入數據是實體於計量日 • Level 1 inputs are quoted prices • 期可以取得的相同資產或負債於 (unadjusted) in active markets 活躍市場之報價（未經調整）； for identical assets or liabilities that the</t>
        </is>
      </c>
    </row>
    <row r="7">
      <c r="A7" s="9" t="inlineStr">
        <is>
          <t>Fair Value Measurement</t>
        </is>
      </c>
      <c r="B7" s="9" t="inlineStr">
        <is>
          <t>公允價值計量</t>
        </is>
      </c>
      <c r="C7" s="21" t="inlineStr">
        <is>
          <t>high</t>
        </is>
      </c>
      <c r="D7" s="12" t="inlineStr">
        <is>
          <t>unobservable input</t>
        </is>
      </c>
      <c r="E7" s="12" t="inlineStr">
        <is>
          <t>PDF p.178 (印刷頁 177)</t>
        </is>
      </c>
      <c r="F7" s="12" t="inlineStr">
        <is>
          <t>可觀察輸入值，使用估值技術 are measured at fair value with fair value 釐定，並於確立相關估值技術及相關輸入 being determined based on significant 值時需要作出判斷及估計。假設或輸入值 unobservable inputs using valuation 的變動可能會影響該等工具的報告公平 techniques, judgement and estimation 價值。估值方法或輸入值之詳情載於附註 are required in establishing the relevant 39c。 valuation techniques and the relevant imputes thereof. Changes in assumptions or inputs could affect the reported fair values of these instruments. Details of valuation methodologies or inputs are set out in Note 39c. 年報 文化傳信集團有限公司 2025-2026</t>
        </is>
      </c>
    </row>
    <row r="8">
      <c r="A8" s="9" t="inlineStr">
        <is>
          <t>Fair Value Measurement</t>
        </is>
      </c>
      <c r="B8" s="9" t="inlineStr">
        <is>
          <t>公允價值計量</t>
        </is>
      </c>
      <c r="C8" s="21" t="inlineStr">
        <is>
          <t>high</t>
        </is>
      </c>
      <c r="D8" s="12" t="inlineStr">
        <is>
          <t>fair value hierarchy</t>
        </is>
      </c>
      <c r="E8" s="12" t="inlineStr">
        <is>
          <t>PDF p.283 (印刷頁 282)</t>
        </is>
      </c>
      <c r="F8" s="12" t="inlineStr">
        <is>
          <t>of the Group’s financial i) 本集團金融資產之公平價值 assets that are measured at fair value on a recurring basis 金融資產整體所應歸入之公平價 The level in the fair value hierarchy 值層級內之等級，乃基於對公平 within which the financial asset 價值計量具有重大意義之最低層 is categorised in its entirety is 級輸入數據。 based on the lowest level of input that is significant to the fair value measurement. 下表說明本集團金融工具之公平 The following table illustrates 價值計量層級： t h e fa i r va l u e m e a s u re m e n t hierarchy of the Group’s financial instruments: Significant Relationship of Fair value unob</t>
        </is>
      </c>
    </row>
    <row r="9">
      <c r="A9" s="9" t="inlineStr">
        <is>
          <t>Fair Value Measurement</t>
        </is>
      </c>
      <c r="B9" s="9" t="inlineStr">
        <is>
          <t>公允價值計量</t>
        </is>
      </c>
      <c r="C9" s="21" t="inlineStr">
        <is>
          <t>high</t>
        </is>
      </c>
      <c r="D9" s="12" t="inlineStr">
        <is>
          <t>level 1</t>
        </is>
      </c>
      <c r="E9" s="12" t="inlineStr">
        <is>
          <t>PDF p.284 (印刷頁 283)</t>
        </is>
      </c>
      <c r="F9" s="12" t="inlineStr">
        <is>
          <t>2026 97 截至二零二六年及二零二五年三 During the years ended 31 March 月三十一日止年度，並無第1級 2026 and 2025, there were no 與第2級之間的轉移，或第3級的 transfers between level 1 and 2, or 轉入或轉出。 transfer into or out of level 3. 並非按經常性基準以公平價值計 The fair value of other financial 量之其他金融資產及金融負債之 assets and financial liabilities that 公平價值是根據公認定價模式按 are not measured at fair value on 照貼現現金流量分析而確定。 a recurring basis are determined in accordance with generally accepted pricing models based on discounted cash flow analysis. 年報 文化傳信集團有限公司 2025-2026 283</t>
        </is>
      </c>
    </row>
    <row r="10">
      <c r="A10" s="9" t="inlineStr">
        <is>
          <t>Fair Value Measurement</t>
        </is>
      </c>
      <c r="B10" s="9" t="inlineStr">
        <is>
          <t>公允價值計量</t>
        </is>
      </c>
      <c r="C10" s="21" t="inlineStr">
        <is>
          <t>high</t>
        </is>
      </c>
      <c r="D10" s="12" t="inlineStr">
        <is>
          <t>level 3</t>
        </is>
      </c>
      <c r="E10" s="12" t="inlineStr">
        <is>
          <t>PDF p.285 (印刷頁 284)</t>
        </is>
      </c>
      <c r="F10" s="12" t="inlineStr">
        <is>
          <t>十一日止年度 金融工具（續） 39. FINANCIAL INSTRUMENTS 39. (Continued) 公平價值（續） c. Fair values (Continued) c. 第3級公平價值計量的對賬（續） ii) Reconciliation of Level 3 fair ii) value measurements (Continued) 董事認為於綜合財務報表內按攤 The directors consider that the 銷成本入賬之金融資產及金融負 carrying amounts of financial 債之賬面值與其公平價值相若。 assets and financial liabilities recorded at amortised cost in the consolidated financial statements approximate their fair value. 其他綜合收益包括一筆約為 Included in other comprehensive 319,000港元的虧損（二零二五 i n c o m e i s a n a m o u n t o f 年：5,000港元的收益），該</t>
        </is>
      </c>
    </row>
    <row r="11">
      <c r="A11" s="9" t="inlineStr">
        <is>
          <t>Impairment Testing</t>
        </is>
      </c>
      <c r="B11" s="9" t="inlineStr">
        <is>
          <t>減值測試</t>
        </is>
      </c>
      <c r="C11" s="21" t="inlineStr">
        <is>
          <t>high</t>
        </is>
      </c>
      <c r="D11" s="12" t="inlineStr">
        <is>
          <t>impairment loss</t>
        </is>
      </c>
      <c r="E11" s="12" t="inlineStr">
        <is>
          <t>PDF p.8 (印刷頁 7)</t>
        </is>
      </c>
      <c r="F11" s="12" t="inlineStr">
        <is>
          <t>ed on the 的無形資產減值虧損。 value-in-use calculation as at 31 March 2026, the recoverable amount was determined to be nominal. As a result, impairment losses of approximately HK$22.8 million on intangible assets were recognised during the year. 年報 文化傳信集團有限公司 2025-2026 7</t>
        </is>
      </c>
    </row>
    <row r="12">
      <c r="A12" s="9" t="inlineStr">
        <is>
          <t>Impairment Testing</t>
        </is>
      </c>
      <c r="B12" s="9" t="inlineStr">
        <is>
          <t>減值測試</t>
        </is>
      </c>
      <c r="C12" s="21" t="inlineStr">
        <is>
          <t>high</t>
        </is>
      </c>
      <c r="D12" s="12" t="inlineStr">
        <is>
          <t>impairment loss</t>
        </is>
      </c>
      <c r="E12" s="12" t="inlineStr">
        <is>
          <t>PDF p.13 (印刷頁 12)</t>
        </is>
      </c>
      <c r="F12" s="12" t="inlineStr">
        <is>
          <t>MANAGEMENT DISCUSSION AND ANALYSIS 管理層討論及分析 財務業績（續） FINANCIAL RESULTS (Continued) 其他減值虧損 4. Other impairment losses 4. 由於資產的可收回性評估，已確認使用 An impairment loss on right-of-use assets of 權資產減值虧損約零港元（二零二五年： approximately HK$Nil (2025: HK$1,689,000) 1,689,000港元）。 has been recognised due to the assessment of the assets’ recoverability. 截至二零二六年三月三十一日止年度，就 During the year ended 31 March 2026, 存貨確認約390,000港元的減值虧損（二零 an impairment loss of approximately 二五年：零港元）。 HK$390,000 (2025:HK$Nil) was recognised in</t>
        </is>
      </c>
    </row>
    <row r="13">
      <c r="A13" s="9" t="inlineStr">
        <is>
          <t>Impairment Testing</t>
        </is>
      </c>
      <c r="B13" s="9" t="inlineStr">
        <is>
          <t>減值測試</t>
        </is>
      </c>
      <c r="C13" s="21" t="inlineStr">
        <is>
          <t>high</t>
        </is>
      </c>
      <c r="D13" s="12" t="inlineStr">
        <is>
          <t>減值虧損</t>
        </is>
      </c>
      <c r="E13" s="12" t="inlineStr">
        <is>
          <t>PDF p.15 (印刷頁 14)</t>
        </is>
      </c>
      <c r="F13" s="12" t="inlineStr">
        <is>
          <t>o equity attributable to owners of the Company. 本集團資產負債比率由20.8%上升至56.8%，主 The increase in gearing ratio from 20.8% to 56.8% 要由於年內確認重大減值虧損導致本集團權益 is primarily due to the significant impairment 基數減少，以及應計開支及其他應付款項有所增 losses recognised during the year, which 加。本集團持續密切監控其流動資金狀況，並已 reduced the Group’s equity base, as well as 採取措施改善營運資金管理。 an increase in accrued expenses and other payables. The Group continues to monitor its liquidity position closely and has taken steps to improve its working capital management. 僱傭及薪酬政策 EMPLOYMENT AN</t>
        </is>
      </c>
    </row>
    <row r="14">
      <c r="A14" s="9" t="inlineStr">
        <is>
          <t>Impairment Testing</t>
        </is>
      </c>
      <c r="B14" s="9" t="inlineStr">
        <is>
          <t>減值測試</t>
        </is>
      </c>
      <c r="C14" s="21" t="inlineStr">
        <is>
          <t>high</t>
        </is>
      </c>
      <c r="D14" s="12" t="inlineStr">
        <is>
          <t>recoverable amount</t>
        </is>
      </c>
      <c r="E14" s="12" t="inlineStr">
        <is>
          <t>PDF p.70 (印刷頁 69)</t>
        </is>
      </c>
      <c r="F14" s="12" t="inlineStr">
        <is>
          <t>ng business included: 我們有關自然語言處理業務現金產生單位的減值評估的 matter due to the identification of impairment 程序包括以下各項： indicators and estimation of recoverable amount of the CGU relating to the natural language processing business to which those assets • Evaluating and challenging the components belong requires significant management’s of, and the process used to prepare, the judgments and estimations. Group’s future cash flow forecasts for the CGU 我們將自然語言處理業務現金產生單位（「現金產生單 relating to the natural language processing 位」）的減值評估識別為一項關鍵審計事項，原因為由於</t>
        </is>
      </c>
    </row>
    <row r="15">
      <c r="A15" s="9" t="inlineStr">
        <is>
          <t>Impairment Testing</t>
        </is>
      </c>
      <c r="B15" s="9" t="inlineStr">
        <is>
          <t>減值測試</t>
        </is>
      </c>
      <c r="C15" s="21" t="inlineStr">
        <is>
          <t>high</t>
        </is>
      </c>
      <c r="D15" s="12" t="inlineStr">
        <is>
          <t>impairment loss</t>
        </is>
      </c>
      <c r="E15" s="12" t="inlineStr">
        <is>
          <t>PDF p.71 (印刷頁 70)</t>
        </is>
      </c>
      <c r="F15" s="12" t="inlineStr">
        <is>
          <t>s HK$ Nil consolidated financial statements. 考慮綜合財務報表內有關自然語言處理業務現金 (2025: approximately of HK$25,276,000) and 產生單位的減值評估的披露資料是否充分且適當。 impairment loss of approximately HK$22,833,000 (2025: HK$ Nil) was recognised during the year. 誠如綜合財務報表附註4所載，管理層對自然語言處理 業務現金產生單位進行了減值評估。在確定資產是否 減值時，管理層須運用重大判斷並作出估計，以評估： (1)是否發生可能影響現金產生單位價值的事項或出現 任何跡象；(2)現金產生單位的賬面值是否能得到可收 回金額的支持；及(3)估計可收回金額時應用的適當主 要假設，包括現金流量預測及適當的貼現率。誠如綜合 財務報表附註19所進一步披露，管理層對與自然語言 處理業務現金產生單位進行了減值評估。考慮到 貴集 團首個量產應用項目的商業化失敗及AI產品市場競爭 激烈帶來的估計不確定性增加，管理層認為與自然語 言處理業務現金產生單位相關的無形資產（即：專利技 術）的賬</t>
        </is>
      </c>
    </row>
    <row r="16">
      <c r="A16" s="9" t="inlineStr">
        <is>
          <t>Impairment Testing</t>
        </is>
      </c>
      <c r="B16" s="9" t="inlineStr">
        <is>
          <t>減值測試</t>
        </is>
      </c>
      <c r="C16" s="21" t="inlineStr">
        <is>
          <t>high</t>
        </is>
      </c>
      <c r="D16" s="12" t="inlineStr">
        <is>
          <t>impairment loss</t>
        </is>
      </c>
      <c r="E16" s="12" t="inlineStr">
        <is>
          <t>PDF p.78 (印刷頁 77)</t>
        </is>
      </c>
      <c r="F16" s="12" t="inlineStr">
        <is>
          <t>(11,053) (9,701) 毛利 Gross profit 5,652 7,627 其他收入 Other income 6 463 565 其他收益或虧損 Other gains or losses 7 (616) (1,743) 預期信貸虧損（「預期信貸 Impairment loss under expected 虧損」）模型下之減值虧 credit loss (“ECL”) model, net of 損，扣除撥回 reversal (1,020) (888) 其他減值虧損 Other impairment losses 8 (28,105) (2,241) 行政費用 Administrative expenses (24,158) (26,391) 其他費用 Other expenses 11 (3,032) (5,400) 財務費用 Finance costs 9 (233) (133) 應佔一間聯營公司虧損 Share of loss of an associate (45) (124) 除稅前虧損 Loss before tax 11 (51,094) (28,728) 所得稅（開支）抵免 Income tax (expense</t>
        </is>
      </c>
    </row>
    <row r="17">
      <c r="A17" s="9" t="inlineStr">
        <is>
          <t>Impairment Testing</t>
        </is>
      </c>
      <c r="B17" s="9" t="inlineStr">
        <is>
          <t>減值測試</t>
        </is>
      </c>
      <c r="C17" s="21" t="inlineStr">
        <is>
          <t>high</t>
        </is>
      </c>
      <c r="D17" s="12" t="inlineStr">
        <is>
          <t>impairment loss</t>
        </is>
      </c>
      <c r="E17" s="12" t="inlineStr">
        <is>
          <t>PDF p.86 (印刷頁 85)</t>
        </is>
      </c>
      <c r="F17" s="12" t="inlineStr">
        <is>
          <t>平價值 change of financial assets at 變動虧損（收益） FVTPL 7 65 (447) 撇銷物業及設備之 Loss on written off of property 虧損 and equipment 7 – 1 就下列各項確認之 Impairment losses recognised 減值虧損： in respect of: －使用權資產 – Right-of-use assets 17 – 1,689 －無形資產 – Intangible assets 19 22,833 552 －已付無形資產按金 – Deposits paid for intangible assets 24 4,882 – －存貨 – Inventories 22 390 – 預期信貸虧損模型下之 Impairment loss under ECL 減值虧損，扣除撥回 model, net of reversal 1,020 888 物業及設備減值虧損撥回 Reversal of impairment loss on property and equipment 16 – (49) 應佔一間聯營公司虧損 Share of loss of</t>
        </is>
      </c>
    </row>
    <row r="18">
      <c r="A18" s="9" t="inlineStr">
        <is>
          <t>Impairment Testing</t>
        </is>
      </c>
      <c r="B18" s="9" t="inlineStr">
        <is>
          <t>減值測試</t>
        </is>
      </c>
      <c r="C18" s="21" t="inlineStr">
        <is>
          <t>high</t>
        </is>
      </c>
      <c r="D18" s="12" t="inlineStr">
        <is>
          <t>value in use</t>
        </is>
      </c>
      <c r="E18" s="12" t="inlineStr">
        <is>
          <t>PDF p.96 (印刷頁 95)</t>
        </is>
      </c>
      <c r="F18" s="12" t="inlineStr">
        <is>
          <t>ents that have some similarities to fair value but are not fair value, such as net realisable value (“NRV”) in HKAS 2 Inventories or value in use in HKAS 36 Impairment of Assets. 年報 文化傳信集團有限公司 2025-2026 95</t>
        </is>
      </c>
    </row>
    <row r="19">
      <c r="A19" s="9" t="inlineStr">
        <is>
          <t>Impairment Testing</t>
        </is>
      </c>
      <c r="B19" s="9" t="inlineStr">
        <is>
          <t>減值測試</t>
        </is>
      </c>
      <c r="C19" s="21" t="inlineStr">
        <is>
          <t>high</t>
        </is>
      </c>
      <c r="D19" s="12" t="inlineStr">
        <is>
          <t>impairment test</t>
        </is>
      </c>
      <c r="E19" s="12" t="inlineStr">
        <is>
          <t>PDF p.104 (印刷頁 103)</t>
        </is>
      </c>
      <c r="F19" s="12" t="inlineStr">
        <is>
          <t>n of the business (see the accounting policy above) less accumulated impairment losses, if any. 就減值測試而言，商譽會被分配予預 For the purposes of impairment testing, 期會受惠於合併協同效益的本集團各 goodwill is allocated to each of the 現金產生單位（「現金產生單位」）（或 Group’s cash-generating units (“CGUs”) 現金產生單位組別），而該單位或單位 (or group of CGUs) that is expected 組別指就內部管理目的監控商譽的最 to benefit from the synergies of the 低層級且不得大於業務分部。 combination, which represent the lowest level at which the goodwill is monitored for internal management purposes and not larger than an operating</t>
        </is>
      </c>
    </row>
    <row r="20">
      <c r="A20" s="9" t="inlineStr">
        <is>
          <t>Impairment Testing</t>
        </is>
      </c>
      <c r="B20" s="9" t="inlineStr">
        <is>
          <t>減值測試</t>
        </is>
      </c>
      <c r="C20" s="21" t="inlineStr">
        <is>
          <t>high</t>
        </is>
      </c>
      <c r="D20" s="12" t="inlineStr">
        <is>
          <t>impairment loss</t>
        </is>
      </c>
      <c r="E20" s="12" t="inlineStr">
        <is>
          <t>PDF p.105 (印刷頁 104)</t>
        </is>
      </c>
      <c r="F20" s="12" t="inlineStr">
        <is>
          <t>d of 而以該單位（或現金產生單位組別）內 that reporting period. If the recoverable 各資產的賬面值為基準按比例分配至 amount is less than its carrying amount, 其他資產。 the impairment loss is allocated first to reduce the carrying amount of any goodwill and then to the other assets on a pro-rata basis based on the carrying amount of each asset in the unit (or group of CGUs). 104 Culturecom Holdings Limited Annual Report 2025-2026</t>
        </is>
      </c>
    </row>
    <row r="21">
      <c r="A21" s="9" t="inlineStr">
        <is>
          <t>Impairment Testing</t>
        </is>
      </c>
      <c r="B21" s="9" t="inlineStr">
        <is>
          <t>減值測試</t>
        </is>
      </c>
      <c r="C21" s="21" t="inlineStr">
        <is>
          <t>high</t>
        </is>
      </c>
      <c r="D21" s="12" t="inlineStr">
        <is>
          <t>impairment loss</t>
        </is>
      </c>
      <c r="E21" s="12" t="inlineStr">
        <is>
          <t>PDF p.108 (印刷頁 107)</t>
        </is>
      </c>
      <c r="F21" s="12" t="inlineStr">
        <is>
          <t>部分之任何資產（包括商譽）。倘 value in use and fair value less costs 投資可收回金額其後增加，減值虧損 of disposal) with its carrying amount. 任何撥回將根據香港會計準則第36號 Any impairment loss recognised is 確認。 not allocated to any assets, including goodwill, that forms part of the carrying amount of the investment. Any reversal of that impairment loss is recognised in accordance with HKAS 36 to the extent that the recoverable amount of the investment subsequently increases. 年報 文化傳信集團有限公司 2025-2026 107</t>
        </is>
      </c>
    </row>
    <row r="22">
      <c r="A22" s="9" t="inlineStr">
        <is>
          <t>Impairment Testing</t>
        </is>
      </c>
      <c r="B22" s="9" t="inlineStr">
        <is>
          <t>減值測試</t>
        </is>
      </c>
      <c r="C22" s="21" t="inlineStr">
        <is>
          <t>high</t>
        </is>
      </c>
      <c r="D22" s="12" t="inlineStr">
        <is>
          <t>impairment loss</t>
        </is>
      </c>
      <c r="E22" s="12" t="inlineStr">
        <is>
          <t>PDF p.123 (印刷頁 122)</t>
        </is>
      </c>
      <c r="F22" s="12" t="inlineStr">
        <is>
          <t>Group. 使用權資產乃按成本減任何累計折舊 Right-of-use assets are measured at cost, 及減值虧損計量，並就租賃負債之任 less any accumulated depreciation and 何重新計量作出調整。 impairment losses, and adjusted for any remeasurement of lease liabilities. 使用權資產於其估計可使用年期及租 Right-of-use assets are depreciated on 期內（以較短者為準）以直線法計提折 a straight-line basis over the shorter of 舊。 its estimated useful life and the lease term. 本集團於綜合財務狀況表將使用權資 The Group presents right-of-use assets as 產以獨立項目呈列。 a separate line item on the consolidated statement of financial position. 122 Culturecom H</t>
        </is>
      </c>
    </row>
    <row r="23">
      <c r="A23" s="9" t="inlineStr">
        <is>
          <t>Impairment Testing</t>
        </is>
      </c>
      <c r="B23" s="9" t="inlineStr">
        <is>
          <t>減值測試</t>
        </is>
      </c>
      <c r="C23" s="21" t="inlineStr">
        <is>
          <t>high</t>
        </is>
      </c>
      <c r="D23" s="12" t="inlineStr">
        <is>
          <t>impairment loss</t>
        </is>
      </c>
      <c r="E23" s="12" t="inlineStr">
        <is>
          <t>PDF p.142 (印刷頁 141)</t>
        </is>
      </c>
      <c r="F23" s="12" t="inlineStr">
        <is>
          <t>ed statement of financial position at cost less subsequent accumulated d e p r e c i a t i o n a n d s u b s e q u e n t accumulated impairment losses, if any. 折舊乃以撇銷資產成本減剩餘價值除 Depreciation is recognised so as to 以估計可使用年期用直線法確認。估 write off the cost of assets less their 計可使用年期、剩餘價值及折舊方法 residual values over their estimated 會在每個報告期末覆核，而估計之任 useful lives, using the straight-line 何變動影響按未來適用法予以入賬。 method. The estimated useful lives, residual values and depreciation method are reviewed at the end of each reporting period, with the ef</t>
        </is>
      </c>
    </row>
    <row r="24">
      <c r="A24" s="9" t="inlineStr">
        <is>
          <t>Impairment Testing</t>
        </is>
      </c>
      <c r="B24" s="9" t="inlineStr">
        <is>
          <t>減值測試</t>
        </is>
      </c>
      <c r="C24" s="21" t="inlineStr">
        <is>
          <t>high</t>
        </is>
      </c>
      <c r="D24" s="12" t="inlineStr">
        <is>
          <t>impairment loss</t>
        </is>
      </c>
      <c r="E24" s="12" t="inlineStr">
        <is>
          <t>PDF p.143 (印刷頁 142)</t>
        </is>
      </c>
      <c r="F24" s="12" t="inlineStr">
        <is>
          <t>separately are 減值虧損入賬。具備有限可使用年期 carried at costs less accumulated 的無形資產攤銷於其估計可使用年期 amortisation and any accumulated 內以直線法確認。估計可使用年期及 impairment losses. Amortisation for 攤銷方法於各個報告期末予以檢討， intangible assets with finite useful lives 而估計之任何變動影響按未來適用法 is recognised on a straight-line basis 予以入賬。個別收購而具備無限可使 over their estimated useful lives. The 用年期的無形資產按成本減任何其後 estimated useful life and amortisation 累計減值虧損入賬。 method are reviewed at the end of each reporting period, with the effect of any changes in estimate being accounted for on a p</t>
        </is>
      </c>
    </row>
    <row r="25">
      <c r="A25" s="9" t="inlineStr">
        <is>
          <t>Impairment Testing</t>
        </is>
      </c>
      <c r="B25" s="9" t="inlineStr">
        <is>
          <t>減值測試</t>
        </is>
      </c>
      <c r="C25" s="21" t="inlineStr">
        <is>
          <t>high</t>
        </is>
      </c>
      <c r="D25" s="12" t="inlineStr">
        <is>
          <t>impairment loss</t>
        </is>
      </c>
      <c r="E25" s="12" t="inlineStr">
        <is>
          <t>PDF p.145 (印刷頁 144)</t>
        </is>
      </c>
      <c r="F25" s="12" t="inlineStr">
        <is>
          <t>ntangible assets （如有），並按與個別收購之無形資產 are reported at cost less accumulated 相同之基準報告。 a m o r t i s a t i o n a n d a c c u m u l a te d impairment losses (if any), on the same basis as intangible assets that are acquired separately. 144 Culturecom Holdings Limited Annual Report 2025-2026</t>
        </is>
      </c>
    </row>
    <row r="26">
      <c r="A26" s="9" t="inlineStr">
        <is>
          <t>Impairment Testing</t>
        </is>
      </c>
      <c r="B26" s="9" t="inlineStr">
        <is>
          <t>減值測試</t>
        </is>
      </c>
      <c r="C26" s="21" t="inlineStr">
        <is>
          <t>high</t>
        </is>
      </c>
      <c r="D26" s="12" t="inlineStr">
        <is>
          <t>impairment loss</t>
        </is>
      </c>
      <c r="E26" s="12" t="inlineStr">
        <is>
          <t>PDF p.146 (印刷頁 145)</t>
        </is>
      </c>
      <c r="F26" s="12" t="inlineStr">
        <is>
          <t>ful lives are 累計攤銷及任何累計減值虧損進行報 reported at costs less accumulated 告。於業務合併中收購之具備無限可 amortisation and any accumulated 使用年期之無形資產按成本減任何後 impairment losses, on the same basis 續累計減值虧損列賬。 as intangible assets that are acquired separately. Intangible assets acquired in a business combination with indefinite useful lives are carried at cost less any subsequent accumulated impairment losses. 無形資產於出售時或當預計將不會自 An intangible asset is derecognised on 使用或出售中獲取未來經濟利益時取 disposal, or when no future economic 消確認。取消確認無形資產所產生之 benefits are expected</t>
        </is>
      </c>
    </row>
    <row r="27">
      <c r="A27" s="9" t="inlineStr">
        <is>
          <t>Impairment Testing</t>
        </is>
      </c>
      <c r="B27" s="9" t="inlineStr">
        <is>
          <t>減值測試</t>
        </is>
      </c>
      <c r="C27" s="21" t="inlineStr">
        <is>
          <t>high</t>
        </is>
      </c>
      <c r="D27" s="12" t="inlineStr">
        <is>
          <t>impairment loss</t>
        </is>
      </c>
      <c r="E27" s="12" t="inlineStr">
        <is>
          <t>PDF p.147 (印刷頁 146)</t>
        </is>
      </c>
      <c r="F27" s="12" t="inlineStr">
        <is>
          <t>受至少一 recoverable amount of the relevant 次減值測試，且每當有跡象顯示該等 asset is estimated in order to determine 資產可能遭受減值，其亦會接受減值 the extent of the impairment loss (if 測試。 any). Intangible assets with indefinite useful lives and intangible assets not yet available for use are tested for impairment at least annually, and whenever there is an indication that they may be impaired. 物業及設備、使用權資產及無形資產 The recoverable amount of property 之可收回金額乃個別估計。當不可能 and equipment, right-of-use assets 估計個別項目之可收回金額時，本集 and intangible assets are estimated 團估計該資產所屬之現</t>
        </is>
      </c>
    </row>
    <row r="28">
      <c r="A28" s="9" t="inlineStr">
        <is>
          <t>Impairment Testing</t>
        </is>
      </c>
      <c r="B28" s="9" t="inlineStr">
        <is>
          <t>減值測試</t>
        </is>
      </c>
      <c r="C28" s="21" t="inlineStr">
        <is>
          <t>high</t>
        </is>
      </c>
      <c r="D28" s="12" t="inlineStr">
        <is>
          <t>recoverable amount</t>
        </is>
      </c>
      <c r="E28" s="12" t="inlineStr">
        <is>
          <t>PDF p.148 (印刷頁 147)</t>
        </is>
      </c>
      <c r="F28" s="12" t="inlineStr">
        <is>
          <t>p of CGUs 位或現金產生單位組別釐定，並與相 for which a reasonable and consistent 關現金產生單位或現金產生單位組別 allocation basis can be established. 之賬面值進行比較。 The recoverable amount is determined for the CGU or group of CGUs to which the corporate asset belongs, and is compared with the carrying amount of the relevant CGU or group of CGUs. 可收回金額為公平價值減出售成本與 Recoverable amount is the higher of fair 使用價值兩者之較高者。於評估使用 value less costs of disposal and VIU. In 價值時，估計未來現金流量乃採用稅 assessing VIU, the estimated future cash 前貼現率貼現至彼等之現值，而該貼 flows are discounted to their</t>
        </is>
      </c>
    </row>
    <row r="29">
      <c r="A29" s="9" t="inlineStr">
        <is>
          <t>Impairment Testing</t>
        </is>
      </c>
      <c r="B29" s="9" t="inlineStr">
        <is>
          <t>減值測試</t>
        </is>
      </c>
      <c r="C29" s="21" t="inlineStr">
        <is>
          <t>high</t>
        </is>
      </c>
      <c r="D29" s="12" t="inlineStr">
        <is>
          <t>impairment loss</t>
        </is>
      </c>
      <c r="E29" s="12" t="inlineStr">
        <is>
          <t>PDF p.149 (印刷頁 148)</t>
        </is>
      </c>
      <c r="F29" s="12" t="inlineStr">
        <is>
          <t>比例分配至其他資產。一項 the recoverable amount of the group 資產之賬面值不會調低至低於其公平 of CGUs. In allocating the impairment 價值減出售成本（倘可計量）、使用價值 loss, the impairment loss is allocated （倘可確定）及零（以最高者為準）。分 first to reduce the carrying amount 配至資產之減值虧損數額則按單位或 of any goodwill (if applicable) and 現金產生單位組別之其他資產比例分 then to the other assets on a pro-rata 配。減值虧損乃即時於損益確認。 basis based on the carrying amount of each asset in the unit or the group of CGUs. The carrying amount of an asset is not reduced below the highest of its fair value less costs of disposal (i</t>
        </is>
      </c>
    </row>
    <row r="30">
      <c r="A30" s="9" t="inlineStr">
        <is>
          <t>Impairment Testing</t>
        </is>
      </c>
      <c r="B30" s="9" t="inlineStr">
        <is>
          <t>減值測試</t>
        </is>
      </c>
      <c r="C30" s="21" t="inlineStr">
        <is>
          <t>high</t>
        </is>
      </c>
      <c r="D30" s="12" t="inlineStr">
        <is>
          <t>impairment loss</t>
        </is>
      </c>
      <c r="E30" s="12" t="inlineStr">
        <is>
          <t>PDF p.150 (印刷頁 149)</t>
        </is>
      </c>
      <c r="F30" s="12" t="inlineStr">
        <is>
          <t>rty and 的減值（商譽除外）（續） equipment, right-of-use assets and intangible assets other than goodwill (Continued) 倘減值虧損於其後撥回，該資產（或現 Where an impairment loss subsequently 金產生單位或現金產生單位組別）的 reverses, the carrying amount of the 賬面值增加至其可收回金額的經修訂 asset (or CGU or a group of CGUs) is 估計值，惟增加後的賬面值不能超過 increased to the revised estimate of 該資產（或現金產生單位或現金產生 its recoverable amount, but so that 單位組別）倘過往年度並無確認減值 the increased carrying amount does 虧損原應有的賬面值。減值虧損的撥 not exceed the carrying amount that 回於損益中確認。 would have been determined had no impairme</t>
        </is>
      </c>
    </row>
    <row r="31">
      <c r="A31" s="9" t="inlineStr">
        <is>
          <t>Impairment Testing</t>
        </is>
      </c>
      <c r="B31" s="9" t="inlineStr">
        <is>
          <t>減值測試</t>
        </is>
      </c>
      <c r="C31" s="21" t="inlineStr">
        <is>
          <t>high</t>
        </is>
      </c>
      <c r="D31" s="12" t="inlineStr">
        <is>
          <t>impairment loss</t>
        </is>
      </c>
      <c r="E31" s="12" t="inlineStr">
        <is>
          <t>PDF p.177 (印刷頁 176)</t>
        </is>
      </c>
      <c r="F31" s="12" t="inlineStr">
        <is>
          <t>uture cash flow expected to arise from the associate. Where the recoverable amount is less than or more than expected, an additional impairment loss or reversal of impairment loss may arise. 於二零二六年三月三十一日，於一間聯營 As at 31 March 2026, the carrying amount of 公司之權益的賬面值約為53,000港元（二零 interests in an associate was approximately 二五年：98,000港元）。截至二零二六年三 HK$53,000 (2025: HK$98,000). No impairment 月三十一日止年度，並無於損益確認減值 loss was recognised in profit or loss for the 虧損（二零二五年：無）。 year ended 31 March 2026 (2025: Nil). 176 Culturecom Holdings Limite</t>
        </is>
      </c>
    </row>
    <row r="32">
      <c r="A32" s="9" t="inlineStr">
        <is>
          <t>Impairment Testing</t>
        </is>
      </c>
      <c r="B32" s="9" t="inlineStr">
        <is>
          <t>減值測試</t>
        </is>
      </c>
      <c r="C32" s="21" t="inlineStr">
        <is>
          <t>high</t>
        </is>
      </c>
      <c r="D32" s="12" t="inlineStr">
        <is>
          <t>recoverable amount</t>
        </is>
      </c>
      <c r="E32" s="12" t="inlineStr">
        <is>
          <t>PDF p.179 (印刷頁 178)</t>
        </is>
      </c>
      <c r="F32" s="12" t="inlineStr">
        <is>
          <t>的最小現金產 of the asset; and (3) the appropriate key 生單位組別。更改假設及估計（包括現金流 assumptions to be applied in estimating the 量預測中的貼現率或增長率）或會對可收回 recoverable amounts including cash flow 金額產生重大影響。 projections and an appropriate discount rate. When it is not possible to estimate the recoverable amount of an individual asset (including right-of-use assets), the Group estimates the recoverable amount of the CGU to which the assets belongs, including allocation of corporate assets when a reasonable and consistent basis of allocation can be estab</t>
        </is>
      </c>
    </row>
    <row r="33">
      <c r="A33" s="9" t="inlineStr">
        <is>
          <t>Impairment Testing</t>
        </is>
      </c>
      <c r="B33" s="9" t="inlineStr">
        <is>
          <t>減值測試</t>
        </is>
      </c>
      <c r="C33" s="21" t="inlineStr">
        <is>
          <t>high</t>
        </is>
      </c>
      <c r="D33" s="12" t="inlineStr">
        <is>
          <t>impairment loss</t>
        </is>
      </c>
      <c r="E33" s="12" t="inlineStr">
        <is>
          <t>PDF p.180 (印刷頁 179)</t>
        </is>
      </c>
      <c r="F33" s="12" t="inlineStr">
        <is>
          <t>000 HK$113,000, HK$777,000 and HK$29,761,000 港元及29,761,000港元）。有關物業及設 respectively), after taking into account 備、使用權資產及無形資產減值評估的詳 the impairment losses of approximately 情分別披露於附註16、17及19。 H K $ N i l , H K $ N i l a n d H K $22,833,000 respectively (2025: approximately HK$ Nil, HK$1,689,000 and HK$552,000 in respect of property and equipment, right-of-use assets and intangible assets) that have been recognised respectively. Details of the impairment assessment of property and equipment, right-of-use assets and intangible asset ar</t>
        </is>
      </c>
    </row>
    <row r="34">
      <c r="A34" s="9" t="inlineStr">
        <is>
          <t>Impairment Testing</t>
        </is>
      </c>
      <c r="B34" s="9" t="inlineStr">
        <is>
          <t>減值測試</t>
        </is>
      </c>
      <c r="C34" s="21" t="inlineStr">
        <is>
          <t>high</t>
        </is>
      </c>
      <c r="D34" s="12" t="inlineStr">
        <is>
          <t>impairment loss</t>
        </is>
      </c>
      <c r="E34" s="12" t="inlineStr">
        <is>
          <t>PDF p.189 (印刷頁 188)</t>
        </is>
      </c>
      <c r="F34" s="12" t="inlineStr">
        <is>
          <t>ssets at FVTPL 變動之（虧損）／收益 －持作買賣 – Held for trading (65) 447 提前終止租賃之收益 Gain on early termination of lease 9 – 物業及設備減值虧損撥回 Reversal of impairment loss on property and equipment 16 – 49 撇銷物業及設備 Written off of property and equipment 16 – (1) 撇銷其他應收款項 Written off of other receivables (498) (281) 撇銷其他應付款項 Written off of other payables 15 202 撇銷已收按金 Written off of deposits received 285 – 外匯匯兌虧損淨額 Net foreign exchange losses (219) (580) 發行非上市認股權證所產生 Share-based payment arising from 之以股份為基礎之付款 the issuance of non-listed warrants (143) –</t>
        </is>
      </c>
    </row>
    <row r="35">
      <c r="A35" s="9" t="inlineStr">
        <is>
          <t>Impairment Testing</t>
        </is>
      </c>
      <c r="B35" s="9" t="inlineStr">
        <is>
          <t>減值測試</t>
        </is>
      </c>
      <c r="C35" s="21" t="inlineStr">
        <is>
          <t>high</t>
        </is>
      </c>
      <c r="D35" s="12" t="inlineStr">
        <is>
          <t>impairment loss</t>
        </is>
      </c>
      <c r="E35" s="12" t="inlineStr">
        <is>
          <t>PDF p.194 (印刷頁 193)</t>
        </is>
      </c>
      <c r="F35" s="12" t="inlineStr">
        <is>
          <t>allocation of 企業開支。此為向主要經營決策者報告以 certain other income, (loss) gain on fair 供資源分配及表現評估之措施。 value change of financial assets at FVTPL, impairment loss of right-of-use assets and unallocated corporate expenses. This is the measure reported to the CODM for the purposes of resource allocation and performance assessment. 由於本集團之資產及負債僅由主要經營決 As the Group’s assets and liabilities are only 策者作為整體審閱，故並無披露本集團資 reviewed by the CODM as a whole and 產及負債按經營分部劃分之分析。 hence no analysis of the Group’s assets and liabilities by operating segments i</t>
        </is>
      </c>
    </row>
    <row r="36">
      <c r="A36" s="9" t="inlineStr">
        <is>
          <t>Impairment Testing</t>
        </is>
      </c>
      <c r="B36" s="9" t="inlineStr">
        <is>
          <t>減值測試</t>
        </is>
      </c>
      <c r="C36" s="21" t="inlineStr">
        <is>
          <t>high</t>
        </is>
      </c>
      <c r="D36" s="12" t="inlineStr">
        <is>
          <t>impairment loss</t>
        </is>
      </c>
      <c r="E36" s="12" t="inlineStr">
        <is>
          <t>PDF p.195 (印刷頁 194)</t>
        </is>
      </c>
      <c r="F36" s="12" t="inlineStr">
        <is>
          <t>29 13 42 使用權資產之折舊 Depreciation of right-of-use assets 494 – – – 494 724 1,218 財務費用 Finance costs 29 – – – 29 204 233 預期信貸虧損模型下之減值虧損， Impairment loss under ECL model, 扣除撥回 net of reversal (32) – (2) (986) (1,020) – (1,020) 於一間聯營公司權益之減值虧損 Impairment loss on interest in an associate – – – – – – – 使用權資產之減值虧損 Impairment loss on right-of-use assets – – – – – – – 無形資產之減值虧損 Impairment loss on intangible asset – – – 22,833 22,833 – 22,833 已付無形資產按金之減值虧損 Impairment loss on deposits paid for intangible assets – – – 4,882 4,882 – 4,882 存貨之減</t>
        </is>
      </c>
    </row>
    <row r="37">
      <c r="A37" s="9" t="inlineStr">
        <is>
          <t>Impairment Testing</t>
        </is>
      </c>
      <c r="B37" s="9" t="inlineStr">
        <is>
          <t>減值測試</t>
        </is>
      </c>
      <c r="C37" s="21" t="inlineStr">
        <is>
          <t>high</t>
        </is>
      </c>
      <c r="D37" s="12" t="inlineStr">
        <is>
          <t>impairment loss</t>
        </is>
      </c>
      <c r="E37" s="12" t="inlineStr">
        <is>
          <t>PDF p.196 (印刷頁 195)</t>
        </is>
      </c>
      <c r="F37" s="12" t="inlineStr">
        <is>
          <t>9 14 23 使用權資產之折舊 Depreciation of right-of-use assets 470 – – – 470 1,454 1,924 財務費用 Finance costs 41 – – – 41 92 133 預期信貸虧損模型下之減值虧損， Impairment loss under ECL model, 扣除撥回 net of reversal (721) – – 1,611 890 (2) 888 於一間聯營公司權益之減值虧損 Impairment loss on interest in an associate – – – – – – – 使用權資產之減值虧損 Impairment loss on right-of-use assets – – – – – 1,689 1,689 無形資產之減值虧損 Impairment loss on intangible asset 552 – – – 552 – 552 已付無形資產按金之減值虧損 Impairment loss on deposits paid for intangible assets – – – – – – – 存貨之減值虧損 Impairment loss</t>
        </is>
      </c>
    </row>
    <row r="38">
      <c r="A38" s="9" t="inlineStr">
        <is>
          <t>Impairment Testing</t>
        </is>
      </c>
      <c r="B38" s="9" t="inlineStr">
        <is>
          <t>減值測試</t>
        </is>
      </c>
      <c r="C38" s="21" t="inlineStr">
        <is>
          <t>high</t>
        </is>
      </c>
      <c r="D38" s="12" t="inlineStr">
        <is>
          <t>impairment loss</t>
        </is>
      </c>
      <c r="E38" s="12" t="inlineStr">
        <is>
          <t>PDF p.200 (印刷頁 199)</t>
        </is>
      </c>
      <c r="F38" s="12" t="inlineStr">
        <is>
          <t>42 23 使用權資產之折舊 Depreciation of right-of-use assets 17 1,218 1,924 無形資產攤銷 Amortisation of intangible assets 19 3,342 3,322 使用權資產之減值虧損 Impairment loss on right-of-use assets 17 – 1,689 已付無形資產按金之 Impairment loss on deposits paid for 減值虧損 intangible assets 24 4,882 – 無形資產之減值虧損 Impairment loss on intangible assets 19 22,833 552 存貨之減值虧損 Impairment loss on inventories 22 390 – 法律、諮詢及其他專業費用 Legal, consultancy and other （計入其他費用）（附註） professional fees (included in other expenses) (Note) 2,467 3,919 研究成本（計入其他費用） Research cost (included in</t>
        </is>
      </c>
    </row>
    <row r="39">
      <c r="A39" s="9" t="inlineStr">
        <is>
          <t>Impairment Testing</t>
        </is>
      </c>
      <c r="B39" s="9" t="inlineStr">
        <is>
          <t>減值測試</t>
        </is>
      </c>
      <c r="C39" s="21" t="inlineStr">
        <is>
          <t>high</t>
        </is>
      </c>
      <c r="D39" s="12" t="inlineStr">
        <is>
          <t>impairment loss</t>
        </is>
      </c>
      <c r="E39" s="12" t="inlineStr">
        <is>
          <t>PDF p.210 (印刷頁 209)</t>
        </is>
      </c>
      <c r="F39" s="12" t="inlineStr">
        <is>
          <t>CCUMULATED DEPRECIATION AND IMPAIRMENT 於二零二四年四月一日 At 1 April 2024 409 2,942 3,351 本年度撥備 Provided for the year 11 – 23 23 於損益中撥回之減值虧損 Impairment loss reversed in profit or loss 7 – (49) (49) 撇銷 Written off 7 – (796) (796) 匯率調整 Exchange realignment – (3) (3) 於二零二五年三月三十一日 At 31 March 2025 409 2,117 2,526 本年度撥備 Provided for the year 11 – 42 42 撇銷 Written off 7 (397) (42) (439) 於二零二六年三月三十一日 At 31 March 2026 12 2,117 2,129 賬面值 CARRYING VALUES 於二零二六年三月三十一日 At 31 March 2026 – 71 71 於二零二五年三月三十一日 At 31 March 2025 – 113 113 年報 文化傳信集團有限公司</t>
        </is>
      </c>
    </row>
    <row r="40">
      <c r="A40" s="9" t="inlineStr">
        <is>
          <t>Impairment Testing</t>
        </is>
      </c>
      <c r="B40" s="9" t="inlineStr">
        <is>
          <t>減值測試</t>
        </is>
      </c>
      <c r="C40" s="21" t="inlineStr">
        <is>
          <t>high</t>
        </is>
      </c>
      <c r="D40" s="12" t="inlineStr">
        <is>
          <t>recoverable amount</t>
        </is>
      </c>
      <c r="E40" s="12" t="inlineStr">
        <is>
          <t>PDF p.211 (印刷頁 210)</t>
        </is>
      </c>
      <c r="F40" s="12" t="inlineStr">
        <is>
          <t>金產生單位之可收回金額進行減 concluded there was an indication for 值評估。現金產生單位之可收回金額乃按 impairment and conducted impairment 使用價值計算而釐定。 assessment on recoverable amounts of CGU relating to retailing and wholesales business. The recoverable amounts of cashgenerating units have been determined based on VIU calculation. 210 Culturecom Holdings Limited Annual Report 2025-2026</t>
        </is>
      </c>
    </row>
    <row r="41">
      <c r="A41" s="9" t="inlineStr">
        <is>
          <t>Impairment Testing</t>
        </is>
      </c>
      <c r="B41" s="9" t="inlineStr">
        <is>
          <t>減值測試</t>
        </is>
      </c>
      <c r="C41" s="21" t="inlineStr">
        <is>
          <t>high</t>
        </is>
      </c>
      <c r="D41" s="12" t="inlineStr">
        <is>
          <t>impairment loss</t>
        </is>
      </c>
      <c r="E41" s="12" t="inlineStr">
        <is>
          <t>PDF p.212 (印刷頁 211)</t>
        </is>
      </c>
      <c r="F41" s="12" t="inlineStr">
        <is>
          <t>ed below the highest of its fair value 權資產確認減值虧損約1,689,000港元）。 less cost of disposal, its VIU and zero. Based on VIU calculation, no impairment loss was recognised against the carrying amount of the CGU relating to the retailing and wholesales business for the year ended 31 March 2026 (2025: impairment loss of approximately HK$1,689,000 recognised in respect of right-of-use assets). 年報 文化傳信集團有限公司 2025-2026 211</t>
        </is>
      </c>
    </row>
    <row r="42">
      <c r="A42" s="9" t="inlineStr">
        <is>
          <t>Impairment Testing</t>
        </is>
      </c>
      <c r="B42" s="9" t="inlineStr">
        <is>
          <t>減值測試</t>
        </is>
      </c>
      <c r="C42" s="21" t="inlineStr">
        <is>
          <t>high</t>
        </is>
      </c>
      <c r="D42" s="12" t="inlineStr">
        <is>
          <t>impairment loss</t>
        </is>
      </c>
      <c r="E42" s="12" t="inlineStr">
        <is>
          <t>PDF p.213 (印刷頁 212)</t>
        </is>
      </c>
      <c r="F42" s="12" t="inlineStr">
        <is>
          <t>1 March 2025 賬面值 Carrying values 777 截至二零二六年三月三十一日 For the year ended 31 March 2026 止年度 折舊支出 Depreciation charge 11 1,218 於損益確認的減值虧損 Impairment loss recognised in profit or loss 8, 11 – 截至二零二五年三月三十一日 For the year ended 31 March 2025 止年度 折舊支出 Depreciation charge 11 1,924 於損益確認的減值虧損 Impairment loss recognised in profit or loss 8, 11 1,689 2026 2025 二零二六年 二零二五年 Note HK$’000 HK$’000 附註 千港元 千港元 與短期租賃有關之開支 Expenses relating to short-term leases 11 1,064 666 租賃現金流出總額 Total cash outflow for leases 2,940 2,948 添置使用權資產 Additions to right</t>
        </is>
      </c>
    </row>
    <row r="43">
      <c r="A43" s="9" t="inlineStr">
        <is>
          <t>Impairment Testing</t>
        </is>
      </c>
      <c r="B43" s="9" t="inlineStr">
        <is>
          <t>減值測試</t>
        </is>
      </c>
      <c r="C43" s="21" t="inlineStr">
        <is>
          <t>high</t>
        </is>
      </c>
      <c r="D43" s="12" t="inlineStr">
        <is>
          <t>impairment loss</t>
        </is>
      </c>
      <c r="E43" s="12" t="inlineStr">
        <is>
          <t>PDF p.215 (印刷頁 214)</t>
        </is>
      </c>
      <c r="F43" s="12" t="inlineStr">
        <is>
          <t>公司 Cost of investment in an 投資成本 unlisted associate 1,476 1,476 應佔收購後虧損 Share of post-acquisition losses (1,423) (1,378) 於聯營公司權益中確認之 Impairment loss recognised on 減值虧損 interest in an associate –* –* 53 98 指金額少於1,000港元 * It represents the amount less than HK$1,000 * 於二零二六年三月三十一日本集團聯 Particulars of the Group’s associate as 營公司之詳細資料如下： at 31 March 2026 are as follows: Proportion of nominal Form of Place of value of used share business incorporation/ Class of capital held by the Name of associate structure operation shares held Gro</t>
        </is>
      </c>
    </row>
    <row r="44">
      <c r="A44" s="9" t="inlineStr">
        <is>
          <t>Impairment Testing</t>
        </is>
      </c>
      <c r="B44" s="9" t="inlineStr">
        <is>
          <t>減值測試</t>
        </is>
      </c>
      <c r="C44" s="21" t="inlineStr">
        <is>
          <t>high</t>
        </is>
      </c>
      <c r="D44" s="12" t="inlineStr">
        <is>
          <t>impairment loss</t>
        </is>
      </c>
      <c r="E44" s="12" t="inlineStr">
        <is>
          <t>PDF p.217 (印刷頁 216)</t>
        </is>
      </c>
      <c r="F44" s="12" t="inlineStr">
        <is>
          <t>AMORTISATION AND IMPAIRMENT 於二零二四年四月一日 At 1 April 2024 – 3,044 740 – 3,784 年內扣除 Charge for the year 11 – – 488 2,834 3,322 年內確認的減值虧損 Impairment loss recognised for the year 8,11 – – 552 – 552 匯率調整 Exchange realignment – (97) – (26) (123) 於二零二五年 At 31 March 2025 三月三十一日 – 2,947 1,780 2,808 7,535 年內扣除 Charge for the year 11 – – 488 2,854 3,342 年內確認的減值虧損 Impairment loss recognised for the year 8,11 – – – 22,833 22,833 匯率調整 Exchange realignment – – – 155 155 於二零二六年 At 31 March 2026 三月三十一日 – 2,947 2,268 28,650 33,865 賬面值 CARRYING VAL</t>
        </is>
      </c>
    </row>
    <row r="45">
      <c r="A45" s="9" t="inlineStr">
        <is>
          <t>Impairment Testing</t>
        </is>
      </c>
      <c r="B45" s="9" t="inlineStr">
        <is>
          <t>減值測試</t>
        </is>
      </c>
      <c r="C45" s="21" t="inlineStr">
        <is>
          <t>high</t>
        </is>
      </c>
      <c r="D45" s="12" t="inlineStr">
        <is>
          <t>CGU</t>
        </is>
      </c>
      <c r="E45" s="12" t="inlineStr">
        <is>
          <t>PDF p.218 (印刷頁 217)</t>
        </is>
      </c>
      <c r="F45" s="12" t="inlineStr">
        <is>
          <t>ed on a straight- 攤銷。 line basis over its estimated useful life of five years. 出版及知識產權授權業務現金產生單位的減值 (v) Impairment assessment of the CGU for the (v) 評估 publishing and IP licensing business 於截至二零二六年三月三十一日止年度，董事就 During the year ended 31 March 2026, the 本集團出版及知識產權授權業務相關之現金產 directors performed an impairment assessment of 生單位進行減值評估。 the CGU relating to the Group’s publishing and IP licensing business. 就減值評估而言，本集團將賬面值約1,385,000 For the purpose of the impairment assessment, 港元（二零二五年：約1,385,000港元）的具備 the Group allocated club membersh</t>
        </is>
      </c>
    </row>
    <row r="46">
      <c r="A46" s="9" t="inlineStr">
        <is>
          <t>Impairment Testing</t>
        </is>
      </c>
      <c r="B46" s="9" t="inlineStr">
        <is>
          <t>減值測試</t>
        </is>
      </c>
      <c r="C46" s="21" t="inlineStr">
        <is>
          <t>high</t>
        </is>
      </c>
      <c r="D46" s="12" t="inlineStr">
        <is>
          <t>impairment loss</t>
        </is>
      </c>
      <c r="E46" s="12" t="inlineStr">
        <is>
          <t>PDF p.219 (印刷頁 218)</t>
        </is>
      </c>
      <c r="F46" s="12" t="inlineStr">
        <is>
          <t>he CGU as a whole 識產權授權業務相關之現金產生單位確認減值 exceeded its aggregate carrying amount, the 虧損（二零二五年：就知識產權確認減值虧損約 directors concluded that no impairment loss was 552,000港元）。 recognised in respect of the CGU relating to the publishing and IP licensing business for the year ended 31 March 2026 (2025: impairment loss of approximately HK$552,000 recognised in respect of intellectual property rights). 218 Culturecom Holdings Limited Annual Report 2025-2026</t>
        </is>
      </c>
    </row>
    <row r="47">
      <c r="A47" s="9" t="inlineStr">
        <is>
          <t>Impairment Testing</t>
        </is>
      </c>
      <c r="B47" s="9" t="inlineStr">
        <is>
          <t>減值測試</t>
        </is>
      </c>
      <c r="C47" s="21" t="inlineStr">
        <is>
          <t>high</t>
        </is>
      </c>
      <c r="D47" s="12" t="inlineStr">
        <is>
          <t>impairment loss</t>
        </is>
      </c>
      <c r="E47" s="12" t="inlineStr">
        <is>
          <t>PDF p.220 (印刷頁 219)</t>
        </is>
      </c>
      <c r="F47" s="12" t="inlineStr">
        <is>
          <t>ing business was determined to 自然語言處理業務相關之現金產生單位確認減 be HK$ Nil. Accordingly, the directors concluded 值虧損約22,833,000港元（二零二五年：零）。 that impairment losses of approximately HK$22,833,000 (2025: Nil) was recognised in respect of the CGU relating to the natural language processing business for the year ended 31 March 2026. 年報 文化傳信集團有限公司 2025-2026 219</t>
        </is>
      </c>
    </row>
    <row r="48">
      <c r="A48" s="9" t="inlineStr">
        <is>
          <t>Impairment Testing</t>
        </is>
      </c>
      <c r="B48" s="9" t="inlineStr">
        <is>
          <t>減值測試</t>
        </is>
      </c>
      <c r="C48" s="21" t="inlineStr">
        <is>
          <t>high</t>
        </is>
      </c>
      <c r="D48" s="12" t="inlineStr">
        <is>
          <t>impairment loss</t>
        </is>
      </c>
      <c r="E48" s="12" t="inlineStr">
        <is>
          <t>PDF p.223 (印刷頁 222)</t>
        </is>
      </c>
      <c r="F48" s="12" t="inlineStr">
        <is>
          <t>the NRV (ii) 可變現淨值高於賬面值，故於截至二零二六年三 of premium wines held by the Group was higher 月三十一日止年度，並無於損益確認優質酒類減 than the carrying amount, no impairment loss on 值虧損（二零二五年：無）。 premium wines was recognised in profit or loss for the year ended 31 March 2026 (2025: Nil). 本公司董事已參考其他存貨的估計售價對其進 (iii) The directors of the Company performed (iii) 行減值評估，截至二零二六年三月三十一日止年 impairment assessment of the other inventories 度，由於其他存貨的可變現淨值低於其賬面值， with reference to their estimated selling prices, an 故於損益確認其他存貨減值虧損約390,000港元 impairment loss on other inventor</t>
        </is>
      </c>
    </row>
    <row r="49">
      <c r="A49" s="9" t="inlineStr">
        <is>
          <t>Impairment Testing</t>
        </is>
      </c>
      <c r="B49" s="9" t="inlineStr">
        <is>
          <t>減值測試</t>
        </is>
      </c>
      <c r="C49" s="21" t="inlineStr">
        <is>
          <t>high</t>
        </is>
      </c>
      <c r="D49" s="12" t="inlineStr">
        <is>
          <t>impairment loss</t>
        </is>
      </c>
      <c r="E49" s="12" t="inlineStr">
        <is>
          <t>PDF p.225 (印刷頁 224)</t>
        </is>
      </c>
      <c r="F49" s="12" t="inlineStr">
        <is>
          <t>tely RMB4,489,000 (equivalent to HK$4,882,000) has been recognised in the consolidated statement of profit or loss as other （Note 8） impairment losses during the year ended 31 March 2026 (2025: Nil). 減值評估詳情載於附註39b。 Details of impairment assessment are set out in Note 39b. 224 Culturecom Holdings Limited Annual Report 2025-2026</t>
        </is>
      </c>
    </row>
    <row r="50">
      <c r="A50" s="9" t="inlineStr">
        <is>
          <t>Impairment Testing</t>
        </is>
      </c>
      <c r="B50" s="9" t="inlineStr">
        <is>
          <t>減值測試</t>
        </is>
      </c>
      <c r="C50" s="21" t="inlineStr">
        <is>
          <t>high</t>
        </is>
      </c>
      <c r="D50" s="12" t="inlineStr">
        <is>
          <t>impairment loss</t>
        </is>
      </c>
      <c r="E50" s="12" t="inlineStr">
        <is>
          <t>PDF p.236 (印刷頁 235)</t>
        </is>
      </c>
      <c r="F50" s="12" t="inlineStr">
        <is>
          <t>loan receivables and other 元）確認遞延稅項資產。由於不大可能會有 receivables. Deferred tax assets has been 應課稅溢利供該等可扣減暫時差額使用， recognised in respect of impairment loss 故並無就該等可扣減暫時差額約2,814,000 on trade receivables and right-of-use 港元（二零二五年：1,829,000港元）確認遞 assets of approximately HK$215,000 (2025: 延稅項資產。 HK$1,690,000). No deferred tax asset has been recognised for deductible temporary differences of approximately HK$2,814,000 (2025: HK$1,829,000) as it is not probable that taxable profit will be available against which the deductible temporary diff</t>
        </is>
      </c>
    </row>
    <row r="51">
      <c r="A51" s="9" t="inlineStr">
        <is>
          <t>Intangible Assets &amp; Goodwill</t>
        </is>
      </c>
      <c r="B51" s="9" t="inlineStr">
        <is>
          <t>無形資產及商譽</t>
        </is>
      </c>
      <c r="C51" s="21" t="inlineStr">
        <is>
          <t>high</t>
        </is>
      </c>
      <c r="D51" s="12" t="inlineStr">
        <is>
          <t>development cost</t>
        </is>
      </c>
      <c r="E51" s="12" t="inlineStr">
        <is>
          <t>PDF p.8 (印刷頁 7)</t>
        </is>
      </c>
      <c r="F51" s="12" t="inlineStr">
        <is>
          <t>d by court judgment during the financial year. Consequently, master agency agreements, which provided the basis for capitalising the development costs in the prior year, did not result in actual purchase orders. 鑒於該項目的商業失敗及AI產品市場競爭環境 Given the commercial failure of the project 持續嚴峻，本集團委聘了中和邦盟評估有限公司 and the intensely competitive environment in （一家受RICS監管的專業估值機構）對NLP業務 the AI product market, the Group engaged BMI 進行獨立估值。根據於二零二六年三月三十一日 Appraisals Limited, a RICS-regulated professional 的使用價值計算，可收回金額被確定為僅為象徵 valuation firm, to condu</t>
        </is>
      </c>
    </row>
    <row r="52">
      <c r="A52" s="9" t="inlineStr">
        <is>
          <t>Intangible Assets &amp; Goodwill</t>
        </is>
      </c>
      <c r="B52" s="9" t="inlineStr">
        <is>
          <t>無形資產及商譽</t>
        </is>
      </c>
      <c r="C52" s="21" t="inlineStr">
        <is>
          <t>high</t>
        </is>
      </c>
      <c r="D52" s="12" t="inlineStr">
        <is>
          <t>intangible asset</t>
        </is>
      </c>
      <c r="E52" s="12" t="inlineStr">
        <is>
          <t>PDF p.13 (印刷頁 12)</t>
        </is>
      </c>
      <c r="F52" s="12" t="inlineStr">
        <is>
          <t>gnised in respect of inventories. 截至二零二六年三月三十一日止年度，本 For the year ended 31 March 2026, an 集團確認無形資產減值虧損約22,833,000 impairment loss on intangible assets 港元（二零二五年：552,000港元）。該減值 of approximately HK$22,833,000 (2025: 與本集團的自然語言處理業務（「NLP業務」） H K $ 5 5 2 , 0 0 0 ) w a s r e c o g n i s e d . T h e 有關，主要歸因於其首個量產應用「飛龍大 impairment relates to the Group’s natural 師」AI手機項目的商業化失敗。首批生產機 language processing business (the “NLP 未能交付，相關加工合約其後經法院判決 Business”) and was primarily attributable 終止。因此，總代理協議並未轉化為實際採 to the commercial failure of its first</t>
        </is>
      </c>
    </row>
    <row r="53">
      <c r="A53" s="9" t="inlineStr">
        <is>
          <t>Intangible Assets &amp; Goodwill</t>
        </is>
      </c>
      <c r="B53" s="9" t="inlineStr">
        <is>
          <t>無形資產及商譽</t>
        </is>
      </c>
      <c r="C53" s="21" t="inlineStr">
        <is>
          <t>high</t>
        </is>
      </c>
      <c r="D53" s="12" t="inlineStr">
        <is>
          <t>intangible asset</t>
        </is>
      </c>
      <c r="E53" s="12" t="inlineStr">
        <is>
          <t>PDF p.71 (印刷頁 70)</t>
        </is>
      </c>
      <c r="F53" s="12" t="inlineStr">
        <is>
          <t>idering whether the disclosures relating the management conclude that the carrying to impairment assessment of the CGU for amount of intangible assets of the CGU relating the natural language processing business to the natural language processing business, are adequate and appropriate in the which is proprietary technology, was HK$ Nil consolidated financial statements. 考慮綜合財務報表內有關自然語言處理業務現金 (2025: approximately of HK$25,276,000) and 產生單位的減值評估的披露資料是否充分且適當。 impairment loss of approximately HK$22,833,000 (2025: HK$ Nil) was recog</t>
        </is>
      </c>
    </row>
    <row r="54">
      <c r="A54" s="9" t="inlineStr">
        <is>
          <t>Intangible Assets &amp; Goodwill</t>
        </is>
      </c>
      <c r="B54" s="9" t="inlineStr">
        <is>
          <t>無形資產及商譽</t>
        </is>
      </c>
      <c r="C54" s="21" t="inlineStr">
        <is>
          <t>high</t>
        </is>
      </c>
      <c r="D54" s="12" t="inlineStr">
        <is>
          <t>intangible asset</t>
        </is>
      </c>
      <c r="E54" s="12" t="inlineStr">
        <is>
          <t>PDF p.81 (印刷頁 80)</t>
        </is>
      </c>
      <c r="F54" s="12" t="inlineStr">
        <is>
          <t>assets 物業及設備 Property and equipment 16 71 113 使用權資產 Right-of-use assets 17 394 777 於一間聯營公司之權益 Interest in an associate 18 53 98 無形資產 Intangible assets 19 3,997 29,761 按金 Deposits 24 508 485 按公平價值計入損益表 Financial assets at fair value （「按公平價值計入 through profit or loss (“FVTPL”) 損益表」）之金融資產 20 140 187 按公平價值計入其他全面 Financial assets at FVTOCI 收益之金融資產 21 97 414 應收貸款 Loan receivables 25 – 4,344 遞延稅項資產 Deferred tax assets 31 181 456 5,441 36,635 流動資產 Current assets 存貨 Inventories 22 27,568 30,697 應收貿易賬款 Trade receivables 23 3,343 3,666 其他應</t>
        </is>
      </c>
    </row>
    <row r="55">
      <c r="A55" s="9" t="inlineStr">
        <is>
          <t>Intangible Assets &amp; Goodwill</t>
        </is>
      </c>
      <c r="B55" s="9" t="inlineStr">
        <is>
          <t>無形資產及商譽</t>
        </is>
      </c>
      <c r="C55" s="21" t="inlineStr">
        <is>
          <t>high</t>
        </is>
      </c>
      <c r="D55" s="12" t="inlineStr">
        <is>
          <t>intangible asset</t>
        </is>
      </c>
      <c r="E55" s="12" t="inlineStr">
        <is>
          <t>PDF p.86 (印刷頁 85)</t>
        </is>
      </c>
      <c r="F55" s="12" t="inlineStr">
        <is>
          <t>ty 虧損 and equipment 7 – 1 就下列各項確認之 Impairment losses recognised 減值虧損： in respect of: －使用權資產 – Right-of-use assets 17 – 1,689 －無形資產 – Intangible assets 19 22,833 552 －已付無形資產按金 – Deposits paid for intangible assets 24 4,882 – －存貨 – Inventories 22 390 – 預期信貸虧損模型下之 Impairment loss under ECL 減值虧損，扣除撥回 model, net of reversal 1,020 888 物業及設備減值虧損撥回 Reversal of impairment loss on property and equipment 16 – (49) 應佔一間聯營公司虧損 Share of loss of an associate 45 124 所得稅開支（抵免） Income tax expense (credit) 12 224 (328) 銀行利息收入 Bank interest income</t>
        </is>
      </c>
    </row>
    <row r="56">
      <c r="A56" s="9" t="inlineStr">
        <is>
          <t>Intangible Assets &amp; Goodwill</t>
        </is>
      </c>
      <c r="B56" s="9" t="inlineStr">
        <is>
          <t>無形資產及商譽</t>
        </is>
      </c>
      <c r="C56" s="21" t="inlineStr">
        <is>
          <t>high</t>
        </is>
      </c>
      <c r="D56" s="12" t="inlineStr">
        <is>
          <t>goodwill</t>
        </is>
      </c>
      <c r="E56" s="12" t="inlineStr">
        <is>
          <t>PDF p.103 (印刷頁 102)</t>
        </is>
      </c>
      <c r="F56" s="12" t="inlineStr">
        <is>
          <t>and the fair value of any retained 如本集團已直接出售該附屬公司之相 interest and (ii) the carrying amount 關資產或負債入賬（即按適用香港財 of the assets (including goodwill), 務報告準則會計準則之規定╱許可條 a n d l i a b i l i t i e s o f t h e s u b s i d i a r y 文重新分類至損益或轉撥至另一類權 attributable to the owners of the 益）。於喪失控制權當日於前附屬公司 Company. All amounts previously 保留之任何投資之公平價值，將根據 recognised in other comprehensive 香港財務報告準則第9號被視為其後 income in relation to that subsidiary 入賬時首次確認之公平價值，或（如適 are accounted for as if the Group 用）首次確認於一間聯營公司或一間 had directly disposed of the related 合</t>
        </is>
      </c>
    </row>
    <row r="57">
      <c r="A57" s="9" t="inlineStr">
        <is>
          <t>Intangible Assets &amp; Goodwill</t>
        </is>
      </c>
      <c r="B57" s="9" t="inlineStr">
        <is>
          <t>無形資產及商譽</t>
        </is>
      </c>
      <c r="C57" s="21" t="inlineStr">
        <is>
          <t>high</t>
        </is>
      </c>
      <c r="D57" s="12" t="inlineStr">
        <is>
          <t>goodwill</t>
        </is>
      </c>
      <c r="E57" s="12" t="inlineStr">
        <is>
          <t>PDF p.104 (印刷頁 103)</t>
        </is>
      </c>
      <c r="F57" s="12" t="inlineStr">
        <is>
          <t>NTS AND MATERIAL ACCOUNTING POLICY INFORMATION (Continued) 重大會計政策資料（續） 3.2 Material accounting policy 3.2 information (Continued) 商譽 Goodwill 收購業務所產生商譽按於收購業務 Goodwill arising on an acquisition （見上文會計政策）當日確立的成本 of a business is carried at cost as 減累計減值虧損（如有）列賬。 established at the date of acquisition of the business (see the accounting policy above) less accumulated impairment losses, if any. 就減值測試而言，商譽會被分配予預 For the purposes of impairment testing, 期會受惠於合併協同效益的本集團各 goodwill is allocated to each of the 現金產生單位（「現金產生單位」）（或 Group’s c</t>
        </is>
      </c>
    </row>
    <row r="58">
      <c r="A58" s="9" t="inlineStr">
        <is>
          <t>Intangible Assets &amp; Goodwill</t>
        </is>
      </c>
      <c r="B58" s="9" t="inlineStr">
        <is>
          <t>無形資產及商譽</t>
        </is>
      </c>
      <c r="C58" s="21" t="inlineStr">
        <is>
          <t>high</t>
        </is>
      </c>
      <c r="D58" s="12" t="inlineStr">
        <is>
          <t>goodwill</t>
        </is>
      </c>
      <c r="E58" s="12" t="inlineStr">
        <is>
          <t>PDF p.105 (印刷頁 104)</t>
        </is>
      </c>
      <c r="F58" s="12" t="inlineStr">
        <is>
          <t>AND MATERIAL ACCOUNTING POLICY INFORMATION (Continued) 重大會計政策資料（續） 3.2 Material accounting policy 3.2 information (Continued) 商譽（續） Goodwill (Continued) 獲分配商譽的現金產生單位（或現金 A CGU (or group of CGUs) to which 產生單位組別）會每年或倘有跡象顯 goodwill has been allocated is tested 示有關單位可能出現減值時更頻繁地 for impairment annually or more 進行減值測試。就於報告期間收購產 frequently when there is indication that 生的商譽而言，獲分配商譽的現金產 the unit may be impaired. For goodwill 生單位（或現金產生單位組別）於該報 arising on an acquisition in a reporting 告期末之前進行減值測試。當可收回 period, the CGU (or group of CGUs)</t>
        </is>
      </c>
    </row>
    <row r="59">
      <c r="A59" s="9" t="inlineStr">
        <is>
          <t>Intangible Assets &amp; Goodwill</t>
        </is>
      </c>
      <c r="B59" s="9" t="inlineStr">
        <is>
          <t>無形資產及商譽</t>
        </is>
      </c>
      <c r="C59" s="21" t="inlineStr">
        <is>
          <t>high</t>
        </is>
      </c>
      <c r="D59" s="12" t="inlineStr">
        <is>
          <t>goodwill</t>
        </is>
      </c>
      <c r="E59" s="12" t="inlineStr">
        <is>
          <t>PDF p.107 (印刷頁 106)</t>
        </is>
      </c>
      <c r="F59" s="12" t="inlineStr">
        <is>
          <t>air 負債的公平價值淨額超出投資成本之 value of the identifiable assets and 任何數額，在重新評估後，即時於投資 liabilities of the investee is recognised 收購期間於損益內確認。 as goodwill, which is included within the carrying amount of the investment. Any excess of the Group’s share of the net fair value of the identifiable assets and liabilities over the cost of the investment, after reassessment, is recognised immediately in profit or loss in the period in which the investment is acquired. 106 Culturecom Holdings Limited Annual Report 2025-2026</t>
        </is>
      </c>
    </row>
    <row r="60">
      <c r="A60" s="9" t="inlineStr">
        <is>
          <t>Intangible Assets &amp; Goodwill</t>
        </is>
      </c>
      <c r="B60" s="9" t="inlineStr">
        <is>
          <t>無形資產及商譽</t>
        </is>
      </c>
      <c r="C60" s="21" t="inlineStr">
        <is>
          <t>high</t>
        </is>
      </c>
      <c r="D60" s="12" t="inlineStr">
        <is>
          <t>goodwill</t>
        </is>
      </c>
      <c r="E60" s="12" t="inlineStr">
        <is>
          <t>PDF p.108 (印刷頁 107)</t>
        </is>
      </c>
      <c r="F60" s="12" t="inlineStr">
        <is>
          <t>號對作為單一資產的 any objective evidence exists, the entire 投資（包括商譽）全部賬面值進行減值 carrying amount of the investment 測試，方法為比較其可收回金額（使用 (including goodwill) is tested for 價值與公平價值減出售成本兩者中的 impairment in accordance with HKAS 較高者）與其賬面值。所確認之任何減 36 as a single asset by comparing 值虧損不會分配至構成該投資賬面值 its recoverable amount (higher of 的一部分之任何資產（包括商譽）。倘 value in use and fair value less costs 投資可收回金額其後增加，減值虧損 of disposal) with its carrying amount. 任何撥回將根據香港會計準則第36號 Any impairment loss recognised is 確認。 not allocated to any assets, including goodwill, tha</t>
        </is>
      </c>
    </row>
    <row r="61">
      <c r="A61" s="9" t="inlineStr">
        <is>
          <t>Intangible Assets &amp; Goodwill</t>
        </is>
      </c>
      <c r="B61" s="9" t="inlineStr">
        <is>
          <t>無形資產及商譽</t>
        </is>
      </c>
      <c r="C61" s="21" t="inlineStr">
        <is>
          <t>high</t>
        </is>
      </c>
      <c r="D61" s="12" t="inlineStr">
        <is>
          <t>licence</t>
        </is>
      </c>
      <c r="E61" s="12" t="inlineStr">
        <is>
          <t>PDF p.111 (印刷頁 110)</t>
        </is>
      </c>
      <c r="F61" s="12" t="inlineStr">
        <is>
          <t>olicy 3.2 information (Continued) 客戶合約收入（續） Revenue from contracts with customers (Continued) 除授出與其他承諾貨品或服務不同之 Except for granting a licence that is 授權外，倘符合以下其中一項標準，則 distinct from other promised goods or 控制權隨時間轉移，而收入則參照完 services, control is transferred over time 全履行相關履約責任之進展情況而隨 and revenue is recognised over time 時間確認： by reference to the progress towards complete satisfaction of the relevant performance obligation if one of the following criteria is met: 於本集團履約時，客戶同時取得 • the customer simultaneously • 並耗用本集團履約所提供之利 re c e i</t>
        </is>
      </c>
    </row>
    <row r="62">
      <c r="A62" s="9" t="inlineStr">
        <is>
          <t>Intangible Assets &amp; Goodwill</t>
        </is>
      </c>
      <c r="B62" s="9" t="inlineStr">
        <is>
          <t>無形資產及商譽</t>
        </is>
      </c>
      <c r="C62" s="21" t="inlineStr">
        <is>
          <t>high</t>
        </is>
      </c>
      <c r="D62" s="12" t="inlineStr">
        <is>
          <t>licence</t>
        </is>
      </c>
      <c r="E62" s="12" t="inlineStr">
        <is>
          <t>PDF p.112 (印刷頁 111)</t>
        </is>
      </c>
      <c r="F62" s="12" t="inlineStr">
        <is>
          <t>ng policy 3.2 information (Continued) 客戶合約收入（續） Revenue from contracts with customers (Continued) 就授出與其他承諾貨品或服務不同之 For granting of a licence that is distinct 授權而言，倘符合下列所有標準，本集 from other promised goods or services, 團授予該授權的承諾性質，為提供取 the nature of the Group’s promise in 得本集團知識產權（「知識產權」）之權 granting a licence is a promise to 利： provide a right to access the Group’s intellectual property (“IP”) if all of the following criteria are met: 合約規定或客戶合理預期，本集 • the contract requires, or the • 團將開展對客戶有權享有之知識 customer reasonably expects, that</t>
        </is>
      </c>
    </row>
    <row r="63">
      <c r="A63" s="9" t="inlineStr">
        <is>
          <t>Intangible Assets &amp; Goodwill</t>
        </is>
      </c>
      <c r="B63" s="9" t="inlineStr">
        <is>
          <t>無形資產及商譽</t>
        </is>
      </c>
      <c r="C63" s="21" t="inlineStr">
        <is>
          <t>high</t>
        </is>
      </c>
      <c r="D63" s="12" t="inlineStr">
        <is>
          <t>licence</t>
        </is>
      </c>
      <c r="E63" s="12" t="inlineStr">
        <is>
          <t>PDF p.117 (印刷頁 116)</t>
        </is>
      </c>
      <c r="F63" s="12" t="inlineStr">
        <is>
          <t>Group shall recognise revenue for 會就承諾以銷售額或使用權為基準之 a sales-based or usage-based royalty 特許費換取知識產權授權確認收益： promised in exchange for a licence of IP only when (or as) the latter of the following events occurs: 其後銷售額或使用權出現；及 • the subsequent sale or usage • occurs; and 部分或所有以銷售額或使用權為 • the performance obligation to • 基準之特許費已獲分配之履約責 which some or all of the sales- 任已履行（或部分履行）。 based or usage-based royalty has been allocated has been satisfied (or partially satisfied). 116 Culturecom Holdings Limited Annual Report 2025-2026</t>
        </is>
      </c>
    </row>
    <row r="64">
      <c r="A64" s="9" t="inlineStr">
        <is>
          <t>Intangible Assets &amp; Goodwill</t>
        </is>
      </c>
      <c r="B64" s="9" t="inlineStr">
        <is>
          <t>無形資產及商譽</t>
        </is>
      </c>
      <c r="C64" s="21" t="inlineStr">
        <is>
          <t>high</t>
        </is>
      </c>
      <c r="D64" s="12" t="inlineStr">
        <is>
          <t>攤銷</t>
        </is>
      </c>
      <c r="E64" s="12" t="inlineStr">
        <is>
          <t>PDF p.119 (印刷頁 118)</t>
        </is>
      </c>
      <c r="F64" s="12" t="inlineStr">
        <is>
          <t>n asset if 認為資產。如此確認的資產其後會按 it expects to recover these costs. The 與向客戶轉讓該等資產相關之貨品或 asset so recognised is subsequently 服務一致之系統基準在損益中攤銷。 amor tised to profit or loss on a systematic basis that is consistent with the transfer to the customer of the goods or services to which the assets relate. 118 Culturecom Holdings Limited Annual Report 2025-2026</t>
        </is>
      </c>
    </row>
    <row r="65">
      <c r="A65" s="9" t="inlineStr">
        <is>
          <t>Intangible Assets &amp; Goodwill</t>
        </is>
      </c>
      <c r="B65" s="9" t="inlineStr">
        <is>
          <t>無形資產及商譽</t>
        </is>
      </c>
      <c r="C65" s="21" t="inlineStr">
        <is>
          <t>high</t>
        </is>
      </c>
      <c r="D65" s="12" t="inlineStr">
        <is>
          <t>攤銷</t>
        </is>
      </c>
      <c r="E65" s="12" t="inlineStr">
        <is>
          <t>PDF p.120 (印刷頁 119)</t>
        </is>
      </c>
      <c r="F65" s="12" t="inlineStr">
        <is>
          <t>to be recovered. 如此確認的資產其後會按與向客戶轉 The asset so recognised is subsequently 讓該等資產相關之貨品或服務一致之 amor tised to profit or loss on a 系統基準在損益中攤銷。有關資產須 systematic basis that is consistent 進行減值檢討。 with the transfer to the customer of the goods or services to which the assets relate. The asset is subject to impairment review. 年報 文化傳信集團有限公司 2025-2026 119</t>
        </is>
      </c>
    </row>
    <row r="66">
      <c r="A66" s="9" t="inlineStr">
        <is>
          <t>Intangible Assets &amp; Goodwill</t>
        </is>
      </c>
      <c r="B66" s="9" t="inlineStr">
        <is>
          <t>無形資產及商譽</t>
        </is>
      </c>
      <c r="C66" s="21" t="inlineStr">
        <is>
          <t>high</t>
        </is>
      </c>
      <c r="D66" s="12" t="inlineStr">
        <is>
          <t>useful life</t>
        </is>
      </c>
      <c r="E66" s="12" t="inlineStr">
        <is>
          <t>PDF p.123 (印刷頁 122)</t>
        </is>
      </c>
      <c r="F66" s="12" t="inlineStr">
        <is>
          <t>使用權資產於其估計可使用年期及租 Right-of-use assets are depreciated on 期內（以較短者為準）以直線法計提折 a straight-line basis over the shorter of 舊。 its estimated useful life and the lease term. 本集團於綜合財務狀況表將使用權資 The Group presents right-of-use assets as 產以獨立項目呈列。 a separate line item on the consolidated statement of financial position. 122 Culturecom Holdings Limited Annual Report 2025-2026</t>
        </is>
      </c>
    </row>
    <row r="67">
      <c r="A67" s="9" t="inlineStr">
        <is>
          <t>Intangible Assets &amp; Goodwill</t>
        </is>
      </c>
      <c r="B67" s="9" t="inlineStr">
        <is>
          <t>無形資產及商譽</t>
        </is>
      </c>
      <c r="C67" s="21" t="inlineStr">
        <is>
          <t>high</t>
        </is>
      </c>
      <c r="D67" s="12" t="inlineStr">
        <is>
          <t>goodwill</t>
        </is>
      </c>
      <c r="E67" s="12" t="inlineStr">
        <is>
          <t>PDF p.138 (印刷頁 137)</t>
        </is>
      </c>
      <c r="F67" s="12" t="inlineStr">
        <is>
          <t>erences. In addition, deferred tax liabilities are not recognised if the temporary difference arises from the initial recognition of goodwill. 年報 文化傳信集團有限公司 2025-2026 137</t>
        </is>
      </c>
    </row>
    <row r="68">
      <c r="A68" s="9" t="inlineStr">
        <is>
          <t>Intangible Assets &amp; Goodwill</t>
        </is>
      </c>
      <c r="B68" s="9" t="inlineStr">
        <is>
          <t>無形資產及商譽</t>
        </is>
      </c>
      <c r="C68" s="21" t="inlineStr">
        <is>
          <t>high</t>
        </is>
      </c>
      <c r="D68" s="12" t="inlineStr">
        <is>
          <t>可使用年期</t>
        </is>
      </c>
      <c r="E68" s="12" t="inlineStr">
        <is>
          <t>PDF p.142 (印刷頁 141)</t>
        </is>
      </c>
      <c r="F68" s="12" t="inlineStr">
        <is>
          <t>i a t i o n a n d s u b s e q u e n t accumulated impairment losses, if any. 折舊乃以撇銷資產成本減剩餘價值除 Depreciation is recognised so as to 以估計可使用年期用直線法確認。估 write off the cost of assets less their 計可使用年期、剩餘價值及折舊方法 residual values over their estimated 會在每個報告期末覆核，而估計之任 useful lives, using the straight-line 何變動影響按未來適用法予以入賬。 method. The estimated useful lives, residual values and depreciation method are reviewed at the end of each reporting period, with the effect of any changes in estimate accounted for on a prospective basis. 物業及設備項目待出售後或當</t>
        </is>
      </c>
    </row>
    <row r="69">
      <c r="A69" s="9" t="inlineStr">
        <is>
          <t>Intangible Assets &amp; Goodwill</t>
        </is>
      </c>
      <c r="B69" s="9" t="inlineStr">
        <is>
          <t>無形資產及商譽</t>
        </is>
      </c>
      <c r="C69" s="21" t="inlineStr">
        <is>
          <t>high</t>
        </is>
      </c>
      <c r="D69" s="12" t="inlineStr">
        <is>
          <t>intangible asset</t>
        </is>
      </c>
      <c r="E69" s="12" t="inlineStr">
        <is>
          <t>PDF p.143 (印刷頁 142)</t>
        </is>
      </c>
      <c r="F69" s="12" t="inlineStr">
        <is>
          <t>S AND MATERIAL ACCOUNTING POLICY INFORMATION (Continued) 重大會計政策資料（續） 3.2 Material accounting policy 3.2 information (Continued) 無形資產 Intangible assets 個別收購的無形資產 Intangible assets acquired separately 個別收購的具備有限可使用年期的無 Intangible assets with finite useful 形資產按成本減累計攤銷及任何累計 lives that are acquired separately are 減值虧損入賬。具備有限可使用年期 carried at costs less accumulated 的無形資產攤銷於其估計可使用年期 amortisation and any accumulated 內以直線法確認。估計可使用年期及 impairment losses. Amortisation for 攤銷方法於各個報告期末予以檢討， intangible assets with finite useful lives 而估計之任何變動影響</t>
        </is>
      </c>
    </row>
    <row r="70">
      <c r="A70" s="9" t="inlineStr">
        <is>
          <t>Intangible Assets &amp; Goodwill</t>
        </is>
      </c>
      <c r="B70" s="9" t="inlineStr">
        <is>
          <t>無形資產及商譽</t>
        </is>
      </c>
      <c r="C70" s="21" t="inlineStr">
        <is>
          <t>high</t>
        </is>
      </c>
      <c r="D70" s="12" t="inlineStr">
        <is>
          <t>intangible asset</t>
        </is>
      </c>
      <c r="E70" s="12" t="inlineStr">
        <is>
          <t>PDF p.144 (印刷頁 143)</t>
        </is>
      </c>
      <c r="F70" s="12" t="inlineStr">
        <is>
          <t>ND MATERIAL ACCOUNTING POLICY INFORMATION (Continued) 重大會計政策資料（續） 3.2 Material accounting policy 3.2 information (Continued) 無形資產（續） Intangible assets (Continued) 內部產生無形資產 — 研發支出（續） Internally-generated intangible assetsresearch and development expenditure (Continued) 僅當所有下列事項全被證實之情況 An internally-generated intangible asset 下，源自開發活動（或內部項目之開發 arising from development activities (or 階段）之內部產生無形資產方予以確 from the development phase of an 認： internal project) is recognised if, and only if, all of the following have been demonstrated:</t>
        </is>
      </c>
    </row>
    <row r="71">
      <c r="A71" s="9" t="inlineStr">
        <is>
          <t>Intangible Assets &amp; Goodwill</t>
        </is>
      </c>
      <c r="B71" s="9" t="inlineStr">
        <is>
          <t>無形資產及商譽</t>
        </is>
      </c>
      <c r="C71" s="21" t="inlineStr">
        <is>
          <t>high</t>
        </is>
      </c>
      <c r="D71" s="12" t="inlineStr">
        <is>
          <t>intangible asset</t>
        </is>
      </c>
      <c r="E71" s="12" t="inlineStr">
        <is>
          <t>PDF p.145 (印刷頁 144)</t>
        </is>
      </c>
      <c r="F71" s="12" t="inlineStr">
        <is>
          <t>ND MATERIAL ACCOUNTING POLICY INFORMATION (Continued) 重大會計政策資料（續） 3.2 Material accounting policy 3.2 information (Continued) 無形資產（續） Intangible assets (Continued) 內部產生無形資產 — 研發支出（續） Internally-generated intangible assetsresearch and development expenditure (Continued) 於開發階段可靠地計量無形資產 • the ability to measure reliably • 應佔開支的能力。 the expenditure attributable to the intangible asset during its development. 就內部產生的無形資產而初步確認之 The amount initially recognised for 金額指從無形資產首次符合上文所列 internally-generated intangible asset 之確認標準日期起所產生之開支總金</t>
        </is>
      </c>
    </row>
    <row r="72">
      <c r="A72" s="9" t="inlineStr">
        <is>
          <t>Intangible Assets &amp; Goodwill</t>
        </is>
      </c>
      <c r="B72" s="9" t="inlineStr">
        <is>
          <t>無形資產及商譽</t>
        </is>
      </c>
      <c r="C72" s="21" t="inlineStr">
        <is>
          <t>high</t>
        </is>
      </c>
      <c r="D72" s="12" t="inlineStr">
        <is>
          <t>intangible asset</t>
        </is>
      </c>
      <c r="E72" s="12" t="inlineStr">
        <is>
          <t>PDF p.146 (印刷頁 145)</t>
        </is>
      </c>
      <c r="F72" s="12" t="inlineStr">
        <is>
          <t>ND MATERIAL ACCOUNTING POLICY INFORMATION (Continued) 重大會計政策資料（續） 3.2 Material accounting policy 3.2 information (Continued) 無形資產（續） Intangible assets (Continued) 業務合併中收購之無形資產 Intangible assets acquired in a business combination 業務合併中所收購之無形資產與商譽 Intangible assets acquired in a business 分開確認，初步按收購日期之公平價值 combination are recognised separately （視為其成本）確認。 f ro m g o o d w i l l a n d a re i n i t i a l l y recognised at their fair value at the acquisition date (which is regarded as their cost). 於初始確認後，於業務合併中收購之 Subsequent to initia</t>
        </is>
      </c>
    </row>
    <row r="73">
      <c r="A73" s="9" t="inlineStr">
        <is>
          <t>Intangible Assets &amp; Goodwill</t>
        </is>
      </c>
      <c r="B73" s="9" t="inlineStr">
        <is>
          <t>無形資產及商譽</t>
        </is>
      </c>
      <c r="C73" s="21" t="inlineStr">
        <is>
          <t>high</t>
        </is>
      </c>
      <c r="D73" s="12" t="inlineStr">
        <is>
          <t>intangible asset</t>
        </is>
      </c>
      <c r="E73" s="12" t="inlineStr">
        <is>
          <t>PDF p.147 (印刷頁 146)</t>
        </is>
      </c>
      <c r="F73" s="12" t="inlineStr">
        <is>
          <t>counting policy 3.2 information (Continued) 物業及設備、使用權資產及無形資產 Impairment on property and 的減值（商譽除外） equipment, right-of-use assets and intangible assets other than goodwill 於報告期末，本集團審閱其具備有限 At the end of the reporting period, the 可使用年期之物業及設備、使用權資 Group reviews the carrying amounts 產及無形資產之賬面值，以確定是否 of its property and equipment, right-of- 有任何跡象顯示該等資產出現減值虧 use assets and intangible assets with 損。倘任何有關跡象表明出現減值，相 finite useful lives to determine whether 關資產之可收回金額予以估計，從而 there is any indication that these 釐定減值虧損（如有）之程度。具備無 assets have</t>
        </is>
      </c>
    </row>
    <row r="74">
      <c r="A74" s="9" t="inlineStr">
        <is>
          <t>Intangible Assets &amp; Goodwill</t>
        </is>
      </c>
      <c r="B74" s="9" t="inlineStr">
        <is>
          <t>無形資產及商譽</t>
        </is>
      </c>
      <c r="C74" s="21" t="inlineStr">
        <is>
          <t>high</t>
        </is>
      </c>
      <c r="D74" s="12" t="inlineStr">
        <is>
          <t>intangible asset</t>
        </is>
      </c>
      <c r="E74" s="12" t="inlineStr">
        <is>
          <t>PDF p.148 (印刷頁 147)</t>
        </is>
      </c>
      <c r="F74" s="12" t="inlineStr">
        <is>
          <t>nting policy 3.2 information (Continued) 物業及設備、使用權資產及無形資產 Impairment on property and 的減值（商譽除外）（續） equipment, right-of-use assets and intangible assets other than goodwill (Continued) 在測試現金產生單位的減值時，企業 In testing a CGU for impairment, 資產在可以建立合理一致的分配基準 corporate assets are allocated to the 時將分配至相關現金產生單位，或彼 relevant CGU when a reasonable and 等被分配至可建立合理及一貫分配基 consistent basis of allocation can 準的最小組別之現金產生單位。可收 be established, or otherwise they are 回金額按企業資產所屬的現金產生單 allocated to the smallest group of CGUs 位或現金產生單位組別釐定，並與相 for which a</t>
        </is>
      </c>
    </row>
    <row r="75">
      <c r="A75" s="9" t="inlineStr">
        <is>
          <t>Intangible Assets &amp; Goodwill</t>
        </is>
      </c>
      <c r="B75" s="9" t="inlineStr">
        <is>
          <t>無形資產及商譽</t>
        </is>
      </c>
      <c r="C75" s="21" t="inlineStr">
        <is>
          <t>high</t>
        </is>
      </c>
      <c r="D75" s="12" t="inlineStr">
        <is>
          <t>intangible asset</t>
        </is>
      </c>
      <c r="E75" s="12" t="inlineStr">
        <is>
          <t>PDF p.149 (印刷頁 148)</t>
        </is>
      </c>
      <c r="F75" s="12" t="inlineStr">
        <is>
          <t>nting policy 3.2 information (Continued) 物業及設備、使用權資產及無形資產 Impairment on property and 的減值（商譽除外）（續） equipment, right-of-use assets and intangible assets other than goodwill (Continued) 倘估計資產（或現金產生單位）的可收 If the recoverable amount of an asset 回金額低於其賬面值，則將該資產（或 (or a CGU) is estimated to be less 現金產生單位）的賬面值調低至其可 than its carrying amount, the carrying 收回金額。就未能按合理一致的基準 amount of the asset (or a CGU) is 分配至現金產生單位之企業資產或部 reduced to its recoverable amount. For 分企業資產，本集團會比較一個現金 corporate assets or portion of corporate 產生單位組別之賬面值（包括已分配 ass</t>
        </is>
      </c>
    </row>
    <row r="76">
      <c r="A76" s="9" t="inlineStr">
        <is>
          <t>Intangible Assets &amp; Goodwill</t>
        </is>
      </c>
      <c r="B76" s="9" t="inlineStr">
        <is>
          <t>無形資產及商譽</t>
        </is>
      </c>
      <c r="C76" s="21" t="inlineStr">
        <is>
          <t>high</t>
        </is>
      </c>
      <c r="D76" s="12" t="inlineStr">
        <is>
          <t>intangible asset</t>
        </is>
      </c>
      <c r="E76" s="12" t="inlineStr">
        <is>
          <t>PDF p.150 (印刷頁 149)</t>
        </is>
      </c>
      <c r="F76" s="12" t="inlineStr">
        <is>
          <t>nting policy 3.2 information (Continued) 物業及設備、使用權資產及無形資產 Impairment on property and 的減值（商譽除外）（續） equipment, right-of-use assets and intangible assets other than goodwill (Continued) 倘減值虧損於其後撥回，該資產（或現 Where an impairment loss subsequently 金產生單位或現金產生單位組別）的 reverses, the carrying amount of the 賬面值增加至其可收回金額的經修訂 asset (or CGU or a group of CGUs) is 估計值，惟增加後的賬面值不能超過 increased to the revised estimate of 該資產（或現金產生單位或現金產生 its recoverable amount, but so that 單位組別）倘過往年度並無確認減值 the increased carrying amount does 虧損原應有的賬面值。減值虧損的撥 not exceed</t>
        </is>
      </c>
    </row>
    <row r="77">
      <c r="A77" s="9" t="inlineStr">
        <is>
          <t>Intangible Assets &amp; Goodwill</t>
        </is>
      </c>
      <c r="B77" s="9" t="inlineStr">
        <is>
          <t>無形資產及商譽</t>
        </is>
      </c>
      <c r="C77" s="21" t="inlineStr">
        <is>
          <t>high</t>
        </is>
      </c>
      <c r="D77" s="12" t="inlineStr">
        <is>
          <t>攤銷</t>
        </is>
      </c>
      <c r="E77" s="12" t="inlineStr">
        <is>
          <t>PDF p.152 (印刷頁 151)</t>
        </is>
      </c>
      <c r="F77" s="12" t="inlineStr">
        <is>
          <t>licy 3.2 information (Continued) 金融工具（續） Financial instruments (Continued) 實際利息法乃計算有關期間之金融資 The effective interest method is a 產或金融負債攤銷成本及利息收入及 method of calculating the amortised 利息開支分配之方法。實際利率為透 cost of a financial asset or financial 過金融資產或金融負債之預期年期或 liability and of allocating interest （如適用）較短期間將估計未來現金 income and interest expense over the 收付款（包括構成實際利率不可分割 relevant period. The effective interest 部分之所有已付或已收費用及點數、 rate is the rate that exactly discounts 交易成本及其他溢價或折讓）準確貼 estimated future cash receipts and 現至首次確認時之賬面淨值之利率。 paymen</t>
        </is>
      </c>
    </row>
    <row r="78">
      <c r="A78" s="9" t="inlineStr">
        <is>
          <t>Intangible Assets &amp; Goodwill</t>
        </is>
      </c>
      <c r="B78" s="9" t="inlineStr">
        <is>
          <t>無形資產及商譽</t>
        </is>
      </c>
      <c r="C78" s="21" t="inlineStr">
        <is>
          <t>high</t>
        </is>
      </c>
      <c r="D78" s="12" t="inlineStr">
        <is>
          <t>攤銷</t>
        </is>
      </c>
      <c r="E78" s="12" t="inlineStr">
        <is>
          <t>PDF p.154 (印刷頁 153)</t>
        </is>
      </c>
      <c r="F78" s="12" t="inlineStr">
        <is>
          <t>, the Group may irrevocably 項金融資產，該金融資產須按公平價 designate a financial asset that 值計入損益表計量，惟該金融資產須 are required to be measured at the 符合按攤銷成本或按公平價值計入其 amortised cost or FVTOCI as measured 他全面收益計量之規定，而前提為有 at FVTPL if doing so eliminates or 關指定可消除或大幅減少會計錯配發 significantly reduces an accounting 生。 mismatch. 年報 文化傳信集團有限公司 2025-2026 153</t>
        </is>
      </c>
    </row>
    <row r="79">
      <c r="A79" s="9" t="inlineStr">
        <is>
          <t>Intangible Assets &amp; Goodwill</t>
        </is>
      </c>
      <c r="B79" s="9" t="inlineStr">
        <is>
          <t>無形資產及商譽</t>
        </is>
      </c>
      <c r="C79" s="21" t="inlineStr">
        <is>
          <t>high</t>
        </is>
      </c>
      <c r="D79" s="12" t="inlineStr">
        <is>
          <t>攤銷</t>
        </is>
      </c>
      <c r="E79" s="12" t="inlineStr">
        <is>
          <t>PDF p.155 (印刷頁 154)</t>
        </is>
      </c>
      <c r="F79" s="12" t="inlineStr">
        <is>
          <t>aterial accounting policy 3.2 information (Continued) 金融工具（續） Financial instruments (Continued) 金融資產（續） Financial assets (Continued) 攤銷成本及利息收入 Amortised cost and interest income 其後按攤銷成本計量的金融資產乃 Interest income is recognised using the 使用實際利率法予以確認利息收入。 effective interest method for financial 利息收入乃對一項金融資產賬面總值 assets measured subsequently at 應用實際利率予以計算，惟其後出現 amortised cost. Interest income is 信貸減值的金融資產除外（見下文）。 calculated by applying the effective 就其後出現信貸減值的金融資產而 interest rate to the gross carrying 言，自下一報告期起，利息收入乃對 amount of a finan</t>
        </is>
      </c>
    </row>
    <row r="80">
      <c r="A80" s="9" t="inlineStr">
        <is>
          <t>Intangible Assets &amp; Goodwill</t>
        </is>
      </c>
      <c r="B80" s="9" t="inlineStr">
        <is>
          <t>無形資產及商譽</t>
        </is>
      </c>
      <c r="C80" s="21" t="inlineStr">
        <is>
          <t>high</t>
        </is>
      </c>
      <c r="D80" s="12" t="inlineStr">
        <is>
          <t>攤銷</t>
        </is>
      </c>
      <c r="E80" s="12" t="inlineStr">
        <is>
          <t>PDF p.157 (印刷頁 156)</t>
        </is>
      </c>
      <c r="F80" s="12" t="inlineStr">
        <is>
          <t>tinued) 金融工具（續） Financial instruments (Continued) 金融資產（續） Financial assets (Continued) 按公平價值計入損益表之金融資產 Financial assets at FVTPL 不符合按攤銷成本或按公平價值計入 Financial assets that do not meet the 其他全面收益或指定為按公平價值計 criteria for being measures at amortised 入其他全面收益之計量標準之金融資 cost or FVTOCI or designated as FVTOCI 產按公平價值計入損益表計量。 are measured at FVTPL. 按公平價值計入損益表之金融資產按 Financial assets at FVTPL are measured 各報告期末之公平價值計量，任何公 at fair value at the end of each 平價值收益或虧損於損益中確認。於 reporting period, with any fair value 損益確認之收益或虧損淨額，不包括 gains or losses rec</t>
        </is>
      </c>
    </row>
    <row r="81">
      <c r="A81" s="9" t="inlineStr">
        <is>
          <t>Intangible Assets &amp; Goodwill</t>
        </is>
      </c>
      <c r="B81" s="9" t="inlineStr">
        <is>
          <t>無形資產及商譽</t>
        </is>
      </c>
      <c r="C81" s="21" t="inlineStr">
        <is>
          <t>high</t>
        </is>
      </c>
      <c r="D81" s="12" t="inlineStr">
        <is>
          <t>攤銷</t>
        </is>
      </c>
      <c r="E81" s="12" t="inlineStr">
        <is>
          <t>PDF p.169 (印刷頁 168)</t>
        </is>
      </c>
      <c r="F81" s="12" t="inlineStr">
        <is>
          <t>r when it transfers the financial asset and substantially all the risks and rewards of ownership of the asset to another party. 終止確認以攤銷成本計量之金融資產 On derecognition of a financial asset at 時，有關資產之賬面值與已收及應收 amortised cost, the difference between 代價總和之差額，會於損益中確認。 the asset’s carrying amount and the sum of the consideration received and receivable is recognised in profit or loss. 當終止確認本集團於初始確認時選擇 On derecognition of an investment 按公平價值計入其他全面收益計量的 in equity instrument which the Group 股本工具投資時，先前累計於按公平 has elected on initial recognition</t>
        </is>
      </c>
    </row>
    <row r="82">
      <c r="A82" s="9" t="inlineStr">
        <is>
          <t>Intangible Assets &amp; Goodwill</t>
        </is>
      </c>
      <c r="B82" s="9" t="inlineStr">
        <is>
          <t>無形資產及商譽</t>
        </is>
      </c>
      <c r="C82" s="21" t="inlineStr">
        <is>
          <t>high</t>
        </is>
      </c>
      <c r="D82" s="12" t="inlineStr">
        <is>
          <t>攤銷</t>
        </is>
      </c>
      <c r="E82" s="12" t="inlineStr">
        <is>
          <t>PDF p.170 (印刷頁 169)</t>
        </is>
      </c>
      <c r="F82" s="12" t="inlineStr">
        <is>
          <t>認。 of its liabilities. Equity instruments issued by the Company are recognised at the proceeds received, net of direct issue costs. 按攤銷成本計量之金融負債 Financial liabilities at amortised cost 金融負債（包括應付貿易賬款、其他應 Financial liabilities including trade 付款項及應計費用、來自一名股東之 payables, other payables and accrued 貸款、來自董事之貸款及租賃負債）其 charges, loan from a shareholder, loans 後按攤銷成本以實際利率法計量。 from directors and lease liabilities are subsequently measured at amortised cost using the effective interest method. 年報 文化傳信集團有限公司 2025-2026 169</t>
        </is>
      </c>
    </row>
    <row r="83">
      <c r="A83" s="9" t="inlineStr">
        <is>
          <t>Intangible Assets &amp; Goodwill</t>
        </is>
      </c>
      <c r="B83" s="9" t="inlineStr">
        <is>
          <t>無形資產及商譽</t>
        </is>
      </c>
      <c r="C83" s="21" t="inlineStr">
        <is>
          <t>high</t>
        </is>
      </c>
      <c r="D83" s="12" t="inlineStr">
        <is>
          <t>intangible asset</t>
        </is>
      </c>
      <c r="E83" s="12" t="inlineStr">
        <is>
          <t>PDF p.178 (印刷頁 177)</t>
        </is>
      </c>
      <c r="F83" s="12" t="inlineStr">
        <is>
          <t>度 估計不確定因素之主要來源 4. KEY SOURCES OF ESTIMATION 4. （續） UNCERTAINTY (Continued) 無形資產的可使用年期及攤銷費 Useful lives and amortisation 用 charges of intangible assets 本集團釐定其團無形資產的估計可使用年 The Group determines the estimated useful 期及相關攤銷費用時，乃參考本集團擬從 lives and related amortisation charges for 使用該等資產獲得未來經濟利益的估計期 the Group’s intangible assets with reference 間。倘可使用年期與先前估計的年期不同， to the estimated periods that the Group 管理層將修訂攤銷費用，或撇銷或撇減已 intends to derive future economic benefits 棄置或出售的技術過時或非策略性資產。 from the use of these assets. Management 實際經濟年期可能有別於估計</t>
        </is>
      </c>
    </row>
    <row r="84">
      <c r="A84" s="9" t="inlineStr">
        <is>
          <t>Intangible Assets &amp; Goodwill</t>
        </is>
      </c>
      <c r="B84" s="9" t="inlineStr">
        <is>
          <t>無形資產及商譽</t>
        </is>
      </c>
      <c r="C84" s="21" t="inlineStr">
        <is>
          <t>high</t>
        </is>
      </c>
      <c r="D84" s="12" t="inlineStr">
        <is>
          <t>intangible asset</t>
        </is>
      </c>
      <c r="E84" s="12" t="inlineStr">
        <is>
          <t>PDF p.179 (印刷頁 178)</t>
        </is>
      </c>
      <c r="F84" s="12" t="inlineStr">
        <is>
          <t>UNCERTAINTY (Continued) 物業及設備、使用權資產及無形資 Estimated impairment assessment of 產之估計減值評估 property and equipment, right-of-use assets and intangible assets 物業及設備、使用權資產及無形資產按成 Proper ty and equipment, right-of-use 本減累計折舊╱攤銷及減值（如有）列賬。 assets and intangible assets are stated 於確定資產是否減值時，本集團須作出判 at costs less accumulated depreciation/ 斷及估計，尤其是評估：(1)是否發生可能 amortisation and impairment, if any. In 影響資產價值的事項或出現任何跡象；(2) determining whether an asset is impaired, 資產的賬面值是否能得到可收回金額的支 the Group has to exercise judgement and 持，倘為使用價值，根據持續使用資產估計 mak</t>
        </is>
      </c>
    </row>
    <row r="85">
      <c r="A85" s="9" t="inlineStr">
        <is>
          <t>Intangible Assets &amp; Goodwill</t>
        </is>
      </c>
      <c r="B85" s="9" t="inlineStr">
        <is>
          <t>無形資產及商譽</t>
        </is>
      </c>
      <c r="C85" s="21" t="inlineStr">
        <is>
          <t>high</t>
        </is>
      </c>
      <c r="D85" s="12" t="inlineStr">
        <is>
          <t>intangible asset</t>
        </is>
      </c>
      <c r="E85" s="12" t="inlineStr">
        <is>
          <t>PDF p.180 (印刷頁 179)</t>
        </is>
      </c>
      <c r="F85" s="12" t="inlineStr">
        <is>
          <t>ERTAINTY (Continued) 物業及設備、使用權資產及無形資 Estimated impairment assessment 產之估計減值評估（續） of property and equipment, rightof-use assets and intangible assets (Continued) 於二零二六年三月三十一日，經檢討業務 As at 31 March 2026, after reviewing the 環境及本集團現金產生單位表現後，管理 business environment and the Group’s 層認為，經分別計提減值虧損約零港元、零 performance of the CGU, the management 港元及22,833,000港元（二零二五年：就 concluded that the carrying amounts 物業及設備、使用權資產及無形資產分別 of property and equipment, right-of-use 確認約零港元、1,689,000港元及552,000 assets and intangible assets subject to 港元）後，須進行減</t>
        </is>
      </c>
    </row>
    <row r="86">
      <c r="A86" s="9" t="inlineStr">
        <is>
          <t>Intangible Assets &amp; Goodwill</t>
        </is>
      </c>
      <c r="B86" s="9" t="inlineStr">
        <is>
          <t>無形資產及商譽</t>
        </is>
      </c>
      <c r="C86" s="21" t="inlineStr">
        <is>
          <t>high</t>
        </is>
      </c>
      <c r="D86" s="12" t="inlineStr">
        <is>
          <t>intangible asset</t>
        </is>
      </c>
      <c r="E86" s="12" t="inlineStr">
        <is>
          <t>PDF p.189 (印刷頁 188)</t>
        </is>
      </c>
      <c r="F86" s="12" t="inlineStr">
        <is>
          <t>HK$’000 HK$’000 附註 千港元 千港元 就下列各項確認之 Impairment losses recognised in 減值虧損： respect of －使用權資產 – Right-of-use assets 17 – 1,689 －無形資產 – Intangible assets 19 22,833 552 －存貨 – Inventories 22 390 – －已付無形資產按金 – Deposits paid for intangible assets 24 4,882 – 28,105 2,241 188 Culturecom Holdings Limited Annual Report 2025-2026</t>
        </is>
      </c>
    </row>
    <row r="87">
      <c r="A87" s="9" t="inlineStr">
        <is>
          <t>Intangible Assets &amp; Goodwill</t>
        </is>
      </c>
      <c r="B87" s="9" t="inlineStr">
        <is>
          <t>無形資產及商譽</t>
        </is>
      </c>
      <c r="C87" s="21" t="inlineStr">
        <is>
          <t>high</t>
        </is>
      </c>
      <c r="D87" s="12" t="inlineStr">
        <is>
          <t>intangible asset</t>
        </is>
      </c>
      <c r="E87" s="12" t="inlineStr">
        <is>
          <t>PDF p.195 (印刷頁 194)</t>
        </is>
      </c>
      <c r="F87" s="12" t="inlineStr">
        <is>
          <t>HK$’000 千港元 千港元 千港元 千港元 千港元 千港元 千港元 計量分部損益所包括之金額： Amounts included in the measure of segment profit or loss: 無形資產攤銷 Amortisation of intangible assets 488 – – 2,854 3,342 – 3,342 銀行利息收入 Bank interest income (80) (4) – (75) (159) (1) (160) 物業及設備之折舊 Depreciation of property and equipment 29 – – – 29 13 42 使用權資產之折舊 Depreciation of right-of-use assets 494 – – – 494 724 1,218 財務費用 Finance costs 29 – – – 29 204 233 預期信貸虧損模型下之減值虧損， Impairment loss under ECL model, 扣除撥回 net of reversal (32) – (2) (986) (1,020) – (1,020) 於一間聯營公司權益之減值虧損</t>
        </is>
      </c>
    </row>
    <row r="88">
      <c r="A88" s="9" t="inlineStr">
        <is>
          <t>Intangible Assets &amp; Goodwill</t>
        </is>
      </c>
      <c r="B88" s="9" t="inlineStr">
        <is>
          <t>無形資產及商譽</t>
        </is>
      </c>
      <c r="C88" s="21" t="inlineStr">
        <is>
          <t>high</t>
        </is>
      </c>
      <c r="D88" s="12" t="inlineStr">
        <is>
          <t>intangible asset</t>
        </is>
      </c>
      <c r="E88" s="12" t="inlineStr">
        <is>
          <t>PDF p.196 (印刷頁 195)</t>
        </is>
      </c>
      <c r="F88" s="12" t="inlineStr">
        <is>
          <t>HK$’000 千港元 千港元 千港元 千港元 千港元 千港元 千港元 計量分部損益所包括之金額： Amounts included in the measure of segment profit or loss: 無形資產攤銷 Amortisation of intangible assets 488 – – 2,834 3,322 – 3,322 銀行利息收入 Bank interest income (94) (13) – – (107) (13) (120) 物業及設備之折舊 Depreciation of property and equipment – 5 – 4 9 14 23 使用權資產之折舊 Depreciation of right-of-use assets 470 – – – 470 1,454 1,924 財務費用 Finance costs 41 – – – 41 92 133 預期信貸虧損模型下之減值虧損， Impairment loss under ECL model, 扣除撥回 net of reversal (721) – – 1,611 890 (2) 888 於一間聯營公司權益之減值虧損 Impairmen</t>
        </is>
      </c>
    </row>
    <row r="89">
      <c r="A89" s="9" t="inlineStr">
        <is>
          <t>Intangible Assets &amp; Goodwill</t>
        </is>
      </c>
      <c r="B89" s="9" t="inlineStr">
        <is>
          <t>無形資產及商譽</t>
        </is>
      </c>
      <c r="C89" s="21" t="inlineStr">
        <is>
          <t>high</t>
        </is>
      </c>
      <c r="D89" s="12" t="inlineStr">
        <is>
          <t>intangible asset</t>
        </is>
      </c>
      <c r="E89" s="12" t="inlineStr">
        <is>
          <t>PDF p.200 (印刷頁 199)</t>
        </is>
      </c>
      <c r="F89" s="12" t="inlineStr">
        <is>
          <t>舊 Depreciation of property and equipment 16 42 23 使用權資產之折舊 Depreciation of right-of-use assets 17 1,218 1,924 無形資產攤銷 Amortisation of intangible assets 19 3,342 3,322 使用權資產之減值虧損 Impairment loss on right-of-use assets 17 – 1,689 已付無形資產按金之 Impairment loss on deposits paid for 減值虧損 intangible assets 24 4,882 – 無形資產之減值虧損 Impairment loss on intangible assets 19 22,833 552 存貨之減值虧損 Impairment loss on inventories 22 390 – 法律、諮詢及其他專業費用 Legal, consultancy and other （計入其他費用）（附註） professional fees (included in other expenses) (Note) 2,467 3</t>
        </is>
      </c>
    </row>
    <row r="90">
      <c r="A90" s="9" t="inlineStr">
        <is>
          <t>Intangible Assets &amp; Goodwill</t>
        </is>
      </c>
      <c r="B90" s="9" t="inlineStr">
        <is>
          <t>無形資產及商譽</t>
        </is>
      </c>
      <c r="C90" s="21" t="inlineStr">
        <is>
          <t>high</t>
        </is>
      </c>
      <c r="D90" s="12" t="inlineStr">
        <is>
          <t>可使用年期</t>
        </is>
      </c>
      <c r="E90" s="12" t="inlineStr">
        <is>
          <t>PDF p.211 (印刷頁 210)</t>
        </is>
      </c>
      <c r="F90" s="12" t="inlineStr">
        <is>
          <t>CIAL STATEMENTS 綜合財務報表附註 FOR THE YEAR ENDED 31 MARCH 2026 截至二零二六年三月三十一日止年度 物業及設備（續） 16. PROPERTY AND EQUIPMENT 16. (Continued) 按彼等之估計可使用年期採用直線法按以 Depreciation is provided to write off the cost 下年率計提折舊以撇銷成本： over their estimated useful lives, using the straight-line method, at the following rates per annum: 租賃物業裝修 租期或10% Leasehold Shorter of the lease （以較短者為準） improvements term or 10% 汽車、傢俬及設備 15%至20% Vehicles, furniture and 15% to 20% equipment 物業及設備以及使用權資產之減 Impairment assessment for property 值評估 and equipment and right-of-use</t>
        </is>
      </c>
    </row>
    <row r="91">
      <c r="A91" s="9" t="inlineStr">
        <is>
          <t>Investment Properties</t>
        </is>
      </c>
      <c r="B91" s="9" t="inlineStr">
        <is>
          <t>投資物業</t>
        </is>
      </c>
      <c r="C91" s="21" t="inlineStr">
        <is>
          <t>high</t>
        </is>
      </c>
      <c r="D91" s="12" t="inlineStr">
        <is>
          <t>投資物業</t>
        </is>
      </c>
      <c r="E91" s="12" t="inlineStr">
        <is>
          <t>PDF p.29 (印刷頁 28)</t>
        </is>
      </c>
      <c r="F91" s="12" t="inlineStr">
        <is>
          <t>y 2024. Mr. Mung was the chairman of the Nomination Committee during the period from 25 November 2025 to 4 June 2026. 蒙先生在投資管理、旅遊、物流、投資物業等領 He has 36 years of experience in investment 域擁有36年的工作經歷。特別是在國企合作投 management, tourism, logistics and investment 資運營及有線傳媒管理方面具有豐富的經驗。蒙 proper ty. In par ticular, he has extensive 先生曾任廣東南方銀視網絡傳媒有限公司副董 experience in cooperation with state-owned 事長兼總經理及奧捷旅遊資源有限公司董事。蒙 enterprises in investment and operations, as well 先生現時為廣東國葉綠屋科技有限公司董事總 as cable media management. Mr. Mung acted 經理、廈門鑫友物流有限公司副總裁</t>
        </is>
      </c>
    </row>
    <row r="92">
      <c r="A92" s="9" t="inlineStr">
        <is>
          <t>Investment Properties</t>
        </is>
      </c>
      <c r="B92" s="9" t="inlineStr">
        <is>
          <t>投資物業</t>
        </is>
      </c>
      <c r="C92" s="21" t="inlineStr">
        <is>
          <t>high</t>
        </is>
      </c>
      <c r="D92" s="12" t="inlineStr">
        <is>
          <t>capitalisation rate</t>
        </is>
      </c>
      <c r="E92" s="12" t="inlineStr">
        <is>
          <t>PDF p.130 (印刷頁 129)</t>
        </is>
      </c>
      <c r="F92" s="12" t="inlineStr">
        <is>
          <t>化比 ready for its intended use or sale is 率。於特定借款作合資格資產之支出 included in the general borrowing pool 前暫時用作投資所賺取之投資收入， for calculation of capitalisation rate on 須自合資格資本化之借款成本中扣 general borrowings. Investment income 除。 earned on the temporary investment of specific borrowings pending their expenditure on qualifying assets is deducted from the borrowing costs eligible for capitalisation. 年報 文化傳信集團有限公司 2025-2026 129</t>
        </is>
      </c>
    </row>
    <row r="93">
      <c r="A93" s="9" t="inlineStr">
        <is>
          <t>ESG Data</t>
        </is>
      </c>
      <c r="B93" s="9" t="inlineStr">
        <is>
          <t>環境社會及管治數據</t>
        </is>
      </c>
      <c r="C93" s="9" t="inlineStr">
        <is>
          <t>medium</t>
        </is>
      </c>
      <c r="D93" s="12" t="inlineStr">
        <is>
          <t>可持續</t>
        </is>
      </c>
      <c r="E93" s="12" t="inlineStr">
        <is>
          <t>PDF p.9 (印刷頁 8)</t>
        </is>
      </c>
      <c r="F93" s="12" t="inlineStr">
        <is>
          <t>CHAIRMAN’S STATEMENT 主席報告書 展望 PROSPECT 我們致力維持現有業務分部的可持續發展水平， We strive to maintain sustainable development 特別是出版及知識產權授權業務。本集團在新領 levels in existing business segments, especially 導層管理下全面升級版權保護機制，令經典IP歷 publishing and IPs licensing. Under the 久彌新，把歷史內容轉化為可持續傳承的長久文 leadership of new management, the Group 化價值。憑藉新管理層在澳門區域文化傳播並創 has comprehensively upgraded its copyright 辦《紅刊》及系列文化實體的豐富經驗，相信將會 protection mechanisms to preserve the lasting 提升本集團在出版及知識產權授權</t>
        </is>
      </c>
    </row>
    <row r="94">
      <c r="A94" s="9" t="inlineStr">
        <is>
          <t>ESG Data</t>
        </is>
      </c>
      <c r="B94" s="9" t="inlineStr">
        <is>
          <t>環境社會及管治數據</t>
        </is>
      </c>
      <c r="C94" s="9" t="inlineStr">
        <is>
          <t>medium</t>
        </is>
      </c>
      <c r="D94" s="12" t="inlineStr">
        <is>
          <t>可持續</t>
        </is>
      </c>
      <c r="E94" s="12" t="inlineStr">
        <is>
          <t>PDF p.40 (印刷頁 39)</t>
        </is>
      </c>
      <c r="F94" s="12" t="inlineStr">
        <is>
          <t>es of material breach or noncompliance of applicable laws and regulations. 環保政策及表現 ENVIRONMENTAL POLICIES AND PERFORMANCE 本集團致力達至環境可持續性。本集團竭力遵守 T h e G ro u p i s c o m m i t te d to a c h i e v i n g 相關環保法律法規，並採取有效措施達至善用資 e nv i ro n m e n ta l s u s ta i n a b i l i t y. Th e G ro u p 源、減少浪費以及節約能源。例如，本集團的內 endeavours to comply with the relevant laws and 部生產設施按照相關環境規則及規例運作。本集 regulations regarding environmental protection 團定期審視其環保政策。 and adopt effective measures to achieve efficient use of resources, waste reduction and ener</t>
        </is>
      </c>
    </row>
    <row r="95">
      <c r="A95" s="9" t="inlineStr">
        <is>
          <t>R&amp;D Expenditure</t>
        </is>
      </c>
      <c r="B95" s="9" t="inlineStr">
        <is>
          <t>研發開支</t>
        </is>
      </c>
      <c r="C95" s="9" t="inlineStr">
        <is>
          <t>medium</t>
        </is>
      </c>
      <c r="D95" s="12" t="inlineStr">
        <is>
          <t>開發成本</t>
        </is>
      </c>
      <c r="E95" s="12" t="inlineStr">
        <is>
          <t>PDF p.8 (印刷頁 7)</t>
        </is>
      </c>
      <c r="F95" s="12" t="inlineStr">
        <is>
          <t>項目因首批生產機未能交付 the NLP Business was the (Fei Long 而遭遇商業失敗，相關加工合約其後於本財政年 Da Shi) AI mobile phone project. However, the 度經法院判決終止。因此，作為去年將開發成本 project experienced commercial failure as the 資本化依據的總代理協議並未轉化為實際採購 initial production units could not be delivered, 訂單。 and the relevant processing contract was subsequently terminated by court judgment during the financial year. Consequently, master agency agreements, which provided the basis for capitalising the development costs in the prior year, did not result in actual purchase orders.</t>
        </is>
      </c>
    </row>
    <row r="96">
      <c r="A96" s="9" t="inlineStr">
        <is>
          <t>R&amp;D Expenditure</t>
        </is>
      </c>
      <c r="B96" s="9" t="inlineStr">
        <is>
          <t>研發開支</t>
        </is>
      </c>
      <c r="C96" s="9" t="inlineStr">
        <is>
          <t>medium</t>
        </is>
      </c>
      <c r="D96" s="12" t="inlineStr">
        <is>
          <t>研發</t>
        </is>
      </c>
      <c r="E96" s="12" t="inlineStr">
        <is>
          <t>PDF p.14 (印刷頁 13)</t>
        </is>
      </c>
      <c r="F96" s="12" t="inlineStr">
        <is>
          <t>MANAGEMENT DISCUSSION AND ANALYSIS 管理層討論及分析 財務業績（續） FINANCIAL RESULTS (Continued) 其他費用 5. Other expenses 5. 其他經營費用錄得研發成本約565,000港元 The other expenses from operations （二零二五年：1,481,000港元），用於開發 recorded the research cost of approximately 自然語言處理業務。於二零二六年，法律、 HK$565,000 (2025: HK$1,481,000) for the 諮詢及其他專業費用約2,467,000港元（二 development of the natural language 零二五年：3,919,000港元）已支付予律師 p ro c e s s i n g b u s i n e s s. I n 2026, l e g a l , 以獲取法律服務，以及支付予顧問以獲取 consultancy and other professional fees 有關業務營運及發展之專業意見。 of a</t>
        </is>
      </c>
    </row>
    <row r="97">
      <c r="A97" s="9" t="inlineStr">
        <is>
          <t>R&amp;D Expenditure</t>
        </is>
      </c>
      <c r="B97" s="9" t="inlineStr">
        <is>
          <t>研發開支</t>
        </is>
      </c>
      <c r="C97" s="9" t="inlineStr">
        <is>
          <t>medium</t>
        </is>
      </c>
      <c r="D97" s="12" t="inlineStr">
        <is>
          <t>research and development</t>
        </is>
      </c>
      <c r="E97" s="12" t="inlineStr">
        <is>
          <t>PDF p.143 (印刷頁 142)</t>
        </is>
      </c>
      <c r="F97" s="12" t="inlineStr">
        <is>
          <t>ately are carried at cost less any subsequent accumulated impairment losses. 內部產生無形資產 — 研發支出 Internally-generated intangible assetsresearch and development expenditure 研究活動支出在其產生的期間內確認 Expenditure on research activities is 為一項開支。 recognised as an expense in the period in which it is incurred. 142 Culturecom Holdings Limited Annual Report 2025-2026</t>
        </is>
      </c>
    </row>
    <row r="98">
      <c r="A98" s="9" t="inlineStr">
        <is>
          <t>R&amp;D Expenditure</t>
        </is>
      </c>
      <c r="B98" s="9" t="inlineStr">
        <is>
          <t>研發開支</t>
        </is>
      </c>
      <c r="C98" s="9" t="inlineStr">
        <is>
          <t>medium</t>
        </is>
      </c>
      <c r="D98" s="12" t="inlineStr">
        <is>
          <t>research and development</t>
        </is>
      </c>
      <c r="E98" s="12" t="inlineStr">
        <is>
          <t>PDF p.144 (印刷頁 143)</t>
        </is>
      </c>
      <c r="F98" s="12" t="inlineStr">
        <is>
          <t>policy 3.2 information (Continued) 無形資產（續） Intangible assets (Continued) 內部產生無形資產 — 研發支出（續） Internally-generated intangible assetsresearch and development expenditure (Continued) 僅當所有下列事項全被證實之情況 An internally-generated intangible asset 下，源自開發活動（或內部項目之開發 arising from development activities (or 階段）之內部產生無形資產方予以確 from the development phase of an 認： internal project) is recognised if, and only if, all of the following have been demonstrated: 能完成無形資產以供使用或出售 • the technical feasibility of completing • 的技術可行性； the intangible asset s</t>
        </is>
      </c>
    </row>
    <row r="99">
      <c r="A99" s="9" t="inlineStr">
        <is>
          <t>R&amp;D Expenditure</t>
        </is>
      </c>
      <c r="B99" s="9" t="inlineStr">
        <is>
          <t>研發開支</t>
        </is>
      </c>
      <c r="C99" s="9" t="inlineStr">
        <is>
          <t>medium</t>
        </is>
      </c>
      <c r="D99" s="12" t="inlineStr">
        <is>
          <t>research and development</t>
        </is>
      </c>
      <c r="E99" s="12" t="inlineStr">
        <is>
          <t>PDF p.145 (印刷頁 144)</t>
        </is>
      </c>
      <c r="F99" s="12" t="inlineStr">
        <is>
          <t>policy 3.2 information (Continued) 無形資產（續） Intangible assets (Continued) 內部產生無形資產 — 研發支出（續） Internally-generated intangible assetsresearch and development expenditure (Continued) 於開發階段可靠地計量無形資產 • the ability to measure reliably • 應佔開支的能力。 the expenditure attributable to the intangible asset during its development. 就內部產生的無形資產而初步確認之 The amount initially recognised for 金額指從無形資產首次符合上文所列 internally-generated intangible asset 之確認標準日期起所產生之開支總金 is the sum of the expenditure incurred 額。倘概無內部產生無形資產可予確 from the date when the intangible</t>
        </is>
      </c>
    </row>
    <row r="100">
      <c r="A100" s="9" t="inlineStr">
        <is>
          <t>Segment Information</t>
        </is>
      </c>
      <c r="B100" s="9" t="inlineStr">
        <is>
          <t>分部資料</t>
        </is>
      </c>
      <c r="C100" s="9" t="inlineStr">
        <is>
          <t>medium</t>
        </is>
      </c>
      <c r="D100" s="12" t="inlineStr">
        <is>
          <t>operating segment</t>
        </is>
      </c>
      <c r="E100" s="12" t="inlineStr">
        <is>
          <t>PDF p.104 (印刷頁 103)</t>
        </is>
      </c>
      <c r="F100" s="12" t="inlineStr">
        <is>
          <t>ination, which represent the lowest level at which the goodwill is monitored for internal management purposes and not larger than an operating segment. 年報 文化傳信集團有限公司 2025-2026 103</t>
        </is>
      </c>
    </row>
    <row r="101">
      <c r="A101" s="9" t="inlineStr">
        <is>
          <t>Segment Information</t>
        </is>
      </c>
      <c r="B101" s="9" t="inlineStr">
        <is>
          <t>分部資料</t>
        </is>
      </c>
      <c r="C101" s="9" t="inlineStr">
        <is>
          <t>medium</t>
        </is>
      </c>
      <c r="D101" s="12" t="inlineStr">
        <is>
          <t>geographical</t>
        </is>
      </c>
      <c r="E101" s="12" t="inlineStr">
        <is>
          <t>PDF p.181 (印刷頁 180)</t>
        </is>
      </c>
      <c r="F101" s="12" t="inlineStr">
        <is>
          <t>Sales of wine – – 2,337 – 2,337 於某時段： Over time: －社交媒體市場推廣 – Social media marketing – – – – – 總計 Total 14,368 – 2,337 – 16,705 地區市場： Geographical markets: 香港（營業所在地） Hong Kong (place of domicile) 14,368 – 2,337 – 16,705 中國 The PRC – – – – – 總計 Total 14,368 – 2,337 – 16,705 180 Culturecom Holdings Limited Annual Report 2025-2026</t>
        </is>
      </c>
    </row>
    <row r="102">
      <c r="A102" s="9" t="inlineStr">
        <is>
          <t>Segment Information</t>
        </is>
      </c>
      <c r="B102" s="9" t="inlineStr">
        <is>
          <t>分部資料</t>
        </is>
      </c>
      <c r="C102" s="9" t="inlineStr">
        <is>
          <t>medium</t>
        </is>
      </c>
      <c r="D102" s="12" t="inlineStr">
        <is>
          <t>geographical</t>
        </is>
      </c>
      <c r="E102" s="12" t="inlineStr">
        <is>
          <t>PDF p.182 (印刷頁 181)</t>
        </is>
      </c>
      <c r="F102" s="12" t="inlineStr">
        <is>
          <t>of wine – – 1,227 – 1,227 於某時段： Over time: －社交媒體市場推廣 – Social media marketing – 111 – – 111 總計 Total 15,990 111 1,227 – 17,328 地區市場： Geographical markets: 香港（營業所在地） Hong Kong (place of domicile) 15,990 – 1,227 – 17,217 中國 The PRC – 111 – – 111 總計 Total 15,990 111 1,227 – 17,328 年報 文化傳信集團有限公司 2025-2026 181</t>
        </is>
      </c>
    </row>
    <row r="103">
      <c r="A103" s="9" t="inlineStr">
        <is>
          <t>Segment Information</t>
        </is>
      </c>
      <c r="B103" s="9" t="inlineStr">
        <is>
          <t>分部資料</t>
        </is>
      </c>
      <c r="C103" s="9" t="inlineStr">
        <is>
          <t>medium</t>
        </is>
      </c>
      <c r="D103" s="12" t="inlineStr">
        <is>
          <t>segment information</t>
        </is>
      </c>
      <c r="E103" s="12" t="inlineStr">
        <is>
          <t>PDF p.190 (印刷頁 189)</t>
        </is>
      </c>
      <c r="F103" s="12" t="inlineStr">
        <is>
          <t>年 HK$’000 HK$’000 千港元 千港元 租賃負債之利息 Interests on lease liabilities 74 133 其他借款之利息 Interests on other borrowings 159 – 233 133 分部資料 10. SEGMENT INFORMATION 10. 就資源分配及分部表現評估而向執行董事 Information reported to the executive （即本集團之主要經營決策者（「主要經營 directors, being the Group’s chief operating 決策者」））報告的資料集中於所交付的貨品 decision maker (“CODM”), for the purposes 或所提供的服務類別。此亦為組織本集團 of resource allocation and assessment of 之基準，並特別專注於本集團之經營部門。 segment performance focuses on types of 於達致本集團之可報告分部時，並無彙集 goods or services delivered or provided. 主要經營決策者所識別之</t>
        </is>
      </c>
    </row>
    <row r="104">
      <c r="A104" s="9" t="inlineStr">
        <is>
          <t>Segment Information</t>
        </is>
      </c>
      <c r="B104" s="9" t="inlineStr">
        <is>
          <t>分部資料</t>
        </is>
      </c>
      <c r="C104" s="9" t="inlineStr">
        <is>
          <t>medium</t>
        </is>
      </c>
      <c r="D104" s="12" t="inlineStr">
        <is>
          <t>segment information</t>
        </is>
      </c>
      <c r="E104" s="12" t="inlineStr">
        <is>
          <t>PDF p.191 (印刷頁 190)</t>
        </is>
      </c>
      <c r="F104" s="12" t="inlineStr">
        <is>
          <t>NOTES TO THE CONSOLIDATED FINANCIAL STATEMENTS 綜合財務報表附註 FOR THE YEAR ENDED 31 MARCH 2026 截至二零二六年三月三十一日止年度 分部資料（續） 10. SEGMENT INFORMATION 10. (Continued) 具體而言，根據香港財務報告準則第8號經 Specifically, the Group’s operating and 營分部，本集團之經營及可報告分部如下： repor table segments under HKFRS 8 Operating Segments are as follows: － 出版及知識產權授權：漫畫書籍出版 – Publishing and IPs licensing: publication 及來自漫畫知識產權授權之版權收 of comic books and royalty income 入。 from licensing IPs of comics. － 數碼化市場推廣：於中國提供數碼化 – Digital marketing: providing digital 市場推廣及通訊、知識</t>
        </is>
      </c>
    </row>
    <row r="105">
      <c r="A105" s="9" t="inlineStr">
        <is>
          <t>Segment Information</t>
        </is>
      </c>
      <c r="B105" s="9" t="inlineStr">
        <is>
          <t>分部資料</t>
        </is>
      </c>
      <c r="C105" s="9" t="inlineStr">
        <is>
          <t>medium</t>
        </is>
      </c>
      <c r="D105" s="12" t="inlineStr">
        <is>
          <t>segment information</t>
        </is>
      </c>
      <c r="E105" s="12" t="inlineStr">
        <is>
          <t>PDF p.192 (印刷頁 191)</t>
        </is>
      </c>
      <c r="F105" s="12" t="inlineStr">
        <is>
          <t>NOTES TO THE CONSOLIDATED FINANCIAL STATEMENTS 綜合財務報表附註 FOR THE YEAR ENDED 31 MARCH 2026 截至二零二六年三月三十一日止年度 分部資料（續） 10. SEGMENT INFORMATION 10. (Continued) 分部收入及業績 Segment revenue and results 以下為本集團之收入及業績按經營及可報 The following is an analysis of the Group’s 告分部所作之分析。 revenue and results by operating and reportable segments. 截至二零二六年三月三十一日止年度 For the year ended 31 March 2026 Publishing Retailing Natural and IPs Digital and language licensing marketing wholesales processing Total 出版及 知識產權 數碼化 授權 市場推廣 零售與批發 自然語言處理 總計 HK$’</t>
        </is>
      </c>
    </row>
    <row r="106">
      <c r="A106" s="9" t="inlineStr">
        <is>
          <t>Segment Information</t>
        </is>
      </c>
      <c r="B106" s="9" t="inlineStr">
        <is>
          <t>分部資料</t>
        </is>
      </c>
      <c r="C106" s="9" t="inlineStr">
        <is>
          <t>medium</t>
        </is>
      </c>
      <c r="D106" s="12" t="inlineStr">
        <is>
          <t>segment information</t>
        </is>
      </c>
      <c r="E106" s="12" t="inlineStr">
        <is>
          <t>PDF p.193 (印刷頁 192)</t>
        </is>
      </c>
      <c r="F106" s="12" t="inlineStr">
        <is>
          <t>NOTES TO THE CONSOLIDATED FINANCIAL STATEMENTS 綜合財務報表附註 FOR THE YEAR ENDED 31 MARCH 2026 截至二零二六年三月三十一日止年度 分部資料（續） 10. SEGMENT INFORMATION 10. (Continued) 分部收入及業績（續） Segment revenue and results (Continued) 截至二零二五年三月三十一日止年度 For the year ended 31 March 2025 Publishing Retailing Natural and IPs Digital and language licensing marketing wholesales processing Total 出版及 知識產權 數碼化 授權 市場推廣 零售與批發 自然語言處理 總計 HK$’000 HK$’000 HK$’000 HK$’000 HK$’000 千港元 千港元 千港元 千港元 千港元 收入 Revenue 外部銷售 External sales 15,990 111 1,227 – 17,328 分部業</t>
        </is>
      </c>
    </row>
    <row r="107">
      <c r="A107" s="9" t="inlineStr">
        <is>
          <t>Segment Information</t>
        </is>
      </c>
      <c r="B107" s="9" t="inlineStr">
        <is>
          <t>分部資料</t>
        </is>
      </c>
      <c r="C107" s="9" t="inlineStr">
        <is>
          <t>medium</t>
        </is>
      </c>
      <c r="D107" s="12" t="inlineStr">
        <is>
          <t>segment information</t>
        </is>
      </c>
      <c r="E107" s="12" t="inlineStr">
        <is>
          <t>PDF p.194 (印刷頁 193)</t>
        </is>
      </c>
      <c r="F107" s="12" t="inlineStr">
        <is>
          <t>NOTES TO THE CONSOLIDATED FINANCIAL STATEMENTS 綜合財務報表附註 FOR THE YEAR ENDED 31 MARCH 2026 截至二零二六年三月三十一日止年度 分部資料（續） 10. SEGMENT INFORMATION 10. (Continued) 分部收入及業績（續） Segment revenue and results (Continued) 經營分部之會計政策與本集團會計政策相 The accounting policies of the operating 同。分部業績指各分部所產生之除稅前虧 segments are the same as the Group’s 損，並無分配若干其他收入、按公平價值計 accounting policies. Segment results 入損益表之金融資產之公平價值變動之（虧 represent the loss before tax incurred by 損）收益、使用權資產之減值虧損及未分配 each segment without the allocation of 企業開支。此為向主要經營決策者報告以</t>
        </is>
      </c>
    </row>
    <row r="108">
      <c r="A108" s="9" t="inlineStr">
        <is>
          <t>Segment Information</t>
        </is>
      </c>
      <c r="B108" s="9" t="inlineStr">
        <is>
          <t>分部資料</t>
        </is>
      </c>
      <c r="C108" s="9" t="inlineStr">
        <is>
          <t>medium</t>
        </is>
      </c>
      <c r="D108" s="12" t="inlineStr">
        <is>
          <t>segment information</t>
        </is>
      </c>
      <c r="E108" s="12" t="inlineStr">
        <is>
          <t>PDF p.195 (印刷頁 194)</t>
        </is>
      </c>
      <c r="F108" s="12" t="inlineStr">
        <is>
          <t>NOTES TO THE CONSOLIDATED FINANCIAL STATEMENTS 綜合財務報表附註 FOR THE YEAR ENDED 31 MARCH 2026 截至二零二六年三月三十一日止年度 分部資料（續） 10. SEGMENT INFORMATION 10. (Continued) 其他分部資料 Other segment information 截至二零二六年三月三十一日止年度 For the year ended 31 March 2026 Publishing Retailing Natural and IPs Digital and language Segment licensing marketing wholesales processing total Unallocated Consolidated 出版及 知識產權 數碼化 自然語言 授權 市場推廣 零售與批發 處理 分部總計 未分配 綜合 HK$’000 HK$’000 HK$’000 HK$’000 HK$’000 HK$’000 HK$’000 千港元 千港元 千港元 千港元 千港元 千港元 千港元 計量分部損益所包括之金</t>
        </is>
      </c>
    </row>
    <row r="109">
      <c r="A109" s="9" t="inlineStr">
        <is>
          <t>Segment Information</t>
        </is>
      </c>
      <c r="B109" s="9" t="inlineStr">
        <is>
          <t>分部資料</t>
        </is>
      </c>
      <c r="C109" s="9" t="inlineStr">
        <is>
          <t>medium</t>
        </is>
      </c>
      <c r="D109" s="12" t="inlineStr">
        <is>
          <t>segment information</t>
        </is>
      </c>
      <c r="E109" s="12" t="inlineStr">
        <is>
          <t>PDF p.196 (印刷頁 195)</t>
        </is>
      </c>
      <c r="F109" s="12" t="inlineStr">
        <is>
          <t>NOTES TO THE CONSOLIDATED FINANCIAL STATEMENTS 綜合財務報表附註 FOR THE YEAR ENDED 31 MARCH 2026 截至二零二六年三月三十一日止年度 分部資料（續） 10. SEGMENT INFORMATION 10. (Continued) 其他分部資料（續） Other segment information (Continued) 截至二零二五年三月三十一日止年度 For the year ended 31 March 2025 Publishing Retailing Natural and IPs Digital and language Segment licensing marketing wholesales processing total Unallocated Consolidated 出版及 知識產權 數碼化 自然語言 授權 市場推廣 零售與批發 處理 分部總計 未分配 綜合 HK$’000 HK$’000 HK$’000 HK$’000 HK$’000 HK$’000 HK$’000 千港元 千港元 千港元 千港元 千港元 千港元</t>
        </is>
      </c>
    </row>
    <row r="110">
      <c r="A110" s="9" t="inlineStr">
        <is>
          <t>Segment Information</t>
        </is>
      </c>
      <c r="B110" s="9" t="inlineStr">
        <is>
          <t>分部資料</t>
        </is>
      </c>
      <c r="C110" s="9" t="inlineStr">
        <is>
          <t>medium</t>
        </is>
      </c>
      <c r="D110" s="12" t="inlineStr">
        <is>
          <t>segment information</t>
        </is>
      </c>
      <c r="E110" s="12" t="inlineStr">
        <is>
          <t>PDF p.197 (印刷頁 196)</t>
        </is>
      </c>
      <c r="F110" s="12" t="inlineStr">
        <is>
          <t>NOTES TO THE CONSOLIDATED FINANCIAL STATEMENTS 綜合財務報表附註 FOR THE YEAR ENDED 31 MARCH 2026 截至二零二六年三月三十一日止年度 分部資料（續） 10. SEGMENT INFORMATION 10. (Continued) 地區資料 Geographic information 本集團之經營業務位於中國及香港。 The Group’s operations are located in the PRC and Hong Kong. 有關本集團來自外部客戶之收入之資料乃 Information about the Group’s revenue from 根據貨品實際交付之地點或向客戶提供服 external customers is presented based on 務之地點呈列，而有關其非流動資產之資 the location of goods physically delivered 料乃基於資產之所在地區。 to or location of services provided to the customers and info</t>
        </is>
      </c>
    </row>
    <row r="111">
      <c r="A111" s="9" t="inlineStr">
        <is>
          <t>Segment Information</t>
        </is>
      </c>
      <c r="B111" s="9" t="inlineStr">
        <is>
          <t>分部資料</t>
        </is>
      </c>
      <c r="C111" s="9" t="inlineStr">
        <is>
          <t>medium</t>
        </is>
      </c>
      <c r="D111" s="12" t="inlineStr">
        <is>
          <t>segment information</t>
        </is>
      </c>
      <c r="E111" s="12" t="inlineStr">
        <is>
          <t>PDF p.198 (印刷頁 197)</t>
        </is>
      </c>
      <c r="F111" s="12" t="inlineStr">
        <is>
          <t>NOTES TO THE CONSOLIDATED FINANCIAL STATEMENTS 綜合財務報表附註 FOR THE YEAR ENDED 31 MARCH 2026 截至二零二六年三月三十一日止年度 分部資料（續） 10. SEGMENT INFORMATION 10. (Continued) 有關主要客戶之資料 Information about major customers 相關年度來自貢獻本集團總銷售額逾10% Revenue from customers of the corresponding 之客戶之收入如下： years contributing over 10% of total sales of the Group are as follows: 2026 2025 二零二六年 二零二五年 HK$’000 HK$’000 千港元 千港元 客戶甲1 Customer A1 6,401 5,748 客戶乙1 Customer B1 3,858 4,973 客戶丙2 N/A不適用 Customer C2 2,337 3 收入來自出版及知識產權授權分部。 1 Revenue from publis</t>
        </is>
      </c>
    </row>
    <row r="112">
      <c r="A112" s="9" t="inlineStr">
        <is>
          <t>Segment Information</t>
        </is>
      </c>
      <c r="B112" s="9" t="inlineStr">
        <is>
          <t>分部資料</t>
        </is>
      </c>
      <c r="C112" s="9" t="inlineStr">
        <is>
          <t>medium</t>
        </is>
      </c>
      <c r="D112" s="12" t="inlineStr">
        <is>
          <t>segment information</t>
        </is>
      </c>
      <c r="E112" s="12" t="inlineStr">
        <is>
          <t>PDF p.199 (印刷頁 198)</t>
        </is>
      </c>
      <c r="F112" s="12" t="inlineStr">
        <is>
          <t>NOTES TO THE CONSOLIDATED FINANCIAL STATEMENTS 綜合財務報表附註 FOR THE YEAR ENDED 31 MARCH 2026 截至二零二六年三月三十一日止年度 分部資料（續） 10. SEGMENT INFORMATION 10. (Continued) 主要產品及服務收入 Revenue from major products and services 本集團之主要產品及服務產生之收入分析 The following is an analysis of the Group’s 如下： revenue from its major products and services: 2026 2025 二零二六年 二零二五年 HK$’000 HK$’000 千港元 千港元 漫畫書籍 Comic books 12,465 12,971 優質酒類 Premium wine 2,337 1,227 版權收入 Royalty income 1,903 3,019 數碼化市場推廣 Digital marketing – 111 16,705 17,328 198 Culturecom</t>
        </is>
      </c>
    </row>
    <row r="113">
      <c r="A113" s="9" t="inlineStr">
        <is>
          <t>Segment Information</t>
        </is>
      </c>
      <c r="B113" s="9" t="inlineStr">
        <is>
          <t>分部資料</t>
        </is>
      </c>
      <c r="C113" s="9" t="inlineStr">
        <is>
          <t>medium</t>
        </is>
      </c>
      <c r="D113" s="12" t="inlineStr">
        <is>
          <t>經營分部</t>
        </is>
      </c>
      <c r="E113" s="12" t="inlineStr">
        <is>
          <t>PDF p.211 (印刷頁 210)</t>
        </is>
      </c>
      <c r="F113" s="12" t="inlineStr">
        <is>
          <t>urniture and 15% to 20% equipment 物業及設備以及使用權資產之減 Impairment assessment for property 值評估 and equipment and right-of-use assets 由於若干可報告經營分部出現虧損，董事 Due to the loss from certain reportable 認為此乃減值跡象，並就零售與批發業務 o p e ra t i n g s e g m e n t s , t h e d i re c t o r s 相關之現金產生單位之可收回金額進行減 concluded there was an indication for 值評估。現金產生單位之可收回金額乃按 impairment and conducted impairment 使用價值計算而釐定。 assessment on recoverable amounts of CGU relating to retailing and wholesales business. The recoverable amounts of cashgenerating units have been</t>
        </is>
      </c>
    </row>
    <row r="114">
      <c r="A114" s="9" t="inlineStr">
        <is>
          <t>Share-based Payment</t>
        </is>
      </c>
      <c r="B114" s="9" t="inlineStr">
        <is>
          <t>以股份為基礎的付款</t>
        </is>
      </c>
      <c r="C114" s="9" t="inlineStr">
        <is>
          <t>medium</t>
        </is>
      </c>
      <c r="D114" s="12" t="inlineStr">
        <is>
          <t>share option</t>
        </is>
      </c>
      <c r="E114" s="12" t="inlineStr">
        <is>
          <t>PDF p.15 (印刷頁 14)</t>
        </is>
      </c>
      <c r="F114" s="12" t="inlineStr">
        <is>
          <t>neration packages to ensure they remain competitive. Certain directors and employees may receive discretionary bonuses and incentive share options based on the Group performance and their individual merit and performance. 14 Culturecom Holdings Limited Annual Report 2025-2026</t>
        </is>
      </c>
    </row>
    <row r="115">
      <c r="A115" s="9" t="inlineStr">
        <is>
          <t>Share-based Payment</t>
        </is>
      </c>
      <c r="B115" s="9" t="inlineStr">
        <is>
          <t>以股份為基礎的付款</t>
        </is>
      </c>
      <c r="C115" s="9" t="inlineStr">
        <is>
          <t>medium</t>
        </is>
      </c>
      <c r="D115" s="12" t="inlineStr">
        <is>
          <t>share option</t>
        </is>
      </c>
      <c r="E115" s="12" t="inlineStr">
        <is>
          <t>PDF p.23 (印刷頁 22)</t>
        </is>
      </c>
      <c r="F115" s="12" t="inlineStr">
        <is>
          <t>E CAPITAL AND SHARE OPTIONS 本年度本公司股本及購股權計劃之變動詳情分 Details of movements during the year in the 別載於綜合財務報表附註34及35。 share capital and the share option schemes of the Company are set out in notes 34 and 35 to the consolidated financial statements respectively. 儲備 RESERVES 年內，本集團及本公司儲備之變動分別載於綜合 Movements in the reserves of the Group and 權益變動報表及綜合財務報表附註44。 the Company during the year are set out in consolidated statement of changes in equity and note 44 to the consolidated financial statements respectively. 可供分派儲備 DISTRIBUTABLE RESERVE</t>
        </is>
      </c>
    </row>
    <row r="116">
      <c r="A116" s="9" t="inlineStr">
        <is>
          <t>Share-based Payment</t>
        </is>
      </c>
      <c r="B116" s="9" t="inlineStr">
        <is>
          <t>以股份為基礎的付款</t>
        </is>
      </c>
      <c r="C116" s="9" t="inlineStr">
        <is>
          <t>medium</t>
        </is>
      </c>
      <c r="D116" s="12" t="inlineStr">
        <is>
          <t>share option</t>
        </is>
      </c>
      <c r="E116" s="12" t="inlineStr">
        <is>
          <t>PDF p.31 (印刷頁 30)</t>
        </is>
      </c>
      <c r="F116" s="12" t="inlineStr">
        <is>
          <t>DIRECTORS’ REPORT 董事會報告書 購股權計劃 SHARE OPTION SCHEME 本公司已於二零一三年八月十二日舉行之二零 The Company has adopted a share option 一三年股東週年大會上採納購股權計劃（「二零 scheme on its 2013 annual general meeting held 一三年計劃」），該計劃已於二零二三年八月十一 on 12 August 2013 (the “2013 Scheme”) which 日屆滿。本公司已於二零二三年八月二十九日舉 expired on 11 August 2023. The Company has 行之二零二三年股東週年大會上採納一項新購 adopted a new share option scheme (the “2023 股權計劃（「二零二三年計劃」）。 Scheme”) on its 2023 annual general</t>
        </is>
      </c>
    </row>
    <row r="117">
      <c r="A117" s="9" t="inlineStr">
        <is>
          <t>Share-based Payment</t>
        </is>
      </c>
      <c r="B117" s="9" t="inlineStr">
        <is>
          <t>以股份為基礎的付款</t>
        </is>
      </c>
      <c r="C117" s="9" t="inlineStr">
        <is>
          <t>medium</t>
        </is>
      </c>
      <c r="D117" s="12" t="inlineStr">
        <is>
          <t>share option</t>
        </is>
      </c>
      <c r="E117" s="12" t="inlineStr">
        <is>
          <t>PDF p.32 (印刷頁 31)</t>
        </is>
      </c>
      <c r="F117" s="12" t="inlineStr">
        <is>
          <t>DIRECTORS’ REPORT 董事會報告書 購股權計劃（續） SHARE OPTION SCHEME (Continued) 截至二零二六年三月三十一日止年度，概無購 No share option was granted, exercised, vested, 股權根據二零一三年計劃及二零二三年計劃獲 cancelled under the 2013 Scheme and the 授出、行使、歸屬、註銷。截至二零二六年三月 2023 Scheme during the year ended 31 March 三十一日止年度，二零一三年計劃項下授出的所 2026. All the share options granted under 2013 有購股權均已屆滿。 Scheme expired during the year ended 31 March 2026. 截至本年報日期，根據二零一三年計劃授予董事 Details of movement</t>
        </is>
      </c>
    </row>
    <row r="118">
      <c r="A118" s="9" t="inlineStr">
        <is>
          <t>Share-based Payment</t>
        </is>
      </c>
      <c r="B118" s="9" t="inlineStr">
        <is>
          <t>以股份為基礎的付款</t>
        </is>
      </c>
      <c r="C118" s="9" t="inlineStr">
        <is>
          <t>medium</t>
        </is>
      </c>
      <c r="D118" s="12" t="inlineStr">
        <is>
          <t>share option</t>
        </is>
      </c>
      <c r="E118" s="12" t="inlineStr">
        <is>
          <t>PDF p.33 (印刷頁 32)</t>
        </is>
      </c>
      <c r="F118" s="12" t="inlineStr">
        <is>
          <t>DIRECTORS’ REPORT 董事會報告書 購股權計劃（續） SHARE OPTION SCHEME (Continued) 附註： Notes: 於二零二二年四月二十七日，已分別向非執行董事（王 1 On 27 April 2022, 14,000,000 share options were 1 幹文）及本集團顧問（陳為光）授出14,000,000股購股 granted to the non-executive Director (Wong Kon Man 權，以獎勵該董事及顧問為本集團業務發展所作之貢 Jason) and consultant (Chan Wai Kwong Peter) of the 獻。該等購股權之行使價為每股0.72港元，而行使期 Group, respectively, in order to reward the Director and 為二零二二年四月二十七日至二零二五年四月二十六 consultant for</t>
        </is>
      </c>
    </row>
    <row r="119">
      <c r="A119" s="9" t="inlineStr">
        <is>
          <t>Share-based Payment</t>
        </is>
      </c>
      <c r="B119" s="9" t="inlineStr">
        <is>
          <t>以股份為基礎的付款</t>
        </is>
      </c>
      <c r="C119" s="9" t="inlineStr">
        <is>
          <t>medium</t>
        </is>
      </c>
      <c r="D119" s="12" t="inlineStr">
        <is>
          <t>購股權</t>
        </is>
      </c>
      <c r="E119" s="12" t="inlineStr">
        <is>
          <t>PDF p.84 (印刷頁 83)</t>
        </is>
      </c>
      <c r="F119" s="12" t="inlineStr">
        <is>
          <t>g capital premium surplus reserve reserve reserve reserve reserve reserve losses Sub-total interest Total equity 股本 股份溢價 實繳盈餘 資本贖回儲備 購股權儲備 匯兌儲備 重估儲備 其他儲備 認股權證儲備 累計虧損 小計 非控股權益 總權益 HK$’000 HK$’000 HK$’000 HK$’000 HK$’000 HK$’000 HK$’000 HK$’000 HK$’000 HK$’000 HK$’000 HK$’000 HK$’000 千港元 千港元 千港元 千港元 千港元 千港元 千港元 千港元 千港元 千港元 千港元 千港元 千港元 (note) （附註） 於二零二四年四月一日 At 1 April 2024 16,687 2,064,406 171,671 446 3,753 (830) 2 3,531 – (2,145,879) 113,787 (5,108) 108,679 年度虧損 Loss for the year – – – – – – – – – (27,963) (27,963) (437) (28,400</t>
        </is>
      </c>
    </row>
    <row r="120">
      <c r="A120" s="9" t="inlineStr">
        <is>
          <t>Share-based Payment</t>
        </is>
      </c>
      <c r="B120" s="9" t="inlineStr">
        <is>
          <t>以股份為基礎的付款</t>
        </is>
      </c>
      <c r="C120" s="9" t="inlineStr">
        <is>
          <t>medium</t>
        </is>
      </c>
      <c r="D120" s="12" t="inlineStr">
        <is>
          <t>購股權</t>
        </is>
      </c>
      <c r="E120" s="12" t="inlineStr">
        <is>
          <t>PDF p.85 (印刷頁 84)</t>
        </is>
      </c>
      <c r="F120" s="12" t="inlineStr">
        <is>
          <t>g capital premium surplus reserve reserve reserve reserve reserve reserve losses Sub-total interest Total equity 股本 股份溢價 實繳盈餘 資本贖回儲備 購股權儲備 匯兌儲備 重估儲備 其他儲備 認股權證儲備 累計虧損 小計 非控股權益 總權益 HK$’000 HK$’000 HK$’000 HK$’000 HK$’000 HK$’000 HK$’000 HK$’000 HK$’000 HK$’000 HK$’000 HK$’000 HK$’000 千港元 千港元 千港元 千港元 千港元 千港元 千港元 千港元 千港元 千港元 千港元 千港元 千港元 (note) （附註） 於二零二五年四月一日 At 1 April 2025 16,687 2,064,406 171,671 446 3,753 (1,174) 6 3,531 – (2,173,842) 85,484 (5,365) 80,119 年度虧損 Loss for the year – – – – – – – – – (49,918) (49,918) (1,400) (51,3</t>
        </is>
      </c>
    </row>
    <row r="121">
      <c r="A121" s="9" t="inlineStr">
        <is>
          <t>Share-based Payment</t>
        </is>
      </c>
      <c r="B121" s="9" t="inlineStr">
        <is>
          <t>以股份為基礎的付款</t>
        </is>
      </c>
      <c r="C121" s="9" t="inlineStr">
        <is>
          <t>medium</t>
        </is>
      </c>
      <c r="D121" s="12" t="inlineStr">
        <is>
          <t>share-based payment</t>
        </is>
      </c>
      <c r="E121" s="12" t="inlineStr">
        <is>
          <t>PDF p.87 (印刷頁 86)</t>
        </is>
      </c>
      <c r="F121" s="12" t="inlineStr">
        <is>
          <t>vables 7 498 281 撇銷其他應付款項 Written off of other payables 7 (15) (202) 撇銷已收按金 Written off of deposits received 7 (285) – 發行非上市認股權證所產生的 Share-based payment arising 以股份為基礎的付款 from the issuance of non-listed warrants 11 143 – 長期服務付款撥備 Provision for long service payment 11 51 – 營運資金變動前之 Operating cash flows before 經營現金流量 movements in working capital (16,868) (19,112) 存貨減少 Decrease in inventories 2,739 1,311 應收貿易賬款減少 Decrease in trade receivables 289 519 合約資產減少 Decrease in contract assets – 118 應收貸款（增加）減少 (Increase) decrease in loan r</t>
        </is>
      </c>
    </row>
    <row r="122">
      <c r="A122" s="9" t="inlineStr">
        <is>
          <t>Share-based Payment</t>
        </is>
      </c>
      <c r="B122" s="9" t="inlineStr">
        <is>
          <t>以股份為基礎的付款</t>
        </is>
      </c>
      <c r="C122" s="9" t="inlineStr">
        <is>
          <t>medium</t>
        </is>
      </c>
      <c r="D122" s="12" t="inlineStr">
        <is>
          <t>以股份為基礎</t>
        </is>
      </c>
      <c r="E122" s="12" t="inlineStr">
        <is>
          <t>PDF p.96 (印刷頁 95)</t>
        </is>
      </c>
      <c r="F122" s="12" t="inlineStr">
        <is>
          <t>que. In 財務報表中計量及╱或披露的公平價 estimating the fair value of an asset or 值均在此基礎上予以確定，惟香港財 a liability, the Group takes into account 務報告準則第2號以股份為基礎付款 the characteristics of the asset or 範圍內之以股份為基礎付款交易、根 liability if market participants would 據香港財務報告準則第16號列賬之租 take those characteristics into account 賃交易及與公平價值類似但並非公平 when pricing the asset or liability at 價值的計量（例如香港會計準則第2號 the measurement date. Fair value 存貨中的可變現淨值（「可變現淨值」） for measurement and/or disclosure 或香港會計準則第36號資產減值中的 p u r p o s e s i n t h e s e c o n s o l i d a te d 使用價值）除外。 f</t>
        </is>
      </c>
    </row>
    <row r="123">
      <c r="A123" s="9" t="inlineStr">
        <is>
          <t>Share-based Payment</t>
        </is>
      </c>
      <c r="B123" s="9" t="inlineStr">
        <is>
          <t>以股份為基礎的付款</t>
        </is>
      </c>
      <c r="C123" s="9" t="inlineStr">
        <is>
          <t>medium</t>
        </is>
      </c>
      <c r="D123" s="12" t="inlineStr">
        <is>
          <t>share-based payment</t>
        </is>
      </c>
      <c r="E123" s="12" t="inlineStr">
        <is>
          <t>PDF p.135 (印刷頁 134)</t>
        </is>
      </c>
      <c r="F123" s="12" t="inlineStr">
        <is>
          <t>S AND MATERIAL ACCOUNTING POLICY INFORMATION (Continued) 重大會計政策資料（續） 3.2 Material accounting policy 3.2 information (Continued) 股份支付 Share-based payments 以權益結算的股份支付之交易 Equity-settled share-based payment transactions 授予僱員之購股權 Share options granted to employees 以權益結算的股份支付予僱員按於授 Equity-settled share-based payments 出日期該權益工具之公平價值計量。 to employees are measured at the fair value of the equity instruments at the grant date. 於授出日期釐定以權益結算的股份支 The fair value of the equity-settled 付之公平價值（不計及所有非市場歸 share-based payments determined 屬條件）乃根據本集團對</t>
        </is>
      </c>
    </row>
    <row r="124">
      <c r="A124" s="9" t="inlineStr">
        <is>
          <t>Share-based Payment</t>
        </is>
      </c>
      <c r="B124" s="9" t="inlineStr">
        <is>
          <t>以股份為基礎的付款</t>
        </is>
      </c>
      <c r="C124" s="9" t="inlineStr">
        <is>
          <t>medium</t>
        </is>
      </c>
      <c r="D124" s="12" t="inlineStr">
        <is>
          <t>share-based payment</t>
        </is>
      </c>
      <c r="E124" s="12" t="inlineStr">
        <is>
          <t>PDF p.136 (印刷頁 135)</t>
        </is>
      </c>
      <c r="F124" s="12" t="inlineStr">
        <is>
          <t>ND MATERIAL ACCOUNTING POLICY INFORMATION (Continued) 重大會計政策資料（續） 3.2 Material accounting policy 3.2 information (Continued) 股份支付（續） Share-based payments (Continued) 以權益結算的股份支付之交易（續） Equity-settled share-based payment transactions (Continued) 授予僱員之購股權（續） Share options granted to employees (Continued) 當購股權獲行使時，先前已於購股權 When share options are exercised, the 儲備確認的金額將轉撥至股份溢價。 amount previously recognised in share 當購股權在歸屬日期後被沒收或於屆 options reserve will be transferred to 滿日期尚未行使，先前已於購股權儲 share premium. When the share options 備確認的金額將轉撥至</t>
        </is>
      </c>
    </row>
    <row r="125">
      <c r="A125" s="9" t="inlineStr">
        <is>
          <t>Share-based Payment</t>
        </is>
      </c>
      <c r="B125" s="9" t="inlineStr">
        <is>
          <t>以股份為基礎的付款</t>
        </is>
      </c>
      <c r="C125" s="9" t="inlineStr">
        <is>
          <t>medium</t>
        </is>
      </c>
      <c r="D125" s="12" t="inlineStr">
        <is>
          <t>share-based payment</t>
        </is>
      </c>
      <c r="E125" s="12" t="inlineStr">
        <is>
          <t>PDF p.137 (印刷頁 136)</t>
        </is>
      </c>
      <c r="F125" s="12" t="inlineStr">
        <is>
          <t>ND MATERIAL ACCOUNTING POLICY INFORMATION (Continued) 重大會計政策資料（續） 3.2 Material accounting policy 3.2 information (Continued) 股份支付（續） Share-based payments (Continued) 以權益結算的股份支付之交易（續） Equity-settled share-based payment transactions (Continued) 授予非僱員的購股權 Share options granted to non-employees 與非僱員人士進行的以權益結算的股 Equity-settled share-based payment 份支付之交易按所收取貨品或服務的 transactions with parties other than 公平價值計量，惟倘該公平價值無法 employees are measured at the fair 可靠地計量時，則於實體取得貨品或 value of the goods or services received, 對手方提供服務當日，按授出的權益 except w</t>
        </is>
      </c>
    </row>
    <row r="126">
      <c r="A126" s="9" t="inlineStr">
        <is>
          <t>Share-based Payment</t>
        </is>
      </c>
      <c r="B126" s="9" t="inlineStr">
        <is>
          <t>以股份為基礎的付款</t>
        </is>
      </c>
      <c r="C126" s="9" t="inlineStr">
        <is>
          <t>medium</t>
        </is>
      </c>
      <c r="D126" s="12" t="inlineStr">
        <is>
          <t>share-based payment</t>
        </is>
      </c>
      <c r="E126" s="12" t="inlineStr">
        <is>
          <t>PDF p.189 (印刷頁 188)</t>
        </is>
      </c>
      <c r="F126" s="12" t="inlineStr">
        <is>
          <t>of other payables 15 202 撇銷已收按金 Written off of deposits received 285 – 外匯匯兌虧損淨額 Net foreign exchange losses (219) (580) 發行非上市認股權證所產生 Share-based payment arising from 之以股份為基礎之付款 the issuance of non-listed warrants (143) – 法律申索撥備 Provisions for legal claim 32 – (1,579) (616) (1,743) 其他減值虧損 8. OTHER IMPAIRMENT LOSSES 8. 2026 2025 二零二六年 二零二五年 Notes HK$’000 HK$’000 附註 千港元 千港元 就下列各項確認之 Impairment losses recognised in 減值虧損： respect of －使用權資產 – Right-of-use assets 17 – 1,689 －無形資產 – Intangible assets 19 22,833 552 －存貨 – Inventories 22</t>
        </is>
      </c>
    </row>
    <row r="127">
      <c r="A127" s="9" t="inlineStr">
        <is>
          <t>Share-based Payment</t>
        </is>
      </c>
      <c r="B127" s="9" t="inlineStr">
        <is>
          <t>以股份為基礎的付款</t>
        </is>
      </c>
      <c r="C127" s="9" t="inlineStr">
        <is>
          <t>medium</t>
        </is>
      </c>
      <c r="D127" s="12" t="inlineStr">
        <is>
          <t>share-based payment</t>
        </is>
      </c>
      <c r="E127" s="12" t="inlineStr">
        <is>
          <t>PDF p.200 (印刷頁 199)</t>
        </is>
      </c>
      <c r="F127" s="12" t="inlineStr">
        <is>
          <t>00 （二零二五年： (2025: HK$1,333,000)) 1,333,000港元）） 565 1,481 與短期租賃有關之開支 Expenses relating to short-term leases 17 1,064 666 發行非上市認股權證所產生 Share-based payment arising from 之以股份為基礎之付款 the issuance of non-listed warrants 35b 143 – 附註： 有關款項指支付予就業務營運提供法律服務及 Note: The amounts represent fees paid to lawyers 專業意見之律師及顧問之費用，並呈列於「其他 and consultants providing legal services and 費用」項下。 professional advices on business operations and presented under “other expenses”. 年報 文化傳信集團有限公司 2025-2026 199</t>
        </is>
      </c>
    </row>
    <row r="128">
      <c r="A128" s="9" t="inlineStr">
        <is>
          <t>Share-based Payment</t>
        </is>
      </c>
      <c r="B128" s="9" t="inlineStr">
        <is>
          <t>以股份為基礎的付款</t>
        </is>
      </c>
      <c r="C128" s="9" t="inlineStr">
        <is>
          <t>medium</t>
        </is>
      </c>
      <c r="D128" s="12" t="inlineStr">
        <is>
          <t>share option</t>
        </is>
      </c>
      <c r="E128" s="12" t="inlineStr">
        <is>
          <t>PDF p.204 (印刷頁 203)</t>
        </is>
      </c>
      <c r="F128" s="12" t="inlineStr">
        <is>
          <t>六年及二 The computation of diluted loss per share 零二五年三月三十一日止年度之每股虧損 does not assume the exercise of the 減少，故計算每股攤薄虧損時並無假設行 outstanding share options/warrants since 使尚未行使之購股權╱認股權證。 the assumed conversion would result in a decrease in loss per share for the years ended 31 March 2026 and 2025. 年報 文化傳信集團有限公司 2025-2026 203</t>
        </is>
      </c>
    </row>
    <row r="129">
      <c r="A129" s="9" t="inlineStr">
        <is>
          <t>Share-based Payment</t>
        </is>
      </c>
      <c r="B129" s="9" t="inlineStr">
        <is>
          <t>以股份為基礎的付款</t>
        </is>
      </c>
      <c r="C129" s="9" t="inlineStr">
        <is>
          <t>medium</t>
        </is>
      </c>
      <c r="D129" s="12" t="inlineStr">
        <is>
          <t>share option</t>
        </is>
      </c>
      <c r="E129" s="12" t="inlineStr">
        <is>
          <t>PDF p.243 (印刷頁 242)</t>
        </is>
      </c>
      <c r="F129" s="12" t="inlineStr">
        <is>
          <t>NOTES TO THE CONSOLIDATED FINANCIAL STATEMENTS 綜合財務報表附註 FOR THE YEAR ENDED 31 MARCH 2026 截至二零二六年三月三十一日止年度 購股權計劃及非上市認股權證 35. SHARE OPTION SCHEMES AND 35. NON-LISTED WARRANTS 購股權計劃 (a) Share option scheme (a) 根據於二零一三年八月十二日通過之 Pursuant to an ordinary resolution 普通決議案，本公司採納購股權計劃 p a s s e d o n 12 Au g u s t 2013, t h e （「二零一三年計劃」）。二零一三年計 Company adopted a share option 劃之有效期為十年，自採納日期起，直 scheme (the “2013 Scheme”). The life 至二零二三年八月十一日止。 of the 2013 Scheme is effective for 10 years from the date of adoption until 11 August</t>
        </is>
      </c>
    </row>
    <row r="130">
      <c r="A130" s="9" t="inlineStr">
        <is>
          <t>Share-based Payment</t>
        </is>
      </c>
      <c r="B130" s="9" t="inlineStr">
        <is>
          <t>以股份為基礎的付款</t>
        </is>
      </c>
      <c r="C130" s="9" t="inlineStr">
        <is>
          <t>medium</t>
        </is>
      </c>
      <c r="D130" s="12" t="inlineStr">
        <is>
          <t>share option</t>
        </is>
      </c>
      <c r="E130" s="12" t="inlineStr">
        <is>
          <t>PDF p.244 (印刷頁 243)</t>
        </is>
      </c>
      <c r="F130" s="12" t="inlineStr">
        <is>
          <t>NOTES TO THE CONSOLIDATED FINANCIAL STATEMENTS 綜合財務報表附註 FOR THE YEAR ENDED 31 MARCH 2026 截至二零二六年三月三十一日止年度 購股權計劃及非上市認股權證 35. SHARE OPTION SCHEMES 35. （續） AND NON-LISTED WARRANTS (Continued) 購股權計劃（續） (a) Share option scheme (a) (Continued) 二零一三年計劃（續） 2013 Scheme (Continued) 參與者包括本集團及╱或所投資 (ii) The par ticipants include any (ii) 實體之任何僱員、董事、供應商、 employee, director, supplier, agent, 代理、諮詢人、策劃專家、承判 consultant, adviser strategist, 商、外判承判商、專家或客戶。 contractor, subcontractor, expert or customer of the Group and/or Invested Entity</t>
        </is>
      </c>
    </row>
    <row r="131">
      <c r="A131" s="9" t="inlineStr">
        <is>
          <t>Share-based Payment</t>
        </is>
      </c>
      <c r="B131" s="9" t="inlineStr">
        <is>
          <t>以股份為基礎的付款</t>
        </is>
      </c>
      <c r="C131" s="9" t="inlineStr">
        <is>
          <t>medium</t>
        </is>
      </c>
      <c r="D131" s="12" t="inlineStr">
        <is>
          <t>share option</t>
        </is>
      </c>
      <c r="E131" s="12" t="inlineStr">
        <is>
          <t>PDF p.245 (印刷頁 244)</t>
        </is>
      </c>
      <c r="F131" s="12" t="inlineStr">
        <is>
          <t>NOTES TO THE CONSOLIDATED FINANCIAL STATEMENTS 綜合財務報表附註 FOR THE YEAR ENDED 31 MARCH 2026 截至二零二六年三月三十一日止年度 購股權計劃及非上市認股權證 35. SHARE OPTION SCHEMES 35. （續） AND NON-LISTED WARRANTS (Continued) 購股權計劃（續） (a) Share option scheme (a) (Continued) 二零一三年計劃（續） 2013 Scheme (Continued) 可向參與者授出之購股權涉及之 (iv) The maximum number of shares (iv) 本公司股份數目，與任何十二個 of the Company in respect of 月期間內根據二零一三年計劃或 which share options might be 任何其他購股權計劃向該名參與 granted to a participant, when 者授出之任何購股權（包括已行 aggregated with shares issued 使及未行使購股權及已註銷之購 and</t>
        </is>
      </c>
    </row>
    <row r="132">
      <c r="A132" s="9" t="inlineStr">
        <is>
          <t>Share-based Payment</t>
        </is>
      </c>
      <c r="B132" s="9" t="inlineStr">
        <is>
          <t>以股份為基礎的付款</t>
        </is>
      </c>
      <c r="C132" s="9" t="inlineStr">
        <is>
          <t>medium</t>
        </is>
      </c>
      <c r="D132" s="12" t="inlineStr">
        <is>
          <t>share option</t>
        </is>
      </c>
      <c r="E132" s="12" t="inlineStr">
        <is>
          <t>PDF p.246 (印刷頁 245)</t>
        </is>
      </c>
      <c r="F132" s="12" t="inlineStr">
        <is>
          <t>NOTES TO THE CONSOLIDATED FINANCIAL STATEMENTS 綜合財務報表附註 FOR THE YEAR ENDED 31 MARCH 2026 截至二零二六年三月三十一日止年度 購股權計劃及非上市認股權證 35. SHARE OPTION SCHEMES 35. （續） AND NON-LISTED WARRANTS (Continued) 購股權計劃（續） (a) Share option scheme (a) (Continued) 二零一三年計劃（續） 2013 Scheme (Continued) 購股權之行使價必須為以下三項 (viii) The exercise price of a share (viii) 中最高者： option must be the highest of: 於授出日期（須為營業日）之 • the closing price of a share • 本公司股份收市價； of the Company on the date of grant which must be a business day; 緊接授出日期前5個營業日 • the average closi</t>
        </is>
      </c>
    </row>
    <row r="133">
      <c r="A133" s="9" t="inlineStr">
        <is>
          <t>Share-based Payment</t>
        </is>
      </c>
      <c r="B133" s="9" t="inlineStr">
        <is>
          <t>以股份為基礎的付款</t>
        </is>
      </c>
      <c r="C133" s="9" t="inlineStr">
        <is>
          <t>medium</t>
        </is>
      </c>
      <c r="D133" s="12" t="inlineStr">
        <is>
          <t>share option</t>
        </is>
      </c>
      <c r="E133" s="12" t="inlineStr">
        <is>
          <t>PDF p.247 (印刷頁 246)</t>
        </is>
      </c>
      <c r="F133" s="12" t="inlineStr">
        <is>
          <t>NOTES TO THE CONSOLIDATED FINANCIAL STATEMENTS 綜合財務報表附註 FOR THE YEAR ENDED 31 MARCH 2026 截至二零二六年三月三十一日止年度 購股權計劃及非上市認股權證 35. SHARE OPTION SCHEMES 35. （續） AND NON-LISTED WARRANTS (Continued) 購股權計劃（續） (a) Share option scheme (a) (Continued) 二零一三年計劃（續） 2013 Scheme (Continued) 二零一三年計劃已於二零二三年八月 The 2013 Scheme expired on 11 August 十一日屆滿。於二零一三年計劃屆滿 2023. Upon its expiry, no further share 後，不可再授出購股權，惟就屆滿前所 option can be granted under the 2013 授出之未行使購股權而言，二零一三 Scheme, but the provision of the 2013 年計劃之條文仍維持十足效力及生 Scheme remains</t>
        </is>
      </c>
    </row>
    <row r="134">
      <c r="A134" s="9" t="inlineStr">
        <is>
          <t>Share-based Payment</t>
        </is>
      </c>
      <c r="B134" s="9" t="inlineStr">
        <is>
          <t>以股份為基礎的付款</t>
        </is>
      </c>
      <c r="C134" s="9" t="inlineStr">
        <is>
          <t>medium</t>
        </is>
      </c>
      <c r="D134" s="12" t="inlineStr">
        <is>
          <t>share option</t>
        </is>
      </c>
      <c r="E134" s="12" t="inlineStr">
        <is>
          <t>PDF p.248 (印刷頁 247)</t>
        </is>
      </c>
      <c r="F134" s="12" t="inlineStr">
        <is>
          <t>NOTES TO THE CONSOLIDATED FINANCIAL STATEMENTS 綜合財務報表附註 FOR THE YEAR ENDED 31 MARCH 2026 截至二零二六年三月三十一日止年度 購股權計劃及非上市認股權證 35. SHARE OPTION SCHEMES 35. （續） AND NON-LISTED WARRANTS (Continued) 購股權計劃（續） (a) Share option scheme (a) (Continued) 二零一三年計劃（續） 2013 Scheme (Continued) 下表披露本年度承授人所持本公司購 T h e f o l l o w i n g t a b l e d i s c l o s e s 股權之變動： movements of the Company’s share options held by the Grantees during the year: Number of shares in respect of options granted 所授出購股權所涉及之股份數目 Outstanding Outstanding at Granted</t>
        </is>
      </c>
    </row>
    <row r="135">
      <c r="A135" s="9" t="inlineStr">
        <is>
          <t>Share-based Payment</t>
        </is>
      </c>
      <c r="B135" s="9" t="inlineStr">
        <is>
          <t>以股份為基礎的付款</t>
        </is>
      </c>
      <c r="C135" s="9" t="inlineStr">
        <is>
          <t>medium</t>
        </is>
      </c>
      <c r="D135" s="12" t="inlineStr">
        <is>
          <t>share option</t>
        </is>
      </c>
      <c r="E135" s="12" t="inlineStr">
        <is>
          <t>PDF p.249 (印刷頁 248)</t>
        </is>
      </c>
      <c r="F135" s="12" t="inlineStr">
        <is>
          <t>NOTES TO THE CONSOLIDATED FINANCIAL STATEMENTS 綜合財務報表附註 FOR THE YEAR ENDED 31 MARCH 2026 截至二零二六年三月三十一日止年度 購股權計劃及非上市認股權證 35. SHARE OPTION SCHEMES 35. （續） AND NON-LISTED WARRANTS (Continued) 購股權計劃（續） (a) Share option scheme (a) (Continued) 二零一三年計劃（續） 2013 Scheme (Continued) 本公司股份於緊接購股權獲行使日期 The closing price of the Company’s 前之收市價為每股0.72港元。 share immediately before the dates on which the options were exercised is HK$0.72 per share. 根據二零一三年計劃的條款， Pursuant to the terms of the 2013 14,000,000份購股權已於二零二五年 Scheme, 14,000,000 s</t>
        </is>
      </c>
    </row>
    <row r="136">
      <c r="A136" s="9" t="inlineStr">
        <is>
          <t>Share-based Payment</t>
        </is>
      </c>
      <c r="B136" s="9" t="inlineStr">
        <is>
          <t>以股份為基礎的付款</t>
        </is>
      </c>
      <c r="C136" s="9" t="inlineStr">
        <is>
          <t>medium</t>
        </is>
      </c>
      <c r="D136" s="12" t="inlineStr">
        <is>
          <t>share option</t>
        </is>
      </c>
      <c r="E136" s="12" t="inlineStr">
        <is>
          <t>PDF p.250 (印刷頁 249)</t>
        </is>
      </c>
      <c r="F136" s="12" t="inlineStr">
        <is>
          <t>NOTES TO THE CONSOLIDATED FINANCIAL STATEMENTS 綜合財務報表附註 FOR THE YEAR ENDED 31 MARCH 2026 截至二零二六年三月三十一日止年度 購股權計劃及非上市認股權證 35. SHARE OPTION SCHEMES 35. （續） AND NON-LISTED WARRANTS (Continued) 購股權計劃（續） (a) Share option scheme (a) (Continued) 二零二三年計劃（續） 2023 Scheme (Continued) 二零二三年購股權計劃之參與者 (ii) The participants (the “Eligible (ii) （「合資格參與者」）包括：(i)本 Participants”) of the 2023 Share 集團任何成員公司之董事及僱員 O p t i o n S c h e m e i n c l u d e ( i ) （無論全職或兼職僱員）（包括根 director(s) and employee(s) (whether full time or part time 據本計劃獲授購股</t>
        </is>
      </c>
    </row>
    <row r="137">
      <c r="A137" s="9" t="inlineStr">
        <is>
          <t>Share-based Payment</t>
        </is>
      </c>
      <c r="B137" s="9" t="inlineStr">
        <is>
          <t>以股份為基礎的付款</t>
        </is>
      </c>
      <c r="C137" s="9" t="inlineStr">
        <is>
          <t>medium</t>
        </is>
      </c>
      <c r="D137" s="12" t="inlineStr">
        <is>
          <t>share option</t>
        </is>
      </c>
      <c r="E137" s="12" t="inlineStr">
        <is>
          <t>PDF p.251 (印刷頁 250)</t>
        </is>
      </c>
      <c r="F137" s="12" t="inlineStr">
        <is>
          <t>NOTES TO THE CONSOLIDATED FINANCIAL STATEMENTS 綜合財務報表附註 FOR THE YEAR ENDED 31 MARCH 2026 截至二零二六年三月三十一日止年度 購股權計劃及非上市認股權證 35. SHARE OPTION SCHEMES 35. （續） AND NON-LISTED WARRANTS (Continued) 購股權計劃（續） (a) Share option scheme (a) (Continued) 二零二三年計劃（續） 2023 Scheme (Continued) 根據二零二三年計劃可能授出之 (iii) The maximum number of shares of (iii) 購股權涉及之本公司股份數目， the Company in respect of which 最多不得超過本公司於二零二三 share options might be granted 年計劃批准日期之已發行股本 under the 2023 Scheme must not 10%（「計劃授權限額」）。然而， exceed 10% of the issued share 根據二零二</t>
        </is>
      </c>
    </row>
    <row r="138">
      <c r="A138" s="9" t="inlineStr">
        <is>
          <t>Share-based Payment</t>
        </is>
      </c>
      <c r="B138" s="9" t="inlineStr">
        <is>
          <t>以股份為基礎的付款</t>
        </is>
      </c>
      <c r="C138" s="9" t="inlineStr">
        <is>
          <t>medium</t>
        </is>
      </c>
      <c r="D138" s="12" t="inlineStr">
        <is>
          <t>share option</t>
        </is>
      </c>
      <c r="E138" s="12" t="inlineStr">
        <is>
          <t>PDF p.252 (印刷頁 251)</t>
        </is>
      </c>
      <c r="F138" s="12" t="inlineStr">
        <is>
          <t>NOTES TO THE CONSOLIDATED FINANCIAL STATEMENTS 綜合財務報表附註 FOR THE YEAR ENDED 31 MARCH 2026 截至二零二六年三月三十一日止年度 購股權計劃及非上市認股權證 35. SHARE OPTION SCHEMES 35. （續） AND NON-LISTED WARRANTS (Continued) 購股權計劃（續） (a) Share option scheme (a) (Continued) 二零二三年計劃（續） 2023 Scheme (Continued) 根據二零二三年計劃可能授予 (iv) The total maximum number of (iv) 服務提供者之購股權涉及之本 shares of the Company in respect 公司股份總數，最多不得超過 of which share options might 50,059,704股股份，約佔本公 be granted to Service Providers 司於採納日期之已發行股本3% under the 2023 Scheme shall （「服務提供者子限額」）。本公</t>
        </is>
      </c>
    </row>
    <row r="139">
      <c r="A139" s="9" t="inlineStr">
        <is>
          <t>Share-based Payment</t>
        </is>
      </c>
      <c r="B139" s="9" t="inlineStr">
        <is>
          <t>以股份為基礎的付款</t>
        </is>
      </c>
      <c r="C139" s="9" t="inlineStr">
        <is>
          <t>medium</t>
        </is>
      </c>
      <c r="D139" s="12" t="inlineStr">
        <is>
          <t>share option</t>
        </is>
      </c>
      <c r="E139" s="12" t="inlineStr">
        <is>
          <t>PDF p.253 (印刷頁 252)</t>
        </is>
      </c>
      <c r="F139" s="12" t="inlineStr">
        <is>
          <t>NOTES TO THE CONSOLIDATED FINANCIAL STATEMENTS 綜合財務報表附註 FOR THE YEAR ENDED 31 MARCH 2026 截至二零二六年三月三十一日止年度 購股權計劃及非上市認股權證 35. SHARE OPTION SCHEMES 35. （續） AND NON-LISTED WARRANTS (Continued) 購股權計劃（續） (a) Share option scheme (a) (Continued) 二零二三年計劃（續） 2023 Scheme (Continued) 行使期須為董事會於授出購股 (vi) The exercise period should be (vi) 權時釐定之任何期間，惟於任何 any period fixed by the board of 情況下不得超過採納日期起計十 directors upon grant of the share 年。 option but in any event the share option period should not go beyond 10 years from the date of ad</t>
        </is>
      </c>
    </row>
    <row r="140">
      <c r="A140" s="9" t="inlineStr">
        <is>
          <t>Share-based Payment</t>
        </is>
      </c>
      <c r="B140" s="9" t="inlineStr">
        <is>
          <t>以股份為基礎的付款</t>
        </is>
      </c>
      <c r="C140" s="9" t="inlineStr">
        <is>
          <t>medium</t>
        </is>
      </c>
      <c r="D140" s="12" t="inlineStr">
        <is>
          <t>share option</t>
        </is>
      </c>
      <c r="E140" s="12" t="inlineStr">
        <is>
          <t>PDF p.254 (印刷頁 253)</t>
        </is>
      </c>
      <c r="F140" s="12" t="inlineStr">
        <is>
          <t>NOTES TO THE CONSOLIDATED FINANCIAL STATEMENTS 綜合財務報表附註 FOR THE YEAR ENDED 31 MARCH 2026 截至二零二六年三月三十一日止年度 購股權計劃及非上市認股權證 35. SHARE OPTION SCHEMES 35. （續） AND NON-LISTED WARRANTS (Continued) 購股權計劃（續） (a) Share option scheme (a) (Continued) 二零二三年計劃（續） 2023 Scheme (Continued) 所有購股權必須由承授人持有至 (ix) All the share options must be (ix) 少十二個月後方可行使，惟董事 held by the grantee for at least 12 會可在以下情況下酌情授予僱員 months before the share options 參與者較短的歸屬期：(a)向新加 can be exercised, provided that 入者授出「補償」購股權，以取代 the board of directors may at its</t>
        </is>
      </c>
    </row>
    <row r="141">
      <c r="A141" s="9" t="inlineStr">
        <is>
          <t>Share-based Payment</t>
        </is>
      </c>
      <c r="B141" s="9" t="inlineStr">
        <is>
          <t>以股份為基礎的付款</t>
        </is>
      </c>
      <c r="C141" s="9" t="inlineStr">
        <is>
          <t>medium</t>
        </is>
      </c>
      <c r="D141" s="12" t="inlineStr">
        <is>
          <t>share option</t>
        </is>
      </c>
      <c r="E141" s="12" t="inlineStr">
        <is>
          <t>PDF p.255 (印刷頁 254)</t>
        </is>
      </c>
      <c r="F141" s="12" t="inlineStr">
        <is>
          <t>NOTES TO THE CONSOLIDATED FINANCIAL STATEMENTS 綜合財務報表附註 FOR THE YEAR ENDED 31 MARCH 2026 截至二零二六年三月三十一日止年度 購股權計劃及非上市認股權證 35. SHARE OPTION SCHEMES 35. （續） AND NON-LISTED WARRANTS (Continued) 非上市認股權證 (b) Non-listed warrants (b) 於二零二五年四月十六日，本公司與 On 16 April 2025, the Company entered 獨家配售代理凱基證券亞洲有限公司 into the warrant placing agreement （其為獨立第三方）訂立認股權證配 with the sole placing agent, KGI ASIA 售協議，據此，獨家配售代理有條件地 LIMITED, who is an independent third 同意按盡力基準促使不少於六名獨立 party, pursuant to which the sole 承配人就其所提供的服務，根據特別 placing agent</t>
        </is>
      </c>
    </row>
    <row r="142">
      <c r="A142" s="9" t="inlineStr">
        <is>
          <t>Share-based Payment</t>
        </is>
      </c>
      <c r="B142" s="9" t="inlineStr">
        <is>
          <t>以股份為基礎的付款</t>
        </is>
      </c>
      <c r="C142" s="9" t="inlineStr">
        <is>
          <t>medium</t>
        </is>
      </c>
      <c r="D142" s="12" t="inlineStr">
        <is>
          <t>share option</t>
        </is>
      </c>
      <c r="E142" s="12" t="inlineStr">
        <is>
          <t>PDF p.256 (印刷頁 255)</t>
        </is>
      </c>
      <c r="F142" s="12" t="inlineStr">
        <is>
          <t>NOTES TO THE CONSOLIDATED FINANCIAL STATEMENTS 綜合財務報表附註 FOR THE YEAR ENDED 31 MARCH 2026 截至二零二六年三月三十一日止年度 購股權計劃及非上市認股權證 35. SHARE OPTION SCHEMES 35. （續） AND NON-LISTED WARRANTS (Continued) 非上市認股權證（續） (b) Non-listed warrants (Continued) (b) 配售認股權證已於二零二五年九月二 The placing of warrants was completed 日（即先決條件獲達成當日）完成。合 on 2 September 2025 on which the 共最多200,000,000份認股權證已按 conditions precedent have been 配售價每份認股權證0.031港元發行 fulfilled. An aggregate of up to 予不少於六名獨立承配人，以換取其 200,000,000 warrants was issued 提供的服務。認股權證分類為股本工 to not</t>
        </is>
      </c>
    </row>
    <row r="143">
      <c r="A143" s="9" t="inlineStr">
        <is>
          <t>Share-based Payment</t>
        </is>
      </c>
      <c r="B143" s="9" t="inlineStr">
        <is>
          <t>以股份為基礎的付款</t>
        </is>
      </c>
      <c r="C143" s="9" t="inlineStr">
        <is>
          <t>medium</t>
        </is>
      </c>
      <c r="D143" s="12" t="inlineStr">
        <is>
          <t>share option</t>
        </is>
      </c>
      <c r="E143" s="12" t="inlineStr">
        <is>
          <t>PDF p.257 (印刷頁 256)</t>
        </is>
      </c>
      <c r="F143" s="12" t="inlineStr">
        <is>
          <t>NOTES TO THE CONSOLIDATED FINANCIAL STATEMENTS 綜合財務報表附註 FOR THE YEAR ENDED 31 MARCH 2026 截至二零二六年三月三十一日止年度 購股權計劃及非上市認股權證 35. SHARE OPTION SCHEMES 35. （續） AND NON-LISTED WARRANTS (Continued) 非上市認股權證（續） (b) Non-listed warrants (Continued) (b) 自認股權證獲行使起至本報告日期 None of the rights attached to the 止，概無行使認股權證所附權利，亦無 warrants has been exercised and no 配發或發行認股權證股份。 warrant shares have been allotted or issued from the exercise of the warrants up to the date of this report. 認股權證於二零二五年九月二日的公 The fair value of the warrants as at 平價值乃</t>
        </is>
      </c>
    </row>
    <row r="144">
      <c r="A144" s="9" t="inlineStr">
        <is>
          <t>Share-based Payment</t>
        </is>
      </c>
      <c r="B144" s="9" t="inlineStr">
        <is>
          <t>以股份為基礎的付款</t>
        </is>
      </c>
      <c r="C144" s="9" t="inlineStr">
        <is>
          <t>medium</t>
        </is>
      </c>
      <c r="D144" s="12" t="inlineStr">
        <is>
          <t>share option</t>
        </is>
      </c>
      <c r="E144" s="12" t="inlineStr">
        <is>
          <t>PDF p.299 (印刷頁 298)</t>
        </is>
      </c>
      <c r="F144" s="12" t="inlineStr">
        <is>
          <t>FINANCIAL POSITION OF THE COMPANY (Continued) 本公司儲備變動 b. Movement in the Company’s b. reserves Capital Share Contribution redemption Share option Warrant Accumulated premium surplus reserve reserves reserve losses Total 股份溢價 實繳盈餘 股本贖回儲備 購股權儲備 認股權證儲備 累計虧損 總額 HK$’000 HK$’000 HK$’000 HK$’000 HK$’000 HK$’000 HK$’000 千港元 千港元 千港元 千港元 千港元 千港元 千港元 於二零二四年 At 1 April 2024 四月一日 2,064,406 262,143 446 3,753 – (2,313,385) 17,363 年度虧損 Loss for the year – – – – – (4,416) (4,416) 於二零二五年 At 31 March 2025 三月三十一日 2,064,406 262,143 446 3,753 – (2,3</t>
        </is>
      </c>
    </row>
    <row r="145">
      <c r="A145" s="9" t="inlineStr">
        <is>
          <t>Related Party Transactions</t>
        </is>
      </c>
      <c r="B145" s="9" t="inlineStr">
        <is>
          <t>關聯方交易</t>
        </is>
      </c>
      <c r="C145" s="9" t="inlineStr">
        <is>
          <t>low</t>
        </is>
      </c>
      <c r="D145" s="12" t="inlineStr">
        <is>
          <t>related party</t>
        </is>
      </c>
      <c r="E145" s="12" t="inlineStr">
        <is>
          <t>PDF p.285 (印刷頁 284)</t>
        </is>
      </c>
      <c r="F145" s="12" t="inlineStr">
        <is>
          <t>變動報 to unlisted investment held at the 告。 end of the reporting period and is reported as changes of revaluation reserve. 有關連人士交易 40. RELATED PARTY TRANSACTIONS 40. 主要管理人員之薪酬 a. Compensation of key a. management personnel 本集團之主要管理人員包括所有董 The key management of the Group 事，其酬金詳情於附註15披露。董事 comprises all directors, details of their 酬金由本公司薪酬委員會根據個人表 emoluments are disclosed in Note 現、本集團表現及盈利能力、行業薪酬 15. The emoluments of the directors 基準及現行市況而釐定。 are decided by the remuneration committee of the Company having regard to individual’s p</t>
        </is>
      </c>
    </row>
    <row r="146">
      <c r="A146" s="9" t="inlineStr">
        <is>
          <t>Related Party Transactions</t>
        </is>
      </c>
      <c r="B146" s="9" t="inlineStr">
        <is>
          <t>關聯方交易</t>
        </is>
      </c>
      <c r="C146" s="9" t="inlineStr">
        <is>
          <t>low</t>
        </is>
      </c>
      <c r="D146" s="12" t="inlineStr">
        <is>
          <t>related party</t>
        </is>
      </c>
      <c r="E146" s="12" t="inlineStr">
        <is>
          <t>PDF p.286 (印刷頁 285)</t>
        </is>
      </c>
      <c r="F146" s="12" t="inlineStr">
        <is>
          <t>NOTES TO THE CONSOLIDATED FINANCIAL STATEMENTS 綜合財務報表附註 FOR THE YEAR ENDED 31 MARCH 2026 截至二零二六年三月三十一日止年度 有關連人士交易（續） 40. RELATED PARTY TRANSACTIONS 40. (Continued) 有關連人士交易 b. Related party transactions b. 除於綜合財務報表其他部分所披露者 Except as disclosed elsewhere in the 外，於年內，本集團與以下有關連人士 consolidated financial statements, 訂立交易： the Group entered into the following transactions with a related party during the year: Related party Nature of transaction 2026 2025 有關連人士 交易性質 二零二六年 二零二五年 HK$’000 HK$’000 千港元 千港元 CMEL Royalty income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3"/>
  <sheetViews>
    <sheetView workbookViewId="0">
      <pane ySplit="31" topLeftCell="A32"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8" t="inlineStr">
        <is>
          <t>報表 Statement</t>
        </is>
      </c>
      <c r="B7" s="8" t="inlineStr">
        <is>
          <t>未擷取科目 Missing item</t>
        </is>
      </c>
    </row>
    <row r="8">
      <c r="A8" s="9" t="inlineStr">
        <is>
          <t>Income Statement</t>
        </is>
      </c>
      <c r="B8" s="9" t="inlineStr">
        <is>
          <t>Cost of Sales</t>
        </is>
      </c>
    </row>
    <row r="9">
      <c r="A9" s="9" t="inlineStr">
        <is>
          <t>Income Statement</t>
        </is>
      </c>
      <c r="B9" s="9" t="inlineStr">
        <is>
          <t>Gross Profit</t>
        </is>
      </c>
    </row>
    <row r="10">
      <c r="A10" s="9" t="inlineStr">
        <is>
          <t>Income Statement</t>
        </is>
      </c>
      <c r="B10" s="9" t="inlineStr">
        <is>
          <t>Operating Profit</t>
        </is>
      </c>
    </row>
    <row r="11">
      <c r="A11" s="9" t="inlineStr">
        <is>
          <t>Income Statement</t>
        </is>
      </c>
      <c r="B11" s="9" t="inlineStr">
        <is>
          <t>Finance Costs</t>
        </is>
      </c>
    </row>
    <row r="12">
      <c r="A12" s="9" t="inlineStr">
        <is>
          <t>Income Statement</t>
        </is>
      </c>
      <c r="B12" s="9" t="inlineStr">
        <is>
          <t>Profit for the Year</t>
        </is>
      </c>
    </row>
    <row r="13">
      <c r="A13" s="9" t="inlineStr">
        <is>
          <t>Income Statement</t>
        </is>
      </c>
      <c r="B13" s="9" t="inlineStr">
        <is>
          <t>R&amp;D Expenses</t>
        </is>
      </c>
    </row>
    <row r="14">
      <c r="A14" s="9" t="inlineStr">
        <is>
          <t>Income Statement</t>
        </is>
      </c>
      <c r="B14" s="9" t="inlineStr">
        <is>
          <t>Depreciation</t>
        </is>
      </c>
    </row>
    <row r="15">
      <c r="A15" s="9" t="inlineStr">
        <is>
          <t>Income Statement</t>
        </is>
      </c>
      <c r="B15" s="9" t="inlineStr">
        <is>
          <t>Amortisation</t>
        </is>
      </c>
    </row>
    <row r="16">
      <c r="A16" s="9" t="inlineStr">
        <is>
          <t>Balance Sheet</t>
        </is>
      </c>
      <c r="B16" s="9" t="inlineStr">
        <is>
          <t>Total Assets</t>
        </is>
      </c>
    </row>
    <row r="17">
      <c r="A17" s="9" t="inlineStr">
        <is>
          <t>Balance Sheet</t>
        </is>
      </c>
      <c r="B17" s="9" t="inlineStr">
        <is>
          <t>Goodwill</t>
        </is>
      </c>
    </row>
    <row r="18">
      <c r="A18" s="9" t="inlineStr">
        <is>
          <t>Balance Sheet</t>
        </is>
      </c>
      <c r="B18" s="9" t="inlineStr">
        <is>
          <t>Investment Properties</t>
        </is>
      </c>
    </row>
    <row r="19">
      <c r="A19" s="9" t="inlineStr">
        <is>
          <t>Balance Sheet</t>
        </is>
      </c>
      <c r="B19" s="9" t="inlineStr">
        <is>
          <t>Property Plant and Equipment</t>
        </is>
      </c>
    </row>
    <row r="20">
      <c r="A20" s="9" t="inlineStr">
        <is>
          <t>Balance Sheet</t>
        </is>
      </c>
      <c r="B20" s="9" t="inlineStr">
        <is>
          <t>Total Liabilities</t>
        </is>
      </c>
    </row>
    <row r="21">
      <c r="A21" s="9" t="inlineStr">
        <is>
          <t>Balance Sheet</t>
        </is>
      </c>
      <c r="B21" s="9" t="inlineStr">
        <is>
          <t>Borrowings</t>
        </is>
      </c>
    </row>
    <row r="22">
      <c r="A22" s="9" t="inlineStr">
        <is>
          <t>Cash Flow</t>
        </is>
      </c>
      <c r="B22" s="9" t="inlineStr">
        <is>
          <t>Operating Cash Flow</t>
        </is>
      </c>
    </row>
    <row r="23">
      <c r="A23" s="9" t="inlineStr">
        <is>
          <t>Cash Flow</t>
        </is>
      </c>
      <c r="B23" s="9" t="inlineStr">
        <is>
          <t>Investing Cash Flow</t>
        </is>
      </c>
    </row>
    <row r="24">
      <c r="A24" s="9" t="inlineStr">
        <is>
          <t>Cash Flow</t>
        </is>
      </c>
      <c r="B24" s="9" t="inlineStr">
        <is>
          <t>Financing Cash Flow</t>
        </is>
      </c>
    </row>
    <row r="25">
      <c r="A25" s="9" t="inlineStr">
        <is>
          <t>Cash Flow</t>
        </is>
      </c>
      <c r="B25" s="9" t="inlineStr">
        <is>
          <t>Capital Expenditure</t>
        </is>
      </c>
    </row>
    <row r="28">
      <c r="A28" s="5" t="inlineStr">
        <is>
          <t>二、文字量過低的頁面(疑似掃描頁)</t>
        </is>
      </c>
    </row>
    <row r="29">
      <c r="A29" s="2" t="inlineStr">
        <is>
          <t>這些頁面幾乎抓不到文字,通常是掃描件或純圖表,建議人手翻閱或另行 OCR。</t>
        </is>
      </c>
    </row>
    <row r="31">
      <c r="A31" s="8" t="inlineStr">
        <is>
          <t>PDF 頁碼</t>
        </is>
      </c>
      <c r="B31" s="8" t="inlineStr">
        <is>
          <t>狀態</t>
        </is>
      </c>
    </row>
    <row r="32">
      <c r="A32" s="9" t="n">
        <v>1</v>
      </c>
      <c r="B32" s="9" t="inlineStr">
        <is>
          <t>文字量過低 — 可能為掃描頁/圖表頁</t>
        </is>
      </c>
    </row>
    <row r="33">
      <c r="A33" s="9" t="n">
        <v>302</v>
      </c>
      <c r="B33" s="9"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2026-08-30T14:15:39Z</dcterms:created>
  <dcterms:modified xsi:type="dcterms:W3CDTF">2026-08-30T14:15:39Z</dcterms:modified>
</cp:coreProperties>
</file>
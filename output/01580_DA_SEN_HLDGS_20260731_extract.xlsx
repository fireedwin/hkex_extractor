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01580_DA_SEN_HLDGS_20260731.pdf</t>
        </is>
      </c>
    </row>
    <row r="5">
      <c r="A5" s="3" t="inlineStr">
        <is>
          <t>產生時間 Generated</t>
        </is>
      </c>
      <c r="B5" s="4" t="inlineStr">
        <is>
          <t>2026-08-30 22:16</t>
        </is>
      </c>
    </row>
    <row r="6">
      <c r="A6" s="4" t="inlineStr"/>
      <c r="B6" s="4" t="inlineStr"/>
    </row>
    <row r="7">
      <c r="A7" s="3" t="inlineStr">
        <is>
          <t>總頁數 Total pages</t>
        </is>
      </c>
      <c r="B7" s="4" t="n">
        <v>119</v>
      </c>
    </row>
    <row r="8">
      <c r="A8" s="3" t="inlineStr">
        <is>
          <t>已擷取字元 Characters extracted</t>
        </is>
      </c>
      <c r="B8" s="4" t="n">
        <v>211374</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19</v>
      </c>
    </row>
    <row r="14">
      <c r="A14" s="3" t="inlineStr">
        <is>
          <t>主題段落擷取筆數 Topic extracts</t>
        </is>
      </c>
      <c r="B14" s="4" t="n">
        <v>62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27,258 − 86,614 = -59,356</t>
        </is>
      </c>
    </row>
    <row r="20">
      <c r="A20" s="6" t="inlineStr">
        <is>
          <t>✓ 總資產 = 總負債 + 總權益</t>
        </is>
      </c>
      <c r="B20" s="4" t="inlineStr">
        <is>
          <t>83,606 vs 86,774 + -3,168 = 83,606</t>
        </is>
      </c>
    </row>
    <row r="21">
      <c r="A21" s="6" t="inlineStr">
        <is>
          <t>✓ 收入 − 銷售成本 = 毛利</t>
        </is>
      </c>
      <c r="B21" s="4" t="inlineStr">
        <is>
          <t>7,121 − 2,502 = 4,619 vs 毛利 4,619</t>
        </is>
      </c>
    </row>
    <row r="22">
      <c r="A22" s="6" t="inlineStr">
        <is>
          <t>✓ 三大報表應相鄰</t>
        </is>
      </c>
      <c r="B22" s="4" t="inlineStr">
        <is>
          <t>Income Statement: p.37、Balance Sheet: p.38、Cash Flow: p.41(相距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64.90000000000001</v>
      </c>
      <c r="D5" s="10" t="n">
        <v>64.90000000000001</v>
      </c>
      <c r="E5" s="11" t="inlineStr">
        <is>
          <t>64.9%</t>
        </is>
      </c>
      <c r="F5" s="11" t="inlineStr">
        <is>
          <t>High</t>
        </is>
      </c>
      <c r="G5" s="11" t="inlineStr">
        <is>
          <t>PDF p.13 (印刷頁 12)</t>
        </is>
      </c>
      <c r="H5" s="11" t="inlineStr">
        <is>
          <t xml:space="preserve">4% from approximately RMB14.2 million for the 2025 Year. For the 2026 Year, the gross profit margin was 64.9% as compared to 65.1% for the 2025 Year. The changes was minimal. The total selling and administrative expenses were approximately RMB9.4 million for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7121</v>
      </c>
      <c r="D5" s="13" t="n">
        <v>21724</v>
      </c>
      <c r="E5" s="14">
        <f>IF(ISERROR((C5-D5)/ABS(D5)),"",(C5-D5)/ABS(D5))</f>
        <v>-0.6722058552752715</v>
      </c>
      <c r="F5" s="11" t="inlineStr">
        <is>
          <t>PDF p.37 (印刷頁 36)</t>
        </is>
      </c>
      <c r="G5" s="11" t="inlineStr">
        <is>
          <t>Revenue 8 7,121 21,724</t>
        </is>
      </c>
    </row>
    <row r="6">
      <c r="A6" s="8" t="inlineStr">
        <is>
          <t>Income Statement</t>
        </is>
      </c>
      <c r="B6" s="8" t="inlineStr">
        <is>
          <t>Cost of Sales</t>
        </is>
      </c>
      <c r="C6" s="12" t="n">
        <v>-2502</v>
      </c>
      <c r="D6" s="13" t="n">
        <v>-7574</v>
      </c>
      <c r="E6" s="14">
        <f>IF(ISERROR((C6-D6)/ABS(D6)),"",(C6-D6)/ABS(D6))</f>
        <v>0.6696593609717455</v>
      </c>
      <c r="F6" s="11" t="inlineStr">
        <is>
          <t>PDF p.37 (印刷頁 36)</t>
        </is>
      </c>
      <c r="G6" s="11" t="inlineStr">
        <is>
          <t>Cost of sales (2,502) (7,574)</t>
        </is>
      </c>
    </row>
    <row r="7">
      <c r="A7" s="8" t="inlineStr">
        <is>
          <t>Income Statement</t>
        </is>
      </c>
      <c r="B7" s="8" t="inlineStr">
        <is>
          <t>Gross Profit</t>
        </is>
      </c>
      <c r="C7" s="12" t="n">
        <v>4619</v>
      </c>
      <c r="D7" s="13" t="n">
        <v>14150</v>
      </c>
      <c r="E7" s="14">
        <f>IF(ISERROR((C7-D7)/ABS(D7)),"",(C7-D7)/ABS(D7))</f>
        <v>-0.6735689045936396</v>
      </c>
      <c r="F7" s="11" t="inlineStr">
        <is>
          <t>PDF p.37 (印刷頁 36)</t>
        </is>
      </c>
      <c r="G7" s="11" t="inlineStr">
        <is>
          <t>Gross profit 4,619 14,150</t>
        </is>
      </c>
    </row>
    <row r="8">
      <c r="A8" s="8" t="inlineStr">
        <is>
          <t>Income Statement</t>
        </is>
      </c>
      <c r="B8" s="8" t="inlineStr">
        <is>
          <t>Finance Costs</t>
        </is>
      </c>
      <c r="C8" s="12" t="n">
        <v>-2405</v>
      </c>
      <c r="D8" s="13" t="n">
        <v>-2952</v>
      </c>
      <c r="E8" s="14">
        <f>IF(ISERROR((C8-D8)/ABS(D8)),"",(C8-D8)/ABS(D8))</f>
        <v>0.1852981029810298</v>
      </c>
      <c r="F8" s="11" t="inlineStr">
        <is>
          <t>PDF p.37 (印刷頁 36)</t>
        </is>
      </c>
      <c r="G8" s="11" t="inlineStr">
        <is>
          <t>Finance costs 10 (2,405) (2,952)</t>
        </is>
      </c>
    </row>
    <row r="9">
      <c r="A9" s="8" t="inlineStr">
        <is>
          <t>Income Statement</t>
        </is>
      </c>
      <c r="B9" s="8" t="inlineStr">
        <is>
          <t>Profit Before Tax</t>
        </is>
      </c>
      <c r="C9" s="12" t="n">
        <v>-13015</v>
      </c>
      <c r="D9" s="13" t="n">
        <v>-6959</v>
      </c>
      <c r="E9" s="14">
        <f>IF(ISERROR((C9-D9)/ABS(D9)),"",(C9-D9)/ABS(D9))</f>
        <v>-0.8702399770081908</v>
      </c>
      <c r="F9" s="11" t="inlineStr">
        <is>
          <t>PDF p.37 (印刷頁 36)</t>
        </is>
      </c>
      <c r="G9" s="11" t="inlineStr">
        <is>
          <t>Loss before tax (13,015) (6,959)</t>
        </is>
      </c>
    </row>
    <row r="10">
      <c r="A10" s="8" t="inlineStr">
        <is>
          <t>Income Statement</t>
        </is>
      </c>
      <c r="B10" s="8" t="inlineStr">
        <is>
          <t>Income Tax</t>
        </is>
      </c>
      <c r="C10" s="12" t="n">
        <v>0</v>
      </c>
      <c r="D10" s="13" t="n">
        <v>0</v>
      </c>
      <c r="E10" s="14" t="str">
        <f>IF(ISERROR((C10-D10)/ABS(D10)),"",(C10-D10)/ABS(D10))</f>
        <v/>
      </c>
      <c r="F10" s="11" t="inlineStr">
        <is>
          <t>PDF p.37 (印刷頁 36)</t>
        </is>
      </c>
      <c r="G10" s="11" t="inlineStr">
        <is>
          <t>Income tax expense 12 – –</t>
        </is>
      </c>
    </row>
    <row r="11">
      <c r="A11" s="8" t="inlineStr">
        <is>
          <t>Balance Sheet</t>
        </is>
      </c>
      <c r="B11" s="8" t="inlineStr">
        <is>
          <t>Property Plant and Equipment</t>
        </is>
      </c>
      <c r="C11" s="12" t="n">
        <v>3801</v>
      </c>
      <c r="D11" s="13" t="n">
        <v>4012</v>
      </c>
      <c r="E11" s="14">
        <f>IF(ISERROR((C11-D11)/ABS(D11)),"",(C11-D11)/ABS(D11))</f>
        <v>-0.05259222333000997</v>
      </c>
      <c r="F11" s="11" t="inlineStr">
        <is>
          <t>PDF p.38 (印刷頁 37)</t>
        </is>
      </c>
      <c r="G11" s="11" t="inlineStr">
        <is>
          <t>Property, plant and equipment 17 3,801 4,012</t>
        </is>
      </c>
    </row>
    <row r="12">
      <c r="A12" s="8" t="inlineStr">
        <is>
          <t>Balance Sheet</t>
        </is>
      </c>
      <c r="B12" s="8" t="inlineStr">
        <is>
          <t>Investment Properties</t>
        </is>
      </c>
      <c r="C12" s="12" t="n">
        <v>50000</v>
      </c>
      <c r="D12" s="13" t="n">
        <v>51900</v>
      </c>
      <c r="E12" s="14">
        <f>IF(ISERROR((C12-D12)/ABS(D12)),"",(C12-D12)/ABS(D12))</f>
        <v>-0.036608863198458574</v>
      </c>
      <c r="F12" s="11" t="inlineStr">
        <is>
          <t>PDF p.38 (印刷頁 37)</t>
        </is>
      </c>
      <c r="G12" s="11" t="inlineStr">
        <is>
          <t>Investment properties 18 50,000 51,900</t>
        </is>
      </c>
    </row>
    <row r="13">
      <c r="A13" s="8" t="inlineStr">
        <is>
          <t>Balance Sheet</t>
        </is>
      </c>
      <c r="B13" s="8" t="inlineStr">
        <is>
          <t>Intangible Assets</t>
        </is>
      </c>
      <c r="C13" s="12" t="n">
        <v>0</v>
      </c>
      <c r="D13" s="13" t="n">
        <v>4542</v>
      </c>
      <c r="E13" s="14">
        <f>IF(ISERROR((C13-D13)/ABS(D13)),"",(C13-D13)/ABS(D13))</f>
        <v>-1.0</v>
      </c>
      <c r="F13" s="11" t="inlineStr">
        <is>
          <t>PDF p.38 (印刷頁 37)</t>
        </is>
      </c>
      <c r="G13" s="11" t="inlineStr">
        <is>
          <t>Intangible assets 19 – 4,542</t>
        </is>
      </c>
    </row>
    <row r="14">
      <c r="A14" s="8" t="inlineStr">
        <is>
          <t>Balance Sheet</t>
        </is>
      </c>
      <c r="B14" s="8" t="inlineStr">
        <is>
          <t>Trade Receivables</t>
        </is>
      </c>
      <c r="C14" s="12" t="n">
        <v>22411</v>
      </c>
      <c r="D14" s="13" t="n">
        <v>26849</v>
      </c>
      <c r="E14" s="14">
        <f>IF(ISERROR((C14-D14)/ABS(D14)),"",(C14-D14)/ABS(D14))</f>
        <v>-0.16529479682669745</v>
      </c>
      <c r="F14" s="11" t="inlineStr">
        <is>
          <t>PDF p.38 (印刷頁 37)</t>
        </is>
      </c>
      <c r="G14" s="11" t="inlineStr">
        <is>
          <t>Trade and other receivables 20 22,411 26,849</t>
        </is>
      </c>
    </row>
    <row r="15">
      <c r="A15" s="8" t="inlineStr">
        <is>
          <t>Balance Sheet</t>
        </is>
      </c>
      <c r="B15" s="8" t="inlineStr">
        <is>
          <t>Cash and Equivalents</t>
        </is>
      </c>
      <c r="C15" s="12" t="n">
        <v>4847</v>
      </c>
      <c r="D15" s="13" t="n">
        <v>9489</v>
      </c>
      <c r="E15" s="14">
        <f>IF(ISERROR((C15-D15)/ABS(D15)),"",(C15-D15)/ABS(D15))</f>
        <v>-0.48919801875856256</v>
      </c>
      <c r="F15" s="11" t="inlineStr">
        <is>
          <t>PDF p.38 (印刷頁 37)</t>
        </is>
      </c>
      <c r="G15" s="11" t="inlineStr">
        <is>
          <t>Cash and cash equivalents 21 4,847 9,489</t>
        </is>
      </c>
    </row>
    <row r="16">
      <c r="A16" s="8" t="inlineStr">
        <is>
          <t>Balance Sheet</t>
        </is>
      </c>
      <c r="B16" s="8" t="inlineStr">
        <is>
          <t>Total Assets</t>
        </is>
      </c>
      <c r="C16" s="12" t="n">
        <v>83606</v>
      </c>
      <c r="D16" s="13" t="n">
        <v>99408</v>
      </c>
      <c r="E16" s="14">
        <f>IF(ISERROR((C16-D16)/ABS(D16)),"",(C16-D16)/ABS(D16))</f>
        <v>-0.15896104941252212</v>
      </c>
      <c r="F16" s="11" t="inlineStr">
        <is>
          <t>PDF p.38 (印刷頁 37)</t>
        </is>
      </c>
      <c r="G16" s="11" t="inlineStr">
        <is>
          <t>Total assets 83,606 99,408</t>
        </is>
      </c>
    </row>
    <row r="17">
      <c r="A17" s="8" t="inlineStr">
        <is>
          <t>Balance Sheet</t>
        </is>
      </c>
      <c r="B17" s="8" t="inlineStr">
        <is>
          <t>Total Equity</t>
        </is>
      </c>
      <c r="C17" s="12" t="n">
        <v>-3168</v>
      </c>
      <c r="D17" s="13" t="n">
        <v>9847</v>
      </c>
      <c r="E17" s="14">
        <f>IF(ISERROR((C17-D17)/ABS(D17)),"",(C17-D17)/ABS(D17))</f>
        <v>-1.3217223519853762</v>
      </c>
      <c r="F17" s="11" t="inlineStr">
        <is>
          <t>PDF p.38 (印刷頁 37)</t>
        </is>
      </c>
      <c r="G17" s="11" t="inlineStr">
        <is>
          <t>Total equity (3,168) 9,847</t>
        </is>
      </c>
    </row>
    <row r="18">
      <c r="A18" s="8" t="inlineStr">
        <is>
          <t>Balance Sheet</t>
        </is>
      </c>
      <c r="B18" s="8" t="inlineStr">
        <is>
          <t>Borrowings</t>
        </is>
      </c>
      <c r="C18" s="12" t="n">
        <v>33600</v>
      </c>
      <c r="D18" s="13" t="n">
        <v>34418</v>
      </c>
      <c r="E18" s="14">
        <f>IF(ISERROR((C18-D18)/ABS(D18)),"",(C18-D18)/ABS(D18))</f>
        <v>-0.023766633738160264</v>
      </c>
      <c r="F18" s="11" t="inlineStr">
        <is>
          <t>PDF p.39 (印刷頁 38)</t>
        </is>
      </c>
      <c r="G18" s="11" t="inlineStr">
        <is>
          <t>Borrowings 24 33,600 34,418</t>
        </is>
      </c>
    </row>
    <row r="19">
      <c r="A19" s="8" t="inlineStr">
        <is>
          <t>Balance Sheet</t>
        </is>
      </c>
      <c r="B19" s="8" t="inlineStr">
        <is>
          <t>Total Liabilities</t>
        </is>
      </c>
      <c r="C19" s="12" t="n">
        <v>86774</v>
      </c>
      <c r="D19" s="13" t="n">
        <v>89561</v>
      </c>
      <c r="E19" s="14">
        <f>IF(ISERROR((C19-D19)/ABS(D19)),"",(C19-D19)/ABS(D19))</f>
        <v>-0.031118455577762643</v>
      </c>
      <c r="F19" s="11" t="inlineStr">
        <is>
          <t>PDF p.39 (印刷頁 38)</t>
        </is>
      </c>
      <c r="G19" s="11" t="inlineStr">
        <is>
          <t>Total liabilities 86,774 89,561</t>
        </is>
      </c>
    </row>
    <row r="20">
      <c r="A20" s="8" t="inlineStr">
        <is>
          <t>Balance Sheet</t>
        </is>
      </c>
      <c r="B20" s="8" t="inlineStr">
        <is>
          <t>Total Current Assets</t>
        </is>
      </c>
      <c r="C20" s="12" t="n">
        <v>27258</v>
      </c>
      <c r="D20" s="13" t="n">
        <v>36338</v>
      </c>
      <c r="E20" s="14">
        <f>IF(ISERROR((C20-D20)/ABS(D20)),"",(C20-D20)/ABS(D20))</f>
        <v>-0.24987616269469975</v>
      </c>
      <c r="F20" s="11" t="inlineStr">
        <is>
          <t>PDF p.38 (印刷頁 37)</t>
        </is>
      </c>
      <c r="G20" s="11" t="inlineStr">
        <is>
          <t>[current assets 區段小計] 27,258 36,338</t>
        </is>
      </c>
    </row>
    <row r="21">
      <c r="A21" s="8" t="inlineStr">
        <is>
          <t>Balance Sheet</t>
        </is>
      </c>
      <c r="B21" s="8" t="inlineStr">
        <is>
          <t>Total Current Liabilities</t>
        </is>
      </c>
      <c r="C21" s="12" t="n">
        <v>86614</v>
      </c>
      <c r="D21" s="13" t="n">
        <v>89376</v>
      </c>
      <c r="E21" s="14">
        <f>IF(ISERROR((C21-D21)/ABS(D21)),"",(C21-D21)/ABS(D21))</f>
        <v>-0.030903150733977803</v>
      </c>
      <c r="F21" s="11" t="inlineStr">
        <is>
          <t>PDF p.39 (印刷頁 38)</t>
        </is>
      </c>
      <c r="G21" s="11" t="inlineStr">
        <is>
          <t>[current liabilities 區段小計] 86,614 89,376</t>
        </is>
      </c>
    </row>
    <row r="22">
      <c r="A22" s="8" t="inlineStr">
        <is>
          <t>Cash Flow</t>
        </is>
      </c>
      <c r="B22" s="8" t="inlineStr">
        <is>
          <t>Operating Cash Flow</t>
        </is>
      </c>
      <c r="C22" s="12" t="n">
        <v>-3824</v>
      </c>
      <c r="D22" s="13" t="n">
        <v>2410</v>
      </c>
      <c r="E22" s="14">
        <f>IF(ISERROR((C22-D22)/ABS(D22)),"",(C22-D22)/ABS(D22))</f>
        <v>-2.586721991701245</v>
      </c>
      <c r="F22" s="11" t="inlineStr">
        <is>
          <t>PDF p.41 (印刷頁 40)</t>
        </is>
      </c>
      <c r="G22" s="11" t="inlineStr">
        <is>
          <t>Net cash (used in) from operating activities (3,824) 2,410</t>
        </is>
      </c>
    </row>
    <row r="23">
      <c r="A23" s="8" t="inlineStr">
        <is>
          <t>Cash Flow</t>
        </is>
      </c>
      <c r="B23" s="8" t="inlineStr">
        <is>
          <t>Financing Cash Flow</t>
        </is>
      </c>
      <c r="C23" s="12" t="n">
        <v>-818</v>
      </c>
      <c r="D23" s="13" t="n">
        <v>4700</v>
      </c>
      <c r="E23" s="14">
        <f>IF(ISERROR((C23-D23)/ABS(D23)),"",(C23-D23)/ABS(D23))</f>
        <v>-1.1740425531914893</v>
      </c>
      <c r="F23" s="11" t="inlineStr">
        <is>
          <t>PDF p.42 (印刷頁 41)</t>
        </is>
      </c>
      <c r="G23" s="11" t="inlineStr">
        <is>
          <t>Net cash (used in) from financing activities (818) 4,700</t>
        </is>
      </c>
    </row>
    <row r="25">
      <c r="A25"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財務數據'!$C$5:$C$23,MATCH("Gross Profit",'Financials 財務數據'!$B$5:$B$23,0))/INDEX('Financials 財務數據'!$C$5:$C$23,MATCH("Revenue",'Financials 財務數據'!$B$5:$B$23,0))),"n/a",INDEX('Financials 財務數據'!$C$5:$C$23,MATCH("Gross Profit",'Financials 財務數據'!$B$5:$B$23,0))/INDEX('Financials 財務數據'!$C$5:$C$23,MATCH("Revenue",'Financials 財務數據'!$B$5:$B$23,0)))</f>
        <v>0.6486448532509479</v>
      </c>
      <c r="C5" s="15">
        <f>IF(ISERROR(INDEX('Financials 財務數據'!$D$5:$D$23,MATCH("Gross Profit",'Financials 財務數據'!$B$5:$B$23,0))/INDEX('Financials 財務數據'!$D$5:$D$23,MATCH("Revenue",'Financials 財務數據'!$B$5:$B$23,0))),"n/a",INDEX('Financials 財務數據'!$D$5:$D$23,MATCH("Gross Profit",'Financials 財務數據'!$B$5:$B$23,0))/INDEX('Financials 財務數據'!$D$5:$D$23,MATCH("Revenue",'Financials 財務數據'!$B$5:$B$23,0)))</f>
        <v>0.6513533419259805</v>
      </c>
      <c r="D5" s="2" t="inlineStr">
        <is>
          <t>毛利 ÷ 收入</t>
        </is>
      </c>
    </row>
    <row r="6">
      <c r="A6" s="4" t="inlineStr">
        <is>
          <t>Net Margin 淨利率</t>
        </is>
      </c>
      <c r="B6" s="15" t="str">
        <f>IF(ISERROR(INDEX('Financials 財務數據'!$C$5:$C$23,MATCH("Profit for the Year",'Financials 財務數據'!$B$5:$B$23,0))/INDEX('Financials 財務數據'!$C$5:$C$23,MATCH("Revenue",'Financials 財務數據'!$B$5:$B$23,0))),"n/a",INDEX('Financials 財務數據'!$C$5:$C$23,MATCH("Profit for the Year",'Financials 財務數據'!$B$5:$B$23,0))/INDEX('Financials 財務數據'!$C$5:$C$23,MATCH("Revenue",'Financials 財務數據'!$B$5:$B$23,0)))</f>
        <v>n/a</v>
      </c>
      <c r="C6" s="15" t="str">
        <f>IF(ISERROR(INDEX('Financials 財務數據'!$D$5:$D$23,MATCH("Profit for the Year",'Financials 財務數據'!$B$5:$B$23,0))/INDEX('Financials 財務數據'!$D$5:$D$23,MATCH("Revenue",'Financials 財務數據'!$B$5:$B$23,0))),"n/a",INDEX('Financials 財務數據'!$D$5:$D$23,MATCH("Profit for the Year",'Financials 財務數據'!$B$5:$B$23,0))/INDEX('Financials 財務數據'!$D$5:$D$23,MATCH("Revenue",'Financials 財務數據'!$B$5:$B$23,0)))</f>
        <v>n/a</v>
      </c>
      <c r="D6" s="2" t="inlineStr">
        <is>
          <t>年內溢利 ÷ 收入</t>
        </is>
      </c>
    </row>
    <row r="7">
      <c r="A7" s="4" t="inlineStr">
        <is>
          <t>Current Ratio 流動比率</t>
        </is>
      </c>
      <c r="B7" s="16">
        <f>IF(ISERROR(INDEX('Financials 財務數據'!$C$5:$C$23,MATCH("Total Current Assets",'Financials 財務數據'!$B$5:$B$23,0))/INDEX('Financials 財務數據'!$C$5:$C$23,MATCH("Total Current Liabilities",'Financials 財務數據'!$B$5:$B$23,0))),"n/a",INDEX('Financials 財務數據'!$C$5:$C$23,MATCH("Total Current Assets",'Financials 財務數據'!$B$5:$B$23,0))/INDEX('Financials 財務數據'!$C$5:$C$23,MATCH("Total Current Liabilities",'Financials 財務數據'!$B$5:$B$23,0)))</f>
        <v>0.31470662941325883</v>
      </c>
      <c r="C7" s="16">
        <f>IF(ISERROR(INDEX('Financials 財務數據'!$D$5:$D$23,MATCH("Total Current Assets",'Financials 財務數據'!$B$5:$B$23,0))/INDEX('Financials 財務數據'!$D$5:$D$23,MATCH("Total Current Liabilities",'Financials 財務數據'!$B$5:$B$23,0))),"n/a",INDEX('Financials 財務數據'!$D$5:$D$23,MATCH("Total Current Assets",'Financials 財務數據'!$B$5:$B$23,0))/INDEX('Financials 財務數據'!$D$5:$D$23,MATCH("Total Current Liabilities",'Financials 財務數據'!$B$5:$B$23,0)))</f>
        <v>0.40657447189402074</v>
      </c>
      <c r="D7" s="2" t="inlineStr">
        <is>
          <t>流動資產 ÷ 流動負債</t>
        </is>
      </c>
    </row>
    <row r="8">
      <c r="A8" s="4" t="inlineStr">
        <is>
          <t>Debt / Equity 負債權益比</t>
        </is>
      </c>
      <c r="B8" s="16">
        <f>IF(ISERROR(INDEX('Financials 財務數據'!$C$5:$C$23,MATCH("Total Liabilities",'Financials 財務數據'!$B$5:$B$23,0))/INDEX('Financials 財務數據'!$C$5:$C$23,MATCH("Total Equity",'Financials 財務數據'!$B$5:$B$23,0))),"n/a",INDEX('Financials 財務數據'!$C$5:$C$23,MATCH("Total Liabilities",'Financials 財務數據'!$B$5:$B$23,0))/INDEX('Financials 財務數據'!$C$5:$C$23,MATCH("Total Equity",'Financials 財務數據'!$B$5:$B$23,0)))</f>
        <v>-27.390782828282827</v>
      </c>
      <c r="C8" s="16">
        <f>IF(ISERROR(INDEX('Financials 財務數據'!$D$5:$D$23,MATCH("Total Liabilities",'Financials 財務數據'!$B$5:$B$23,0))/INDEX('Financials 財務數據'!$D$5:$D$23,MATCH("Total Equity",'Financials 財務數據'!$B$5:$B$23,0))),"n/a",INDEX('Financials 財務數據'!$D$5:$D$23,MATCH("Total Liabilities",'Financials 財務數據'!$B$5:$B$23,0))/INDEX('Financials 財務數據'!$D$5:$D$23,MATCH("Total Equity",'Financials 財務數據'!$B$5:$B$23,0)))</f>
        <v>9.095257438813851</v>
      </c>
      <c r="D8" s="2" t="inlineStr">
        <is>
          <t>總負債 ÷ 總權益</t>
        </is>
      </c>
    </row>
    <row r="9">
      <c r="A9" s="4" t="inlineStr">
        <is>
          <t>Goodwill / Total Assets</t>
        </is>
      </c>
      <c r="B9" s="15" t="str">
        <f>IF(ISERROR(INDEX('Financials 財務數據'!$C$5:$C$23,MATCH("Goodwill",'Financials 財務數據'!$B$5:$B$23,0))/INDEX('Financials 財務數據'!$C$5:$C$23,MATCH("Total Assets",'Financials 財務數據'!$B$5:$B$23,0))),"n/a",INDEX('Financials 財務數據'!$C$5:$C$23,MATCH("Goodwill",'Financials 財務數據'!$B$5:$B$23,0))/INDEX('Financials 財務數據'!$C$5:$C$23,MATCH("Total Assets",'Financials 財務數據'!$B$5:$B$23,0)))</f>
        <v>n/a</v>
      </c>
      <c r="C9" s="15" t="str">
        <f>IF(ISERROR(INDEX('Financials 財務數據'!$D$5:$D$23,MATCH("Goodwill",'Financials 財務數據'!$B$5:$B$23,0))/INDEX('Financials 財務數據'!$D$5:$D$23,MATCH("Total Assets",'Financials 財務數據'!$B$5:$B$23,0))),"n/a",INDEX('Financials 財務數據'!$D$5:$D$23,MATCH("Goodwill",'Financials 財務數據'!$B$5:$B$23,0))/INDEX('Financials 財務數據'!$D$5:$D$23,MATCH("Total Assets",'Financials 財務數據'!$B$5:$B$23,0)))</f>
        <v>n/a</v>
      </c>
      <c r="D9" s="2" t="inlineStr">
        <is>
          <t>商譽佔總資產比重 — 減值風險指標</t>
        </is>
      </c>
    </row>
    <row r="10">
      <c r="A10" s="4" t="inlineStr">
        <is>
          <t>Intangibles / Total Assets</t>
        </is>
      </c>
      <c r="B10" s="15">
        <f>IF(ISERROR(INDEX('Financials 財務數據'!$C$5:$C$23,MATCH("Intangible Assets",'Financials 財務數據'!$B$5:$B$23,0))/INDEX('Financials 財務數據'!$C$5:$C$23,MATCH("Total Assets",'Financials 財務數據'!$B$5:$B$23,0))),"n/a",INDEX('Financials 財務數據'!$C$5:$C$23,MATCH("Intangible Assets",'Financials 財務數據'!$B$5:$B$23,0))/INDEX('Financials 財務數據'!$C$5:$C$23,MATCH("Total Assets",'Financials 財務數據'!$B$5:$B$23,0)))</f>
        <v>0.0</v>
      </c>
      <c r="C10" s="15">
        <f>IF(ISERROR(INDEX('Financials 財務數據'!$D$5:$D$23,MATCH("Intangible Assets",'Financials 財務數據'!$B$5:$B$23,0))/INDEX('Financials 財務數據'!$D$5:$D$23,MATCH("Total Assets",'Financials 財務數據'!$B$5:$B$23,0))),"n/a",INDEX('Financials 財務數據'!$D$5:$D$23,MATCH("Intangible Assets",'Financials 財務數據'!$B$5:$B$23,0))/INDEX('Financials 財務數據'!$D$5:$D$23,MATCH("Total Assets",'Financials 財務數據'!$B$5:$B$23,0)))</f>
        <v>0.04569048768710768</v>
      </c>
      <c r="D10" s="2" t="inlineStr">
        <is>
          <t>無形資產佔比</t>
        </is>
      </c>
    </row>
    <row r="11">
      <c r="A11" s="4" t="inlineStr">
        <is>
          <t>ROE 股本回報率</t>
        </is>
      </c>
      <c r="B11" s="15" t="str">
        <f>IF(ISERROR(INDEX('Financials 財務數據'!$C$5:$C$23,MATCH("Profit for the Year",'Financials 財務數據'!$B$5:$B$23,0))/INDEX('Financials 財務數據'!$C$5:$C$23,MATCH("Total Equity",'Financials 財務數據'!$B$5:$B$23,0))),"n/a",INDEX('Financials 財務數據'!$C$5:$C$23,MATCH("Profit for the Year",'Financials 財務數據'!$B$5:$B$23,0))/INDEX('Financials 財務數據'!$C$5:$C$23,MATCH("Total Equity",'Financials 財務數據'!$B$5:$B$23,0)))</f>
        <v>n/a</v>
      </c>
      <c r="C11" s="15" t="str">
        <f>IF(ISERROR(INDEX('Financials 財務數據'!$D$5:$D$23,MATCH("Profit for the Year",'Financials 財務數據'!$B$5:$B$23,0))/INDEX('Financials 財務數據'!$D$5:$D$23,MATCH("Total Equity",'Financials 財務數據'!$B$5:$B$23,0))),"n/a",INDEX('Financials 財務數據'!$D$5:$D$23,MATCH("Profit for the Year",'Financials 財務數據'!$B$5:$B$23,0))/INDEX('Financials 財務數據'!$D$5:$D$23,MATCH("Total Equity",'Financials 財務數據'!$B$5:$B$23,0)))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21724</v>
      </c>
      <c r="C5" s="18" t="n">
        <v>7121</v>
      </c>
    </row>
    <row r="6">
      <c r="A6" s="4" t="inlineStr">
        <is>
          <t>Gross Profit</t>
        </is>
      </c>
      <c r="B6" s="18" t="n">
        <v>14150</v>
      </c>
      <c r="C6" s="18" t="n">
        <v>4619</v>
      </c>
    </row>
    <row r="7">
      <c r="A7" s="4" t="inlineStr">
        <is>
          <t>Profit Before Tax</t>
        </is>
      </c>
      <c r="B7" s="18" t="n">
        <v>-6959</v>
      </c>
      <c r="C7" s="18" t="n">
        <v>-13015</v>
      </c>
    </row>
    <row r="8">
      <c r="A8" s="4" t="inlineStr">
        <is>
          <t>Total Assets</t>
        </is>
      </c>
      <c r="B8" s="18" t="n">
        <v>99408</v>
      </c>
      <c r="C8" s="18" t="n">
        <v>83606</v>
      </c>
    </row>
    <row r="9">
      <c r="A9" s="4" t="inlineStr">
        <is>
          <t>Total Equity</t>
        </is>
      </c>
      <c r="B9" s="18" t="n">
        <v>9847</v>
      </c>
      <c r="C9" s="18" t="n">
        <v>-3168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p.45 (印刷頁 44)</t>
        </is>
      </c>
      <c r="F4" s="11" t="inlineStr">
        <is>
          <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t>
        </is>
      </c>
    </row>
    <row r="5">
      <c r="A5" s="8" t="inlineStr">
        <is>
          <t>Fair Value Measurement</t>
        </is>
      </c>
      <c r="B5" s="8" t="inlineStr">
        <is>
          <t>公允價值計量</t>
        </is>
      </c>
      <c r="C5" s="19" t="inlineStr">
        <is>
          <t>high</t>
        </is>
      </c>
      <c r="D5" s="11" t="inlineStr">
        <is>
          <t>level 1</t>
        </is>
      </c>
      <c r="E5" s="11" t="inlineStr">
        <is>
          <t>PDF p.46 (印刷頁 45)</t>
        </is>
      </c>
      <c r="F5" s="11" t="inlineStr">
        <is>
          <t>) Historical cost convention – continued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8" t="inlineStr">
        <is>
          <t>Fair Value Measurement</t>
        </is>
      </c>
      <c r="B6" s="8" t="inlineStr">
        <is>
          <t>公允價值計量</t>
        </is>
      </c>
      <c r="C6" s="19" t="inlineStr">
        <is>
          <t>high</t>
        </is>
      </c>
      <c r="D6" s="11" t="inlineStr">
        <is>
          <t>fair value hierarchy</t>
        </is>
      </c>
      <c r="E6" s="11" t="inlineStr">
        <is>
          <t>PDF p.80 (印刷頁 79)</t>
        </is>
      </c>
      <c r="F6" s="11" t="inlineStr">
        <is>
          <t>easurement At 31 March 2026 and 2025, there were no financial instruments are measured at fair value and carried at any level of the fair value hierarchy. 79 ANNUAL REPORT 2025/26</t>
        </is>
      </c>
    </row>
    <row r="7">
      <c r="A7" s="8" t="inlineStr">
        <is>
          <t>Fair Value Measurement</t>
        </is>
      </c>
      <c r="B7" s="8" t="inlineStr">
        <is>
          <t>公允價值計量</t>
        </is>
      </c>
      <c r="C7" s="19" t="inlineStr">
        <is>
          <t>high</t>
        </is>
      </c>
      <c r="D7" s="11" t="inlineStr">
        <is>
          <t>independent valuer</t>
        </is>
      </c>
      <c r="E7" s="11" t="inlineStr">
        <is>
          <t>PDF p.100 (印刷頁 99)</t>
        </is>
      </c>
      <c r="F7" s="11" t="inlineStr">
        <is>
          <t>be RMB50,000,000 (2025: RMB51,900,000) by the Directors with reference to valuations performed by Peak Vision Appraisals Limited, an independent valuer on the investment properties as at 31 March 2026 and 2025. The valuer has appropriate qualifications and experience in the valuation of properties in the relevant locations. 99 ANNUAL REPORT 2025/26</t>
        </is>
      </c>
    </row>
    <row r="8">
      <c r="A8" s="8" t="inlineStr">
        <is>
          <t>Fair Value Measurement</t>
        </is>
      </c>
      <c r="B8" s="8" t="inlineStr">
        <is>
          <t>公允價值計量</t>
        </is>
      </c>
      <c r="C8" s="19" t="inlineStr">
        <is>
          <t>high</t>
        </is>
      </c>
      <c r="D8" s="11" t="inlineStr">
        <is>
          <t>level 3</t>
        </is>
      </c>
      <c r="E8" s="11" t="inlineStr">
        <is>
          <t>PDF p.101 (印刷頁 100)</t>
        </is>
      </c>
      <c r="F8" s="11" t="inlineStr">
        <is>
          <t>S – continued The valuations were based on market approach. The fair value estimation of the investment properties is categorised in level 3 hierarchy. As at 31 March 2026, the key assumptions adopted in the valuation that support the determination of fair value were in the following ranges for the Group’s portfolio of investment properties: Range of Fair value at 31 unobservable Relationship of unobservable Description Mar 2026 Valuation technique Unobservable inputs inputs inputs to fair value (RMB’000) Investment properties</t>
        </is>
      </c>
    </row>
    <row r="9">
      <c r="A9" s="8" t="inlineStr">
        <is>
          <t>Impairment Testing</t>
        </is>
      </c>
      <c r="B9" s="8" t="inlineStr">
        <is>
          <t>減值測試</t>
        </is>
      </c>
      <c r="C9" s="19" t="inlineStr">
        <is>
          <t>high</t>
        </is>
      </c>
      <c r="D9" s="11" t="inlineStr">
        <is>
          <t>impairment loss</t>
        </is>
      </c>
      <c r="E9" s="11" t="inlineStr">
        <is>
          <t>PDF p.13 (印刷頁 12)</t>
        </is>
      </c>
      <c r="F9" s="11" t="inlineStr">
        <is>
          <t>ion as compared to a net gain of approximately RMB5.5 million for the 2025 Year. The net loss for the 2026 Year mainly reflected the impairment loss on intangible asset. The net gain for the 2025 Year mainly resulted from reversal of the provision for legal case. Finance costs for the 2026 Year were approximately RMB2.4 million as compared to approximately RMB3.0 million which was commensurate with the level of interest-bearing liabilities for the respective periods. The Group’s income tax expense for both the 2026 Year and the</t>
        </is>
      </c>
    </row>
    <row r="10">
      <c r="A10" s="8" t="inlineStr">
        <is>
          <t>Impairment Testing</t>
        </is>
      </c>
      <c r="B10" s="8" t="inlineStr">
        <is>
          <t>減值測試</t>
        </is>
      </c>
      <c r="C10" s="19" t="inlineStr">
        <is>
          <t>high</t>
        </is>
      </c>
      <c r="D10" s="11" t="inlineStr">
        <is>
          <t>recoverable amount</t>
        </is>
      </c>
      <c r="E10" s="11" t="inlineStr">
        <is>
          <t>PDF p.35 (印刷頁 34)</t>
        </is>
      </c>
      <c r="F10" s="11" t="inlineStr">
        <is>
          <t>asis of preparation be determined to be inappropriate. These would include any adjustments to write down the Group’s assets to their recoverable amounts, to provide for any further liabilities which may arise and to reclassify non-current assets and non-current liabilities as current assets and current liabilities, respectively. RESPONSIBILITIES OF DIRECTORS AND THOSE CHARGED WITH GOVERNANCE FOR THE CONSOLIDATED FINANCIAL STATEMENTS The directors of the Company are responsible for the preparation of the consolidated financial s</t>
        </is>
      </c>
    </row>
    <row r="11">
      <c r="A11" s="8" t="inlineStr">
        <is>
          <t>Impairment Testing</t>
        </is>
      </c>
      <c r="B11" s="8" t="inlineStr">
        <is>
          <t>減值測試</t>
        </is>
      </c>
      <c r="C11" s="19" t="inlineStr">
        <is>
          <t>high</t>
        </is>
      </c>
      <c r="D11" s="11" t="inlineStr">
        <is>
          <t>impairment loss</t>
        </is>
      </c>
      <c r="E11" s="11" t="inlineStr">
        <is>
          <t>PDF p.41 (印刷頁 40)</t>
        </is>
      </c>
      <c r="F11" s="11" t="inlineStr">
        <is>
          <t>pment 9 – (762) Amortisation of deferred income related to government grant 9 (25) (25) Amortisation of intangible assets 19 490 358 Impairment loss on intangible assets 19 4,052 – Allowance for expected credit losses on trade and other receivables, net 6 (142) 12,200 Exchange loss – 99 Loss from derecognition of financial assets at fair value through profit or loss – 373 Fair value loss on investment properties 18 1,900 3,800 Write-off of trade and other receivables 9 – 1,334 Reversal for legal case 9 – (4,252) Interest income</t>
        </is>
      </c>
    </row>
    <row r="12">
      <c r="A12" s="8" t="inlineStr">
        <is>
          <t>Impairment Testing</t>
        </is>
      </c>
      <c r="B12" s="8" t="inlineStr">
        <is>
          <t>減值測試</t>
        </is>
      </c>
      <c r="C12" s="19" t="inlineStr">
        <is>
          <t>high</t>
        </is>
      </c>
      <c r="D12" s="11" t="inlineStr">
        <is>
          <t>recoverable amount</t>
        </is>
      </c>
      <c r="E12" s="11" t="inlineStr">
        <is>
          <t>PDF p.45 (印刷頁 44)</t>
        </is>
      </c>
      <c r="F12" s="11" t="inlineStr">
        <is>
          <t>o operate as a going concern, and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these consolidated financial statements. (c) Historical cost convention The consolidated financial statements have been prepared on the histo</t>
        </is>
      </c>
    </row>
    <row r="13">
      <c r="A13" s="8" t="inlineStr">
        <is>
          <t>Impairment Testing</t>
        </is>
      </c>
      <c r="B13" s="8" t="inlineStr">
        <is>
          <t>減值測試</t>
        </is>
      </c>
      <c r="C13" s="19" t="inlineStr">
        <is>
          <t>high</t>
        </is>
      </c>
      <c r="D13" s="11" t="inlineStr">
        <is>
          <t>impairment loss</t>
        </is>
      </c>
      <c r="E13" s="11" t="inlineStr">
        <is>
          <t>PDF p.52 (印刷頁 51)</t>
        </is>
      </c>
      <c r="F13" s="11" t="inlineStr">
        <is>
          <t>assets with finite useful lives that are acquired separately are carried at costs less accumulated amortisation and any accumulated impairment losses. Amortisation for intangible assets with finite useful lives is recognised on a straight-line basis over their estimated useful lives. The estimated useful life and amortisation method are reviewed at the end of each reporting period, with the effect of any changes in estimate being accounted for on a prospective basis. Intangible assets with indefinite useful lives that are acqu</t>
        </is>
      </c>
    </row>
    <row r="14">
      <c r="A14" s="8" t="inlineStr">
        <is>
          <t>Impairment Testing</t>
        </is>
      </c>
      <c r="B14" s="8" t="inlineStr">
        <is>
          <t>減值測試</t>
        </is>
      </c>
      <c r="C14" s="19" t="inlineStr">
        <is>
          <t>high</t>
        </is>
      </c>
      <c r="D14" s="11" t="inlineStr">
        <is>
          <t>impairment loss</t>
        </is>
      </c>
      <c r="E14" s="11" t="inlineStr">
        <is>
          <t>PDF p.53 (印刷頁 52)</t>
        </is>
      </c>
      <c r="F14" s="11" t="inlineStr">
        <is>
          <t>equipment, intangible assets and right-of-use assets to determine whether there is any indication that these assets have suffered an impairment loss. If any such indication exists, the recoverable amount of the relevant asset is estimated in order to determine the extent of the impairment loss (if any). 52 DA SEN HOLDINGS GROUP LIMITED</t>
        </is>
      </c>
    </row>
    <row r="15">
      <c r="A15" s="8" t="inlineStr">
        <is>
          <t>Impairment Testing</t>
        </is>
      </c>
      <c r="B15" s="8" t="inlineStr">
        <is>
          <t>減值測試</t>
        </is>
      </c>
      <c r="C15" s="19" t="inlineStr">
        <is>
          <t>high</t>
        </is>
      </c>
      <c r="D15" s="11" t="inlineStr">
        <is>
          <t>impairment loss</t>
        </is>
      </c>
      <c r="E15" s="11" t="inlineStr">
        <is>
          <t>PDF p.54 (印刷頁 53)</t>
        </is>
      </c>
      <c r="F15"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6">
      <c r="A16" s="8" t="inlineStr">
        <is>
          <t>Impairment Testing</t>
        </is>
      </c>
      <c r="B16" s="8" t="inlineStr">
        <is>
          <t>減值測試</t>
        </is>
      </c>
      <c r="C16" s="19" t="inlineStr">
        <is>
          <t>high</t>
        </is>
      </c>
      <c r="D16" s="11" t="inlineStr">
        <is>
          <t>impairment loss</t>
        </is>
      </c>
      <c r="E16" s="11" t="inlineStr">
        <is>
          <t>PDF p.56 (印刷頁 55)</t>
        </is>
      </c>
      <c r="F16" s="11" t="inlineStr">
        <is>
          <t>n required by the terms and conditions of the lease.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t>
        </is>
      </c>
    </row>
    <row r="17">
      <c r="A17" s="8" t="inlineStr">
        <is>
          <t>Impairment Testing</t>
        </is>
      </c>
      <c r="B17" s="8" t="inlineStr">
        <is>
          <t>減值測試</t>
        </is>
      </c>
      <c r="C17" s="19" t="inlineStr">
        <is>
          <t>high</t>
        </is>
      </c>
      <c r="D17" s="11" t="inlineStr">
        <is>
          <t>recoverable amount</t>
        </is>
      </c>
      <c r="E17" s="11" t="inlineStr">
        <is>
          <t>PDF p.70 (印刷頁 69)</t>
        </is>
      </c>
      <c r="F17" s="11"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cash flow projections and an appropriate discount rate. When it is not possible to estimate the recoverable amount of an individual asset (incl</t>
        </is>
      </c>
    </row>
    <row r="18">
      <c r="A18" s="8" t="inlineStr">
        <is>
          <t>Impairment Testing</t>
        </is>
      </c>
      <c r="B18" s="8" t="inlineStr">
        <is>
          <t>減值測試</t>
        </is>
      </c>
      <c r="C18" s="19" t="inlineStr">
        <is>
          <t>high</t>
        </is>
      </c>
      <c r="D18" s="11" t="inlineStr">
        <is>
          <t>impairment loss</t>
        </is>
      </c>
      <c r="E18" s="11" t="inlineStr">
        <is>
          <t>PDF p.75 (印刷頁 74)</t>
        </is>
      </c>
      <c r="F18" s="11" t="inlineStr">
        <is>
          <t>c difficulties. The Group expects that the entire amounts of the receivables will have difficulty to be recovered and has recognised impairment losses. As at 31 March 2026, accumulated trade receivables of approximately RMB161,275,000 (2025: RMB165,728,000) has been fully provided for loss allowance for these individually assessed receivables. The Group’s concentration of credit risk by geographical locations is mainly in the Thailand, which accounted for 76% (2025: PRC: 54%) of the total receivables as at 31 March 2026. The Gr</t>
        </is>
      </c>
    </row>
    <row r="19">
      <c r="A19" s="8" t="inlineStr">
        <is>
          <t>Impairment Testing</t>
        </is>
      </c>
      <c r="B19" s="8" t="inlineStr">
        <is>
          <t>減值測試</t>
        </is>
      </c>
      <c r="C19" s="19" t="inlineStr">
        <is>
          <t>high</t>
        </is>
      </c>
      <c r="D19" s="11" t="inlineStr">
        <is>
          <t>impairment loss</t>
        </is>
      </c>
      <c r="E19" s="11" t="inlineStr">
        <is>
          <t>PDF p.78 (印刷頁 77)</t>
        </is>
      </c>
      <c r="F19" s="11" t="inlineStr">
        <is>
          <t>of recovery include, amongst others, the failure of a debtor to engage in a repayment plan with the Group and dissolution of debtor. Impairment losses on trade receivables are presented within operating result. Subsequent recoveries of amounts previously written off are credited against the same line item. Other receivables at amortised cost Other financial assets at amortised cost include other receivables. Impairment on other receivables is measured as either 12-month expected credit losses or lifetime expected credit loss, d</t>
        </is>
      </c>
    </row>
    <row r="20">
      <c r="A20" s="8" t="inlineStr">
        <is>
          <t>Impairment Testing</t>
        </is>
      </c>
      <c r="B20" s="8" t="inlineStr">
        <is>
          <t>減值測試</t>
        </is>
      </c>
      <c r="C20" s="19" t="inlineStr">
        <is>
          <t>high</t>
        </is>
      </c>
      <c r="D20" s="11" t="inlineStr">
        <is>
          <t>impairment loss</t>
        </is>
      </c>
      <c r="E20" s="11" t="inlineStr">
        <is>
          <t>PDF p.83 (印刷頁 82)</t>
        </is>
      </c>
      <c r="F20" s="11" t="inlineStr">
        <is>
          <t>pment 206 – – – 5 211 Fair value loss on investment properties – – 1,900 – – 1,900 Amortisation of intangible assets – – – – 490 490 Impairment loss on intangible assets – – – – 4,052 4,052 Loss on de-registration of a subsidiary – – – – 10 10 • 82 DA SEN HOLDINGS GROUP LIMITED</t>
        </is>
      </c>
    </row>
    <row r="21">
      <c r="A21" s="8" t="inlineStr">
        <is>
          <t>Impairment Testing</t>
        </is>
      </c>
      <c r="B21" s="8" t="inlineStr">
        <is>
          <t>減值測試</t>
        </is>
      </c>
      <c r="C21" s="19" t="inlineStr">
        <is>
          <t>high</t>
        </is>
      </c>
      <c r="D21" s="11" t="inlineStr">
        <is>
          <t>impairment loss</t>
        </is>
      </c>
      <c r="E21" s="11" t="inlineStr">
        <is>
          <t>PDF p.87 (印刷頁 86)</t>
        </is>
      </c>
      <c r="F21" s="11" t="inlineStr">
        <is>
          <t>s (6) 2,130 Loss from derecognition of financial assets at fair value through profit or loss – (373) Reversal for legal case – 4,252 Impairment loss on intangible assets (4,052) – Loss on de-registration of a subsidiary (10) – (4,043) 5,467 10 FINANCE COSTS 2026 2025 RMB’000 RMB’000 Interest expense on bank borrowings 956 756 Interest expense on other loans 1,449 1,575 Effective interest charged on convertible bond payables – 621 2,405 2,952 86 DA SEN HOLDINGS GROUP LIMITED</t>
        </is>
      </c>
    </row>
    <row r="22">
      <c r="A22" s="8" t="inlineStr">
        <is>
          <t>Impairment Testing</t>
        </is>
      </c>
      <c r="B22" s="8" t="inlineStr">
        <is>
          <t>減值測試</t>
        </is>
      </c>
      <c r="C22" s="19" t="inlineStr">
        <is>
          <t>high</t>
        </is>
      </c>
      <c r="D22" s="11" t="inlineStr">
        <is>
          <t>impairment loss</t>
        </is>
      </c>
      <c r="E22" s="11" t="inlineStr">
        <is>
          <t>PDF p.95 (印刷頁 94)</t>
        </is>
      </c>
      <c r="F22" s="11" t="inlineStr">
        <is>
          <t>value loss on investment properties 1,900 3,800 Depreciation of right-of-use assets 69 68 Amortisation of intangible assets 490 358 Impairment loss on intangible assets 4,052 – Write-off of trade and other receivables – 1,334 Loss on de-registration of a subsidiary 10 – Gross rental income from investment properties (2,179) (2,389) Less: direct operating expenses from investment properties that generated rental income during the year 148 305 (2,031) (2,084) 94 DA SEN HOLDINGS GROUP LIMITED</t>
        </is>
      </c>
    </row>
    <row r="23">
      <c r="A23" s="8" t="inlineStr">
        <is>
          <t>Impairment Testing</t>
        </is>
      </c>
      <c r="B23" s="8" t="inlineStr">
        <is>
          <t>減值測試</t>
        </is>
      </c>
      <c r="C23" s="19" t="inlineStr">
        <is>
          <t>high</t>
        </is>
      </c>
      <c r="D23" s="11" t="inlineStr">
        <is>
          <t>impairment loss</t>
        </is>
      </c>
      <c r="E23" s="11" t="inlineStr">
        <is>
          <t>PDF p.97 (印刷頁 96)</t>
        </is>
      </c>
      <c r="F23" s="11" t="inlineStr">
        <is>
          <t>ion At 1 April 2024 975 Charge for the year 68 At 31 March 2025 and 1 April 2025 1,043 Charge for the year 69 At 31 March 2026 1,112 Impairment loss At 1 April 2024, 31 March 2025, 1 April 2025 and 31 March 2026 1,147 Carrying value At 31 March 2026 2,547 At 31 March 2025 2,616 The land use rights are held with lease term of 50 years and the land is situated in Heze City, Shandong Province, the PRC. As at 31 March 2026, land use rights of the Group with a carrying value of RMB2,547,000 (2025: RMB2,616,000) were pledged as secur</t>
        </is>
      </c>
    </row>
    <row r="24">
      <c r="A24" s="8" t="inlineStr">
        <is>
          <t>Impairment Testing</t>
        </is>
      </c>
      <c r="B24" s="8" t="inlineStr">
        <is>
          <t>減值測試</t>
        </is>
      </c>
      <c r="C24" s="19" t="inlineStr">
        <is>
          <t>high</t>
        </is>
      </c>
      <c r="D24" s="11" t="inlineStr">
        <is>
          <t>impairment loss</t>
        </is>
      </c>
      <c r="E24" s="11" t="inlineStr">
        <is>
          <t>PDF p.99 (印刷頁 98)</t>
        </is>
      </c>
      <c r="F24" s="11" t="inlineStr">
        <is>
          <t>T AND EQUIPMENT – continued Furniture, fixtures and Plant Machinery equipment Vehicles Total RMB’000 RMB’000 RMB’000 RMB’000 RMB’000 Impairment loss At 1 April 2024 1,876 9,213 60 – 11,149 Eliminated upon disposal – (9,042) – – (9,042) At 31 March 2025, 1 April 2025 and 31 March 2026 1,876 171 60 – 2,107 Carrying value At 31 March 2026 3,773 14 14 – 3,801 At 31 March 2025 3,978 15 19 – 4,012 Notes: (a) As at 31 March 2026, plants of the Group with a carrying value of RMB3,773,000 (2025: RMB3,978,000), were pledged as security f</t>
        </is>
      </c>
    </row>
    <row r="25">
      <c r="A25" s="8" t="inlineStr">
        <is>
          <t>Impairment Testing</t>
        </is>
      </c>
      <c r="B25" s="8" t="inlineStr">
        <is>
          <t>減值測試</t>
        </is>
      </c>
      <c r="C25" s="19" t="inlineStr">
        <is>
          <t>high</t>
        </is>
      </c>
      <c r="D25" s="11" t="inlineStr">
        <is>
          <t>impairment loss</t>
        </is>
      </c>
      <c r="E25" s="11" t="inlineStr">
        <is>
          <t>PDF p.102 (印刷頁 101)</t>
        </is>
      </c>
      <c r="F25" s="11" t="inlineStr">
        <is>
          <t>ge for the year 50 308 358 At 31 March 2025 and 1 April 2025 50 308 358 Charge for the year 120 370 490 At 31 March 2026 170 678 848 Impairment loss At 1 April 2024, 31 March 2025 and 1 April 2025 – – – Charge for the year 1,030 3,022 4,052 At 31 March 2026 1,030 3,022 4,052 Carrying value At 31 March 2026 – – – At 31 March 2025 1,150 3,392 4,542 101 ANNUAL REPORT 2025/26</t>
        </is>
      </c>
    </row>
    <row r="26">
      <c r="A26" s="8" t="inlineStr">
        <is>
          <t>Intangible Assets &amp; Goodwill</t>
        </is>
      </c>
      <c r="B26" s="8" t="inlineStr">
        <is>
          <t>無形資產及商譽</t>
        </is>
      </c>
      <c r="C26" s="19" t="inlineStr">
        <is>
          <t>high</t>
        </is>
      </c>
      <c r="D26" s="11" t="inlineStr">
        <is>
          <t>customer relationship</t>
        </is>
      </c>
      <c r="E26" s="11" t="inlineStr">
        <is>
          <t>PDF p.9 (印刷頁 8)</t>
        </is>
      </c>
      <c r="F26" s="11" t="inlineStr">
        <is>
          <t>to the logistics industry, from 2019 to 2022. From 2006 to 2013, Dr. Leung took up a number of roles in different companies, such as customer relationship management, public relations and marketing functions in Richemont North America Inc and Chanel Inc, which are well-known retail groups, and also business development and marketing functions in Toppy Group, a Hong Kong based apparel group with strong international presence. Dr. Leung graduated from The University of British Columbia with a bachelor’s degree in economics in 200</t>
        </is>
      </c>
    </row>
    <row r="27">
      <c r="A27" s="8" t="inlineStr">
        <is>
          <t>Intangible Assets &amp; Goodwill</t>
        </is>
      </c>
      <c r="B27" s="8" t="inlineStr">
        <is>
          <t>無形資產及商譽</t>
        </is>
      </c>
      <c r="C27" s="19" t="inlineStr">
        <is>
          <t>high</t>
        </is>
      </c>
      <c r="D27" s="11" t="inlineStr">
        <is>
          <t>intangible asset</t>
        </is>
      </c>
      <c r="E27" s="11" t="inlineStr">
        <is>
          <t>PDF p.13 (印刷頁 12)</t>
        </is>
      </c>
      <c r="F27" s="11" t="inlineStr">
        <is>
          <t>a net gain of approximately RMB5.5 million for the 2025 Year. The net loss for the 2026 Year mainly reflected the impairment loss on intangible asset. The net gain for the 2025 Year mainly resulted from reversal of the provision for legal case. Finance costs for the 2026 Year were approximately RMB2.4 million as compared to approximately RMB3.0 million which was commensurate with the level of interest-bearing liabilities for the respective periods. The Group’s income tax expense for both the 2026 Year and the 2025 Year was nil.</t>
        </is>
      </c>
    </row>
    <row r="28">
      <c r="A28" s="8" t="inlineStr">
        <is>
          <t>Intangible Assets &amp; Goodwill</t>
        </is>
      </c>
      <c r="B28" s="8" t="inlineStr">
        <is>
          <t>無形資產及商譽</t>
        </is>
      </c>
      <c r="C28" s="19" t="inlineStr">
        <is>
          <t>high</t>
        </is>
      </c>
      <c r="D28" s="11" t="inlineStr">
        <is>
          <t>intangible asset</t>
        </is>
      </c>
      <c r="E28" s="11" t="inlineStr">
        <is>
          <t>PDF p.14 (印刷頁 13)</t>
        </is>
      </c>
      <c r="F28" s="11" t="inlineStr">
        <is>
          <t>-current assets Non-current assets principally include investment properties, right-of-use assets, property, plant and equipment and intangible assets. The carrying value of investment properties was approximately RMB50.0 million as at 31 March 2026 (2025: RMB51.9 million). Investment properties are stated at fair value. As at 31 March 2026, the carrying value of Group’s right-of-use assets and property, plant and equipment were approximately RMB2.5 million and RMB3.8 million respectively (2025: RMB2.6 million and RMB4.0 millio</t>
        </is>
      </c>
    </row>
    <row r="29">
      <c r="A29" s="8" t="inlineStr">
        <is>
          <t>Intangible Assets &amp; Goodwill</t>
        </is>
      </c>
      <c r="B29" s="8" t="inlineStr">
        <is>
          <t>無形資產及商譽</t>
        </is>
      </c>
      <c r="C29" s="19" t="inlineStr">
        <is>
          <t>high</t>
        </is>
      </c>
      <c r="D29" s="11" t="inlineStr">
        <is>
          <t>intangible asset</t>
        </is>
      </c>
      <c r="E29" s="11" t="inlineStr">
        <is>
          <t>PDF p.15 (印刷頁 14)</t>
        </is>
      </c>
      <c r="F29" s="11" t="inlineStr">
        <is>
          <t>MANAGEMENT DISCUSSION AND ANALYSIS As at 31 March 2026, the carrying value of the Group’s intangible assets was approximately Nil (2025: RMB4.5 million) which is injected by non-controlling interest for the 2025 Year. Intangible assets are stated at cost less accumulated amortisation. Borrowings As at 31 March 2026, the Group’s borrowings amounted to approximately RMB33.6 million (2025: RMB34.4 million) in total, comprising approximately RMB17.0 million (2025: RMB17.6 million) bank bor</t>
        </is>
      </c>
    </row>
    <row r="30">
      <c r="A30" s="8" t="inlineStr">
        <is>
          <t>Intangible Assets &amp; Goodwill</t>
        </is>
      </c>
      <c r="B30" s="8" t="inlineStr">
        <is>
          <t>無形資產及商譽</t>
        </is>
      </c>
      <c r="C30" s="19" t="inlineStr">
        <is>
          <t>high</t>
        </is>
      </c>
      <c r="D30" s="11" t="inlineStr">
        <is>
          <t>intangible asset</t>
        </is>
      </c>
      <c r="E30" s="11" t="inlineStr">
        <is>
          <t>PDF p.38 (印刷頁 37)</t>
        </is>
      </c>
      <c r="F30" s="11" t="inlineStr">
        <is>
          <t>urrent assets Right-of-use assets 16 2,547 2,616 Property, plant and equipment 17 3,801 4,012 Investment properties 18 50,000 51,900 Intangible assets 19 – 4,542 56,348 – 56,348 63,070 Current assets Trade and other receivables 20 22,411 26,849 Cash and cash equivalents 21 4,847 9,489 27,258 36,338 Total assets 83,606 99,408 EQUITY Share capital 22 19,511 19,511 Share premium 22 252,927 252,927 Other reserves 23 27,959 46,534 Accumulated losses (303,168) (311,137) Equity attributable to owners of the Company (2,771) 7,835 Non-c</t>
        </is>
      </c>
    </row>
    <row r="31">
      <c r="A31" s="8" t="inlineStr">
        <is>
          <t>Intangible Assets &amp; Goodwill</t>
        </is>
      </c>
      <c r="B31" s="8" t="inlineStr">
        <is>
          <t>無形資產及商譽</t>
        </is>
      </c>
      <c r="C31" s="19" t="inlineStr">
        <is>
          <t>high</t>
        </is>
      </c>
      <c r="D31" s="11" t="inlineStr">
        <is>
          <t>intangible asset</t>
        </is>
      </c>
      <c r="E31" s="11" t="inlineStr">
        <is>
          <t>PDF p.41 (印刷頁 40)</t>
        </is>
      </c>
      <c r="F31" s="11" t="inlineStr">
        <is>
          <t>l of property, plant and equipment 9 – (762) Amortisation of deferred income related to government grant 9 (25) (25) Amortisation of intangible assets 19 490 358 Impairment loss on intangible assets 19 4,052 – Allowance for expected credit losses on trade and other receivables, net 6 (142) 12,200 Exchange loss – 99 Loss from derecognition of financial assets at fair value through profit or loss – 373 Fair value loss on investment properties 18 1,900 3,800 Write-off of trade and other receivables 9 – 1,334 Reversal for legal cas</t>
        </is>
      </c>
    </row>
    <row r="32">
      <c r="A32" s="8" t="inlineStr">
        <is>
          <t>Intangible Assets &amp; Goodwill</t>
        </is>
      </c>
      <c r="B32" s="8" t="inlineStr">
        <is>
          <t>無形資產及商譽</t>
        </is>
      </c>
      <c r="C32" s="19" t="inlineStr">
        <is>
          <t>high</t>
        </is>
      </c>
      <c r="D32" s="11" t="inlineStr">
        <is>
          <t>goodwill</t>
        </is>
      </c>
      <c r="E32" s="11" t="inlineStr">
        <is>
          <t>PDF p.49 (印刷頁 48)</t>
        </is>
      </c>
      <c r="F32"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33">
      <c r="A33" s="8" t="inlineStr">
        <is>
          <t>Intangible Assets &amp; Goodwill</t>
        </is>
      </c>
      <c r="B33" s="8" t="inlineStr">
        <is>
          <t>無形資產及商譽</t>
        </is>
      </c>
      <c r="C33" s="19" t="inlineStr">
        <is>
          <t>high</t>
        </is>
      </c>
      <c r="D33" s="11" t="inlineStr">
        <is>
          <t>intangible asset</t>
        </is>
      </c>
      <c r="E33" s="11" t="inlineStr">
        <is>
          <t>PDF p.52 (印刷頁 51)</t>
        </is>
      </c>
      <c r="F33" s="11" t="inlineStr">
        <is>
          <t>is determined as the difference between the sales proceeds and the carrying amount of the asset and is recognised in profit or loss. Intangible assets (other than goodwill) Intangible assets with finite useful lives that are acquired separately are carried at costs less accumulated amortisation and any accumulated impairment losses. Amortisation for intangible assets with finite useful lives is recognised on a straight-line basis over their estimated useful lives. The estimated useful life and amortisation method are reviewed a</t>
        </is>
      </c>
    </row>
    <row r="34">
      <c r="A34" s="8" t="inlineStr">
        <is>
          <t>Intangible Assets &amp; Goodwill</t>
        </is>
      </c>
      <c r="B34" s="8" t="inlineStr">
        <is>
          <t>無形資產及商譽</t>
        </is>
      </c>
      <c r="C34" s="19" t="inlineStr">
        <is>
          <t>high</t>
        </is>
      </c>
      <c r="D34" s="11" t="inlineStr">
        <is>
          <t>intangible asset</t>
        </is>
      </c>
      <c r="E34" s="11" t="inlineStr">
        <is>
          <t>PDF p.53 (印刷頁 52)</t>
        </is>
      </c>
      <c r="F34" s="11" t="inlineStr">
        <is>
          <t>NOTES TO THE CONSOLIDATED FINANCIAL STATEMENTS FOR THE YEAR ENDED 31 MARCH 2026 4 MATERIAL ACCOUNTING POLICY INFORMATION – continued Intangible assets (other than goodwill) – continued The intangible assets are amortised on a straight-line basis at the following rates per annum: – Software 10 years – Intellectual property 10 years Investment properties Investment properties are properties held to earn rentals and/or for capital appreciation. Investment properties are initially measured at cost, including any directly attributab</t>
        </is>
      </c>
    </row>
    <row r="35">
      <c r="A35" s="8" t="inlineStr">
        <is>
          <t>Intangible Assets &amp; Goodwill</t>
        </is>
      </c>
      <c r="B35" s="8" t="inlineStr">
        <is>
          <t>無形資產及商譽</t>
        </is>
      </c>
      <c r="C35" s="19" t="inlineStr">
        <is>
          <t>high</t>
        </is>
      </c>
      <c r="D35" s="11" t="inlineStr">
        <is>
          <t>intangible asset</t>
        </is>
      </c>
      <c r="E35" s="11" t="inlineStr">
        <is>
          <t>PDF p.54 (印刷頁 53)</t>
        </is>
      </c>
      <c r="F35" s="11" t="inlineStr">
        <is>
          <t>S FOR THE YEAR ENDED 31 MARCH 2026 4 MATERIAL ACCOUNTING POLICY INFORMATION – continued Impairment on property, plant and equipment, intangible assets and right-of-use assets – continued The recoverable amount of property, plant and equipment, intangible assets and right-of-use assets, are estimated individually. When it is not possible to estimate the recoverable amount individually, the Group estimates the recoverable amount of the cash-generating unit to which the asset belongs. In testing a cash-generating unit for impairme</t>
        </is>
      </c>
    </row>
    <row r="36">
      <c r="A36" s="8" t="inlineStr">
        <is>
          <t>Intangible Assets &amp; Goodwill</t>
        </is>
      </c>
      <c r="B36" s="8" t="inlineStr">
        <is>
          <t>無形資產及商譽</t>
        </is>
      </c>
      <c r="C36" s="19" t="inlineStr">
        <is>
          <t>high</t>
        </is>
      </c>
      <c r="D36" s="11" t="inlineStr">
        <is>
          <t>useful life</t>
        </is>
      </c>
      <c r="E36" s="11" t="inlineStr">
        <is>
          <t>PDF p.56 (印刷頁 55)</t>
        </is>
      </c>
      <c r="F36" s="11" t="inlineStr">
        <is>
          <t>he end of the useful life. Otherwise, right-of-use assets are depreciated on a straight-line basis over the shorter of its estimated useful life and the lease term. The Group presents right-of-use assets as a separate line item on the consolidated statement of financial position. 55 ANNUAL REPORT 2025/26</t>
        </is>
      </c>
    </row>
    <row r="37">
      <c r="A37" s="8" t="inlineStr">
        <is>
          <t>Intangible Assets &amp; Goodwill</t>
        </is>
      </c>
      <c r="B37" s="8" t="inlineStr">
        <is>
          <t>無形資產及商譽</t>
        </is>
      </c>
      <c r="C37" s="19" t="inlineStr">
        <is>
          <t>high</t>
        </is>
      </c>
      <c r="D37" s="11" t="inlineStr">
        <is>
          <t>goodwill</t>
        </is>
      </c>
      <c r="E37" s="11" t="inlineStr">
        <is>
          <t>PDF p.59 (印刷頁 58)</t>
        </is>
      </c>
      <c r="F37" s="11"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38">
      <c r="A38" s="8" t="inlineStr">
        <is>
          <t>Intangible Assets &amp; Goodwill</t>
        </is>
      </c>
      <c r="B38" s="8" t="inlineStr">
        <is>
          <t>無形資產及商譽</t>
        </is>
      </c>
      <c r="C38" s="19" t="inlineStr">
        <is>
          <t>high</t>
        </is>
      </c>
      <c r="D38" s="11" t="inlineStr">
        <is>
          <t>intangible asset</t>
        </is>
      </c>
      <c r="E38" s="11" t="inlineStr">
        <is>
          <t>PDF p.70 (印刷頁 69)</t>
        </is>
      </c>
      <c r="F38" s="11" t="inlineStr">
        <is>
          <t>ets and liabilities within the next financial year. (a) Estimated useful lives and residual values of property, plant and equipment, intangible assets and right-of-use assets The Group’s management determines the estimated useful lives and residual values and consequently the related depreciation charges for its property, plant and equipment, intangible assets and right-of-use assets. This estimate is based on the historical experience of the actual useful lives of the assets of similar nature and functions. It could change sig</t>
        </is>
      </c>
    </row>
    <row r="39">
      <c r="A39" s="8" t="inlineStr">
        <is>
          <t>Intangible Assets &amp; Goodwill</t>
        </is>
      </c>
      <c r="B39" s="8" t="inlineStr">
        <is>
          <t>無形資產及商譽</t>
        </is>
      </c>
      <c r="C39" s="19" t="inlineStr">
        <is>
          <t>high</t>
        </is>
      </c>
      <c r="D39" s="11" t="inlineStr">
        <is>
          <t>intangible asset</t>
        </is>
      </c>
      <c r="E39" s="11" t="inlineStr">
        <is>
          <t>PDF p.71 (印刷頁 70)</t>
        </is>
      </c>
      <c r="F39" s="11" t="inlineStr">
        <is>
          <t>UNCERTAINTY – continued Key sources of estimation uncertainty – continued (b) Estimated impairment of property, plant and equipment, intangible assets and right-of-use assets – continued As at 31 March 2026, the carrying value of property, plant and equipment, intangible assets and right-of-use assets were RMB3,801,000, RMBnil and RMB2,547,000 (2025: RMB4,012,000, RMB4,542,000 and RMB2,616,000) respectively. Details of the impairment of property, plant and equipment, intangible assets and right-of-use assets are disclosed in No</t>
        </is>
      </c>
    </row>
    <row r="40">
      <c r="A40" s="8" t="inlineStr">
        <is>
          <t>Intangible Assets &amp; Goodwill</t>
        </is>
      </c>
      <c r="B40" s="8" t="inlineStr">
        <is>
          <t>無形資產及商譽</t>
        </is>
      </c>
      <c r="C40" s="19" t="inlineStr">
        <is>
          <t>high</t>
        </is>
      </c>
      <c r="D40" s="11" t="inlineStr">
        <is>
          <t>intangible asset</t>
        </is>
      </c>
      <c r="E40" s="11" t="inlineStr">
        <is>
          <t>PDF p.82 (印刷頁 81)</t>
        </is>
      </c>
      <c r="F40" s="11" t="inlineStr">
        <is>
          <t>eivables and cash and cash equivalents. Unallocated assets mainly comprise cash and cash equivalents, property, plant and equipment, intangible assets and other receivables held by certain non-PRC incorporated companies. Segment liabilities consist of borrowings, deferred income, receipt in advance, trade and other payables and other current tax liabilities. Unallocated liabilities mainly comprise other payables held by non-PRC incorporated companies. The segment information for the year ended 31 March 2026 is as follows: Inter</t>
        </is>
      </c>
    </row>
    <row r="41">
      <c r="A41" s="8" t="inlineStr">
        <is>
          <t>Intangible Assets &amp; Goodwill</t>
        </is>
      </c>
      <c r="B41" s="8" t="inlineStr">
        <is>
          <t>無形資產及商譽</t>
        </is>
      </c>
      <c r="C41" s="19" t="inlineStr">
        <is>
          <t>high</t>
        </is>
      </c>
      <c r="D41" s="11" t="inlineStr">
        <is>
          <t>intangible asset</t>
        </is>
      </c>
      <c r="E41" s="11" t="inlineStr">
        <is>
          <t>PDF p.83 (印刷頁 82)</t>
        </is>
      </c>
      <c r="F41" s="11" t="inlineStr">
        <is>
          <t>iation on property, plant and equipment 206 – – – 5 211 Fair value loss on investment properties – – 1,900 – – 1,900 Amortisation of intangible assets – – – – 490 490 Impairment loss on intangible assets – – – – 4,052 4,052 Loss on de-registration of a subsidiary – – – – 10 10 • 82 DA SEN HOLDINGS GROUP LIMITED</t>
        </is>
      </c>
    </row>
    <row r="42">
      <c r="A42" s="8" t="inlineStr">
        <is>
          <t>Intangible Assets &amp; Goodwill</t>
        </is>
      </c>
      <c r="B42" s="8" t="inlineStr">
        <is>
          <t>無形資產及商譽</t>
        </is>
      </c>
      <c r="C42" s="19" t="inlineStr">
        <is>
          <t>high</t>
        </is>
      </c>
      <c r="D42" s="11" t="inlineStr">
        <is>
          <t>intangible asset</t>
        </is>
      </c>
      <c r="E42" s="11" t="inlineStr">
        <is>
          <t>PDF p.85 (印刷頁 84)</t>
        </is>
      </c>
      <c r="F42" s="11" t="inlineStr">
        <is>
          <t>preciation on property, plant and equipment 259 – – 5 264 Fair value loss on investment properties – 3,800 – – 3,800 Amortisation of intangible assets – – – 358 358 Reversal for legal case (4,252) – – – (4,252) Write-off of trade and other receivables 1,334 – – – 1,334 Loss from derecognition of financial assets at fair value through profit or loss – – – 373 373 Gain on disposal of property, plant and equipment (762) – – – (762) Other items: Addition to intangible assets – – – 4,900 4,900 • The segment assets and liabilities at</t>
        </is>
      </c>
    </row>
    <row r="43">
      <c r="A43" s="8" t="inlineStr">
        <is>
          <t>Intangible Assets &amp; Goodwill</t>
        </is>
      </c>
      <c r="B43" s="8" t="inlineStr">
        <is>
          <t>無形資產及商譽</t>
        </is>
      </c>
      <c r="C43" s="19" t="inlineStr">
        <is>
          <t>high</t>
        </is>
      </c>
      <c r="D43" s="11" t="inlineStr">
        <is>
          <t>intangible asset</t>
        </is>
      </c>
      <c r="E43" s="11" t="inlineStr">
        <is>
          <t>PDF p.87 (印刷頁 86)</t>
        </is>
      </c>
      <c r="F43" s="11" t="inlineStr">
        <is>
          <t>om derecognition of financial assets at fair value through profit or loss – (373) Reversal for legal case – 4,252 Impairment loss on intangible assets (4,052) – Loss on de-registration of a subsidiary (10) – (4,043) 5,467 10 FINANCE COSTS 2026 2025 RMB’000 RMB’000 Interest expense on bank borrowings 956 756 Interest expense on other loans 1,449 1,575 Effective interest charged on convertible bond payables – 621 2,405 2,952 86 DA SEN HOLDINGS GROUP LIMITED</t>
        </is>
      </c>
    </row>
    <row r="44">
      <c r="A44" s="8" t="inlineStr">
        <is>
          <t>Intangible Assets &amp; Goodwill</t>
        </is>
      </c>
      <c r="B44" s="8" t="inlineStr">
        <is>
          <t>無形資產及商譽</t>
        </is>
      </c>
      <c r="C44" s="19" t="inlineStr">
        <is>
          <t>high</t>
        </is>
      </c>
      <c r="D44" s="11" t="inlineStr">
        <is>
          <t>intangible asset</t>
        </is>
      </c>
      <c r="E44" s="11" t="inlineStr">
        <is>
          <t>PDF p.95 (印刷頁 94)</t>
        </is>
      </c>
      <c r="F44" s="11" t="inlineStr">
        <is>
          <t>and equipment 211 264 Fair value loss on investment properties 1,900 3,800 Depreciation of right-of-use assets 69 68 Amortisation of intangible assets 490 358 Impairment loss on intangible assets 4,052 – Write-off of trade and other receivables – 1,334 Loss on de-registration of a subsidiary 10 – Gross rental income from investment properties (2,179) (2,389) Less: direct operating expenses from investment properties that generated rental income during the year 148 305 (2,031) (2,084) 94 DA SEN HOLDINGS GROUP LIMITED</t>
        </is>
      </c>
    </row>
    <row r="45">
      <c r="A45" s="8" t="inlineStr">
        <is>
          <t>Intangible Assets &amp; Goodwill</t>
        </is>
      </c>
      <c r="B45" s="8" t="inlineStr">
        <is>
          <t>無形資產及商譽</t>
        </is>
      </c>
      <c r="C45" s="19" t="inlineStr">
        <is>
          <t>high</t>
        </is>
      </c>
      <c r="D45" s="11" t="inlineStr">
        <is>
          <t>intangible asset</t>
        </is>
      </c>
      <c r="E45" s="11" t="inlineStr">
        <is>
          <t>PDF p.102 (印刷頁 101)</t>
        </is>
      </c>
      <c r="F45" s="11" t="inlineStr">
        <is>
          <t>NOTES TO THE CONSOLIDATED FINANCIAL STATEMENTS FOR THE YEAR ENDED 31 MARCH 2026 19 INTANGIBLE ASSETS Intellectual Software property Total RMB’000 RMB’000 RMB’000 Cost At 1 April 2024, 31 March 2025, 1 April 2025 and 31 March 2026 1,200 3,700 4,900 Amortisation At 1 April 2024 – – – Charge for the year 50 308 358 At 31 March 2025 and 1 April 2025 50 308 358 Charge for the year 120 370 490 At 31 March 2026 170 678 848 Impairment loss At 1 April 2024, 31 March 2025 and 1 April 2025</t>
        </is>
      </c>
    </row>
    <row r="46">
      <c r="A46" s="8" t="inlineStr">
        <is>
          <t>Investment Properties</t>
        </is>
      </c>
      <c r="B46" s="8" t="inlineStr">
        <is>
          <t>投資物業</t>
        </is>
      </c>
      <c r="C46" s="19" t="inlineStr">
        <is>
          <t>high</t>
        </is>
      </c>
      <c r="D46" s="11" t="inlineStr">
        <is>
          <t>investment property</t>
        </is>
      </c>
      <c r="E46" s="11" t="inlineStr">
        <is>
          <t>PDF p.53 (印刷頁 52)</t>
        </is>
      </c>
      <c r="F46" s="11" t="inlineStr">
        <is>
          <t>es arising from changes in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 leased property which is recognised as a right-of-use asset is derecognised if the Group as intermediate lessor classifies the sublease as a finance lease. Any gain or loss arising on derecognition of the property (cal</t>
        </is>
      </c>
    </row>
    <row r="47">
      <c r="A47" s="8" t="inlineStr">
        <is>
          <t>Investment Properties</t>
        </is>
      </c>
      <c r="B47" s="8" t="inlineStr">
        <is>
          <t>投資物業</t>
        </is>
      </c>
      <c r="C47" s="19" t="inlineStr">
        <is>
          <t>high</t>
        </is>
      </c>
      <c r="D47" s="11" t="inlineStr">
        <is>
          <t>market rent</t>
        </is>
      </c>
      <c r="E47" s="11" t="inlineStr">
        <is>
          <t>PDF p.57 (印刷頁 56)</t>
        </is>
      </c>
      <c r="F47" s="11" t="inlineStr">
        <is>
          <t>the revised lease payments using a revised discount rate at the date of reassessment. • the lease payments change due to changes in market rental rates following a market rent review/ expected payment under a guaranteed residual value, in which case the related lease liability is remeasured by discounting the revised lease payments using the initial discount rate. • a lease contract is modified and the lease modification is not accounted for as a separate lease. The Group presents lease liabilities as a separate line item on t</t>
        </is>
      </c>
    </row>
    <row r="48">
      <c r="A48" s="8" t="inlineStr">
        <is>
          <t>Investment Properties</t>
        </is>
      </c>
      <c r="B48" s="8" t="inlineStr">
        <is>
          <t>投資物業</t>
        </is>
      </c>
      <c r="C48" s="19" t="inlineStr">
        <is>
          <t>high</t>
        </is>
      </c>
      <c r="D48" s="11" t="inlineStr">
        <is>
          <t>market rent</t>
        </is>
      </c>
      <c r="E48" s="11" t="inlineStr">
        <is>
          <t>PDF p.101 (印刷頁 100)</t>
        </is>
      </c>
      <c r="F48" s="11" t="inlineStr">
        <is>
          <t>Investment properties 50,000 Investment method (i) Reversionary yield; 6% Higher of the yield, lower of the fair value; (ii) Average market rent 6.38 The higher the market rent, (RMB/sq.m.) the higher the fair value Range of Fair value at 31 unobservable Relationship of unobservable Description Mar 2025 Valuation technique Unobservable inputs inputs inputs to fair value (RMB’000) Investment properties 51,900 Investment method (i) Reversionary yield; 6.3% Higher of the yield, lower of the fair value; (ii) Average market rent 6.0</t>
        </is>
      </c>
    </row>
    <row r="49">
      <c r="A49" s="8" t="inlineStr">
        <is>
          <t>ESG Data</t>
        </is>
      </c>
      <c r="B49" s="8" t="inlineStr">
        <is>
          <t>環境社會及管治數據</t>
        </is>
      </c>
      <c r="C49" s="8" t="inlineStr">
        <is>
          <t>medium</t>
        </is>
      </c>
      <c r="D49" s="11" t="inlineStr">
        <is>
          <t>ESG</t>
        </is>
      </c>
      <c r="E49" s="11" t="inlineStr">
        <is>
          <t>PDF p.13 (印刷頁 12)</t>
        </is>
      </c>
      <c r="F49" s="11" t="inlineStr">
        <is>
          <t>MANAGEMENT DISCUSSION AND ANALYSIS (v) budgeting and quality control; (vi) project time management and ESG advisory; and (vii) sales and marketing advisory. The consolidated gross profit of the Group for the 2026 Year was approximately RMB4.6 million, representing a decrease of 67.4% from approximately RMB14.2 million for the 2025 Year. For the 2026 Year, the gross profit margin was 64.9% as compared to 65.1% for the 2025 Year. The changes was minimal. The total selling and administrative expenses</t>
        </is>
      </c>
    </row>
    <row r="50">
      <c r="A50" s="8" t="inlineStr">
        <is>
          <t>Segment Information</t>
        </is>
      </c>
      <c r="B50" s="8" t="inlineStr">
        <is>
          <t>分部資料</t>
        </is>
      </c>
      <c r="C50" s="8" t="inlineStr">
        <is>
          <t>medium</t>
        </is>
      </c>
      <c r="D50" s="11" t="inlineStr">
        <is>
          <t>operating segment</t>
        </is>
      </c>
      <c r="E50" s="11" t="inlineStr">
        <is>
          <t>PDF p.49 (印刷頁 48)</t>
        </is>
      </c>
      <c r="F50" s="11" t="inlineStr">
        <is>
          <t>truments or, when applicable, the cost on initial recognition of an investment in an associate or a joint venture. Segment reporting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the directors that makes strategic decisions. Revenue recognition Revenue from contracts with customers The Group</t>
        </is>
      </c>
    </row>
    <row r="51">
      <c r="A51" s="8" t="inlineStr">
        <is>
          <t>Segment Information</t>
        </is>
      </c>
      <c r="B51" s="8" t="inlineStr">
        <is>
          <t>分部資料</t>
        </is>
      </c>
      <c r="C51" s="8" t="inlineStr">
        <is>
          <t>medium</t>
        </is>
      </c>
      <c r="D51" s="11" t="inlineStr">
        <is>
          <t>geographical</t>
        </is>
      </c>
      <c r="E51" s="11" t="inlineStr">
        <is>
          <t>PDF p.75 (印刷頁 74)</t>
        </is>
      </c>
      <c r="F51" s="11" t="inlineStr">
        <is>
          <t>has been fully provided for loss allowance for these individually assessed receivables. The Group’s concentration of credit risk by geographical locations is mainly in the Thailand, which accounted for 76% (2025: PRC: 54%) of the total receivables as at 31 March 2026. The Group has concentration of credit risk as 76% (2025: 54%) and 100% (2025: 100%) of the total trade receivables was due from the Group’s largest customer and the five largest customers respectively. In order to minimise the credit risk, the management of the G</t>
        </is>
      </c>
    </row>
    <row r="52">
      <c r="A52" s="8" t="inlineStr">
        <is>
          <t>Segment Information</t>
        </is>
      </c>
      <c r="B52" s="8" t="inlineStr">
        <is>
          <t>分部資料</t>
        </is>
      </c>
      <c r="C52" s="8" t="inlineStr">
        <is>
          <t>medium</t>
        </is>
      </c>
      <c r="D52" s="11" t="inlineStr">
        <is>
          <t>segment information</t>
        </is>
      </c>
      <c r="E52" s="11" t="inlineStr">
        <is>
          <t>PDF p.81 (印刷頁 80)</t>
        </is>
      </c>
      <c r="F52" s="11" t="inlineStr">
        <is>
          <t>including trade and other payables and borrowings are assumed to approximate their fair values due to their short-term maturities. 7 SEGMENT INFORMATION The Directors are the Group’s chief operating decision maker. The Directors review the Group’s internal reporting in order to assess performance and allocate resources. The Directors have determined the operating segments based on these reports. The Directors consider the business from products and services perspective, and determine that the Group has the following operating s</t>
        </is>
      </c>
    </row>
    <row r="53">
      <c r="A53" s="8" t="inlineStr">
        <is>
          <t>Segment Information</t>
        </is>
      </c>
      <c r="B53" s="8" t="inlineStr">
        <is>
          <t>分部資料</t>
        </is>
      </c>
      <c r="C53" s="8" t="inlineStr">
        <is>
          <t>medium</t>
        </is>
      </c>
      <c r="D53" s="11" t="inlineStr">
        <is>
          <t>segment information</t>
        </is>
      </c>
      <c r="E53" s="11" t="inlineStr">
        <is>
          <t>PDF p.82 (印刷頁 81)</t>
        </is>
      </c>
      <c r="F53" s="11" t="inlineStr">
        <is>
          <t>NOTES TO THE CONSOLIDATED FINANCIAL STATEMENTS FOR THE YEAR ENDED 31 MARCH 2026 7 SEGMENT INFORMATION – continued Segment assets consist of right-of-use assets, property, plant and equipment, investment properties, trade and other receivables and cash and cash equivalents. Unallocated assets mainly comprise cash and cash equivalents, property, plant and equipment, intangible assets and other receivables held by certain non-PRC incorporated companies. Segment liabilities consist</t>
        </is>
      </c>
    </row>
    <row r="54">
      <c r="A54" s="8" t="inlineStr">
        <is>
          <t>Segment Information</t>
        </is>
      </c>
      <c r="B54" s="8" t="inlineStr">
        <is>
          <t>分部資料</t>
        </is>
      </c>
      <c r="C54" s="8" t="inlineStr">
        <is>
          <t>medium</t>
        </is>
      </c>
      <c r="D54" s="11" t="inlineStr">
        <is>
          <t>segment information</t>
        </is>
      </c>
      <c r="E54" s="11" t="inlineStr">
        <is>
          <t>PDF p.83 (印刷頁 82)</t>
        </is>
      </c>
      <c r="F54" s="11" t="inlineStr">
        <is>
          <t>NOTES TO THE CONSOLIDATED FINANCIAL STATEMENTS FOR THE YEAR ENDED 31 MARCH 2026 7 SEGMENT INFORMATION – continued Interior design &amp; Plywood project Trading of and related management Lease agricultural services service activities products Unallocated Total RMB’000 RMB’000 RMB’000 RMB’000 RMB’000 RMB’000 Other segment items Profit or loss items: Impairment (reversal) losses on financial assets, net 1 (141) 8 – (10) (142) Depreciation on right-of-use assets 69 – – – – 69 Depreciat</t>
        </is>
      </c>
    </row>
    <row r="55">
      <c r="A55" s="8" t="inlineStr">
        <is>
          <t>Segment Information</t>
        </is>
      </c>
      <c r="B55" s="8" t="inlineStr">
        <is>
          <t>分部資料</t>
        </is>
      </c>
      <c r="C55" s="8" t="inlineStr">
        <is>
          <t>medium</t>
        </is>
      </c>
      <c r="D55" s="11" t="inlineStr">
        <is>
          <t>segment information</t>
        </is>
      </c>
      <c r="E55" s="11" t="inlineStr">
        <is>
          <t>PDF p.84 (印刷頁 83)</t>
        </is>
      </c>
      <c r="F55" s="11" t="inlineStr">
        <is>
          <t>NOTES TO THE CONSOLIDATED FINANCIAL STATEMENTS FOR THE YEAR ENDED 31 MARCH 2026 7 SEGMENT INFORMATION – continued The segment assets and liabilities at 31 March 2026 are as follows: Interior design &amp; Plywood and project Trading of related management Lease agricultural services service activities products Unallocated Group RMB’000 RMB’000 RMB’000 RMB’000 RMB’000 RMB’000 Total assets 14,482 12,723 50,349 3,244 2,808 83,606 Total liabilities (39,476) – (9,180) (17,096) (21,022) (8</t>
        </is>
      </c>
    </row>
    <row r="56">
      <c r="A56" s="8" t="inlineStr">
        <is>
          <t>Segment Information</t>
        </is>
      </c>
      <c r="B56" s="8" t="inlineStr">
        <is>
          <t>分部資料</t>
        </is>
      </c>
      <c r="C56" s="8" t="inlineStr">
        <is>
          <t>medium</t>
        </is>
      </c>
      <c r="D56" s="11" t="inlineStr">
        <is>
          <t>segment information</t>
        </is>
      </c>
      <c r="E56" s="11" t="inlineStr">
        <is>
          <t>PDF p.85 (印刷頁 84)</t>
        </is>
      </c>
      <c r="F56" s="11" t="inlineStr">
        <is>
          <t>NOTES TO THE CONSOLIDATED FINANCIAL STATEMENTS FOR THE YEAR ENDED 31 MARCH 2026 7 SEGMENT INFORMATION – continued The segment information for the year ended 31 March 2025 is as follows: – continued Plywood Trading of and related Lease agricultural services activities products Unallocated Total RMB’000 RMB’000 RMB’000 RMB’000 RMB’000 Other segment items Profit or loss items: Allowance for expected credit losses, net 12,200 – – – 12,200 Depreciation on right-of-use assets 68 – –</t>
        </is>
      </c>
    </row>
    <row r="57">
      <c r="A57" s="8" t="inlineStr">
        <is>
          <t>Segment Information</t>
        </is>
      </c>
      <c r="B57" s="8" t="inlineStr">
        <is>
          <t>分部資料</t>
        </is>
      </c>
      <c r="C57" s="8" t="inlineStr">
        <is>
          <t>medium</t>
        </is>
      </c>
      <c r="D57" s="11" t="inlineStr">
        <is>
          <t>segment information</t>
        </is>
      </c>
      <c r="E57" s="11" t="inlineStr">
        <is>
          <t>PDF p.86 (印刷頁 85)</t>
        </is>
      </c>
      <c r="F57" s="11" t="inlineStr">
        <is>
          <t>NOTES TO THE CONSOLIDATED FINANCIAL STATEMENTS FOR THE YEAR ENDED 31 MARCH 2026 7 SEGMENT INFORMATION – continued Information about major customers Revenue from an individual customer which accounted for 10% or more of the Group’s total revenue during the year is set out as below: 2026 2025 RMB’000 RMB’000 Customer A# – 8,830 Customer B# – 3,034 Customer C* – 6,689 Customer D## 4,942 – # Revenue generated from sales of plywood and related services. * Revenue generated from trad</t>
        </is>
      </c>
    </row>
    <row r="58">
      <c r="A58" s="8" t="inlineStr">
        <is>
          <t>Share-based Payment</t>
        </is>
      </c>
      <c r="B58" s="8" t="inlineStr">
        <is>
          <t>以股份為基礎的付款</t>
        </is>
      </c>
      <c r="C58" s="8" t="inlineStr">
        <is>
          <t>medium</t>
        </is>
      </c>
      <c r="D58" s="11" t="inlineStr">
        <is>
          <t>share option</t>
        </is>
      </c>
      <c r="E58" s="11" t="inlineStr">
        <is>
          <t>PDF p.17 (印刷頁 16)</t>
        </is>
      </c>
      <c r="F58" s="11" t="inlineStr">
        <is>
          <t>s’ emoluments amounted to approximately RMB1.7 million for the 2026 Year (2025: RMB2.0 million). The Group’s remuneration policy and share option scheme determine benefits of employees (including Directors) based on the duties and performance of each individual. The Group has also participated in the mandatory provident fund retirement benefit scheme in Hong Kong, and the central pension scheme operated by the local municipal government in Mainland China. DIVIDENDS AND DISTRIBUTION The Board did not recommend the payment of a f</t>
        </is>
      </c>
    </row>
    <row r="59">
      <c r="A59" s="8" t="inlineStr">
        <is>
          <t>Share-based Payment</t>
        </is>
      </c>
      <c r="B59" s="8" t="inlineStr">
        <is>
          <t>以股份為基礎的付款</t>
        </is>
      </c>
      <c r="C59" s="8" t="inlineStr">
        <is>
          <t>medium</t>
        </is>
      </c>
      <c r="D59" s="11" t="inlineStr">
        <is>
          <t>share option</t>
        </is>
      </c>
      <c r="E59" s="11" t="inlineStr">
        <is>
          <t>PDF p.20 (印刷頁 19)</t>
        </is>
      </c>
      <c r="F59" s="11" t="inlineStr">
        <is>
          <t>ees, including directors’ emoluments amounted to approximately RMB1.7 million for the 2026 Year. The Group’s remuneration policy and share option scheme determine benefits of employees (including Directors) based on the duties and performance of each individual. The Group has also participated in the central pension scheme operated by the local municipal government in Mainland China. The relationships with employee and the statistic shall be set out in the Environmental, Social and Governance Report which will be released in du</t>
        </is>
      </c>
    </row>
    <row r="60">
      <c r="A60" s="8" t="inlineStr">
        <is>
          <t>Share-based Payment</t>
        </is>
      </c>
      <c r="B60" s="8" t="inlineStr">
        <is>
          <t>以股份為基礎的付款</t>
        </is>
      </c>
      <c r="C60" s="8" t="inlineStr">
        <is>
          <t>medium</t>
        </is>
      </c>
      <c r="D60" s="11" t="inlineStr">
        <is>
          <t>share option</t>
        </is>
      </c>
      <c r="E60" s="11" t="inlineStr">
        <is>
          <t>PDF p.21 (印刷頁 20)</t>
        </is>
      </c>
      <c r="F60" s="11" t="inlineStr">
        <is>
          <t>l Code for Securities Transactions by Directors of Listed Issuers (the “Model Code”) as set out in Appendix C3 to the Listing Rules. SHARE OPTION SCHEME The Company operates a share option scheme (the “Option Scheme”) for the purpose of providing incentives and rewards to eligible participants who contribute to the success of the Group’s operations. Eligible participants of the Option Scheme include the Directors, other employees of the Group, suppliers of goods or services to the Group, customers of the Group, the Shareholders</t>
        </is>
      </c>
    </row>
    <row r="61">
      <c r="A61" s="8" t="inlineStr">
        <is>
          <t>Share-based Payment</t>
        </is>
      </c>
      <c r="B61" s="8" t="inlineStr">
        <is>
          <t>以股份為基礎的付款</t>
        </is>
      </c>
      <c r="C61" s="8" t="inlineStr">
        <is>
          <t>medium</t>
        </is>
      </c>
      <c r="D61" s="11" t="inlineStr">
        <is>
          <t>share option</t>
        </is>
      </c>
      <c r="E61" s="11" t="inlineStr">
        <is>
          <t>PDF p.22 (印刷頁 21)</t>
        </is>
      </c>
      <c r="F61" s="11" t="inlineStr">
        <is>
          <t>REPORT OF THE DIRECTORS The offer of a grant of share options may be accepted upon payment of a nominal consideration of HK$1 in total by the grantee. The exercise period of the share options granted is determinable by the Board in its absolute discretion, save that no option may be exercised more than 10 years after it has been granted. No option may be granted more than 10 years after the date of approval of the Option Scheme. Subject to earl</t>
        </is>
      </c>
    </row>
    <row r="62">
      <c r="A62" s="8" t="inlineStr">
        <is>
          <t>Share-based Payment</t>
        </is>
      </c>
      <c r="B62" s="8" t="inlineStr">
        <is>
          <t>以股份為基礎的付款</t>
        </is>
      </c>
      <c r="C62" s="8" t="inlineStr">
        <is>
          <t>medium</t>
        </is>
      </c>
      <c r="D62" s="11" t="inlineStr">
        <is>
          <t>share-based payment</t>
        </is>
      </c>
      <c r="E62" s="11" t="inlineStr">
        <is>
          <t>PDF p.45 (印刷頁 44)</t>
        </is>
      </c>
      <c r="F62" s="11" t="inlineStr">
        <is>
          <t>alue for measurement and/or disclosure purposes in these consolidated financial statements is determined on such a basis, except for share-based payment transactions that are within the scope of IFRS 2 Share-based Payment, leasing transactions that are accounted for in accordance with IFRS 16, and measurements that have some similarities to fair value but are not fair value, such as net realisable value in IAS 2 Inventories or value in use in IAS 36 Impairment of Assets. 44 DA SEN HOLDINGS GROUP LIMITED</t>
        </is>
      </c>
    </row>
    <row r="63">
      <c r="A63" s="8" t="inlineStr">
        <is>
          <t>Share-based Payment</t>
        </is>
      </c>
      <c r="B63" s="8" t="inlineStr">
        <is>
          <t>以股份為基礎的付款</t>
        </is>
      </c>
      <c r="C63" s="8" t="inlineStr">
        <is>
          <t>medium</t>
        </is>
      </c>
      <c r="D63" s="11" t="inlineStr">
        <is>
          <t>share option</t>
        </is>
      </c>
      <c r="E63" s="11" t="inlineStr">
        <is>
          <t>PDF p.117 (印刷頁 116)</t>
        </is>
      </c>
      <c r="F63" s="11" t="inlineStr">
        <is>
          <t>ty due – 1,408 At 31 March 2025 and 1 April 2025 136,448 (421,264) Loss for the year – (4,353) At 31 March 2026 136,448 (425,617) 36 SHARE OPTION SCHEME The Company’s share option scheme (the “Scheme”) was adopted pursuant to a resolution passed on 19 December 2016 for the primary purpose of providing incentives to eligible participants who contribute to the success of the Group’s operations, and will expire on 18 December 2026. Under the Scheme, the Directors may grant options to eligible employees of the Group, suppliers of g</t>
        </is>
      </c>
    </row>
    <row r="64">
      <c r="A64" s="8" t="inlineStr">
        <is>
          <t>Related Party Transactions</t>
        </is>
      </c>
      <c r="B64" s="8" t="inlineStr">
        <is>
          <t>關聯方交易</t>
        </is>
      </c>
      <c r="C64" s="8" t="inlineStr">
        <is>
          <t>low</t>
        </is>
      </c>
      <c r="D64" s="11" t="inlineStr">
        <is>
          <t>related party</t>
        </is>
      </c>
      <c r="E64" s="11" t="inlineStr">
        <is>
          <t>PDF p.21 (印刷頁 20)</t>
        </is>
      </c>
      <c r="F64" s="11" t="inlineStr">
        <is>
          <t>REPORT OF THE DIRECTORS CONNECTED TRANSACTIONS All of the Group’s related party transactions for the 2026 Year did not constitute connected transactions or continuing connected transactions as defined in Chapter 14A of the Listing Rules. DIRECTORS’ AND CHIEF EXECUTIVE’S INTERESTS AND SHORT POSITIONS IN SHARES AND UNDERLYING SHARES AND DEBENTURES As at 31 March 2026, none of the directors and chief executive had registered an interest or short position in the sha</t>
        </is>
      </c>
    </row>
    <row r="65">
      <c r="A65" s="8" t="inlineStr">
        <is>
          <t>Related Party Transactions</t>
        </is>
      </c>
      <c r="B65" s="8" t="inlineStr">
        <is>
          <t>關聯方交易</t>
        </is>
      </c>
      <c r="C65" s="8" t="inlineStr">
        <is>
          <t>low</t>
        </is>
      </c>
      <c r="D65" s="11" t="inlineStr">
        <is>
          <t>related party</t>
        </is>
      </c>
      <c r="E65" s="11" t="inlineStr">
        <is>
          <t>PDF p.113 (印刷頁 112)</t>
        </is>
      </c>
      <c r="F65" s="11" t="inlineStr">
        <is>
          <t>NOTES TO THE CONSOLIDATED FINANCIAL STATEMENTS FOR THE YEAR ENDED 31 MARCH 2026 32 RELATED PARTY TRANSACTIONS The following is a summary of the significant transactions carried out between the Group and its related parties in the ordinary course of business during the year ended 31 March 2026 and 2025, and balances arising from related party transactions as at 31 March 2026 and 2025: (a) Key management personnel compensation 2026 2025 RMB’000 RMB’000 Salaries and bonus 273 339 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pane ySplit="22" topLeftCell="A23"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for the Year</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Inventories</t>
        </is>
      </c>
    </row>
    <row r="14">
      <c r="A14" s="8" t="inlineStr">
        <is>
          <t>Balance Sheet</t>
        </is>
      </c>
      <c r="B14" s="8" t="inlineStr">
        <is>
          <t>Goodwill</t>
        </is>
      </c>
    </row>
    <row r="15">
      <c r="A15" s="8" t="inlineStr">
        <is>
          <t>Cash Flow</t>
        </is>
      </c>
      <c r="B15" s="8" t="inlineStr">
        <is>
          <t>Investing Cash Flow</t>
        </is>
      </c>
    </row>
    <row r="16">
      <c r="A16" s="8" t="inlineStr">
        <is>
          <t>Cash Flow</t>
        </is>
      </c>
      <c r="B16" s="8" t="inlineStr">
        <is>
          <t>Capital Expenditure</t>
        </is>
      </c>
    </row>
    <row r="19">
      <c r="A19" s="5" t="inlineStr">
        <is>
          <t>二、文字量過低的頁面(疑似掃描頁)</t>
        </is>
      </c>
    </row>
    <row r="20">
      <c r="A20" s="2" t="inlineStr">
        <is>
          <t>這些頁面幾乎抓不到文字,通常是掃描件或純圖表,建議人手翻閱或另行 OCR。</t>
        </is>
      </c>
    </row>
    <row r="22">
      <c r="A22" s="7" t="inlineStr">
        <is>
          <t>PDF 頁碼</t>
        </is>
      </c>
      <c r="B22" s="7" t="inlineStr">
        <is>
          <t>狀態</t>
        </is>
      </c>
    </row>
    <row r="23">
      <c r="A23" s="8" t="n">
        <v>1</v>
      </c>
      <c r="B23"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2026-08-30T14:16:46Z</dcterms:created>
  <dcterms:modified xsi:type="dcterms:W3CDTF">2026-08-30T14:16:46Z</dcterms:modified>
</cp:coreProperties>
</file>
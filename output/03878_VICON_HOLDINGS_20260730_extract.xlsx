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03878_VICON_HOLDINGS_20260730.pdf</t>
        </is>
      </c>
    </row>
    <row r="5">
      <c r="A5" s="3" t="inlineStr">
        <is>
          <t>產生時間 Generated</t>
        </is>
      </c>
      <c r="B5" s="4" t="inlineStr">
        <is>
          <t>2026-08-30 22:15</t>
        </is>
      </c>
    </row>
    <row r="6">
      <c r="A6" s="4" t="inlineStr"/>
      <c r="B6" s="4" t="inlineStr"/>
    </row>
    <row r="7">
      <c r="A7" s="3" t="inlineStr">
        <is>
          <t>總頁數 Total pages</t>
        </is>
      </c>
      <c r="B7" s="4" t="n">
        <v>151</v>
      </c>
    </row>
    <row r="8">
      <c r="A8" s="3" t="inlineStr">
        <is>
          <t>已擷取字元 Characters extracted</t>
        </is>
      </c>
      <c r="B8" s="4" t="n">
        <v>314342</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1</v>
      </c>
    </row>
    <row r="13">
      <c r="A13" s="3" t="inlineStr">
        <is>
          <t>財務科目擷取筆數 Financial line items</t>
        </is>
      </c>
      <c r="B13" s="4" t="n">
        <v>17</v>
      </c>
    </row>
    <row r="14">
      <c r="A14" s="3" t="inlineStr">
        <is>
          <t>主題段落擷取筆數 Topic extracts</t>
        </is>
      </c>
      <c r="B14" s="4" t="n">
        <v>73</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296,392 − 55,853 = 240,539</t>
        </is>
      </c>
    </row>
    <row r="20">
      <c r="A20" s="6" t="inlineStr">
        <is>
          <t>✓ 收入 − 銷售成本 = 毛利</t>
        </is>
      </c>
      <c r="B20" s="4" t="inlineStr">
        <is>
          <t>236,717 − 222,517 = 14,200 vs 毛利 14,200</t>
        </is>
      </c>
    </row>
    <row r="21">
      <c r="A21" s="6" t="inlineStr">
        <is>
          <t>✓ 除稅前溢利 ± 稅項 = 年內溢利</t>
        </is>
      </c>
      <c r="B21" s="4" t="inlineStr">
        <is>
          <t>6,047 + 1,542 = 4,505 vs 4,505</t>
        </is>
      </c>
    </row>
    <row r="22">
      <c r="A22" s="6" t="inlineStr">
        <is>
          <t>✓ 三大報表應相鄰</t>
        </is>
      </c>
      <c r="B22" s="4" t="inlineStr">
        <is>
          <t>Income Statement: p.82、Balance Sheet: p.83、Cash Flow: p.86(相距 4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6.8</v>
      </c>
      <c r="D5" s="10" t="n">
        <v>6.8</v>
      </c>
      <c r="E5" s="11" t="inlineStr">
        <is>
          <t>6.8%</t>
        </is>
      </c>
      <c r="F5" s="11" t="inlineStr">
        <is>
          <t>High</t>
        </is>
      </c>
      <c r="G5" s="11" t="inlineStr">
        <is>
          <t>PDF p.7 (印刷頁 6)</t>
        </is>
      </c>
      <c r="H5" s="11" t="inlineStr">
        <is>
          <t>ion for FY2025 to gross profit of approximately HK$14.2 million for FY2026. Our gross profit margin decreased from approximately 6.8% for FY2025 to approximately 6.0% for FY2026. The decrease in gross profit was mainly attributable to a decrease in profit mar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2025 / 2026; Balance Sheet: 2025 / 2026; Cash Flow: 2025 / 2026</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236717</v>
      </c>
      <c r="D5" s="13" t="n">
        <v>303919</v>
      </c>
      <c r="E5" s="14">
        <f>IF(ISERROR((C5-D5)/ABS(D5)),"",(C5-D5)/ABS(D5))</f>
        <v>-0.22111812686933033</v>
      </c>
      <c r="F5" s="11" t="inlineStr">
        <is>
          <t>PDF p.82 (印刷頁 81)</t>
        </is>
      </c>
      <c r="G5" s="11" t="inlineStr">
        <is>
          <t>Revenue 5 236,717 303,919</t>
        </is>
      </c>
    </row>
    <row r="6">
      <c r="A6" s="8" t="inlineStr">
        <is>
          <t>Income Statement</t>
        </is>
      </c>
      <c r="B6" s="8" t="inlineStr">
        <is>
          <t>Cost of Sales</t>
        </is>
      </c>
      <c r="C6" s="12" t="n">
        <v>-222517</v>
      </c>
      <c r="D6" s="13" t="n">
        <v>-283295</v>
      </c>
      <c r="E6" s="14">
        <f>IF(ISERROR((C6-D6)/ABS(D6)),"",(C6-D6)/ABS(D6))</f>
        <v>0.21453961418309536</v>
      </c>
      <c r="F6" s="11" t="inlineStr">
        <is>
          <t>PDF p.82 (印刷頁 81)</t>
        </is>
      </c>
      <c r="G6" s="11" t="inlineStr">
        <is>
          <t>Cost of sales 8 (222,517) (283,295)</t>
        </is>
      </c>
    </row>
    <row r="7">
      <c r="A7" s="8" t="inlineStr">
        <is>
          <t>Income Statement</t>
        </is>
      </c>
      <c r="B7" s="8" t="inlineStr">
        <is>
          <t>Gross Profit</t>
        </is>
      </c>
      <c r="C7" s="12" t="n">
        <v>14200</v>
      </c>
      <c r="D7" s="13" t="n">
        <v>20624</v>
      </c>
      <c r="E7" s="14">
        <f>IF(ISERROR((C7-D7)/ABS(D7)),"",(C7-D7)/ABS(D7))</f>
        <v>-0.31148176881303336</v>
      </c>
      <c r="F7" s="11" t="inlineStr">
        <is>
          <t>PDF p.82 (印刷頁 81)</t>
        </is>
      </c>
      <c r="G7" s="11" t="inlineStr">
        <is>
          <t>Gross profit 14,200 20,624</t>
        </is>
      </c>
    </row>
    <row r="8">
      <c r="A8" s="8" t="inlineStr">
        <is>
          <t>Income Statement</t>
        </is>
      </c>
      <c r="B8" s="8" t="inlineStr">
        <is>
          <t>Operating Profit</t>
        </is>
      </c>
      <c r="C8" s="12" t="n">
        <v>6203</v>
      </c>
      <c r="D8" s="13" t="n">
        <v>5663</v>
      </c>
      <c r="E8" s="14">
        <f>IF(ISERROR((C8-D8)/ABS(D8)),"",(C8-D8)/ABS(D8))</f>
        <v>0.0953558184707752</v>
      </c>
      <c r="F8" s="11" t="inlineStr">
        <is>
          <t>PDF p.82 (印刷頁 81)</t>
        </is>
      </c>
      <c r="G8" s="11" t="inlineStr">
        <is>
          <t>Operating profit 6,203 5,663</t>
        </is>
      </c>
    </row>
    <row r="9">
      <c r="A9" s="8" t="inlineStr">
        <is>
          <t>Income Statement</t>
        </is>
      </c>
      <c r="B9" s="8" t="inlineStr">
        <is>
          <t>Finance Costs</t>
        </is>
      </c>
      <c r="C9" s="12" t="n">
        <v>-156</v>
      </c>
      <c r="D9" s="13" t="n">
        <v>-506</v>
      </c>
      <c r="E9" s="14">
        <f>IF(ISERROR((C9-D9)/ABS(D9)),"",(C9-D9)/ABS(D9))</f>
        <v>0.691699604743083</v>
      </c>
      <c r="F9" s="11" t="inlineStr">
        <is>
          <t>PDF p.82 (印刷頁 81)</t>
        </is>
      </c>
      <c r="G9" s="11" t="inlineStr">
        <is>
          <t>Finance costs 10 (156) (506)</t>
        </is>
      </c>
    </row>
    <row r="10">
      <c r="A10" s="8" t="inlineStr">
        <is>
          <t>Income Statement</t>
        </is>
      </c>
      <c r="B10" s="8" t="inlineStr">
        <is>
          <t>Profit Before Tax</t>
        </is>
      </c>
      <c r="C10" s="12" t="n">
        <v>6047</v>
      </c>
      <c r="D10" s="13" t="n">
        <v>5157</v>
      </c>
      <c r="E10" s="14">
        <f>IF(ISERROR((C10-D10)/ABS(D10)),"",(C10-D10)/ABS(D10))</f>
        <v>0.17258095792127207</v>
      </c>
      <c r="F10" s="11" t="inlineStr">
        <is>
          <t>PDF p.82 (印刷頁 81)</t>
        </is>
      </c>
      <c r="G10" s="11" t="inlineStr">
        <is>
          <t>Profit before income tax 6,047 5,157</t>
        </is>
      </c>
    </row>
    <row r="11">
      <c r="A11" s="8" t="inlineStr">
        <is>
          <t>Income Statement</t>
        </is>
      </c>
      <c r="B11" s="8" t="inlineStr">
        <is>
          <t>Income Tax</t>
        </is>
      </c>
      <c r="C11" s="12" t="n">
        <v>-1542</v>
      </c>
      <c r="D11" s="13" t="n">
        <v>-327</v>
      </c>
      <c r="E11" s="14">
        <f>IF(ISERROR((C11-D11)/ABS(D11)),"",(C11-D11)/ABS(D11))</f>
        <v>-3.7155963302752295</v>
      </c>
      <c r="F11" s="11" t="inlineStr">
        <is>
          <t>PDF p.82 (印刷頁 81)</t>
        </is>
      </c>
      <c r="G11" s="11" t="inlineStr">
        <is>
          <t>Income tax expense 11 (1,542) (327)</t>
        </is>
      </c>
    </row>
    <row r="12">
      <c r="A12" s="8" t="inlineStr">
        <is>
          <t>Income Statement</t>
        </is>
      </c>
      <c r="B12" s="8" t="inlineStr">
        <is>
          <t>Profit for the Year</t>
        </is>
      </c>
      <c r="C12" s="12" t="n">
        <v>4505</v>
      </c>
      <c r="D12" s="13" t="n">
        <v>4830</v>
      </c>
      <c r="E12" s="14">
        <f>IF(ISERROR((C12-D12)/ABS(D12)),"",(C12-D12)/ABS(D12))</f>
        <v>-0.06728778467908902</v>
      </c>
      <c r="F12" s="11" t="inlineStr">
        <is>
          <t>PDF p.82 (印刷頁 81)</t>
        </is>
      </c>
      <c r="G12" s="11" t="inlineStr">
        <is>
          <t>Profit for the year attributable to owners of the Company 4,505 4,830</t>
        </is>
      </c>
    </row>
    <row r="13">
      <c r="A13" s="8" t="inlineStr">
        <is>
          <t>Balance Sheet</t>
        </is>
      </c>
      <c r="B13" s="8" t="inlineStr">
        <is>
          <t>Property Plant and Equipment</t>
        </is>
      </c>
      <c r="C13" s="12" t="n">
        <v>26303</v>
      </c>
      <c r="D13" s="13" t="n">
        <v>34258</v>
      </c>
      <c r="E13" s="14">
        <f>IF(ISERROR((C13-D13)/ABS(D13)),"",(C13-D13)/ABS(D13))</f>
        <v>-0.2322085352326464</v>
      </c>
      <c r="F13" s="11" t="inlineStr">
        <is>
          <t>PDF p.83 (印刷頁 82)</t>
        </is>
      </c>
      <c r="G13" s="11" t="inlineStr">
        <is>
          <t>Property, plant and equipment 15 26,303 34,258</t>
        </is>
      </c>
    </row>
    <row r="14">
      <c r="A14" s="8" t="inlineStr">
        <is>
          <t>Balance Sheet</t>
        </is>
      </c>
      <c r="B14" s="8" t="inlineStr">
        <is>
          <t>Cash and Equivalents</t>
        </is>
      </c>
      <c r="C14" s="12" t="n">
        <v>44490</v>
      </c>
      <c r="D14" s="13" t="n">
        <v>30415</v>
      </c>
      <c r="E14" s="14">
        <f>IF(ISERROR((C14-D14)/ABS(D14)),"",(C14-D14)/ABS(D14))</f>
        <v>0.4627650830182476</v>
      </c>
      <c r="F14" s="11" t="inlineStr">
        <is>
          <t>PDF p.83 (印刷頁 82)</t>
        </is>
      </c>
      <c r="G14" s="11" t="inlineStr">
        <is>
          <t>Cash and cash equivalents 23 44,490 30,415</t>
        </is>
      </c>
    </row>
    <row r="15">
      <c r="A15" s="8" t="inlineStr">
        <is>
          <t>Balance Sheet</t>
        </is>
      </c>
      <c r="B15" s="8" t="inlineStr">
        <is>
          <t>Borrowings</t>
        </is>
      </c>
      <c r="C15" s="12" t="n">
        <v>0</v>
      </c>
      <c r="D15" s="13" t="n">
        <v>7830</v>
      </c>
      <c r="E15" s="14">
        <f>IF(ISERROR((C15-D15)/ABS(D15)),"",(C15-D15)/ABS(D15))</f>
        <v>-1.0</v>
      </c>
      <c r="F15" s="11" t="inlineStr">
        <is>
          <t>PDF p.83 (印刷頁 82)</t>
        </is>
      </c>
      <c r="G15" s="11" t="inlineStr">
        <is>
          <t>Borrowings 25 – 7,830</t>
        </is>
      </c>
    </row>
    <row r="16">
      <c r="A16" s="8" t="inlineStr">
        <is>
          <t>Balance Sheet</t>
        </is>
      </c>
      <c r="B16" s="8" t="inlineStr">
        <is>
          <t>Total Current Assets</t>
        </is>
      </c>
      <c r="C16" s="12" t="n">
        <v>296392</v>
      </c>
      <c r="D16" s="13" t="n">
        <v>279777</v>
      </c>
      <c r="E16" s="14">
        <f>IF(ISERROR((C16-D16)/ABS(D16)),"",(C16-D16)/ABS(D16))</f>
        <v>0.05938658288565536</v>
      </c>
      <c r="F16" s="11" t="inlineStr">
        <is>
          <t>PDF p.83 (印刷頁 82)</t>
        </is>
      </c>
      <c r="G16" s="11" t="inlineStr">
        <is>
          <t>[current assets 區段小計] 296,392 279,777</t>
        </is>
      </c>
    </row>
    <row r="17">
      <c r="A17" s="8" t="inlineStr">
        <is>
          <t>Balance Sheet</t>
        </is>
      </c>
      <c r="B17" s="8" t="inlineStr">
        <is>
          <t>Total Current Liabilities</t>
        </is>
      </c>
      <c r="C17" s="12" t="n">
        <v>55853</v>
      </c>
      <c r="D17" s="13" t="n">
        <v>52752</v>
      </c>
      <c r="E17" s="14">
        <f>IF(ISERROR((C17-D17)/ABS(D17)),"",(C17-D17)/ABS(D17))</f>
        <v>0.058784501061571126</v>
      </c>
      <c r="F17" s="11" t="inlineStr">
        <is>
          <t>PDF p.83 (印刷頁 82)</t>
        </is>
      </c>
      <c r="G17" s="11" t="inlineStr">
        <is>
          <t>[current liabilities 區段小計] 55,853 52,752</t>
        </is>
      </c>
    </row>
    <row r="18">
      <c r="A18" s="8" t="inlineStr">
        <is>
          <t>Cash Flow</t>
        </is>
      </c>
      <c r="B18" s="8" t="inlineStr">
        <is>
          <t>Operating Cash Flow</t>
        </is>
      </c>
      <c r="C18" s="12" t="n">
        <v>89666</v>
      </c>
      <c r="D18" s="13" t="n">
        <v>10746</v>
      </c>
      <c r="E18" s="14">
        <f>IF(ISERROR((C18-D18)/ABS(D18)),"",(C18-D18)/ABS(D18))</f>
        <v>7.344128047645635</v>
      </c>
      <c r="F18" s="11" t="inlineStr">
        <is>
          <t>PDF p.86 (印刷頁 85)</t>
        </is>
      </c>
      <c r="G18" s="11" t="inlineStr">
        <is>
          <t>Net cash generated from operating activities 89,666 10,746</t>
        </is>
      </c>
    </row>
    <row r="19">
      <c r="A19" s="8" t="inlineStr">
        <is>
          <t>Cash Flow</t>
        </is>
      </c>
      <c r="B19" s="8" t="inlineStr">
        <is>
          <t>Capital Expenditure</t>
        </is>
      </c>
      <c r="C19" s="12" t="n">
        <v>-2686</v>
      </c>
      <c r="D19" s="13" t="n">
        <v>0</v>
      </c>
      <c r="E19" s="14" t="str">
        <f>IF(ISERROR((C19-D19)/ABS(D19)),"",(C19-D19)/ABS(D19))</f>
        <v/>
      </c>
      <c r="F19" s="11" t="inlineStr">
        <is>
          <t>PDF p.86 (印刷頁 85)</t>
        </is>
      </c>
      <c r="G19" s="11" t="inlineStr">
        <is>
          <t>Purchase of property, plant and equipment (2,686) –</t>
        </is>
      </c>
    </row>
    <row r="20">
      <c r="A20" s="8" t="inlineStr">
        <is>
          <t>Cash Flow</t>
        </is>
      </c>
      <c r="B20" s="8" t="inlineStr">
        <is>
          <t>Investing Cash Flow</t>
        </is>
      </c>
      <c r="C20" s="12" t="n">
        <v>-67023</v>
      </c>
      <c r="D20" s="13" t="n">
        <v>-14042</v>
      </c>
      <c r="E20" s="14">
        <f>IF(ISERROR((C20-D20)/ABS(D20)),"",(C20-D20)/ABS(D20))</f>
        <v>-3.7730380287708303</v>
      </c>
      <c r="F20" s="11" t="inlineStr">
        <is>
          <t>PDF p.86 (印刷頁 85)</t>
        </is>
      </c>
      <c r="G20" s="11" t="inlineStr">
        <is>
          <t>Net cash used in investing activities (67,023) (14,042)</t>
        </is>
      </c>
    </row>
    <row r="21">
      <c r="A21" s="8" t="inlineStr">
        <is>
          <t>Cash Flow</t>
        </is>
      </c>
      <c r="B21" s="8" t="inlineStr">
        <is>
          <t>Financing Cash Flow</t>
        </is>
      </c>
      <c r="C21" s="12" t="n">
        <v>-8568</v>
      </c>
      <c r="D21" s="13" t="n">
        <v>-1924</v>
      </c>
      <c r="E21" s="14">
        <f>IF(ISERROR((C21-D21)/ABS(D21)),"",(C21-D21)/ABS(D21))</f>
        <v>-3.453222453222453</v>
      </c>
      <c r="F21" s="11" t="inlineStr">
        <is>
          <t>PDF p.87 (印刷頁 86)</t>
        </is>
      </c>
      <c r="G21" s="11" t="inlineStr">
        <is>
          <t>Net cash used in financing activities (8,568) (1,924)</t>
        </is>
      </c>
    </row>
    <row r="23">
      <c r="A23"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財務數據'!$C$5:$C$21,MATCH("Gross Profit",'Financials 財務數據'!$B$5:$B$21,0))/INDEX('Financials 財務數據'!$C$5:$C$21,MATCH("Revenue",'Financials 財務數據'!$B$5:$B$21,0))),"n/a",INDEX('Financials 財務數據'!$C$5:$C$21,MATCH("Gross Profit",'Financials 財務數據'!$B$5:$B$21,0))/INDEX('Financials 財務數據'!$C$5:$C$21,MATCH("Revenue",'Financials 財務數據'!$B$5:$B$21,0)))</f>
        <v>0.05998724214990896</v>
      </c>
      <c r="C5" s="15">
        <f>IF(ISERROR(INDEX('Financials 財務數據'!$D$5:$D$21,MATCH("Gross Profit",'Financials 財務數據'!$B$5:$B$21,0))/INDEX('Financials 財務數據'!$D$5:$D$21,MATCH("Revenue",'Financials 財務數據'!$B$5:$B$21,0))),"n/a",INDEX('Financials 財務數據'!$D$5:$D$21,MATCH("Gross Profit",'Financials 財務數據'!$B$5:$B$21,0))/INDEX('Financials 財務數據'!$D$5:$D$21,MATCH("Revenue",'Financials 財務數據'!$B$5:$B$21,0)))</f>
        <v>0.06786018643125306</v>
      </c>
      <c r="D5" s="2" t="inlineStr">
        <is>
          <t>毛利 ÷ 收入</t>
        </is>
      </c>
    </row>
    <row r="6">
      <c r="A6" s="4" t="inlineStr">
        <is>
          <t>Net Margin 淨利率</t>
        </is>
      </c>
      <c r="B6" s="15">
        <f>IF(ISERROR(INDEX('Financials 財務數據'!$C$5:$C$21,MATCH("Profit for the Year",'Financials 財務數據'!$B$5:$B$21,0))/INDEX('Financials 財務數據'!$C$5:$C$21,MATCH("Revenue",'Financials 財務數據'!$B$5:$B$21,0))),"n/a",INDEX('Financials 財務數據'!$C$5:$C$21,MATCH("Profit for the Year",'Financials 財務數據'!$B$5:$B$21,0))/INDEX('Financials 財務數據'!$C$5:$C$21,MATCH("Revenue",'Financials 財務數據'!$B$5:$B$21,0)))</f>
        <v>0.019031163794742244</v>
      </c>
      <c r="C6" s="15">
        <f>IF(ISERROR(INDEX('Financials 財務數據'!$D$5:$D$21,MATCH("Profit for the Year",'Financials 財務數據'!$B$5:$B$21,0))/INDEX('Financials 財務數據'!$D$5:$D$21,MATCH("Revenue",'Financials 財務數據'!$B$5:$B$21,0))),"n/a",INDEX('Financials 財務數據'!$D$5:$D$21,MATCH("Profit for the Year",'Financials 財務數據'!$B$5:$B$21,0))/INDEX('Financials 財務數據'!$D$5:$D$21,MATCH("Revenue",'Financials 財務數據'!$B$5:$B$21,0)))</f>
        <v>0.015892392380864637</v>
      </c>
      <c r="D6" s="2" t="inlineStr">
        <is>
          <t>年內溢利 ÷ 收入</t>
        </is>
      </c>
    </row>
    <row r="7">
      <c r="A7" s="4" t="inlineStr">
        <is>
          <t>Current Ratio 流動比率</t>
        </is>
      </c>
      <c r="B7" s="16">
        <f>IF(ISERROR(INDEX('Financials 財務數據'!$C$5:$C$21,MATCH("Total Current Assets",'Financials 財務數據'!$B$5:$B$21,0))/INDEX('Financials 財務數據'!$C$5:$C$21,MATCH("Total Current Liabilities",'Financials 財務數據'!$B$5:$B$21,0))),"n/a",INDEX('Financials 財務數據'!$C$5:$C$21,MATCH("Total Current Assets",'Financials 財務數據'!$B$5:$B$21,0))/INDEX('Financials 財務數據'!$C$5:$C$21,MATCH("Total Current Liabilities",'Financials 財務數據'!$B$5:$B$21,0)))</f>
        <v>5.306644226809661</v>
      </c>
      <c r="C7" s="16">
        <f>IF(ISERROR(INDEX('Financials 財務數據'!$D$5:$D$21,MATCH("Total Current Assets",'Financials 財務數據'!$B$5:$B$21,0))/INDEX('Financials 財務數據'!$D$5:$D$21,MATCH("Total Current Liabilities",'Financials 財務數據'!$B$5:$B$21,0))),"n/a",INDEX('Financials 財務數據'!$D$5:$D$21,MATCH("Total Current Assets",'Financials 財務數據'!$B$5:$B$21,0))/INDEX('Financials 財務數據'!$D$5:$D$21,MATCH("Total Current Liabilities",'Financials 財務數據'!$B$5:$B$21,0)))</f>
        <v>5.303628298453139</v>
      </c>
      <c r="D7" s="2" t="inlineStr">
        <is>
          <t>流動資產 ÷ 流動負債</t>
        </is>
      </c>
    </row>
    <row r="8">
      <c r="A8" s="4" t="inlineStr">
        <is>
          <t>Debt / Equity 負債權益比</t>
        </is>
      </c>
      <c r="B8" s="16" t="str">
        <f>IF(ISERROR(INDEX('Financials 財務數據'!$C$5:$C$21,MATCH("Total Liabilities",'Financials 財務數據'!$B$5:$B$21,0))/INDEX('Financials 財務數據'!$C$5:$C$21,MATCH("Total Equity",'Financials 財務數據'!$B$5:$B$21,0))),"n/a",INDEX('Financials 財務數據'!$C$5:$C$21,MATCH("Total Liabilities",'Financials 財務數據'!$B$5:$B$21,0))/INDEX('Financials 財務數據'!$C$5:$C$21,MATCH("Total Equity",'Financials 財務數據'!$B$5:$B$21,0)))</f>
        <v>n/a</v>
      </c>
      <c r="C8" s="16" t="str">
        <f>IF(ISERROR(INDEX('Financials 財務數據'!$D$5:$D$21,MATCH("Total Liabilities",'Financials 財務數據'!$B$5:$B$21,0))/INDEX('Financials 財務數據'!$D$5:$D$21,MATCH("Total Equity",'Financials 財務數據'!$B$5:$B$21,0))),"n/a",INDEX('Financials 財務數據'!$D$5:$D$21,MATCH("Total Liabilities",'Financials 財務數據'!$B$5:$B$21,0))/INDEX('Financials 財務數據'!$D$5:$D$21,MATCH("Total Equity",'Financials 財務數據'!$B$5:$B$21,0)))</f>
        <v>n/a</v>
      </c>
      <c r="D8" s="2" t="inlineStr">
        <is>
          <t>總負債 ÷ 總權益</t>
        </is>
      </c>
    </row>
    <row r="9">
      <c r="A9" s="4" t="inlineStr">
        <is>
          <t>Goodwill / Total Assets</t>
        </is>
      </c>
      <c r="B9" s="15" t="str">
        <f>IF(ISERROR(INDEX('Financials 財務數據'!$C$5:$C$21,MATCH("Goodwill",'Financials 財務數據'!$B$5:$B$21,0))/INDEX('Financials 財務數據'!$C$5:$C$21,MATCH("Total Assets",'Financials 財務數據'!$B$5:$B$21,0))),"n/a",INDEX('Financials 財務數據'!$C$5:$C$21,MATCH("Goodwill",'Financials 財務數據'!$B$5:$B$21,0))/INDEX('Financials 財務數據'!$C$5:$C$21,MATCH("Total Assets",'Financials 財務數據'!$B$5:$B$21,0)))</f>
        <v>n/a</v>
      </c>
      <c r="C9" s="15" t="str">
        <f>IF(ISERROR(INDEX('Financials 財務數據'!$D$5:$D$21,MATCH("Goodwill",'Financials 財務數據'!$B$5:$B$21,0))/INDEX('Financials 財務數據'!$D$5:$D$21,MATCH("Total Assets",'Financials 財務數據'!$B$5:$B$21,0))),"n/a",INDEX('Financials 財務數據'!$D$5:$D$21,MATCH("Goodwill",'Financials 財務數據'!$B$5:$B$21,0))/INDEX('Financials 財務數據'!$D$5:$D$21,MATCH("Total Assets",'Financials 財務數據'!$B$5:$B$21,0)))</f>
        <v>n/a</v>
      </c>
      <c r="D9" s="2" t="inlineStr">
        <is>
          <t>商譽佔總資產比重 — 減值風險指標</t>
        </is>
      </c>
    </row>
    <row r="10">
      <c r="A10" s="4" t="inlineStr">
        <is>
          <t>Intangibles / Total Assets</t>
        </is>
      </c>
      <c r="B10" s="15" t="str">
        <f>IF(ISERROR(INDEX('Financials 財務數據'!$C$5:$C$21,MATCH("Intangible Assets",'Financials 財務數據'!$B$5:$B$21,0))/INDEX('Financials 財務數據'!$C$5:$C$21,MATCH("Total Assets",'Financials 財務數據'!$B$5:$B$21,0))),"n/a",INDEX('Financials 財務數據'!$C$5:$C$21,MATCH("Intangible Assets",'Financials 財務數據'!$B$5:$B$21,0))/INDEX('Financials 財務數據'!$C$5:$C$21,MATCH("Total Assets",'Financials 財務數據'!$B$5:$B$21,0)))</f>
        <v>n/a</v>
      </c>
      <c r="C10" s="15" t="str">
        <f>IF(ISERROR(INDEX('Financials 財務數據'!$D$5:$D$21,MATCH("Intangible Assets",'Financials 財務數據'!$B$5:$B$21,0))/INDEX('Financials 財務數據'!$D$5:$D$21,MATCH("Total Assets",'Financials 財務數據'!$B$5:$B$21,0))),"n/a",INDEX('Financials 財務數據'!$D$5:$D$21,MATCH("Intangible Assets",'Financials 財務數據'!$B$5:$B$21,0))/INDEX('Financials 財務數據'!$D$5:$D$21,MATCH("Total Assets",'Financials 財務數據'!$B$5:$B$21,0)))</f>
        <v>n/a</v>
      </c>
      <c r="D10" s="2" t="inlineStr">
        <is>
          <t>無形資產佔比</t>
        </is>
      </c>
    </row>
    <row r="11">
      <c r="A11" s="4" t="inlineStr">
        <is>
          <t>ROE 股本回報率</t>
        </is>
      </c>
      <c r="B11" s="15" t="str">
        <f>IF(ISERROR(INDEX('Financials 財務數據'!$C$5:$C$21,MATCH("Profit for the Year",'Financials 財務數據'!$B$5:$B$21,0))/INDEX('Financials 財務數據'!$C$5:$C$21,MATCH("Total Equity",'Financials 財務數據'!$B$5:$B$21,0))),"n/a",INDEX('Financials 財務數據'!$C$5:$C$21,MATCH("Profit for the Year",'Financials 財務數據'!$B$5:$B$21,0))/INDEX('Financials 財務數據'!$C$5:$C$21,MATCH("Total Equity",'Financials 財務數據'!$B$5:$B$21,0)))</f>
        <v>n/a</v>
      </c>
      <c r="C11" s="15" t="str">
        <f>IF(ISERROR(INDEX('Financials 財務數據'!$D$5:$D$21,MATCH("Profit for the Year",'Financials 財務數據'!$B$5:$B$21,0))/INDEX('Financials 財務數據'!$D$5:$D$21,MATCH("Total Equity",'Financials 財務數據'!$B$5:$B$21,0))),"n/a",INDEX('Financials 財務數據'!$D$5:$D$21,MATCH("Profit for the Year",'Financials 財務數據'!$B$5:$B$21,0))/INDEX('Financials 財務數據'!$D$5:$D$21,MATCH("Total Equity",'Financials 財務數據'!$B$5:$B$21,0)))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303919</v>
      </c>
      <c r="C5" s="18" t="n">
        <v>236717</v>
      </c>
    </row>
    <row r="6">
      <c r="A6" s="4" t="inlineStr">
        <is>
          <t>Gross Profit</t>
        </is>
      </c>
      <c r="B6" s="18" t="n">
        <v>20624</v>
      </c>
      <c r="C6" s="18" t="n">
        <v>14200</v>
      </c>
    </row>
    <row r="7">
      <c r="A7" s="4" t="inlineStr">
        <is>
          <t>Profit Before Tax</t>
        </is>
      </c>
      <c r="B7" s="18" t="n">
        <v>5157</v>
      </c>
      <c r="C7" s="18" t="n">
        <v>6047</v>
      </c>
    </row>
    <row r="8">
      <c r="A8" s="4" t="inlineStr">
        <is>
          <t>Profit for the Year</t>
        </is>
      </c>
      <c r="B8" s="18" t="n">
        <v>4830</v>
      </c>
      <c r="C8" s="18" t="n">
        <v>4505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76"/>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p.8 (印刷頁 7)</t>
        </is>
      </c>
      <c r="F4" s="11" t="inlineStr">
        <is>
          <t>ct. The Group conducts a thorough evaluation of its work done and the relevant payment status for each project. The Group engaged an independent valuer to provide an independent opinion on the expected credit loss for its contract assets, contract deposits and trade and retention receivables as at 31 March 2026. The valuation was conducted based on the specific risk profile of each customer, the ageing pattern of the financial assets, historical credit loss percentage and the market credit loss percentage. The Directors conside</t>
        </is>
      </c>
    </row>
    <row r="5">
      <c r="A5" s="8" t="inlineStr">
        <is>
          <t>Fair Value Measurement</t>
        </is>
      </c>
      <c r="B5" s="8" t="inlineStr">
        <is>
          <t>公允價值計量</t>
        </is>
      </c>
      <c r="C5" s="19" t="inlineStr">
        <is>
          <t>high</t>
        </is>
      </c>
      <c r="D5" s="11" t="inlineStr">
        <is>
          <t>level 1</t>
        </is>
      </c>
      <c r="E5" s="11" t="inlineStr">
        <is>
          <t>PDF p.90 (印刷頁 89)</t>
        </is>
      </c>
      <c r="F5" s="11" t="inlineStr">
        <is>
          <t>technique equals the transaction price.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6">
      <c r="A6" s="8" t="inlineStr">
        <is>
          <t>Fair Value Measurement</t>
        </is>
      </c>
      <c r="B6" s="8" t="inlineStr">
        <is>
          <t>公允價值計量</t>
        </is>
      </c>
      <c r="C6" s="19" t="inlineStr">
        <is>
          <t>high</t>
        </is>
      </c>
      <c r="D6" s="11" t="inlineStr">
        <is>
          <t>fair value hierarchy</t>
        </is>
      </c>
      <c r="E6" s="11" t="inlineStr">
        <is>
          <t>PDF p.128 (印刷頁 127)</t>
        </is>
      </c>
      <c r="F6" s="11" t="inlineStr">
        <is>
          <t>to pay in the inactive market to obtain the rights to use the relevant asset. The fair value measurement is categorised into Level 3 fair value hierarchy. Accordingly, no impairment loss on the intangible asset (2025: impairment loss amounted to HK$1,602,000) was recognized in profit or loss of the Group in respect of the current year, to reduce the carrying amount of the asset to its recoverable amount. 127</t>
        </is>
      </c>
    </row>
    <row r="7">
      <c r="A7" s="8" t="inlineStr">
        <is>
          <t>Fair Value Measurement</t>
        </is>
      </c>
      <c r="B7" s="8" t="inlineStr">
        <is>
          <t>公允價值計量</t>
        </is>
      </c>
      <c r="C7" s="19" t="inlineStr">
        <is>
          <t>high</t>
        </is>
      </c>
      <c r="D7" s="11" t="inlineStr">
        <is>
          <t>level 1</t>
        </is>
      </c>
      <c r="E7" s="11" t="inlineStr">
        <is>
          <t>PDF p.130 (印刷頁 129)</t>
        </is>
      </c>
      <c r="F7" s="11" t="inlineStr">
        <is>
          <t>values of these listed securities are determined based on quoted market prices in active markets at the end of the reporting period (Level 1 fair value measurement). During the year ended 31 March 2026, the Group acquired Hong Kong listed securities with a total carrying amount of HK$3,926,000. 129</t>
        </is>
      </c>
    </row>
    <row r="8">
      <c r="A8" s="8" t="inlineStr">
        <is>
          <t>Fair Value Measurement</t>
        </is>
      </c>
      <c r="B8" s="8" t="inlineStr">
        <is>
          <t>公允價值計量</t>
        </is>
      </c>
      <c r="C8" s="19" t="inlineStr">
        <is>
          <t>high</t>
        </is>
      </c>
      <c r="D8" s="11" t="inlineStr">
        <is>
          <t>level 1</t>
        </is>
      </c>
      <c r="E8" s="11" t="inlineStr">
        <is>
          <t>PDF p.150 (印刷頁 149)</t>
        </is>
      </c>
      <c r="F8" s="11" t="inlineStr">
        <is>
          <t>REPORT 2025-2026 NOTES TO THE CONSOLIDATED FINANCIAL STATEMENTS 36 FINANCIAL RISK MANAGEMENT (continued) 36.3 Fair value estimation Level 1 Level 2 Level 3 Total HK$’000 HK$’000 HK$’000 HK$’000 At 31 March 2026 Intangible asset Marina club membership – 1,110 – 1,110 Financial assets Financial assets at fair value through profit or loss Key management life insurance contract – – 8,511 8,511 Hong Kong listed equity securities 1,088 – – 1,088 Level 1 Level 2 Level 3 Total HK$’000 HK$’000 HK$’000 HK$’000 At 31 March 2025 Intangibl</t>
        </is>
      </c>
    </row>
    <row r="9">
      <c r="A9" s="8" t="inlineStr">
        <is>
          <t>Impairment Testing</t>
        </is>
      </c>
      <c r="B9" s="8" t="inlineStr">
        <is>
          <t>減值測試</t>
        </is>
      </c>
      <c r="C9" s="19" t="inlineStr">
        <is>
          <t>high</t>
        </is>
      </c>
      <c r="D9" s="11" t="inlineStr">
        <is>
          <t>impairment loss</t>
        </is>
      </c>
      <c r="E9" s="11" t="inlineStr">
        <is>
          <t>PDF p.8 (印刷頁 7)</t>
        </is>
      </c>
      <c r="F9" s="11" t="inlineStr">
        <is>
          <t>h mainly consisted of interest income earned of approximately HK$3.2 million for FY2025 and approximately HK$3.3 million for FY2026. Impairment losses on financial assets Our impairment losses on financial assets represents a provision for impairment loss allowance amounting to approximately HK$2.3 million (FY2025: HK$7.5 million), consisting of impairment losses recognised on trade and retention receivables of approximately HK$2.3 million (FY2025: HK$1.3 million) and impairment losses recognised on contract assets and contract</t>
        </is>
      </c>
    </row>
    <row r="10">
      <c r="A10" s="8" t="inlineStr">
        <is>
          <t>Impairment Testing</t>
        </is>
      </c>
      <c r="B10" s="8" t="inlineStr">
        <is>
          <t>減值測試</t>
        </is>
      </c>
      <c r="C10" s="19" t="inlineStr">
        <is>
          <t>high</t>
        </is>
      </c>
      <c r="D10" s="11" t="inlineStr">
        <is>
          <t>impairment loss</t>
        </is>
      </c>
      <c r="E10" s="11" t="inlineStr">
        <is>
          <t>PDF p.9 (印刷頁 8)</t>
        </is>
      </c>
      <c r="F10" s="11" t="inlineStr">
        <is>
          <t>will consider to write off the specific loss allowance for the respective contract assets upon the review on the respective status. Impairment loss recognised on intangible asset The impairment loss recognised on intangible asset represented a provision for impairment loss allowance on a club membership amounting to approximately HK$1.6 million for FY2025, based on its recoverable amount in the market, in which there was nil amount for FY2026. Other administrative expenses Our administrative expenses remained stable, at approx</t>
        </is>
      </c>
    </row>
    <row r="11">
      <c r="A11" s="8" t="inlineStr">
        <is>
          <t>Impairment Testing</t>
        </is>
      </c>
      <c r="B11" s="8" t="inlineStr">
        <is>
          <t>減值測試</t>
        </is>
      </c>
      <c r="C11" s="19" t="inlineStr">
        <is>
          <t>high</t>
        </is>
      </c>
      <c r="D11" s="11" t="inlineStr">
        <is>
          <t>impairment loss</t>
        </is>
      </c>
      <c r="E11" s="11" t="inlineStr">
        <is>
          <t>PDF p.77 (印刷頁 76)</t>
        </is>
      </c>
      <c r="F11" s="11" t="inlineStr">
        <is>
          <t>d HK$70,477,000 and HK$55,382,000 respectively contract assets included: at 31 March 2026. For the current year ended 31 March 2026, impairment losses on trade and retention – we understood and evaluated the design and receivables amounted to HK$2,283,000 and reversal of operating effectiveness of the credit control and contract assets amounted to HK$75,000 respectively impairment assessment process and assessed were recognised in profit or loss. the inherent risk of material misstatement by considering the degree of estimation</t>
        </is>
      </c>
    </row>
    <row r="12">
      <c r="A12" s="8" t="inlineStr">
        <is>
          <t>Impairment Testing</t>
        </is>
      </c>
      <c r="B12" s="8" t="inlineStr">
        <is>
          <t>減值測試</t>
        </is>
      </c>
      <c r="C12" s="19" t="inlineStr">
        <is>
          <t>high</t>
        </is>
      </c>
      <c r="D12" s="11" t="inlineStr">
        <is>
          <t>impairment loss</t>
        </is>
      </c>
      <c r="E12" s="11" t="inlineStr">
        <is>
          <t>PDF p.82 (印刷頁 81)</t>
        </is>
      </c>
      <c r="F12" s="11" t="inlineStr">
        <is>
          <t>Revenue 5 236,717 303,919 Cost of sales 8 (222,517) (283,295) Gross profit 14,200 20,624 Other income and other gains 7 3,782 3,854 Impairment losses recognised on trade and retention receivables 19 (2,283) (1,292) Impairment losses recognised on contract assets and contract deposits 21 (2) (6,215) Impairment loss recognised on intangible asset 16 – (1,602) Other administrative expenses 8 (9,494) (9,706) Operating profit 6,203 5,663 Finance costs 10 (156) (506) Profit before income tax 6,047 5,157 Income tax expense 11 (1,542)</t>
        </is>
      </c>
    </row>
    <row r="13">
      <c r="A13" s="8" t="inlineStr">
        <is>
          <t>Impairment Testing</t>
        </is>
      </c>
      <c r="B13" s="8" t="inlineStr">
        <is>
          <t>減值測試</t>
        </is>
      </c>
      <c r="C13" s="19" t="inlineStr">
        <is>
          <t>high</t>
        </is>
      </c>
      <c r="D13" s="11" t="inlineStr">
        <is>
          <t>impairment loss</t>
        </is>
      </c>
      <c r="E13" s="11" t="inlineStr">
        <is>
          <t>PDF p.86 (印刷頁 85)</t>
        </is>
      </c>
      <c r="F13" s="11" t="inlineStr">
        <is>
          <t>e tax 6,047 5,157 Adjustments for: Bank interest income (3,345) (3,180) Depreciation of property, plant and equipment 15 9,095 9,893 Impairment losses recognised on: – trade and retention receivables 2,283 1,292 – contract assets and contract deposits 2 6,215 – Intangible asset – 1,602 Gain on early termination of lease 7 – (1) Gain on disposal of property, plant and equipment 7 (54) (165) Gain on change in fair value of financial assets at fair value through profit or loss, net 7 (72) (246) Gain on disposal of financial assets</t>
        </is>
      </c>
    </row>
    <row r="14">
      <c r="A14" s="8" t="inlineStr">
        <is>
          <t>Impairment Testing</t>
        </is>
      </c>
      <c r="B14" s="8" t="inlineStr">
        <is>
          <t>減值測試</t>
        </is>
      </c>
      <c r="C14" s="19" t="inlineStr">
        <is>
          <t>high</t>
        </is>
      </c>
      <c r="D14" s="11" t="inlineStr">
        <is>
          <t>value in use</t>
        </is>
      </c>
      <c r="E14" s="11" t="inlineStr">
        <is>
          <t>PDF p.90 (印刷頁 89)</t>
        </is>
      </c>
      <c r="F14" s="11" t="inlineStr">
        <is>
          <t>measurements that have some similarities to fair value but are not fair value, such as net realisable value in HKAS 2 Inventories or value in use in HKAS 36 Impairment of Assets. For financial assets which are transacted at fair value and a valuation technique that unobservable inputs are to be used to measure fair value in subsequent periods, the valuation technique is calibrated so that at initial recognition the results of the valuation technique equals the transaction price. In addition, for financial reporting purposes, fa</t>
        </is>
      </c>
    </row>
    <row r="15">
      <c r="A15" s="8" t="inlineStr">
        <is>
          <t>Impairment Testing</t>
        </is>
      </c>
      <c r="B15" s="8" t="inlineStr">
        <is>
          <t>減值測試</t>
        </is>
      </c>
      <c r="C15" s="19" t="inlineStr">
        <is>
          <t>high</t>
        </is>
      </c>
      <c r="D15" s="11" t="inlineStr">
        <is>
          <t>impairment loss</t>
        </is>
      </c>
      <c r="E15" s="11" t="inlineStr">
        <is>
          <t>PDF p.97 (印刷頁 96)</t>
        </is>
      </c>
      <c r="F15" s="11" t="inlineStr">
        <is>
          <t>ated in the consolidated statement of financial position at cost less subsequent accumulated depreciation and subsequent accumulated impairment losses, if any. Depreciation is recognised so as to write off the cost of assets less their residual values over their estimated useful lives, using the straight-line method. The estimated useful lives, residual values and depreciation method are reviewed at the end of each reporting period, with the effect of any changes in estimate accounted for on a prospective basis, as follows: Lea</t>
        </is>
      </c>
    </row>
    <row r="16">
      <c r="A16" s="8" t="inlineStr">
        <is>
          <t>Impairment Testing</t>
        </is>
      </c>
      <c r="B16" s="8" t="inlineStr">
        <is>
          <t>減值測試</t>
        </is>
      </c>
      <c r="C16" s="19" t="inlineStr">
        <is>
          <t>high</t>
        </is>
      </c>
      <c r="D16" s="11" t="inlineStr">
        <is>
          <t>impairment loss</t>
        </is>
      </c>
      <c r="E16" s="11" t="inlineStr">
        <is>
          <t>PDF p.102 (印刷頁 101)</t>
        </is>
      </c>
      <c r="F16" s="11" t="inlineStr">
        <is>
          <t>roperty, plant and equipment and right-of-use assets to determine whether there is any indication that these assets have suffered an impairment loss. If any such indication exists, the recoverable amount of the relevant asset is estimated in order to determine the extent of the impairment loss (if any). The recoverable amount of property, plant and equipment and right-of-use assets are estimated individually. When it is not possible to estimate the recoverable amount individually, the Group estimates the recoverable amount of t</t>
        </is>
      </c>
    </row>
    <row r="17">
      <c r="A17" s="8" t="inlineStr">
        <is>
          <t>Impairment Testing</t>
        </is>
      </c>
      <c r="B17" s="8" t="inlineStr">
        <is>
          <t>減值測試</t>
        </is>
      </c>
      <c r="C17" s="19" t="inlineStr">
        <is>
          <t>high</t>
        </is>
      </c>
      <c r="D17" s="11" t="inlineStr">
        <is>
          <t>impairment loss</t>
        </is>
      </c>
      <c r="E17" s="11" t="inlineStr">
        <is>
          <t>PDF p.111 (印刷頁 110)</t>
        </is>
      </c>
      <c r="F17" s="11" t="inlineStr">
        <is>
          <t>ated to be less than their respective carrying amounts, the carrying amount of the asset is reduced to its recoverable amount and an impairment loss is recognised immediately in profit or loss in respect of the period. As at 31 March 2026, the carrying amount of property, plant and equipment, comprising those of right-of-use assets, and machinery and motor vehicles, totalled approximately HK$26,303,000 (2025: HK$34,258,000). No impairment loss of property, plant and equipment, including right-of-use assets, has been recognised</t>
        </is>
      </c>
    </row>
    <row r="18">
      <c r="A18" s="8" t="inlineStr">
        <is>
          <t>Impairment Testing</t>
        </is>
      </c>
      <c r="B18" s="8" t="inlineStr">
        <is>
          <t>減值測試</t>
        </is>
      </c>
      <c r="C18" s="19" t="inlineStr">
        <is>
          <t>high</t>
        </is>
      </c>
      <c r="D18" s="11" t="inlineStr">
        <is>
          <t>impairment loss</t>
        </is>
      </c>
      <c r="E18" s="11" t="inlineStr">
        <is>
          <t>PDF p.113 (印刷頁 112)</t>
        </is>
      </c>
      <c r="F18" s="11" t="inlineStr">
        <is>
          <t>Income tax expense (1,542) Profit for the year 4,505 Segment profit is arrived at after charging: Depreciation (7,626) (124) (7,750) Impairment losses recognised on: – trade and retention receivables (2,190) (93) (2,283) – contract assets and contract deposits (2) – (2) 112</t>
        </is>
      </c>
    </row>
    <row r="19">
      <c r="A19" s="8" t="inlineStr">
        <is>
          <t>Impairment Testing</t>
        </is>
      </c>
      <c r="B19" s="8" t="inlineStr">
        <is>
          <t>減值測試</t>
        </is>
      </c>
      <c r="C19" s="19" t="inlineStr">
        <is>
          <t>high</t>
        </is>
      </c>
      <c r="D19" s="11" t="inlineStr">
        <is>
          <t>impairment loss</t>
        </is>
      </c>
      <c r="E19" s="11" t="inlineStr">
        <is>
          <t>PDF p.114 (印刷頁 113)</t>
        </is>
      </c>
      <c r="F19" s="11" t="inlineStr">
        <is>
          <t>3,919 Segment profit 8,435 4,682 13,117 Unallocated other income 3,854 Unallocated expenses (7,893) Unallocated depreciation (1,813) Impairment loss recognised on intangible asset (1,602) Finance costs (506) Profit before income tax 5,157 Income tax expense (327) Profit for the year 4,830 Segment profit is arrived at after charging: Depreciation (6,729) (1,351) (8,080) Impairment losses recognised on: – trade and retention receivables (927) (365) (1,292) – contract assets and contract deposits (6,215) – (6,215) 113</t>
        </is>
      </c>
    </row>
    <row r="20">
      <c r="A20" s="8" t="inlineStr">
        <is>
          <t>Impairment Testing</t>
        </is>
      </c>
      <c r="B20" s="8" t="inlineStr">
        <is>
          <t>減值測試</t>
        </is>
      </c>
      <c r="C20" s="19" t="inlineStr">
        <is>
          <t>high</t>
        </is>
      </c>
      <c r="D20" s="11" t="inlineStr">
        <is>
          <t>impairment test</t>
        </is>
      </c>
      <c r="E20" s="11" t="inlineStr">
        <is>
          <t>PDF p.128 (印刷頁 127)</t>
        </is>
      </c>
      <c r="F20" s="11" t="inlineStr">
        <is>
          <t>ermined to be finite. Instead it will be tested for impairment annually and whenever there is an indication that it may be impaired. Impairment testing on intangible asset The recoverable amount of the marina club membership at 31 March 2026 was estimated to be HK$1,100,000, which has been determined based on its fair value less cost of disposal. The fair value less cost of disposal is estimated using the price which a third party would be willing to pay in the inactive market to obtain the rights to use the relevant asset. The</t>
        </is>
      </c>
    </row>
    <row r="21">
      <c r="A21" s="8" t="inlineStr">
        <is>
          <t>Impairment Testing</t>
        </is>
      </c>
      <c r="B21" s="8" t="inlineStr">
        <is>
          <t>減值測試</t>
        </is>
      </c>
      <c r="C21" s="19" t="inlineStr">
        <is>
          <t>high</t>
        </is>
      </c>
      <c r="D21" s="11" t="inlineStr">
        <is>
          <t>recoverable amount</t>
        </is>
      </c>
      <c r="E21" s="11" t="inlineStr">
        <is>
          <t>PDF p.145 (印刷頁 144)</t>
        </is>
      </c>
      <c r="F21" s="11" t="inlineStr">
        <is>
          <t>nitoring procedures to ensure that follow-up action is taken to recover overdue debts. In addition, management reviews regularly the recoverable amount of each individual trade and retention receivable to ensure that adequate impairment provision is made for the irrecoverable amounts. The Group will also consider the creditworthiness and general reputation of customers before submitting any indication of interest or tender. The credit risk on deposits with banks is limited because deposits are in banks with sound credit ratings</t>
        </is>
      </c>
    </row>
    <row r="22">
      <c r="A22" s="8" t="inlineStr">
        <is>
          <t>Impairment Testing</t>
        </is>
      </c>
      <c r="B22" s="8" t="inlineStr">
        <is>
          <t>減值測試</t>
        </is>
      </c>
      <c r="C22" s="19" t="inlineStr">
        <is>
          <t>high</t>
        </is>
      </c>
      <c r="D22" s="11" t="inlineStr">
        <is>
          <t>impairment loss</t>
        </is>
      </c>
      <c r="E22" s="11" t="inlineStr">
        <is>
          <t>PDF p.146 (印刷頁 145)</t>
        </is>
      </c>
      <c r="F22" s="11" t="inlineStr">
        <is>
          <t>rs that there is no reasonable expectation of recovery include the failure of a debtor to engage in a repayment plan with the Group. Impairment losses on trade and retention receivables, contract assets and contract deposits are presented as net impairment losses within operating profit. Subsequent recoveries of amounts previously written off are credited against the same line item. 145</t>
        </is>
      </c>
    </row>
    <row r="23">
      <c r="A23" s="8" t="inlineStr">
        <is>
          <t>Impairment Testing</t>
        </is>
      </c>
      <c r="B23" s="8" t="inlineStr">
        <is>
          <t>減值測試</t>
        </is>
      </c>
      <c r="C23" s="19" t="inlineStr">
        <is>
          <t>high</t>
        </is>
      </c>
      <c r="D23" s="11" t="inlineStr">
        <is>
          <t>impairment loss</t>
        </is>
      </c>
      <c r="E23" s="11" t="inlineStr">
        <is>
          <t>PDF p.147 (印刷頁 146)</t>
        </is>
      </c>
      <c r="F23" s="11" t="inlineStr">
        <is>
          <t>nt increase in credit risk is presumed if a debtor is more than 90 days past due in making a contractual payment/repayable demanded. Impairment losses on other financial assets at amortised cost are presented as net impairment losses within operating profit. Subsequent recoveries of amounts previously written off are credited against the same line item. For the year ended 31 March 2026, the Group’s management has assessed and concluded that no loss allowance was required for deposits and other receivables, bank deposits and cas</t>
        </is>
      </c>
    </row>
    <row r="24">
      <c r="A24" s="8" t="inlineStr">
        <is>
          <t>Impairment Testing</t>
        </is>
      </c>
      <c r="B24" s="8" t="inlineStr">
        <is>
          <t>減值測試</t>
        </is>
      </c>
      <c r="C24" s="19" t="inlineStr">
        <is>
          <t>high</t>
        </is>
      </c>
      <c r="D24" s="11" t="inlineStr">
        <is>
          <t>recoverable amount</t>
        </is>
      </c>
      <c r="E24" s="11" t="inlineStr">
        <is>
          <t>PDF p.150 (印刷頁 149)</t>
        </is>
      </c>
      <c r="F24" s="11" t="inlineStr">
        <is>
          <t>r loss Key management life insurance contract – – 8,361 8,361 There were no transfers between Levels 1, 2 and 3 during the year. The recoverable amount of the marina club membership has been determined based on its fair value less cost of disposal. The fair value less cost of disposal is estimated using the price which a third party would be willing to pay in the inactive market to obtain the rights to use the relevant asset. The fair value of the key management life insurance contract is estimated by the management to be appro</t>
        </is>
      </c>
    </row>
    <row r="25">
      <c r="A25" s="8" t="inlineStr">
        <is>
          <t>Intangible Assets &amp; Goodwill</t>
        </is>
      </c>
      <c r="B25" s="8" t="inlineStr">
        <is>
          <t>無形資產及商譽</t>
        </is>
      </c>
      <c r="C25" s="19" t="inlineStr">
        <is>
          <t>high</t>
        </is>
      </c>
      <c r="D25" s="11" t="inlineStr">
        <is>
          <t>intangible asset</t>
        </is>
      </c>
      <c r="E25" s="11" t="inlineStr">
        <is>
          <t>PDF p.9 (印刷頁 8)</t>
        </is>
      </c>
      <c r="F25" s="11" t="inlineStr">
        <is>
          <t>e specific loss allowance for the respective contract assets upon the review on the respective status. Impairment loss recognised on intangible asset The impairment loss recognised on intangible asset represented a provision for impairment loss allowance on a club membership amounting to approximately HK$1.6 million for FY2025, based on its recoverable amount in the market, in which there was nil amount for FY2026. Other administrative expenses Our administrative expenses remained stable, at approximately HK$9.5 million, as com</t>
        </is>
      </c>
    </row>
    <row r="26">
      <c r="A26" s="8" t="inlineStr">
        <is>
          <t>Intangible Assets &amp; Goodwill</t>
        </is>
      </c>
      <c r="B26" s="8" t="inlineStr">
        <is>
          <t>無形資產及商譽</t>
        </is>
      </c>
      <c r="C26" s="19" t="inlineStr">
        <is>
          <t>high</t>
        </is>
      </c>
      <c r="D26" s="11" t="inlineStr">
        <is>
          <t>trademark</t>
        </is>
      </c>
      <c r="E26" s="11" t="inlineStr">
        <is>
          <t>PDF p.37 (印刷頁 36)</t>
        </is>
      </c>
      <c r="F26" s="11" t="inlineStr">
        <is>
          <t>protects intellectual property rights and regards it as an area of substantial importance. We would take active steps to protect our trademarks and other intellectual property rights by completing necessary filing and registration. For any new trademark to be licensed, the Group shall take all appropriate action to register and protect trademarks in the jurisdictions in which our operations are carried out. 36</t>
        </is>
      </c>
    </row>
    <row r="27">
      <c r="A27" s="8" t="inlineStr">
        <is>
          <t>Intangible Assets &amp; Goodwill</t>
        </is>
      </c>
      <c r="B27" s="8" t="inlineStr">
        <is>
          <t>無形資產及商譽</t>
        </is>
      </c>
      <c r="C27" s="19" t="inlineStr">
        <is>
          <t>high</t>
        </is>
      </c>
      <c r="D27" s="11" t="inlineStr">
        <is>
          <t>intangible asset</t>
        </is>
      </c>
      <c r="E27" s="11" t="inlineStr">
        <is>
          <t>PDF p.82 (印刷頁 81)</t>
        </is>
      </c>
      <c r="F27" s="11" t="inlineStr">
        <is>
          <t>9 (2,283) (1,292) Impairment losses recognised on contract assets and contract deposits 21 (2) (6,215) Impairment loss recognised on intangible asset 16 – (1,602) Other administrative expenses 8 (9,494) (9,706) Operating profit 6,203 5,663 Finance costs 10 (156) (506) Profit before income tax 6,047 5,157 Income tax expense 11 (1,542) (327) Profit for the year attributable to owners of the Company 4,505 4,830 Other comprehensive income – – Profit and total comprehensive income attributable to owners of the Company 4,505 4,830 20</t>
        </is>
      </c>
    </row>
    <row r="28">
      <c r="A28" s="8" t="inlineStr">
        <is>
          <t>Intangible Assets &amp; Goodwill</t>
        </is>
      </c>
      <c r="B28" s="8" t="inlineStr">
        <is>
          <t>無形資產及商譽</t>
        </is>
      </c>
      <c r="C28" s="19" t="inlineStr">
        <is>
          <t>high</t>
        </is>
      </c>
      <c r="D28" s="11" t="inlineStr">
        <is>
          <t>intangible asset</t>
        </is>
      </c>
      <c r="E28" s="11" t="inlineStr">
        <is>
          <t>PDF p.83 (印刷頁 82)</t>
        </is>
      </c>
      <c r="F28" s="11" t="inlineStr">
        <is>
          <t>NCIAL POSITION As at 31 March 2026 2026 2025 Notes HK$’000 HK$’000 Non-current Assets Property, plant and equipment 15 26,303 34,258 Intangible asset 16 1,110 1,110 Financial assets at fair value through profit or loss 18 8,511 8,361 Deferred income tax assets 26 – 904 35,924 44,633 Current Assets Trade and retention receivables 19 70,477 94,839 Prepayments, deposits and other receivables 20 15,995 27,012 Financial assets at fair value through profit or loss 18 1,088 – Contract assets and contract deposits 21 61,329 92,874 Pled</t>
        </is>
      </c>
    </row>
    <row r="29">
      <c r="A29" s="8" t="inlineStr">
        <is>
          <t>Intangible Assets &amp; Goodwill</t>
        </is>
      </c>
      <c r="B29" s="8" t="inlineStr">
        <is>
          <t>無形資產及商譽</t>
        </is>
      </c>
      <c r="C29" s="19" t="inlineStr">
        <is>
          <t>high</t>
        </is>
      </c>
      <c r="D29" s="11" t="inlineStr">
        <is>
          <t>intangible asset</t>
        </is>
      </c>
      <c r="E29" s="11" t="inlineStr">
        <is>
          <t>PDF p.86 (印刷頁 85)</t>
        </is>
      </c>
      <c r="F29" s="11" t="inlineStr">
        <is>
          <t>893 Impairment losses recognised on: – trade and retention receivables 2,283 1,292 – contract assets and contract deposits 2 6,215 – Intangible asset – 1,602 Gain on early termination of lease 7 – (1) Gain on disposal of property, plant and equipment 7 (54) (165) Gain on change in fair value of financial assets at fair value through profit or loss, net 7 (72) (246) Gain on disposal of financial assets at fair value through profit or loss 7 (260) – Finance costs 10 156 506 Operating cash flows before movements in working capital</t>
        </is>
      </c>
    </row>
    <row r="30">
      <c r="A30" s="8" t="inlineStr">
        <is>
          <t>Intangible Assets &amp; Goodwill</t>
        </is>
      </c>
      <c r="B30" s="8" t="inlineStr">
        <is>
          <t>無形資產及商譽</t>
        </is>
      </c>
      <c r="C30" s="19" t="inlineStr">
        <is>
          <t>high</t>
        </is>
      </c>
      <c r="D30" s="11" t="inlineStr">
        <is>
          <t>goodwill</t>
        </is>
      </c>
      <c r="E30" s="11" t="inlineStr">
        <is>
          <t>PDF p.91 (印刷頁 90)</t>
        </is>
      </c>
      <c r="F30" s="11" t="inlineStr">
        <is>
          <t>alue of the consideration received and the fair value of any retained interest and (ii) the carrying amount of the assets (including goodwill), and liabilities of the subsidiary attributable to the owners of the Company. All amounts previously recognised in other comprehensive income in relation to that subsidiary are accounted for as if the Group had directly disposed of the related assets or liabilities of the subsidiary (i.e. reclassified to profit or loss or transferred to another category of equity as specified/permitted b</t>
        </is>
      </c>
    </row>
    <row r="31">
      <c r="A31" s="8" t="inlineStr">
        <is>
          <t>Intangible Assets &amp; Goodwill</t>
        </is>
      </c>
      <c r="B31" s="8" t="inlineStr">
        <is>
          <t>無形資產及商譽</t>
        </is>
      </c>
      <c r="C31" s="19" t="inlineStr">
        <is>
          <t>high</t>
        </is>
      </c>
      <c r="D31" s="11" t="inlineStr">
        <is>
          <t>goodwill</t>
        </is>
      </c>
      <c r="E31" s="11" t="inlineStr">
        <is>
          <t>PDF p.94 (印刷頁 93)</t>
        </is>
      </c>
      <c r="F31" s="11" t="inlineStr">
        <is>
          <t>e share of accumulated exchange differences are re-attributed to non-controlling interests and are not recognised in profit or loss. Goodwill and fair value adjustments on identifiable assets acquired arising on an acquisition of a foreign operation are treated as assets and liabilities of that foreign operation and translated at the rate of exchange prevailing at the end of each reporting period. Exchange differences arising are recognised in other comprehensive income. 3.6 Borrowing costs Borrowing costs directly attributable</t>
        </is>
      </c>
    </row>
    <row r="32">
      <c r="A32" s="8" t="inlineStr">
        <is>
          <t>Intangible Assets &amp; Goodwill</t>
        </is>
      </c>
      <c r="B32" s="8" t="inlineStr">
        <is>
          <t>無形資產及商譽</t>
        </is>
      </c>
      <c r="C32" s="19" t="inlineStr">
        <is>
          <t>high</t>
        </is>
      </c>
      <c r="D32" s="11" t="inlineStr">
        <is>
          <t>goodwill</t>
        </is>
      </c>
      <c r="E32" s="11" t="inlineStr">
        <is>
          <t>PDF p.95 (印刷頁 94)</t>
        </is>
      </c>
      <c r="F32" s="11" t="inlineStr">
        <is>
          <t>profit. In addition, deferred tax liabilities are not recognised if the temporary difference arises from the initial recognition of goodwill. 94</t>
        </is>
      </c>
    </row>
    <row r="33">
      <c r="A33" s="8" t="inlineStr">
        <is>
          <t>Intangible Assets &amp; Goodwill</t>
        </is>
      </c>
      <c r="B33" s="8" t="inlineStr">
        <is>
          <t>無形資產及商譽</t>
        </is>
      </c>
      <c r="C33" s="19" t="inlineStr">
        <is>
          <t>high</t>
        </is>
      </c>
      <c r="D33" s="11" t="inlineStr">
        <is>
          <t>intangible asset</t>
        </is>
      </c>
      <c r="E33" s="11" t="inlineStr">
        <is>
          <t>PDF p.97 (印刷頁 96)</t>
        </is>
      </c>
      <c r="F33" s="11" t="inlineStr">
        <is>
          <t>termined as the difference between the sales proceeds and the carrying amount of the asset and is recognised in profit or loss. 3.10 Intangible assets Intangible assets acquired separately Intangible assets with indefinite useful lives are carried at cost less any subsequent accumulated impairment losses. Intangible assets with finite useful lives are carried at cost less accumulated amortisation and any accumulated impairment losses. Amortisation for intangible assets with finite useful lives is recognised on a straight-line b</t>
        </is>
      </c>
    </row>
    <row r="34">
      <c r="A34" s="8" t="inlineStr">
        <is>
          <t>Intangible Assets &amp; Goodwill</t>
        </is>
      </c>
      <c r="B34" s="8" t="inlineStr">
        <is>
          <t>無形資產及商譽</t>
        </is>
      </c>
      <c r="C34" s="19" t="inlineStr">
        <is>
          <t>high</t>
        </is>
      </c>
      <c r="D34" s="11" t="inlineStr">
        <is>
          <t>useful life</t>
        </is>
      </c>
      <c r="E34" s="11" t="inlineStr">
        <is>
          <t>PDF p.99 (印刷頁 98)</t>
        </is>
      </c>
      <c r="F34" s="11" t="inlineStr">
        <is>
          <t>tain ownership of the underlying leased assets at the end of the lease term are depreciated from commencement date to the end of the useful life. Otherwise, right-of-use assets are depreciated on a straight-line basis over the shorter of its estimated useful life and the lease term. The Group presents right-of-use assets in “property, plant and equipment”. When the Group obtains ownership of the underlying leased assets at the end of the lease term, upon exercising purchase options, the carrying amount of the relevant right-of-</t>
        </is>
      </c>
    </row>
    <row r="35">
      <c r="A35" s="8" t="inlineStr">
        <is>
          <t>Intangible Assets &amp; Goodwill</t>
        </is>
      </c>
      <c r="B35" s="8" t="inlineStr">
        <is>
          <t>無形資產及商譽</t>
        </is>
      </c>
      <c r="C35" s="19" t="inlineStr">
        <is>
          <t>high</t>
        </is>
      </c>
      <c r="D35" s="11" t="inlineStr">
        <is>
          <t>goodwill</t>
        </is>
      </c>
      <c r="E35" s="11" t="inlineStr">
        <is>
          <t>PDF p.102 (印刷頁 101)</t>
        </is>
      </c>
      <c r="F35" s="11"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36">
      <c r="A36" s="8" t="inlineStr">
        <is>
          <t>Intangible Assets &amp; Goodwill</t>
        </is>
      </c>
      <c r="B36" s="8" t="inlineStr">
        <is>
          <t>無形資產及商譽</t>
        </is>
      </c>
      <c r="C36" s="19" t="inlineStr">
        <is>
          <t>high</t>
        </is>
      </c>
      <c r="D36" s="11" t="inlineStr">
        <is>
          <t>intangible asset</t>
        </is>
      </c>
      <c r="E36" s="11" t="inlineStr">
        <is>
          <t>PDF p.114 (印刷頁 113)</t>
        </is>
      </c>
      <c r="F36" s="11" t="inlineStr">
        <is>
          <t>82 13,117 Unallocated other income 3,854 Unallocated expenses (7,893) Unallocated depreciation (1,813) Impairment loss recognised on intangible asset (1,602) Finance costs (506) Profit before income tax 5,157 Income tax expense (327) Profit for the year 4,830 Segment profit is arrived at after charging: Depreciation (6,729) (1,351) (8,080) Impairment losses recognised on: – trade and retention receivables (927) (365) (1,292) – contract assets and contract deposits (6,215) – (6,215) 113</t>
        </is>
      </c>
    </row>
    <row r="37">
      <c r="A37" s="8" t="inlineStr">
        <is>
          <t>Intangible Assets &amp; Goodwill</t>
        </is>
      </c>
      <c r="B37" s="8" t="inlineStr">
        <is>
          <t>無形資產及商譽</t>
        </is>
      </c>
      <c r="C37" s="19" t="inlineStr">
        <is>
          <t>high</t>
        </is>
      </c>
      <c r="D37" s="11" t="inlineStr">
        <is>
          <t>intangible asset</t>
        </is>
      </c>
      <c r="E37" s="11" t="inlineStr">
        <is>
          <t>PDF p.128 (印刷頁 127)</t>
        </is>
      </c>
      <c r="F37" s="11" t="inlineStr">
        <is>
          <t>VICON HOLDINGS LIMITED ANNUAL REPORT 2025-2026 NOTES TO THE CONSOLIDATED FINANCIAL STATEMENTS 16 INTANGIBLE ASSET Marina club membership HK$000 Year ended 31 March 2026 Opening net book amount 1,110 Additions, at cost – Impairment loss recognised for the year – Closing net book amount 1,110 At 31 March 2026 Cost 2,712 Accumulated impairment loss (1,602) Net book amount 1,110 At 31 March 2025 Cost 2,712 Accumulated impairment loss (1,602) Net book amount 1,110 Intangible asset with indefinite</t>
        </is>
      </c>
    </row>
    <row r="38">
      <c r="A38" s="8" t="inlineStr">
        <is>
          <t>Intangible Assets &amp; Goodwill</t>
        </is>
      </c>
      <c r="B38" s="8" t="inlineStr">
        <is>
          <t>無形資產及商譽</t>
        </is>
      </c>
      <c r="C38" s="19" t="inlineStr">
        <is>
          <t>high</t>
        </is>
      </c>
      <c r="D38" s="11" t="inlineStr">
        <is>
          <t>intangible asset</t>
        </is>
      </c>
      <c r="E38" s="11" t="inlineStr">
        <is>
          <t>PDF p.150 (印刷頁 149)</t>
        </is>
      </c>
      <c r="F38" s="11" t="inlineStr">
        <is>
          <t>ISK MANAGEMENT (continued) 36.3 Fair value estimation Level 1 Level 2 Level 3 Total HK$’000 HK$’000 HK$’000 HK$’000 At 31 March 2026 Intangible asset Marina club membership – 1,110 – 1,110 Financial assets Financial assets at fair value through profit or loss Key management life insurance contract – – 8,511 8,511 Hong Kong listed equity securities 1,088 – – 1,088 Level 1 Level 2 Level 3 Total HK$’000 HK$’000 HK$’000 HK$’000 At 31 March 2025 Intangible asset Marina club membership – 1,110 – 1,110 Financial assets Financial asset</t>
        </is>
      </c>
    </row>
    <row r="39">
      <c r="A39" s="8" t="inlineStr">
        <is>
          <t>Investment Properties</t>
        </is>
      </c>
      <c r="B39" s="8" t="inlineStr">
        <is>
          <t>投資物業</t>
        </is>
      </c>
      <c r="C39" s="19" t="inlineStr">
        <is>
          <t>high</t>
        </is>
      </c>
      <c r="D39" s="11" t="inlineStr">
        <is>
          <t>capitalisation rate</t>
        </is>
      </c>
      <c r="E39" s="11" t="inlineStr">
        <is>
          <t>PDF p.94 (印刷頁 93)</t>
        </is>
      </c>
      <c r="F39" s="11" t="inlineStr">
        <is>
          <t>tstanding after the related asset is ready for its intended use or sale is included in the general borrowing pool for calculation of capitalisation rate on general borrowings. Investment income earned on the temporary investment of specific borrowings pending their expenditure on qualifying assets is deducted from the borrowing costs eligible for capitalisation. All other borrowing costs are recognised in profit or loss in the period in which they are incurred. 93</t>
        </is>
      </c>
    </row>
    <row r="40">
      <c r="A40" s="8" t="inlineStr">
        <is>
          <t>Investment Properties</t>
        </is>
      </c>
      <c r="B40" s="8" t="inlineStr">
        <is>
          <t>投資物業</t>
        </is>
      </c>
      <c r="C40" s="19" t="inlineStr">
        <is>
          <t>high</t>
        </is>
      </c>
      <c r="D40" s="11" t="inlineStr">
        <is>
          <t>market rent</t>
        </is>
      </c>
      <c r="E40" s="11" t="inlineStr">
        <is>
          <t>PDF p.100 (印刷頁 99)</t>
        </is>
      </c>
      <c r="F40" s="11" t="inlineStr">
        <is>
          <t>the revised lease payments using a revised discount rate at the date of reassessment. • the lease payments change due to changes in market rental rates following a market rent review/expected payment under a guaranteed residual value, in which cases the related lease liability is remeasured by discounting the revised lease payments using the initial discount rate. • a lease contract is modified and the lease modification is not accounted for as a separate lease (see below for the accounting policy for “lease modifications”). T</t>
        </is>
      </c>
    </row>
    <row r="41">
      <c r="A41" s="8" t="inlineStr">
        <is>
          <t>ESG Data</t>
        </is>
      </c>
      <c r="B41" s="8" t="inlineStr">
        <is>
          <t>環境社會及管治數據</t>
        </is>
      </c>
      <c r="C41" s="8" t="inlineStr">
        <is>
          <t>medium</t>
        </is>
      </c>
      <c r="D41" s="11" t="inlineStr">
        <is>
          <t>ESG</t>
        </is>
      </c>
      <c r="E41" s="11" t="inlineStr">
        <is>
          <t>PDF p.13 (印刷頁 12)</t>
        </is>
      </c>
      <c r="F41" s="11" t="inlineStr">
        <is>
          <t>ogether with its subsidiaries (the “Group”), is pleased to present our Environmental, Social and Governance Report (the “Report” or “ESG Report”) to provide an overview of the Group’s management on significant issues affecting the operation, and the performance of the Group in terms of environmental and social aspects. Preparation Basis and Scope This Report is prepared in accordance with “Environmental, Social and Governance Reporting Guide” in Appendix C2 to the Rules Governing the Listing of Securities (the “Listing Rules”)</t>
        </is>
      </c>
    </row>
    <row r="42">
      <c r="A42" s="8" t="inlineStr">
        <is>
          <t>ESG Data</t>
        </is>
      </c>
      <c r="B42" s="8" t="inlineStr">
        <is>
          <t>環境社會及管治數據</t>
        </is>
      </c>
      <c r="C42" s="8" t="inlineStr">
        <is>
          <t>medium</t>
        </is>
      </c>
      <c r="D42" s="11" t="inlineStr">
        <is>
          <t>ESG</t>
        </is>
      </c>
      <c r="E42" s="11" t="inlineStr">
        <is>
          <t>PDF p.14 (印刷頁 13)</t>
        </is>
      </c>
      <c r="F42" s="11" t="inlineStr">
        <is>
          <t>subsidiaries. 1. Vicon Construction Company Limited 2. Vicon Machinery Company Limited 3. Vicon Construction (Macau) Company Limited ESG GOVERNANCE The Group understands that good ESG governance is the key to the long-term development of an enterprise. The Board upholds its primary leading role and management responsibilities in the ESG aspects, including overseeing the Group’s assessment of relevant environmental and social impacts; understanding the potential impact of ESG issues on the Group’s business model and associated r</t>
        </is>
      </c>
    </row>
    <row r="43">
      <c r="A43" s="8" t="inlineStr">
        <is>
          <t>ESG Data</t>
        </is>
      </c>
      <c r="B43" s="8" t="inlineStr">
        <is>
          <t>環境社會及管治數據</t>
        </is>
      </c>
      <c r="C43" s="8" t="inlineStr">
        <is>
          <t>medium</t>
        </is>
      </c>
      <c r="D43" s="11" t="inlineStr">
        <is>
          <t>ESG</t>
        </is>
      </c>
      <c r="E43" s="11" t="inlineStr">
        <is>
          <t>PDF p.15 (印刷頁 14)</t>
        </is>
      </c>
      <c r="F43" s="11" t="inlineStr">
        <is>
          <t>VICON HOLDINGS LIMITED ANNUAL REPORT 2025-2026 ENVIRONMENTAL, SOCIAL AND GOVERNANCE REPORT REPORTING PRINCIPLES The ESG Report adheres to the ESG Reporting Principles set out in the ESG Guide, including materiality, quantitative and consistency. Details are illustrated as follows: Materiality The content of the ESG Report is determined through stakeholder engagement and materiality assessment processes, which include identifying ESG-related issues, collecting and reviewing the management and stakeholders’ opini</t>
        </is>
      </c>
    </row>
    <row r="44">
      <c r="A44" s="8" t="inlineStr">
        <is>
          <t>ESG Data</t>
        </is>
      </c>
      <c r="B44" s="8" t="inlineStr">
        <is>
          <t>環境社會及管治數據</t>
        </is>
      </c>
      <c r="C44" s="8" t="inlineStr">
        <is>
          <t>medium</t>
        </is>
      </c>
      <c r="D44" s="11" t="inlineStr">
        <is>
          <t>ESG</t>
        </is>
      </c>
      <c r="E44" s="11" t="inlineStr">
        <is>
          <t>PDF p.16 (印刷頁 15)</t>
        </is>
      </c>
      <c r="F44" s="11" t="inlineStr">
        <is>
          <t>ss management as well as decision making for the Group’s long-term development. The principle of materiality strengthens the Group’s ESG reporting, which means understanding the ESG issues that are important to the Group’s business, informing the issue and key performance indicators (KPIs) to cover in the Report. The Group’s approach to materiality in this Report is based on the best-practice recommendations of the ESG Reporting Guide and the GRI Guidelines. We evaluated and analyzed the importance of any changes in business en</t>
        </is>
      </c>
    </row>
    <row r="45">
      <c r="A45" s="8" t="inlineStr">
        <is>
          <t>ESG Data</t>
        </is>
      </c>
      <c r="B45" s="8" t="inlineStr">
        <is>
          <t>環境社會及管治數據</t>
        </is>
      </c>
      <c r="C45" s="8" t="inlineStr">
        <is>
          <t>medium</t>
        </is>
      </c>
      <c r="D45" s="11" t="inlineStr">
        <is>
          <t>ESG</t>
        </is>
      </c>
      <c r="E45" s="11" t="inlineStr">
        <is>
          <t>PDF p.17 (印刷頁 16)</t>
        </is>
      </c>
      <c r="F45" s="11" t="inlineStr">
        <is>
          <t>ED ANNUAL REPORT 2025-2026 ENVIRONMENTAL, SOCIAL AND GOVERNANCE REPORT The assessment, through the following steps, also considered ESG issues relevant to the Group’s industry and operation locations. Step 1: Identification – Industry Benchmarking • The Group identified relevant ESG issues based on the feedback from the stakeholders, sustainability indices and the ESG reports of the Group’s industry peers. • The materiality of each ESG issue was determined based on the frequency of its disclosure by selected peer companies. St</t>
        </is>
      </c>
    </row>
    <row r="46">
      <c r="A46" s="8" t="inlineStr">
        <is>
          <t>ESG Data</t>
        </is>
      </c>
      <c r="B46" s="8" t="inlineStr">
        <is>
          <t>環境社會及管治數據</t>
        </is>
      </c>
      <c r="C46" s="8" t="inlineStr">
        <is>
          <t>medium</t>
        </is>
      </c>
      <c r="D46" s="11" t="inlineStr">
        <is>
          <t>sustainability</t>
        </is>
      </c>
      <c r="E46" s="11" t="inlineStr">
        <is>
          <t>PDF p.20 (印刷頁 19)</t>
        </is>
      </c>
      <c r="F46" s="11" t="inlineStr">
        <is>
          <t>ally friendly products as well as encouraging the recycling and reuse of materials. Through continuously improving the environmental sustainability of our business, we believe there will be promising development and growth in the long run. The principles of our environmental policy are as follows: – Focus on prevention of pollution, waste minimization and resource conservation as critical considerations within our core management processes; – compliance with applicable legal requirements and other requirements to which the Grou</t>
        </is>
      </c>
    </row>
    <row r="47">
      <c r="A47" s="8" t="inlineStr">
        <is>
          <t>ESG Data</t>
        </is>
      </c>
      <c r="B47" s="8" t="inlineStr">
        <is>
          <t>環境社會及管治數據</t>
        </is>
      </c>
      <c r="C47" s="8" t="inlineStr">
        <is>
          <t>medium</t>
        </is>
      </c>
      <c r="D47" s="11" t="inlineStr">
        <is>
          <t>greenhouse gas</t>
        </is>
      </c>
      <c r="E47" s="11" t="inlineStr">
        <is>
          <t>PDF p.23 (印刷頁 22)</t>
        </is>
      </c>
      <c r="F47" s="11" t="inlineStr">
        <is>
          <t>nowledge, we did not have any non-compliance issues in relation to environmental laws and regulations in Hong Kong regarding air and greenhouse gas emissions, discharges into water and land and generation of hazardous and non-hazardous waste. 22</t>
        </is>
      </c>
    </row>
    <row r="48">
      <c r="A48" s="8" t="inlineStr">
        <is>
          <t>ESG Data</t>
        </is>
      </c>
      <c r="B48" s="8" t="inlineStr">
        <is>
          <t>環境社會及管治數據</t>
        </is>
      </c>
      <c r="C48" s="8" t="inlineStr">
        <is>
          <t>medium</t>
        </is>
      </c>
      <c r="D48" s="11" t="inlineStr">
        <is>
          <t>greenhouse gas</t>
        </is>
      </c>
      <c r="E48" s="11" t="inlineStr">
        <is>
          <t>PDF p.25 (印刷頁 24)</t>
        </is>
      </c>
      <c r="F48" s="11" t="inlineStr">
        <is>
          <t>VICON HOLDINGS LIMITED ANNUAL REPORT 2025-2026 ENVIRONMENTAL, SOCIAL AND GOVERNANCE REPORT Greenhouse Gas (“GHG”) Emission The principal source of emissions emitted by the Group was the use of motor vehicles for transportation and travelling between project sites. During the reporting period, due to an increase in the total number of projects and increased use of public transport, emissions from the use of motor vehicles increased slightly. Therefore, we always strive to minimize harmfu</t>
        </is>
      </c>
    </row>
    <row r="49">
      <c r="A49" s="8" t="inlineStr">
        <is>
          <t>ESG Data</t>
        </is>
      </c>
      <c r="B49" s="8" t="inlineStr">
        <is>
          <t>環境社會及管治數據</t>
        </is>
      </c>
      <c r="C49" s="8" t="inlineStr">
        <is>
          <t>medium</t>
        </is>
      </c>
      <c r="D49" s="11" t="inlineStr">
        <is>
          <t>greenhouse gas</t>
        </is>
      </c>
      <c r="E49" s="11" t="inlineStr">
        <is>
          <t>PDF p.26 (印刷頁 25)</t>
        </is>
      </c>
      <c r="F49" s="11" t="inlineStr">
        <is>
          <t>AL, SOCIAL AND GOVERNANCE REPORT During the reporting period, the carbon dioxide equivalent emission of GHG is as follows: KPI A1.2: Greenhouse gas emissions in total and intensity Item Unit FY25-26 FY24-25 Scope 12 tonnes 25.53 30.70 Scope 23 tonnes 35.86 18.48 Scope 34 tonnes – – Total tonnes 61.39 49.18 CO2 equivalent emissions intensity tonnes/employee 2.92 2.24 CO2 equivalent emissions intensity tonnes/HK$’000 revenue 0.00026 0.00016 KPI A1.2: Greenhouse gas emissions in total equivalent 0.00 Scope 3 0.00 emissions 18.48 d</t>
        </is>
      </c>
    </row>
    <row r="50">
      <c r="A50" s="8" t="inlineStr">
        <is>
          <t>ESG Data</t>
        </is>
      </c>
      <c r="B50" s="8" t="inlineStr">
        <is>
          <t>環境社會及管治數據</t>
        </is>
      </c>
      <c r="C50" s="8" t="inlineStr">
        <is>
          <t>medium</t>
        </is>
      </c>
      <c r="D50" s="11" t="inlineStr">
        <is>
          <t>carbon</t>
        </is>
      </c>
      <c r="E50" s="11" t="inlineStr">
        <is>
          <t>PDF p.28 (印刷頁 27)</t>
        </is>
      </c>
      <c r="F50" s="11" t="inlineStr">
        <is>
          <t>ANNUAL REPORT 2025-2026 ENVIRONMENTAL, SOCIAL AND GOVERNANCE REPORT USE OF RESOURCES The Group encouraged our colleagues to reduce carbon footprint. In our daily operation, we strived to lower energy consumption, fully utilize resources, and promote the separation of domestic waste sources. We have set the designated location for collecting used papers for our colleagues to make use of them as recycling used papers for printing, re-use old envelopes for internal communication or drafting. To build up a paperless culture, we w</t>
        </is>
      </c>
    </row>
    <row r="51">
      <c r="A51" s="8" t="inlineStr">
        <is>
          <t>ESG Data</t>
        </is>
      </c>
      <c r="B51" s="8" t="inlineStr">
        <is>
          <t>環境社會及管治數據</t>
        </is>
      </c>
      <c r="C51" s="8" t="inlineStr">
        <is>
          <t>medium</t>
        </is>
      </c>
      <c r="D51" s="11" t="inlineStr">
        <is>
          <t>energy consumption</t>
        </is>
      </c>
      <c r="E51" s="11" t="inlineStr">
        <is>
          <t>PDF p.29 (印刷頁 28)</t>
        </is>
      </c>
      <c r="F51" s="11" t="inlineStr">
        <is>
          <t>electrical appliances and make use of light-emitting diode (“LED”) bulbs which give higher efficiency. During the reporting period, energy consumptions are as follows: KPI A2.1: Direct and/or indirect energy consumption by type in total and intensity Item Unit FY25-26 FY24-25 Purchased electricity kWh in ’000 96.91 49.95 Fuel5 kWh in ’000 96.73 116.16 Total kWh in ’000 193.64 166.11 Energy consumption intensity kWh in ’000/employee 9.22 7.55 Energy consumption intensity kWh in ’000/HK$’000 revenue 0.0008 0.0005 KPI A2.1: Direc</t>
        </is>
      </c>
    </row>
    <row r="52">
      <c r="A52" s="8" t="inlineStr">
        <is>
          <t>ESG Data</t>
        </is>
      </c>
      <c r="B52" s="8" t="inlineStr">
        <is>
          <t>環境社會及管治數據</t>
        </is>
      </c>
      <c r="C52" s="8" t="inlineStr">
        <is>
          <t>medium</t>
        </is>
      </c>
      <c r="D52" s="11" t="inlineStr">
        <is>
          <t>ESG</t>
        </is>
      </c>
      <c r="E52" s="11" t="inlineStr">
        <is>
          <t>PDF p.39 (印刷頁 38)</t>
        </is>
      </c>
      <c r="F52" s="11" t="inlineStr">
        <is>
          <t>The Board and management continue to build their understanding of climate-related matters through ongoing involvement in the Group’s ESG processes. External advice is sought when considered necessary to support informed decision-making. During the reporting period, climate-related training resources including in corporate governance readings were provided to the Board to ensure they have the necessary expertise to monitor climate-related risks and opportunities. To further strengthen the Board’s climate capability, the Group pl</t>
        </is>
      </c>
    </row>
    <row r="53">
      <c r="A53" s="8" t="inlineStr">
        <is>
          <t>ESG Data</t>
        </is>
      </c>
      <c r="B53" s="8" t="inlineStr">
        <is>
          <t>環境社會及管治數據</t>
        </is>
      </c>
      <c r="C53" s="8" t="inlineStr">
        <is>
          <t>medium</t>
        </is>
      </c>
      <c r="D53" s="11" t="inlineStr">
        <is>
          <t>carbon</t>
        </is>
      </c>
      <c r="E53" s="11" t="inlineStr">
        <is>
          <t>PDF p.41 (印刷頁 40)</t>
        </is>
      </c>
      <c r="F53" s="11" t="inlineStr">
        <is>
          <t>h this assessment are set out in the Risk Management section below. In addition, the Group recognises that the transition to a lower-carbon economy may present certain opportunities, which are summarised in the following table: Opportunity Area Description Resource efficiency Reduced energy and water consumption through ongoing efficiency initiatives may lower operational costs over time. Energy source Increased use of energy-efficient equipment and appliances may reduce electricity consumption and associated emissions. Product</t>
        </is>
      </c>
    </row>
    <row r="54">
      <c r="A54" s="8" t="inlineStr">
        <is>
          <t>ESG Data</t>
        </is>
      </c>
      <c r="B54" s="8" t="inlineStr">
        <is>
          <t>環境社會及管治數據</t>
        </is>
      </c>
      <c r="C54" s="8" t="inlineStr">
        <is>
          <t>medium</t>
        </is>
      </c>
      <c r="D54" s="11" t="inlineStr">
        <is>
          <t>ESG</t>
        </is>
      </c>
      <c r="E54" s="11" t="inlineStr">
        <is>
          <t>PDF p.42 (印刷頁 41)</t>
        </is>
      </c>
      <c r="F54" s="11" t="inlineStr">
        <is>
          <t>scenarios for assessment 2. Risk identification: Identify risks and opportunities that may affect the Group’s objectives, including ESG and climate-related factors. 3. Risk Evaluation: Assessing the potential likelihood and impact of identified risks on the Group’s operations and develop a risk matrix to rank risks. High-priority risks are escalated for senior management review and action. 4. Risk Management: Identifying appropriate measures to avoid, reduce, or manage significant risks. Apply control measures, monitor effecti</t>
        </is>
      </c>
    </row>
    <row r="55">
      <c r="A55" s="8" t="inlineStr">
        <is>
          <t>ESG Data</t>
        </is>
      </c>
      <c r="B55" s="8" t="inlineStr">
        <is>
          <t>環境社會及管治數據</t>
        </is>
      </c>
      <c r="C55" s="8" t="inlineStr">
        <is>
          <t>medium</t>
        </is>
      </c>
      <c r="D55" s="11" t="inlineStr">
        <is>
          <t>carbon</t>
        </is>
      </c>
      <c r="E55" s="11" t="inlineStr">
        <is>
          <t>PDF p.43 (印刷頁 42)</t>
        </is>
      </c>
      <c r="F55" s="11" t="inlineStr">
        <is>
          <t>Short- to • Increased costs on • The feasibility and benefits • Advancements in Long-term potential capital of new technologies low-carbon construction investment in new are examined on a technologies and green equipment or training project-by-project basis building practices may require the Group to adopt • Staff are provided with new methods or materials training on updated to remain competitive. practices and equipment Market risks • Medium- to • Potential changes in • Customer preferences • Change in customer Long-term rev</t>
        </is>
      </c>
    </row>
    <row r="56">
      <c r="A56" s="8" t="inlineStr">
        <is>
          <t>ESG Data</t>
        </is>
      </c>
      <c r="B56" s="8" t="inlineStr">
        <is>
          <t>環境社會及管治數據</t>
        </is>
      </c>
      <c r="C56" s="8" t="inlineStr">
        <is>
          <t>medium</t>
        </is>
      </c>
      <c r="D56" s="11" t="inlineStr">
        <is>
          <t>greenhouse gas</t>
        </is>
      </c>
      <c r="E56" s="11" t="inlineStr">
        <is>
          <t>PDF p.44 (印刷頁 43)</t>
        </is>
      </c>
      <c r="F56" s="11" t="inlineStr">
        <is>
          <t>ce in areas relevant to climate change. These metrics are set out in the Environmental Aspects section of this Report and include: – Greenhouse gas emissions (Scope 1 and Scope 2) – see “GHG Emission” under the section “Emissions” – Energy consumption by type – Water consumption – Waste generation (hazardous and non-hazardous) These metrics are tracked regularly and reported annually to monitor trends and assess the effectiveness of the Group’s environmental initiatives. The Group’s targets in relation to these metrics are desc</t>
        </is>
      </c>
    </row>
    <row r="57">
      <c r="A57" s="8" t="inlineStr">
        <is>
          <t>ESG Data</t>
        </is>
      </c>
      <c r="B57" s="8" t="inlineStr">
        <is>
          <t>環境社會及管治數據</t>
        </is>
      </c>
      <c r="C57" s="8" t="inlineStr">
        <is>
          <t>medium</t>
        </is>
      </c>
      <c r="D57" s="11" t="inlineStr">
        <is>
          <t>ESG</t>
        </is>
      </c>
      <c r="E57" s="11" t="inlineStr">
        <is>
          <t>PDF p.52 (印刷頁 51)</t>
        </is>
      </c>
      <c r="F57" s="11" t="inlineStr">
        <is>
          <t>ices and policies, compliance with CG Code and disclosure in Corporate Governance Report; • internal audit relating to the Company’s ESG reporting; and • adequacy of resources, staff qualifications and experience, training programmes and budget of the Group’s internal audit, accounting and financial reporting functions, as well as those relating to ESG performance and reporting. The Audit Committee noted the existing risk management and internal control systems of the Group and also noted that review of the same will be carried</t>
        </is>
      </c>
    </row>
    <row r="58">
      <c r="A58" s="8" t="inlineStr">
        <is>
          <t>Segment Information</t>
        </is>
      </c>
      <c r="B58" s="8" t="inlineStr">
        <is>
          <t>分部資料</t>
        </is>
      </c>
      <c r="C58" s="8" t="inlineStr">
        <is>
          <t>medium</t>
        </is>
      </c>
      <c r="D58" s="11" t="inlineStr">
        <is>
          <t>segment information</t>
        </is>
      </c>
      <c r="E58" s="11" t="inlineStr">
        <is>
          <t>PDF p.11 (印刷頁 10)</t>
        </is>
      </c>
      <c r="F58" s="11" t="inlineStr">
        <is>
          <t>n. CAPITAL COMMITMENTS As at 31 March 2026 and 2025, the Group did not have any capital commitments contracted but not provided for. SEGMENT INFORMATION The Group’s reportable segments are as follows: – Construction works; and – Leasing of construction machinery In view of the growth of the Group’s leasing of construction machinery business, a new reportable segment – leasing of construction machinery has been included for the year ended 31 March 2021. 10</t>
        </is>
      </c>
    </row>
    <row r="59">
      <c r="A59" s="8" t="inlineStr">
        <is>
          <t>Segment Information</t>
        </is>
      </c>
      <c r="B59" s="8" t="inlineStr">
        <is>
          <t>分部資料</t>
        </is>
      </c>
      <c r="C59" s="8" t="inlineStr">
        <is>
          <t>medium</t>
        </is>
      </c>
      <c r="D59" s="11" t="inlineStr">
        <is>
          <t>geographical</t>
        </is>
      </c>
      <c r="E59" s="11" t="inlineStr">
        <is>
          <t>PDF p.32 (印刷頁 31)</t>
        </is>
      </c>
      <c r="F59" s="11" t="inlineStr">
        <is>
          <t>the end of the reporting period, the employee composition (in percentage of total staff) by gender, employee category, age group and geographical location are as follows: By Gender By Employment Category 28.6% 47.6% 47.6% 71.4% 4.8% Male Female Senior Management Middle Management General Staff By Age Group By Geographical Location 0.0% 0.0% 23.8% 47.6% 28.6% 100% 30 or below Hong Kong Others 31-40 41-50 51 or above 31</t>
        </is>
      </c>
    </row>
    <row r="60">
      <c r="A60" s="8" t="inlineStr">
        <is>
          <t>Segment Information</t>
        </is>
      </c>
      <c r="B60" s="8" t="inlineStr">
        <is>
          <t>分部資料</t>
        </is>
      </c>
      <c r="C60" s="8" t="inlineStr">
        <is>
          <t>medium</t>
        </is>
      </c>
      <c r="D60" s="11" t="inlineStr">
        <is>
          <t>geographical</t>
        </is>
      </c>
      <c r="E60" s="11" t="inlineStr">
        <is>
          <t>PDF p.33 (印刷頁 32)</t>
        </is>
      </c>
      <c r="F60" s="11" t="inlineStr">
        <is>
          <t>GS LIMITED ANNUAL REPORT 2025-2026 ENVIRONMENTAL, SOCIAL AND GOVERNANCE REPORT The employee turnover rates by gender, age group and geographical region at the end of the reporting period are as follows: KPI B1.2: Employee turnover rate by gender, age group and geographical region6 FY25-26 FY24-25 Category Turnover Rate Turnover Rate Total workforce 21.28% 18.18% Male 6.45% 6.67% Female 50.00% 42.86% 30 years old or below 0.00% 0.00% 31-40 years old 46.15% 28.57% 41-50 years old 15.38% 0.00% 51 years old or above 9.52% 28.57% H</t>
        </is>
      </c>
    </row>
    <row r="61">
      <c r="A61" s="8" t="inlineStr">
        <is>
          <t>Segment Information</t>
        </is>
      </c>
      <c r="B61" s="8" t="inlineStr">
        <is>
          <t>分部資料</t>
        </is>
      </c>
      <c r="C61" s="8" t="inlineStr">
        <is>
          <t>medium</t>
        </is>
      </c>
      <c r="D61" s="11" t="inlineStr">
        <is>
          <t>geographical</t>
        </is>
      </c>
      <c r="E61" s="11" t="inlineStr">
        <is>
          <t>PDF p.37 (印刷頁 36)</t>
        </is>
      </c>
      <c r="F61" s="11" t="inlineStr">
        <is>
          <t>environment and human health, and also conserving natural resources. During the Reporting Period, the Group’s number of suppliers by geographical region, where the practices above are being implemented, are as follows: • Hong Kong: 80 • Others: 0 SERVICES RESPONSIBILITY We place the quality of our services as the utmost important focus in our operation. The Group is in strict compliance with the related laws and regulations, aiming to provide a high-quality standard of services for our customers. During the reporting period, th</t>
        </is>
      </c>
    </row>
    <row r="62">
      <c r="A62" s="8" t="inlineStr">
        <is>
          <t>Segment Information</t>
        </is>
      </c>
      <c r="B62" s="8" t="inlineStr">
        <is>
          <t>分部資料</t>
        </is>
      </c>
      <c r="C62" s="8" t="inlineStr">
        <is>
          <t>medium</t>
        </is>
      </c>
      <c r="D62" s="11" t="inlineStr">
        <is>
          <t>segment information</t>
        </is>
      </c>
      <c r="E62" s="11" t="inlineStr">
        <is>
          <t>PDF p.112 (印刷頁 111)</t>
        </is>
      </c>
      <c r="F62" s="11" t="inlineStr">
        <is>
          <t>’000 HK$’000 Foundation works and ancillary services 235,658 297,879 Leasing of construction machinery 1,059 6,040 236,717 303,919 6 SEGMENT INFORMATION The executive directors of the Company are identified as the Group’s chief operating decision-maker. The executive directors consider that the Group has two reportable operating segments, as follows: – Construction work, which mainly represents foundation works and ancillary services; and – Leasing of construction machinery Segment revenue represents revenue generated from exte</t>
        </is>
      </c>
    </row>
    <row r="63">
      <c r="A63" s="8" t="inlineStr">
        <is>
          <t>Segment Information</t>
        </is>
      </c>
      <c r="B63" s="8" t="inlineStr">
        <is>
          <t>分部資料</t>
        </is>
      </c>
      <c r="C63" s="8" t="inlineStr">
        <is>
          <t>medium</t>
        </is>
      </c>
      <c r="D63" s="11" t="inlineStr">
        <is>
          <t>segment information</t>
        </is>
      </c>
      <c r="E63" s="11" t="inlineStr">
        <is>
          <t>PDF p.113 (印刷頁 112)</t>
        </is>
      </c>
      <c r="F63" s="11" t="inlineStr">
        <is>
          <t>VICON HOLDINGS LIMITED ANNUAL REPORT 2025-2026 NOTES TO THE CONSOLIDATED FINANCIAL STATEMENTS 6 SEGMENT INFORMATION (continued) (a) Segment revenue and results The following is an analysis of the Group’s revenue and results by reportable operating segments. For the year ended 31 March 2026 Leasing of Construction construction work machinery Total HK$’000 HK$’000 HK$’000 Segment revenue 235,658 1,059 236,717 Segment profit 11,073 842 11,915 Unallocated other income 3,782 Unallocated expenses</t>
        </is>
      </c>
    </row>
    <row r="64">
      <c r="A64" s="8" t="inlineStr">
        <is>
          <t>Segment Information</t>
        </is>
      </c>
      <c r="B64" s="8" t="inlineStr">
        <is>
          <t>分部資料</t>
        </is>
      </c>
      <c r="C64" s="8" t="inlineStr">
        <is>
          <t>medium</t>
        </is>
      </c>
      <c r="D64" s="11" t="inlineStr">
        <is>
          <t>segment information</t>
        </is>
      </c>
      <c r="E64" s="11" t="inlineStr">
        <is>
          <t>PDF p.114 (印刷頁 113)</t>
        </is>
      </c>
      <c r="F64" s="11" t="inlineStr">
        <is>
          <t>VICON HOLDINGS LIMITED ANNUAL REPORT 2025-2026 NOTES TO THE CONSOLIDATED FINANCIAL STATEMENTS 6 SEGMENT INFORMATION (continued) (a) Segment revenue and results (continued) For the year ended 31 March 2025 Leasing of Construction construction work machinery Total HK$’000 HK$’000 HK$’000 Segment revenue 297,879 6,040 303,919 Segment profit 8,435 4,682 13,117 Unallocated other income 3,854 Unallocated expenses (7,893) Unallocated depreciation (1,813) Impairment loss recognised on intangible ass</t>
        </is>
      </c>
    </row>
    <row r="65">
      <c r="A65" s="8" t="inlineStr">
        <is>
          <t>Segment Information</t>
        </is>
      </c>
      <c r="B65" s="8" t="inlineStr">
        <is>
          <t>分部資料</t>
        </is>
      </c>
      <c r="C65" s="8" t="inlineStr">
        <is>
          <t>medium</t>
        </is>
      </c>
      <c r="D65" s="11" t="inlineStr">
        <is>
          <t>segment information</t>
        </is>
      </c>
      <c r="E65" s="11" t="inlineStr">
        <is>
          <t>PDF p.115 (印刷頁 114)</t>
        </is>
      </c>
      <c r="F65" s="11" t="inlineStr">
        <is>
          <t>VICON HOLDINGS LIMITED ANNUAL REPORT 2025-2026 NOTES TO THE CONSOLIDATED FINANCIAL STATEMENTS 6 SEGMENT INFORMATION (continued) (b) Segment assets and liabilities The following is an analysis of the Group’s assets and liabilities by reportable operating segments. Assets Leasing of Construction construction work machinery Total HK$’000 HK$’000 HK$’000 At 31 March 2026 Segment assets 155,186 1,637 156,823 Unallocated assets 175,493 Total assets 332,316 Addition to non-current assets Segment as</t>
        </is>
      </c>
    </row>
    <row r="66">
      <c r="A66" s="8" t="inlineStr">
        <is>
          <t>Segment Information</t>
        </is>
      </c>
      <c r="B66" s="8" t="inlineStr">
        <is>
          <t>分部資料</t>
        </is>
      </c>
      <c r="C66" s="8" t="inlineStr">
        <is>
          <t>medium</t>
        </is>
      </c>
      <c r="D66" s="11" t="inlineStr">
        <is>
          <t>segment information</t>
        </is>
      </c>
      <c r="E66" s="11" t="inlineStr">
        <is>
          <t>PDF p.116 (印刷頁 115)</t>
        </is>
      </c>
      <c r="F66" s="11" t="inlineStr">
        <is>
          <t>VICON HOLDINGS LIMITED ANNUAL REPORT 2025-2026 NOTES TO THE CONSOLIDATED FINANCIAL STATEMENTS 6 SEGMENT INFORMATION (continued) (b) Segment assets and liabilities (continued) Assets (continued) Leasing of Construction construction work machinery Total HK$’000 HK$’000 HK$’000 At 31 March 2025 Segment assets 207,234 13,597 220,831 Unallocated assets 103,579 Total assets 324,410 Addition to non-current assets Segment assets – – – Unallocated assets 3,894 Total 3,894 The information provided to</t>
        </is>
      </c>
    </row>
    <row r="67">
      <c r="A67" s="8" t="inlineStr">
        <is>
          <t>Segment Information</t>
        </is>
      </c>
      <c r="B67" s="8" t="inlineStr">
        <is>
          <t>分部資料</t>
        </is>
      </c>
      <c r="C67" s="8" t="inlineStr">
        <is>
          <t>medium</t>
        </is>
      </c>
      <c r="D67" s="11" t="inlineStr">
        <is>
          <t>segment information</t>
        </is>
      </c>
      <c r="E67" s="11" t="inlineStr">
        <is>
          <t>PDF p.117 (印刷頁 116)</t>
        </is>
      </c>
      <c r="F67" s="11" t="inlineStr">
        <is>
          <t>VICON HOLDINGS LIMITED ANNUAL REPORT 2025-2026 NOTES TO THE CONSOLIDATED FINANCIAL STATEMENTS 6 SEGMENT INFORMATION (continued) (b) Segment assets and liabilities (continued) Liabilities Leasing of Construction construction work machinery Total HK$’000 HK$’000 HK$’000 At 31 March 2026 Segment liabilities 54,091 – 54,091 Borrowings – Other unallocated liabilities 2,400 Total liabilities 56,491 Leasing of Construction construction work machinery Total HK$’000 HK$’000 HK$’000 At 31 March 2025 S</t>
        </is>
      </c>
    </row>
    <row r="68">
      <c r="A68" s="8" t="inlineStr">
        <is>
          <t>Segment Information</t>
        </is>
      </c>
      <c r="B68" s="8" t="inlineStr">
        <is>
          <t>分部資料</t>
        </is>
      </c>
      <c r="C68" s="8" t="inlineStr">
        <is>
          <t>medium</t>
        </is>
      </c>
      <c r="D68" s="11" t="inlineStr">
        <is>
          <t>segment information</t>
        </is>
      </c>
      <c r="E68" s="11" t="inlineStr">
        <is>
          <t>PDF p.118 (印刷頁 117)</t>
        </is>
      </c>
      <c r="F68" s="11" t="inlineStr">
        <is>
          <t>VICON HOLDINGS LIMITED ANNUAL REPORT 2025-2026 NOTES TO THE CONSOLIDATED FINANCIAL STATEMENTS 6 SEGMENT INFORMATION (continued) (c) Geographical information Revenue from external customers 2026 2025 HK$’000 HK$’000 Hong Kong 236,717 303,919 The revenue information reported above is based on the locations of the customers. Non-current assets 2026 2025 HK$’000 HK$’000 Hong Kong 27,413 35,368 The non-current assets information reported above is based on the location of the assets and excluded f</t>
        </is>
      </c>
    </row>
    <row r="69">
      <c r="A69" s="8" t="inlineStr">
        <is>
          <t>Share-based Payment</t>
        </is>
      </c>
      <c r="B69" s="8" t="inlineStr">
        <is>
          <t>以股份為基礎的付款</t>
        </is>
      </c>
      <c r="C69" s="8" t="inlineStr">
        <is>
          <t>medium</t>
        </is>
      </c>
      <c r="D69" s="11" t="inlineStr">
        <is>
          <t>share option</t>
        </is>
      </c>
      <c r="E69" s="11" t="inlineStr">
        <is>
          <t>PDF p.69 (印刷頁 68)</t>
        </is>
      </c>
      <c r="F69" s="11" t="inlineStr">
        <is>
          <t>VICON HOLDINGS LIMITED ANNUAL REPORT 2025-2026 DIRECTORS’ REPORT SHARE OPTION SCHEME A share option scheme (the “Scheme”) was conditionally adopted by the written resolutions of the Company’s then shareholders passed on 30 November 2017. As of the date of this report, no option has been granted, agreed to be granted, exercised, cancelled or lapsed under the Scheme. As of the date of this report, the Scheme has a remaining life of approximately one year. Purpose</t>
        </is>
      </c>
    </row>
    <row r="70">
      <c r="A70" s="8" t="inlineStr">
        <is>
          <t>Share-based Payment</t>
        </is>
      </c>
      <c r="B70" s="8" t="inlineStr">
        <is>
          <t>以股份為基礎的付款</t>
        </is>
      </c>
      <c r="C70" s="8" t="inlineStr">
        <is>
          <t>medium</t>
        </is>
      </c>
      <c r="D70" s="11" t="inlineStr">
        <is>
          <t>share option</t>
        </is>
      </c>
      <c r="E70" s="11" t="inlineStr">
        <is>
          <t>PDF p.70 (印刷頁 69)</t>
        </is>
      </c>
      <c r="F70" s="11" t="inlineStr">
        <is>
          <t>he total number of Shares issued and which may fall to be issued upon exercise of the options granted under the Scheme and any other share option schemes of the Company (including both exercised and outstanding options) to each eligible participant in any 12-month period up to the date of grant shall not exceed 1% of the Shares in issue as at the date of grant. Any further grant of options in excess of this 1% limit shall be subject to the issue of a circular, the approval of the Shareholders in general meeting and/or other req</t>
        </is>
      </c>
    </row>
    <row r="71">
      <c r="A71" s="8" t="inlineStr">
        <is>
          <t>Share-based Payment</t>
        </is>
      </c>
      <c r="B71" s="8" t="inlineStr">
        <is>
          <t>以股份為基礎的付款</t>
        </is>
      </c>
      <c r="C71" s="8" t="inlineStr">
        <is>
          <t>medium</t>
        </is>
      </c>
      <c r="D71" s="11" t="inlineStr">
        <is>
          <t>share option</t>
        </is>
      </c>
      <c r="E71" s="11" t="inlineStr">
        <is>
          <t>PDF p.71 (印刷頁 70)</t>
        </is>
      </c>
      <c r="F71" s="11" t="inlineStr">
        <is>
          <t>Listing Rules, which came into effect on 1 January 2023, which include, among others, revising the scope of eligible participants of share option schemes and setting out the minimum vesting period requirements. The Company will only grant the share options in compliance with the amended Chapter 17 of the Listing Rules. Going forward, the Company will consider to amend the Scheme so as to comply with the new requirements under Chapter 17 of the Listing Rules, in any event not later than the refreshment or expiry of the scheme ma</t>
        </is>
      </c>
    </row>
    <row r="72">
      <c r="A72" s="8" t="inlineStr">
        <is>
          <t>Share-based Payment</t>
        </is>
      </c>
      <c r="B72" s="8" t="inlineStr">
        <is>
          <t>以股份為基礎的付款</t>
        </is>
      </c>
      <c r="C72" s="8" t="inlineStr">
        <is>
          <t>medium</t>
        </is>
      </c>
      <c r="D72" s="11" t="inlineStr">
        <is>
          <t>share option</t>
        </is>
      </c>
      <c r="E72" s="11" t="inlineStr">
        <is>
          <t>PDF p.72 (印刷頁 71)</t>
        </is>
      </c>
      <c r="F72" s="11" t="inlineStr">
        <is>
          <t>nce (Chapter 485 of the Laws of Hong Kong) for our eligible employees in Hong Kong. On 30 November 2017, the Company had adopted the Share Option Scheme under which full time or part time employees, including Directors, of the Company and its subsidiaries, might be granted options to subscribe for the Company’s ordinary shares. 71</t>
        </is>
      </c>
    </row>
    <row r="73">
      <c r="A73" s="8" t="inlineStr">
        <is>
          <t>Share-based Payment</t>
        </is>
      </c>
      <c r="B73" s="8" t="inlineStr">
        <is>
          <t>以股份為基礎的付款</t>
        </is>
      </c>
      <c r="C73" s="8" t="inlineStr">
        <is>
          <t>medium</t>
        </is>
      </c>
      <c r="D73" s="11" t="inlineStr">
        <is>
          <t>share-based payment</t>
        </is>
      </c>
      <c r="E73" s="11" t="inlineStr">
        <is>
          <t>PDF p.90 (印刷頁 89)</t>
        </is>
      </c>
      <c r="F73" s="11" t="inlineStr">
        <is>
          <t>alue for measurement and/or disclosure purposes in these consolidated financial statements is determined on such a basis, except for share-based payment transactions that are within the scope of HKFRS 2 Share-based Payment, leasing transactions that are accounted for in accordance with HKFRS 16 Leases, and measurements that have some similarities to fair value but are not fair value, such as net realisable value in HKAS 2 Inventories or value in use in HKAS 36 Impairment of Assets. For financial assets which are transacted at f</t>
        </is>
      </c>
    </row>
    <row r="74">
      <c r="A74" s="8" t="inlineStr">
        <is>
          <t>Share-based Payment</t>
        </is>
      </c>
      <c r="B74" s="8" t="inlineStr">
        <is>
          <t>以股份為基礎的付款</t>
        </is>
      </c>
      <c r="C74" s="8" t="inlineStr">
        <is>
          <t>medium</t>
        </is>
      </c>
      <c r="D74" s="11" t="inlineStr">
        <is>
          <t>share option</t>
        </is>
      </c>
      <c r="E74" s="11" t="inlineStr">
        <is>
          <t>PDF p.139 (印刷頁 138)</t>
        </is>
      </c>
      <c r="F74" s="11" t="inlineStr">
        <is>
          <t>uant to the Group’s reorganisation in 2017 over the nominal value of the share capital of the Company issued in exchange thereof. 29 SHARE OPTION SCHEME The Company’s share option scheme (the “Scheme”) was adopted in November 2017 for the purpose of attracting and retaining the best available personnel, to provide additional incentive to selected participants, including directors and eligible employees of the Group to promote the success of the business of the Group. The scheme adopted and became effective on 30 November 2017 f</t>
        </is>
      </c>
    </row>
    <row r="75">
      <c r="A75" s="8" t="inlineStr">
        <is>
          <t>Related Party Transactions</t>
        </is>
      </c>
      <c r="B75" s="8" t="inlineStr">
        <is>
          <t>關聯方交易</t>
        </is>
      </c>
      <c r="C75" s="8" t="inlineStr">
        <is>
          <t>low</t>
        </is>
      </c>
      <c r="D75" s="11" t="inlineStr">
        <is>
          <t>related party</t>
        </is>
      </c>
      <c r="E75" s="11" t="inlineStr">
        <is>
          <t>PDF p.66 (印刷頁 65)</t>
        </is>
      </c>
      <c r="F75" s="11" t="inlineStr">
        <is>
          <t>tract with the Company which is not determinable within one year without payment of compensation, other than statutory compensation. RELATED PARTY TRANSACTIONS Details of the related party transactions undertaken by the Group are set out in Note 30 to the consolidated financial statements. The Directors consider that those related party transactions did not fall under the definition of “connected transaction” or “continuing connected transaction” in Chapter 14A of the Listing Rules which are required to comply with any of the r</t>
        </is>
      </c>
    </row>
    <row r="76">
      <c r="A76" s="8" t="inlineStr">
        <is>
          <t>Related Party Transactions</t>
        </is>
      </c>
      <c r="B76" s="8" t="inlineStr">
        <is>
          <t>關聯方交易</t>
        </is>
      </c>
      <c r="C76" s="8" t="inlineStr">
        <is>
          <t>low</t>
        </is>
      </c>
      <c r="D76" s="11" t="inlineStr">
        <is>
          <t>related party</t>
        </is>
      </c>
      <c r="E76" s="11" t="inlineStr">
        <is>
          <t>PDF p.140 (印刷頁 139)</t>
        </is>
      </c>
      <c r="F76" s="11" t="inlineStr">
        <is>
          <t>VICON HOLDINGS LIMITED ANNUAL REPORT 2025-2026 NOTES TO THE CONSOLIDATED FINANCIAL STATEMENTS 30 RELATED PARTY TRANSACTIONS Related parties are those parties that have the ability to control, jointly control or exert significant influence over the other party. Parties are also considered to be related if they are subject to common control or joint control. Related parties may be individuals or other entities. Key management compensation Key management comprises the directors (executive and 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Inventories</t>
        </is>
      </c>
    </row>
    <row r="13">
      <c r="A13" s="8" t="inlineStr">
        <is>
          <t>Balance Sheet</t>
        </is>
      </c>
      <c r="B13" s="8" t="inlineStr">
        <is>
          <t>Trade Receivables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Investment Properties</t>
        </is>
      </c>
    </row>
    <row r="17">
      <c r="A17" s="8" t="inlineStr">
        <is>
          <t>Balance Sheet</t>
        </is>
      </c>
      <c r="B17" s="8" t="inlineStr">
        <is>
          <t>Total Liabilities</t>
        </is>
      </c>
    </row>
    <row r="18">
      <c r="A18" s="8" t="inlineStr">
        <is>
          <t>Balance Sheet</t>
        </is>
      </c>
      <c r="B18" s="8" t="inlineStr">
        <is>
          <t>Total Equity</t>
        </is>
      </c>
    </row>
    <row r="21">
      <c r="A21" s="5" t="inlineStr">
        <is>
          <t>二、文字量過低的頁面(疑似掃描頁)</t>
        </is>
      </c>
    </row>
    <row r="22">
      <c r="A22" s="2" t="inlineStr">
        <is>
          <t>這些頁面幾乎抓不到文字,通常是掃描件或純圖表,建議人手翻閱或另行 OCR。</t>
        </is>
      </c>
    </row>
    <row r="24">
      <c r="A24" s="7" t="inlineStr">
        <is>
          <t>PDF 頁碼</t>
        </is>
      </c>
      <c r="B24" s="7" t="inlineStr">
        <is>
          <t>狀態</t>
        </is>
      </c>
    </row>
    <row r="25">
      <c r="A25" s="8" t="n">
        <v>1</v>
      </c>
      <c r="B25"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2026-08-30T14:15:51Z</dcterms:created>
  <dcterms:modified xsi:type="dcterms:W3CDTF">2026-08-30T14:15:51Z</dcterms:modified>
</cp:coreProperties>
</file>
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01173_VEEKO_INT_L_20260729.pdf</t>
        </is>
      </c>
    </row>
    <row r="5">
      <c r="A5" s="3" t="inlineStr">
        <is>
          <t>產生時間 Generated</t>
        </is>
      </c>
      <c r="B5" s="4" t="inlineStr">
        <is>
          <t>2026-08-30 22:16</t>
        </is>
      </c>
    </row>
    <row r="6">
      <c r="A6" s="4" t="inlineStr"/>
      <c r="B6" s="4" t="inlineStr"/>
    </row>
    <row r="7">
      <c r="A7" s="3" t="inlineStr">
        <is>
          <t>總頁數 Total pages</t>
        </is>
      </c>
      <c r="B7" s="4" t="n">
        <v>184</v>
      </c>
    </row>
    <row r="8">
      <c r="A8" s="3" t="inlineStr">
        <is>
          <t>已擷取字元 Characters extracted</t>
        </is>
      </c>
      <c r="B8" s="4" t="n">
        <v>371344</v>
      </c>
    </row>
    <row r="9">
      <c r="A9" s="3" t="inlineStr">
        <is>
          <t>含表格頁數 Pages with tables</t>
        </is>
      </c>
      <c r="B9" s="4" t="n">
        <v>0</v>
      </c>
    </row>
    <row r="10">
      <c r="A10" s="3" t="inlineStr">
        <is>
          <t>需人手/OCR 頁數 Pages needing OCR</t>
        </is>
      </c>
      <c r="B10" s="4" t="n">
        <v>4</v>
      </c>
    </row>
    <row r="11">
      <c r="A11" s="4" t="inlineStr"/>
      <c r="B11" s="4" t="inlineStr"/>
    </row>
    <row r="12">
      <c r="A12" s="3" t="inlineStr">
        <is>
          <t>估值參數擷取筆數 Valuation parameters</t>
        </is>
      </c>
      <c r="B12" s="4" t="n">
        <v>10</v>
      </c>
    </row>
    <row r="13">
      <c r="A13" s="3" t="inlineStr">
        <is>
          <t>財務科目擷取筆數 Financial line items</t>
        </is>
      </c>
      <c r="B13" s="4" t="n">
        <v>14</v>
      </c>
    </row>
    <row r="14">
      <c r="A14" s="3" t="inlineStr">
        <is>
          <t>主題段落擷取筆數 Topic extracts</t>
        </is>
      </c>
      <c r="B14" s="4" t="n">
        <v>101</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160,296 − 319,141 = -158,845</t>
        </is>
      </c>
    </row>
    <row r="20">
      <c r="A20" s="6" t="inlineStr">
        <is>
          <t>✓ 收入 − 銷售成本 = 毛利</t>
        </is>
      </c>
      <c r="B20" s="4" t="inlineStr">
        <is>
          <t>420,687 − 227,132 = 193,555 vs 毛利 193,555</t>
        </is>
      </c>
    </row>
    <row r="21">
      <c r="A21" s="6" t="inlineStr">
        <is>
          <t>✓ 三大報表應相鄰</t>
        </is>
      </c>
      <c r="B21" s="4" t="inlineStr">
        <is>
          <t>Income Statement: p.65、Balance Sheet: p.66、Cash Flow: p.69(相距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Capitalisation Rate</t>
        </is>
      </c>
      <c r="B5" s="8" t="inlineStr">
        <is>
          <t>資本化率</t>
        </is>
      </c>
      <c r="C5" s="9" t="n">
        <v>3.6</v>
      </c>
      <c r="D5" s="10" t="n">
        <v>3.6</v>
      </c>
      <c r="E5" s="11" t="inlineStr">
        <is>
          <t>3.6%</t>
        </is>
      </c>
      <c r="F5" s="11" t="inlineStr">
        <is>
          <t>High</t>
        </is>
      </c>
      <c r="G5" s="11" t="inlineStr">
        <is>
          <t>PDF p.138 (印刷頁 136)</t>
        </is>
      </c>
      <c r="H5" s="11" t="inlineStr">
        <is>
          <t>properties 據為1)資本化比率3.6%（2025年：2.9%）及2)市值月租每平方 located in Hong Kong were 1) the capitalisation rate of 3.6% (2025: 呎229港元（2025年：242港元）。 2.9%) and 2) the monthly market rent of HK$229 (2025: HK$242) per sq.ft.. 評估位於中國內地之工業物業價值所用之其中兩項主要輸 Two of the key inputs u</t>
        </is>
      </c>
    </row>
    <row r="6">
      <c r="A6" s="8" t="inlineStr">
        <is>
          <t>Capitalisation Rate</t>
        </is>
      </c>
      <c r="B6" s="8" t="inlineStr">
        <is>
          <t>資本化率</t>
        </is>
      </c>
      <c r="C6" s="9" t="n">
        <v>5</v>
      </c>
      <c r="D6" s="10" t="n">
        <v>5</v>
      </c>
      <c r="E6" s="11" t="inlineStr">
        <is>
          <t>5.0%</t>
        </is>
      </c>
      <c r="F6" s="11" t="inlineStr">
        <is>
          <t>High</t>
        </is>
      </c>
      <c r="G6" s="11" t="inlineStr">
        <is>
          <t>PDF p.138 (印刷頁 136)</t>
        </is>
      </c>
      <c r="H6" s="11" t="inlineStr">
        <is>
          <t xml:space="preserve">rties located 入數據為1)資本化比率5.0%（2025年：5.0%）及2)每平方米之 in Mainland China were 1) the capitalisation rate of 5.0% (2025: 5.0%) 市值月租介乎人民幣23元至人民幣62元（2025年：人民幣22 and 2) the monthly market rent ranging from RMB23 to RMB62 (2025: 元至人民幣60元）不等。 RMB22 to RMB60) per square </t>
        </is>
      </c>
    </row>
    <row r="7">
      <c r="A7" s="8" t="inlineStr">
        <is>
          <t>Capitalisation Rate</t>
        </is>
      </c>
      <c r="B7" s="8" t="inlineStr">
        <is>
          <t>資本化率</t>
        </is>
      </c>
      <c r="C7" s="9" t="n">
        <v>3.4</v>
      </c>
      <c r="D7" s="10" t="n">
        <v>4.1</v>
      </c>
      <c r="E7" s="11" t="inlineStr">
        <is>
          <t>3.4% to 4.1%</t>
        </is>
      </c>
      <c r="F7" s="12" t="inlineStr">
        <is>
          <t>Low</t>
        </is>
      </c>
      <c r="G7" s="11" t="inlineStr">
        <is>
          <t>PDF p.138 (印刷頁 136)</t>
        </is>
      </c>
      <c r="H7" s="11" t="inlineStr">
        <is>
          <t>lar locations and conditions. Two of the key inputs used in valuing 介乎3.4%至4.1%的資本化率；及2）介乎每平方呎12港元至 the industrial property located in Hong Kong were 1) the capitalisation 每平方呎15港元之每月市場租金。 rate ranged from 3.4% to 4.1% and 2) the monthly market</t>
        </is>
      </c>
    </row>
    <row r="8">
      <c r="A8" s="8" t="inlineStr">
        <is>
          <t>Discount Rate</t>
        </is>
      </c>
      <c r="B8" s="8" t="inlineStr">
        <is>
          <t>折現率</t>
        </is>
      </c>
      <c r="C8" s="9" t="n">
        <v>14.9</v>
      </c>
      <c r="D8" s="10" t="n">
        <v>15.3</v>
      </c>
      <c r="E8" s="11" t="inlineStr">
        <is>
          <t>14.9% to 15.3%</t>
        </is>
      </c>
      <c r="F8" s="11" t="inlineStr">
        <is>
          <t>High</t>
        </is>
      </c>
      <c r="G8" s="11" t="inlineStr">
        <is>
          <t>PDF p.140 (印刷頁 138)</t>
        </is>
      </c>
      <c r="H8" s="11" t="inlineStr">
        <is>
          <t>oup covering the remaining lease terms 業額及毛利率乃經參考預期市場發展及零售店舖之過往表 with a pre-tax discount rate ranging from 14.9% to 15.3% per annum 現而釐定。 (2025: 13.4% to 13.8% per annum) as at 31st March, 2026. The forecasted revenue and gross profit margin have been d</t>
        </is>
      </c>
    </row>
    <row r="9">
      <c r="A9" s="8" t="inlineStr">
        <is>
          <t>Discount Rate</t>
        </is>
      </c>
      <c r="B9" s="8" t="inlineStr">
        <is>
          <t>折現率</t>
        </is>
      </c>
      <c r="C9" s="9" t="n">
        <v>13.4</v>
      </c>
      <c r="D9" s="10" t="n">
        <v>13.8</v>
      </c>
      <c r="E9" s="11" t="inlineStr">
        <is>
          <t>13.4% to 13.8%</t>
        </is>
      </c>
      <c r="F9" s="11" t="inlineStr">
        <is>
          <t>Medium</t>
        </is>
      </c>
      <c r="G9" s="11" t="inlineStr">
        <is>
          <t>PDF p.154 (印刷頁 152)</t>
        </is>
      </c>
      <c r="H9" s="11" t="inlineStr">
        <is>
          <t>lable lease period 13.4%至13.8%）之稅前折現率進行折現。經折現現金流量 and discounted with a pre-tax discount rate ranging from 14.9% to 的主要假設包括營業額增長、毛利率及餘下租賃期的不可 15.3% (2025: 13.4% to 13.8%) per annum. Key assumptions used 避免成本。金額乃根據過往表現及管理層對市場發展的預 when determining the dis</t>
        </is>
      </c>
    </row>
    <row r="10">
      <c r="A10" s="8" t="inlineStr">
        <is>
          <t>Gross Margin</t>
        </is>
      </c>
      <c r="B10" s="8" t="inlineStr">
        <is>
          <t>毛利率</t>
        </is>
      </c>
      <c r="C10" s="9" t="n">
        <v>0.1</v>
      </c>
      <c r="D10" s="10" t="n">
        <v>0.1</v>
      </c>
      <c r="E10" s="11" t="inlineStr">
        <is>
          <t>0.1 percent</t>
        </is>
      </c>
      <c r="F10" s="11" t="inlineStr">
        <is>
          <t>High</t>
        </is>
      </c>
      <c r="G10" s="11" t="inlineStr">
        <is>
          <t>PDF p.7 (印刷頁 5)</t>
        </is>
      </c>
      <c r="H10" s="11" t="inlineStr">
        <is>
          <t>for the same period last year, whereas 調。此外，本年度銷售及分銷成本減少15.8%，意味本集團 the overall gross profit margin increased slightly by 0.1 percentage 在成本控制方面已取得一定成效。 point to 46.0% for the Year from 45.9% for the previous year. The gross profit margin of cosmetics segment</t>
        </is>
      </c>
    </row>
    <row r="11">
      <c r="A11" s="8" t="inlineStr">
        <is>
          <t>Gross Margin</t>
        </is>
      </c>
      <c r="B11" s="8" t="inlineStr">
        <is>
          <t>毛利率</t>
        </is>
      </c>
      <c r="C11" s="9" t="n">
        <v>45.9</v>
      </c>
      <c r="D11" s="10" t="n">
        <v>45.9</v>
      </c>
      <c r="E11" s="11" t="inlineStr">
        <is>
          <t>45.9%</t>
        </is>
      </c>
      <c r="F11" s="11" t="inlineStr">
        <is>
          <t>Medium</t>
        </is>
      </c>
      <c r="G11" s="11" t="inlineStr">
        <is>
          <t>PDF p.7 (印刷頁 5)</t>
        </is>
      </c>
      <c r="H11" s="11" t="inlineStr">
        <is>
          <t>本控制方面已取得一定成效。 point to 46.0% for the Year from 45.9% for the previous year. The gross profit margin of cosmetics segment increased in the Year when compared with that of the previous year, while the gross profit margin of fashion segment decreased slightly. I</t>
        </is>
      </c>
    </row>
    <row r="12">
      <c r="A12" s="8" t="inlineStr">
        <is>
          <t>Gross Margin</t>
        </is>
      </c>
      <c r="B12" s="8" t="inlineStr">
        <is>
          <t>毛利率</t>
        </is>
      </c>
      <c r="C12" s="9" t="n">
        <v>15.8</v>
      </c>
      <c r="D12" s="10" t="n">
        <v>15.8</v>
      </c>
      <c r="E12" s="11" t="inlineStr">
        <is>
          <t>15.8%</t>
        </is>
      </c>
      <c r="F12" s="11" t="inlineStr">
        <is>
          <t>Medium</t>
        </is>
      </c>
      <c r="G12" s="11" t="inlineStr">
        <is>
          <t>PDF p.7 (印刷頁 5)</t>
        </is>
      </c>
      <c r="H12" s="11" t="inlineStr">
        <is>
          <t xml:space="preserve">193,555,000 for the Year, representing a decrease of 12.5% as 業務之毛利率較上年度上升，時裝業務之毛利率則略為下 compared with HK$221,168,000 for the same period last year, whereas 調。此外，本年度銷售及分銷成本減少15.8%，意味本集團 the overall gross profit margin increased slightly by 0.1 </t>
        </is>
      </c>
    </row>
    <row r="13">
      <c r="A13" s="8" t="inlineStr">
        <is>
          <t>Gross Margin</t>
        </is>
      </c>
      <c r="B13" s="8" t="inlineStr">
        <is>
          <t>毛利率</t>
        </is>
      </c>
      <c r="C13" s="9" t="n">
        <v>14.9</v>
      </c>
      <c r="D13" s="10" t="n">
        <v>15.3</v>
      </c>
      <c r="E13" s="11" t="inlineStr">
        <is>
          <t>14.9% to 15.3%</t>
        </is>
      </c>
      <c r="F13" s="11" t="inlineStr">
        <is>
          <t>Medium</t>
        </is>
      </c>
      <c r="G13" s="11" t="inlineStr">
        <is>
          <t>PDF p.140 (印刷頁 138)</t>
        </is>
      </c>
      <c r="H13" s="11" t="inlineStr">
        <is>
          <t>.8%）不等。預測營 by the management of the Group covering the remaining lease terms 業額及毛利率乃經參考預期市場發展及零售店舖之過往表 with a pre-tax discount rate ranging from 14.9% to 15.3% per annum 現而釐定。 (2025: 13.4% to 13.8% per annum) as at 31st March, 2026. The foreca</t>
        </is>
      </c>
    </row>
    <row r="14">
      <c r="A14" s="8" t="inlineStr">
        <is>
          <t>Gross Margin</t>
        </is>
      </c>
      <c r="B14" s="8" t="inlineStr">
        <is>
          <t>毛利率</t>
        </is>
      </c>
      <c r="C14" s="9" t="n">
        <v>13.4</v>
      </c>
      <c r="D14" s="10" t="n">
        <v>13.8</v>
      </c>
      <c r="E14" s="11" t="inlineStr">
        <is>
          <t>13.4% to 13.8%</t>
        </is>
      </c>
      <c r="F14" s="11" t="inlineStr">
        <is>
          <t>High</t>
        </is>
      </c>
      <c r="G14" s="11" t="inlineStr">
        <is>
          <t>PDF p.154 (印刷頁 152)</t>
        </is>
      </c>
      <c r="H14" s="11" t="inlineStr">
        <is>
          <t xml:space="preserve"> and discounted with a pre-tax discount rate ranging from 14.9% to 的主要假設包括營業額增長、毛利率及餘下租賃期的不可 15.3% (2025: 13.4% to 13.8%) per annum. Key assumptions used 避免成本。金額乃根據過往表現及管理層對市場發展的預 when determining the discounted cash flow forecasts include rev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3" t="n">
        <v>420687</v>
      </c>
      <c r="D5" s="14" t="n">
        <v>481484</v>
      </c>
      <c r="E5" s="15">
        <f>IF(ISERROR((C5-D5)/ABS(D5)),"",(C5-D5)/ABS(D5))</f>
        <v>-0.1262700318182951</v>
      </c>
      <c r="F5" s="11" t="inlineStr">
        <is>
          <t>PDF p.65 (印刷頁 63)</t>
        </is>
      </c>
      <c r="G5" s="11" t="inlineStr">
        <is>
          <t>營業額 Revenue 4 420,687 481,484</t>
        </is>
      </c>
    </row>
    <row r="6">
      <c r="A6" s="8" t="inlineStr">
        <is>
          <t>Income Statement</t>
        </is>
      </c>
      <c r="B6" s="8" t="inlineStr">
        <is>
          <t>Cost of Sales</t>
        </is>
      </c>
      <c r="C6" s="13" t="n">
        <v>-227132</v>
      </c>
      <c r="D6" s="14" t="n">
        <v>-260316</v>
      </c>
      <c r="E6" s="15">
        <f>IF(ISERROR((C6-D6)/ABS(D6)),"",(C6-D6)/ABS(D6))</f>
        <v>0.12747583705957374</v>
      </c>
      <c r="F6" s="11" t="inlineStr">
        <is>
          <t>PDF p.65 (印刷頁 63)</t>
        </is>
      </c>
      <c r="G6" s="11" t="inlineStr">
        <is>
          <t>銷售成本 Cost of goods sold (227,132) (260,316)</t>
        </is>
      </c>
    </row>
    <row r="7">
      <c r="A7" s="8" t="inlineStr">
        <is>
          <t>Income Statement</t>
        </is>
      </c>
      <c r="B7" s="8" t="inlineStr">
        <is>
          <t>Gross Profit</t>
        </is>
      </c>
      <c r="C7" s="13" t="n">
        <v>193555</v>
      </c>
      <c r="D7" s="14" t="n">
        <v>221168</v>
      </c>
      <c r="E7" s="15">
        <f>IF(ISERROR((C7-D7)/ABS(D7)),"",(C7-D7)/ABS(D7))</f>
        <v>-0.12485079215799753</v>
      </c>
      <c r="F7" s="11" t="inlineStr">
        <is>
          <t>PDF p.65 (印刷頁 63)</t>
        </is>
      </c>
      <c r="G7" s="11" t="inlineStr">
        <is>
          <t>毛利 Gross profit 193,555 221,168</t>
        </is>
      </c>
    </row>
    <row r="8">
      <c r="A8" s="8" t="inlineStr">
        <is>
          <t>Income Statement</t>
        </is>
      </c>
      <c r="B8" s="8" t="inlineStr">
        <is>
          <t>Finance Costs</t>
        </is>
      </c>
      <c r="C8" s="13" t="n">
        <v>-28530</v>
      </c>
      <c r="D8" s="14" t="n">
        <v>-39781</v>
      </c>
      <c r="E8" s="15">
        <f>IF(ISERROR((C8-D8)/ABS(D8)),"",(C8-D8)/ABS(D8))</f>
        <v>0.28282345843493123</v>
      </c>
      <c r="F8" s="11" t="inlineStr">
        <is>
          <t>PDF p.65 (印刷頁 63)</t>
        </is>
      </c>
      <c r="G8" s="11" t="inlineStr">
        <is>
          <t>融資成本 Finance costs 7 (28,530) (39,781)</t>
        </is>
      </c>
    </row>
    <row r="9">
      <c r="A9" s="8" t="inlineStr">
        <is>
          <t>Income Statement</t>
        </is>
      </c>
      <c r="B9" s="8" t="inlineStr">
        <is>
          <t>Profit Before Tax</t>
        </is>
      </c>
      <c r="C9" s="13" t="n">
        <v>-105756</v>
      </c>
      <c r="D9" s="14" t="n">
        <v>-123993</v>
      </c>
      <c r="E9" s="15">
        <f>IF(ISERROR((C9-D9)/ABS(D9)),"",(C9-D9)/ABS(D9))</f>
        <v>0.14708088359826765</v>
      </c>
      <c r="F9" s="11" t="inlineStr">
        <is>
          <t>PDF p.65 (印刷頁 63)</t>
        </is>
      </c>
      <c r="G9" s="11" t="inlineStr">
        <is>
          <t>除稅前虧損 Loss before tax 6 (105,756) (123,993)</t>
        </is>
      </c>
    </row>
    <row r="10">
      <c r="A10" s="8" t="inlineStr">
        <is>
          <t>Income Statement</t>
        </is>
      </c>
      <c r="B10" s="8" t="inlineStr">
        <is>
          <t>Profit for the Year</t>
        </is>
      </c>
      <c r="C10" s="13" t="n">
        <v>-105529</v>
      </c>
      <c r="D10" s="14" t="n">
        <v>-124767</v>
      </c>
      <c r="E10" s="15">
        <f>IF(ISERROR((C10-D10)/ABS(D10)),"",(C10-D10)/ABS(D10))</f>
        <v>0.15419141279344697</v>
      </c>
      <c r="F10" s="11" t="inlineStr">
        <is>
          <t>PDF p.65 (印刷頁 63)</t>
        </is>
      </c>
      <c r="G10" s="11" t="inlineStr">
        <is>
          <t>本年度虧損 Loss for the year (105,529) (124,767)</t>
        </is>
      </c>
    </row>
    <row r="11">
      <c r="A11" s="8" t="inlineStr">
        <is>
          <t>Balance Sheet</t>
        </is>
      </c>
      <c r="B11" s="8" t="inlineStr">
        <is>
          <t>Investment Properties</t>
        </is>
      </c>
      <c r="C11" s="13" t="n">
        <v>493327</v>
      </c>
      <c r="D11" s="14" t="n">
        <v>513552</v>
      </c>
      <c r="E11" s="15">
        <f>IF(ISERROR((C11-D11)/ABS(D11)),"",(C11-D11)/ABS(D11))</f>
        <v>-0.039382574695454406</v>
      </c>
      <c r="F11" s="11" t="inlineStr">
        <is>
          <t>PDF p.66 (印刷頁 64)</t>
        </is>
      </c>
      <c r="G11" s="11" t="inlineStr">
        <is>
          <t>投資物業 Investment properties 13 493,327 513,552</t>
        </is>
      </c>
    </row>
    <row r="12">
      <c r="A12" s="8" t="inlineStr">
        <is>
          <t>Balance Sheet</t>
        </is>
      </c>
      <c r="B12" s="8" t="inlineStr">
        <is>
          <t>Property Plant and Equipment</t>
        </is>
      </c>
      <c r="C12" s="13" t="n">
        <v>7507</v>
      </c>
      <c r="D12" s="14" t="n">
        <v>16002</v>
      </c>
      <c r="E12" s="15">
        <f>IF(ISERROR((C12-D12)/ABS(D12)),"",(C12-D12)/ABS(D12))</f>
        <v>-0.5308711411073616</v>
      </c>
      <c r="F12" s="11" t="inlineStr">
        <is>
          <t>PDF p.66 (印刷頁 64)</t>
        </is>
      </c>
      <c r="G12" s="11" t="inlineStr">
        <is>
          <t>產業、廠房及設備 Property, plant and equipment 14 7,507 16,002</t>
        </is>
      </c>
    </row>
    <row r="13">
      <c r="A13" s="8" t="inlineStr">
        <is>
          <t>Balance Sheet</t>
        </is>
      </c>
      <c r="B13" s="8" t="inlineStr">
        <is>
          <t>Inventories</t>
        </is>
      </c>
      <c r="C13" s="13" t="n">
        <v>91436</v>
      </c>
      <c r="D13" s="14" t="n">
        <v>120605</v>
      </c>
      <c r="E13" s="15">
        <f>IF(ISERROR((C13-D13)/ABS(D13)),"",(C13-D13)/ABS(D13))</f>
        <v>-0.24185564445918495</v>
      </c>
      <c r="F13" s="11" t="inlineStr">
        <is>
          <t>PDF p.66 (印刷頁 64)</t>
        </is>
      </c>
      <c r="G13" s="11" t="inlineStr">
        <is>
          <t>存貨 Inventories 17 91,436 120,605</t>
        </is>
      </c>
    </row>
    <row r="14">
      <c r="A14" s="8" t="inlineStr">
        <is>
          <t>Balance Sheet</t>
        </is>
      </c>
      <c r="B14" s="8" t="inlineStr">
        <is>
          <t>Trade Receivables</t>
        </is>
      </c>
      <c r="C14" s="13" t="n">
        <v>1560</v>
      </c>
      <c r="D14" s="14" t="n">
        <v>1957</v>
      </c>
      <c r="E14" s="15">
        <f>IF(ISERROR((C14-D14)/ABS(D14)),"",(C14-D14)/ABS(D14))</f>
        <v>-0.20286152273888605</v>
      </c>
      <c r="F14" s="11" t="inlineStr">
        <is>
          <t>PDF p.66 (印刷頁 64)</t>
        </is>
      </c>
      <c r="G14" s="11" t="inlineStr">
        <is>
          <t>應收貿易款項 Trade receivables 18 1,560 1,957</t>
        </is>
      </c>
    </row>
    <row r="15">
      <c r="A15" s="8" t="inlineStr">
        <is>
          <t>Balance Sheet</t>
        </is>
      </c>
      <c r="B15" s="8" t="inlineStr">
        <is>
          <t>Cash and Equivalents</t>
        </is>
      </c>
      <c r="C15" s="13" t="n">
        <v>16537</v>
      </c>
      <c r="D15" s="14" t="n">
        <v>13126</v>
      </c>
      <c r="E15" s="15">
        <f>IF(ISERROR((C15-D15)/ABS(D15)),"",(C15-D15)/ABS(D15))</f>
        <v>0.25986591497790645</v>
      </c>
      <c r="F15" s="11" t="inlineStr">
        <is>
          <t>PDF p.66 (印刷頁 64)</t>
        </is>
      </c>
      <c r="G15" s="11" t="inlineStr">
        <is>
          <t>現金及現金等值項目 Cash and cash equivalents 19 16,537 13,126</t>
        </is>
      </c>
    </row>
    <row r="16">
      <c r="A16" s="8" t="inlineStr">
        <is>
          <t>Balance Sheet</t>
        </is>
      </c>
      <c r="B16" s="8" t="inlineStr">
        <is>
          <t>Total Current Assets</t>
        </is>
      </c>
      <c r="C16" s="13" t="n">
        <v>160296</v>
      </c>
      <c r="D16" s="14" t="n">
        <v>182911</v>
      </c>
      <c r="E16" s="15">
        <f>IF(ISERROR((C16-D16)/ABS(D16)),"",(C16-D16)/ABS(D16))</f>
        <v>-0.12363936559310265</v>
      </c>
      <c r="F16" s="11" t="inlineStr">
        <is>
          <t>PDF p.66 (印刷頁 64)</t>
        </is>
      </c>
      <c r="G16" s="11" t="inlineStr">
        <is>
          <t>總流動資產 Total Current Assets 160,296 182,911</t>
        </is>
      </c>
    </row>
    <row r="17">
      <c r="A17" s="8" t="inlineStr">
        <is>
          <t>Balance Sheet</t>
        </is>
      </c>
      <c r="B17" s="8" t="inlineStr">
        <is>
          <t>Total Current Liabilities</t>
        </is>
      </c>
      <c r="C17" s="13" t="n">
        <v>319141</v>
      </c>
      <c r="D17" s="14" t="n">
        <v>303875</v>
      </c>
      <c r="E17" s="15">
        <f>IF(ISERROR((C17-D17)/ABS(D17)),"",(C17-D17)/ABS(D17))</f>
        <v>0.05023776223776224</v>
      </c>
      <c r="F17" s="11" t="inlineStr">
        <is>
          <t>PDF p.66 (印刷頁 64)</t>
        </is>
      </c>
      <c r="G17" s="11" t="inlineStr">
        <is>
          <t>總流動負債 Total Current Liabilities 319,141 303,875</t>
        </is>
      </c>
    </row>
    <row r="18">
      <c r="A18" s="8" t="inlineStr">
        <is>
          <t>Balance Sheet</t>
        </is>
      </c>
      <c r="B18" s="8" t="inlineStr">
        <is>
          <t>Total Equity</t>
        </is>
      </c>
      <c r="C18" s="13" t="n">
        <v>18877</v>
      </c>
      <c r="D18" s="14" t="n">
        <v>79277</v>
      </c>
      <c r="E18" s="15">
        <f>IF(ISERROR((C18-D18)/ABS(D18)),"",(C18-D18)/ABS(D18))</f>
        <v>-0.7618855405729278</v>
      </c>
      <c r="F18" s="11" t="inlineStr">
        <is>
          <t>PDF p.66 (印刷頁 64)</t>
        </is>
      </c>
      <c r="G18" s="11" t="inlineStr">
        <is>
          <t>總權益 Total Equity 18,877 79,277</t>
        </is>
      </c>
    </row>
    <row r="20">
      <c r="A20"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6">
        <f>IF(ISERROR(INDEX('Financials 財務數據'!$C$5:$C$18,MATCH("Gross Profit",'Financials 財務數據'!$B$5:$B$18,0))/INDEX('Financials 財務數據'!$C$5:$C$18,MATCH("Revenue",'Financials 財務數據'!$B$5:$B$18,0))),"n/a",INDEX('Financials 財務數據'!$C$5:$C$18,MATCH("Gross Profit",'Financials 財務數據'!$B$5:$B$18,0))/INDEX('Financials 財務數據'!$C$5:$C$18,MATCH("Revenue",'Financials 財務數據'!$B$5:$B$18,0)))</f>
        <v>0.4600926579618576</v>
      </c>
      <c r="C5" s="16">
        <f>IF(ISERROR(INDEX('Financials 財務數據'!$D$5:$D$18,MATCH("Gross Profit",'Financials 財務數據'!$B$5:$B$18,0))/INDEX('Financials 財務數據'!$D$5:$D$18,MATCH("Revenue",'Financials 財務數據'!$B$5:$B$18,0))),"n/a",INDEX('Financials 財務數據'!$D$5:$D$18,MATCH("Gross Profit",'Financials 財務數據'!$B$5:$B$18,0))/INDEX('Financials 財務數據'!$D$5:$D$18,MATCH("Revenue",'Financials 財務數據'!$B$5:$B$18,0)))</f>
        <v>0.4593465203412782</v>
      </c>
      <c r="D5" s="2" t="inlineStr">
        <is>
          <t>毛利 ÷ 收入</t>
        </is>
      </c>
    </row>
    <row r="6">
      <c r="A6" s="4" t="inlineStr">
        <is>
          <t>Net Margin 淨利率</t>
        </is>
      </c>
      <c r="B6" s="16">
        <f>IF(ISERROR(INDEX('Financials 財務數據'!$C$5:$C$18,MATCH("Profit for the Year",'Financials 財務數據'!$B$5:$B$18,0))/INDEX('Financials 財務數據'!$C$5:$C$18,MATCH("Revenue",'Financials 財務數據'!$B$5:$B$18,0))),"n/a",INDEX('Financials 財務數據'!$C$5:$C$18,MATCH("Profit for the Year",'Financials 財務數據'!$B$5:$B$18,0))/INDEX('Financials 財務數據'!$C$5:$C$18,MATCH("Revenue",'Financials 財務數據'!$B$5:$B$18,0)))</f>
        <v>-0.25084920617941603</v>
      </c>
      <c r="C6" s="16">
        <f>IF(ISERROR(INDEX('Financials 財務數據'!$D$5:$D$18,MATCH("Profit for the Year",'Financials 財務數據'!$B$5:$B$18,0))/INDEX('Financials 財務數據'!$D$5:$D$18,MATCH("Revenue",'Financials 財務數據'!$B$5:$B$18,0))),"n/a",INDEX('Financials 財務數據'!$D$5:$D$18,MATCH("Profit for the Year",'Financials 財務數據'!$B$5:$B$18,0))/INDEX('Financials 財務數據'!$D$5:$D$18,MATCH("Revenue",'Financials 財務數據'!$B$5:$B$18,0)))</f>
        <v>-0.25913010608867587</v>
      </c>
      <c r="D6" s="2" t="inlineStr">
        <is>
          <t>年內溢利 ÷ 收入</t>
        </is>
      </c>
    </row>
    <row r="7">
      <c r="A7" s="4" t="inlineStr">
        <is>
          <t>Current Ratio 流動比率</t>
        </is>
      </c>
      <c r="B7" s="17">
        <f>IF(ISERROR(INDEX('Financials 財務數據'!$C$5:$C$18,MATCH("Total Current Assets",'Financials 財務數據'!$B$5:$B$18,0))/INDEX('Financials 財務數據'!$C$5:$C$18,MATCH("Total Current Liabilities",'Financials 財務數據'!$B$5:$B$18,0))),"n/a",INDEX('Financials 財務數據'!$C$5:$C$18,MATCH("Total Current Assets",'Financials 財務數據'!$B$5:$B$18,0))/INDEX('Financials 財務數據'!$C$5:$C$18,MATCH("Total Current Liabilities",'Financials 財務數據'!$B$5:$B$18,0)))</f>
        <v>0.5022732898624745</v>
      </c>
      <c r="C7" s="17">
        <f>IF(ISERROR(INDEX('Financials 財務數據'!$D$5:$D$18,MATCH("Total Current Assets",'Financials 財務數據'!$B$5:$B$18,0))/INDEX('Financials 財務數據'!$D$5:$D$18,MATCH("Total Current Liabilities",'Financials 財務數據'!$B$5:$B$18,0))),"n/a",INDEX('Financials 財務數據'!$D$5:$D$18,MATCH("Total Current Assets",'Financials 財務數據'!$B$5:$B$18,0))/INDEX('Financials 財務數據'!$D$5:$D$18,MATCH("Total Current Liabilities",'Financials 財務數據'!$B$5:$B$18,0)))</f>
        <v>0.6019284245166598</v>
      </c>
      <c r="D7" s="2" t="inlineStr">
        <is>
          <t>流動資產 ÷ 流動負債</t>
        </is>
      </c>
    </row>
    <row r="8">
      <c r="A8" s="4" t="inlineStr">
        <is>
          <t>Debt / Equity 負債權益比</t>
        </is>
      </c>
      <c r="B8" s="17" t="str">
        <f>IF(ISERROR(INDEX('Financials 財務數據'!$C$5:$C$18,MATCH("Total Liabilities",'Financials 財務數據'!$B$5:$B$18,0))/INDEX('Financials 財務數據'!$C$5:$C$18,MATCH("Total Equity",'Financials 財務數據'!$B$5:$B$18,0))),"n/a",INDEX('Financials 財務數據'!$C$5:$C$18,MATCH("Total Liabilities",'Financials 財務數據'!$B$5:$B$18,0))/INDEX('Financials 財務數據'!$C$5:$C$18,MATCH("Total Equity",'Financials 財務數據'!$B$5:$B$18,0)))</f>
        <v>n/a</v>
      </c>
      <c r="C8" s="17" t="str">
        <f>IF(ISERROR(INDEX('Financials 財務數據'!$D$5:$D$18,MATCH("Total Liabilities",'Financials 財務數據'!$B$5:$B$18,0))/INDEX('Financials 財務數據'!$D$5:$D$18,MATCH("Total Equity",'Financials 財務數據'!$B$5:$B$18,0))),"n/a",INDEX('Financials 財務數據'!$D$5:$D$18,MATCH("Total Liabilities",'Financials 財務數據'!$B$5:$B$18,0))/INDEX('Financials 財務數據'!$D$5:$D$18,MATCH("Total Equity",'Financials 財務數據'!$B$5:$B$18,0)))</f>
        <v>n/a</v>
      </c>
      <c r="D8" s="2" t="inlineStr">
        <is>
          <t>總負債 ÷ 總權益</t>
        </is>
      </c>
    </row>
    <row r="9">
      <c r="A9" s="4" t="inlineStr">
        <is>
          <t>Goodwill / Total Assets</t>
        </is>
      </c>
      <c r="B9" s="16" t="str">
        <f>IF(ISERROR(INDEX('Financials 財務數據'!$C$5:$C$18,MATCH("Goodwill",'Financials 財務數據'!$B$5:$B$18,0))/INDEX('Financials 財務數據'!$C$5:$C$18,MATCH("Total Assets",'Financials 財務數據'!$B$5:$B$18,0))),"n/a",INDEX('Financials 財務數據'!$C$5:$C$18,MATCH("Goodwill",'Financials 財務數據'!$B$5:$B$18,0))/INDEX('Financials 財務數據'!$C$5:$C$18,MATCH("Total Assets",'Financials 財務數據'!$B$5:$B$18,0)))</f>
        <v>n/a</v>
      </c>
      <c r="C9" s="16" t="str">
        <f>IF(ISERROR(INDEX('Financials 財務數據'!$D$5:$D$18,MATCH("Goodwill",'Financials 財務數據'!$B$5:$B$18,0))/INDEX('Financials 財務數據'!$D$5:$D$18,MATCH("Total Assets",'Financials 財務數據'!$B$5:$B$18,0))),"n/a",INDEX('Financials 財務數據'!$D$5:$D$18,MATCH("Goodwill",'Financials 財務數據'!$B$5:$B$18,0))/INDEX('Financials 財務數據'!$D$5:$D$18,MATCH("Total Assets",'Financials 財務數據'!$B$5:$B$18,0)))</f>
        <v>n/a</v>
      </c>
      <c r="D9" s="2" t="inlineStr">
        <is>
          <t>商譽佔總資產比重 — 減值風險指標</t>
        </is>
      </c>
    </row>
    <row r="10">
      <c r="A10" s="4" t="inlineStr">
        <is>
          <t>Intangibles / Total Assets</t>
        </is>
      </c>
      <c r="B10" s="16" t="str">
        <f>IF(ISERROR(INDEX('Financials 財務數據'!$C$5:$C$18,MATCH("Intangible Assets",'Financials 財務數據'!$B$5:$B$18,0))/INDEX('Financials 財務數據'!$C$5:$C$18,MATCH("Total Assets",'Financials 財務數據'!$B$5:$B$18,0))),"n/a",INDEX('Financials 財務數據'!$C$5:$C$18,MATCH("Intangible Assets",'Financials 財務數據'!$B$5:$B$18,0))/INDEX('Financials 財務數據'!$C$5:$C$18,MATCH("Total Assets",'Financials 財務數據'!$B$5:$B$18,0)))</f>
        <v>n/a</v>
      </c>
      <c r="C10" s="16" t="str">
        <f>IF(ISERROR(INDEX('Financials 財務數據'!$D$5:$D$18,MATCH("Intangible Assets",'Financials 財務數據'!$B$5:$B$18,0))/INDEX('Financials 財務數據'!$D$5:$D$18,MATCH("Total Assets",'Financials 財務數據'!$B$5:$B$18,0))),"n/a",INDEX('Financials 財務數據'!$D$5:$D$18,MATCH("Intangible Assets",'Financials 財務數據'!$B$5:$B$18,0))/INDEX('Financials 財務數據'!$D$5:$D$18,MATCH("Total Assets",'Financials 財務數據'!$B$5:$B$18,0)))</f>
        <v>n/a</v>
      </c>
      <c r="D10" s="2" t="inlineStr">
        <is>
          <t>無形資產佔比</t>
        </is>
      </c>
    </row>
    <row r="11">
      <c r="A11" s="4" t="inlineStr">
        <is>
          <t>ROE 股本回報率</t>
        </is>
      </c>
      <c r="B11" s="16">
        <f>IF(ISERROR(INDEX('Financials 財務數據'!$C$5:$C$18,MATCH("Profit for the Year",'Financials 財務數據'!$B$5:$B$18,0))/INDEX('Financials 財務數據'!$C$5:$C$18,MATCH("Total Equity",'Financials 財務數據'!$B$5:$B$18,0))),"n/a",INDEX('Financials 財務數據'!$C$5:$C$18,MATCH("Profit for the Year",'Financials 財務數據'!$B$5:$B$18,0))/INDEX('Financials 財務數據'!$C$5:$C$18,MATCH("Total Equity",'Financials 財務數據'!$B$5:$B$18,0)))</f>
        <v>-5.590348042591513</v>
      </c>
      <c r="C11" s="16">
        <f>IF(ISERROR(INDEX('Financials 財務數據'!$D$5:$D$18,MATCH("Profit for the Year",'Financials 財務數據'!$B$5:$B$18,0))/INDEX('Financials 財務數據'!$D$5:$D$18,MATCH("Total Equity",'Financials 財務數據'!$B$5:$B$18,0))),"n/a",INDEX('Financials 財務數據'!$D$5:$D$18,MATCH("Profit for the Year",'Financials 財務數據'!$B$5:$B$18,0))/INDEX('Financials 財務數據'!$D$5:$D$18,MATCH("Total Equity",'Financials 財務數據'!$B$5:$B$18,0)))</f>
        <v>-1.5738108152427563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481484</v>
      </c>
      <c r="C5" s="19" t="n">
        <v>420687</v>
      </c>
    </row>
    <row r="6">
      <c r="A6" s="4" t="inlineStr">
        <is>
          <t>Gross Profit</t>
        </is>
      </c>
      <c r="B6" s="19" t="n">
        <v>221168</v>
      </c>
      <c r="C6" s="19" t="n">
        <v>193555</v>
      </c>
    </row>
    <row r="7">
      <c r="A7" s="4" t="inlineStr">
        <is>
          <t>Profit Before Tax</t>
        </is>
      </c>
      <c r="B7" s="19" t="n">
        <v>-123993</v>
      </c>
      <c r="C7" s="19" t="n">
        <v>-105756</v>
      </c>
    </row>
    <row r="8">
      <c r="A8" s="4" t="inlineStr">
        <is>
          <t>Profit for the Year</t>
        </is>
      </c>
      <c r="B8" s="19" t="n">
        <v>-124767</v>
      </c>
      <c r="C8" s="19" t="n">
        <v>-105529</v>
      </c>
    </row>
    <row r="9">
      <c r="A9" s="4" t="inlineStr">
        <is>
          <t>Total Equity</t>
        </is>
      </c>
      <c r="B9" s="19" t="n">
        <v>79277</v>
      </c>
      <c r="C9" s="19" t="n">
        <v>18877</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04"/>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20" t="inlineStr">
        <is>
          <t>high</t>
        </is>
      </c>
      <c r="D4" s="11" t="inlineStr">
        <is>
          <t>level 1</t>
        </is>
      </c>
      <c r="E4" s="11" t="inlineStr">
        <is>
          <t>PDF p.86 (印刷頁 84)</t>
        </is>
      </c>
      <c r="F4" s="11" t="inlineStr">
        <is>
          <t>as follows, based on the lowest level input that is significant to the fair value measurement as a whole: 第1層 — 基於相同資產或負債在活躍市場的報價（未予 Level 1 – based on quoted prices (unadjusted) in active markets 調整） for identical assets or liabilities 第2層 — 基於可直接或間接觀察得到對公平價值計量 Level 2 – based on valuation techniques for which the lowest 而言屬重大的最低層級輸入數據的估值技術 level input that is significant to the fair value measurement is observable, either directly or indirectly 第3層 — 基於不可觀察得到對公平價值計量而言屬重 Level 3 – based on valuation techniques for which the lo</t>
        </is>
      </c>
    </row>
    <row r="5">
      <c r="A5" s="8" t="inlineStr">
        <is>
          <t>Fair Value Measurement</t>
        </is>
      </c>
      <c r="B5" s="8" t="inlineStr">
        <is>
          <t>公允價值計量</t>
        </is>
      </c>
      <c r="C5" s="20" t="inlineStr">
        <is>
          <t>high</t>
        </is>
      </c>
      <c r="D5" s="11" t="inlineStr">
        <is>
          <t>valuation technique</t>
        </is>
      </c>
      <c r="E5" s="11" t="inlineStr">
        <is>
          <t>PDF p.118 (印刷頁 116)</t>
        </is>
      </c>
      <c r="F5" s="11" t="inlineStr">
        <is>
          <t>判斷以制定適當之估值技 Management works closely with the valuers and exercises judgement 術和模式之主要輸入數據。用於釐定泊車位和一個位於香 to establish the appropriate valuation technique and key inputs to the 港的工業物業之公平價值的主要輸入數據包括類似物業於 model. The key inputs used in determining the fair values of parking 市場上的可觀察交易、並考慮到直接比較法項下的該等投 spaces and an industrial property located in Hong Kong include 資物業位置及狀況之差異。用於釐定位於香港的商用物業 market observable transactions of similar properties and taking into 和一個工業物業以及位於中國內地的工業物業之公平價值 account the differences in the location and condition</t>
        </is>
      </c>
    </row>
    <row r="6">
      <c r="A6" s="8" t="inlineStr">
        <is>
          <t>Fair Value Measurement</t>
        </is>
      </c>
      <c r="B6" s="8" t="inlineStr">
        <is>
          <t>公允價值計量</t>
        </is>
      </c>
      <c r="C6" s="20" t="inlineStr">
        <is>
          <t>high</t>
        </is>
      </c>
      <c r="D6" s="11" t="inlineStr">
        <is>
          <t>valuation technique</t>
        </is>
      </c>
      <c r="E6" s="11" t="inlineStr">
        <is>
          <t>PDF p.137 (印刷頁 135)</t>
        </is>
      </c>
      <c r="F6" s="11" t="inlineStr">
        <is>
          <t>f tenancy and 採用的估值技術並無變動。 the reversionary market rent after expiry of tenancy in capitalisation. There have been no changes to the valuation technique used during the years. 於估計物業公平價值時，物業最高及最佳用途被視為其目 When estimating the fair value of the properties, the highest and best 前用途。 use of the properties is considered to be their current use. 直接比較法 Direct comparison approach 評估泊車位價值時所用之其中一項主要輸入數據為類似 One of the key inputs used when valuing the parking spaces was 泊車位於市場上可觀察之價格為2,850,000港元（2025年： the market observable price of similar p</t>
        </is>
      </c>
    </row>
    <row r="7">
      <c r="A7" s="8" t="inlineStr">
        <is>
          <t>Fair Value Measurement</t>
        </is>
      </c>
      <c r="B7" s="8" t="inlineStr">
        <is>
          <t>公允價值計量</t>
        </is>
      </c>
      <c r="C7" s="20" t="inlineStr">
        <is>
          <t>high</t>
        </is>
      </c>
      <c r="D7" s="11" t="inlineStr">
        <is>
          <t>fair value hierarchy</t>
        </is>
      </c>
      <c r="E7" s="11" t="inlineStr">
        <is>
          <t>PDF p.138 (印刷頁 136)</t>
        </is>
      </c>
      <c r="F7" s="11" t="inlineStr">
        <is>
          <t>nd vice versa. 於2026年及2025年3月31日，本集團之投資物業已予分類為 The Group’s investment properties are categorised within level 3 of the 公平價值層級當中的第3層。 fair value hierarchy as at 31st March, 2026 and 2025. 於本年度內，並無第3層之輸入或輸出數據。 There were no transfers into or out of Level 3 during the year. 本集團已抵押總值426,360,000港元（2025年：454,218,000港 The Group has pledged investment properties with a total of 元）之投資物業，以取得本集團獲授予的一般銀行授信（附 HK$426,360,000 (2025: HK$454,218,000) to secure general banking 註29）。 facilities granted to the Group (note 29). 136</t>
        </is>
      </c>
    </row>
    <row r="8">
      <c r="A8" s="8" t="inlineStr">
        <is>
          <t>Fair Value Measurement</t>
        </is>
      </c>
      <c r="B8" s="8" t="inlineStr">
        <is>
          <t>公允價值計量</t>
        </is>
      </c>
      <c r="C8" s="20" t="inlineStr">
        <is>
          <t>high</t>
        </is>
      </c>
      <c r="D8" s="11" t="inlineStr">
        <is>
          <t>fair value hierarchy</t>
        </is>
      </c>
      <c r="E8" s="11" t="inlineStr">
        <is>
          <t>PDF p.166 (印刷頁 164)</t>
        </is>
      </c>
      <c r="F8" s="11" t="inlineStr">
        <is>
          <t>onsolidated Financial Statements 綜合財務報表附註 截至2026年3月31日止年度 For the year ended 31st March, 2026 32. 金融工具公平價值及公平價值層級 32. Fair Value and Fair Value Hierarchy of Financial Instruments 管理層評估現金及現金等值項目，抵押存款、應收貿易款 Management has assessed that the fair values of cash and cash equivalents, 項、應付貿易款項、已付租金及水電按金即期部分、其他 pledged deposits, trade receivables, trade payables, current portion of 應收款項、其他應付款項及應計費用、已收租金按金以及 rental and utility deposits paid, other receivables, other payables and 計息之銀行借貸之公平價值與其賬面值相若，主要由於該 accruals, rental deposits recei</t>
        </is>
      </c>
    </row>
    <row r="9">
      <c r="A9" s="8" t="inlineStr">
        <is>
          <t>Impairment Testing</t>
        </is>
      </c>
      <c r="B9" s="8" t="inlineStr">
        <is>
          <t>減值測試</t>
        </is>
      </c>
      <c r="C9" s="20" t="inlineStr">
        <is>
          <t>high</t>
        </is>
      </c>
      <c r="D9" s="11" t="inlineStr">
        <is>
          <t>impairment loss</t>
        </is>
      </c>
      <c r="E9" s="11" t="inlineStr">
        <is>
          <t>PDF p.59 (印刷頁 57)</t>
        </is>
      </c>
      <c r="F9" s="11" t="inlineStr">
        <is>
          <t>以將已識別之產業、廠房及設備及已識別之使用 預測營業額及毛利率的估計（經參考相關零售店舖之過往表 權資產之賬面值減低至其可收回金額。 現）、對市場發展的預期及 貴集團的未來營運計劃）； During the year ended 31st March, 2026, impairment losses of • Assessed the assumptions and estimates adopted by management HK$nil and HK$1,076,000 were provided to write down the carrying in the value in use calculations including forecasted revenue and amounts of the Identified PPE and the Identified ROU assets to their gross profit margins with reference to the past performance of recoverable amounts, respectively. relevant retail st</t>
        </is>
      </c>
    </row>
    <row r="10">
      <c r="A10" s="8" t="inlineStr">
        <is>
          <t>Impairment Testing</t>
        </is>
      </c>
      <c r="B10" s="8" t="inlineStr">
        <is>
          <t>減值測試</t>
        </is>
      </c>
      <c r="C10" s="20" t="inlineStr">
        <is>
          <t>high</t>
        </is>
      </c>
      <c r="D10" s="11" t="inlineStr">
        <is>
          <t>recoverable amount</t>
        </is>
      </c>
      <c r="E10" s="11" t="inlineStr">
        <is>
          <t>PDF p.75 (印刷頁 73)</t>
        </is>
      </c>
      <c r="F10" s="11" t="inlineStr">
        <is>
          <t>ate, adjustments 價值減至其可收回金額，以撥備可能產生的進一步負債， may have to be made to write down the values of assets to their 並將非流動資產和非流動負債重新分類為流動資產和流動 recoverable amounts, to provide for further liabilities that might arise, 負債。該等調整的影響並未反映在該等綜合財務報表中。 and to reclassify non-current assets and non-current liabilities as current assets and current liabilities. The effects of these adjustments have not been reflected in these consolidated financial statements. 綜合賬目之基準 Basis of consolidation 綜合財務報表包括本集團截至2026年3月31日止年度之財務 The consolidated financial sta</t>
        </is>
      </c>
    </row>
    <row r="11">
      <c r="A11" s="8" t="inlineStr">
        <is>
          <t>Impairment Testing</t>
        </is>
      </c>
      <c r="B11" s="8" t="inlineStr">
        <is>
          <t>減值測試</t>
        </is>
      </c>
      <c r="C11" s="20" t="inlineStr">
        <is>
          <t>high</t>
        </is>
      </c>
      <c r="D11" s="11" t="inlineStr">
        <is>
          <t>impairment loss</t>
        </is>
      </c>
      <c r="E11" s="11" t="inlineStr">
        <is>
          <t>PDF p.87 (印刷頁 85)</t>
        </is>
      </c>
      <c r="F11" s="11" t="inlineStr">
        <is>
          <t>ted on a reasonable and consistent basis or, otherwise, to the smallest group of cash-generating units. 減值虧損僅於資產的賬面值超逾其可收回金額時確認。於 An impairment loss is recognised only if the carrying amount of an 評估使用價值時，估計未來現金流量按可反映現時市場對 asset exceeds its recoverable amount. In assessing value in use, the 貨幣時間價值及資產特定風險的評估的稅前折現率折現至 estimated future cash flows are discounted to their present value using 現值。減值虧損於產生期間自損益中與減值資產功能一致 a pre-tax discount rate that reflects current market assessments of the 之支出類別扣除。 time value of money and the risks sp</t>
        </is>
      </c>
    </row>
    <row r="12">
      <c r="A12" s="8" t="inlineStr">
        <is>
          <t>Impairment Testing</t>
        </is>
      </c>
      <c r="B12" s="8" t="inlineStr">
        <is>
          <t>減值測試</t>
        </is>
      </c>
      <c r="C12" s="20" t="inlineStr">
        <is>
          <t>high</t>
        </is>
      </c>
      <c r="D12" s="11" t="inlineStr">
        <is>
          <t>impairment loss</t>
        </is>
      </c>
      <c r="E12" s="11" t="inlineStr">
        <is>
          <t>PDF p.89 (印刷頁 87)</t>
        </is>
      </c>
      <c r="F12" s="11" t="inlineStr">
        <is>
          <t>及設備按成本減累計折舊及任何減值虧損列 Property, plant and equipment are stated at cost less accumulated 賬。產業、廠房及設備項目的成本包括其購入價及使資產 depreciation and any impairment losses. The cost of an item of 處於擬定用途的運作狀況及地點而產生的任何直接成本。 property, plant and equipment comprises its purchase price and any directly attributable costs of bringing the asset to its working condition and location for its intended use. 產業、廠房及設備項目投入運作後所涉及之費用（如維修保 Expenditure incurred after items of property, plant and equipment have 養費用）一般會在產生期間的損益中扣除。在符合確認準則 been put into operation, such</t>
        </is>
      </c>
    </row>
    <row r="13">
      <c r="A13" s="8" t="inlineStr">
        <is>
          <t>Impairment Testing</t>
        </is>
      </c>
      <c r="B13" s="8" t="inlineStr">
        <is>
          <t>減值測試</t>
        </is>
      </c>
      <c r="C13" s="20" t="inlineStr">
        <is>
          <t>high</t>
        </is>
      </c>
      <c r="D13" s="11" t="inlineStr">
        <is>
          <t>impairment loss</t>
        </is>
      </c>
      <c r="E13" s="11" t="inlineStr">
        <is>
          <t>PDF p.92 (印刷頁 90)</t>
        </is>
      </c>
      <c r="F13" s="11" t="inlineStr">
        <is>
          <t>t is available for use). Right- 虧損計量，並就任何重新計量租賃負債作出調整。 of-use assets are measured at cost, less any accumulated depreciation and any impairment losses, and adjusted for any remeasurement of lease liabilities. 使用權資產的成本包括： The cost of right-of-use assets includes: • 租賃負債的初始計量金額； • the amount of the initial measurement of the lease liability; • 於開始日期或之前作出的任何租賃付款，減任何已 • any lease payments made at or before the commencement date, 收租賃優惠； less any lease incentives received; • 本集團產生的任何初始直接成本；及 • any initial direct costs incurred by the</t>
        </is>
      </c>
    </row>
    <row r="14">
      <c r="A14" s="8" t="inlineStr">
        <is>
          <t>Impairment Testing</t>
        </is>
      </c>
      <c r="B14" s="8" t="inlineStr">
        <is>
          <t>減值測試</t>
        </is>
      </c>
      <c r="C14" s="20" t="inlineStr">
        <is>
          <t>high</t>
        </is>
      </c>
      <c r="D14" s="11" t="inlineStr">
        <is>
          <t>impairment loss</t>
        </is>
      </c>
      <c r="E14" s="11" t="inlineStr">
        <is>
          <t>PDF p.116 (印刷頁 114)</t>
        </is>
      </c>
      <c r="F14" s="11" t="inlineStr">
        <is>
          <t>ified PPE and the Identified ROU assets are carried at cost 本減累計折舊及累計減值虧損（如有）列賬。於釐定資產是 less accumulated depreciation and accumulated impairment losses, 否發生減值時，本集團管理層須行使判斷並作出假設，特 if any. In determining whether an asset is impaired, the management 別是當評估：(1)是否有事件已發生或有任何指標可能影響 of the Group has to exercise judgement and make assumptions, 資產價值；(2)資產賬面值是否能夠由可收回金額支持，如 particularly when assessing: (1) whether an event has occurred or any 為使用價值，即按照持續使用資產估計的未來現金流量的 indicators that may affect the asset value; (2) whether the carrying 淨現值；及</t>
        </is>
      </c>
    </row>
    <row r="15">
      <c r="A15" s="8" t="inlineStr">
        <is>
          <t>Impairment Testing</t>
        </is>
      </c>
      <c r="B15" s="8" t="inlineStr">
        <is>
          <t>減值測試</t>
        </is>
      </c>
      <c r="C15" s="20" t="inlineStr">
        <is>
          <t>high</t>
        </is>
      </c>
      <c r="D15" s="11" t="inlineStr">
        <is>
          <t>impairment loss</t>
        </is>
      </c>
      <c r="E15" s="11" t="inlineStr">
        <is>
          <t>PDF p.117 (印刷頁 115)</t>
        </is>
      </c>
      <c r="F15" s="11" t="inlineStr">
        <is>
          <t>e Identified PPE and the Identified ROU assets individually. 1,076,000港元（2025年：5,495,000港元）。 During the year ended 31st March, 2026, impairment losses on the Identified PPE and Identified ROU assets of HK$nil (2025: HK$482,000) and HK$1,076,000 (2025: HK$5,495,000), respectively, were recognised in profit or loss. 投資物業之估值 Valuation of investment properties 各項投資物業於各報告日期由獨立外部估值師按其市場價 The fair value of each investment property is individually determined 值個別評估釐定。 at each reporting date by independent external valuers based on a mar</t>
        </is>
      </c>
    </row>
    <row r="16">
      <c r="A16" s="8" t="inlineStr">
        <is>
          <t>Impairment Testing</t>
        </is>
      </c>
      <c r="B16" s="8" t="inlineStr">
        <is>
          <t>減值測試</t>
        </is>
      </c>
      <c r="C16" s="20" t="inlineStr">
        <is>
          <t>high</t>
        </is>
      </c>
      <c r="D16" s="11" t="inlineStr">
        <is>
          <t>impairment loss</t>
        </is>
      </c>
      <c r="E16" s="11" t="inlineStr">
        <is>
          <t>PDF p.139 (印刷頁 137)</t>
        </is>
      </c>
      <c r="F16" s="11" t="inlineStr">
        <is>
          <t>2,987 198,449 Exchange realignment (83) (100) (210) (16) (11) (5) (425) 匯兌調整 Provided for the year 576 2,302 20 311 473 – 3,682 年內撥備 Impairment loss – 422 – 60 – – 482 減值虧損 Eliminated on disposals/write-off – (9,075) (100) (4,501) (110) (484) (14,270) 出售╱撇賬時抵銷 Transferred to investment properties (341) – – – – – (341) 轉移至投資物業 於2025年3月31日及2025年4月1日 At 31st March, 2025 and 1st April, 2025 23,868 64,552 19,585 53,301 23,773 2,498 187,577 Exchange realignment 418 350 968 56 13 26 1,831 匯兌調整 Provided for the year 520 2,595 21 285 49</t>
        </is>
      </c>
    </row>
    <row r="17">
      <c r="A17" s="8" t="inlineStr">
        <is>
          <t>Impairment Testing</t>
        </is>
      </c>
      <c r="B17" s="8" t="inlineStr">
        <is>
          <t>減值測試</t>
        </is>
      </c>
      <c r="C17" s="20" t="inlineStr">
        <is>
          <t>high</t>
        </is>
      </c>
      <c r="D17" s="11" t="inlineStr">
        <is>
          <t>recoverable amount</t>
        </is>
      </c>
      <c r="E17" s="11" t="inlineStr">
        <is>
          <t>PDF p.140 (印刷頁 138)</t>
        </is>
      </c>
      <c r="F17" s="11" t="inlineStr">
        <is>
          <t>and performed impairment assessment for all retail stores in Hong Kong and Macau. 倘不可能估計一項個別資產的可收回金額，則本集團會估 The Group estimates the recoverable amount of the cash-generating 計該項資產所屬的現金產生單位的可收回金額。現金產生 unit to which the assets belong when it is not possible to estimate 單位的可收回金額已根據使用價值計算釐定。該項計算使 the recoverable amount individually. The recoverable amount of the 用基於經本集團管理層批核之預測之現金流量預測，並涵 cash-generating unit has been determined based on a value in use 蓋餘下租賃期，於2026年3月31日的稅前折現率介乎每年 calculations using cash flow projections based on f</t>
        </is>
      </c>
    </row>
    <row r="18">
      <c r="A18" s="8" t="inlineStr">
        <is>
          <t>Impairment Testing</t>
        </is>
      </c>
      <c r="B18" s="8" t="inlineStr">
        <is>
          <t>減值測試</t>
        </is>
      </c>
      <c r="C18" s="20" t="inlineStr">
        <is>
          <t>high</t>
        </is>
      </c>
      <c r="D18" s="11" t="inlineStr">
        <is>
          <t>impairment loss</t>
        </is>
      </c>
      <c r="E18" s="11" t="inlineStr">
        <is>
          <t>PDF p.141 (印刷頁 139)</t>
        </is>
      </c>
      <c r="F18" s="11" t="inlineStr">
        <is>
          <t>值虧損分別為147,684,000港元（2025年： (2025: HK$87,831,000), net of accumulated depreciation and 161,211,000港元）及565,782,000港元（2025年：599,031,000 impairment losses of HK$147,684,000 (2025: HK$161,211,000) and 港元）。 HK$565,782,000 (2025: HK$599,031,000), respectively. 根據評估結果，本集團管理層認為若干現金產生單位的可 Based on the result of the assessment, the management of the 收回金額低於其相應賬面值。減值金額已分配至已識別之 Group determined that the recoverable amounts of certain cash- 產業、廠房及設備及已識別之使用權資產之各個類別，以 generating units are lower than the corresponding carrying amounts. 使各資產類別的賬面</t>
        </is>
      </c>
    </row>
    <row r="19">
      <c r="A19" s="8" t="inlineStr">
        <is>
          <t>Impairment Testing</t>
        </is>
      </c>
      <c r="B19" s="8" t="inlineStr">
        <is>
          <t>減值測試</t>
        </is>
      </c>
      <c r="C19" s="20" t="inlineStr">
        <is>
          <t>high</t>
        </is>
      </c>
      <c r="D19" s="11" t="inlineStr">
        <is>
          <t>impairment loss</t>
        </is>
      </c>
      <c r="E19" s="11" t="inlineStr">
        <is>
          <t>PDF p.143 (印刷頁 141)</t>
        </is>
      </c>
      <c r="F19" s="11" t="inlineStr">
        <is>
          <t>ation) – 60,822 – 60,822 租賃之終止 Termination of leases – (180) – (180) 折舊開支 Depreciation charge (108) (92,045) (716) (92,869) 已確認之減值虧損 Impairment loss recognised – (5,495) – (5,495) 轉移至投資物業 Transferred to investment properties (132) – – (132) 於2025年3月31日 At 31st March, 2025 及2025年4月1日 and 1st April, 2025 2,098 85,389 2,442 89,929 匯兌調整 Exchange realignment 101 15 – 116 添置（包括來自租賃修訂之調整） Additions (including adjustments arising from lease modification) – 54,520 560 55,080 租賃之終止 Termination of leases – (789) – (789) 折舊開支 Depreciation</t>
        </is>
      </c>
    </row>
    <row r="20">
      <c r="A20" s="8" t="inlineStr">
        <is>
          <t>Impairment Testing</t>
        </is>
      </c>
      <c r="B20" s="8" t="inlineStr">
        <is>
          <t>減值測試</t>
        </is>
      </c>
      <c r="C20" s="20" t="inlineStr">
        <is>
          <t>high</t>
        </is>
      </c>
      <c r="D20" s="11" t="inlineStr">
        <is>
          <t>impairment loss</t>
        </is>
      </c>
      <c r="E20" s="11" t="inlineStr">
        <is>
          <t>PDF p.148 (印刷頁 146)</t>
        </is>
      </c>
      <c r="F20" s="11" t="inlineStr">
        <is>
          <t>12,327 91,436 120,605 18. 應收貿易款項 18. Trade Receivables 2026 2025 千港元 千港元 HK$’000 HK$’000 應收貿易款項 Trade receivables 1,560 1,957 減值虧損淨額 Impairment losses, net – – 1,560 1,957 本集團就其位於百貨公司的銷售櫃位應收款項給予30日至 The Group allows credit periods of 30 to 60 days for receivables from 60日之信貸期。以下為於本報告期末，按發票日期呈列之 department stores in which sales counters are located. The following is 應收貿易款項之賬齡分析： an ageing analysis of trade receivables presented based on the invoice date at the end of the reporting period: 2026 2025 千港元 千港元 HK$’000 HK$’000 30日內 W</t>
        </is>
      </c>
    </row>
    <row r="21">
      <c r="A21" s="8" t="inlineStr">
        <is>
          <t>Impairment Testing</t>
        </is>
      </c>
      <c r="B21" s="8" t="inlineStr">
        <is>
          <t>減值測試</t>
        </is>
      </c>
      <c r="C21" s="20" t="inlineStr">
        <is>
          <t>high</t>
        </is>
      </c>
      <c r="D21" s="11" t="inlineStr">
        <is>
          <t>impairment loss</t>
        </is>
      </c>
      <c r="E21" s="11" t="inlineStr">
        <is>
          <t>PDF p.172 (印刷頁 170)</t>
        </is>
      </c>
      <c r="F21" s="11" t="inlineStr">
        <is>
          <t>lement records 等值項目、抵押存款以及已付租金及水電按金減值虧 and good reputations of the counterparties, the Group considers the 損作出的撥備並不重大。 provision for impairment losses for other receivables, cash and cash equivalents, pledged deposits, and rental and utility deposits paid is insignificant. 170</t>
        </is>
      </c>
    </row>
    <row r="22">
      <c r="A22" s="8" t="inlineStr">
        <is>
          <t>Intangible Assets &amp; Goodwill</t>
        </is>
      </c>
      <c r="B22" s="8" t="inlineStr">
        <is>
          <t>無形資產及商譽</t>
        </is>
      </c>
      <c r="C22" s="20" t="inlineStr">
        <is>
          <t>high</t>
        </is>
      </c>
      <c r="D22" s="11" t="inlineStr">
        <is>
          <t>useful life</t>
        </is>
      </c>
      <c r="E22" s="11" t="inlineStr">
        <is>
          <t>PDF p.90 (印刷頁 88)</t>
        </is>
      </c>
      <c r="F22" s="11" t="inlineStr">
        <is>
          <t>off the 折舊，以撇銷其成本至其殘餘價值。就此所採用之主要年 cost of each item of property, plant and equipment to its residual value 利率如下： over its estimated useful life. The principal annual rates used for this purpose are as follows: 租賃土地及樓宇 按租賃年期 Leasehold land and buildings Over the lease terms of the leases 租賃樓宇裝潢 20%或按租賃年期（以較短者 Leasehold improvements 20% or over the terms of the 為準） leases, whichever is shorter 廠房及機器 25% Plant and machinery 25% 傢俬及裝置 20% Furniture and fixtures 20% 辦公室設備 331/3% Office equipment 331/3% 汽車 20% Motor vehicles 20% 倘產業</t>
        </is>
      </c>
    </row>
    <row r="23">
      <c r="A23" s="8" t="inlineStr">
        <is>
          <t>Intangible Assets &amp; Goodwill</t>
        </is>
      </c>
      <c r="B23" s="8" t="inlineStr">
        <is>
          <t>無形資產及商譽</t>
        </is>
      </c>
      <c r="C23" s="20" t="inlineStr">
        <is>
          <t>high</t>
        </is>
      </c>
      <c r="D23" s="11" t="inlineStr">
        <is>
          <t>intangible asset</t>
        </is>
      </c>
      <c r="E23" s="11" t="inlineStr">
        <is>
          <t>PDF p.91 (印刷頁 89)</t>
        </is>
      </c>
      <c r="F23" s="11" t="inlineStr">
        <is>
          <t>、廠房及設備以及無 at the lower of their carrying amounts and fair values less costs to sell. 形資產並不計提折舊或攤分。 Property, plant and equipment and intangible assets classified as held for sale are not depreciated or amortised. 89</t>
        </is>
      </c>
    </row>
    <row r="24">
      <c r="A24" s="8" t="inlineStr">
        <is>
          <t>Intangible Assets &amp; Goodwill</t>
        </is>
      </c>
      <c r="B24" s="8" t="inlineStr">
        <is>
          <t>無形資產及商譽</t>
        </is>
      </c>
      <c r="C24" s="20" t="inlineStr">
        <is>
          <t>high</t>
        </is>
      </c>
      <c r="D24" s="11" t="inlineStr">
        <is>
          <t>useful life</t>
        </is>
      </c>
      <c r="E24" s="11" t="inlineStr">
        <is>
          <t>PDF p.93 (印刷頁 91)</t>
        </is>
      </c>
      <c r="F24" s="11" t="inlineStr">
        <is>
          <t>產之估計使用年限計 the lease term or the cost reflects the exercise of a purchase option, 算折舊。 depreciation is calculated using the estimated useful life of the asset. 本集團於綜合財務狀況表內將不符合投資物業定義之使用 The Group presents right-of-use assets that do not meet the definition 權資產呈列為一項單獨項目。符合投資物業定義之使用權 of investment property as a separate line item on the consolidated 資產乃於「投資物業」內呈列。 statement of financial position. Right-of-use assets that meet the definition of investment property are presented in “Investment properties”. (b) 租賃負債 (b) Lease liabili</t>
        </is>
      </c>
    </row>
    <row r="25">
      <c r="A25" s="8" t="inlineStr">
        <is>
          <t>Intangible Assets &amp; Goodwill</t>
        </is>
      </c>
      <c r="B25" s="8" t="inlineStr">
        <is>
          <t>無形資產及商譽</t>
        </is>
      </c>
      <c r="C25" s="20" t="inlineStr">
        <is>
          <t>high</t>
        </is>
      </c>
      <c r="D25" s="11" t="inlineStr">
        <is>
          <t>攤銷</t>
        </is>
      </c>
      <c r="E25" s="11" t="inlineStr">
        <is>
          <t>PDF p.97 (印刷頁 95)</t>
        </is>
      </c>
      <c r="F25" s="11" t="inlineStr">
        <is>
          <t>ents for the new lease. 投資及其他金融資產 Investments and other financial assets 初始確認及計量 Initial recognition and measurement 金融資產於初始確認時分類為其後按攤銷成本、按公平價 Financial assets are classified, at initial recognition, as subsequently 值計入其他全面收入及按公平價值計入損益計量。 measured at amortised cost, fair value through other comprehensive income and fair value through profit or loss. 於初始確認時，金融資產分類取決於金融資產的合約現金 The classification of financial assets at initial recognition depends 流量特點及本集團管理該等金融資產的業務模式。除不含 on the financial asset’s contractual cash flow characterist</t>
        </is>
      </c>
    </row>
    <row r="26">
      <c r="A26" s="8" t="inlineStr">
        <is>
          <t>Intangible Assets &amp; Goodwill</t>
        </is>
      </c>
      <c r="B26" s="8" t="inlineStr">
        <is>
          <t>無形資產及商譽</t>
        </is>
      </c>
      <c r="C26" s="20" t="inlineStr">
        <is>
          <t>high</t>
        </is>
      </c>
      <c r="D26" s="11" t="inlineStr">
        <is>
          <t>攤銷</t>
        </is>
      </c>
      <c r="E26" s="11" t="inlineStr">
        <is>
          <t>PDF p.98 (印刷頁 96)</t>
        </is>
      </c>
      <c r="F26" s="11" t="inlineStr">
        <is>
          <t>d) 投資及其他金融資產（續） Investments and other financial assets (Continued) 初始確認及計量（續） Initial recognition and measurement (Continued) 為使金融資產按攤銷成本或按公平價值計入其他全面收入 In order for a financial asset to be classified and measured at amortised 分類及計量，需產生純粹為支付未償還本金的本金及利息 cost or fair value through other comprehensive income, it needs to give （「純粹為支付本金及利息」）的現金流量。現金流量並非純 rise to cash flows that are solely payments of principal and interest 粹為支付本金及利息的金融資產，不論業務模式如何，均 (“SPPI”) on the principal amount outstanding. Financial assets with 按公平價值計入損益分類及計量。 c</t>
        </is>
      </c>
    </row>
    <row r="27">
      <c r="A27" s="8" t="inlineStr">
        <is>
          <t>Intangible Assets &amp; Goodwill</t>
        </is>
      </c>
      <c r="B27" s="8" t="inlineStr">
        <is>
          <t>無形資產及商譽</t>
        </is>
      </c>
      <c r="C27" s="20" t="inlineStr">
        <is>
          <t>high</t>
        </is>
      </c>
      <c r="D27" s="11" t="inlineStr">
        <is>
          <t>攤銷</t>
        </is>
      </c>
      <c r="E27" s="11" t="inlineStr">
        <is>
          <t>PDF p.101 (印刷頁 99)</t>
        </is>
      </c>
      <c r="F27" s="11" t="inlineStr">
        <is>
          <t>Material Accounting Policies (Continued) 金融資產減值（續） Impairment of financial assets (Continued) 一般方法（續） General approach (Continued) 按攤銷成本計量的金融資產於一般方法下或會出現減值， Financial assets at amortised cost are subject to impairment under the 其按以下計量預期信貸虧損的階段分類，惟應用下文所述 general approach and they are classified within the following stages 簡化方法的應收貿易款項除外。 for measurement of ECLs except for trade receivables which apply the simplified approach as detailed below. 第1階段 －自初始確認起信貸風險並未顯著增加及其虧 Stage 1 – Financial instruments for which credit risk has no</t>
        </is>
      </c>
    </row>
    <row r="28">
      <c r="A28" s="8" t="inlineStr">
        <is>
          <t>Intangible Assets &amp; Goodwill</t>
        </is>
      </c>
      <c r="B28" s="8" t="inlineStr">
        <is>
          <t>無形資產及商譽</t>
        </is>
      </c>
      <c r="C28" s="20" t="inlineStr">
        <is>
          <t>high</t>
        </is>
      </c>
      <c r="D28" s="11" t="inlineStr">
        <is>
          <t>amortisation</t>
        </is>
      </c>
      <c r="E28" s="11" t="inlineStr">
        <is>
          <t>PDF p.103 (印刷頁 101)</t>
        </is>
      </c>
      <c r="F28" s="11" t="inlineStr">
        <is>
          <t>ins and losses are recognised in profit or loss when the liabilities are derecognised as well as through the effective interest rate amortisation process. 計算攤銷成本時會考慮收購所產生的任何折讓或溢價，亦 Amortised cost is calculated by taking into account any discount or 包括構成實際利率不可或缺的一部分的費用或成本。實際 premium on acquisition and fees or costs that are an integral part of 利率攤銷計入損益中的融資成本。 the effective interest rate. The effective interest rate amortisation is included in finance costs in profit or loss. 解除確認金融負債 Derecognition of financial liabilities 金融負債於該</t>
        </is>
      </c>
    </row>
    <row r="29">
      <c r="A29" s="8" t="inlineStr">
        <is>
          <t>Intangible Assets &amp; Goodwill</t>
        </is>
      </c>
      <c r="B29" s="8" t="inlineStr">
        <is>
          <t>無形資產及商譽</t>
        </is>
      </c>
      <c r="C29" s="20" t="inlineStr">
        <is>
          <t>high</t>
        </is>
      </c>
      <c r="D29" s="11" t="inlineStr">
        <is>
          <t>攤銷</t>
        </is>
      </c>
      <c r="E29" s="11" t="inlineStr">
        <is>
          <t>PDF p.165 (印刷頁 163)</t>
        </is>
      </c>
      <c r="F29" s="11" t="inlineStr">
        <is>
          <t>of the categories of financial instruments as at the end of the reporting period are as follows: 2026 2025 千港元 千港元 HK$’000 HK$’000 按攤銷成本計量之金融資產 Financial assets at amortised cost 已付租金及水電按金 Rental and utility deposits paid 27,258 34,846 應收貿易款項 Trade receivables 1,560 1,957 其他應收款項 Other receivables 668 783 抵押存款 Pledged deposits 11,074 13,070 現金及現金等值項目 Cash and cash equivalents 16,537 13,126 57,097 63,782 按攤銷成本計量之金融負債 Financial liabilities at amortised cost 應付貿易款項 Trade payables 29,064 23,555 其他應付款項及應計費用 Other payables and accrua</t>
        </is>
      </c>
    </row>
    <row r="30">
      <c r="A30" s="8" t="inlineStr">
        <is>
          <t>Investment Properties</t>
        </is>
      </c>
      <c r="B30" s="8" t="inlineStr">
        <is>
          <t>投資物業</t>
        </is>
      </c>
      <c r="C30" s="20" t="inlineStr">
        <is>
          <t>high</t>
        </is>
      </c>
      <c r="D30" s="11" t="inlineStr">
        <is>
          <t>投資物業</t>
        </is>
      </c>
      <c r="E30" s="11" t="inlineStr">
        <is>
          <t>PDF p.7 (印刷頁 5)</t>
        </is>
      </c>
      <c r="F30" s="11" t="inlineStr">
        <is>
          <t>in cost control. 本集團於本年度錄得稅後虧損105,529,000港元（2025年：稅 During the Year, the Group recorded a loss after tax of 後虧損124,767,000港元）。於本年度本集團投資物業公平價 HK$105,529,000 (2025: a loss after tax of HK$124,767,000). During 值下跌42,025,000港元（2025年：下跌40,918,000港元）。 the Year, the fair value of investment properties of the Group declined by HK$42,025,000 (2025: a decrease of HK$40,918,000). 5</t>
        </is>
      </c>
    </row>
    <row r="31">
      <c r="A31" s="8" t="inlineStr">
        <is>
          <t>Investment Properties</t>
        </is>
      </c>
      <c r="B31" s="8" t="inlineStr">
        <is>
          <t>投資物業</t>
        </is>
      </c>
      <c r="C31" s="20" t="inlineStr">
        <is>
          <t>high</t>
        </is>
      </c>
      <c r="D31" s="11" t="inlineStr">
        <is>
          <t>投資物業</t>
        </is>
      </c>
      <c r="E31" s="11" t="inlineStr">
        <is>
          <t>PDF p.11 (印刷頁 9)</t>
        </is>
      </c>
      <c r="F31" s="11" t="inlineStr">
        <is>
          <t>atement 展望（續） Prospects (Continued) 本集團主要從事化妝品及時裝零售業務，同時亦持有位於 The Group is primarily engaged in cosmetics and fashion retail 香港和中國內地的投資物業及自用物業。此等物業於2026 businesses, and also holds investment properties and self-occupied 年3月31日根據獨立合資格專業估值師艾升評值諮詢有限 properties in Hong Kong and Mainland China. The properties were 公司及仲量聯行企業評估及諮詢有限公司進行之估值合 valued at HK$663,831,000 as at 31st March, 2026, based on the 共663,831,000港元，作為對本集團財政上的支持。而於 valuations conducted by independent qualified professional valuers, 2026年3月31日，本集團之銀行借貸總額為192,497,000港 A</t>
        </is>
      </c>
    </row>
    <row r="32">
      <c r="A32" s="8" t="inlineStr">
        <is>
          <t>Investment Properties</t>
        </is>
      </c>
      <c r="B32" s="8" t="inlineStr">
        <is>
          <t>投資物業</t>
        </is>
      </c>
      <c r="C32" s="20" t="inlineStr">
        <is>
          <t>high</t>
        </is>
      </c>
      <c r="D32" s="11" t="inlineStr">
        <is>
          <t>投資物業</t>
        </is>
      </c>
      <c r="E32" s="11" t="inlineStr">
        <is>
          <t>PDF p.12 (印刷頁 10)</t>
        </is>
      </c>
      <c r="F32" s="11" t="inlineStr">
        <is>
          <t>egments, restoring profit for the Group as soon as possible and getting back on an upward trajectory. 物業 Properties 本集團位於香港及中國內地的物業包括投資物業、租賃土 The Group’s properties located in Hong Kong and Mainland China 地及樓宇以及香港境外的租賃土地。於2026年3月31日， including investment properties, leasehold land and buildings and 該等物業的估值合共為663,831,000港元（2025年3月31日： leasehold land outside Hong Kong. The valuation of such properties as 698,646,000港元）。 at 31st March, 2026 in aggregate amounted to HK$663,831,000 (31st March, 2025: HK$698,646,000). 於2026年3月31日，投資物</t>
        </is>
      </c>
    </row>
    <row r="33">
      <c r="A33" s="8" t="inlineStr">
        <is>
          <t>Investment Properties</t>
        </is>
      </c>
      <c r="B33" s="8" t="inlineStr">
        <is>
          <t>投資物業</t>
        </is>
      </c>
      <c r="C33" s="20" t="inlineStr">
        <is>
          <t>high</t>
        </is>
      </c>
      <c r="D33" s="11" t="inlineStr">
        <is>
          <t>capitalisation rate</t>
        </is>
      </c>
      <c r="E33" s="11" t="inlineStr">
        <is>
          <t>PDF p.60 (印刷頁 58)</t>
        </is>
      </c>
      <c r="F33" s="11" t="inlineStr">
        <is>
          <t>stment properties, the Valuers considered key • Involved our internal valuation specialists to assist us in input parameters such as capitalisation rates, monthly market rents per evaluating the valuation methodologies and assumptions adopted square foot/metre and recent transaction prices of similar properties. by the Valuers; and Due to inherent estimation uncertainty pertaining to the assumptions and estimations required when determining the fair value of the • 評估與綜合財務報表內投資物業之估值有關的披露是否足夠。 investment properties, we considered</t>
        </is>
      </c>
    </row>
    <row r="34">
      <c r="A34" s="8" t="inlineStr">
        <is>
          <t>Investment Properties</t>
        </is>
      </c>
      <c r="B34" s="8" t="inlineStr">
        <is>
          <t>投資物業</t>
        </is>
      </c>
      <c r="C34" s="20" t="inlineStr">
        <is>
          <t>high</t>
        </is>
      </c>
      <c r="D34" s="11" t="inlineStr">
        <is>
          <t>投資物業</t>
        </is>
      </c>
      <c r="E34" s="11" t="inlineStr">
        <is>
          <t>PDF p.65 (印刷頁 63)</t>
        </is>
      </c>
      <c r="F34" s="11" t="inlineStr">
        <is>
          <t>gains, net 5 8,289 15,161 銷售及分銷成本 Selling and distribution costs (173,695) (206,319) 行政費用 Administrative expenses (62,274) (67,327) 投資物業公平價值之 Change in fair value of investment 變動淨額 properties, net (42,025) (40,918) 產業、廠房及設備之減值 Impairment of property, plant and equipment – (482) 使用權資產之減值 Impairment of right-of-use assets (1,076) (5,495) 融資成本 Finance costs 7 (28,530) (39,781) 除稅前虧損 Loss before tax 6 (105,756) (123,993) 利得稅抵免╱（開支） Income tax credit/(expense) 10 227 (774) 本年度虧損 Loss for the year (105,529) (124,767) 本年度其他全面（虧損）╱收入</t>
        </is>
      </c>
    </row>
    <row r="35">
      <c r="A35" s="8" t="inlineStr">
        <is>
          <t>Investment Properties</t>
        </is>
      </c>
      <c r="B35" s="8" t="inlineStr">
        <is>
          <t>投資物業</t>
        </is>
      </c>
      <c r="C35" s="20" t="inlineStr">
        <is>
          <t>high</t>
        </is>
      </c>
      <c r="D35" s="11" t="inlineStr">
        <is>
          <t>投資物業</t>
        </is>
      </c>
      <c r="E35" s="11" t="inlineStr">
        <is>
          <t>PDF p.66 (印刷頁 64)</t>
        </is>
      </c>
      <c r="F35" s="11" t="inlineStr">
        <is>
          <t>nt of Financial Position 綜合財務狀況表 於2026年3月31日 At 31st March, 2026 2026 2025 附註 千港元 千港元 Notes HK$’000 HK$’000 非流動資產 Non-current Assets 投資物業 Investment properties 13 493,327 513,552 產業、廠房及設備 Property, plant and equipment 14 7,507 16,002 使用權資產 Right-of-use assets 15(a) 68,733 89,929 已付租金按金 Rental deposits paid 6,166 9,559 總非流動資產 Total Non-current Assets 575,733 629,042 流動資產 Current Assets 存貨 Inventories 17 91,436 120,605 應收貿易款項 Trade receivables 18 1,560 1,957 預付款項及其他應收款項 Prepayments and other receivables 16 7,362 8,740 已付租金及水電按金 R</t>
        </is>
      </c>
    </row>
    <row r="36">
      <c r="A36" s="8" t="inlineStr">
        <is>
          <t>Investment Properties</t>
        </is>
      </c>
      <c r="B36" s="8" t="inlineStr">
        <is>
          <t>投資物業</t>
        </is>
      </c>
      <c r="C36" s="20" t="inlineStr">
        <is>
          <t>high</t>
        </is>
      </c>
      <c r="D36" s="11" t="inlineStr">
        <is>
          <t>investment property</t>
        </is>
      </c>
      <c r="E36" s="11" t="inlineStr">
        <is>
          <t>PDF p.68 (印刷頁 66)</t>
        </is>
      </c>
      <c r="F36" s="11" t="inlineStr">
        <is>
          <t>由自用物業變更至於轉讓 (a) The property revaluation reserve arose from a change in use 當日按公平價值入賬之投資物業而產生。 from an owner-occupied property to an investment property carried at fair value upon the date of transfer. (b) 本集團的特別儲備乃指下列兩者之總和： (b) The special reserve of the Group represents the aggregate of: (i) 由於1999 年集團重組，Veeko Holdings (i) the difference between the nominal value of the share Limited的股本面值與本公司發行作為收購 capital of Veeko Holdings Limited and the nominal 代價的股本面值的差額；及 value of the share capital issued by the Company as consideration</t>
        </is>
      </c>
    </row>
    <row r="37">
      <c r="A37" s="8" t="inlineStr">
        <is>
          <t>Investment Properties</t>
        </is>
      </c>
      <c r="B37" s="8" t="inlineStr">
        <is>
          <t>投資物業</t>
        </is>
      </c>
      <c r="C37" s="20" t="inlineStr">
        <is>
          <t>high</t>
        </is>
      </c>
      <c r="D37" s="11" t="inlineStr">
        <is>
          <t>投資物業</t>
        </is>
      </c>
      <c r="E37" s="11" t="inlineStr">
        <is>
          <t>PDF p.69 (印刷頁 67)</t>
        </is>
      </c>
      <c r="F37" s="11" t="inlineStr">
        <is>
          <t>t and equipment, net (288) 280 修訂租賃之收益 Gains on modification of leases 5 (88) (48) 終止租賃之收益 Gains on termination of leases 5 (75) (6) 投資物業公平價值之變動淨額 Change in fair value of investment 6 properties, net 42,025 40,918 產業、廠房及設備之折舊 Depreciation of property, 6 plant and equipment 3,919 3,682 使用權資產之折舊 Depreciation of right-of-use assets 6 72,998 92,869 產業、廠房及設備 Impairment of property, plant and 6 之減值 equipment – 482 使用權資產之減值 Impairment of right-of-use assets 6 1,076 5,495 存貨之撥備╱（回撥） Provision for/(reversal of) inventories 6 1,379 (1,90</t>
        </is>
      </c>
    </row>
    <row r="38">
      <c r="A38" s="8" t="inlineStr">
        <is>
          <t>Investment Properties</t>
        </is>
      </c>
      <c r="B38" s="8" t="inlineStr">
        <is>
          <t>投資物業</t>
        </is>
      </c>
      <c r="C38" s="20" t="inlineStr">
        <is>
          <t>high</t>
        </is>
      </c>
      <c r="D38" s="11" t="inlineStr">
        <is>
          <t>投資物業</t>
        </is>
      </c>
      <c r="E38" s="11" t="inlineStr">
        <is>
          <t>PDF p.74 (印刷頁 72)</t>
        </is>
      </c>
      <c r="F38" s="11" t="inlineStr">
        <is>
          <t>ounting Standards (“HKASs”) 香港公司條例之披露要求而編製。該等財務報表乃按照歷 and Interpretations) as issued by the Hong Kong Institute of Certified 史成本法編製，惟投資物業按公平價值計量除外。除另有 Public Accountants (“HKICPA”) and the disclosure requirements 指明者外，該等財務報表乃以港元（「港元」）呈列，而所有 of the Hong Kong Companies Ordinance. They have been prepared 金額均約整至最接近的千位。 under the historical cost convention, except for investment properties which have been measured at fair value. These financial statements are presented in Hong Kong dollars (“HK$”) and all values are rounded to the n</t>
        </is>
      </c>
    </row>
    <row r="39">
      <c r="A39" s="8" t="inlineStr">
        <is>
          <t>Investment Properties</t>
        </is>
      </c>
      <c r="B39" s="8" t="inlineStr">
        <is>
          <t>投資物業</t>
        </is>
      </c>
      <c r="C39" s="20" t="inlineStr">
        <is>
          <t>high</t>
        </is>
      </c>
      <c r="D39" s="11" t="inlineStr">
        <is>
          <t>投資物業</t>
        </is>
      </c>
      <c r="E39" s="11" t="inlineStr">
        <is>
          <t>PDF p.85 (印刷頁 83)</t>
        </is>
      </c>
      <c r="F39" s="11" t="inlineStr">
        <is>
          <t>t on the Group’s financial statements. 2.4. 重大會計政策 2.4. Material Accounting Policies 公平價值計量 Fair value measurement 本集團於每個報告期末按公平價值計量其投資物業。公平 The Group measures its investment properties at fair value at the end 價值為於計量日期市場參與者之間進行的有序交易中，就 of each reporting period. Fair value is the price that would be received 出售資產所收取或轉讓負債所支付的價格。公平價值計量 to sell an asset or paid to transfer a liability in an orderly transaction 乃基於出售資產或轉讓負債的交易於資產或負債的主要市 between market participants at the measurement date. The fair value 場進行，在未有主要市場的情況下則於資產或負債的最有 me</t>
        </is>
      </c>
    </row>
    <row r="40">
      <c r="A40" s="8" t="inlineStr">
        <is>
          <t>Investment Properties</t>
        </is>
      </c>
      <c r="B40" s="8" t="inlineStr">
        <is>
          <t>投資物業</t>
        </is>
      </c>
      <c r="C40" s="20" t="inlineStr">
        <is>
          <t>high</t>
        </is>
      </c>
      <c r="D40" s="11" t="inlineStr">
        <is>
          <t>投資物業</t>
        </is>
      </c>
      <c r="E40" s="11" t="inlineStr">
        <is>
          <t>PDF p.87 (印刷頁 85)</t>
        </is>
      </c>
      <c r="F40" s="11" t="inlineStr">
        <is>
          <t>airment of non-financial assets 倘有跡象顯示存在減值，或須就資產（存貨、遞延稅項資 Where an indication of impairment exists, or when annual impairment 產、金融資產及投資物業除外）進行年度減值測試，則會 testing for an asset is required (other than inventories, deferred 估計該資產的可收回金額。資產的可收回金額為該資產或 tax assets, financial assets and investment properties), the asset’s 現金產生單位的使用價值與其公平價值減出售成本的較高 recoverable amount is estimated. An asset’s recoverable amount is 金額，並就個別資產釐定，除非有關資產並無產生在很大 the higher of the asset’s or cash-generating unit’s value in use and its 程度上獨立於其他資產或資產組別的現金流入，在此情況 fa</t>
        </is>
      </c>
    </row>
    <row r="41">
      <c r="A41" s="8" t="inlineStr">
        <is>
          <t>Investment Properties</t>
        </is>
      </c>
      <c r="B41" s="8" t="inlineStr">
        <is>
          <t>投資物業</t>
        </is>
      </c>
      <c r="C41" s="20" t="inlineStr">
        <is>
          <t>high</t>
        </is>
      </c>
      <c r="D41" s="11" t="inlineStr">
        <is>
          <t>投資物業</t>
        </is>
      </c>
      <c r="E41" s="11" t="inlineStr">
        <is>
          <t>PDF p.90 (印刷頁 88)</t>
        </is>
      </c>
      <c r="F41" s="11" t="inlineStr">
        <is>
          <t>e 項淨額與其賬面值之差額。 asset is derecognised is the difference between the net sales proceeds and the carrying amount of the relevant asset. 投資物業 Investment properties 投資物業為持作賺取租金收入及╱或作資本增值之土地及 Investment properties are interests in land and buildings (including 樓宇之權益（包括使用權資產）。該等物業初始以成本（包括 right-of-use asset) held to earn rental income and/or for capital 交易成本）計量。初始確認後，投資物業按公平價值呈列， appreciation. Such properties are measured initially at cost, including 反映報告期末的市況。 transaction costs. Subsequent to initial recognition, investment propertie</t>
        </is>
      </c>
    </row>
    <row r="42">
      <c r="A42" s="8" t="inlineStr">
        <is>
          <t>Investment Properties</t>
        </is>
      </c>
      <c r="B42" s="8" t="inlineStr">
        <is>
          <t>投資物業</t>
        </is>
      </c>
      <c r="C42" s="20" t="inlineStr">
        <is>
          <t>high</t>
        </is>
      </c>
      <c r="D42" s="11" t="inlineStr">
        <is>
          <t>investment property</t>
        </is>
      </c>
      <c r="E42" s="11" t="inlineStr">
        <is>
          <t>PDF p.91 (印刷頁 89)</t>
        </is>
      </c>
      <c r="F42" s="11" t="inlineStr">
        <is>
          <t>l. 倘本集團作為自用物業佔用之物業成為投資物業，則本集 If a property occupied by the Group as an owner-occupied property 團根據「產業、廠房及設備以及折舊」項下政策將有關自用 becomes an investment property, the Group accounts for such property 物業入賬，直至變更用途日期為止。根據上述「產業、廠房 in accordance with the policy stated under “Property, plant and 及設備以及折舊」項下政策，該物業當日賬面值與公平價值 equipment and depreciation” for owned property up to the date of 之間任何差額入賬列為重估。 change in use, and any difference at that date between the carrying amount and the fair value of the property is accounted for as a revaluation i</t>
        </is>
      </c>
    </row>
    <row r="43">
      <c r="A43" s="8" t="inlineStr">
        <is>
          <t>Investment Properties</t>
        </is>
      </c>
      <c r="B43" s="8" t="inlineStr">
        <is>
          <t>投資物業</t>
        </is>
      </c>
      <c r="C43" s="20" t="inlineStr">
        <is>
          <t>high</t>
        </is>
      </c>
      <c r="D43" s="11" t="inlineStr">
        <is>
          <t>investment property</t>
        </is>
      </c>
      <c r="E43" s="11" t="inlineStr">
        <is>
          <t>PDF p.93 (印刷頁 91)</t>
        </is>
      </c>
      <c r="F43" s="11" t="inlineStr">
        <is>
          <t>asset. 本集團於綜合財務狀況表內將不符合投資物業定義之使用 The Group presents right-of-use assets that do not meet the definition 權資產呈列為一項單獨項目。符合投資物業定義之使用權 of investment property as a separate line item on the consolidated 資產乃於「投資物業」內呈列。 statement of financial position. Right-of-use assets that meet the definition of investment property are presented in “Investment properties”. (b) 租賃負債 (b) Lease liabilities 於租賃開始日期，本集團按該日未付的租賃付款現值確認 At the commencement date of a lease, the Group recognises and 及計量租賃負債。於計算租賃付款現值時，倘租賃隱含的 measures the lease liability at t</t>
        </is>
      </c>
    </row>
    <row r="44">
      <c r="A44" s="8" t="inlineStr">
        <is>
          <t>Investment Properties</t>
        </is>
      </c>
      <c r="B44" s="8" t="inlineStr">
        <is>
          <t>投資物業</t>
        </is>
      </c>
      <c r="C44" s="20" t="inlineStr">
        <is>
          <t>high</t>
        </is>
      </c>
      <c r="D44" s="11" t="inlineStr">
        <is>
          <t>market rent</t>
        </is>
      </c>
      <c r="E44" s="11" t="inlineStr">
        <is>
          <t>PDF p.94 (印刷頁 92)</t>
        </is>
      </c>
      <c r="F44" s="11" t="inlineStr">
        <is>
          <t>(Continued) (b) 租賃負債（續） (b) Lease liabilities (Continued) 反映市場租金率變動的可變租賃付款使用於開始日期的市 Variable lease payments that reflect changes in market rental 場租金率初始計量。不會依賴指數或利率的可變租賃付款 rates are initially measured using the market rental rates as at the 不計入租賃負債及使用權資產計量，並在觸發付款的事件 commencement date. Variable lease payments that do not depend on an 或條件出現的期間內確認為開支。 index or a rate are not included in the measurement of lease liabilities and right-of-use assets, and are recognised as an expense in the period in which the event or condition that</t>
        </is>
      </c>
    </row>
    <row r="45">
      <c r="A45" s="8" t="inlineStr">
        <is>
          <t>Investment Properties</t>
        </is>
      </c>
      <c r="B45" s="8" t="inlineStr">
        <is>
          <t>投資物業</t>
        </is>
      </c>
      <c r="C45" s="20" t="inlineStr">
        <is>
          <t>high</t>
        </is>
      </c>
      <c r="D45" s="11" t="inlineStr">
        <is>
          <t>投資物業</t>
        </is>
      </c>
      <c r="E45" s="11" t="inlineStr">
        <is>
          <t>PDF p.96 (印刷頁 94)</t>
        </is>
      </c>
      <c r="F45" s="11" t="inlineStr">
        <is>
          <t>. Initial direct costs 賃資產的賬面值，且該等成本於租賃期內按直線法確認為 incurred in negotiating and arranging an operating lease are added to 開支，惟以公平價值模式計量之投資物業除外。取決於指 the carrying amount of the leased asset, and such costs are recognised 數或利率的經營租賃可變租賃付款已予估計並計入將於租 as an expense on a straight-line basis over the lease term except for 賃期內以直線法確認的租賃付款總額。並非取決於指數或 investment properties measured under the fair value model. Variable 利率的可變租賃付款於其產生時確認為收入。 lease payments for operating leases that depend on an index or a rate are estimated and included in the to</t>
        </is>
      </c>
    </row>
    <row r="46">
      <c r="A46" s="8" t="inlineStr">
        <is>
          <t>Investment Properties</t>
        </is>
      </c>
      <c r="B46" s="8" t="inlineStr">
        <is>
          <t>投資物業</t>
        </is>
      </c>
      <c r="C46" s="20" t="inlineStr">
        <is>
          <t>high</t>
        </is>
      </c>
      <c r="D46" s="11" t="inlineStr">
        <is>
          <t>投資物業</t>
        </is>
      </c>
      <c r="E46" s="11" t="inlineStr">
        <is>
          <t>PDF p.115 (印刷頁 113)</t>
        </is>
      </c>
      <c r="F46" s="11" t="inlineStr">
        <is>
          <t>m those 產生重大影響： involving estimations, which have the most significant effect on the amounts recognised in the financial statements: 投資物業之遞延稅項 Deferred taxation on investment properties 就計量採用公平價值模式計量之投資物業所產生的遞延稅 For the purposes of measuring deferred tax liabilities arising from 項負債而言，本公司董事已審閱本集團之投資物業組合， investment properties that are measured using the fair value model, 並認為： the directors of the Company have reviewed the Group’s investment property portfolios and concluded that: (i) 本集團位於香港之投資物業並非透過隨時間消耗該 (i) the Group’s inves</t>
        </is>
      </c>
    </row>
    <row r="47">
      <c r="A47" s="8" t="inlineStr">
        <is>
          <t>Investment Properties</t>
        </is>
      </c>
      <c r="B47" s="8" t="inlineStr">
        <is>
          <t>投資物業</t>
        </is>
      </c>
      <c r="C47" s="20" t="inlineStr">
        <is>
          <t>high</t>
        </is>
      </c>
      <c r="D47" s="11" t="inlineStr">
        <is>
          <t>投資物業</t>
        </is>
      </c>
      <c r="E47" s="11" t="inlineStr">
        <is>
          <t>PDF p.116 (印刷頁 114)</t>
        </is>
      </c>
      <c r="F47" s="11" t="inlineStr">
        <is>
          <t>r ended 31st March, 2026 3. 主要會計判斷及估計（續） 3. Significant Accounting Judgements and Estimates (Continued) 判斷（續） Judgements (Continued) 投資物業之遞延稅項（續） Deferred taxation on investment properties (Continued) (ii) 本集團位於中國內地之投資物業乃以透過隨時間消 (ii) the Group’s investment properties located in Mainland China 耗該等物業所包含的絕大部分經濟利益之商業模式 are held under a business model whose objective is to consume 持有。因此，於計量本集團位於中國內地之投資物 substantially all of the economic benefits embodied in the 業之遞延稅項時，本公司董事已決定按公平價值模 investment properties over time. Therefore, in me</t>
        </is>
      </c>
    </row>
    <row r="48">
      <c r="A48" s="8" t="inlineStr">
        <is>
          <t>Investment Properties</t>
        </is>
      </c>
      <c r="B48" s="8" t="inlineStr">
        <is>
          <t>投資物業</t>
        </is>
      </c>
      <c r="C48" s="20" t="inlineStr">
        <is>
          <t>high</t>
        </is>
      </c>
      <c r="D48" s="11" t="inlineStr">
        <is>
          <t>investment property</t>
        </is>
      </c>
      <c r="E48" s="11" t="inlineStr">
        <is>
          <t>PDF p.117 (印刷頁 115)</t>
        </is>
      </c>
      <c r="F48" s="11" t="inlineStr">
        <is>
          <t>vely, were recognised in profit or loss. 投資物業之估值 Valuation of investment properties 各項投資物業於各報告日期由獨立外部估值師按其市場價 The fair value of each investment property is individually determined 值個別評估釐定。 at each reporting date by independent external valuers based on a market value assessment. 115</t>
        </is>
      </c>
    </row>
    <row r="49">
      <c r="A49" s="8" t="inlineStr">
        <is>
          <t>Investment Properties</t>
        </is>
      </c>
      <c r="B49" s="8" t="inlineStr">
        <is>
          <t>投資物業</t>
        </is>
      </c>
      <c r="C49" s="20" t="inlineStr">
        <is>
          <t>high</t>
        </is>
      </c>
      <c r="D49" s="11" t="inlineStr">
        <is>
          <t>capitalisation rate</t>
        </is>
      </c>
      <c r="E49" s="11" t="inlineStr">
        <is>
          <t>PDF p.118 (印刷頁 116)</t>
        </is>
      </c>
      <c r="F49" s="11" t="inlineStr">
        <is>
          <t>fair value of the commercial properties and an industrial property in Hong Kong and industrial properties in Mainland China include capitalisation rates and monthly market rents per square foot/metre under income capitalisation approach. 管理層認為本集團的投資物業之估值屬最佳估計。該等假 The management considers the valuations of the Group’s investment 設的變動，包括宏觀經濟環境變化、國際貿易緊張局勢及 properties are the best estimates. Changes to these assumptions, 地緣政治愈趨複雜、政策方向及╱或抵押要求的變化或其 including the potential risk of any market violation, policy, geopolitical 他突發事件導致的任何</t>
        </is>
      </c>
    </row>
    <row r="50">
      <c r="A50" s="8" t="inlineStr">
        <is>
          <t>Investment Properties</t>
        </is>
      </c>
      <c r="B50" s="8" t="inlineStr">
        <is>
          <t>投資物業</t>
        </is>
      </c>
      <c r="C50" s="20" t="inlineStr">
        <is>
          <t>high</t>
        </is>
      </c>
      <c r="D50" s="11" t="inlineStr">
        <is>
          <t>投資物業</t>
        </is>
      </c>
      <c r="E50" s="11" t="inlineStr">
        <is>
          <t>PDF p.121 (印刷頁 119)</t>
        </is>
      </c>
      <c r="F50" s="11" t="inlineStr">
        <is>
          <t>nsolidated financial statements. 分類表現根據報告分類虧損評估，此乃經調整除稅前虧損 Segment performance is evaluated based on reportable segment loss, 的計量方式。除投資物業的公平價值變動、若干其他收入 which is a measure of adjusted loss before tax. The adjusted loss before 及收益淨額、中央行政費用、銀行及其他借貸利息開支及 tax is measured consistently with the Group’s loss before tax except the 若干租賃負債之利息外，經調整除稅前虧損的計量方法與 change in fair value of investment properties, certain other income and 本集團的除稅前虧損的計量方式一致。 gains, net, central administration costs, interest expense on bank and other borrowings and i</t>
        </is>
      </c>
    </row>
    <row r="51">
      <c r="A51" s="8" t="inlineStr">
        <is>
          <t>Investment Properties</t>
        </is>
      </c>
      <c r="B51" s="8" t="inlineStr">
        <is>
          <t>投資物業</t>
        </is>
      </c>
      <c r="C51" s="20" t="inlineStr">
        <is>
          <t>high</t>
        </is>
      </c>
      <c r="D51" s="11" t="inlineStr">
        <is>
          <t>投資物業</t>
        </is>
      </c>
      <c r="E51" s="11" t="inlineStr">
        <is>
          <t>PDF p.122 (印刷頁 120)</t>
        </is>
      </c>
      <c r="F51" s="11" t="inlineStr">
        <is>
          <t>分類間之銷售 Inter-segment sales – (86) (86) 86 – 307,969 112,632 420,601 86 420,687 分類虧損 SEGMENT LOSS (20,911) (24,804) 45,715 – (45,715) 投資物業公平價值下降 Decrease in fair value of investment properties (42,025) 其他收入及收益淨額 Other income and gains, net 11,310 中央行政費用 Central administration costs (5,956) 融資成本 Finance costs (23,370) 除稅前虧損 Loss before tax (105,756) 120</t>
        </is>
      </c>
    </row>
    <row r="52">
      <c r="A52" s="8" t="inlineStr">
        <is>
          <t>Investment Properties</t>
        </is>
      </c>
      <c r="B52" s="8" t="inlineStr">
        <is>
          <t>投資物業</t>
        </is>
      </c>
      <c r="C52" s="20" t="inlineStr">
        <is>
          <t>high</t>
        </is>
      </c>
      <c r="D52" s="11" t="inlineStr">
        <is>
          <t>投資物業</t>
        </is>
      </c>
      <c r="E52" s="11" t="inlineStr">
        <is>
          <t>PDF p.123 (印刷頁 121)</t>
        </is>
      </c>
      <c r="F52" s="11" t="inlineStr">
        <is>
          <t>間之銷售 Inter-segment sales – 36 36 (36) – 350,815 130,705 481,520 (36) 481,484 分類虧損 SEGMENT LOSS (32,612) (25,297) (57,909) – (57,909) 投資物業公平價值下降 Decrease in fair value of investment properties (40,918) 其他收入及收益淨額 Other income and gains, net 12,158 中央行政費用 Central administration costs (5,501) 融資成本 Finance costs (31,823) 除稅前虧損 Loss before tax (123,993) 121</t>
        </is>
      </c>
    </row>
    <row r="53">
      <c r="A53" s="8" t="inlineStr">
        <is>
          <t>Investment Properties</t>
        </is>
      </c>
      <c r="B53" s="8" t="inlineStr">
        <is>
          <t>投資物業</t>
        </is>
      </c>
      <c r="C53" s="20" t="inlineStr">
        <is>
          <t>high</t>
        </is>
      </c>
      <c r="D53" s="11" t="inlineStr">
        <is>
          <t>投資物業</t>
        </is>
      </c>
      <c r="E53" s="11" t="inlineStr">
        <is>
          <t>PDF p.127 (印刷頁 125)</t>
        </is>
      </c>
      <c r="F53" s="11" t="inlineStr">
        <is>
          <t>HK$’000 其他收入 Other income 銀行利息收入 Bank interest income 247 1,949 已付租金按金之利息收入 Interest income from rental deposits paid 1,273 1,557 來自投資物業之租金收入 Rental income from investment properties, （包括可省略之支出） with negligible outgoings 11,026 10,148 12,546 13,654 收益淨額 Gains, net 出售產業、廠房及設備項目 Gain/(loss) on disposal of items of property, 之收益╱（虧損） plant and equipment, net 288 (280) 淨匯兌差額 Foreign exchange differences, net (5,240) 41 虧損性合約之回撥（附註24） Reversal of onerous contract (note 24) – 569 修訂租賃之收益 Gains on modification of leases 88 48 終止租賃之收益</t>
        </is>
      </c>
    </row>
    <row r="54">
      <c r="A54" s="8" t="inlineStr">
        <is>
          <t>Investment Properties</t>
        </is>
      </c>
      <c r="B54" s="8" t="inlineStr">
        <is>
          <t>投資物業</t>
        </is>
      </c>
      <c r="C54" s="20" t="inlineStr">
        <is>
          <t>high</t>
        </is>
      </c>
      <c r="D54" s="11" t="inlineStr">
        <is>
          <t>投資物業</t>
        </is>
      </c>
      <c r="E54" s="11" t="inlineStr">
        <is>
          <t>PDF p.129 (印刷頁 127)</t>
        </is>
      </c>
      <c r="F54" s="11" t="inlineStr">
        <is>
          <t>(reversal of) inventories* 1,379 (1,906) 存貨之撇賬* Write-off of inventories* 1,302 1,502 虧損性合約之回撥 Reversal of onerous contracts – (569) 投資物業公平價值之變動淨額 Change in fair value of investment properties, net 42,025 40,918 出售產業、廠房及設備項目之（收益）╱ (Gain)/loss on disposal of items of property, 虧損 plant and equipment (288) 280 * 年內存貨報廢、耗損及慢流存貨之撥備計入綜合損益 * Scrap, shrinkage and provision for slow-moving inventories for 及其他全面收入表之「銷售成本」內。 the year are included in “cost of goods sold” in the consolidated statement of profit or loss and other comprehens</t>
        </is>
      </c>
    </row>
    <row r="55">
      <c r="A55" s="8" t="inlineStr">
        <is>
          <t>Investment Properties</t>
        </is>
      </c>
      <c r="B55" s="8" t="inlineStr">
        <is>
          <t>投資物業</t>
        </is>
      </c>
      <c r="C55" s="20" t="inlineStr">
        <is>
          <t>high</t>
        </is>
      </c>
      <c r="D55" s="11" t="inlineStr">
        <is>
          <t>投資物業</t>
        </is>
      </c>
      <c r="E55" s="11" t="inlineStr">
        <is>
          <t>PDF p.135 (印刷頁 133)</t>
        </is>
      </c>
      <c r="F55" s="11" t="inlineStr">
        <is>
          <t>sume the exercise of the 薄調整。 Company’s share options since their assumed exercise would result in a decrease in loss per share. 13. 投資物業 13. Investment Properties 2026 2025 千港元 千港元 HK$’000 HK$’000 年初 At the beginning of the year 513,552 552,651 轉自產業、廠房及設備（附註） Transferred from property, plant and equipment (note) 12,181 1,057 轉自使用權資產（附註） Transferred from right-of-use assets (note) 11,632 1,649 於損益中確認之公平價值 Net decrease in fair value recognised in 淨下降 profit or loss (42,025) (40,918) 匯兌調整 Exchange realignment 4,899 (887) 500,239</t>
        </is>
      </c>
    </row>
    <row r="56">
      <c r="A56" s="8" t="inlineStr">
        <is>
          <t>Investment Properties</t>
        </is>
      </c>
      <c r="B56" s="8" t="inlineStr">
        <is>
          <t>投資物業</t>
        </is>
      </c>
      <c r="C56" s="20" t="inlineStr">
        <is>
          <t>high</t>
        </is>
      </c>
      <c r="D56" s="11" t="inlineStr">
        <is>
          <t>投資物業</t>
        </is>
      </c>
      <c r="E56" s="11" t="inlineStr">
        <is>
          <t>PDF p.136 (印刷頁 134)</t>
        </is>
      </c>
      <c r="F56" s="11" t="inlineStr">
        <is>
          <t>Notes to the Consolidated Financial Statements 綜合財務報表附註 截至2026年3月31日止年度 For the year ended 31st March, 2026 13. 投資物業（續） 13. Investment Properties (Continued) 附註： 於截至2026年3月31日止年度，賬面值分別為3,127,000 Note: During the year ended 31st March, 2026, the industrial properties 港元（2025年：433,000港元）及737,000港元（2025年： previously included in property, plant and equipment and the 132,000港元）並於早前列入產業、廠房及設備之工業物 relevant land use rights included in right-of-use assets with 業及已列入使用權資產之相關土地使用權已轉移至投 carrying values of HK$3,127,000</t>
        </is>
      </c>
    </row>
    <row r="57">
      <c r="A57" s="8" t="inlineStr">
        <is>
          <t>Investment Properties</t>
        </is>
      </c>
      <c r="B57" s="8" t="inlineStr">
        <is>
          <t>投資物業</t>
        </is>
      </c>
      <c r="C57" s="20" t="inlineStr">
        <is>
          <t>high</t>
        </is>
      </c>
      <c r="D57" s="11" t="inlineStr">
        <is>
          <t>market rent</t>
        </is>
      </c>
      <c r="E57" s="11" t="inlineStr">
        <is>
          <t>PDF p.137 (印刷頁 135)</t>
        </is>
      </c>
      <c r="F57" s="11" t="inlineStr">
        <is>
          <t>me of 充資本，以及租約屆滿後之復歸市場租金。於年度內，所 contractual tenancy capitalised for the unexpired terms of tenancy and 採用的估值技術並無變動。 the reversionary market rent after expiry of tenancy in capitalisation. There have been no changes to the valuation technique used during the years. 於估計物業公平價值時，物業最高及最佳用途被視為其目 When estimating the fair value of the properties, the highest and best 前用途。 use of the properties is considered to be their current use. 直接比較法 Direct comparison approach 評估泊車位價值時所用之其中一項主要輸入數據為類似 One of the key inputs used when valuing the par</t>
        </is>
      </c>
    </row>
    <row r="58">
      <c r="A58" s="8" t="inlineStr">
        <is>
          <t>Investment Properties</t>
        </is>
      </c>
      <c r="B58" s="8" t="inlineStr">
        <is>
          <t>投資物業</t>
        </is>
      </c>
      <c r="C58" s="20" t="inlineStr">
        <is>
          <t>high</t>
        </is>
      </c>
      <c r="D58" s="11" t="inlineStr">
        <is>
          <t>capitalisation rate</t>
        </is>
      </c>
      <c r="E58" s="11" t="inlineStr">
        <is>
          <t>PDF p.138 (印刷頁 136)</t>
        </is>
      </c>
      <c r="F58" s="11" t="inlineStr">
        <is>
          <t>Two of the key inputs used in valuing the commercial properties 據為1)資本化比率3.6%（2025年：2.9%）及2)市值月租每平方 located in Hong Kong were 1) the capitalisation rate of 3.6% (2025: 呎229港元（2025年：242港元）。 2.9%) and 2) the monthly market rent of HK$229 (2025: HK$242) per sq.ft.. 評估位於中國內地之工業物業價值所用之其中兩項主要輸 Two of the key inputs used in valuing the industrial properties located 入數據為1)資本化比率5.0%（2025年：5.0%）及2)每平方米之 in Mainland China were 1) the capitalisation rate of 5.0% (2025: 5.0%) 市值月租介乎人民幣23元至人民幣62元（2025年：人民幣22 and 2) the monthly market rent ra</t>
        </is>
      </c>
    </row>
    <row r="59">
      <c r="A59" s="8" t="inlineStr">
        <is>
          <t>Investment Properties</t>
        </is>
      </c>
      <c r="B59" s="8" t="inlineStr">
        <is>
          <t>投資物業</t>
        </is>
      </c>
      <c r="C59" s="20" t="inlineStr">
        <is>
          <t>high</t>
        </is>
      </c>
      <c r="D59" s="11" t="inlineStr">
        <is>
          <t>投資物業</t>
        </is>
      </c>
      <c r="E59" s="11" t="inlineStr">
        <is>
          <t>PDF p.139 (印刷頁 137)</t>
        </is>
      </c>
      <c r="F59" s="11" t="inlineStr">
        <is>
          <t>1 – 2,503 添置 Disposals – (9,327) (100) (4,560) (110) (484) (14,581) 出售 Transferred to investment properties (774) – – – – – (774) 轉移至投資物業 於2025年3月31日及2025年4月1日 At 31st March, 2025 and 1st April, 2025 35,519 67,361 19,609 54,054 24,538 2,498 203,579 Exchange realignment 888 680 970 58 13 26 2,635 匯兌調整 Additions – 985 20 111 133 – 1,249 添置 Disposals – (7,378) (6,973) (3,837) (126) (670) (18,984) 出售 Transferred to investment properties (6,457) – – – – – (6,457) 轉移至投資物業 Transferred to assets held for sale (6,727) – – – – – (6,727)</t>
        </is>
      </c>
    </row>
    <row r="60">
      <c r="A60" s="8" t="inlineStr">
        <is>
          <t>Investment Properties</t>
        </is>
      </c>
      <c r="B60" s="8" t="inlineStr">
        <is>
          <t>投資物業</t>
        </is>
      </c>
      <c r="C60" s="20" t="inlineStr">
        <is>
          <t>high</t>
        </is>
      </c>
      <c r="D60" s="11" t="inlineStr">
        <is>
          <t>投資物業</t>
        </is>
      </c>
      <c r="E60" s="11" t="inlineStr">
        <is>
          <t>PDF p.140 (印刷頁 138)</t>
        </is>
      </c>
      <c r="F60" s="11" t="inlineStr">
        <is>
          <t>). 於截至2026年3月31日止年度，賬面值3,127,000港元（2025 During the year ended 31st March, 2026, leasehold land and buildings 年：433,000港元）之租賃土地及樓宇已轉移至投資物業，導 with a carrying value of HK$3,127,000 (2025: HK$433,000) were 致重估物業收益9,054,000港元（2025年：624,000港元）以及 transferred to investment properties, resulting in a gain on revaluation 相關遞延稅項開支為1,057,000港元（2025年：156,000港元） of properties of HK$9,054,000 (2025: HK$624,000), and the related 於其他全面收入中確認。 deferred tax charge of HK$1,057,000 (2025: HK$156,000) recognised in other comprehensive income. 已識別之產業、</t>
        </is>
      </c>
    </row>
    <row r="61">
      <c r="A61" s="8" t="inlineStr">
        <is>
          <t>Investment Properties</t>
        </is>
      </c>
      <c r="B61" s="8" t="inlineStr">
        <is>
          <t>投資物業</t>
        </is>
      </c>
      <c r="C61" s="20" t="inlineStr">
        <is>
          <t>high</t>
        </is>
      </c>
      <c r="D61" s="11" t="inlineStr">
        <is>
          <t>投資物業</t>
        </is>
      </c>
      <c r="E61" s="11" t="inlineStr">
        <is>
          <t>PDF p.143 (印刷頁 141)</t>
        </is>
      </c>
      <c r="F61" s="11" t="inlineStr">
        <is>
          <t>es – (180) – (180) 折舊開支 Depreciation charge (108) (92,045) (716) (92,869) 已確認之減值虧損 Impairment loss recognised – (5,495) – (5,495) 轉移至投資物業 Transferred to investment properties (132) – – (132) 於2025年3月31日 At 31st March, 2025 及2025年4月1日 and 1st April, 2025 2,098 85,389 2,442 89,929 匯兌調整 Exchange realignment 101 15 – 116 添置（包括來自租賃修訂之調整） Additions (including adjustments arising from lease modification) – 54,520 560 55,080 租賃之終止 Termination of leases – (789) – (789) 折舊開支 Depreciation charge (93) (72,061) (844) (72,998) 已確認之減值虧損 Impai</t>
        </is>
      </c>
    </row>
    <row r="62">
      <c r="A62" s="8" t="inlineStr">
        <is>
          <t>Investment Properties</t>
        </is>
      </c>
      <c r="B62" s="8" t="inlineStr">
        <is>
          <t>投資物業</t>
        </is>
      </c>
      <c r="C62" s="20" t="inlineStr">
        <is>
          <t>high</t>
        </is>
      </c>
      <c r="D62" s="11" t="inlineStr">
        <is>
          <t>投資物業</t>
        </is>
      </c>
      <c r="E62" s="11" t="inlineStr">
        <is>
          <t>PDF p.144 (印刷頁 142)</t>
        </is>
      </c>
      <c r="F62" s="11" t="inlineStr">
        <is>
          <t>the land use rights included 737,000港元（2025年：132,000港元）之土地使用權已轉移 in right-of-use assets with a carrying amount of HK$737,000 (2025: 至投資物業。使用權資產之公平價值收益10,895,000港元 HK$132,000) were transferred to investment properties. The fair value （2025年：1,517,000港元）以及相關遞延稅項開支2,724,000 gain of right-of-use assets of HK$10,895,000 (2025: HK$1,517,000), 港元（2025年：379,000港元）已於轉移日在其他全面收入中 and the related deferred tax charge of HK$2,724,000 (2025: 確認。 HK$379,000) were recognised in other comprehensive income at the date of transfer. 於本年度，1,076,000港</t>
        </is>
      </c>
    </row>
    <row r="63">
      <c r="A63" s="8" t="inlineStr">
        <is>
          <t>Investment Properties</t>
        </is>
      </c>
      <c r="B63" s="8" t="inlineStr">
        <is>
          <t>投資物業</t>
        </is>
      </c>
      <c r="C63" s="20" t="inlineStr">
        <is>
          <t>high</t>
        </is>
      </c>
      <c r="D63" s="11" t="inlineStr">
        <is>
          <t>投資物業</t>
        </is>
      </c>
      <c r="E63" s="11" t="inlineStr">
        <is>
          <t>PDF p.147 (印刷頁 145)</t>
        </is>
      </c>
      <c r="F63" s="11" t="inlineStr">
        <is>
          <t>ents. 本集團作為出租人 Group as a lessor 本集團出租其根據經營租賃安排持有作為出租或持有作資 The Group leases its investment properties (note 13) consisting of 11 本增值的投資物業（附註13），包括位於香港的11個（2025 (2025: 9) carparks and 5 (2025: 5) properties located in Hong Kong 年：9個）泊車位及5個（2025年：5個）物業以及位於中國內地 and 32 (2025: 25) portions of a property located in Mainland China 的一個物業的32個（2025年：25個）部分。租賃條款一般要求 held to be leased under operating lease arrangements or held for capital 租戶支付抵押按金。 appreciation. The terms of the leases generally require the tenants to pay security deposits</t>
        </is>
      </c>
    </row>
    <row r="64">
      <c r="A64" s="8" t="inlineStr">
        <is>
          <t>Investment Properties</t>
        </is>
      </c>
      <c r="B64" s="8" t="inlineStr">
        <is>
          <t>投資物業</t>
        </is>
      </c>
      <c r="C64" s="20" t="inlineStr">
        <is>
          <t>high</t>
        </is>
      </c>
      <c r="D64" s="11" t="inlineStr">
        <is>
          <t>投資物業</t>
        </is>
      </c>
      <c r="E64" s="11" t="inlineStr">
        <is>
          <t>PDF p.163 (印刷頁 161)</t>
        </is>
      </c>
      <c r="F64" s="11" t="inlineStr">
        <is>
          <t>如下： the Group to certain banks to secure general banking facilities granted to the Group: 2026 2025 附註 千港元 千港元 Notes HK$’000 HK$’000 投資物業 Investment properties 13 426,360 454,218 租賃土地及樓宇 Leasehold land and buildings 14 4,118 5,181 使用權資產 Right-of-use assets 15(a) 415 537 抵押存款 Pledged deposits 19 11,074 13,070 441,967 473,006 161</t>
        </is>
      </c>
    </row>
    <row r="65">
      <c r="A65" s="8" t="inlineStr">
        <is>
          <t>ESG Data</t>
        </is>
      </c>
      <c r="B65" s="8" t="inlineStr">
        <is>
          <t>環境社會及管治數據</t>
        </is>
      </c>
      <c r="C65" s="8" t="inlineStr">
        <is>
          <t>medium</t>
        </is>
      </c>
      <c r="D65" s="11" t="inlineStr">
        <is>
          <t>可持續</t>
        </is>
      </c>
      <c r="E65" s="11" t="inlineStr">
        <is>
          <t>PDF p.15 (印刷頁 13)</t>
        </is>
      </c>
      <c r="F65" s="11" t="inlineStr">
        <is>
          <t>atements. Environmental Policies and Performance 環境政策及表現 The Company is committed to the sustainable development of the 本公司力求實現環境及社會的可持續發展。本集團致力遵 environment and our society. The Group has endeavoured to comply 守有關環保的法律法規，並採用有效的環保政策，確保其 with laws and regulations regarding environmental protection and 項目符合環保方面的所需標準及操守。 adopted effective environmental policies to ensure its projects meet the required standards and ethics. Compliance with Relevant Laws and Regulations 遵守相關法律及法規 During the year under review, as far as the Board of</t>
        </is>
      </c>
    </row>
    <row r="66">
      <c r="A66" s="8" t="inlineStr">
        <is>
          <t>ESG Data</t>
        </is>
      </c>
      <c r="B66" s="8" t="inlineStr">
        <is>
          <t>環境社會及管治數據</t>
        </is>
      </c>
      <c r="C66" s="8" t="inlineStr">
        <is>
          <t>medium</t>
        </is>
      </c>
      <c r="D66" s="11" t="inlineStr">
        <is>
          <t>sustainability</t>
        </is>
      </c>
      <c r="E66" s="11" t="inlineStr">
        <is>
          <t>PDF p.16 (印刷頁 14)</t>
        </is>
      </c>
      <c r="F66" s="11" t="inlineStr">
        <is>
          <t>提供優 and business associates are key stakeholders to the Company’s success. 質產品及服務、與業務夥伴（包括供應商及承包商）合作提 We strive to achieve corporate sustainability through engaging our 供高質素及可持續產品及服務，以及給予社會支持，藉以 employees, providing quality products and services to our customers, 達致企業可持續性。 collaborating with business partners (including suppliers and contractors) to deliver quality sustainable products and services and supporting our community. 業績及分派 Results and Appropriations 截至2026年3月31日止年度本集團的業績，載於本年報第63 The results of the Group for the year</t>
        </is>
      </c>
    </row>
    <row r="67">
      <c r="A67" s="8" t="inlineStr">
        <is>
          <t>ESG Data</t>
        </is>
      </c>
      <c r="B67" s="8" t="inlineStr">
        <is>
          <t>環境社會及管治數據</t>
        </is>
      </c>
      <c r="C67" s="8" t="inlineStr">
        <is>
          <t>medium</t>
        </is>
      </c>
      <c r="D67" s="11" t="inlineStr">
        <is>
          <t>可持續</t>
        </is>
      </c>
      <c r="E67" s="11" t="inlineStr">
        <is>
          <t>PDF p.28 (印刷頁 26)</t>
        </is>
      </c>
      <c r="F67" s="11" t="inlineStr">
        <is>
          <t>t. The Board is committed to maintaining and developing robust corporate governance practices that are intended to ensure: － 為股東帶來滿意及可持續的回報； – satisfactory and sustainable returns to shareholders; － 保障與本公司有業務往來者的利益； – that the interests of those who deal with the Company are safeguarded; － 了解並適當地管理整體業務風險； – that overall business risk is understood and managed appropriately; － 提供令顧客滿意的高質素產品與服務；及 – the delivery of high-quality products and services to the satisfaction of customers; and － 維持崇高的道德標準。 – that high standards of ethics</t>
        </is>
      </c>
    </row>
    <row r="68">
      <c r="A68" s="8" t="inlineStr">
        <is>
          <t>ESG Data</t>
        </is>
      </c>
      <c r="B68" s="8" t="inlineStr">
        <is>
          <t>環境社會及管治數據</t>
        </is>
      </c>
      <c r="C68" s="8" t="inlineStr">
        <is>
          <t>medium</t>
        </is>
      </c>
      <c r="D68" s="11" t="inlineStr">
        <is>
          <t>環境、社會及管治</t>
        </is>
      </c>
      <c r="E68" s="11" t="inlineStr">
        <is>
          <t>PDF p.81 (印刷頁 79)</t>
        </is>
      </c>
      <c r="F68" s="11" t="inlineStr">
        <is>
          <t>nd introduce an accounting policy option 前透過電子付款系統結算的金融負債。該等修訂本 to derecognise a financial liability that is settled through 釐清如何評估具有環境、社會及管治以及其他類似 an electronic payment system before the settlement date if 或然特徵的金融資產的合約現金流量特點。此外， specified criteria are met. The amendments clarify how to 該等修訂本釐清具有無追索權特徵的金融資產及合 assess the contractual cash flow characteristics of financial 約掛鈎工具的分類規定。該等修訂本亦包括指定以 assets with environmental, social and governance and other 公平價值計量並計入其他全面收入的股權工具投資 similar contingent features. Moreover, the amendments 及</t>
        </is>
      </c>
    </row>
    <row r="69">
      <c r="A69" s="8" t="inlineStr">
        <is>
          <t>Segment Information</t>
        </is>
      </c>
      <c r="B69" s="8" t="inlineStr">
        <is>
          <t>分部資料</t>
        </is>
      </c>
      <c r="C69" s="8" t="inlineStr">
        <is>
          <t>medium</t>
        </is>
      </c>
      <c r="D69" s="11" t="inlineStr">
        <is>
          <t>segment information</t>
        </is>
      </c>
      <c r="E69" s="11" t="inlineStr">
        <is>
          <t>PDF p.119 (印刷頁 117)</t>
        </is>
      </c>
      <c r="F69" s="11" t="inlineStr">
        <is>
          <t>) after netting off the 120,605,000港元）。 allowance for inventories of HK$11,731,000 (2025: HK$12,944,000). 4. 營業額及分類資料 4. Revenue and Segment Information (a) 營業額 (a) Revenue 截至2026年3月31日止年度 For the year ended 31st March, 2026 分拆來自客戶合約之收入 Disaggregation of revenue from contracts with customers 化妝品 時裝 總計 Cosmetics Fashion Total 千港元 千港元 千港元 HK$’000 HK$’000 HK$’000 商品類別 Types of goods 銷售化妝品 Sale of cosmetics 307,969 – 307,969 製造及銷售女仕時裝 Manufacture and sale of ladies fashion – 112,718 112,718 總計 Total 307,969 112,718 420,687 收入確認的時間</t>
        </is>
      </c>
    </row>
    <row r="70">
      <c r="A70" s="8" t="inlineStr">
        <is>
          <t>Segment Information</t>
        </is>
      </c>
      <c r="B70" s="8" t="inlineStr">
        <is>
          <t>分部資料</t>
        </is>
      </c>
      <c r="C70" s="8" t="inlineStr">
        <is>
          <t>medium</t>
        </is>
      </c>
      <c r="D70" s="11" t="inlineStr">
        <is>
          <t>segment information</t>
        </is>
      </c>
      <c r="E70" s="11" t="inlineStr">
        <is>
          <t>PDF p.120 (印刷頁 118)</t>
        </is>
      </c>
      <c r="F70" s="11" t="inlineStr">
        <is>
          <t>to the Consolidated Financial Statements 綜合財務報表附註 截至2026年3月31日止年度 For the year ended 31st March, 2026 4. 營業額及分類資料（續） 4. Revenue and Segment Information (Continued) (a) 營業額（續） (a) Revenue (Continued) 截至2025年3月31日止年度 For the year ended 31st March, 2025 分拆來自客戶合約之收入 Disaggregation of revenue from contracts with customers 化妝品 時裝 總計 Cosmetics Fashion Total 千港元 千港元 千港元 HK$’000 HK$’000 HK$’000 商品類別 Types of goods 銷售化妝品 Sale of cosmetics 350,815 – 350,815 製造及銷售女仕時裝 Manufacture and sale of ladies fashion – 130,669 130,669 總計 Total 350,8</t>
        </is>
      </c>
    </row>
    <row r="71">
      <c r="A71" s="8" t="inlineStr">
        <is>
          <t>Segment Information</t>
        </is>
      </c>
      <c r="B71" s="8" t="inlineStr">
        <is>
          <t>分部資料</t>
        </is>
      </c>
      <c r="C71" s="8" t="inlineStr">
        <is>
          <t>medium</t>
        </is>
      </c>
      <c r="D71" s="11" t="inlineStr">
        <is>
          <t>segment information</t>
        </is>
      </c>
      <c r="E71" s="11" t="inlineStr">
        <is>
          <t>PDF p.121 (印刷頁 119)</t>
        </is>
      </c>
      <c r="F71" s="11" t="inlineStr">
        <is>
          <t>to the Consolidated Financial Statements 綜合財務報表附註 截至2026年3月31日止年度 For the year ended 31st March, 2026 4. 營業額及分類資料（續） 4. Revenue and Segment Information (Continued) (b) 分類資料 (b) Segment information 向本公司執行董事（即主要營運決策人（「主要營運決策 Information reported to the executive directors of the Company, being 人」））報告之資料，乃為針對所交付的貨品類別作出資源分 the chief operating decision makers (“CODM”), for the purposes of 配及評核分類表現。向主要營運決策人報告的資料會進一 resource allocation and assessment of segment performance focuses on 步按香港及澳門境內不同零售店舖劃分，而該等零售店舖 the types of goods deliv</t>
        </is>
      </c>
    </row>
    <row r="72">
      <c r="A72" s="8" t="inlineStr">
        <is>
          <t>Segment Information</t>
        </is>
      </c>
      <c r="B72" s="8" t="inlineStr">
        <is>
          <t>分部資料</t>
        </is>
      </c>
      <c r="C72" s="8" t="inlineStr">
        <is>
          <t>medium</t>
        </is>
      </c>
      <c r="D72" s="11" t="inlineStr">
        <is>
          <t>segment information</t>
        </is>
      </c>
      <c r="E72" s="11" t="inlineStr">
        <is>
          <t>PDF p.122 (印刷頁 120)</t>
        </is>
      </c>
      <c r="F72" s="11" t="inlineStr">
        <is>
          <t>to the Consolidated Financial Statements 綜合財務報表附註 截至2026年3月31日止年度 For the year ended 31st March, 2026 4. 營業額及分類資料（續） 4. Revenue and Segment Information (Continued) (b) 分類資料（續） (b) Segment information (Continued) 分類收益及業績 Segment revenue and results 截至2026年3月31日止年度 For the year ended 31st March, 2026 化妝品 時裝 分類總額 抵銷 綜合 Segment Cosmetics Fashion total Eliminations Consolidated 千港元 千港元 千港元 千港元 千港元 HK$’000 HK$’000 HK$’000 HK$’000 HK$’000 營業額 REVENUE 對外銷售 External sales 307,969 112,718 420,687 – 420,687 分類間之銷售 Inter-segment sales – (</t>
        </is>
      </c>
    </row>
    <row r="73">
      <c r="A73" s="8" t="inlineStr">
        <is>
          <t>Segment Information</t>
        </is>
      </c>
      <c r="B73" s="8" t="inlineStr">
        <is>
          <t>分部資料</t>
        </is>
      </c>
      <c r="C73" s="8" t="inlineStr">
        <is>
          <t>medium</t>
        </is>
      </c>
      <c r="D73" s="11" t="inlineStr">
        <is>
          <t>segment information</t>
        </is>
      </c>
      <c r="E73" s="11" t="inlineStr">
        <is>
          <t>PDF p.123 (印刷頁 121)</t>
        </is>
      </c>
      <c r="F73" s="11" t="inlineStr">
        <is>
          <t>to the Consolidated Financial Statements 綜合財務報表附註 截至2026年3月31日止年度 For the year ended 31st March, 2026 4. 營業額及分類資料（續） 4. Revenue and Segment Information (Continued) (b) 分類資料（續） (b) Segment information (Continued) 分類收益及業績（續） Segment revenue and results (Continued) 截至2025年3月31日止年度 For the year ended 31st March, 2025 化妝品 時裝 分類總額 抵銷 綜合 Segment Cosmetics Fashion total Eliminations Consolidated 千港元 千港元 千港元 千港元 千港元 HK$’000 HK$’000 HK$’000 HK$’000 HK$’000 營業額 REVENUE 對外銷售 External sales 350,815 130,669 481,484 – 481,484 分類間之銷售 Inter-se</t>
        </is>
      </c>
    </row>
    <row r="74">
      <c r="A74" s="8" t="inlineStr">
        <is>
          <t>Segment Information</t>
        </is>
      </c>
      <c r="B74" s="8" t="inlineStr">
        <is>
          <t>分部資料</t>
        </is>
      </c>
      <c r="C74" s="8" t="inlineStr">
        <is>
          <t>medium</t>
        </is>
      </c>
      <c r="D74" s="11" t="inlineStr">
        <is>
          <t>segment information</t>
        </is>
      </c>
      <c r="E74" s="11" t="inlineStr">
        <is>
          <t>PDF p.124 (印刷頁 122)</t>
        </is>
      </c>
      <c r="F74" s="11" t="inlineStr">
        <is>
          <t>to the Consolidated Financial Statements 綜合財務報表附註 截至2026年3月31日止年度 For the year ended 31st March, 2026 4. 營業額及分類資料（續） 4. Revenue and Segment Information (Continued) (b) 分類資料（續） (b) Segment information (Continued) 其他分類資料 Other segment information 化妝品 時裝 分類總額 公司 綜合 Segment Cosmetics Fashion total Corporate Consolidated 千港元 千港元 千港元 千港元 千港元 HK$’000 HK$’000 HK$’000 HK$’000 HK$’000 2026年 2026 存貨之撥備╱（回撥） Provision for/(reversal of) inventories 2,591 (1,212) 1,379 – 1,379 存貨之撇賬 Write-off of inventories 818 484 1,302 – 1,302 產業、廠房及設備之折舊</t>
        </is>
      </c>
    </row>
    <row r="75">
      <c r="A75" s="8" t="inlineStr">
        <is>
          <t>Segment Information</t>
        </is>
      </c>
      <c r="B75" s="8" t="inlineStr">
        <is>
          <t>分部資料</t>
        </is>
      </c>
      <c r="C75" s="8" t="inlineStr">
        <is>
          <t>medium</t>
        </is>
      </c>
      <c r="D75" s="11" t="inlineStr">
        <is>
          <t>segment information</t>
        </is>
      </c>
      <c r="E75" s="11" t="inlineStr">
        <is>
          <t>PDF p.125 (印刷頁 123)</t>
        </is>
      </c>
      <c r="F75" s="11" t="inlineStr">
        <is>
          <t>to the Consolidated Financial Statements 綜合財務報表附註 截至2026年3月31日止年度 For the year ended 31st March, 2026 4. 營業額及分類資料（續） 4. Revenue and Segment Information (Continued) (b) 分類資料（續） (b) Segment information (Continued) 其他分類資料（續） Other segment information (Continued) 化妝品 時裝 分類總額 公司 綜合 Segment Cosmetics Fashion total Corporate Consolidated 千港元 千港元 千港元 千港元 千港元 HK$’000 HK$’000 HK$’000 HK$’000 HK$’000 2025年 2025 存貨之撥備╱（回撥） Provision for/(reversal of) inventories 3,305 (5,211) (1,906) – (1,906) 存貨之撇賬 Write-off of inventories 747 755 1,502</t>
        </is>
      </c>
    </row>
    <row r="76">
      <c r="A76" s="8" t="inlineStr">
        <is>
          <t>Segment Information</t>
        </is>
      </c>
      <c r="B76" s="8" t="inlineStr">
        <is>
          <t>分部資料</t>
        </is>
      </c>
      <c r="C76" s="8" t="inlineStr">
        <is>
          <t>medium</t>
        </is>
      </c>
      <c r="D76" s="11" t="inlineStr">
        <is>
          <t>segment information</t>
        </is>
      </c>
      <c r="E76" s="11" t="inlineStr">
        <is>
          <t>PDF p.126 (印刷頁 124)</t>
        </is>
      </c>
      <c r="F76" s="11" t="inlineStr">
        <is>
          <t>to the Consolidated Financial Statements 綜合財務報表附註 截至2026年3月31日止年度 For the year ended 31st March, 2026 4. 營業額及分類資料（續） 4. Revenue and Segment Information (Continued) (b) 分類資料（續） (b) Segment information (Continued) 地區資料 Geographical information 本集團之營運主要位於香港及澳門。本集團來自外來客戶 The Group’s operations are principally located in Hong Kong 之收入的資料乃按營運所在地區呈列。 and Macau. Information about the Group’s revenue from external customers is presented based on the geographical locations of operations. 2026 2025 千港元 千港元 HK$’000 HK$’000 香港及澳門 Hong Kong</t>
        </is>
      </c>
    </row>
    <row r="77">
      <c r="A77" s="8" t="inlineStr">
        <is>
          <t>Segment Information</t>
        </is>
      </c>
      <c r="B77" s="8" t="inlineStr">
        <is>
          <t>分部資料</t>
        </is>
      </c>
      <c r="C77" s="8" t="inlineStr">
        <is>
          <t>medium</t>
        </is>
      </c>
      <c r="D77" s="11" t="inlineStr">
        <is>
          <t>geographical</t>
        </is>
      </c>
      <c r="E77" s="11" t="inlineStr">
        <is>
          <t>PDF p.170 (印刷頁 168)</t>
        </is>
      </c>
      <c r="F77" s="11" t="inlineStr">
        <is>
          <t>onsider that the Group’s credit risk is significantly reduced. 本集團按地理位置劃分的信貸風險主要集中在中國內地及 The Group’s concentration of credit risk by geographical location is 香港。 mainly in Mainland China and Hong Kong. 由於銀行結餘及存款存放於被國際信貸評級機構評定為高 The credit risks on bank balances and deposits are limited because 信貸評級的銀行，故信貸風險有限。除存放於若干具有良 the counterparties are banks with high credit ratings assigned by 好信譽和高信貸評級的銀行中的流動資金存在集中信貸風 international credit-rating agencies. Other than the concentration of 險情況，有關風險分散至若干對約方及客戶，故本集團並 credit risk on liquid fu</t>
        </is>
      </c>
    </row>
    <row r="78">
      <c r="A78" s="8" t="inlineStr">
        <is>
          <t>Share-based Payment</t>
        </is>
      </c>
      <c r="B78" s="8" t="inlineStr">
        <is>
          <t>以股份為基礎的付款</t>
        </is>
      </c>
      <c r="C78" s="8" t="inlineStr">
        <is>
          <t>medium</t>
        </is>
      </c>
      <c r="D78" s="11" t="inlineStr">
        <is>
          <t>share option</t>
        </is>
      </c>
      <c r="E78" s="11" t="inlineStr">
        <is>
          <t>PDF p.14 (印刷頁 12)</t>
        </is>
      </c>
      <c r="F78" s="11" t="inlineStr">
        <is>
          <t>ts staff based on their individual performance. In addition to their basic remuneration and welfare, some key employees were granted share options as reward and incentive to enhance their loyalty to the Group. 致謝 Appreciation 本人謹代表董事會同仁，衷心感謝全體員工之忠誠服務、 On behalf of the Board, I would like to extend my heartfelt thanks to 貢獻及努力，對一直支持本集團之各位股東、客戶、供應 all the employees for their devotion, contribution and diligence and 商及業務夥伴亦深表感謝。 my deepest gratitude to all the shareholders, customers, suppliers and business partners for their cont</t>
        </is>
      </c>
    </row>
    <row r="79">
      <c r="A79" s="8" t="inlineStr">
        <is>
          <t>Share-based Payment</t>
        </is>
      </c>
      <c r="B79" s="8" t="inlineStr">
        <is>
          <t>以股份為基礎的付款</t>
        </is>
      </c>
      <c r="C79" s="8" t="inlineStr">
        <is>
          <t>medium</t>
        </is>
      </c>
      <c r="D79" s="11" t="inlineStr">
        <is>
          <t>share option</t>
        </is>
      </c>
      <c r="E79" s="11" t="inlineStr">
        <is>
          <t>PDF p.20 (印刷頁 18)</t>
        </is>
      </c>
      <c r="F79" s="11" t="inlineStr">
        <is>
          <t>s of experience in corporate governance and administration. 股票掛鈎協議 Equity-Linked Agreements 除下文所載之購股權計劃外，於截至2026年3月31日止年 Save as the share option schemes set out below, during the year ended 度，本公司並無新訂立或現有股票掛鈎協議。 31st March, 2026, the Company did not have newly entered or existing equity-linked agreements. 18</t>
        </is>
      </c>
    </row>
    <row r="80">
      <c r="A80" s="8" t="inlineStr">
        <is>
          <t>Share-based Payment</t>
        </is>
      </c>
      <c r="B80" s="8" t="inlineStr">
        <is>
          <t>以股份為基礎的付款</t>
        </is>
      </c>
      <c r="C80" s="8" t="inlineStr">
        <is>
          <t>medium</t>
        </is>
      </c>
      <c r="D80" s="11" t="inlineStr">
        <is>
          <t>share option</t>
        </is>
      </c>
      <c r="E80" s="11" t="inlineStr">
        <is>
          <t>PDF p.21 (印刷頁 19)</t>
        </is>
      </c>
      <c r="F80" s="11" t="inlineStr">
        <is>
          <t>董事會報告書 Directors’ Report 購股權計劃 Share Option Schemes 2013年購股權計劃 2013 Share Option Scheme 根據本公司於2013年8月30日舉行的股東週年大會，本公 Pursuant to the AGM of the Company held on 30th August, 2013, the 司已批准及採納一項購股權計劃（「2013年購股權計劃」）。 Company approved and adopted a share option scheme (“2013 Share 2013年購股權計劃已於2023年8月30日（即其採納日期起計 Option Scheme”). The 2013 Share Option Scheme expired on 30th 第10週年）屆滿。 August, 2023, being the 10th anniversary of its ad</t>
        </is>
      </c>
    </row>
    <row r="81">
      <c r="A81" s="8" t="inlineStr">
        <is>
          <t>Share-based Payment</t>
        </is>
      </c>
      <c r="B81" s="8" t="inlineStr">
        <is>
          <t>以股份為基礎的付款</t>
        </is>
      </c>
      <c r="C81" s="8" t="inlineStr">
        <is>
          <t>medium</t>
        </is>
      </c>
      <c r="D81" s="11" t="inlineStr">
        <is>
          <t>share option</t>
        </is>
      </c>
      <c r="E81" s="11" t="inlineStr">
        <is>
          <t>PDF p.22 (印刷頁 20)</t>
        </is>
      </c>
      <c r="F81" s="11" t="inlineStr">
        <is>
          <t>imately 0.8% of the 份）約0.8%。 issued shares (excluding treasury shares) of the Company as at the date of this report. 2023年購股權計劃 2023 Share Option Scheme 根據本公司於2023年9月11日舉行的股東週年大會，本公 Pursuant to the AGM of the Company held on 11th September, 2023, 司已批准及採納一項全新購股權計劃（「2023年購股權計 the Company approved and adopted a new share option scheme (“2023 劃」）。截至2026年3月31日，2023年購股權計劃餘下有效期 Share Option Scheme”). The remaining life of the 2023 Share Option 約為7年零5個月。 Scheme is around seven years and five months as at 31st March, 2026. 本集團採納2023年購股權</t>
        </is>
      </c>
    </row>
    <row r="82">
      <c r="A82" s="8" t="inlineStr">
        <is>
          <t>Share-based Payment</t>
        </is>
      </c>
      <c r="B82" s="8" t="inlineStr">
        <is>
          <t>以股份為基礎的付款</t>
        </is>
      </c>
      <c r="C82" s="8" t="inlineStr">
        <is>
          <t>medium</t>
        </is>
      </c>
      <c r="D82" s="11" t="inlineStr">
        <is>
          <t>share option</t>
        </is>
      </c>
      <c r="E82" s="11" t="inlineStr">
        <is>
          <t>PDF p.23 (印刷頁 21)</t>
        </is>
      </c>
      <c r="F82" s="11" t="inlineStr">
        <is>
          <t>t 1st April, 2025 and 31st March, 2026 was 251,800,133 and 251,800,133 respectively. 購股權計劃之進一步詳情載於綜合財務報表附註27。 Further details of the share option schemes are disclosed in note 27 to the consolidated financial statements. 董事及行政總裁於股份、相關股份及債券 Directors’ and Chief Executive Officer’s Interests 之權益及淡倉 and Short Positions in Shares, Underlying Shares and Debentures 於2026年3月31日，根據本公司按證券及期貨條例（「證券及 As at 31st March, 2026, the interests of the directors and the chief executive officer in the shares, underlying shares and debentures of th</t>
        </is>
      </c>
    </row>
    <row r="83">
      <c r="A83" s="8" t="inlineStr">
        <is>
          <t>Share-based Payment</t>
        </is>
      </c>
      <c r="B83" s="8" t="inlineStr">
        <is>
          <t>以股份為基礎的付款</t>
        </is>
      </c>
      <c r="C83" s="8" t="inlineStr">
        <is>
          <t>medium</t>
        </is>
      </c>
      <c r="D83" s="11" t="inlineStr">
        <is>
          <t>share option</t>
        </is>
      </c>
      <c r="E83" s="11" t="inlineStr">
        <is>
          <t>PDF p.24 (印刷頁 22)</t>
        </is>
      </c>
      <c r="F83" s="11" t="inlineStr">
        <is>
          <t>pursuant to the Model Code. 董事購入股份或債券的權利 Directors’ Rights to Acquire Shares or Debentures 除本公司購股權計劃外，在本年度任何時間內，本公司、 Other than the share option schemes of the Company, at no time 其控股公司或其任何附屬公司或同系附屬公司概無參與任 during the year was the Company, its holding company or any of its 何安排，致令本公司董事可藉購入本公司或任何其他公司 subsidiaries or fellow subsidiaries, a party to any arrangements to 的股份或債券而獲得利益。 enable the directors of the Company to acquire benefits by means of the acquisition of shares in, or debentures of, the Company or any other body corpor</t>
        </is>
      </c>
    </row>
    <row r="84">
      <c r="A84" s="8" t="inlineStr">
        <is>
          <t>Share-based Payment</t>
        </is>
      </c>
      <c r="B84" s="8" t="inlineStr">
        <is>
          <t>以股份為基礎的付款</t>
        </is>
      </c>
      <c r="C84" s="8" t="inlineStr">
        <is>
          <t>medium</t>
        </is>
      </c>
      <c r="D84" s="11" t="inlineStr">
        <is>
          <t>share option</t>
        </is>
      </c>
      <c r="E84" s="11" t="inlineStr">
        <is>
          <t>PDF p.26 (印刷頁 24)</t>
        </is>
      </c>
      <c r="F84" s="11" t="inlineStr">
        <is>
          <t>pany’s operating results, individual performance and comparable market statistics. 本公司已採納購股權計劃，作為對董事及合資格僱員之鼓 The Company has adopted share option schemes as an incentive to 勵措施，而有關計劃之詳情載於綜合財務報表附註27。 directors and eligible employees and details of the scheme are set out in note 27 to the consolidated financial statements. 24</t>
        </is>
      </c>
    </row>
    <row r="85">
      <c r="A85" s="8" t="inlineStr">
        <is>
          <t>Share-based Payment</t>
        </is>
      </c>
      <c r="B85" s="8" t="inlineStr">
        <is>
          <t>以股份為基礎的付款</t>
        </is>
      </c>
      <c r="C85" s="8" t="inlineStr">
        <is>
          <t>medium</t>
        </is>
      </c>
      <c r="D85" s="11" t="inlineStr">
        <is>
          <t>share option</t>
        </is>
      </c>
      <c r="E85" s="11" t="inlineStr">
        <is>
          <t>PDF p.38 (印刷頁 36)</t>
        </is>
      </c>
      <c r="F85" s="11" t="inlineStr">
        <is>
          <t>付出的精力及時間而獲得合適報 executive directors comprises basic salary and allowance. Executive 酬。獨立非執行董事之薪酬主要包括董事酬金，其由經參 directors shall receive share options to be granted under the Company’s 考市況後釐定。獨立非執行董事不得收取根據本公司購股 share option scheme. The remuneration policy for independent non- 權計劃將予授出的購股權。各董事及高級管理人員並無參 executive directors is to ensure that independent non-executive 與釐定其本身的薪酬。 directors are adequately compensated for their efforts and time dedicated to the Company’s affairs, including their participation in Board committees. The remu</t>
        </is>
      </c>
    </row>
    <row r="86">
      <c r="A86" s="8" t="inlineStr">
        <is>
          <t>Share-based Payment</t>
        </is>
      </c>
      <c r="B86" s="8" t="inlineStr">
        <is>
          <t>以股份為基礎的付款</t>
        </is>
      </c>
      <c r="C86" s="8" t="inlineStr">
        <is>
          <t>medium</t>
        </is>
      </c>
      <c r="D86" s="11" t="inlineStr">
        <is>
          <t>share-based payment</t>
        </is>
      </c>
      <c r="E86" s="11" t="inlineStr">
        <is>
          <t>PDF p.67 (印刷頁 65)</t>
        </is>
      </c>
      <c r="F86" s="11" t="inlineStr">
        <is>
          <t>虧損 Total comprehensive loss for the year – – 1,606 (963) – – – – (124,767) (124,124) 確認權益結算之以股份 Recognition of equity-settled 為基礎之償付 share-based payments – – – – – – 80 – – 80 已註銷之購股權 Share options cancelled – – – – – – (4) – 4 – 已失效之購股權 Share options lapsed – – – – – – (74) – 74 – 於2025年3月31日及 At 31st March, 2025 and 2025年4月1日 1st April, 2025 25,180 211,064 154,772 (7,112) 1,668 4,028 607 – (310,930) 79,277 本年度虧損 Loss for the year – – – – – – – – (105,529) (105,529) 本年度其他全面收入： Other comprehensive income for the year: 物業重估之收益 G</t>
        </is>
      </c>
    </row>
    <row r="87">
      <c r="A87" s="8" t="inlineStr">
        <is>
          <t>Share-based Payment</t>
        </is>
      </c>
      <c r="B87" s="8" t="inlineStr">
        <is>
          <t>以股份為基礎的付款</t>
        </is>
      </c>
      <c r="C87" s="8" t="inlineStr">
        <is>
          <t>medium</t>
        </is>
      </c>
      <c r="D87" s="11" t="inlineStr">
        <is>
          <t>share-based payment</t>
        </is>
      </c>
      <c r="E87" s="11" t="inlineStr">
        <is>
          <t>PDF p.69 (印刷頁 67)</t>
        </is>
      </c>
      <c r="F87" s="11" t="inlineStr">
        <is>
          <t>nventories 6 1,379 (1,906) 存貨之撇賬 Write-off of inventories 6 1,302 1,502 虧損性合約之回撥 Reversal of onerous contracts 6 – (569) 以股份為基礎之償付開支 Share-based payment expenses 6 43 80 營運資金變動前之經營業務 Operating cash flows before movements in 現金流量 working capital 43,545 55,061 存貨減少╱（增加） Decrease/(increase) in inventories 26,488 (13,700) 應收貿易款項及其他 Decrease in trade and other receivables 應收款項減少 6,732 197 已付租金及水電按金減少 Decrease in rental and utility deposits paid 4,500 3,514 應付貿易款項及其他 Increase/(decrease) in trade and 應付款項增加╱（減少） other payables 16,000</t>
        </is>
      </c>
    </row>
    <row r="88">
      <c r="A88" s="8" t="inlineStr">
        <is>
          <t>Share-based Payment</t>
        </is>
      </c>
      <c r="B88" s="8" t="inlineStr">
        <is>
          <t>以股份為基礎的付款</t>
        </is>
      </c>
      <c r="C88" s="8" t="inlineStr">
        <is>
          <t>medium</t>
        </is>
      </c>
      <c r="D88" s="11" t="inlineStr">
        <is>
          <t>share-based payment</t>
        </is>
      </c>
      <c r="E88" s="11" t="inlineStr">
        <is>
          <t>PDF p.110 (印刷頁 108)</t>
        </is>
      </c>
      <c r="F88" s="11" t="inlineStr">
        <is>
          <t>1st March, 2026 2. 會計政策（續） 2. Accounting Policies (Continued) 2.4. 重大會計政策（續） 2.4. Material Accounting Policies (Continued) 以股份為基礎之償付 Share-based payments 本公司實施購股權計劃。本集團的僱員（包括董事）按以股 The Company operates share option schemes. Employees (including 份為基礎之償付方式收取酬金，據此僱員以提供服務以換 directors) of the Group receive remuneration in the form of share-based 取權益工具的代價（「權益結算交易」）。 payments, whereby employees render services in exchange for equity instruments (“equity-settled transactions”). 與僱員進行權益結算交易的成本參考其授出日期的公平價 The cost of equity-settled trans</t>
        </is>
      </c>
    </row>
    <row r="89">
      <c r="A89" s="8" t="inlineStr">
        <is>
          <t>Share-based Payment</t>
        </is>
      </c>
      <c r="B89" s="8" t="inlineStr">
        <is>
          <t>以股份為基礎的付款</t>
        </is>
      </c>
      <c r="C89" s="8" t="inlineStr">
        <is>
          <t>medium</t>
        </is>
      </c>
      <c r="D89" s="11" t="inlineStr">
        <is>
          <t>share-based payment</t>
        </is>
      </c>
      <c r="E89" s="11" t="inlineStr">
        <is>
          <t>PDF p.111 (印刷頁 109)</t>
        </is>
      </c>
      <c r="F89" s="11" t="inlineStr">
        <is>
          <t>March, 2026 2. 會計政策（續） 2. Accounting Policies (Continued) 2.4. 重大會計政策（續） 2.4. Material Accounting Policies (Continued) 以股份為基礎之償付（續） Share-based payments (Continued) 於釐定獎勵於授予日期的公平價值時不計及服務及非市場 Service and non-market performance conditions are not taken into 表現條件，但會評估滿足條件的可能性，作為本集團對最 account when determining the grant date fair value of awards, but the 終將歸屬的權益工具數目最佳估計的一部分。市場表現條 likelihood of the conditions being met is assessed as part of the Group’s 件會在授予日期公平價值內體現。獎勵附帶但並無相關服 best estimate of the number of equity instruments that</t>
        </is>
      </c>
    </row>
    <row r="90">
      <c r="A90" s="8" t="inlineStr">
        <is>
          <t>Share-based Payment</t>
        </is>
      </c>
      <c r="B90" s="8" t="inlineStr">
        <is>
          <t>以股份為基礎的付款</t>
        </is>
      </c>
      <c r="C90" s="8" t="inlineStr">
        <is>
          <t>medium</t>
        </is>
      </c>
      <c r="D90" s="11" t="inlineStr">
        <is>
          <t>share-based payment</t>
        </is>
      </c>
      <c r="E90" s="11" t="inlineStr">
        <is>
          <t>PDF p.128 (印刷頁 126)</t>
        </is>
      </c>
      <c r="F90" s="11" t="inlineStr">
        <is>
          <t>ee benefits expense (including directors’ （附註8）： emoluments) (note 8): 薪酬和其他福利 Salaries and other benefits 102,077 115,643 以股份為基礎之償付 Share-based payments 43 80 退休福利計劃供款** Retirement benefit scheme contributions** 6,165 6,610 108,285 122,333 126</t>
        </is>
      </c>
    </row>
    <row r="91">
      <c r="A91" s="8" t="inlineStr">
        <is>
          <t>Share-based Payment</t>
        </is>
      </c>
      <c r="B91" s="8" t="inlineStr">
        <is>
          <t>以股份為基礎的付款</t>
        </is>
      </c>
      <c r="C91" s="8" t="inlineStr">
        <is>
          <t>medium</t>
        </is>
      </c>
      <c r="D91" s="11" t="inlineStr">
        <is>
          <t>share-based payment</t>
        </is>
      </c>
      <c r="E91" s="11" t="inlineStr">
        <is>
          <t>PDF p.132 (印刷頁 130)</t>
        </is>
      </c>
      <c r="F91" s="11" t="inlineStr">
        <is>
          <t>f the remaining four (2025: four) highest paid individuals are as follows: 2026 2025 千港元 千港元 HK$’000 HK$’000 薪金、以股份為基礎之償付及 Salaries, share-based payment and 其他福利 other benefits 3,358 3,440 與表現相關之獎勵款項 Performance related incentive payments 28 28 退休福利計劃供款 Retirement benefit scheme contributions 72 69 3,458 3,537 酬金屬於下列範圍的非董事及非主要行政人員最高薪僱員 The number of non-director and non-chief executive highest paid 人數如下： employees whose remuneration fell within the following bands is as follows: 僱員人數 Number of employees 2026 2025 零至1,000,000港元</t>
        </is>
      </c>
    </row>
    <row r="92">
      <c r="A92" s="8" t="inlineStr">
        <is>
          <t>Share-based Payment</t>
        </is>
      </c>
      <c r="B92" s="8" t="inlineStr">
        <is>
          <t>以股份為基礎的付款</t>
        </is>
      </c>
      <c r="C92" s="8" t="inlineStr">
        <is>
          <t>medium</t>
        </is>
      </c>
      <c r="D92" s="11" t="inlineStr">
        <is>
          <t>share option</t>
        </is>
      </c>
      <c r="E92" s="11" t="inlineStr">
        <is>
          <t>PDF p.135 (印刷頁 133)</t>
        </is>
      </c>
      <c r="F92" s="11" t="inlineStr">
        <is>
          <t>share for the year 2025年3月31日止年度呈列的每股基本虧損金額作出任何攤 ended 31st March, 2026 and 2025 does not assume the exercise of the 薄調整。 Company’s share options since their assumed exercise would result in a decrease in loss per share. 13. 投資物業 13. Investment Properties 2026 2025 千港元 千港元 HK$’000 HK$’000 年初 At the beginning of the year 513,552 552,651 轉自產業、廠房及設備（附註） Transferred from property, plant and equipment (note) 12,181 1,057 轉自使用權資產（附註） Transferred from right-of-use assets (note) 11,632 1,649 於損益中確認之公平價值 Net decrease in fair value reco</t>
        </is>
      </c>
    </row>
    <row r="93">
      <c r="A93" s="8" t="inlineStr">
        <is>
          <t>Share-based Payment</t>
        </is>
      </c>
      <c r="B93" s="8" t="inlineStr">
        <is>
          <t>以股份為基礎的付款</t>
        </is>
      </c>
      <c r="C93" s="8" t="inlineStr">
        <is>
          <t>medium</t>
        </is>
      </c>
      <c r="D93" s="11" t="inlineStr">
        <is>
          <t>share option</t>
        </is>
      </c>
      <c r="E93" s="11" t="inlineStr">
        <is>
          <t>PDF p.157 (印刷頁 155)</t>
        </is>
      </c>
      <c r="F93" s="11" t="inlineStr">
        <is>
          <t>（2025年：2,518,001,334） 2,518,001,334 (2025: 2,518,001,334) 股每股0.01港元之 ordinary shares of HK$0.01 each 普通股 25,180 25,180 27. 購股權計劃 27. Share Option Scheme 2023年購股權計劃 2023 Share Option Scheme 根據本公司於2023年9月11日舉行之股東週年大會上通過之 Pursuant to an ordinary resolution passed at the annual general meeting 普通決議案，本公司採納一項購股權計劃（「2023年購股權 of the Company on 11th September, 2023, a share option scheme 計劃」），旨在向合資格參與者提供機會以取得本公司之獨 (the “2023 Share Option Scheme”) was adopted by the Company for 有權益，並鼓勵參與者為提升本公司及其股份之價值而努 the purpose of providing eligible</t>
        </is>
      </c>
    </row>
    <row r="94">
      <c r="A94" s="8" t="inlineStr">
        <is>
          <t>Share-based Payment</t>
        </is>
      </c>
      <c r="B94" s="8" t="inlineStr">
        <is>
          <t>以股份為基礎的付款</t>
        </is>
      </c>
      <c r="C94" s="8" t="inlineStr">
        <is>
          <t>medium</t>
        </is>
      </c>
      <c r="D94" s="11" t="inlineStr">
        <is>
          <t>share option</t>
        </is>
      </c>
      <c r="E94" s="11" t="inlineStr">
        <is>
          <t>PDF p.158 (印刷頁 156)</t>
        </is>
      </c>
      <c r="F94" s="11" t="inlineStr">
        <is>
          <t>Notes to the Consolidated Financial Statements 綜合財務報表附註 截至2026年3月31日止年度 For the year ended 31st March, 2026 27. 購股權計劃（續） 27. Share Option Scheme (Continued) 2023年購股權計劃（續） 2023 Share Option Scheme (Continued) 除非取得本公司股東批准，否則在任何12個月期間內，根 Unless approved by shareholders of the Company, the total number 據2023年購股權計劃或本公司採納之任何其他購股權計 of shares of the Company issued and to be issued upon the exercise of 劃，因行使向各參與者所授出之購股權（包括已行使及尚未 the options granted to each participant (including both exercised and 行使購股權）而發行及將予發行的本公司股份總數，不得超 unex</t>
        </is>
      </c>
    </row>
    <row r="95">
      <c r="A95" s="8" t="inlineStr">
        <is>
          <t>Share-based Payment</t>
        </is>
      </c>
      <c r="B95" s="8" t="inlineStr">
        <is>
          <t>以股份為基礎的付款</t>
        </is>
      </c>
      <c r="C95" s="8" t="inlineStr">
        <is>
          <t>medium</t>
        </is>
      </c>
      <c r="D95" s="11" t="inlineStr">
        <is>
          <t>share option</t>
        </is>
      </c>
      <c r="E95" s="11" t="inlineStr">
        <is>
          <t>PDF p.159 (印刷頁 157)</t>
        </is>
      </c>
      <c r="F95" s="11" t="inlineStr">
        <is>
          <t>Notes to the Consolidated Financial Statements 綜合財務報表附註 截至2026年3月31日止年度 For the year ended 31st March, 2026 27. 購股權計劃（續） 27. Share Option Scheme (Continued) 2013年購股權計劃 2013 Share Option Scheme 根據本公司於2013年8月30日舉行之股東週年大會上通過之 Pursuant to an ordinary resolution passed at the annual general meeting 普通決議案，本公司採納一項購股權計劃（「2013年購股權 of the Company on 30th August, 2013, a share option scheme (the 計劃」），主要目的為獎勵董事及合資格僱員等參與者，而 “2013 Share Option Scheme”) was adopted by the Company for the 該計劃已於2023年8月30日屆滿。概無進一步購股權將根據 primary purpose o</t>
        </is>
      </c>
    </row>
    <row r="96">
      <c r="A96" s="8" t="inlineStr">
        <is>
          <t>Share-based Payment</t>
        </is>
      </c>
      <c r="B96" s="8" t="inlineStr">
        <is>
          <t>以股份為基礎的付款</t>
        </is>
      </c>
      <c r="C96" s="8" t="inlineStr">
        <is>
          <t>medium</t>
        </is>
      </c>
      <c r="D96" s="11" t="inlineStr">
        <is>
          <t>share option</t>
        </is>
      </c>
      <c r="E96" s="11" t="inlineStr">
        <is>
          <t>PDF p.160 (印刷頁 158)</t>
        </is>
      </c>
      <c r="F96" s="11" t="inlineStr">
        <is>
          <t>Notes to the Consolidated Financial Statements 綜合財務報表附註 截至2026年3月31日止年度 For the year ended 31st March, 2026 27. 購股權計劃（續） 27. Share Option Scheme (Continued) 2013年購股權計劃（續） 2013 Share Option Scheme (Continued) 於截至2025年3月31日止年度內： During the year ended 31st March, 2025: 於2024年 於年度內 於年度內 於年度內 於2025年 4月1日 授出 失效 註銷 3月31日 每股行使價 之結餘 Granted Lapsed Cancelled 尚未行使 授出日期 行使前持有期 行使期間 Exercise price Balance at during during during Outstanding at Date of grant Vesting period Exercise period per share 1st April, 2024 the year the year t</t>
        </is>
      </c>
    </row>
    <row r="97">
      <c r="A97" s="8" t="inlineStr">
        <is>
          <t>Share-based Payment</t>
        </is>
      </c>
      <c r="B97" s="8" t="inlineStr">
        <is>
          <t>以股份為基礎的付款</t>
        </is>
      </c>
      <c r="C97" s="8" t="inlineStr">
        <is>
          <t>medium</t>
        </is>
      </c>
      <c r="D97" s="11" t="inlineStr">
        <is>
          <t>share option</t>
        </is>
      </c>
      <c r="E97" s="11" t="inlineStr">
        <is>
          <t>PDF p.161 (印刷頁 159)</t>
        </is>
      </c>
      <c r="F97" s="11" t="inlineStr">
        <is>
          <t>Notes to the Consolidated Financial Statements 綜合財務報表附註 截至2026年3月31日止年度 For the year ended 31st March, 2026 27. 購股權計劃（續） 27. Share Option Scheme (Continued) 2013年購股權計劃（續） 2013 Share Option Scheme (Continued) 截至2026年3月31日止年度內，並無購股權獲行使（2025 No share options were exercised during the year ended 31st March, 年：無）。 2026 (2025: nil). 本集團確認於截至2026年3月31日止年度與本公司授出之 The Group recognised the total expense of HK$43,000 for the year 行使前持有購股權有關之總開支為43,000港元（2025年： ended 31st March, 2026 (2025: HK$80,000) in relation to the vesting 80,</t>
        </is>
      </c>
    </row>
    <row r="98">
      <c r="A98" s="8" t="inlineStr">
        <is>
          <t>Share-based Payment</t>
        </is>
      </c>
      <c r="B98" s="8" t="inlineStr">
        <is>
          <t>以股份為基礎的付款</t>
        </is>
      </c>
      <c r="C98" s="8" t="inlineStr">
        <is>
          <t>medium</t>
        </is>
      </c>
      <c r="D98" s="11" t="inlineStr">
        <is>
          <t>share-based payment</t>
        </is>
      </c>
      <c r="E98" s="11" t="inlineStr">
        <is>
          <t>PDF p.164 (印刷頁 162)</t>
        </is>
      </c>
      <c r="F98" s="11" t="inlineStr">
        <is>
          <t>s as follows: 2026 2025 千港元 千港元 HK$’000 HK$’000 短期福利 Short-term benefits 3,619 4,521 僱用後福利 Post-employment benefits 85 106 以股份為基礎之償付 Share-based payments 11 39 3,715 4,666 董事及主要管理人員之其他成員之薪酬乃由薪酬委員會視 The remuneration of directors and other members of key management 乎個別表現及市場趨勢而向董事會提出建議。 is recommended to the board of directors by the remuneration committee having regard to the performance of individuals and market trends. 162</t>
        </is>
      </c>
    </row>
    <row r="99">
      <c r="A99" s="8" t="inlineStr">
        <is>
          <t>Share-based Payment</t>
        </is>
      </c>
      <c r="B99" s="8" t="inlineStr">
        <is>
          <t>以股份為基礎的付款</t>
        </is>
      </c>
      <c r="C99" s="8" t="inlineStr">
        <is>
          <t>medium</t>
        </is>
      </c>
      <c r="D99" s="11" t="inlineStr">
        <is>
          <t>share option</t>
        </is>
      </c>
      <c r="E99" s="11" t="inlineStr">
        <is>
          <t>PDF p.181 (印刷頁 179)</t>
        </is>
      </c>
      <c r="F99" s="11" t="inlineStr">
        <is>
          <t>e loss for the year – – – (51,457) (51,457) 確認權益結算之以股份為基礎 Recognition of equity-settled share-based 之償付 payments – – 80 – 80 已失效之購股權 Share options lapsed – – (4) – (4) 已付股息 Dividend paid – – (74) – (74) 於2025年3月31日 At 31st March, 2025 and 及2025年4月1日 1st April, 2025 211,064 53,135 607 (210,709) 54,097 本年度虧損及總全面虧損 Loss and total comprehensive loss for the year – – – (60,103) (60,103) 確認權益結算之以股份為基礎 Recognition of equity-settled share-based 之償付 payments – – 43 – 43 已失效之購股權 Share options lapsed – – (340) – (340) 於2026年3月31日 At 31st</t>
        </is>
      </c>
    </row>
    <row r="100">
      <c r="A100" s="8" t="inlineStr">
        <is>
          <t>Related Party Transactions</t>
        </is>
      </c>
      <c r="B100" s="8" t="inlineStr">
        <is>
          <t>關聯方交易</t>
        </is>
      </c>
      <c r="C100" s="8" t="inlineStr">
        <is>
          <t>low</t>
        </is>
      </c>
      <c r="D100" s="11" t="inlineStr">
        <is>
          <t>related party</t>
        </is>
      </c>
      <c r="E100" s="11" t="inlineStr">
        <is>
          <t>PDF p.25 (印刷頁 23)</t>
        </is>
      </c>
      <c r="F100" s="11" t="inlineStr">
        <is>
          <t>董事會報告書 Directors’ Report 關連交易 Connected Transaction 本公司確認，綜合財務報表附註30(a)所披露的關聯方交易 The Company confirms that the related party transaction as disclosed 為上市規則第14A.76條的符合最低豁免水平的交易之關連 in note 30(a) to the consolidated financial statements is connected 交易，獲全面豁免。 transaction that falls under the de minimis transactions exemption and is fully exempt under Rule 14A.76 of the Listing Rules. 除上文所披露者外，概無其他關連交易╱持續關連交易須 Save as disclosed above, there were no other connected transactions/ 根據上市規則第十四A章的規定於本年報內披露。 continuin</t>
        </is>
      </c>
    </row>
    <row r="101">
      <c r="A101" s="8" t="inlineStr">
        <is>
          <t>Related Party Transactions</t>
        </is>
      </c>
      <c r="B101" s="8" t="inlineStr">
        <is>
          <t>關聯方交易</t>
        </is>
      </c>
      <c r="C101" s="8" t="inlineStr">
        <is>
          <t>low</t>
        </is>
      </c>
      <c r="D101" s="11" t="inlineStr">
        <is>
          <t>connected transaction</t>
        </is>
      </c>
      <c r="E101" s="11" t="inlineStr">
        <is>
          <t>PDF p.55 (印刷頁 53)</t>
        </is>
      </c>
      <c r="F101" s="11" t="inlineStr">
        <is>
          <t>ee (if any) 何批准關連交易或任何其他須經股東獨立批准的交 should also be available to answer questions at any general 易的股東大會，並於會上回應提問。 meeting to approve a connected transaction or any other transaction that is subject to independent shareholders’ approval. 53</t>
        </is>
      </c>
    </row>
    <row r="102">
      <c r="A102" s="8" t="inlineStr">
        <is>
          <t>Related Party Transactions</t>
        </is>
      </c>
      <c r="B102" s="8" t="inlineStr">
        <is>
          <t>關聯方交易</t>
        </is>
      </c>
      <c r="C102" s="8" t="inlineStr">
        <is>
          <t>low</t>
        </is>
      </c>
      <c r="D102" s="11" t="inlineStr">
        <is>
          <t>關聯方</t>
        </is>
      </c>
      <c r="E102" s="11" t="inlineStr">
        <is>
          <t>PDF p.88 (印刷頁 86)</t>
        </is>
      </c>
      <c r="F102" s="11" t="inlineStr">
        <is>
          <t>ar ended 31st March, 2026 2. 會計政策（續） 2. Accounting Policies (Continued) 2.4. 重大會計政策（續） 2.4. Material Accounting Policies (Continued) 關聯方 Related parties 在下列情況下，有關方將視為與本集團有關聯： A party is considered to be related to the Group if: (a) 有關方為個人或該人士的直屬家庭成員，而該人 (a) the party is a person or a close member of that person’s family 士： and that person: (i) 控制或共同控制本集團； (i) has control or joint control over the Group; (ii) 對本集團有重大影響力；或 (ii) has significant influence over the Group; or (iii) 屬本集團或本集團母公司的主要管理人員； (iii) is a member of the key man</t>
        </is>
      </c>
    </row>
    <row r="103">
      <c r="A103" s="8" t="inlineStr">
        <is>
          <t>Related Party Transactions</t>
        </is>
      </c>
      <c r="B103" s="8" t="inlineStr">
        <is>
          <t>關聯方交易</t>
        </is>
      </c>
      <c r="C103" s="8" t="inlineStr">
        <is>
          <t>low</t>
        </is>
      </c>
      <c r="D103" s="11" t="inlineStr">
        <is>
          <t>關聯方</t>
        </is>
      </c>
      <c r="E103" s="11" t="inlineStr">
        <is>
          <t>PDF p.89 (印刷頁 87)</t>
        </is>
      </c>
      <c r="F103" s="11" t="inlineStr">
        <is>
          <t>ar ended 31st March, 2026 2. 會計政策（續） 2. Accounting Policies (Continued) 2.4. 重大會計政策（續） 2.4. Material Accounting Policies (Continued) 關聯方（續） Related parties (Continued) (b) 有關方為實體並符合下列任何一項條件：（續） (b) the party is an entity where any of the following conditions applies: (Continued) (v) 該實體為本集團或與本集團有關聯的實體就 (v) the entity is a post-employment benefit plan for the 僱員福利設立的離職後福利計劃； benefit of employees of either the Group or an entity related to the Group; (vi) 該實體受(a)所識別人士控制或共同控制； (vi) the entity is controlled or jointly controlled by</t>
        </is>
      </c>
    </row>
    <row r="104">
      <c r="A104" s="8" t="inlineStr">
        <is>
          <t>Related Party Transactions</t>
        </is>
      </c>
      <c r="B104" s="8" t="inlineStr">
        <is>
          <t>關聯方交易</t>
        </is>
      </c>
      <c r="C104" s="8" t="inlineStr">
        <is>
          <t>low</t>
        </is>
      </c>
      <c r="D104" s="11" t="inlineStr">
        <is>
          <t>related party</t>
        </is>
      </c>
      <c r="E104" s="11" t="inlineStr">
        <is>
          <t>PDF p.164 (印刷頁 162)</t>
        </is>
      </c>
      <c r="F104" s="11" t="inlineStr">
        <is>
          <t>Notes to the Consolidated Financial Statements 綜合財務報表附註 截至2026年3月31日止年度 For the year ended 31st March, 2026 30. 關聯方交易 30. Related Party Transactions (a) (a) In addition to the transactions detailed elsewhere in these 除了該等財務報表其他部分詳述之交易，本集團於 本年度亦有以下與關聯方之交易： financial statements, the Group had the following transactions with related parties during the year: 2026 2025 千港元 千港元 HK$’000 HK$’000 交易性質 Nature of transactions 有關短期租賃之開支* Expenses relating to short-term leases* 1,281 1,800 付予董事的利息 Interest paid to directors 12,78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1"/>
  <sheetViews>
    <sheetView workbookViewId="0">
      <pane ySplit="27" topLeftCell="A28"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Income Tax</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Goodwill</t>
        </is>
      </c>
    </row>
    <row r="15">
      <c r="A15" s="8" t="inlineStr">
        <is>
          <t>Balance Sheet</t>
        </is>
      </c>
      <c r="B15" s="8" t="inlineStr">
        <is>
          <t>Intangible Assets</t>
        </is>
      </c>
    </row>
    <row r="16">
      <c r="A16" s="8" t="inlineStr">
        <is>
          <t>Balance Sheet</t>
        </is>
      </c>
      <c r="B16" s="8" t="inlineStr">
        <is>
          <t>Total Liabilities</t>
        </is>
      </c>
    </row>
    <row r="17">
      <c r="A17" s="8" t="inlineStr">
        <is>
          <t>Balance Sheet</t>
        </is>
      </c>
      <c r="B17" s="8" t="inlineStr">
        <is>
          <t>Borrowings</t>
        </is>
      </c>
    </row>
    <row r="18">
      <c r="A18" s="8" t="inlineStr">
        <is>
          <t>Cash Flow</t>
        </is>
      </c>
      <c r="B18" s="8" t="inlineStr">
        <is>
          <t>Operating Cash Flow</t>
        </is>
      </c>
    </row>
    <row r="19">
      <c r="A19" s="8" t="inlineStr">
        <is>
          <t>Cash Flow</t>
        </is>
      </c>
      <c r="B19" s="8" t="inlineStr">
        <is>
          <t>Investing Cash Flow</t>
        </is>
      </c>
    </row>
    <row r="20">
      <c r="A20" s="8" t="inlineStr">
        <is>
          <t>Cash Flow</t>
        </is>
      </c>
      <c r="B20" s="8" t="inlineStr">
        <is>
          <t>Financing Cash Flow</t>
        </is>
      </c>
    </row>
    <row r="21">
      <c r="A21" s="8" t="inlineStr">
        <is>
          <t>Cash Flow</t>
        </is>
      </c>
      <c r="B21" s="8" t="inlineStr">
        <is>
          <t>Capital Expenditure</t>
        </is>
      </c>
    </row>
    <row r="24">
      <c r="A24" s="5" t="inlineStr">
        <is>
          <t>二、文字量過低的頁面(疑似掃描頁)</t>
        </is>
      </c>
    </row>
    <row r="25">
      <c r="A25" s="2" t="inlineStr">
        <is>
          <t>這些頁面幾乎抓不到文字,通常是掃描件或純圖表,建議人手翻閱或另行 OCR。</t>
        </is>
      </c>
    </row>
    <row r="27">
      <c r="A27" s="7" t="inlineStr">
        <is>
          <t>PDF 頁碼</t>
        </is>
      </c>
      <c r="B27" s="7" t="inlineStr">
        <is>
          <t>狀態</t>
        </is>
      </c>
    </row>
    <row r="28">
      <c r="A28" s="8" t="n">
        <v>1</v>
      </c>
      <c r="B28" s="8" t="inlineStr">
        <is>
          <t>文字量過低 — 可能為掃描頁/圖表頁</t>
        </is>
      </c>
    </row>
    <row r="29">
      <c r="A29" s="8" t="n">
        <v>2</v>
      </c>
      <c r="B29" s="8" t="inlineStr">
        <is>
          <t>文字量過低 — 可能為掃描頁/圖表頁</t>
        </is>
      </c>
    </row>
    <row r="30">
      <c r="A30" s="8" t="n">
        <v>183</v>
      </c>
      <c r="B30" s="8" t="inlineStr">
        <is>
          <t>文字量過低 — 可能為掃描頁/圖表頁</t>
        </is>
      </c>
    </row>
    <row r="31">
      <c r="A31" s="8" t="n">
        <v>184</v>
      </c>
      <c r="B31"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2026-08-30T14:16:30Z</dcterms:created>
  <dcterms:modified xsi:type="dcterms:W3CDTF">2026-08-30T14:16:30Z</dcterms:modified>
</cp:coreProperties>
</file>
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01663_S_HARBOURHOLD_20260730.pdf</t>
        </is>
      </c>
    </row>
    <row r="5">
      <c r="A5" s="3" t="inlineStr">
        <is>
          <t>產生時間 Generated</t>
        </is>
      </c>
      <c r="B5" s="4" t="inlineStr">
        <is>
          <t>2026-08-30 22:15</t>
        </is>
      </c>
    </row>
    <row r="6">
      <c r="A6" s="4" t="inlineStr"/>
      <c r="B6" s="4" t="inlineStr"/>
    </row>
    <row r="7">
      <c r="A7" s="3" t="inlineStr">
        <is>
          <t>總頁數 Total pages</t>
        </is>
      </c>
      <c r="B7" s="4" t="n">
        <v>262</v>
      </c>
    </row>
    <row r="8">
      <c r="A8" s="3" t="inlineStr">
        <is>
          <t>已擷取字元 Characters extracted</t>
        </is>
      </c>
      <c r="B8" s="4" t="n">
        <v>478444</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6</v>
      </c>
    </row>
    <row r="13">
      <c r="A13" s="3" t="inlineStr">
        <is>
          <t>財務科目擷取筆數 Financial line items</t>
        </is>
      </c>
      <c r="B13" s="4" t="n">
        <v>8</v>
      </c>
    </row>
    <row r="14">
      <c r="A14" s="3" t="inlineStr">
        <is>
          <t>主題段落擷取筆數 Topic extracts</t>
        </is>
      </c>
      <c r="B14" s="4" t="n">
        <v>130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1,812,729 − 798,933 = 1,013,796</t>
        </is>
      </c>
    </row>
    <row r="20">
      <c r="A20" s="6" t="inlineStr">
        <is>
          <t>✓ 三大報表應相鄰</t>
        </is>
      </c>
      <c r="B20" s="4" t="inlineStr">
        <is>
          <t>Balance Sheet: p.151、Cash Flow: p.155(相距 4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6.54</v>
      </c>
      <c r="D5" s="10" t="n">
        <v>6.54</v>
      </c>
      <c r="E5" s="11" t="inlineStr">
        <is>
          <t>6.54%</t>
        </is>
      </c>
      <c r="F5" s="11" t="inlineStr">
        <is>
          <t>High</t>
        </is>
      </c>
      <c r="G5" s="11" t="inlineStr">
        <is>
          <t>PDF p.200 (印刷頁 199)</t>
        </is>
      </c>
      <c r="H5" s="11" t="inlineStr">
        <is>
          <t xml:space="preserve"> 29,972 17,013 The weighted average capitalisation rate of borrowings 年內，借貸之加權平均資本化率為零（二零二五年： was Nil (2025: 6.54%) per annum for the year. 6.54%）。 199 漢港控股集團有限公司 2025/26 年報</t>
        </is>
      </c>
    </row>
    <row r="6">
      <c r="A6" s="8" t="inlineStr">
        <is>
          <t>Discount Rate</t>
        </is>
      </c>
      <c r="B6" s="8" t="inlineStr">
        <is>
          <t>折現率</t>
        </is>
      </c>
      <c r="C6" s="9" t="n">
        <v>6</v>
      </c>
      <c r="D6" s="10" t="n">
        <v>6</v>
      </c>
      <c r="E6" s="11" t="inlineStr">
        <is>
          <t>6%</t>
        </is>
      </c>
      <c r="F6" s="11" t="inlineStr">
        <is>
          <t>High</t>
        </is>
      </c>
      <c r="G6" s="11" t="inlineStr">
        <is>
          <t>PDF p.213 (印刷頁 212)</t>
        </is>
      </c>
      <c r="H6" s="11" t="inlineStr">
        <is>
          <t>越高，公允值越低 （二零二五年： (13.2)%–(6.6)%） Commercial offices in the 3 Discount cash flow Discount rate 6% The higher the discount rate, PRC approach (2025: 7%) the lower the fair value 中國之商業辦公室 3 經貼現現金流量法 貼現率 6% 貼現率越高，公允值越低 （二零二五年：7%） Shop units in the PRC 3 Inc</t>
        </is>
      </c>
    </row>
    <row r="7">
      <c r="A7" s="8" t="inlineStr">
        <is>
          <t>Discount Rate</t>
        </is>
      </c>
      <c r="B7" s="8" t="inlineStr">
        <is>
          <t>折現率</t>
        </is>
      </c>
      <c r="C7" s="9" t="n">
        <v>7</v>
      </c>
      <c r="D7" s="10" t="n">
        <v>7</v>
      </c>
      <c r="E7" s="11" t="inlineStr">
        <is>
          <t>7%</t>
        </is>
      </c>
      <c r="F7" s="11" t="inlineStr">
        <is>
          <t>High</t>
        </is>
      </c>
      <c r="G7" s="11" t="inlineStr">
        <is>
          <t>PDF p.213 (印刷頁 212)</t>
        </is>
      </c>
      <c r="H7" s="11" t="inlineStr">
        <is>
          <t xml:space="preserve"> Commercial offices in the 3 Discount cash flow Discount rate 6% The higher the discount rate, PRC approach (2025: 7%) the lower the fair value 中國之商業辦公室 3 經貼現現金流量法 貼現率 6% 貼現率越高，公允值越低 （二零二五年：7%） Shop units in the PRC 3 Income approach Term yield 2.5%-6.3</t>
        </is>
      </c>
    </row>
    <row r="8">
      <c r="A8" s="8" t="inlineStr">
        <is>
          <t>Discount Rate</t>
        </is>
      </c>
      <c r="B8" s="8" t="inlineStr">
        <is>
          <t>折現率</t>
        </is>
      </c>
      <c r="C8" s="9" t="n">
        <v>2.5</v>
      </c>
      <c r="D8" s="10" t="n">
        <v>6.3</v>
      </c>
      <c r="E8" s="11" t="inlineStr">
        <is>
          <t>2.5%-6.3%</t>
        </is>
      </c>
      <c r="F8" s="11" t="inlineStr">
        <is>
          <t>Medium</t>
        </is>
      </c>
      <c r="G8" s="11" t="inlineStr">
        <is>
          <t>PDF p.213 (印刷頁 212)</t>
        </is>
      </c>
      <c r="H8" s="11" t="inlineStr">
        <is>
          <t>ount rate, PRC approach (2025: 7%) the lower the fair value 中國之商業辦公室 3 經貼現現金流量法 貼現率 6% 貼現率越高，公允值越低 （二零二五年：7%） Shop units in the PRC 3 Income approach Term yield 2.5%-6.3% The higher the term yield, the (2025: 2.5%-6.3%) lower the fair value 中國</t>
        </is>
      </c>
    </row>
    <row r="9">
      <c r="A9" s="8" t="inlineStr">
        <is>
          <t>Gross Margin</t>
        </is>
      </c>
      <c r="B9" s="8" t="inlineStr">
        <is>
          <t>毛利率</t>
        </is>
      </c>
      <c r="C9" s="9" t="n">
        <v>38.9</v>
      </c>
      <c r="D9" s="10" t="n">
        <v>38.9</v>
      </c>
      <c r="E9" s="11" t="inlineStr">
        <is>
          <t>38.9%</t>
        </is>
      </c>
      <c r="F9" s="11" t="inlineStr">
        <is>
          <t>High</t>
        </is>
      </c>
      <c r="G9" s="11" t="inlineStr">
        <is>
          <t>PDF p.13 (印刷頁 12)</t>
        </is>
      </c>
      <c r="H9" s="11" t="inlineStr">
        <is>
          <t>FY2025 to approximately RMB295.5 million in 零二六財年約人民幣295.5百萬元。毛利率從二零二五財 FY2026. Gross profit margin decreased from 38.9% in 年38.9%減少至二零二六財年31.6%。二零二六財年的毛 FY2025 to 31.6% in FY2026. In respect of the lower gross 利率較低，乃由於二零二六財年內待售物業及開發中物業 profit margin in FY202</t>
        </is>
      </c>
    </row>
    <row r="10">
      <c r="A10" s="8" t="inlineStr">
        <is>
          <t>Gross Margin</t>
        </is>
      </c>
      <c r="B10" s="8" t="inlineStr">
        <is>
          <t>毛利率</t>
        </is>
      </c>
      <c r="C10" s="9" t="n">
        <v>28.9</v>
      </c>
      <c r="D10" s="10" t="n">
        <v>28.9</v>
      </c>
      <c r="E10" s="11" t="inlineStr">
        <is>
          <t>(%) 28.9</t>
        </is>
      </c>
      <c r="F10" s="11" t="inlineStr">
        <is>
          <t>Medium</t>
        </is>
      </c>
      <c r="G10" s="11" t="inlineStr">
        <is>
          <t>PDF p.256 (印刷頁 255)</t>
        </is>
      </c>
      <c r="H10" s="11" t="inlineStr">
        <is>
          <t>Y FINANCIAL RATIO 主要財務比率 2022 2023 2024 2025 2026 二零二二年 二零二三年 二零二四年 二零二五年 二零二六年 Gross profit margin (%) 毛利率(%) 28.9 39.4 33.2 38.9 31.6 Net profit/(loss) margin (%) 純利╱（虧損）率(%) 18.2 4.4 3.5 2.4 (30.1) Gearing ratio (%) (Note 1) 資本與負債比率(%) （附註1） 22.5 22.7 26.2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Balance Sheet</t>
        </is>
      </c>
      <c r="B5" s="8" t="inlineStr">
        <is>
          <t>Property Plant and Equipment</t>
        </is>
      </c>
      <c r="C5" s="12" t="n">
        <v>24137</v>
      </c>
      <c r="D5" s="13" t="n">
        <v>41280</v>
      </c>
      <c r="E5" s="14">
        <f>IF(ISERROR((C5-D5)/ABS(D5)),"",(C5-D5)/ABS(D5))</f>
        <v>-0.4152858527131783</v>
      </c>
      <c r="F5" s="11" t="inlineStr">
        <is>
          <t>PDF p.151 (印刷頁 150)</t>
        </is>
      </c>
      <c r="G5" s="11" t="inlineStr">
        <is>
          <t>Property, plant and equipment 物業、廠房及設備 13 24,137 41,280</t>
        </is>
      </c>
    </row>
    <row r="6">
      <c r="A6" s="8" t="inlineStr">
        <is>
          <t>Balance Sheet</t>
        </is>
      </c>
      <c r="B6" s="8" t="inlineStr">
        <is>
          <t>Investment Properties</t>
        </is>
      </c>
      <c r="C6" s="12" t="n">
        <v>1282718</v>
      </c>
      <c r="D6" s="13" t="n">
        <v>1438850</v>
      </c>
      <c r="E6" s="14">
        <f>IF(ISERROR((C6-D6)/ABS(D6)),"",(C6-D6)/ABS(D6))</f>
        <v>-0.10851165861625604</v>
      </c>
      <c r="F6" s="11" t="inlineStr">
        <is>
          <t>PDF p.151 (印刷頁 150)</t>
        </is>
      </c>
      <c r="G6" s="11" t="inlineStr">
        <is>
          <t>Investment properties 投資物業 14 1,282,718 1,438,850</t>
        </is>
      </c>
    </row>
    <row r="7">
      <c r="A7" s="8" t="inlineStr">
        <is>
          <t>Balance Sheet</t>
        </is>
      </c>
      <c r="B7" s="8" t="inlineStr">
        <is>
          <t>Total Equity</t>
        </is>
      </c>
      <c r="C7" s="12" t="n">
        <v>1811410</v>
      </c>
      <c r="D7" s="13" t="n">
        <v>1953265</v>
      </c>
      <c r="E7" s="14">
        <f>IF(ISERROR((C7-D7)/ABS(D7)),"",(C7-D7)/ABS(D7))</f>
        <v>-0.07262455427194979</v>
      </c>
      <c r="F7" s="11" t="inlineStr">
        <is>
          <t>PDF p.152 (印刷頁 151)</t>
        </is>
      </c>
      <c r="G7" s="11" t="inlineStr">
        <is>
          <t>Total equity 權益總額 1,811,410 1,953,265</t>
        </is>
      </c>
    </row>
    <row r="8">
      <c r="A8" s="8" t="inlineStr">
        <is>
          <t>Balance Sheet</t>
        </is>
      </c>
      <c r="B8" s="8" t="inlineStr">
        <is>
          <t>Total Current Assets</t>
        </is>
      </c>
      <c r="C8" s="12" t="n">
        <v>1812729</v>
      </c>
      <c r="D8" s="13" t="n">
        <v>2187772</v>
      </c>
      <c r="E8" s="14">
        <f>IF(ISERROR((C8-D8)/ABS(D8)),"",(C8-D8)/ABS(D8))</f>
        <v>-0.17142691285929246</v>
      </c>
      <c r="F8" s="11" t="inlineStr">
        <is>
          <t>PDF p.151 (印刷頁 150)</t>
        </is>
      </c>
      <c r="G8" s="11" t="inlineStr">
        <is>
          <t>[current assets 區段小計] 1,812,729 2,187,772</t>
        </is>
      </c>
    </row>
    <row r="9">
      <c r="A9" s="8" t="inlineStr">
        <is>
          <t>Balance Sheet</t>
        </is>
      </c>
      <c r="B9" s="8" t="inlineStr">
        <is>
          <t>Total Current Liabilities</t>
        </is>
      </c>
      <c r="C9" s="12" t="n">
        <v>798933</v>
      </c>
      <c r="D9" s="13" t="n">
        <v>1239714</v>
      </c>
      <c r="E9" s="14">
        <f>IF(ISERROR((C9-D9)/ABS(D9)),"",(C9-D9)/ABS(D9))</f>
        <v>-0.3555505544020637</v>
      </c>
      <c r="F9" s="11" t="inlineStr">
        <is>
          <t>PDF p.151 (印刷頁 150)</t>
        </is>
      </c>
      <c r="G9" s="11" t="inlineStr">
        <is>
          <t>[current liabilities 區段小計] 798,933 1,239,714</t>
        </is>
      </c>
    </row>
    <row r="10">
      <c r="A10" s="8" t="inlineStr">
        <is>
          <t>Cash Flow</t>
        </is>
      </c>
      <c r="B10" s="8" t="inlineStr">
        <is>
          <t>Capital Expenditure</t>
        </is>
      </c>
      <c r="C10" s="12" t="n">
        <v>-183</v>
      </c>
      <c r="D10" s="13" t="n">
        <v>-4148</v>
      </c>
      <c r="E10" s="14">
        <f>IF(ISERROR((C10-D10)/ABS(D10)),"",(C10-D10)/ABS(D10))</f>
        <v>0.9558823529411765</v>
      </c>
      <c r="F10" s="11" t="inlineStr">
        <is>
          <t>PDF p.156 (印刷頁 155)</t>
        </is>
      </c>
      <c r="G10" s="11" t="inlineStr">
        <is>
          <t>Purchase of property, plant and equipment 購置物業、廠房及設備 (183) (4,148)</t>
        </is>
      </c>
    </row>
    <row r="11">
      <c r="A11" s="8" t="inlineStr">
        <is>
          <t>Cash Flow</t>
        </is>
      </c>
      <c r="B11" s="8" t="inlineStr">
        <is>
          <t>Investing Cash Flow</t>
        </is>
      </c>
      <c r="C11" s="12" t="n">
        <v>31451</v>
      </c>
      <c r="D11" s="13" t="n">
        <v>1161</v>
      </c>
      <c r="E11" s="14">
        <f>IF(ISERROR((C11-D11)/ABS(D11)),"",(C11-D11)/ABS(D11))</f>
        <v>26.089577950043065</v>
      </c>
      <c r="F11" s="11" t="inlineStr">
        <is>
          <t>PDF p.156 (印刷頁 155)</t>
        </is>
      </c>
      <c r="G11" s="11" t="inlineStr">
        <is>
          <t>Net cash generated from investing activities 投資活動所產生現金淨額 31,451 1,161</t>
        </is>
      </c>
    </row>
    <row r="12">
      <c r="A12" s="8" t="inlineStr">
        <is>
          <t>Cash Flow</t>
        </is>
      </c>
      <c r="B12" s="8" t="inlineStr">
        <is>
          <t>Financing Cash Flow</t>
        </is>
      </c>
      <c r="C12" s="12" t="n">
        <v>-62486</v>
      </c>
      <c r="D12" s="13" t="n">
        <v>-75498</v>
      </c>
      <c r="E12" s="14">
        <f>IF(ISERROR((C12-D12)/ABS(D12)),"",(C12-D12)/ABS(D12))</f>
        <v>0.17234893639566612</v>
      </c>
      <c r="F12" s="11" t="inlineStr">
        <is>
          <t>PDF p.156 (印刷頁 155)</t>
        </is>
      </c>
      <c r="G12" s="11" t="inlineStr">
        <is>
          <t>Net cash used in financing activities 融資活動所用現金淨額 (62,486) (75,498)</t>
        </is>
      </c>
    </row>
    <row r="14">
      <c r="A1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財務數據'!$C$5:$C$12,MATCH("Gross Profit",'Financials 財務數據'!$B$5:$B$12,0))/INDEX('Financials 財務數據'!$C$5:$C$12,MATCH("Revenue",'Financials 財務數據'!$B$5:$B$12,0))),"n/a",INDEX('Financials 財務數據'!$C$5:$C$12,MATCH("Gross Profit",'Financials 財務數據'!$B$5:$B$12,0))/INDEX('Financials 財務數據'!$C$5:$C$12,MATCH("Revenue",'Financials 財務數據'!$B$5:$B$12,0)))</f>
        <v>n/a</v>
      </c>
      <c r="C5" s="15" t="str">
        <f>IF(ISERROR(INDEX('Financials 財務數據'!$D$5:$D$12,MATCH("Gross Profit",'Financials 財務數據'!$B$5:$B$12,0))/INDEX('Financials 財務數據'!$D$5:$D$12,MATCH("Revenue",'Financials 財務數據'!$B$5:$B$12,0))),"n/a",INDEX('Financials 財務數據'!$D$5:$D$12,MATCH("Gross Profit",'Financials 財務數據'!$B$5:$B$12,0))/INDEX('Financials 財務數據'!$D$5:$D$12,MATCH("Revenue",'Financials 財務數據'!$B$5:$B$12,0)))</f>
        <v>n/a</v>
      </c>
      <c r="D5" s="2" t="inlineStr">
        <is>
          <t>毛利 ÷ 收入</t>
        </is>
      </c>
    </row>
    <row r="6">
      <c r="A6" s="4" t="inlineStr">
        <is>
          <t>Net Margin 淨利率</t>
        </is>
      </c>
      <c r="B6" s="15" t="str">
        <f>IF(ISERROR(INDEX('Financials 財務數據'!$C$5:$C$12,MATCH("Profit for the Year",'Financials 財務數據'!$B$5:$B$12,0))/INDEX('Financials 財務數據'!$C$5:$C$12,MATCH("Revenue",'Financials 財務數據'!$B$5:$B$12,0))),"n/a",INDEX('Financials 財務數據'!$C$5:$C$12,MATCH("Profit for the Year",'Financials 財務數據'!$B$5:$B$12,0))/INDEX('Financials 財務數據'!$C$5:$C$12,MATCH("Revenue",'Financials 財務數據'!$B$5:$B$12,0)))</f>
        <v>n/a</v>
      </c>
      <c r="C6" s="15" t="str">
        <f>IF(ISERROR(INDEX('Financials 財務數據'!$D$5:$D$12,MATCH("Profit for the Year",'Financials 財務數據'!$B$5:$B$12,0))/INDEX('Financials 財務數據'!$D$5:$D$12,MATCH("Revenue",'Financials 財務數據'!$B$5:$B$12,0))),"n/a",INDEX('Financials 財務數據'!$D$5:$D$12,MATCH("Profit for the Year",'Financials 財務數據'!$B$5:$B$12,0))/INDEX('Financials 財務數據'!$D$5:$D$12,MATCH("Revenue",'Financials 財務數據'!$B$5:$B$12,0)))</f>
        <v>n/a</v>
      </c>
      <c r="D6" s="2" t="inlineStr">
        <is>
          <t>年內溢利 ÷ 收入</t>
        </is>
      </c>
    </row>
    <row r="7">
      <c r="A7" s="4" t="inlineStr">
        <is>
          <t>Current Ratio 流動比率</t>
        </is>
      </c>
      <c r="B7" s="16">
        <f>IF(ISERROR(INDEX('Financials 財務數據'!$C$5:$C$12,MATCH("Total Current Assets",'Financials 財務數據'!$B$5:$B$12,0))/INDEX('Financials 財務數據'!$C$5:$C$12,MATCH("Total Current Liabilities",'Financials 財務數據'!$B$5:$B$12,0))),"n/a",INDEX('Financials 財務數據'!$C$5:$C$12,MATCH("Total Current Assets",'Financials 財務數據'!$B$5:$B$12,0))/INDEX('Financials 財務數據'!$C$5:$C$12,MATCH("Total Current Liabilities",'Financials 財務數據'!$B$5:$B$12,0)))</f>
        <v>2.2689374453176923</v>
      </c>
      <c r="C7" s="16">
        <f>IF(ISERROR(INDEX('Financials 財務數據'!$D$5:$D$12,MATCH("Total Current Assets",'Financials 財務數據'!$B$5:$B$12,0))/INDEX('Financials 財務數據'!$D$5:$D$12,MATCH("Total Current Liabilities",'Financials 財務數據'!$B$5:$B$12,0))),"n/a",INDEX('Financials 財務數據'!$D$5:$D$12,MATCH("Total Current Assets",'Financials 財務數據'!$B$5:$B$12,0))/INDEX('Financials 財務數據'!$D$5:$D$12,MATCH("Total Current Liabilities",'Financials 財務數據'!$B$5:$B$12,0)))</f>
        <v>1.764739286641919</v>
      </c>
      <c r="D7" s="2" t="inlineStr">
        <is>
          <t>流動資產 ÷ 流動負債</t>
        </is>
      </c>
    </row>
    <row r="8">
      <c r="A8" s="4" t="inlineStr">
        <is>
          <t>Debt / Equity 負債權益比</t>
        </is>
      </c>
      <c r="B8" s="16" t="str">
        <f>IF(ISERROR(INDEX('Financials 財務數據'!$C$5:$C$12,MATCH("Total Liabilities",'Financials 財務數據'!$B$5:$B$12,0))/INDEX('Financials 財務數據'!$C$5:$C$12,MATCH("Total Equity",'Financials 財務數據'!$B$5:$B$12,0))),"n/a",INDEX('Financials 財務數據'!$C$5:$C$12,MATCH("Total Liabilities",'Financials 財務數據'!$B$5:$B$12,0))/INDEX('Financials 財務數據'!$C$5:$C$12,MATCH("Total Equity",'Financials 財務數據'!$B$5:$B$12,0)))</f>
        <v>n/a</v>
      </c>
      <c r="C8" s="16" t="str">
        <f>IF(ISERROR(INDEX('Financials 財務數據'!$D$5:$D$12,MATCH("Total Liabilities",'Financials 財務數據'!$B$5:$B$12,0))/INDEX('Financials 財務數據'!$D$5:$D$12,MATCH("Total Equity",'Financials 財務數據'!$B$5:$B$12,0))),"n/a",INDEX('Financials 財務數據'!$D$5:$D$12,MATCH("Total Liabilities",'Financials 財務數據'!$B$5:$B$12,0))/INDEX('Financials 財務數據'!$D$5:$D$12,MATCH("Total Equity",'Financials 財務數據'!$B$5:$B$12,0)))</f>
        <v>n/a</v>
      </c>
      <c r="D8" s="2" t="inlineStr">
        <is>
          <t>總負債 ÷ 總權益</t>
        </is>
      </c>
    </row>
    <row r="9">
      <c r="A9" s="4" t="inlineStr">
        <is>
          <t>Goodwill / Total Assets</t>
        </is>
      </c>
      <c r="B9" s="15" t="str">
        <f>IF(ISERROR(INDEX('Financials 財務數據'!$C$5:$C$12,MATCH("Goodwill",'Financials 財務數據'!$B$5:$B$12,0))/INDEX('Financials 財務數據'!$C$5:$C$12,MATCH("Total Assets",'Financials 財務數據'!$B$5:$B$12,0))),"n/a",INDEX('Financials 財務數據'!$C$5:$C$12,MATCH("Goodwill",'Financials 財務數據'!$B$5:$B$12,0))/INDEX('Financials 財務數據'!$C$5:$C$12,MATCH("Total Assets",'Financials 財務數據'!$B$5:$B$12,0)))</f>
        <v>n/a</v>
      </c>
      <c r="C9" s="15" t="str">
        <f>IF(ISERROR(INDEX('Financials 財務數據'!$D$5:$D$12,MATCH("Goodwill",'Financials 財務數據'!$B$5:$B$12,0))/INDEX('Financials 財務數據'!$D$5:$D$12,MATCH("Total Assets",'Financials 財務數據'!$B$5:$B$12,0))),"n/a",INDEX('Financials 財務數據'!$D$5:$D$12,MATCH("Goodwill",'Financials 財務數據'!$B$5:$B$12,0))/INDEX('Financials 財務數據'!$D$5:$D$12,MATCH("Total Assets",'Financials 財務數據'!$B$5:$B$12,0)))</f>
        <v>n/a</v>
      </c>
      <c r="D9" s="2" t="inlineStr">
        <is>
          <t>商譽佔總資產比重 — 減值風險指標</t>
        </is>
      </c>
    </row>
    <row r="10">
      <c r="A10" s="4" t="inlineStr">
        <is>
          <t>Intangibles / Total Assets</t>
        </is>
      </c>
      <c r="B10" s="15" t="str">
        <f>IF(ISERROR(INDEX('Financials 財務數據'!$C$5:$C$12,MATCH("Intangible Assets",'Financials 財務數據'!$B$5:$B$12,0))/INDEX('Financials 財務數據'!$C$5:$C$12,MATCH("Total Assets",'Financials 財務數據'!$B$5:$B$12,0))),"n/a",INDEX('Financials 財務數據'!$C$5:$C$12,MATCH("Intangible Assets",'Financials 財務數據'!$B$5:$B$12,0))/INDEX('Financials 財務數據'!$C$5:$C$12,MATCH("Total Assets",'Financials 財務數據'!$B$5:$B$12,0)))</f>
        <v>n/a</v>
      </c>
      <c r="C10" s="15" t="str">
        <f>IF(ISERROR(INDEX('Financials 財務數據'!$D$5:$D$12,MATCH("Intangible Assets",'Financials 財務數據'!$B$5:$B$12,0))/INDEX('Financials 財務數據'!$D$5:$D$12,MATCH("Total Assets",'Financials 財務數據'!$B$5:$B$12,0))),"n/a",INDEX('Financials 財務數據'!$D$5:$D$12,MATCH("Intangible Assets",'Financials 財務數據'!$B$5:$B$12,0))/INDEX('Financials 財務數據'!$D$5:$D$12,MATCH("Total Assets",'Financials 財務數據'!$B$5:$B$12,0)))</f>
        <v>n/a</v>
      </c>
      <c r="D10" s="2" t="inlineStr">
        <is>
          <t>無形資產佔比</t>
        </is>
      </c>
    </row>
    <row r="11">
      <c r="A11" s="4" t="inlineStr">
        <is>
          <t>ROE 股本回報率</t>
        </is>
      </c>
      <c r="B11" s="15" t="str">
        <f>IF(ISERROR(INDEX('Financials 財務數據'!$C$5:$C$12,MATCH("Profit for the Year",'Financials 財務數據'!$B$5:$B$12,0))/INDEX('Financials 財務數據'!$C$5:$C$12,MATCH("Total Equity",'Financials 財務數據'!$B$5:$B$12,0))),"n/a",INDEX('Financials 財務數據'!$C$5:$C$12,MATCH("Profit for the Year",'Financials 財務數據'!$B$5:$B$12,0))/INDEX('Financials 財務數據'!$C$5:$C$12,MATCH("Total Equity",'Financials 財務數據'!$B$5:$B$12,0)))</f>
        <v>n/a</v>
      </c>
      <c r="C11" s="15" t="str">
        <f>IF(ISERROR(INDEX('Financials 財務數據'!$D$5:$D$12,MATCH("Profit for the Year",'Financials 財務數據'!$B$5:$B$12,0))/INDEX('Financials 財務數據'!$D$5:$D$12,MATCH("Total Equity",'Financials 財務數據'!$B$5:$B$12,0))),"n/a",INDEX('Financials 財務數據'!$D$5:$D$12,MATCH("Profit for the Year",'Financials 財務數據'!$B$5:$B$12,0))/INDEX('Financials 財務數據'!$D$5:$D$12,MATCH("Total Equity",'Financials 財務數據'!$B$5:$B$12,0)))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Total Equity</t>
        </is>
      </c>
      <c r="B5" s="18" t="n">
        <v>1953265</v>
      </c>
      <c r="C5" s="18" t="n">
        <v>1811410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3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income approach</t>
        </is>
      </c>
      <c r="E4" s="11" t="inlineStr">
        <is>
          <t>PDF p.211 (印刷頁 210)</t>
        </is>
      </c>
      <c r="F4" s="11" t="inlineStr">
        <is>
          <t>other characters 流量分析，根據有關分析須於投資年期內預測週期 between the comparable properties and the subject 性現金流量淨額，並按資本之風險調整機會成本貼 properties; and the income approach by taking 現以得出項目價值，其中會考慮就租金增長預測、 into account the net rental income derived from 空置率及免租所作之假設。 its existing leases and/or achievable in the existing market with due allowance for the reversionary income potential of the leases, which have been then capitalised to determine the market value at an appropriate capitalisation rate; and the discounted cash flow analysis that requires per</t>
        </is>
      </c>
    </row>
    <row r="5">
      <c r="A5" s="8" t="inlineStr">
        <is>
          <t>Fair Value Measurement</t>
        </is>
      </c>
      <c r="B5" s="8" t="inlineStr">
        <is>
          <t>公允價值計量</t>
        </is>
      </c>
      <c r="C5" s="19" t="inlineStr">
        <is>
          <t>high</t>
        </is>
      </c>
      <c r="D5" s="11" t="inlineStr">
        <is>
          <t>level 3</t>
        </is>
      </c>
      <c r="E5" s="11" t="inlineStr">
        <is>
          <t>PDF p.212 (印刷頁 211)</t>
        </is>
      </c>
      <c r="F5" s="11" t="inlineStr">
        <is>
          <t>ended 31 March 2026 截至二零二六年三月三十一日止年度 14. INVESTMENT PROPERTIES (CONTINUED) 14. 投資物業（續） The fair value of investment properties is a level 3 投資物業之公允值為第3級經常性公允值計量。年初 recurring fair value measurement. A reconciliation of 及年末公允值結餘之對賬載列如下。 the opening and closing fair value balance is provided below. 2026 2025 二零二六年 二零二五年 RMB’000 RMB’000 人民幣千元 人民幣千元 Opening balance (level 3 recurring fair value) 年初結餘（第3級經常性 公允值） 1,438,850 1,536,990 Transfer from properties held for sale 自待售物業轉撥 – 590 Disposal 出售 (8,100) – Lease modification of head</t>
        </is>
      </c>
    </row>
    <row r="6">
      <c r="A6" s="8" t="inlineStr">
        <is>
          <t>Fair Value Measurement</t>
        </is>
      </c>
      <c r="B6" s="8" t="inlineStr">
        <is>
          <t>公允價值計量</t>
        </is>
      </c>
      <c r="C6" s="19" t="inlineStr">
        <is>
          <t>high</t>
        </is>
      </c>
      <c r="D6" s="11" t="inlineStr">
        <is>
          <t>unobservable input</t>
        </is>
      </c>
      <c r="E6" s="11" t="inlineStr">
        <is>
          <t>PDF p.213 (印刷頁 212)</t>
        </is>
      </c>
      <c r="F6" s="11" t="inlineStr">
        <is>
          <t>重大不可觀察輸入數 inputs used in the valuation model. 據。 Fair Significant Range of Relationship of value Valuation unobservable unobservable unobservable Inputs Properties hierarchy technique inputs inputs to fair value 公允 重大不可 不可觀察 不可觀察輸入 物業 值層級 估值技術 觀察輸入數據 輸入數據之範圍 數據與公允值的關係 Commercial offices in the 3 Direct comparison (Discount)/premium (5.0)%- The higher the discount, the PRC approach on quality of the 1.0% lower the fair value; the higher property (2025: (41.9)%- the premium, the higher the 0.7%) fair value 中國之商業辦公室 3 直接比較法 物業質素之（</t>
        </is>
      </c>
    </row>
    <row r="7">
      <c r="A7" s="8" t="inlineStr">
        <is>
          <t>Fair Value Measurement</t>
        </is>
      </c>
      <c r="B7" s="8" t="inlineStr">
        <is>
          <t>公允價值計量</t>
        </is>
      </c>
      <c r="C7" s="19" t="inlineStr">
        <is>
          <t>high</t>
        </is>
      </c>
      <c r="D7" s="11" t="inlineStr">
        <is>
          <t>fair value hierarchy</t>
        </is>
      </c>
      <c r="E7" s="11" t="inlineStr">
        <is>
          <t>PDF p.247 (印刷頁 246)</t>
        </is>
      </c>
      <c r="F7" s="11" t="inlineStr">
        <is>
          <t>d at fair value in the consolidated 公允值計量之金融資產。層級將金融資產及負 statement of financial position in accordance 債按計量該等金融資產及負債公允值所用之重 with the fair value hierarchy. The hierarchy 大輸入數據之相對可靠程度分為三級。公允值 groups financial assets and liabilities into 層級劃分如下： three levels based on the relative reliability of significant inputs used in measuring the fair value of these financial assets and liabilities. The fair value hierarchy has the following levels: • Level 1: quoted prices (unadjusted) in • 第1級： 相同資產及負債於活躍市場之 active markets for identical 報價（</t>
        </is>
      </c>
    </row>
    <row r="8">
      <c r="A8" s="8" t="inlineStr">
        <is>
          <t>Fair Value Measurement</t>
        </is>
      </c>
      <c r="B8" s="8" t="inlineStr">
        <is>
          <t>公允價值計量</t>
        </is>
      </c>
      <c r="C8" s="19" t="inlineStr">
        <is>
          <t>high</t>
        </is>
      </c>
      <c r="D8" s="11" t="inlineStr">
        <is>
          <t>fair value hierarchy</t>
        </is>
      </c>
      <c r="E8" s="11" t="inlineStr">
        <is>
          <t>PDF p.248 (印刷頁 247)</t>
        </is>
      </c>
      <c r="F8" s="11" t="inlineStr">
        <is>
          <t>sets measured at fair value in the 於綜合財務狀況表按公允值計量之金融資產分 consolidated statement of financial position are 類為以下公允值層級： grouped into the fair value hierarchy as follows: Level 1 Level 2 Level 3 Total 第1級 第2級 第3級 總計 RMB’000 RMB’000 RMB’000 RMB’000 人民幣千元 人民幣千元 人民幣千元 人民幣千元 Year ended 31 March 2026 截至二零二六年 三月三十一日止年度 Assets 資產 Financial assets at FVOCI 按公允值於其他全面 收益列賬之 金融資產 – Unlisted equity investments – 未上市股權投資 – – 8,250 8,250 Level 1 Level 2 Level 3 Total 第1級 第2級 第3級 總計 RMB’000 RMB’000 RMB’000 RMB’000 人民幣千元 人民幣千元 人民幣千元 人民幣千元 Year ende</t>
        </is>
      </c>
    </row>
    <row r="9">
      <c r="A9" s="8" t="inlineStr">
        <is>
          <t>Fair Value Measurement</t>
        </is>
      </c>
      <c r="B9" s="8" t="inlineStr">
        <is>
          <t>公允價值計量</t>
        </is>
      </c>
      <c r="C9" s="19" t="inlineStr">
        <is>
          <t>high</t>
        </is>
      </c>
      <c r="D9" s="11" t="inlineStr">
        <is>
          <t>level 3</t>
        </is>
      </c>
      <c r="E9" s="11" t="inlineStr">
        <is>
          <t>PDF p.249 (印刷頁 248)</t>
        </is>
      </c>
      <c r="F9" s="11" t="inlineStr">
        <is>
          <t>liation for financial instruments carried 根據重大不可觀察輸入數據（第3級）按公允值列 at fair value based on significant unobservable 賬之金融工具對賬如下： inputs (Level 3) are as follows: Unlisted equity investments 未上市股權投資 2026 2025 二零二六年 二零二五年 RMB’000 RMB’000 人民幣千元 人民幣千元 At the beginning of the year 於年初 7,650 5,650 Addition (note 17) 添置（附註17） – 2,000 Total gains or losses: 收益或虧損總額： – in other comprehensive income – 於其他全面收益 600 – At the end of the year 於年末 8,250 7,650 The fair value of unlisted equity instruments 未上市股權工具之公允值使用可比公司市場法 is determined using ma</t>
        </is>
      </c>
    </row>
    <row r="10">
      <c r="A10" s="8" t="inlineStr">
        <is>
          <t>Fair Value Measurement</t>
        </is>
      </c>
      <c r="B10" s="8" t="inlineStr">
        <is>
          <t>公允價值計量</t>
        </is>
      </c>
      <c r="C10" s="19" t="inlineStr">
        <is>
          <t>high</t>
        </is>
      </c>
      <c r="D10" s="11" t="inlineStr">
        <is>
          <t>level 1</t>
        </is>
      </c>
      <c r="E10" s="11" t="inlineStr">
        <is>
          <t>PDF p.260 (印刷頁 259)</t>
        </is>
      </c>
      <c r="F10" s="11" t="inlineStr">
        <is>
          <t>Levels 6–24 Honggu Tan Central District, 16 September 2043 of Sino Harbour Kaixuan Center and Nanchang City, various retail units of Level 1–2 of Block Jiangxi Province, the PRC 2 and a 3-storey kindergarten of Nanchang Honggu Kaixuan 南昌紅谷凱旋漢港凱旋中心1–4層 中國江西省南昌市紅谷灘 不適用 C： 於二零四三年 已竣工 若干零售店舖及6–24層 中心區紅谷大道1568號 九月十六日屆滿 若干寫字樓單位及第2座第1至2層 以及一座三層高幼稚園 Various retail units on Levels 1 and 2 No. 299 Yiyang Avenue, C N/A C: 4,180 C: Expiring on 29 March 2047 100% Completed of Blocks 1 to 4, 6 and 7 of Yuanzhou District, Yichun Royal Lake Ci</t>
        </is>
      </c>
    </row>
    <row r="11">
      <c r="A11" s="8" t="inlineStr">
        <is>
          <t>Impairment Testing</t>
        </is>
      </c>
      <c r="B11" s="8" t="inlineStr">
        <is>
          <t>減值測試</t>
        </is>
      </c>
      <c r="C11" s="19" t="inlineStr">
        <is>
          <t>high</t>
        </is>
      </c>
      <c r="D11" s="11" t="inlineStr">
        <is>
          <t>減值虧損</t>
        </is>
      </c>
      <c r="E11" s="11" t="inlineStr">
        <is>
          <t>PDF p.16 (印刷頁 15)</t>
        </is>
      </c>
      <c r="F11" s="11" t="inlineStr">
        <is>
          <t>ately RMB479.6 million as at 31 月三十一日則約為人民幣479.6百萬元。 March 2025. The decrement was mainly due to net effect of impairment 減少乃主要由於預付款項減值虧損淨影響及收取其他應收 loss of prepayment and the collection of other receivables. 款項所致。 15 漢港控股集團有限公司 2025/26 年報</t>
        </is>
      </c>
    </row>
    <row r="12">
      <c r="A12" s="8" t="inlineStr">
        <is>
          <t>Impairment Testing</t>
        </is>
      </c>
      <c r="B12" s="8" t="inlineStr">
        <is>
          <t>減值測試</t>
        </is>
      </c>
      <c r="C12" s="19" t="inlineStr">
        <is>
          <t>high</t>
        </is>
      </c>
      <c r="D12" s="11" t="inlineStr">
        <is>
          <t>impairment loss</t>
        </is>
      </c>
      <c r="E12" s="11" t="inlineStr">
        <is>
          <t>PDF p.155 (印刷頁 154)</t>
        </is>
      </c>
      <c r="F12" s="11" t="inlineStr">
        <is>
          <t>開發中物業 and properties held under development 8 41,248 17,998 Loss on disposal of property, plant and 出售物業、廠房及設備虧損 equipment 6 3,046 – Impairment loss on prepayment 預付款項減值虧損 6 23,756 7,122 Written off of property, plant and equipment 撇銷物業、廠房及設備 6 – 1,330 Reversal of loss allowance of deposit paid 已付按金及其他應收款項之虧 and other receivables 損撥備撥回 6 (1,367) (15,435) Net fair value loss on investment properties 投資物業之公允值虧損淨額 6 148,032 42,230 Loss on lease modification 租賃修訂之虧損 6 29 3,124 Gain on disposal of a subsidiary 出售一間附屬公司之收益 6 – (7,212</t>
        </is>
      </c>
    </row>
    <row r="13">
      <c r="A13" s="8" t="inlineStr">
        <is>
          <t>Impairment Testing</t>
        </is>
      </c>
      <c r="B13" s="8" t="inlineStr">
        <is>
          <t>減值測試</t>
        </is>
      </c>
      <c r="C13" s="19" t="inlineStr">
        <is>
          <t>high</t>
        </is>
      </c>
      <c r="D13" s="11" t="inlineStr">
        <is>
          <t>recoverable amount</t>
        </is>
      </c>
      <c r="E13" s="11" t="inlineStr">
        <is>
          <t>PDF p.167 (印刷頁 166)</t>
        </is>
      </c>
      <c r="F13" s="11" t="inlineStr">
        <is>
          <t>ed 價值、可使用年期及折舊方法進行檢討並作出 if appropriate, at each reporting date. 調整。 An asset is written down immediately to its 倘資產賬面值高於資產估計可收回金額，則資 recoverable amount if its carrying amount is 產即時撇減至其可收回金額。 higher than the asset’s estimated recoverable amount. Fully depreciated property, plant and equipment 全數折舊之物業、廠房及設備乃保留於綜合財 are retained in the consolidated financial 務報表，直至不再使用為止。 statements until they are no longer in use. The gain or loss arising on retirement or disposal 報廢或出售所產生之收益或虧損乃銷售所得款 is determined as the difference between the 項</t>
        </is>
      </c>
    </row>
    <row r="14">
      <c r="A14" s="8" t="inlineStr">
        <is>
          <t>Impairment Testing</t>
        </is>
      </c>
      <c r="B14" s="8" t="inlineStr">
        <is>
          <t>減值測試</t>
        </is>
      </c>
      <c r="C14" s="19" t="inlineStr">
        <is>
          <t>high</t>
        </is>
      </c>
      <c r="D14" s="11" t="inlineStr">
        <is>
          <t>impairment loss</t>
        </is>
      </c>
      <c r="E14" s="11" t="inlineStr">
        <is>
          <t>PDF p.169 (印刷頁 168)</t>
        </is>
      </c>
      <c r="F14" s="11" t="inlineStr">
        <is>
          <t>何跡象顯示該等資產經已蒙受減值虧損或過往 prepayment to determine whether there is any 已確認之減值虧損不再存在或可能已經減少。 indication that those assets have suffered an impairment loss or an impairment loss previously recognised no longer exists or may have decreased. If the recoverable amount (i.e. the greater of 倘資產之估計可收回金額（即公允值減銷售成本 the fair value less costs of disposal and value 與使用價值兩者之較高者）低於其賬面值，則資 in use) of an asset is estimated to be less than 產之賬面值會減少至其可收回金額。減值虧損 its carrying amount, the carrying amount of the 會即時確認為開支。 asset is reduced to its recoverab</t>
        </is>
      </c>
    </row>
    <row r="15">
      <c r="A15" s="8" t="inlineStr">
        <is>
          <t>Impairment Testing</t>
        </is>
      </c>
      <c r="B15" s="8" t="inlineStr">
        <is>
          <t>減值測試</t>
        </is>
      </c>
      <c r="C15" s="19" t="inlineStr">
        <is>
          <t>high</t>
        </is>
      </c>
      <c r="D15" s="11" t="inlineStr">
        <is>
          <t>impairment loss</t>
        </is>
      </c>
      <c r="E15" s="11" t="inlineStr">
        <is>
          <t>PDF p.170 (印刷頁 169)</t>
        </is>
      </c>
      <c r="F15" s="11" t="inlineStr">
        <is>
          <t>ing a cost model. Under the cost model, the Group measures the right-of-use asset at cost, less any accumulated depreciation and any impairment losses, and adjusted for any remeasurement of lease liability. For right-of-use asset that meets the definition of an investment property, they are carried at fair value and for right-of-use asset that meets the definition of land and buildings held for own use, they are carried at depreciated cost. The Group accounts for land and buildings 本集團根據香港會計準則第40號就持作租賃或 that are held for rental</t>
        </is>
      </c>
    </row>
    <row r="16">
      <c r="A16" s="8" t="inlineStr">
        <is>
          <t>Impairment Testing</t>
        </is>
      </c>
      <c r="B16" s="8" t="inlineStr">
        <is>
          <t>減值測試</t>
        </is>
      </c>
      <c r="C16" s="19" t="inlineStr">
        <is>
          <t>high</t>
        </is>
      </c>
      <c r="D16" s="11" t="inlineStr">
        <is>
          <t>impairment loss</t>
        </is>
      </c>
      <c r="E16" s="11" t="inlineStr">
        <is>
          <t>PDF p.175 (印刷頁 174)</t>
        </is>
      </c>
      <c r="F16" s="11" t="inlineStr">
        <is>
          <t>ruments are classified as FVTPL, whereby changes in fair value, dividends and interest income are recognised in profit or loss. (ii) Impairment loss on financial assets (ii) 金融資產之減值虧損 The Group recognises loss allowances 本集團對以攤銷成本計量之金融資產確 for expected credit losses (“ECLs”) on 認預期信貸虧損（「預期信貸虧損」）之虧損 financial assets measured at amortised 撥備。預期信貸虧損乃採用以下基準計 cost. The ECLs are measured on either 量：(1) 12個月預期信貸虧損：因報告日 of the following bases: (1) 12-month 期後12個月內可能發生之違約事件而導 ECLs: these are the ECLs that result 致之預期信貸虧損；及(2)全期預期信貸 from</t>
        </is>
      </c>
    </row>
    <row r="17">
      <c r="A17" s="8" t="inlineStr">
        <is>
          <t>Impairment Testing</t>
        </is>
      </c>
      <c r="B17" s="8" t="inlineStr">
        <is>
          <t>減值測試</t>
        </is>
      </c>
      <c r="C17" s="19" t="inlineStr">
        <is>
          <t>high</t>
        </is>
      </c>
      <c r="D17" s="11" t="inlineStr">
        <is>
          <t>impairment loss</t>
        </is>
      </c>
      <c r="E17" s="11" t="inlineStr">
        <is>
          <t>PDF p.176 (印刷頁 175)</t>
        </is>
      </c>
      <c r="F17" s="11" t="inlineStr">
        <is>
          <t>月三十一日止年度 3. MATERIAL ACCOUNTING POLICY 3. 重大會計政策資料（續） INFORMATION (CONTINUED) 3.9 Financial Instruments (Continued) 3.9 金融工具（續） (ii) Impairment loss on financial assets (ii) 金融資產之減值虧損（續） (Continued) ECLs are a probability-weighted estimate 預期信貸虧損為信貸虧損之概率加權估 of credit losses. Credit losses are 計。信貸虧損乃按本集團根據合約應收 measured as the difference between all 之所有合約現金流量與本集團預期收取 contractual cash flows that are due to the 之所有現金流量之間的差額計量。該差 Group in accordance with the contract 額其後按接近資產原有實際利率之比率 and all the cash flows that the Group 貼現。 expec</t>
        </is>
      </c>
    </row>
    <row r="18">
      <c r="A18" s="8" t="inlineStr">
        <is>
          <t>Impairment Testing</t>
        </is>
      </c>
      <c r="B18" s="8" t="inlineStr">
        <is>
          <t>減值測試</t>
        </is>
      </c>
      <c r="C18" s="19" t="inlineStr">
        <is>
          <t>high</t>
        </is>
      </c>
      <c r="D18" s="11" t="inlineStr">
        <is>
          <t>impairment loss</t>
        </is>
      </c>
      <c r="E18" s="11" t="inlineStr">
        <is>
          <t>PDF p.177 (印刷頁 176)</t>
        </is>
      </c>
      <c r="F18" s="11" t="inlineStr">
        <is>
          <t>月三十一日止年度 3. MATERIAL ACCOUNTING POLICY 3. 重大會計政策資料（續） INFORMATION (CONTINUED) 3.9 Financial Instruments (Continued) 3.9 金融工具（續） (ii) Impairment loss on financial assets (ii) 金融資產之減值虧損（續） (Continued) The Group considers a financial asset 當發生以下情況時，本集團視金融資產 to be default when: (1) the borrower is 已出現違約：(1)借款人不大可能在本集 unlikely to pay its credit obligations to 團無追索權採取變現抵押（如持有）等行 the Group in full, without recourse by the 動之情況下向本集團悉數支付其信貸債 Group to actions such as realising security 務；或(2)金融資產逾期超過90日，除非 (if any is held); or (2) the fi</t>
        </is>
      </c>
    </row>
    <row r="19">
      <c r="A19" s="8" t="inlineStr">
        <is>
          <t>Impairment Testing</t>
        </is>
      </c>
      <c r="B19" s="8" t="inlineStr">
        <is>
          <t>減值測試</t>
        </is>
      </c>
      <c r="C19" s="19" t="inlineStr">
        <is>
          <t>high</t>
        </is>
      </c>
      <c r="D19" s="11" t="inlineStr">
        <is>
          <t>impairment loss</t>
        </is>
      </c>
      <c r="E19" s="11" t="inlineStr">
        <is>
          <t>PDF p.178 (印刷頁 177)</t>
        </is>
      </c>
      <c r="F19" s="11" t="inlineStr">
        <is>
          <t>月三十一日止年度 3. MATERIAL ACCOUNTING POLICY 3. 重大會計政策資料（續） INFORMATION (CONTINUED) 3.9 Financial Instruments (Continued) 3.9 金融工具（續） (ii) Impairment loss on financial assets (ii) 金融資產之減值虧損（續） (Continued) The Group writes off a financial asset 倘有資料顯示對手方處於嚴重財政困難 when there is information indicating that 及無實際收回可能（例如對手方已處於清 the counterparty is in severe financial 盤狀態或已進入破產程序），則本集團將 difficulty and there is no realistic prospect 撇銷金融資產。經考慮法律意見後（倘適 of recovery, e.g. when the counterparty 用），遭撇銷金融資產可能仍須按本集團 has been placed under liquidation</t>
        </is>
      </c>
    </row>
    <row r="20">
      <c r="A20" s="8" t="inlineStr">
        <is>
          <t>Impairment Testing</t>
        </is>
      </c>
      <c r="B20" s="8" t="inlineStr">
        <is>
          <t>減值測試</t>
        </is>
      </c>
      <c r="C20" s="19" t="inlineStr">
        <is>
          <t>high</t>
        </is>
      </c>
      <c r="D20" s="11" t="inlineStr">
        <is>
          <t>impairment loss</t>
        </is>
      </c>
      <c r="E20" s="11" t="inlineStr">
        <is>
          <t>PDF p.194 (印刷頁 193)</t>
        </is>
      </c>
      <c r="F20" s="11" t="inlineStr">
        <is>
          <t>eld for 撇減待售物業及開發中 sales and properties held under 物業 development (41,248) – (41,248) Loss on lease modification 租賃修訂之虧損 – (29) (29) Impairment loss of prepayment 預付款項之減值虧損 (23,756) – (23,756) 193 漢港控股集團有限公司 2025/26 年報</t>
        </is>
      </c>
    </row>
    <row r="21">
      <c r="A21" s="8" t="inlineStr">
        <is>
          <t>Impairment Testing</t>
        </is>
      </c>
      <c r="B21" s="8" t="inlineStr">
        <is>
          <t>減值測試</t>
        </is>
      </c>
      <c r="C21" s="19" t="inlineStr">
        <is>
          <t>high</t>
        </is>
      </c>
      <c r="D21" s="11" t="inlineStr">
        <is>
          <t>impairment loss</t>
        </is>
      </c>
      <c r="E21" s="11" t="inlineStr">
        <is>
          <t>PDF p.196 (印刷頁 195)</t>
        </is>
      </c>
      <c r="F21" s="11" t="inlineStr">
        <is>
          <t>,998) – (17,998) Gain on disposal of a subsidiary 出售一間附屬公司之收益 7,212 – 7,212 Loss on lease modification 租賃修訂之虧損 (2,665) (469) (3,124) Impairment loss of prepayment 預付款項減值虧損 (7,122) – (7,122) * The unallocated expenses mainly consist of staff cost, * 未分配費用主要包括員工成本、董事酬金及匯兌差額。 directors’ emolument and exchange difference. The geographical location of the specified non- 指定非流動資產所在地理位置乃以該資產實際所在 current assets is based on the physical location of the 地為基準，倘為物業、廠房及設備則以其營運之所 asset, in the case of property, plant and equipment, 在地點為基準。董事認</t>
        </is>
      </c>
    </row>
    <row r="22">
      <c r="A22" s="8" t="inlineStr">
        <is>
          <t>Impairment Testing</t>
        </is>
      </c>
      <c r="B22" s="8" t="inlineStr">
        <is>
          <t>減值測試</t>
        </is>
      </c>
      <c r="C22" s="19" t="inlineStr">
        <is>
          <t>high</t>
        </is>
      </c>
      <c r="D22" s="11" t="inlineStr">
        <is>
          <t>impairment loss</t>
        </is>
      </c>
      <c r="E22" s="11" t="inlineStr">
        <is>
          <t>PDF p.198 (印刷頁 197)</t>
        </is>
      </c>
      <c r="F22" s="11" t="inlineStr">
        <is>
          <t>註13） – (1,330) Gain on disposal of a subsidiary (note 30) 出售一間附屬公司之收益 （附註30） – 7,212 Loss on lease modification 租賃修訂之虧損 (29) (3,124) Impairment loss of prepayment 預付款項減值虧損 (23,756) (7,122) Loss on disposal of property, plant and 出售物業、廠房及設備之 equipment 虧損 (3,046) – Reversal of loss allowance of deposits paid and 已付按金及其他應收款項之 other receivables 虧損撥備撥回 1,367 15,435 Net fair value loss on investment properties 投資物業之公允值虧損淨額 (note 14) （附註14） (148,032) (42,230) (173,496) (31,159) (168,243) (28,361) * The Group received unconditional dis</t>
        </is>
      </c>
    </row>
    <row r="23">
      <c r="A23" s="8" t="inlineStr">
        <is>
          <t>Impairment Testing</t>
        </is>
      </c>
      <c r="B23" s="8" t="inlineStr">
        <is>
          <t>減值測試</t>
        </is>
      </c>
      <c r="C23" s="19" t="inlineStr">
        <is>
          <t>high</t>
        </is>
      </c>
      <c r="D23" s="11" t="inlineStr">
        <is>
          <t>impairment loss</t>
        </is>
      </c>
      <c r="E23" s="11" t="inlineStr">
        <is>
          <t>PDF p.226 (印刷頁 225)</t>
        </is>
      </c>
      <c r="F23" s="11" t="inlineStr">
        <is>
          <t>he land use rights certificate 元（二零二五年：人民幣343,878,000元）。 has not been obtained by the Group. During the year ended 31 March 2026, an impairment loss 截至二零二六年三月三十一日止年度，樂平市地塊之已 of approximately RMB23,756,000 (2025: RMB7,122,000) 付按金減值虧損約人民幣23,756,000元（二零二五年：人 is charged on the deposit paid for land parcel in Leping 民幣7,122,000元），乃根據其公允值減現時房地產市場 City is to its recoverable amount based on its fair value 之出售成本計至其可收回金額。 less cost of disposal under current real estate market. (b) As at 31 March 2026, other receivable included amount (b</t>
        </is>
      </c>
    </row>
    <row r="24">
      <c r="A24" s="8" t="inlineStr">
        <is>
          <t>Impairment Testing</t>
        </is>
      </c>
      <c r="B24" s="8" t="inlineStr">
        <is>
          <t>減值測試</t>
        </is>
      </c>
      <c r="C24" s="19" t="inlineStr">
        <is>
          <t>high</t>
        </is>
      </c>
      <c r="D24" s="11" t="inlineStr">
        <is>
          <t>impairment loss</t>
        </is>
      </c>
      <c r="E24" s="11" t="inlineStr">
        <is>
          <t>PDF p.243 (印刷頁 242)</t>
        </is>
      </c>
      <c r="F24" s="11" t="inlineStr">
        <is>
          <t>損撥備賬變動如下： respect of other receivables during the year is as follows: RMB’000 人民幣千元 At 31 March 2024 於二零二四年三月三十一日 27,251 Reversal of impairment losses during the year 年內減值虧損撥回 (15,435) At 31 March 2025 於二零二五年三月三十一日 11,816 Reversal of impairment losses during the year 年內減值虧損撥回 (1,367) At 31 March 2026 於二零二六年三月三十一日 10,449 An increase in the repayments of other 其他應收款項的償還額增加導致整體虧損撥備 receivables has resulted in a decrease in the 增加。 overall loss allowance. In respect of deposits paid and other 就已付按金及其他應收款項而言，本集團並無 receivables, the G</t>
        </is>
      </c>
    </row>
    <row r="25">
      <c r="A25" s="8" t="inlineStr">
        <is>
          <t>Intangible Assets &amp; Goodwill</t>
        </is>
      </c>
      <c r="B25" s="8" t="inlineStr">
        <is>
          <t>無形資產及商譽</t>
        </is>
      </c>
      <c r="C25" s="19" t="inlineStr">
        <is>
          <t>high</t>
        </is>
      </c>
      <c r="D25" s="11" t="inlineStr">
        <is>
          <t>客戶關係</t>
        </is>
      </c>
      <c r="E25" s="11" t="inlineStr">
        <is>
          <t>PDF p.74 (印刷頁 73)</t>
        </is>
      </c>
      <c r="F25" s="11" t="inlineStr">
        <is>
          <t>on operational integrity, quality assurance, 信、質量保證及持份者信任的重視。雖然客戶服務與資料 and stakeholder trust. While Customer Service and Data 保障仍是維護客戶關係及資訊安全的核心，但對勞工準則 Protection remain central to safeguarding client relationships 的更高度重視，突顯我們對公平、合乎道德且具包容性的 and information, the heightened emphasis on Labour 僱傭常規的承諾。將產品╱服務質量納入其中，彰顯了我 Standards underscores our commitment to fair, ethical, and 們致力於提供可靠且安全的產品╱服務；而反貪污則強化 inclusive employment practices. The inclusion of Product/ 了我們對賄賂與詐欺採取零容忍的立場，確保所有商業交 Service Quality highlights our dedication to</t>
        </is>
      </c>
    </row>
    <row r="26">
      <c r="A26" s="8" t="inlineStr">
        <is>
          <t>Intangible Assets &amp; Goodwill</t>
        </is>
      </c>
      <c r="B26" s="8" t="inlineStr">
        <is>
          <t>無形資產及商譽</t>
        </is>
      </c>
      <c r="C26" s="19" t="inlineStr">
        <is>
          <t>high</t>
        </is>
      </c>
      <c r="D26" s="11" t="inlineStr">
        <is>
          <t>goodwill</t>
        </is>
      </c>
      <c r="E26" s="11" t="inlineStr">
        <is>
          <t>PDF p.164 (印刷頁 163)</t>
        </is>
      </c>
      <c r="F26" s="11" t="inlineStr">
        <is>
          <t>ue of any retained interest and (ii) the 股權益之過往賬面值。以往於其他全面收益確 previous carrying amount of the assets (including 認與附屬公司有關之金額以與倘有關資產或負 goodwill), and liabilities of the subsidiary and any 債已出售所規定之相同基準入賬。 non-controlling interests. Amounts previously recognised in other comprehensive income in relation to that subsidiary are accounted for on the same basis as would be required if the relevant assets or liabilities were disposed of. 163 漢港控股集團有限公司 2025/26 年報</t>
        </is>
      </c>
    </row>
    <row r="27">
      <c r="A27" s="8" t="inlineStr">
        <is>
          <t>Intangible Assets &amp; Goodwill</t>
        </is>
      </c>
      <c r="B27" s="8" t="inlineStr">
        <is>
          <t>無形資產及商譽</t>
        </is>
      </c>
      <c r="C27" s="19" t="inlineStr">
        <is>
          <t>high</t>
        </is>
      </c>
      <c r="D27" s="11" t="inlineStr">
        <is>
          <t>可使用年期</t>
        </is>
      </c>
      <c r="E27" s="11" t="inlineStr">
        <is>
          <t>PDF p.167 (印刷頁 166)</t>
        </is>
      </c>
      <c r="F27" s="11" t="inlineStr">
        <is>
          <t>are incurred. Depreciation is provided to write off the cost 物業、廠房及設備成本之折舊以直線法按下列 of property, plant and equipment over their 年率於其估計可使用年期內予以撇銷： estimated useful lives, using the straight line method, at the following rates per annum: Computers and other equipment 20.0% 電腦及其他設備 20.0% Motor vehicles 20.0% 汽車 20.0% Buildings 2.5% 樓宇 2.5% Leasehold improvement 25.0% or over the 租賃物業裝修 25.0%或租賃年期 lease terms, （以較短者為準） whichever is shorter The assets’ residual values, useful lives and the 於各報告日期，在適當情況下，對資產之剩餘 depreciation method are</t>
        </is>
      </c>
    </row>
    <row r="28">
      <c r="A28" s="8" t="inlineStr">
        <is>
          <t>Intangible Assets &amp; Goodwill</t>
        </is>
      </c>
      <c r="B28" s="8" t="inlineStr">
        <is>
          <t>無形資產及商譽</t>
        </is>
      </c>
      <c r="C28" s="19" t="inlineStr">
        <is>
          <t>high</t>
        </is>
      </c>
      <c r="D28" s="11" t="inlineStr">
        <is>
          <t>攤銷</t>
        </is>
      </c>
      <c r="E28" s="11" t="inlineStr">
        <is>
          <t>PDF p.172 (印刷頁 171)</t>
        </is>
      </c>
      <c r="F28" s="11" t="inlineStr">
        <is>
          <t>，並使用經修訂貼現率貼現。 over the revised term, which are discounted 對使用權資產的賬面值作出相等調整，經修訂 using a revised discount rate. An equivalent 賬面值於餘下租期內攤銷。 adjustment is made to the carrying value of the right-of-use asset, with the revised carrying amount being amortised over the remaining lease term. Lease modifications 租賃修訂 When the Group renegotiates the contractual 本集團與出租人重新磋商租賃之合約條款時， terms of a lease with the lessor, where the 倘重新磋商擴大租賃範圍，租賃負債採用於修 renegotiated increases the scope of the lease, 訂日期適用的貼現率重新計量，使用權資產則 the lease liability is re</t>
        </is>
      </c>
    </row>
    <row r="29">
      <c r="A29" s="8" t="inlineStr">
        <is>
          <t>Intangible Assets &amp; Goodwill</t>
        </is>
      </c>
      <c r="B29" s="8" t="inlineStr">
        <is>
          <t>無形資產及商譽</t>
        </is>
      </c>
      <c r="C29" s="19" t="inlineStr">
        <is>
          <t>high</t>
        </is>
      </c>
      <c r="D29" s="11" t="inlineStr">
        <is>
          <t>攤銷</t>
        </is>
      </c>
      <c r="E29" s="11" t="inlineStr">
        <is>
          <t>PDF p.174 (印刷頁 173)</t>
        </is>
      </c>
      <c r="F29" s="11" t="inlineStr">
        <is>
          <t>are held 結餘旨在收取合約現金流量，而該等資 for collection of contractual cash flows 產之現金流量純粹為本金及利息付款， where those cash flows represent solely 則該等資產按攤銷成本計量。按攤銷成 payments of principal and interest are 本計量之金融資產其後以實際利率法計 measured at amortised cost. Financial 量。利息收入、匯兌收益及虧損以及減 assets at amortised cost are subsequently 值於損益中確認。終止確認時之任何收 measured using the effective interest rate 益於損益中確認。 method. Interest income, foreign exchange gains and losses and impairment are recognised in profit or loss. Any gain on derecognition is recognised in profit or lo</t>
        </is>
      </c>
    </row>
    <row r="30">
      <c r="A30" s="8" t="inlineStr">
        <is>
          <t>Intangible Assets &amp; Goodwill</t>
        </is>
      </c>
      <c r="B30" s="8" t="inlineStr">
        <is>
          <t>無形資產及商譽</t>
        </is>
      </c>
      <c r="C30" s="19" t="inlineStr">
        <is>
          <t>high</t>
        </is>
      </c>
      <c r="D30" s="11" t="inlineStr">
        <is>
          <t>攤銷</t>
        </is>
      </c>
      <c r="E30" s="11" t="inlineStr">
        <is>
          <t>PDF p.175 (印刷頁 174)</t>
        </is>
      </c>
      <c r="F30" s="11" t="inlineStr">
        <is>
          <t>are recognised in profit or loss. (ii) Impairment loss on financial assets (ii) 金融資產之減值虧損 The Group recognises loss allowances 本集團對以攤銷成本計量之金融資產確 for expected credit losses (“ECLs”) on 認預期信貸虧損（「預期信貸虧損」）之虧損 financial assets measured at amortised 撥備。預期信貸虧損乃採用以下基準計 cost. The ECLs are measured on either 量：(1) 12個月預期信貸虧損：因報告日 of the following bases: (1) 12-month 期後12個月內可能發生之違約事件而導 ECLs: these are the ECLs that result 致之預期信貸虧損；及(2)全期預期信貸 from possible default events within the 12 虧損：因金融工具於預計年期內所有可 months after the reporting date; and</t>
        </is>
      </c>
    </row>
    <row r="31">
      <c r="A31" s="8" t="inlineStr">
        <is>
          <t>Intangible Assets &amp; Goodwill</t>
        </is>
      </c>
      <c r="B31" s="8" t="inlineStr">
        <is>
          <t>無形資產及商譽</t>
        </is>
      </c>
      <c r="C31" s="19" t="inlineStr">
        <is>
          <t>high</t>
        </is>
      </c>
      <c r="D31" s="11" t="inlineStr">
        <is>
          <t>amortisation</t>
        </is>
      </c>
      <c r="E31" s="11" t="inlineStr">
        <is>
          <t>PDF p.178 (印刷頁 177)</t>
        </is>
      </c>
      <c r="F31" s="11" t="inlineStr">
        <is>
          <t>losses are recognised in profit or 終止確認負債時及於攤銷過程中產生之 loss when the liabilities are derecognised 收益或虧損於損益內確認。 as well as through the amortisation process. (iv) Effective interest method (iv) 實際利率法 The effective interest method is a method 實際利率法是計算金融資產或金融負債 of calculating the amortised cost of a 之攤銷成本以及於有關期間分配利息收 financial asset or financial liability and 入或利息開支之方法。實際利率為於金 of allocating interest income or interest 融資產或負債預計年期或適用之較短期 expense over the relevant period. The 間內準確貼現估計未來現金收入或付款 effective interest rate is the rate that 之</t>
        </is>
      </c>
    </row>
    <row r="32">
      <c r="A32" s="8" t="inlineStr">
        <is>
          <t>Intangible Assets &amp; Goodwill</t>
        </is>
      </c>
      <c r="B32" s="8" t="inlineStr">
        <is>
          <t>無形資產及商譽</t>
        </is>
      </c>
      <c r="C32" s="19" t="inlineStr">
        <is>
          <t>high</t>
        </is>
      </c>
      <c r="D32" s="11" t="inlineStr">
        <is>
          <t>amortisation</t>
        </is>
      </c>
      <c r="E32" s="11" t="inlineStr">
        <is>
          <t>PDF p.179 (印刷頁 178)</t>
        </is>
      </c>
      <c r="F32" s="11" t="inlineStr">
        <is>
          <t>principles of the accounting policy set out in note 3.9; and (ii) the amount initially recognised less, when appropriate, cumulative amortisation recognised in accordance with the principles of HKFRS 15. (vii) Derecognition (vii) 終止確認 The Group derecognises a financial asset 本集團在與金融資產有關之未來現金流 when the contractual rights to the future 量之合約權利屆滿，或當金融資產已轉 cash flows in relation to the financial asset 讓，且該轉讓符合香港財務報告準則第9 expire or when the financial asset has 號規定之終止確認標準時，方終止確認 been transferred and the transfer meets 金融資產。 the criteri</t>
        </is>
      </c>
    </row>
    <row r="33">
      <c r="A33" s="8" t="inlineStr">
        <is>
          <t>Intangible Assets &amp; Goodwill</t>
        </is>
      </c>
      <c r="B33" s="8" t="inlineStr">
        <is>
          <t>無形資產及商譽</t>
        </is>
      </c>
      <c r="C33" s="19" t="inlineStr">
        <is>
          <t>high</t>
        </is>
      </c>
      <c r="D33" s="11" t="inlineStr">
        <is>
          <t>development cost</t>
        </is>
      </c>
      <c r="E33" s="11" t="inlineStr">
        <is>
          <t>PDF p.180 (印刷頁 179)</t>
        </is>
      </c>
      <c r="F33" s="11" t="inlineStr">
        <is>
          <t>and aggregate cost of development, 本」）。開發中物業按成本與可變現淨值之較低 materials and supplies, wages, and other 者列賬。其他開支包括(a)使開發中物業達致其 expenses (“development costs”). Properties 現時地點及狀況所產生之成本；及(b)有系統地 held under development are stated at the lower 分配物業發展所產生之固定開支。不論開發項 of cost and net realisable value. Other expenses 目之規模或數量，固定開支乃維持相對穩定之 included (a) those costs that are incurred in 間接成本。 bringing the properties held under development to their present location and condition; and (b) a systematic allocation of fixed overheads that are incurre</t>
        </is>
      </c>
    </row>
    <row r="34">
      <c r="A34" s="8" t="inlineStr">
        <is>
          <t>Intangible Assets &amp; Goodwill</t>
        </is>
      </c>
      <c r="B34" s="8" t="inlineStr">
        <is>
          <t>無形資產及商譽</t>
        </is>
      </c>
      <c r="C34" s="19" t="inlineStr">
        <is>
          <t>high</t>
        </is>
      </c>
      <c r="D34" s="11" t="inlineStr">
        <is>
          <t>development cost</t>
        </is>
      </c>
      <c r="E34" s="11" t="inlineStr">
        <is>
          <t>PDF p.181 (印刷頁 180)</t>
        </is>
      </c>
      <c r="F34" s="11" t="inlineStr">
        <is>
          <t>mpleted properties developed by 倘為本集團完成開發之物業，成本乃透過攤分 the Group, cost is determined by apportionment 未售物業應佔開發項目之開發成本總額而釐 of the total development costs for that 定。 development project, attributable to the unsold properties. Properties held for sale are stated at the lower 待售物業按成本與可變現淨值之較低者列賬。 of cost and net realisable value. Net realisable 可變現淨值為日常業務過程中之估計售價減估 value is the estimated selling price in the 計銷售開支。 ordinary course of business less estimated selling expenses. 3.12 Accounting for income taxes 3.12 所得稅之會計處理 Income tax</t>
        </is>
      </c>
    </row>
    <row r="35">
      <c r="A35" s="8" t="inlineStr">
        <is>
          <t>Intangible Assets &amp; Goodwill</t>
        </is>
      </c>
      <c r="B35" s="8" t="inlineStr">
        <is>
          <t>無形資產及商譽</t>
        </is>
      </c>
      <c r="C35" s="19" t="inlineStr">
        <is>
          <t>high</t>
        </is>
      </c>
      <c r="D35" s="11" t="inlineStr">
        <is>
          <t>development cost</t>
        </is>
      </c>
      <c r="E35" s="11" t="inlineStr">
        <is>
          <t>PDF p.190 (印刷頁 189)</t>
        </is>
      </c>
      <c r="F35" s="11" t="inlineStr">
        <is>
          <t>realisable value is determined based on residual method, by taking the projected completed value of the project and subtracting all development costs. For properties held for sale, these estimates require 就待售物業而言，此等估算須參考附近地點之近期 judgement as to the anticipated sale prices by 銷售交易、新物業銷售率、推廣費用、法律及監管 reference to recent sales transactions in nearby 架構以及一般市況，對預期售價作出判斷。 locations, rate of new property sales, marketing costs, the legal and regulatory framework and general market conditions. For properties held under development, thes</t>
        </is>
      </c>
    </row>
    <row r="36">
      <c r="A36" s="8" t="inlineStr">
        <is>
          <t>Intangible Assets &amp; Goodwill</t>
        </is>
      </c>
      <c r="B36" s="8" t="inlineStr">
        <is>
          <t>無形資產及商譽</t>
        </is>
      </c>
      <c r="C36" s="19" t="inlineStr">
        <is>
          <t>high</t>
        </is>
      </c>
      <c r="D36" s="11" t="inlineStr">
        <is>
          <t>攤銷</t>
        </is>
      </c>
      <c r="E36" s="11" t="inlineStr">
        <is>
          <t>PDF p.200 (印刷頁 199)</t>
        </is>
      </c>
      <c r="F36" s="11" t="inlineStr">
        <is>
          <t>5: 12 months). 7. FINANCE COSTS 7. 融資成本 2026 2025 二零二六年 二零二五年 RMB’000 RMB’000 人民幣千元 人民幣千元 Interest charges on financial liabilities 按攤銷成本列賬之金融負債 stated at amortised cost: 之利息開支： Bank loans 銀行貸款 27,914 30,363 Lease liabilities 租賃負債 2,058 5,531 29,972 35,894 Less: amount capitalised in properties held 減： 已被資本化作為開發中 under development 物業之金額 – (18,881) 29,972 17,013 The weighted average capitalisation rate of borrowings 年內，借貸之加權平均資本化率為零（二零二五年： was Nil (2025: 6.54%) per annum for the year. 6.54%）。 199 漢港控股集團有限公司 2025/26 年報</t>
        </is>
      </c>
    </row>
    <row r="37">
      <c r="A37" s="8" t="inlineStr">
        <is>
          <t>Intangible Assets &amp; Goodwill</t>
        </is>
      </c>
      <c r="B37" s="8" t="inlineStr">
        <is>
          <t>無形資產及商譽</t>
        </is>
      </c>
      <c r="C37" s="19" t="inlineStr">
        <is>
          <t>high</t>
        </is>
      </c>
      <c r="D37" s="11" t="inlineStr">
        <is>
          <t>攤銷</t>
        </is>
      </c>
      <c r="E37" s="11" t="inlineStr">
        <is>
          <t>PDF p.250 (印刷頁 249)</t>
        </is>
      </c>
      <c r="F37" s="11" t="inlineStr">
        <is>
          <t>measured at fair value 按公允值計量之金融資產 Financial assets at FVOCI 按公允值於其他全面收益 列賬之金融資產 8,250 7,650 Financial assets measured at amortised 按攤銷成本計量之金融資產 cost Deposits paid and other receivables 已付按金及其他應收款項 63,687 71,314 Pledged deposits 已抵押存款 32,350 54,542 Cash and bank balances 現金及銀行結餘 57,348 132,306 153,385 258,162 161,635 265,812 Financial liabilities at amortised cost 按攤銷成本計量之金融負債 Accounts payable 應付賬款 19,036 26,428 Accruals and other payables 應計款項及其他應付款項 188,901 169,628 Bank loans 銀行貸款 537,000 564,950 744,937 761,006 Other financi</t>
        </is>
      </c>
    </row>
    <row r="38">
      <c r="A38" s="8" t="inlineStr">
        <is>
          <t>Investment Properties</t>
        </is>
      </c>
      <c r="B38" s="8" t="inlineStr">
        <is>
          <t>投資物業</t>
        </is>
      </c>
      <c r="C38" s="19" t="inlineStr">
        <is>
          <t>high</t>
        </is>
      </c>
      <c r="D38" s="11" t="inlineStr">
        <is>
          <t>gross floor area</t>
        </is>
      </c>
      <c r="E38" s="11" t="inlineStr">
        <is>
          <t>PDF p.4 (印刷頁 3)</t>
        </is>
      </c>
      <c r="F38" s="11" t="inlineStr">
        <is>
          <t>ended 31 March 2025 「二零二五財年」 指 截至二零二五年三月三十一日止年度 “FY2026” or “Year” year ended 31 March 2026 「二零二六財年」或「本年度」 指 截至二零二六年三月三十一日止年度 “GFA” gross floor area 「建築面積」 指 建築面積 “Group” Company and its subsidiaries 「本集團」 指 本公司及其附屬公司 3 漢港控股集團有限公司 2025/26 年報</t>
        </is>
      </c>
    </row>
    <row r="39">
      <c r="A39" s="8" t="inlineStr">
        <is>
          <t>Investment Properties</t>
        </is>
      </c>
      <c r="B39" s="8" t="inlineStr">
        <is>
          <t>投資物業</t>
        </is>
      </c>
      <c r="C39" s="19" t="inlineStr">
        <is>
          <t>high</t>
        </is>
      </c>
      <c r="D39" s="11" t="inlineStr">
        <is>
          <t>gross floor area</t>
        </is>
      </c>
      <c r="E39" s="11" t="inlineStr">
        <is>
          <t>PDF p.13 (印刷頁 12)</t>
        </is>
      </c>
      <c r="F39" s="11" t="inlineStr">
        <is>
          <t>l properties and (iii) car 車位之收入分析： parking spaces during FY2026: Percentage 2026 2025 change 二零二六年 二零二五年 變動百分比 (i) Residential 住宅 – Gross floor area (“GFA”) sold – 已售建築面積（「建築面積」） (in sq.m.) （以平方米計） 50,048 59,021 (15.2%) – Average selling price (“ASP”) – 平均售價（「平均售價」） (RMB per sq.m.) （每平方米人民幣） 7,402 7,352 0.7% – Revenue (approximately – 收入（約人民幣千元） RMB’000) 370,439 433,919 (14.6%) (ii) Commercial 商業 – GFA sold (in sq.m.) – 已售建築面積（以平方米計） 1,098 4,294 (74.4%) – ASP (RMB per sq.m.) – 平均售價（每平方米人民幣） 3,116 5,183 (39.9%) – Revenue (appro</t>
        </is>
      </c>
    </row>
    <row r="40">
      <c r="A40" s="8" t="inlineStr">
        <is>
          <t>Investment Properties</t>
        </is>
      </c>
      <c r="B40" s="8" t="inlineStr">
        <is>
          <t>投資物業</t>
        </is>
      </c>
      <c r="C40" s="19" t="inlineStr">
        <is>
          <t>high</t>
        </is>
      </c>
      <c r="D40" s="11" t="inlineStr">
        <is>
          <t>投資物業</t>
        </is>
      </c>
      <c r="E40" s="11" t="inlineStr">
        <is>
          <t>PDF p.14 (印刷頁 13)</t>
        </is>
      </c>
      <c r="F40" s="11" t="inlineStr">
        <is>
          <t>4 million in FY2025 to net loss 約人民幣28.4百萬元變為二零二六財年淨虧損約人民幣 of approximately RMB168.2 million in FY2026. The increase 168.2百萬元。增加主要是由於投資物業公允值虧損所 was mainly attributable to the fair value loss of investment 致。 properties. Selling and Distribution Expenses 銷售及分銷費用 Selling and distribution expenses decreased from 銷售及分銷費用由二零二五財年約人民幣23.9百萬元減少 approximately RMB23.9 million in FY2025 to approximately 至二零二六財年約人民幣16.9百萬元。二零二六財年的較 RMB16.9 million in FY2026. The lower selling and 低額銷售及分銷費用主要由於漢港•觀瀾確認的營銷開支 distribution expenses in FY2026 we</t>
        </is>
      </c>
    </row>
    <row r="41">
      <c r="A41" s="8" t="inlineStr">
        <is>
          <t>Investment Properties</t>
        </is>
      </c>
      <c r="B41" s="8" t="inlineStr">
        <is>
          <t>投資物業</t>
        </is>
      </c>
      <c r="C41" s="19" t="inlineStr">
        <is>
          <t>high</t>
        </is>
      </c>
      <c r="D41" s="11" t="inlineStr">
        <is>
          <t>投資物業</t>
        </is>
      </c>
      <c r="E41" s="11" t="inlineStr">
        <is>
          <t>PDF p.15 (印刷頁 14)</t>
        </is>
      </c>
      <c r="F41" s="11" t="inlineStr">
        <is>
          <t>n in FY2026 from approximately RMB63.4 million 零二六財年約人民幣10.6百萬元。減少主要是由於二零二 in FY2025. The decrease was mainly attributable to the 六財年投資物業公允值虧損產生的遞延稅項抵免增加，連 increase in deferred tax credit arising from the fair value 同企業所得稅開支減少所致。 loss on investment properties, together with a decrease in enterprise income tax expense during FY2026. As a result, the Group had recorded a loss after tax of 因此，本集團於二零二六財年錄得除稅後虧損約人民幣 approximately RMB129.8 million in FY2026, compared to a 129.8百萬元，而於二零二五財年則錄得除稅後溢利約為 profit after tax of approximately</t>
        </is>
      </c>
    </row>
    <row r="42">
      <c r="A42" s="8" t="inlineStr">
        <is>
          <t>Investment Properties</t>
        </is>
      </c>
      <c r="B42" s="8" t="inlineStr">
        <is>
          <t>投資物業</t>
        </is>
      </c>
      <c r="C42" s="19" t="inlineStr">
        <is>
          <t>high</t>
        </is>
      </c>
      <c r="D42" s="11" t="inlineStr">
        <is>
          <t>投資物業</t>
        </is>
      </c>
      <c r="E42" s="11" t="inlineStr">
        <is>
          <t>PDF p.17 (印刷頁 16)</t>
        </is>
      </c>
      <c r="F42" s="11" t="inlineStr">
        <is>
          <t>31 March 2025 to approximately 108.1百萬元減少至於二零二六年三月三十一日約人民幣 RMB71.1 million as at 31 March 2026, mainly attributable to 71.1百萬元，主要由於有關投資物業公允值虧損之遞延稅 the decrease in provision of deferred tax liabilities in respect 項負債撥備減少所致。 of fair value loss on investment properties. 16 Sino Harbour Holdings Group Limited ANNUAL REPORT 2025/26</t>
        </is>
      </c>
    </row>
    <row r="43">
      <c r="A43" s="8" t="inlineStr">
        <is>
          <t>Investment Properties</t>
        </is>
      </c>
      <c r="B43" s="8" t="inlineStr">
        <is>
          <t>投資物業</t>
        </is>
      </c>
      <c r="C43" s="19" t="inlineStr">
        <is>
          <t>high</t>
        </is>
      </c>
      <c r="D43" s="11" t="inlineStr">
        <is>
          <t>建築面積</t>
        </is>
      </c>
      <c r="E43" s="11" t="inlineStr">
        <is>
          <t>PDF p.21 (印刷頁 20)</t>
        </is>
      </c>
      <c r="F43" s="11" t="inlineStr">
        <is>
          <t>Residential Units Phase 2 宜春漢港•觀瀾 住宅單位 二期 Estimated total GFA released for sale (total units) 223,643 sq.m. (1,920 units) 估計推出可供銷售之總建築面積 223,643平方米 （總單位數目） （1,920個單位） Estimated total GFA pre-sold (total units) 223,643 sq.m. (1,920 units) 估計已預售之總建築面積（總單位數目） 223,643平方米 （1,920個單位） Percentage of pre-sale 100% 預售比率 100% Pre-sale GFA (units pre-sold) not handed over to buyers as at 11,747 sq.m. 31 March 2026^ (99 units) 於二零二六年三月三十一日尚未移交買家 11,747平方米 之已預售總建築面積（已預售單位數目） ^ （99個單位） Pre-sale value not handed over to buyers as at 31 March</t>
        </is>
      </c>
    </row>
    <row r="44">
      <c r="A44" s="8" t="inlineStr">
        <is>
          <t>Investment Properties</t>
        </is>
      </c>
      <c r="B44" s="8" t="inlineStr">
        <is>
          <t>投資物業</t>
        </is>
      </c>
      <c r="C44" s="19" t="inlineStr">
        <is>
          <t>high</t>
        </is>
      </c>
      <c r="D44" s="11" t="inlineStr">
        <is>
          <t>investment property</t>
        </is>
      </c>
      <c r="E44" s="11" t="inlineStr">
        <is>
          <t>PDF p.23 (印刷頁 22)</t>
        </is>
      </c>
      <c r="F44" s="11" t="inlineStr">
        <is>
          <t>et optimization and prudent 積極探索資產優化 審慎理財降本增效 financial management to reduce costs and enhance efficiency With regard to the Group’s investment property portfolio, 針對集團持有的投資物業組合，本公司管理層（「管理層」） management of the Company (the “Management”) will 將持續進行動態評估，密切監測市場環境對物業估值的潛 continue to conduct dynamic assessments, closely monitor 在影響，積極探索資產盤活與優化的可行方案，包括提升 the potential impact of market conditions on property 物業運營效率、優化租戶結構，並在市場條件允許時考慮 valuations, and actively explore feasible solutions for 變現部分非核心資產，以進一步優化資產負債結構。 revitalising and optim</t>
        </is>
      </c>
    </row>
    <row r="45">
      <c r="A45" s="8" t="inlineStr">
        <is>
          <t>Investment Properties</t>
        </is>
      </c>
      <c r="B45" s="8" t="inlineStr">
        <is>
          <t>投資物業</t>
        </is>
      </c>
      <c r="C45" s="19" t="inlineStr">
        <is>
          <t>high</t>
        </is>
      </c>
      <c r="D45" s="11" t="inlineStr">
        <is>
          <t>建築面積</t>
        </is>
      </c>
      <c r="E45" s="11" t="inlineStr">
        <is>
          <t>PDF p.76 (印刷頁 75)</t>
        </is>
      </c>
      <c r="F45" s="11" t="inlineStr">
        <is>
          <t>medical waste handling are provided in the corresponding sections below. Total floor area coverage for the Group was 12,591.18 本集團的總建築面積為12,591.18平方米，與上一個 m2, there was a 10.84% reduction compared to the 報告期間相比減少10.84%。 last reporting period. 1. Emissions 1. 排放物 (i) Air Emissions (i) 廢氣排放 The Group consumed liquefied petroleum 於報告期間內，本集團使用液化石油氣 gas (“LPG”) and natural gas as stationary （「液化石油氣」）及天然氣作為食堂營運的 fuel for canteen operation and petrol as 固定燃料，並使用汽油作為汽車營運的 mobile fuel for automobile operation during 移動燃料，這些都是本集團廢氣的主要 t</t>
        </is>
      </c>
    </row>
    <row r="46">
      <c r="A46" s="8" t="inlineStr">
        <is>
          <t>Investment Properties</t>
        </is>
      </c>
      <c r="B46" s="8" t="inlineStr">
        <is>
          <t>投資物業</t>
        </is>
      </c>
      <c r="C46" s="19" t="inlineStr">
        <is>
          <t>high</t>
        </is>
      </c>
      <c r="D46" s="11" t="inlineStr">
        <is>
          <t>投資物業</t>
        </is>
      </c>
      <c r="E46" s="11" t="inlineStr">
        <is>
          <t>PDF p.144 (印刷頁 143)</t>
        </is>
      </c>
      <c r="F46" s="11" t="inlineStr">
        <is>
          <t>INDEPENDENT AUDITOR’S REPORT 獨立核數師報告 VALUATION OF INVESTMENT PROPERTIES 投資物業估值 Refer to notes 3.6, 4 and 14 to the consolidated financial 請參閱綜合財務報表附註3.6、4及14。 statements. The Group holds a portfolio of investment properties 貴集團持有位於中國之投資物業組合（包括商業辦公室及 comprising commercial offices and shop units, located 商舖單位）。投資物業佔 貴集團於二零二六年三月三十 in the PRC. Investment properties were significant to the 一日之資產總值約40%，故投資物業對 貴集團而言屬重 Group as they represented approximately 40% of the total</t>
        </is>
      </c>
    </row>
    <row r="47">
      <c r="A47" s="8" t="inlineStr">
        <is>
          <t>Investment Properties</t>
        </is>
      </c>
      <c r="B47" s="8" t="inlineStr">
        <is>
          <t>投資物業</t>
        </is>
      </c>
      <c r="C47" s="19" t="inlineStr">
        <is>
          <t>high</t>
        </is>
      </c>
      <c r="D47" s="11" t="inlineStr">
        <is>
          <t>投資物業</t>
        </is>
      </c>
      <c r="E47" s="11" t="inlineStr">
        <is>
          <t>PDF p.151 (印刷頁 150)</t>
        </is>
      </c>
      <c r="F47" s="11" t="inlineStr">
        <is>
          <t>ASSETS AND LIABILITIES 資產及負債 Non-current assets 非流動資產 Property, plant and equipment 物業、廠房及設備 13 24,137 41,280 Investment properties 投資物業 14 1,282,718 1,438,850 Right-of-use assets 使用權資產 15 7,060 9,777 Financial assets at fair value through other 按公允值於其他全面收益列賬 comprehensive income 之金融資產 17 8,250 7,650 Deposit paid 已付按金 20 497 698 Pledged deposit 已抵押存款 21 – 5,500 Deferred tax assets 遞延稅項資產 24 49,320 41,152 1,371,982 1,544,907 Current assets 流動資產 Properties held under development 開發中物業 18 1,071,552 1,049,395 Properties held for s</t>
        </is>
      </c>
    </row>
    <row r="48">
      <c r="A48" s="8" t="inlineStr">
        <is>
          <t>Investment Properties</t>
        </is>
      </c>
      <c r="B48" s="8" t="inlineStr">
        <is>
          <t>投資物業</t>
        </is>
      </c>
      <c r="C48" s="19" t="inlineStr">
        <is>
          <t>high</t>
        </is>
      </c>
      <c r="D48" s="11" t="inlineStr">
        <is>
          <t>投資物業</t>
        </is>
      </c>
      <c r="E48" s="11" t="inlineStr">
        <is>
          <t>PDF p.155 (印刷頁 154)</t>
        </is>
      </c>
      <c r="F48" s="11" t="inlineStr">
        <is>
          <t>allowance of deposit paid 已付按金及其他應收款項之虧 and other receivables 損撥備撥回 6 (1,367) (15,435) Net fair value loss on investment properties 投資物業之公允值虧損淨額 6 148,032 42,230 Loss on lease modification 租賃修訂之虧損 6 29 3,124 Gain on disposal of a subsidiary 出售一間附屬公司之收益 6 – (7,212) Operating profit before working capital 營運資金變動前之經營溢利 changes 139,411 162,889 Decrease in properties held under 開發中物業及待售物業減少 development and properties held for sale 168,690 263,113 Decrease in prepayments and other 預付款項及其他應收款項減少 receivables 48,538 100,640 Decrease in</t>
        </is>
      </c>
    </row>
    <row r="49">
      <c r="A49" s="8" t="inlineStr">
        <is>
          <t>Investment Properties</t>
        </is>
      </c>
      <c r="B49" s="8" t="inlineStr">
        <is>
          <t>投資物業</t>
        </is>
      </c>
      <c r="C49" s="19" t="inlineStr">
        <is>
          <t>high</t>
        </is>
      </c>
      <c r="D49" s="11" t="inlineStr">
        <is>
          <t>投資物業</t>
        </is>
      </c>
      <c r="E49" s="11" t="inlineStr">
        <is>
          <t>PDF p.156 (印刷頁 155)</t>
        </is>
      </c>
      <c r="F49" s="11" t="inlineStr">
        <is>
          <t>ensive income 列賬之金融資產 – (2,000) Proceed from disposal of a subsidiary 出售一間附屬公司所得款項 30 – 7,578 Proceeds from disposal of investment 出售投資物業所得款項 properties 8,100 – Sales proceeds received from disposal of 出售物業、廠房及設備收到之 property, plant and equipment 所得款項 1,342 – Placement of pledged deposits 存入已抵押存款 (5,142) (3,298) Withdrawal of pledged deposits 提取已抵押存款 27,334 3,029 Net cash generated from investing activities 投資活動所產生現金淨額 31,451 1,161 Cash flows from financing activities 融資活動所產生現金流量 Dividend paid to non-controlling interest 已付非控股權益</t>
        </is>
      </c>
    </row>
    <row r="50">
      <c r="A50" s="8" t="inlineStr">
        <is>
          <t>Investment Properties</t>
        </is>
      </c>
      <c r="B50" s="8" t="inlineStr">
        <is>
          <t>投資物業</t>
        </is>
      </c>
      <c r="C50" s="19" t="inlineStr">
        <is>
          <t>high</t>
        </is>
      </c>
      <c r="D50" s="11" t="inlineStr">
        <is>
          <t>投資物業</t>
        </is>
      </c>
      <c r="E50" s="11" t="inlineStr">
        <is>
          <t>PDF p.162 (印刷頁 161)</t>
        </is>
      </c>
      <c r="F50" s="11" t="inlineStr">
        <is>
          <t>gy to accelerate property sales to 銷售，以產生經營現金流入； generate operating cash inflows; – the Group will consider realising its – 本集團將考慮變現其投資物業（於二零 investment properties, which had a fair 二六年三月三十一日之公允值為人民幣 value of RMB1,282,718,000 as at 31 1,282,718,000元），並將所得款項用於償 March 2026, and applying the proceeds 還若干有擔保銀行貸款及加強本集團的 to repay certain secured bank loans and 資金流動性； strengthen the Group’s liquidity; – the Group has been actively negotiating – 本集團一直積極與現有貸款人磋商續期 with existing lenders for the renewal or 或延長借款期限，直至本集團能夠取得 extension of i</t>
        </is>
      </c>
    </row>
    <row r="51">
      <c r="A51" s="8" t="inlineStr">
        <is>
          <t>Investment Properties</t>
        </is>
      </c>
      <c r="B51" s="8" t="inlineStr">
        <is>
          <t>投資物業</t>
        </is>
      </c>
      <c r="C51" s="19" t="inlineStr">
        <is>
          <t>high</t>
        </is>
      </c>
      <c r="D51" s="11" t="inlineStr">
        <is>
          <t>投資物業</t>
        </is>
      </c>
      <c r="E51" s="11" t="inlineStr">
        <is>
          <t>PDF p.163 (印刷頁 162)</t>
        </is>
      </c>
      <c r="F51" s="11" t="inlineStr">
        <is>
          <t>價策略能否成功實施；及 accelerate property sales and improve operating cash flows; and – the successful realisation of the Group’s – 本集團加強資金流動性的投資物業能否 investment properties to strengthen its 成功變現；及 liquidity; and – the successful negotiation with existing – 能否與現有貸款人就更新或延長借款期 lenders for the renewal or extension 限成功磋商，直至本集團能夠取得足夠 of borrowings until the Group secures 資金償還借款。 sufficient fundings for repayment. These indicate the existence of a material 其表明存在重大不明朗因素，或會對本集團能 uncertainty which may cast significant doubt on 否按持續基準繼續經營業務之能力產生重大疑</t>
        </is>
      </c>
    </row>
    <row r="52">
      <c r="A52" s="8" t="inlineStr">
        <is>
          <t>Investment Properties</t>
        </is>
      </c>
      <c r="B52" s="8" t="inlineStr">
        <is>
          <t>投資物業</t>
        </is>
      </c>
      <c r="C52" s="19" t="inlineStr">
        <is>
          <t>high</t>
        </is>
      </c>
      <c r="D52" s="11" t="inlineStr">
        <is>
          <t>investment property</t>
        </is>
      </c>
      <c r="E52" s="11" t="inlineStr">
        <is>
          <t>PDF p.168 (印刷頁 167)</t>
        </is>
      </c>
      <c r="F52" s="11" t="inlineStr">
        <is>
          <t>for a 興建或發展中以供日後作投資物業用途之物 currently undetermined future use and property 業。 that is being constructed or developed for future use as investment property. On initial recognition, investment properties 投資物業於初步確認時按成本（包括任何應計之 are measured at cost, including any directly 直接開支）計量。初步確認後，除非投資物業在 attributable expenditure. Subsequent to initial 報告日期仍然在興建或開發過程中，而當時其 recognition, investment properties are stated 公允值不能可靠地確定，否則投資物業按公允 at fair value, unless it is still in the course of 值列賬。 construction or development at the reporting date an</t>
        </is>
      </c>
    </row>
    <row r="53">
      <c r="A53" s="8" t="inlineStr">
        <is>
          <t>Investment Properties</t>
        </is>
      </c>
      <c r="B53" s="8" t="inlineStr">
        <is>
          <t>投資物業</t>
        </is>
      </c>
      <c r="C53" s="19" t="inlineStr">
        <is>
          <t>high</t>
        </is>
      </c>
      <c r="D53" s="11" t="inlineStr">
        <is>
          <t>投資物業</t>
        </is>
      </c>
      <c r="E53" s="11" t="inlineStr">
        <is>
          <t>PDF p.170 (印刷頁 169)</t>
        </is>
      </c>
      <c r="F53" s="11" t="inlineStr">
        <is>
          <t>將產生 incentives received; (iii) any initial direct costs 之估計成本，除非該等成本乃為生產存貨而產 incurred by the lessee; and (iv) an estimate of 生則除外。除符合投資物業定義之使用權資產 costs to be incurred by the lessee in dismantling 外，本集團採用成本模式計量使用權資產。根 and removing the underlying asset to the 據成本模式，本集團按成本減去任何累計折舊 condition required by the terms and conditions 及任何減值虧損計量使用權資產，並就租賃負 of the lease, unless those costs are incurred 債之任何重新計量作出調整。符合投資物業定 to produce inventories. Except for right-of-use 義之使用權資產按公允值列賬，而符合持作自 asset that meets the definition of an investment 用</t>
        </is>
      </c>
    </row>
    <row r="54">
      <c r="A54" s="8" t="inlineStr">
        <is>
          <t>Investment Properties</t>
        </is>
      </c>
      <c r="B54" s="8" t="inlineStr">
        <is>
          <t>投資物業</t>
        </is>
      </c>
      <c r="C54" s="19" t="inlineStr">
        <is>
          <t>high</t>
        </is>
      </c>
      <c r="D54" s="11" t="inlineStr">
        <is>
          <t>投資物業</t>
        </is>
      </c>
      <c r="E54" s="11" t="inlineStr">
        <is>
          <t>PDF p.173 (印刷頁 172)</t>
        </is>
      </c>
      <c r="F54" s="11" t="inlineStr">
        <is>
          <t>erm. Sublease 分租 Right-of-use assets for leased properties held 經營租賃下持作分租的租賃物業之使用權資產 for sub-leases under operating lease meet the 符合投資物業之定義。 definition of investment properties. At the date of initial recognition, leased 於初始確認日期，已根據當日總租賃及分租之 properties held for sub-leases were assessed 其餘合約條款及條件就持作分租之租賃物業分 whether the sub-leases classified as an 類為經營租賃或融資租賃而進行評估。分類為 operating lease or finance lease individually 經營租賃之所有分租使用權資產已分類為投資 based on the remaining contractual terms 物業，並根據本集團之投資物業會計政策以公 and conditions of the head lease a</t>
        </is>
      </c>
    </row>
    <row r="55">
      <c r="A55" s="8" t="inlineStr">
        <is>
          <t>Investment Properties</t>
        </is>
      </c>
      <c r="B55" s="8" t="inlineStr">
        <is>
          <t>投資物業</t>
        </is>
      </c>
      <c r="C55" s="19" t="inlineStr">
        <is>
          <t>high</t>
        </is>
      </c>
      <c r="D55" s="11" t="inlineStr">
        <is>
          <t>investment property</t>
        </is>
      </c>
      <c r="E55" s="11" t="inlineStr">
        <is>
          <t>PDF p.182 (印刷頁 181)</t>
        </is>
      </c>
      <c r="F55" s="11" t="inlineStr">
        <is>
          <t>之一 determining the appropriate tax rate used in 般規定有例外情況，即當投資物業為根據香港 measuring deferred tax amount is when an 會計準則第40號「投資物業」按公允值列賬時。 investment property is carried at fair value 除非推定遭推翻，否則該等投資物業之遞延稅 under HKAS 40 “Investment Property”. Unless 項金額按於報告日期按賬面值出售該等投資物 the presumption is rebutted, the deferred tax 業所適用之稅率計量。當投資物業可予折舊， amounts on these investment properties are 並於旨在隨時間消耗物業所包含之絕大部分經 measured using the tax rates that would apply 濟利益而非透過出售之業務模式內持有時，有 on sale of these investment properties at their 關假設會遭推翻。 carrying amoun</t>
        </is>
      </c>
    </row>
    <row r="56">
      <c r="A56" s="8" t="inlineStr">
        <is>
          <t>Investment Properties</t>
        </is>
      </c>
      <c r="B56" s="8" t="inlineStr">
        <is>
          <t>投資物業</t>
        </is>
      </c>
      <c r="C56" s="19" t="inlineStr">
        <is>
          <t>high</t>
        </is>
      </c>
      <c r="D56" s="11" t="inlineStr">
        <is>
          <t>投資物業</t>
        </is>
      </c>
      <c r="E56" s="11" t="inlineStr">
        <is>
          <t>PDF p.189 (印刷頁 188)</t>
        </is>
      </c>
      <c r="F56" s="11" t="inlineStr">
        <is>
          <t>unts of assets and liabilities within the next financial year are discussed below: Fair value and deferred taxation on of investment 投資物業之公允值及遞延稅項 properties The fair value of the investment properties is 投資物業之公允值經由獨立合資格專業測量師釐 determined by a firm of independently qualified 定，而於報告日期之投資物業之公允值則載於附註 professional surveyors and the fair values of 14。有關估值對應用的主要假設高度敏感，包括物 investment properties as at the reporting dates are 業質素的溢價或貼現、貼現率及收益率，即假設的 set out in note 14. Such valuation are highly sensitive 一個輕微變化將能對估值產生重大影響。 to key assumpti</t>
        </is>
      </c>
    </row>
    <row r="57">
      <c r="A57" s="8" t="inlineStr">
        <is>
          <t>Investment Properties</t>
        </is>
      </c>
      <c r="B57" s="8" t="inlineStr">
        <is>
          <t>投資物業</t>
        </is>
      </c>
      <c r="C57" s="19" t="inlineStr">
        <is>
          <t>high</t>
        </is>
      </c>
      <c r="D57" s="11" t="inlineStr">
        <is>
          <t>投資物業</t>
        </is>
      </c>
      <c r="E57" s="11" t="inlineStr">
        <is>
          <t>PDF p.191 (印刷頁 190)</t>
        </is>
      </c>
      <c r="F57" s="11" t="inlineStr">
        <is>
          <t>directors at the end of the reporting period, about 活定價策略以加快物業銷售並改善經營現金流入； the future outcome of events or conditions, which 能否成功變現其投資物業以加強其資金流動性；以 are inherently uncertain. These include the Group’s 及能否及時與現有貸款人成功磋商以續期或延長借 ability to successfully implement its flexible pricing 款，直至本集團取得足夠的資金用於償還。 strategy to accelerate property sales and improve operating cash flow, successfully realise its investment properties to strengthen its liquidity, and to negotiate successfully and in a timely manner with existing lenders for the rene</t>
        </is>
      </c>
    </row>
    <row r="58">
      <c r="A58" s="8" t="inlineStr">
        <is>
          <t>Investment Properties</t>
        </is>
      </c>
      <c r="B58" s="8" t="inlineStr">
        <is>
          <t>投資物業</t>
        </is>
      </c>
      <c r="C58" s="19" t="inlineStr">
        <is>
          <t>high</t>
        </is>
      </c>
      <c r="D58" s="11" t="inlineStr">
        <is>
          <t>投資物業</t>
        </is>
      </c>
      <c r="E58" s="11" t="inlineStr">
        <is>
          <t>PDF p.194 (印刷頁 193)</t>
        </is>
      </c>
      <c r="F58" s="11" t="inlineStr">
        <is>
          <t>1,082 285 1,367 Interest income 利息收入 869 2 871 Interest expenses 利息開支 (28,669) (1,303) (29,972) Net fair value change of investment 投資物業之公允值變動 properties 淨額 (148,032) – (148,032) Capital expenditure on property, 物業、廠房及設備之資本 plant and equipment 開支 (182) (1) (183) Written down of properties held for 撇減待售物業及開發中 sales and properties held under 物業 development (41,248) – (41,248) Loss on lease modification 租賃修訂之虧損 – (29) (29) Impairment loss of prepayment 預付款項之減值虧損 (23,756) – (23,756) 193 漢港控股集團有限公司 2025/26 年報</t>
        </is>
      </c>
    </row>
    <row r="59">
      <c r="A59" s="8" t="inlineStr">
        <is>
          <t>Investment Properties</t>
        </is>
      </c>
      <c r="B59" s="8" t="inlineStr">
        <is>
          <t>投資物業</t>
        </is>
      </c>
      <c r="C59" s="19" t="inlineStr">
        <is>
          <t>high</t>
        </is>
      </c>
      <c r="D59" s="11" t="inlineStr">
        <is>
          <t>投資物業</t>
        </is>
      </c>
      <c r="E59" s="11" t="inlineStr">
        <is>
          <t>PDF p.196 (印刷頁 195)</t>
        </is>
      </c>
      <c r="F59" s="11" t="inlineStr">
        <is>
          <t>694 (259) 15,435 Interest income 利息收入 813 2 815 Interest expenses 利息開支 (15,314) (1,699) (17,013) Net fair value change of investment 投資物業之公允值變動 properties 淨額 (42,230) – (42,230) Capital expenditure on property, 物業、廠房及設備之 plant and equipment 資本開支 (2,052) (2,096) (4,148) Written down of properties held for 撇減待售物業及開發中 sales and properties held under 物業 development (17,998) – (17,998) Gain on disposal of a subsidiary 出售一間附屬公司之收益 7,212 – 7,212 Loss on lease modification 租賃修訂之虧損 (2,665) (469) (3,124) Impairment loss of prepayment 預付款</t>
        </is>
      </c>
    </row>
    <row r="60">
      <c r="A60" s="8" t="inlineStr">
        <is>
          <t>Investment Properties</t>
        </is>
      </c>
      <c r="B60" s="8" t="inlineStr">
        <is>
          <t>投資物業</t>
        </is>
      </c>
      <c r="C60" s="19" t="inlineStr">
        <is>
          <t>high</t>
        </is>
      </c>
      <c r="D60" s="11" t="inlineStr">
        <is>
          <t>投資物業</t>
        </is>
      </c>
      <c r="E60" s="11" t="inlineStr">
        <is>
          <t>PDF p.198 (印刷頁 197)</t>
        </is>
      </c>
      <c r="F60" s="11" t="inlineStr">
        <is>
          <t>loss allowance of deposits paid and 已付按金及其他應收款項之 other receivables 虧損撥備撥回 1,367 15,435 Net fair value loss on investment properties 投資物業之公允值虧損淨額 (note 14) （附註14） (148,032) (42,230) (173,496) (31,159) (168,243) (28,361) * The Group received unconditional discretionary grants * 本集團已收取來自相關中國政府機關支持於特定行業營 from the relevant government authorities in the PRC and 運企業之無條件酌情資助。 no other contingencies relating to these grants. 197 漢港控股集團有限公司 2025/26 年報</t>
        </is>
      </c>
    </row>
    <row r="61">
      <c r="A61" s="8" t="inlineStr">
        <is>
          <t>Investment Properties</t>
        </is>
      </c>
      <c r="B61" s="8" t="inlineStr">
        <is>
          <t>投資物業</t>
        </is>
      </c>
      <c r="C61" s="19" t="inlineStr">
        <is>
          <t>high</t>
        </is>
      </c>
      <c r="D61" s="11" t="inlineStr">
        <is>
          <t>capitalisation rate</t>
        </is>
      </c>
      <c r="E61" s="11" t="inlineStr">
        <is>
          <t>PDF p.200 (印刷頁 199)</t>
        </is>
      </c>
      <c r="F61" s="11" t="inlineStr">
        <is>
          <t>,894 Less: amount capitalised in properties held 減： 已被資本化作為開發中 under development 物業之金額 – (18,881) 29,972 17,013 The weighted average capitalisation rate of borrowings 年內，借貸之加權平均資本化率為零（二零二五年： was Nil (2025: 6.54%) per annum for the year. 6.54%）。 199 漢港控股集團有限公司 2025/26 年報</t>
        </is>
      </c>
    </row>
    <row r="62">
      <c r="A62" s="8" t="inlineStr">
        <is>
          <t>Investment Properties</t>
        </is>
      </c>
      <c r="B62" s="8" t="inlineStr">
        <is>
          <t>投資物業</t>
        </is>
      </c>
      <c r="C62" s="19" t="inlineStr">
        <is>
          <t>high</t>
        </is>
      </c>
      <c r="D62" s="11" t="inlineStr">
        <is>
          <t>投資物業</t>
        </is>
      </c>
      <c r="E62" s="11" t="inlineStr">
        <is>
          <t>PDF p.209 (印刷頁 208)</t>
        </is>
      </c>
      <c r="F62" s="11" t="inlineStr">
        <is>
          <t>d distribution expenses – 銷售及分銷費用 655 791 – administrative expenses – 管理費用 12,283 17,075 12,938 17,866 14. INVESTMENT PROPERTIES 14. 投資物業 2026 2025 二零二六年 二零二五年 RMB’000 RMB’000 人民幣千元 人民幣千元 At beginning of the year 於年初 1,438,850 1,536,990 Transfer from properties held for sale 自待售物業轉撥 – 590 Disposal 出售 (8,100) – Lease modification of head lease 主租賃之租賃修訂 – (56,500) Net fair value loss charged to the consolidated 扣除自綜合全面收益表 statement of comprehensive income 之公允值虧損淨額 (148,032) (42,230) At end of the year 於年末 1,282,718 1,438,850 The</t>
        </is>
      </c>
    </row>
    <row r="63">
      <c r="A63" s="8" t="inlineStr">
        <is>
          <t>Investment Properties</t>
        </is>
      </c>
      <c r="B63" s="8" t="inlineStr">
        <is>
          <t>投資物業</t>
        </is>
      </c>
      <c r="C63" s="19" t="inlineStr">
        <is>
          <t>high</t>
        </is>
      </c>
      <c r="D63" s="11" t="inlineStr">
        <is>
          <t>投資物業</t>
        </is>
      </c>
      <c r="E63" s="11" t="inlineStr">
        <is>
          <t>PDF p.210 (印刷頁 209)</t>
        </is>
      </c>
      <c r="F63" s="11" t="inlineStr">
        <is>
          <t>NSOLIDATED FINANCIAL STATEMENTS 綜合財務報表附註 For the year ended 31 March 2026 截至二零二六年三月三十一日止年度 14. INVESTMENT PROPERTIES (CONTINUED) 14. 投資物業（續） At 31 March 2026, investment properties 於二零二六年三月三十一日，投資物業約人民幣 of approximately RMB960,886,000 (2025: 960,886,000元（二零二五年：人民幣1,107,623,000 RMB1,107,623,000) were pledged against bank loans 元）用作抵押本集團之銀行貸款（附註23）。 of the Group (note 23). Investment properties are leased to non-related 投資物業乃根據經營租賃租予非關連方（附註28）。 parties under operating lease (note 28). During the year ended 31 March 2026, investme</t>
        </is>
      </c>
    </row>
    <row r="64">
      <c r="A64" s="8" t="inlineStr">
        <is>
          <t>Investment Properties</t>
        </is>
      </c>
      <c r="B64" s="8" t="inlineStr">
        <is>
          <t>投資物業</t>
        </is>
      </c>
      <c r="C64" s="19" t="inlineStr">
        <is>
          <t>high</t>
        </is>
      </c>
      <c r="D64" s="11" t="inlineStr">
        <is>
          <t>capitalisation rate</t>
        </is>
      </c>
      <c r="E64" s="11" t="inlineStr">
        <is>
          <t>PDF p.211 (印刷頁 210)</t>
        </is>
      </c>
      <c r="F64" s="11" t="inlineStr">
        <is>
          <t>or the reversionary income potential of the leases, which have been then capitalised to determine the market value at an appropriate capitalisation rate; and the discounted cash flow analysis that requires periodic net cash flows to be forecasted over the life of the investment and discounted at a risk-adjusted opportunity cost of capital to arrive at a project value, taking into consideration the year by year net cash flows, and having regard to the assumptions made relating to rental growth projections, vacancies and rent fre</t>
        </is>
      </c>
    </row>
    <row r="65">
      <c r="A65" s="8" t="inlineStr">
        <is>
          <t>Investment Properties</t>
        </is>
      </c>
      <c r="B65" s="8" t="inlineStr">
        <is>
          <t>投資物業</t>
        </is>
      </c>
      <c r="C65" s="19" t="inlineStr">
        <is>
          <t>high</t>
        </is>
      </c>
      <c r="D65" s="11" t="inlineStr">
        <is>
          <t>投資物業</t>
        </is>
      </c>
      <c r="E65" s="11" t="inlineStr">
        <is>
          <t>PDF p.212 (印刷頁 211)</t>
        </is>
      </c>
      <c r="F65" s="11" t="inlineStr">
        <is>
          <t>NSOLIDATED FINANCIAL STATEMENTS 綜合財務報表附註 For the year ended 31 March 2026 截至二零二六年三月三十一日止年度 14. INVESTMENT PROPERTIES (CONTINUED) 14. 投資物業（續） The fair value of investment properties is a level 3 投資物業之公允值為第3級經常性公允值計量。年初 recurring fair value measurement. A reconciliation of 及年末公允值結餘之對賬載列如下。 the opening and closing fair value balance is provided below. 2026 2025 二零二六年 二零二五年 RMB’000 RMB’000 人民幣千元 人民幣千元 Opening balance (level 3 recurring fair value) 年初結餘（第3級經常性 公允值） 1,438,850 1,536,990 Transfer from properties held for sale 自待售物業轉撥 –</t>
        </is>
      </c>
    </row>
    <row r="66">
      <c r="A66" s="8" t="inlineStr">
        <is>
          <t>Investment Properties</t>
        </is>
      </c>
      <c r="B66" s="8" t="inlineStr">
        <is>
          <t>投資物業</t>
        </is>
      </c>
      <c r="C66" s="19" t="inlineStr">
        <is>
          <t>high</t>
        </is>
      </c>
      <c r="D66" s="11" t="inlineStr">
        <is>
          <t>reversionary</t>
        </is>
      </c>
      <c r="E66" s="11" t="inlineStr">
        <is>
          <t>PDF p.213 (印刷頁 212)</t>
        </is>
      </c>
      <c r="F66" s="11" t="inlineStr">
        <is>
          <t>The higher the term yield, the (2025: 2.5%-6.3%) lower the fair value 中國之商舖單位 3 收入法 租期收益率 2.5%–6.3% 租期收益率越高，公允值越低 （二零二五年： 2.5%–6.3%） Reversionary yield 3.0%-6.8% The higher the reversionary (2025: 3%-6.8%) yield, the lower the fair value 復歸收益率 3.0%–6.8% 復歸收益率越高，公允值越低 （二零二五年： 3%–6.8%） There were no changes to the valuation techniques 年內估值技術並無變動。 during the years. The fair value measurement is based on the above 公允值計量乃基於上述物業之最高及最佳用途（與其 properties’ highest and best use, which does not differ 實際用途並無差異）。 from their actual use. 212 S</t>
        </is>
      </c>
    </row>
    <row r="67">
      <c r="A67" s="8" t="inlineStr">
        <is>
          <t>Investment Properties</t>
        </is>
      </c>
      <c r="B67" s="8" t="inlineStr">
        <is>
          <t>投資物業</t>
        </is>
      </c>
      <c r="C67" s="19" t="inlineStr">
        <is>
          <t>high</t>
        </is>
      </c>
      <c r="D67" s="11" t="inlineStr">
        <is>
          <t>投資物業</t>
        </is>
      </c>
      <c r="E67" s="11" t="inlineStr">
        <is>
          <t>PDF p.225 (印刷頁 224)</t>
        </is>
      </c>
      <c r="F67" s="11" t="inlineStr">
        <is>
          <t>g the year ended 31 March 2025, properties 截至二零二五年三月三十一日止年度，賬面值為人 held for sale with carrying amount of RMB590,000 民幣590,000元之待售物業轉撥至投資物業，原因為 were transferred to investment properties as these 該等物業乃根據年內與第三方訂立之經營租賃安排 properties were under operating lease arrangements 賺取租金（附註14）。 with third parties during the year to earn rental (note 14). 224 Sino Harbour Holdings Group Limited ANNUAL REPORT 2025/26</t>
        </is>
      </c>
    </row>
    <row r="68">
      <c r="A68" s="8" t="inlineStr">
        <is>
          <t>Investment Properties</t>
        </is>
      </c>
      <c r="B68" s="8" t="inlineStr">
        <is>
          <t>投資物業</t>
        </is>
      </c>
      <c r="C68" s="19" t="inlineStr">
        <is>
          <t>high</t>
        </is>
      </c>
      <c r="D68" s="11" t="inlineStr">
        <is>
          <t>投資物業</t>
        </is>
      </c>
      <c r="E68" s="11" t="inlineStr">
        <is>
          <t>PDF p.230 (印刷頁 229)</t>
        </is>
      </c>
      <c r="F68" s="11" t="inlineStr">
        <is>
          <t>045,000 元（二零二五年：人民幣3,080,000元）作抵押 (2025: RMB3,080,000) (note 13); （附註13）； (ii) secured by the Group’s investment properties (ii) 由本集團投資物業約人民幣960,886,000元（二 of approximately RMB960,886,000 (2025: 零二五年：人民幣1,107,623,000元）作抵押（附 RMB1,107,623,000) (note 14); 註14）； (iii) secured by entire present and future issued (iii) 由本公司若干附屬公司之現有及未來全部已發 share capital of certain subsidiaries of the 行股本作抵押；及 Company; and (iv) guaranteed by Mr. Wong, the controlling (iv) 由本公司控股股東及董事汪先生擔保。 shareholder and director of the Company. Other than above, as</t>
        </is>
      </c>
    </row>
    <row r="69">
      <c r="A69" s="8" t="inlineStr">
        <is>
          <t>Investment Properties</t>
        </is>
      </c>
      <c r="B69" s="8" t="inlineStr">
        <is>
          <t>投資物業</t>
        </is>
      </c>
      <c r="C69" s="19" t="inlineStr">
        <is>
          <t>high</t>
        </is>
      </c>
      <c r="D69" s="11" t="inlineStr">
        <is>
          <t>投資物業</t>
        </is>
      </c>
      <c r="E69" s="11" t="inlineStr">
        <is>
          <t>PDF p.231 (印刷頁 230)</t>
        </is>
      </c>
      <c r="F69" s="11" t="inlineStr">
        <is>
          <t>ect of fair liabilities in respect value change respect of of provision of investment contract for LAT properties cost assets Total 與投資物業 與土地增值稅 公允值變動 與合約成本 撥備有關之 有關之遞延 資產有關之 遞延稅項資產 稅項負債 遞延稅項負債 總計 RMB’000 RMB’000 RMB’000 RMB’000 人民幣千元 人民幣千元 人民幣千元 人民幣千元 At 31 March 2024 於二零二四年三月三十一日 38,275 (118,159) (1,262) (81,146) Deferred tax credited to the profit or loss 於損益計入之遞延稅項（附註9） (note 9) 3,646 10,055 493 14,194 At 31 March 2025 and 1 April 2025 於二零二五年三月三十一日及 二零二五年四月一日 41,921 (108,104) (769) (66,952) Deferred tax credited to the prof</t>
        </is>
      </c>
    </row>
    <row r="70">
      <c r="A70" s="8" t="inlineStr">
        <is>
          <t>Investment Properties</t>
        </is>
      </c>
      <c r="B70" s="8" t="inlineStr">
        <is>
          <t>投資物業</t>
        </is>
      </c>
      <c r="C70" s="19" t="inlineStr">
        <is>
          <t>high</t>
        </is>
      </c>
      <c r="D70" s="11" t="inlineStr">
        <is>
          <t>投資物業</t>
        </is>
      </c>
      <c r="E70" s="11" t="inlineStr">
        <is>
          <t>PDF p.237 (印刷頁 236)</t>
        </is>
      </c>
      <c r="F70" s="11" t="inlineStr">
        <is>
          <t>e fifth year 第五年 5,902 13,354 Over five years 五年以上 58,895 65,301 146,609 180,521 The Group leases out its investment properties 本集團出租投資物業，初步年期為一至十六年 which run for initial periods of one to sixteen （二零二五年：一至十六年），於各自到期日不 years (2025: one to sixteen years), without 設有續租選擇權。租賃概無或然租金。 option to renew the lease terms at the respective expiry dates. None of the leases includes contingent rentals. 236 Sino Harbour Holdings Group Limited ANNUAL REPORT 2025/26</t>
        </is>
      </c>
    </row>
    <row r="71">
      <c r="A71" s="8" t="inlineStr">
        <is>
          <t>Investment Properties</t>
        </is>
      </c>
      <c r="B71" s="8" t="inlineStr">
        <is>
          <t>投資物業</t>
        </is>
      </c>
      <c r="C71" s="19" t="inlineStr">
        <is>
          <t>high</t>
        </is>
      </c>
      <c r="D71" s="11" t="inlineStr">
        <is>
          <t>建築面積</t>
        </is>
      </c>
      <c r="E71" s="11" t="inlineStr">
        <is>
          <t>PDF p.257 (印刷頁 256)</t>
        </is>
      </c>
      <c r="F71" s="11" t="inlineStr">
        <is>
          <t>lanned/Actual Group Completion Location Type Entire Project GFA Tenure Interest Date (sq.m.) (sq.m.) 整個項目的 規劃╱實際 本集團 預計竣工 地點 類別 佔地面積 建築面積 年期 實際權益 日期 （平方米） （平方米） COMPLETED PROPERTIES 已竣工物業 Nanchang Honggu Kaixuan Phase 1-2 No. 1568 Honggu Avenue, R, C 80,521 R: 1,815 R: Expiring on 100% Completed Honggu Tan Central District, C: 261 16 September 2073 Nanchang City, Jiangxi C: Expiring on Province, the PRC 16 September 2043 南昌紅谷凱旋一至二期 中國江西省南昌市紅谷灘 R： 於二零七三年 已竣工 中心區紅谷大道1568號 九月十六日屆滿 C： 於二零四三年 九月十六日屆滿 Nanchang Sino Harbour Kaixuan Ci</t>
        </is>
      </c>
    </row>
    <row r="72">
      <c r="A72" s="8" t="inlineStr">
        <is>
          <t>Investment Properties</t>
        </is>
      </c>
      <c r="B72" s="8" t="inlineStr">
        <is>
          <t>投資物業</t>
        </is>
      </c>
      <c r="C72" s="19" t="inlineStr">
        <is>
          <t>high</t>
        </is>
      </c>
      <c r="D72" s="11" t="inlineStr">
        <is>
          <t>建築面積</t>
        </is>
      </c>
      <c r="E72" s="11" t="inlineStr">
        <is>
          <t>PDF p.258 (印刷頁 257)</t>
        </is>
      </c>
      <c r="F72" s="11" t="inlineStr">
        <is>
          <t>lanned/Actual Group Completion Location Type Entire Project GFA Tenure Interest Date (sq.m.) (sq.m.) 整個項目的 規劃╱實際 本集團 預計竣工 地點 類別 佔地面積 建築面積 年期 實際權益 日期 （平方米） （平方米） COMPLETED PROPERTIES (Continued) 已竣工物業（續） Sino Harbour • Guan Lan Phase 1, 2 No. 299 Yiyang Avenue, R, C 227,912 R: 13,222 R: Expiring on 29 March 2077 100% Completed Yuanzhou District, C: 2,235 C: Expiring on 29 March 2047 Yichun City, Jiangxi Province, the PRC 漢港 • 觀瀾一、二期 中國江西省宜春市袁州區 R： 於二零七七年 已竣工 宜陽大道299號 三月二十九日屆滿 C： 於二零四七年 三月二十九日屆滿 PROPERTIES HELD UNDER DEVELOPMENT</t>
        </is>
      </c>
    </row>
    <row r="73">
      <c r="A73" s="8" t="inlineStr">
        <is>
          <t>Investment Properties</t>
        </is>
      </c>
      <c r="B73" s="8" t="inlineStr">
        <is>
          <t>投資物業</t>
        </is>
      </c>
      <c r="C73" s="19" t="inlineStr">
        <is>
          <t>high</t>
        </is>
      </c>
      <c r="D73" s="11" t="inlineStr">
        <is>
          <t>建築面積</t>
        </is>
      </c>
      <c r="E73" s="11" t="inlineStr">
        <is>
          <t>PDF p.259 (印刷頁 258)</t>
        </is>
      </c>
      <c r="F73" s="11" t="inlineStr">
        <is>
          <t>lanned/Actual Group Completion Location Type Entire Project GFA Tenure Interest Date (sq.m.) (sq.m.) 整個項目的 規劃╱實際 本集團 預計竣工 地點 類別 佔地面積 建築面積 年期 實際權益 日期 （平方米） （平方米） FUTURE PROJECTS 未來項目 Nanchang Sino Harbour Kaixuan City No. 888 Huang Jia Hu West R, C 221,589 R, C: 902,897 R: Expiring on 18 May 2072 55% Under planning Zone 4–13 Road, Nanchang Economic C: Expiring on 18 May 2042 and Technology Development Zone, Nanchang City, Jiangxi Province, the PRC 南昌漢港凱旋城4–13組團 中國江西省南昌市南昌經濟 R： 於二零七二年 計劃中 技術開發區黃家湖西路 五月十八日屆滿 888號 C： 於二零四二年 五月十八日屆滿</t>
        </is>
      </c>
    </row>
    <row r="74">
      <c r="A74" s="8" t="inlineStr">
        <is>
          <t>Investment Properties</t>
        </is>
      </c>
      <c r="B74" s="8" t="inlineStr">
        <is>
          <t>投資物業</t>
        </is>
      </c>
      <c r="C74" s="19" t="inlineStr">
        <is>
          <t>high</t>
        </is>
      </c>
      <c r="D74" s="11" t="inlineStr">
        <is>
          <t>建築面積</t>
        </is>
      </c>
      <c r="E74" s="11" t="inlineStr">
        <is>
          <t>PDF p.260 (印刷頁 259)</t>
        </is>
      </c>
      <c r="F74" s="11" t="inlineStr">
        <is>
          <t>lanned/Actual Group Completion Location Type Entire Project GFA Tenure Interest Date (sq.m.) (sq.m.) 整個項目的 規劃╱實際 本集團 預計竣工 地點 類別 佔地面積 建築面積 年期 實際權益 日期 （平方米） （平方米） PROPERTIES HELD FOR INVESTMENT 持作投資類物業 Various retail units on Levels 1–4 and No. 1568 Honggu Avenue, C N/A C: 35,779 C: Expiring on 100% Completed various office units on Levels 6–24 Honggu Tan Central District, 16 September 2043 of Sino Harbour Kaixuan Center and Nanchang City, various retail units of Level 1–2 of Block Jiangxi Province, the PRC 2 and a 3-storey kinde</t>
        </is>
      </c>
    </row>
    <row r="75">
      <c r="A75" s="8" t="inlineStr">
        <is>
          <t>Investment Properties</t>
        </is>
      </c>
      <c r="B75" s="8" t="inlineStr">
        <is>
          <t>投資物業</t>
        </is>
      </c>
      <c r="C75" s="19" t="inlineStr">
        <is>
          <t>high</t>
        </is>
      </c>
      <c r="D75" s="11" t="inlineStr">
        <is>
          <t>建築面積</t>
        </is>
      </c>
      <c r="E75" s="11" t="inlineStr">
        <is>
          <t>PDF p.261 (印刷頁 260)</t>
        </is>
      </c>
      <c r="F75" s="11" t="inlineStr">
        <is>
          <t>lanned/Actual Group Completion Location Type Entire Project GFA Tenure Interest Date (sq.m.) (sq.m.) 整個項目的 規劃╱實際 本集團 預計竣工 地點 類別 佔地面積 建築面積 年期 實際權益 日期 （平方米） （平方米） PROPERTIES OCCUPIED BY THE GROUP 由本集團佔有之物業 Levels, 25/F and 26/F, Sino Harbour No. 1568 Honggu Avenue, C N/A C: 1,232 C: Expiring on 100% Completed Kaixuan Center, Honggu Tan Central District, 16 September 2043 Nanchang Honggu Kaixuan Nanchang City, Jiangxi Province, the PRC 南昌紅谷凱旋漢港凱旋中心25及26層 中國江西省南昌市紅谷灘 不適用 C： 於二零四三年 已竣工 中心區紅谷大道1568號 九月十六日屆滿 Room 1502 of Entrance B of</t>
        </is>
      </c>
    </row>
    <row r="76">
      <c r="A76" s="8" t="inlineStr">
        <is>
          <t>ESG Data</t>
        </is>
      </c>
      <c r="B76" s="8" t="inlineStr">
        <is>
          <t>環境社會及管治數據</t>
        </is>
      </c>
      <c r="C76" s="8" t="inlineStr">
        <is>
          <t>medium</t>
        </is>
      </c>
      <c r="D76" s="11" t="inlineStr">
        <is>
          <t>環境、社會及管治</t>
        </is>
      </c>
      <c r="E76" s="11" t="inlineStr">
        <is>
          <t>PDF p.2</t>
        </is>
      </c>
      <c r="F76" s="11" t="inlineStr">
        <is>
          <t>EMENT DISCUSSION AND ANALYSIS 管理層討論與分析 11 DIRECTORS’ REPORT 董事會報告 24 CORPORATE GOVERNANCE REPORT 企業管治報告 38 ENVIRONMENTAL, SOCIAL AND 環境、社會及管治報告 65 GOVERNANCE REPORT BIOGRAPHICAL INFORMATION OF DIRECTORS 董事及高級管理層之 132 AND SENIOR MANAGEMENT 履歷詳情 INDEPENDENT AUDITOR’S REPORT 獨立核數師報告 140 CONSOLIDATED STATEMENT OF 綜合全面收益表 148 COMPREHENSIVE INCOME CONSOLIDATED STATEMENT OF 綜合財務狀況表 150 FINANCIAL POSITION CONSOLIDATED STATEMENT OF 綜合權益變動表 152 CHANGES IN EQUITY CONSOLIDATED STATEMENT OF 綜合現金流量表 154 CASH FLOWS NOTES TO THE CONSOLIDATED 綜</t>
        </is>
      </c>
    </row>
    <row r="77">
      <c r="A77" s="8" t="inlineStr">
        <is>
          <t>ESG Data</t>
        </is>
      </c>
      <c r="B77" s="8" t="inlineStr">
        <is>
          <t>環境社會及管治數據</t>
        </is>
      </c>
      <c r="C77" s="8" t="inlineStr">
        <is>
          <t>medium</t>
        </is>
      </c>
      <c r="D77" s="11" t="inlineStr">
        <is>
          <t>ESG</t>
        </is>
      </c>
      <c r="E77" s="11" t="inlineStr">
        <is>
          <t>PDF p.4 (印刷頁 3)</t>
        </is>
      </c>
      <c r="F77" s="11" t="inlineStr">
        <is>
          <t>規則附錄C1所載之企業管治守則 “Deputy Chairman” deputy chairman of the Board 「副主席」 指 董事會副主席 “Director(s)” director(s) of the Company 「董事」 指 本公司董事 “ESG Report” Environmental, Social and Governance Report 「ESG報告」 指 環境、社會及管治報告 “Executive Director(s)/ED(s)” executive Director(s) 「執行董事」 指 執行董事 “Extra Good” Extra Good Enterprises Ltd. 「Extra Good」 指 Extra Good Enterprises Ltd. “Final Dividend” a final dividend for FY2026 「末期股息」 指 二零二六財年末期股息 “FVOCI” fair value through other comprehensive income 「按公允值於其他全面收益列賬」 指 按公允值於其他全面收益列賬 “FY2025” year ended 31</t>
        </is>
      </c>
    </row>
    <row r="78">
      <c r="A78" s="8" t="inlineStr">
        <is>
          <t>ESG Data</t>
        </is>
      </c>
      <c r="B78" s="8" t="inlineStr">
        <is>
          <t>環境社會及管治數據</t>
        </is>
      </c>
      <c r="C78" s="8" t="inlineStr">
        <is>
          <t>medium</t>
        </is>
      </c>
      <c r="D78" s="11" t="inlineStr">
        <is>
          <t>可持續</t>
        </is>
      </c>
      <c r="E78" s="11" t="inlineStr">
        <is>
          <t>PDF p.11 (印刷頁 10)</t>
        </is>
      </c>
      <c r="F78" s="11" t="inlineStr">
        <is>
          <t>te businesses such as healthcare. Faced with an 境，我們將秉持務實、審慎及長遠的態度，致力提升集團 ever-changing market environment, the Group will maintain 的可持續發展能力，並為股東創造長期價值。 a pragmatic, prudent and forward-looking approach, striving to enhance its capacity for sustainable development and create long-term value for the Shareholders. APPRECIATION 致謝 On behalf of the Board, I would like to express my sincere 本人謹代表董事會，衷心感謝各位股東、客戶、業務夥伴 gratitude to all Shareholders, customers, business partners 及金融機構一直以來的支持與信任，並感謝全體董事、管 and financial institutions for t</t>
        </is>
      </c>
    </row>
    <row r="79">
      <c r="A79" s="8" t="inlineStr">
        <is>
          <t>ESG Data</t>
        </is>
      </c>
      <c r="B79" s="8" t="inlineStr">
        <is>
          <t>環境社會及管治數據</t>
        </is>
      </c>
      <c r="C79" s="8" t="inlineStr">
        <is>
          <t>medium</t>
        </is>
      </c>
      <c r="D79" s="11" t="inlineStr">
        <is>
          <t>可持續</t>
        </is>
      </c>
      <c r="E79" s="11" t="inlineStr">
        <is>
          <t>PDF p.23 (印刷頁 22)</t>
        </is>
      </c>
      <c r="F79" s="11" t="inlineStr">
        <is>
          <t>the healthcare sector, including 育穩定的非房地產收入來源，逐步增強集團的抗周期能 deepening its footprint in dental services and related 力，實現集團收入結構的優化與業務的長期可持續發展。 medical fields through its subsidiaries. We expect that by cultivating stable non-property revenue streams, we will gradually enhance the Group’s resilience to economic cycles, optimise the Group’s revenue structure and achieve long-term sustainable business development. 22 Sino Harbour Holdings Group Limited ANNUAL REPORT 2025/26</t>
        </is>
      </c>
    </row>
    <row r="80">
      <c r="A80" s="8" t="inlineStr">
        <is>
          <t>ESG Data</t>
        </is>
      </c>
      <c r="B80" s="8" t="inlineStr">
        <is>
          <t>環境社會及管治數據</t>
        </is>
      </c>
      <c r="C80" s="8" t="inlineStr">
        <is>
          <t>medium</t>
        </is>
      </c>
      <c r="D80" s="11" t="inlineStr">
        <is>
          <t>可持續</t>
        </is>
      </c>
      <c r="E80" s="11" t="inlineStr">
        <is>
          <t>PDF p.27 (印刷頁 26)</t>
        </is>
      </c>
      <c r="F80" s="11" t="inlineStr">
        <is>
          <t>operations of the Group. Relationship with Stakeholders 與持份者的關係 The Group recognises that employees, customers and 本集團深明其僱員、客戶及供應商乃其可持續發展的關 suppliers are keys to its sustainable development and has 鍵，並與其持份者維持良好關係。 maintained a good relationship with its stakeholders. ENVIRONMENTAL POLICIES 環境政策 The Group believes that sustainable development is the 本集團相信可持續發展為業務長期增長及社會之基礎。作 foundation for the long-term growth of businesses and 為一家負責任的房地產開發商，本集團已遵守有關環境保 society. As a responsible property developer, the Group has 護的適用法律及法規。本集團已於</t>
        </is>
      </c>
    </row>
    <row r="81">
      <c r="A81" s="8" t="inlineStr">
        <is>
          <t>ESG Data</t>
        </is>
      </c>
      <c r="B81" s="8" t="inlineStr">
        <is>
          <t>環境社會及管治數據</t>
        </is>
      </c>
      <c r="C81" s="8" t="inlineStr">
        <is>
          <t>medium</t>
        </is>
      </c>
      <c r="D81" s="11" t="inlineStr">
        <is>
          <t>可持續</t>
        </is>
      </c>
      <c r="E81" s="11" t="inlineStr">
        <is>
          <t>PDF p.39 (印刷頁 38)</t>
        </is>
      </c>
      <c r="F81" s="11" t="inlineStr">
        <is>
          <t>Group’s values and standards and ensures that the 其目標。在本集團內營造健康的企業文化，對於本 requisite financial and human resources support are in 公司實現其可持續增長願景及使命而言十分重要。 place for the Group to achieve its objectives. A healthy 董事會負責領導、打造、發展及培養企業文化，從 corporate culture across the Group is vital for the 而為僱員的行為提供指引，確保本公司的願景、價 Company to achieve its vision and mission towards 值觀及業務策略與企業文化保持一致。 sustainable growth. The Board is responsible for leading, shaping, developing and fostering a corporate culture to guide the behavior of its employees and ensu</t>
        </is>
      </c>
    </row>
    <row r="82">
      <c r="A82" s="8" t="inlineStr">
        <is>
          <t>ESG Data</t>
        </is>
      </c>
      <c r="B82" s="8" t="inlineStr">
        <is>
          <t>環境社會及管治數據</t>
        </is>
      </c>
      <c r="C82" s="8" t="inlineStr">
        <is>
          <t>medium</t>
        </is>
      </c>
      <c r="D82" s="11" t="inlineStr">
        <is>
          <t>sustainability</t>
        </is>
      </c>
      <c r="E82" s="11" t="inlineStr">
        <is>
          <t>PDF p.40 (印刷頁 39)</t>
        </is>
      </c>
      <c r="F82" s="11" t="inlineStr">
        <is>
          <t>) Empathy – we care about our Stakeholders – (iv) 同理心 – 我們關注我們的持份者 – 僱員、供應 employees, supply chain and the community; 鏈及社區；及 and (v) Sustainability – we are committed to a (v) 可持續發展 – 我們致力於實現可持續發展的 sustainable future. 未來。 The Group will continuously review and adjust, if 本集團將持續檢討及調整（如必要）其業務策略，並追 necessary, its business strategies and keep track of 蹤不斷變化的市場狀況，以確保迅速採取積極措施應 the changing market conditions to ensure prompt 對變化，滿足市場需求，促進本集團的可持續發展。 and proactive measures will be taken to respond to the changes and meet the market need</t>
        </is>
      </c>
    </row>
    <row r="83">
      <c r="A83" s="8" t="inlineStr">
        <is>
          <t>ESG Data</t>
        </is>
      </c>
      <c r="B83" s="8" t="inlineStr">
        <is>
          <t>環境社會及管治數據</t>
        </is>
      </c>
      <c r="C83" s="8" t="inlineStr">
        <is>
          <t>medium</t>
        </is>
      </c>
      <c r="D83" s="11" t="inlineStr">
        <is>
          <t>可持續</t>
        </is>
      </c>
      <c r="E83" s="11" t="inlineStr">
        <is>
          <t>PDF p.41 (印刷頁 40)</t>
        </is>
      </c>
      <c r="F83" s="11" t="inlineStr">
        <is>
          <t>多元化之方針。本公司深 approach to accomplish diversity on the Board. 明董事會層面日益多元化有助實現本公司之業務目 The Company recognises that increasing diversity 標及可持續發展。 at the Board level will support the achievement of the Company’s business objectives and sustainable development. The Company seeks to accomplish Board diversity 本公司致力透過考慮多項因素達致董事會成員多元 through the consideration of a number of factors, such 化，例如性別、年齡、文化及教育背景、專業經 as gender, age, cultural and educational background, 驗、技能、知識及服務年期。所有董事會成員之委 professional experience, skills, knowledge and length 任</t>
        </is>
      </c>
    </row>
    <row r="84">
      <c r="A84" s="8" t="inlineStr">
        <is>
          <t>ESG Data</t>
        </is>
      </c>
      <c r="B84" s="8" t="inlineStr">
        <is>
          <t>環境社會及管治數據</t>
        </is>
      </c>
      <c r="C84" s="8" t="inlineStr">
        <is>
          <t>medium</t>
        </is>
      </c>
      <c r="D84" s="11" t="inlineStr">
        <is>
          <t>ESG</t>
        </is>
      </c>
      <c r="E84" s="11" t="inlineStr">
        <is>
          <t>PDF p.66 (印刷頁 65)</t>
        </is>
      </c>
      <c r="F84" s="11" t="inlineStr">
        <is>
          <t>roup”) 漢港控股集團有限公司（「本集團」）欣然發佈環境、社會及 is pleased to publish the Environmental, Social, and 管治（「環境、社會及管治」）報告，重點披露其環境、社會 Governance (the “ESG”) report, highlighting its ESG 及管治表現。有關披露參照香港聯合交易所有限公司制定 performance, with disclosure reference made to the ESG 的上市規則附錄C2及指引所載《環境、社會及管治報告指 Reporting Guide as described in Appendix C2 of the Listing 引》。 Rules and Guidance set out by The Stock Exchange of Hong Kong Limited. The Group primarily focuses on property development 本集團主要於中國二三線城市從事物業開發，而本集團總 in second and third-tier cities across China,</t>
        </is>
      </c>
    </row>
    <row r="85">
      <c r="A85" s="8" t="inlineStr">
        <is>
          <t>ESG Data</t>
        </is>
      </c>
      <c r="B85" s="8" t="inlineStr">
        <is>
          <t>環境社會及管治數據</t>
        </is>
      </c>
      <c r="C85" s="8" t="inlineStr">
        <is>
          <t>medium</t>
        </is>
      </c>
      <c r="D85" s="11" t="inlineStr">
        <is>
          <t>sustainability</t>
        </is>
      </c>
      <c r="E85" s="11" t="inlineStr">
        <is>
          <t>PDF p.67 (印刷頁 66)</t>
        </is>
      </c>
      <c r="F85" s="11" t="inlineStr">
        <is>
          <t>用一致的統計方法及關鍵績效指標呈報 presentation of KPIs have been used to allow meaningful 格式，令有關數據日後可作有意義的比較。 comparisons of related data over time. SUSTAINABILITY MISSION AND VISION 可持續發展目標與願景 Mission 目標 The sustainable development of the Group encompasses 本集團可持續發展不僅包括建立環境、健康及安全管理， not only the establishment of environmental, health, and 亦包括設立以人為本的綜合系統。本集團希望通過其努力 safety stewardship but also the creation of a people- 為社區提供多類倡導舒適便利以及圍繞健康生活方式與可 oriented and integrated system. The Group is committed 持續發展的物業。 to offering a variety of properties th</t>
        </is>
      </c>
    </row>
    <row r="86">
      <c r="A86" s="8" t="inlineStr">
        <is>
          <t>ESG Data</t>
        </is>
      </c>
      <c r="B86" s="8" t="inlineStr">
        <is>
          <t>環境社會及管治數據</t>
        </is>
      </c>
      <c r="C86" s="8" t="inlineStr">
        <is>
          <t>medium</t>
        </is>
      </c>
      <c r="D86" s="11" t="inlineStr">
        <is>
          <t>ESG</t>
        </is>
      </c>
      <c r="E86" s="11" t="inlineStr">
        <is>
          <t>PDF p.68 (印刷頁 67)</t>
        </is>
      </c>
      <c r="F86" s="11" t="inlineStr">
        <is>
          <t>部責任。 sustainability strategy and reporting. The sustainability plan 本集團根據環境、社會及管治報告的結果以及其附屬公司 is formulated based on the findings of ESG Reports and 高級管理層的定期報告制定可持續發展計劃，並每年檢討 regular updates from senior management of its subsidiaries. 有關計劃，按需要作出調整，使其與本集團長遠業務策略 This plan is reviewed annually and adjusted as necessary to 一致。 align with the Group’s long-term business strategy. Additionally, the Board is tasked with assessing and 此外，董事會評估並管理環境、社會及管治事宜，確保本 managing ESG-related issues to ensure the sustainable and 集團以可持續而負責任的方式增長及營運。</t>
        </is>
      </c>
    </row>
    <row r="87">
      <c r="A87" s="8" t="inlineStr">
        <is>
          <t>ESG Data</t>
        </is>
      </c>
      <c r="B87" s="8" t="inlineStr">
        <is>
          <t>環境社會及管治數據</t>
        </is>
      </c>
      <c r="C87" s="8" t="inlineStr">
        <is>
          <t>medium</t>
        </is>
      </c>
      <c r="D87" s="11" t="inlineStr">
        <is>
          <t>ESG</t>
        </is>
      </c>
      <c r="E87" s="11" t="inlineStr">
        <is>
          <t>PDF p.69 (印刷頁 68)</t>
        </is>
      </c>
      <c r="F87" s="11" t="inlineStr">
        <is>
          <t>ders through 本集團通過日常互動與主要持份者溝通交流，以了解其關 daily interactions to understand their concerns and 注的環境、社會及管治議題及相關期望。通過定期參與會 expectations on ESG issues. Through regular engagement 議，本集團獲得寶貴的反饋意見，並對關注事項進行檢討 sessions, the Group obtains valuable feedback and reviews 反思，這一程序將助力本集團實現其未來增長目標、更好 areas of attention which will help the business to meet its 地應對未來環境、社會及管治挑戰。溝通渠道載列如下： potential growth and be prepared for future ESG challenges. Communication channels are as follows: Stakeholders Possible Issue of Concern Communication Channels 持份者</t>
        </is>
      </c>
    </row>
    <row r="88">
      <c r="A88" s="8" t="inlineStr">
        <is>
          <t>ESG Data</t>
        </is>
      </c>
      <c r="B88" s="8" t="inlineStr">
        <is>
          <t>環境社會及管治數據</t>
        </is>
      </c>
      <c r="C88" s="8" t="inlineStr">
        <is>
          <t>medium</t>
        </is>
      </c>
      <c r="D88" s="11" t="inlineStr">
        <is>
          <t>ESG</t>
        </is>
      </c>
      <c r="E88" s="11" t="inlineStr">
        <is>
          <t>PDF p.70 (印刷頁 69)</t>
        </is>
      </c>
      <c r="F88" s="11" t="inlineStr">
        <is>
          <t>mer service • 供應商管理會議與活動 • 客戶服務 • Supplier Review • 供應商審查 • Site visits • 實地探訪 Media, NGOs, and the public • Community environment • ESG Report 媒體、非政府組織及公眾 • 社區環境 • 環境、社會及管治報告 • Employment and community • Community activities development • 社區活動 • 僱傭及社區發展 • Employee voluntary activities • Social welfare • 僱員義工活動 • 社會福利 • Community welfare subsidies • 社區福利補貼 • Charitable donations • 慈善捐助 69 漢港控股集團有限公司 2025/26 年報</t>
        </is>
      </c>
    </row>
    <row r="89">
      <c r="A89" s="8" t="inlineStr">
        <is>
          <t>ESG Data</t>
        </is>
      </c>
      <c r="B89" s="8" t="inlineStr">
        <is>
          <t>環境社會及管治數據</t>
        </is>
      </c>
      <c r="C89" s="8" t="inlineStr">
        <is>
          <t>medium</t>
        </is>
      </c>
      <c r="D89" s="11" t="inlineStr">
        <is>
          <t>ESG</t>
        </is>
      </c>
      <c r="E89" s="11" t="inlineStr">
        <is>
          <t>PDF p.71 (印刷頁 70)</t>
        </is>
      </c>
      <c r="F89" s="11" t="inlineStr">
        <is>
          <t>nsultants 董事會與外部顧問亦已合作建立重要性評估流程，並識別 to establish a materiality assessment process and to 本集團面臨的重要環境、社會及管治風險。經過廣泛討論 identify material ESG risks to the Group. Upon extensive 與研究後，董事會已決定採用可持續發展會計準則委員 discussions and research, the Board has made the decision 會（「可持續發展會計準則委員會」）準則作為其重要性評估 to adopt the Sustainability Accounting Standard Board (the 的基準。可持續發展會計準則委員會準則制定於二零一一 “SASB”) Standard as the basis for its material assessment. 年，其宗旨在於建立及保持行業特定標準，以協助企業向 Founded in 2011, the purpose of the SASB Standard was 投資者披露在財務上具重要性且有助於決策的可持續發展</t>
        </is>
      </c>
    </row>
    <row r="90">
      <c r="A90" s="8" t="inlineStr">
        <is>
          <t>ESG Data</t>
        </is>
      </c>
      <c r="B90" s="8" t="inlineStr">
        <is>
          <t>環境社會及管治數據</t>
        </is>
      </c>
      <c r="C90" s="8" t="inlineStr">
        <is>
          <t>medium</t>
        </is>
      </c>
      <c r="D90" s="11" t="inlineStr">
        <is>
          <t>ESG</t>
        </is>
      </c>
      <c r="E90" s="11" t="inlineStr">
        <is>
          <t>PDF p.72 (印刷頁 71)</t>
        </is>
      </c>
      <c r="F90" s="11" t="inlineStr">
        <is>
          <t>於報告期間，本集團特別指派其董事、高級管理層、員 management, staff, clients, suppliers, and customers to gain 工、客戶、供應商及顧客參與活動，讓彼等進一步了解環 further insights on ESG material aspects and challenges 境、社會及管治的重要範疇及挑戰。本集團已根據向不同 during the Reporting Period. Based on the feedback 組別持份者收集到的意見反饋，制定重要性矩陣。 collected from different groups of stakeholders, a materiality matrix was developed. Materiality of Different Topics from Stakeholder Engagement 從持份者參與所知不同議題的重要性 B4 HIGHER 較高 C3 C5 C2 C4 C7 C6 C1 Stakeholders B3 對持份者的重要性 A2 B1 A4 B2 A6 to Importance A7 A3 A1 A5 LO</t>
        </is>
      </c>
    </row>
    <row r="91">
      <c r="A91" s="8" t="inlineStr">
        <is>
          <t>ESG Data</t>
        </is>
      </c>
      <c r="B91" s="8" t="inlineStr">
        <is>
          <t>環境社會及管治數據</t>
        </is>
      </c>
      <c r="C91" s="8" t="inlineStr">
        <is>
          <t>medium</t>
        </is>
      </c>
      <c r="D91" s="11" t="inlineStr">
        <is>
          <t>sustainability</t>
        </is>
      </c>
      <c r="E91" s="11" t="inlineStr">
        <is>
          <t>PDF p.73 (印刷頁 72)</t>
        </is>
      </c>
      <c r="F91" s="11" t="inlineStr">
        <is>
          <t>al Estate” industry in 發展事項清單，評估了本集團的營運可能帶來的實際與潛 the Materiality Finder of SASB Standards, and the list of 在影響。有關評估亦已考量所識別影響、依賴關係及監管 sustainability matters in ESRS 1 AR 16. The assessment 發展所帶來的財務影響，評估其對短期、中期及長期範圍 also considered the financial implications of identified 的財務表現、現金流量及資本成本的潛在影響。 impacts, dependencies, and regulatory developments, evaluating their potential effects on financial performance, cash flows, and cost of capital over short-, medium-, and long-term horizons. 72 Sino Harbour Holdings Group Limited ANNUAL REP</t>
        </is>
      </c>
    </row>
    <row r="92">
      <c r="A92" s="8" t="inlineStr">
        <is>
          <t>ESG Data</t>
        </is>
      </c>
      <c r="B92" s="8" t="inlineStr">
        <is>
          <t>環境社會及管治數據</t>
        </is>
      </c>
      <c r="C92" s="8" t="inlineStr">
        <is>
          <t>medium</t>
        </is>
      </c>
      <c r="D92" s="11" t="inlineStr">
        <is>
          <t>GHG emission</t>
        </is>
      </c>
      <c r="E92" s="11" t="inlineStr">
        <is>
          <t>PDF p.74 (印刷頁 73)</t>
        </is>
      </c>
      <c r="F92" s="11" t="inlineStr">
        <is>
          <t>issues through the review of the SASB Standard 歐洲可持續發展報告標準1 AR 16，已識別出以下重大風 and ESRS 1 AR 16 in no particular order: 險與議題（次序不分先後）： • GHG Emissions • 溫室氣體排放 • Energy Management • 能源管理 • Water &amp; Wastewater Management • 用水及廢水管理 • Climate Change • 氣候變化 • Product Design &amp; Lifecycle Management • 產品設計及生命週期管理 The Group adheres strictly to statutory requirements and 本集團嚴格遵守法律要求，並積極發展及貫徹管理實踐及 is actively developing and implementing management 政策以應對該等優先領域。我們將通過持續改善內部政策 practices and policies to address these priority areas. 及與持份者溝通加強環境、社會</t>
        </is>
      </c>
    </row>
    <row r="93">
      <c r="A93" s="8" t="inlineStr">
        <is>
          <t>ESG Data</t>
        </is>
      </c>
      <c r="B93" s="8" t="inlineStr">
        <is>
          <t>環境社會及管治數據</t>
        </is>
      </c>
      <c r="C93" s="8" t="inlineStr">
        <is>
          <t>medium</t>
        </is>
      </c>
      <c r="D93" s="11" t="inlineStr">
        <is>
          <t>環境、社會及管治</t>
        </is>
      </c>
      <c r="E93" s="11" t="inlineStr">
        <is>
          <t>PDF p.75 (印刷頁 74)</t>
        </is>
      </c>
      <c r="F93" s="11" t="inlineStr">
        <is>
          <t>ENVIRONMENTAL, SOCIAL AND GOVERNANCE REPORT 環境、社會及管治報告 STAKEHOLDERS’ FEEDBACK 持份者意見反饋 The Group welcomes stakeholders’ feedback on our 本集團歡迎持份者對我們的環境、社會及管治措施與表現提 environmental, social and governance approach and 出反饋意見。敬請 閣下通過電郵提出 閣下的建議或分 performance. Please give your suggestions or share your 享 閣下的意見，電郵地址為enquiry@sinoharbour.com.hk。 views with us via email at enquiry@sinoharbour.com.hk. A. Environmental A. 環境 Types of emissions the Group co</t>
        </is>
      </c>
    </row>
    <row r="94">
      <c r="A94" s="8" t="inlineStr">
        <is>
          <t>ESG Data</t>
        </is>
      </c>
      <c r="B94" s="8" t="inlineStr">
        <is>
          <t>環境社會及管治數據</t>
        </is>
      </c>
      <c r="C94" s="8" t="inlineStr">
        <is>
          <t>medium</t>
        </is>
      </c>
      <c r="D94" s="11" t="inlineStr">
        <is>
          <t>環境、社會及管治</t>
        </is>
      </c>
      <c r="E94" s="11" t="inlineStr">
        <is>
          <t>PDF p.76 (印刷頁 75)</t>
        </is>
      </c>
      <c r="F94" s="11" t="inlineStr">
        <is>
          <t>ENVIRONMENTAL, SOCIAL AND GOVERNANCE REPORT 環境、社會及管治報告 STAKEHOLDERS’ FEEDBACK (CONTINUED) 持份者意見反饋（續） A. Environmental (Continued) A. 環境（續） The Group recognizes that electricity and water 本集團意識到耗用的電與水以及業務營運中產生的 usage, along with medical waste generated 醫療廢棄物會導致天然資源消耗並為公眾健康及環 during operations, contribute to natural resource 境帶來輕微風險。為此，本集團於報告期間在其工 consumption and pose minor risks to public health 作場所推行節電節水措施，並根據中國的污水綜合 and the environment. To</t>
        </is>
      </c>
    </row>
    <row r="95">
      <c r="A95" s="8" t="inlineStr">
        <is>
          <t>ESG Data</t>
        </is>
      </c>
      <c r="B95" s="8" t="inlineStr">
        <is>
          <t>環境社會及管治數據</t>
        </is>
      </c>
      <c r="C95" s="8" t="inlineStr">
        <is>
          <t>medium</t>
        </is>
      </c>
      <c r="D95" s="11" t="inlineStr">
        <is>
          <t>greenhouse gas</t>
        </is>
      </c>
      <c r="E95" s="11" t="inlineStr">
        <is>
          <t>PDF p.77 (印刷頁 76)</t>
        </is>
      </c>
      <c r="F95" s="11" t="inlineStr">
        <is>
          <t>、社會及管治報告 STAKEHOLDERS’ FEEDBACK (CONTINUED) 持份者意見反饋（續） A. Environmental (Continued) A. 環境（續） 1. Emissions (Continued) 1. 排放物（續） (ii) Greenhouse Gas Emissions (ii) 溫室氣體排放 During the Reporting Period, the Group’s 於報告期間，本集團的溫室氣體排放來 GHG emissions were contributed by: 自： – Scope 1 – Direct Emissions from – 範圍1 – 來自本集團擁有或控制的 operations that are owned by or 營運的直接排放； controlled by the Group; – Scope 2 – “Energy indirect” – 範圍2 – 來自本集團內所購買或獲 emissions resulting from the 得電力、加熱、冷卻及消耗蒸氣產 generation of purchased or acquired 生的「能源間接」排放；及 el</t>
        </is>
      </c>
    </row>
    <row r="96">
      <c r="A96" s="8" t="inlineStr">
        <is>
          <t>ESG Data</t>
        </is>
      </c>
      <c r="B96" s="8" t="inlineStr">
        <is>
          <t>環境社會及管治數據</t>
        </is>
      </c>
      <c r="C96" s="8" t="inlineStr">
        <is>
          <t>medium</t>
        </is>
      </c>
      <c r="D96" s="11" t="inlineStr">
        <is>
          <t>greenhouse gas</t>
        </is>
      </c>
      <c r="E96" s="11" t="inlineStr">
        <is>
          <t>PDF p.78 (印刷頁 77)</t>
        </is>
      </c>
      <c r="F96" s="11" t="inlineStr">
        <is>
          <t>、社會及管治報告 STAKEHOLDERS’ FEEDBACK (CONTINUED) 持份者意見反饋（續） A. Environmental (Continued) A. 環境（續） 1. Emissions (Continued) 1. 排放物（續） (ii) Greenhouse Gas Emissions (Continued) (ii) 溫室氣體排放（續） The Group has selected its measurement 本集團根據與既定監管框架及權威來源 approach, inputs, and assumptions for 保持一致的原則，已選定用於計算溫 calculating GHG emissions based on a 室氣體排放的計量方法、輸入數據及假 principle of alignment with established 設，以確保其一致性、可比性及可靠 regulatory frameworks and authoritative 性。已選定的方法旨在： s o u r c e s t o e n s u r e c o n s i s t e n c y , comparability, and</t>
        </is>
      </c>
    </row>
    <row r="97">
      <c r="A97" s="8" t="inlineStr">
        <is>
          <t>ESG Data</t>
        </is>
      </c>
      <c r="B97" s="8" t="inlineStr">
        <is>
          <t>環境社會及管治數據</t>
        </is>
      </c>
      <c r="C97" s="8" t="inlineStr">
        <is>
          <t>medium</t>
        </is>
      </c>
      <c r="D97" s="11" t="inlineStr">
        <is>
          <t>greenhouse gas</t>
        </is>
      </c>
      <c r="E97" s="11" t="inlineStr">
        <is>
          <t>PDF p.79 (印刷頁 78)</t>
        </is>
      </c>
      <c r="F97" s="11" t="inlineStr">
        <is>
          <t>、社會及管治報告 STAKEHOLDERS’ FEEDBACK (CONTINUED) 持份者意見反饋（續） A. Environmental (Continued) A. 環境（續） 1. Emissions (Continued) 1. 排放物（續） (ii) Greenhouse Gas Emissions (Continued) (ii) 溫室氣體排放（續） 3. A p p l y C r e d i b l e a n d 3. 採用可信且與地理位置相關的數據 Geographically Relevant Data 來源：如無法取得香港交易所公布 Sources: Where HKEX-published 的排放因子，本集團將採用其主要 factors are unavailable, the Group 營運地區（中國內地）的權威資料來 uses authoritative sources specific 源。該等來源包括中華人民共和國 to its primary region of operation 生態環境部（其中提供自中國國家電 (Mainland China). These sources 網購電的排放因子）、有關全球暖</t>
        </is>
      </c>
    </row>
    <row r="98">
      <c r="A98" s="8" t="inlineStr">
        <is>
          <t>ESG Data</t>
        </is>
      </c>
      <c r="B98" s="8" t="inlineStr">
        <is>
          <t>環境社會及管治數據</t>
        </is>
      </c>
      <c r="C98" s="8" t="inlineStr">
        <is>
          <t>medium</t>
        </is>
      </c>
      <c r="D98" s="11" t="inlineStr">
        <is>
          <t>greenhouse gas</t>
        </is>
      </c>
      <c r="E98" s="11" t="inlineStr">
        <is>
          <t>PDF p.80 (印刷頁 79)</t>
        </is>
      </c>
      <c r="F98" s="11" t="inlineStr">
        <is>
          <t>、社會及管治報告 STAKEHOLDERS’ FEEDBACK (CONTINUED) 持份者意見反饋（續） A. Environmental (Continued) A. 環境（續） 1. Emissions (Continued) 1. 排放物（續） (ii) Greenhouse Gas Emissions (Continued) (ii) 溫室氣體排放（續） 2025/26 2024/25 2023/24 Scope and Operation of GHG Emissions GHG Emissions GHG Emissions Emissions Emission Sources (tCO2e) (tCO2e) (tCO2e) 二零二五╱二六年 二零二四╱二五年 二零二三╱二四年 溫室氣體排放 溫室氣體排放 溫室氣體排放 排放範圍及營運 排放來源 （噸二氧化碳當量） （噸二氧化碳當量） （噸二氧化碳當量） Scope 1 Direct Emission 26.16 28.23 28.46 範圍1直接排放 Combustion of LPG and natural gas in 5.05 6.27 9.52 stationary sour</t>
        </is>
      </c>
    </row>
    <row r="99">
      <c r="A99" s="8" t="inlineStr">
        <is>
          <t>ESG Data</t>
        </is>
      </c>
      <c r="B99" s="8" t="inlineStr">
        <is>
          <t>環境社會及管治數據</t>
        </is>
      </c>
      <c r="C99" s="8" t="inlineStr">
        <is>
          <t>medium</t>
        </is>
      </c>
      <c r="D99" s="11" t="inlineStr">
        <is>
          <t>greenhouse gas</t>
        </is>
      </c>
      <c r="E99" s="11" t="inlineStr">
        <is>
          <t>PDF p.81 (印刷頁 80)</t>
        </is>
      </c>
      <c r="F99" s="11" t="inlineStr">
        <is>
          <t>、社會及管治報告 STAKEHOLDERS’ FEEDBACK (CONTINUED) 持份者意見反饋（續） A. Environmental (Continued) A. 環境（續） 1. Emissions (Continued) 1. 排放物（續） (ii) Greenhouse Gas Emissions (Continued) (ii) 溫室氣體排放（續） Note1: Emission factors were made reference to 附註1： 除另有說明外，排放因子參照香港交易 Appendix C2 of the Main Board Listing 及結算所有限公司制定的主板上市規則 Rules and their referred documentation 附錄C2及其提述的文件。範圍3排放量僅 as set out by Hong Kong Exchanges and 根據提述文件中的排放因子計算。 Clearing Limited, unless stated otherwise. Scope 3 emissions were only calculated based on the available emis</t>
        </is>
      </c>
    </row>
    <row r="100">
      <c r="A100" s="8" t="inlineStr">
        <is>
          <t>ESG Data</t>
        </is>
      </c>
      <c r="B100" s="8" t="inlineStr">
        <is>
          <t>環境社會及管治數據</t>
        </is>
      </c>
      <c r="C100" s="8" t="inlineStr">
        <is>
          <t>medium</t>
        </is>
      </c>
      <c r="D100" s="11" t="inlineStr">
        <is>
          <t>greenhouse gas</t>
        </is>
      </c>
      <c r="E100" s="11" t="inlineStr">
        <is>
          <t>PDF p.82 (印刷頁 81)</t>
        </is>
      </c>
      <c r="F100" s="11" t="inlineStr">
        <is>
          <t>、社會及管治報告 STAKEHOLDERS’ FEEDBACK (CONTINUED) 持份者意見反饋（續） A. Environmental (Continued) A. 環境（續） 1. Emissions (Continued) 1. 排放物（續） (ii) Greenhouse Gas Emissions (Continued) (ii) 溫室氣體排放（續） The Group strives to continually improve 本集團致力於持續改進其可持續發展實 its sustainability practices and reduce 踐、減少整體排放量及對環境造成的影 its overall emissions and impacts on the 響。在廢氣排放方面，考慮到業務的性 environment. Regarding air emissions, 質，本集團認為所產生的相關廢氣排放 due to the Group’s business nature, 量不大，但仍會關注並管控用電及車輛 it considers the relevant air emissions 產生的廢氣排放。本集團竭盡全力將其 gene</t>
        </is>
      </c>
    </row>
    <row r="101">
      <c r="A101" s="8" t="inlineStr">
        <is>
          <t>ESG Data</t>
        </is>
      </c>
      <c r="B101" s="8" t="inlineStr">
        <is>
          <t>環境社會及管治數據</t>
        </is>
      </c>
      <c r="C101" s="8" t="inlineStr">
        <is>
          <t>medium</t>
        </is>
      </c>
      <c r="D101" s="11" t="inlineStr">
        <is>
          <t>greenhouse gas</t>
        </is>
      </c>
      <c r="E101" s="11" t="inlineStr">
        <is>
          <t>PDF p.83 (印刷頁 82)</t>
        </is>
      </c>
      <c r="F101" s="11" t="inlineStr">
        <is>
          <t>、社會及管治報告 STAKEHOLDERS’ FEEDBACK (CONTINUED) 持份者意見反饋（續） A. Environmental (Continued) A. 環境（續） 1. Emissions (Continued) 1. 排放物（續） (ii) Greenhouse Gas Emissions (Continued) (ii) 溫室氣體排放（續） The Group had previously set the target 本集團先前已設定目標於自二零二一╱ to achieve a 5% reduction in overall 二二年至二零三一╱三二年的10年內將 emissions intensity in 10 years from 總排放密度降低5%。此目標並非採用 2021/22, or by 2031/32. This target has 特定行業的脫碳方法（例如「基於科學目 not been derived using an industry-specific 標」倡議行業路徑或國際能源署的淨零情 decarbonisation methodology (such as the 境）所得出。相反地，此目標是基於</t>
        </is>
      </c>
    </row>
    <row r="102">
      <c r="A102" s="8" t="inlineStr">
        <is>
          <t>ESG Data</t>
        </is>
      </c>
      <c r="B102" s="8" t="inlineStr">
        <is>
          <t>環境社會及管治數據</t>
        </is>
      </c>
      <c r="C102" s="8" t="inlineStr">
        <is>
          <t>medium</t>
        </is>
      </c>
      <c r="D102" s="11" t="inlineStr">
        <is>
          <t>環境、社會及管治</t>
        </is>
      </c>
      <c r="E102" s="11" t="inlineStr">
        <is>
          <t>PDF p.84 (印刷頁 83)</t>
        </is>
      </c>
      <c r="F102" s="11" t="inlineStr">
        <is>
          <t>ENVIRONMENTAL, SOCIAL AND GOVERNANCE REPORT 環境、社會及管治報告 STAKEHOLDERS’ FEEDBACK (CONTINUED) 持份者意見反饋（續） A. Environmental (Continued) A. 環境（續） 1. Emissions (Continued) 1. 排放物（續） (iii) Waste (iii) 廢棄物 Hazardous Waste 有害廢棄物 The business operation of the Group 於報告期間，本集團業務營運產生89.25 generated 89.25 kg of hazardous waste 千克有害廢棄物，較上一報告期間減少 during the Reporting Period, which 98.68%。計算出的有害廢棄物產生密度 represents a 98.68% decrease from the 為0.01千克╱平方米及0.49千克╱</t>
        </is>
      </c>
    </row>
    <row r="103">
      <c r="A103" s="8" t="inlineStr">
        <is>
          <t>ESG Data</t>
        </is>
      </c>
      <c r="B103" s="8" t="inlineStr">
        <is>
          <t>環境社會及管治數據</t>
        </is>
      </c>
      <c r="C103" s="8" t="inlineStr">
        <is>
          <t>medium</t>
        </is>
      </c>
      <c r="D103" s="11" t="inlineStr">
        <is>
          <t>環境、社會及管治</t>
        </is>
      </c>
      <c r="E103" s="11" t="inlineStr">
        <is>
          <t>PDF p.85 (印刷頁 84)</t>
        </is>
      </c>
      <c r="F103" s="11" t="inlineStr">
        <is>
          <t>ENVIRONMENTAL, SOCIAL AND GOVERNANCE REPORT 環境、社會及管治報告 STAKEHOLDERS’ FEEDBACK (CONTINUED) 持份者意見反饋（續） A. Environmental (Continued) A. 環境（續） 1. Emissions (Continued) 1. 排放物（續） (iii) Waste (Continued) (iii) 廢棄物（續） Non-hazardous Waste 無害廢棄物 The Group’s waste was mainly generated 本集團的廢棄物主要於其建築工地及辦 from its construction sites and office, 公室產生，包括無害廢棄物種類，如建 including non-hazardous waste types 築廢棄物、餐廳的廚餘、辦公室的紙張 such as construction waste, food waste</t>
        </is>
      </c>
    </row>
    <row r="104">
      <c r="A104" s="8" t="inlineStr">
        <is>
          <t>ESG Data</t>
        </is>
      </c>
      <c r="B104" s="8" t="inlineStr">
        <is>
          <t>環境社會及管治數據</t>
        </is>
      </c>
      <c r="C104" s="8" t="inlineStr">
        <is>
          <t>medium</t>
        </is>
      </c>
      <c r="D104" s="11" t="inlineStr">
        <is>
          <t>環境、社會及管治</t>
        </is>
      </c>
      <c r="E104" s="11" t="inlineStr">
        <is>
          <t>PDF p.86 (印刷頁 85)</t>
        </is>
      </c>
      <c r="F104" s="11" t="inlineStr">
        <is>
          <t>ENVIRONMENTAL, SOCIAL AND GOVERNANCE REPORT 環境、社會及管治報告 STAKEHOLDERS’ FEEDBACK (CONTINUED) 持份者意見反饋（續） A. Environmental (Continued) A. 環境（續） 1. Emissions (Continued) 1. 排放物（續） (iii) Waste (Continued) (iii) 廢棄物（續） Non-hazardous Waste (Continued) 無害廢棄物（續） During the Last Reporting Period, the 於上一報告期間，本集團已設立目標， Group had set the target to achieve a 5% 自二零二二╱二三年起10年內（即二零三 reduction in hazardous waste generation 二╱三三年前）將有害廢棄物產生及無害 and non-hazardou</t>
        </is>
      </c>
    </row>
    <row r="105">
      <c r="A105" s="8" t="inlineStr">
        <is>
          <t>ESG Data</t>
        </is>
      </c>
      <c r="B105" s="8" t="inlineStr">
        <is>
          <t>環境社會及管治數據</t>
        </is>
      </c>
      <c r="C105" s="8" t="inlineStr">
        <is>
          <t>medium</t>
        </is>
      </c>
      <c r="D105" s="11" t="inlineStr">
        <is>
          <t>energy consumption</t>
        </is>
      </c>
      <c r="E105" s="11" t="inlineStr">
        <is>
          <t>PDF p.87 (印刷頁 86)</t>
        </is>
      </c>
      <c r="F105" s="11" t="inlineStr">
        <is>
          <t>EPORT 環境、社會及管治報告 STAKEHOLDERS’ FEEDBACK (CONTINUED) 持份者意見反饋（續） A. Environmental (Continued) A. 環境（續） 2. Use of Resources 2. 資源使用 (i) Energy Consumption (i) 能源消耗 The Group aims to minimise environmental 本集團在營運中識別及採納適當措施， impacts in its operations by identifying 竭力將其營運的環境影響減至最低，並 and adopting appropriate measures in its 通知所有承包商執行有關資源使用的政 operations. All contractors are notified to 策及措施。本集團定期回顧其能源目標 implement such policies and measures 與指標，尋求能源表現的持續改善。在 on resource utilisation. Regular review is 物業的設計與規劃階段，本集團優先使 conducted on its</t>
        </is>
      </c>
    </row>
    <row r="106">
      <c r="A106" s="8" t="inlineStr">
        <is>
          <t>ESG Data</t>
        </is>
      </c>
      <c r="B106" s="8" t="inlineStr">
        <is>
          <t>環境社會及管治數據</t>
        </is>
      </c>
      <c r="C106" s="8" t="inlineStr">
        <is>
          <t>medium</t>
        </is>
      </c>
      <c r="D106" s="11" t="inlineStr">
        <is>
          <t>energy consumption</t>
        </is>
      </c>
      <c r="E106" s="11" t="inlineStr">
        <is>
          <t>PDF p.88 (印刷頁 87)</t>
        </is>
      </c>
      <c r="F106" s="11" t="inlineStr">
        <is>
          <t>告 STAKEHOLDERS’ FEEDBACK (CONTINUED) 持份者意見反饋（續） A. Environmental (Continued) A. 環境（續） 2. Use of Resources (Continued) 2. 資源使用（續） (i) Energy Consumption (Continued) (i) 能源消耗（續） 2025/26 2024/25 2023/24 Consumption Consumption Consumption Direct/indirect energy sources (kWh) (kWh) (kWh) 二零二五╱二六年 二零二四╱二五年 二零二三╱二四年 直接╱間接能源來源 消耗量（千瓦時） 消耗量（千瓦時） 消耗量（千瓦時） Petrol 70,480.60 77,969.11 64,590.47 汽油 64,590.47 LPG 3,749.49 5,617.26 17,534.77 液化石油氣 17,534.77 Natural Gas 16,404.88 15,014.47 27,785.17 天然氣 27,785.17 Electricity 1,330,875.47 1,586</t>
        </is>
      </c>
    </row>
    <row r="107">
      <c r="A107" s="8" t="inlineStr">
        <is>
          <t>ESG Data</t>
        </is>
      </c>
      <c r="B107" s="8" t="inlineStr">
        <is>
          <t>環境社會及管治數據</t>
        </is>
      </c>
      <c r="C107" s="8" t="inlineStr">
        <is>
          <t>medium</t>
        </is>
      </c>
      <c r="D107" s="11" t="inlineStr">
        <is>
          <t>環境、社會及管治</t>
        </is>
      </c>
      <c r="E107" s="11" t="inlineStr">
        <is>
          <t>PDF p.89 (印刷頁 88)</t>
        </is>
      </c>
      <c r="F107" s="11" t="inlineStr">
        <is>
          <t>ENVIRONMENTAL, SOCIAL AND GOVERNANCE REPORT 環境、社會及管治報告 STAKEHOLDERS’ FEEDBACK (CONTINUED) 持份者意見反饋（續） A. Environmental (Continued) A. 環境（續） 2. Use of Resources (Continued) 2. 資源使用（續） (ii) Water Consumption (ii) 用水 Water consumption by the Group was 本集團的用水量為7,916.96立方米，較 7,916.96 m3, which represents a 30.09% 上一報告期間減少30.09%。計算出的用 decrease from the Last Reporting Period. 水密度為0.63立方米╱平方米及43.50 The water consumption intensity is 立方米╱僱員，分別較上一報告期間</t>
        </is>
      </c>
    </row>
    <row r="108">
      <c r="A108" s="8" t="inlineStr">
        <is>
          <t>ESG Data</t>
        </is>
      </c>
      <c r="B108" s="8" t="inlineStr">
        <is>
          <t>環境社會及管治數據</t>
        </is>
      </c>
      <c r="C108" s="8" t="inlineStr">
        <is>
          <t>medium</t>
        </is>
      </c>
      <c r="D108" s="11" t="inlineStr">
        <is>
          <t>環境、社會及管治</t>
        </is>
      </c>
      <c r="E108" s="11" t="inlineStr">
        <is>
          <t>PDF p.90 (印刷頁 89)</t>
        </is>
      </c>
      <c r="F108" s="11" t="inlineStr">
        <is>
          <t>ENVIRONMENTAL, SOCIAL AND GOVERNANCE REPORT 環境、社會及管治報告 STAKEHOLDERS’ FEEDBACK (CONTINUED) 持份者意見反饋（續） A. Environmental (Continued) A. 環境（續） 2. Use of Resources (Continued) 2. 資源使用（續） (iii) Packaging Material (iii) 包裝材料 The Group’s businesses did not involve 本集團的業務不涉及任何包裝材料的使 any use of packaging materials; hence no 用，因此本報告不呈報任何數據或資 data nor information is presented in this 料。 report. 3. The Environment and Natural Resources 3. 環境及天然資源 Signif</t>
        </is>
      </c>
    </row>
    <row r="109">
      <c r="A109" s="8" t="inlineStr">
        <is>
          <t>ESG Data</t>
        </is>
      </c>
      <c r="B109" s="8" t="inlineStr">
        <is>
          <t>環境社會及管治數據</t>
        </is>
      </c>
      <c r="C109" s="8" t="inlineStr">
        <is>
          <t>medium</t>
        </is>
      </c>
      <c r="D109" s="11" t="inlineStr">
        <is>
          <t>環境、社會及管治</t>
        </is>
      </c>
      <c r="E109" s="11" t="inlineStr">
        <is>
          <t>PDF p.91 (印刷頁 90)</t>
        </is>
      </c>
      <c r="F109" s="11" t="inlineStr">
        <is>
          <t>ENVIRONMENTAL, SOCIAL AND GOVERNANCE REPORT 環境、社會及管治報告 STAKEHOLDERS’ FEEDBACK (CONTINUED) 持份者意見反饋（續） A. Environmental (Continued) A. 環境（續） 4. Climate Change 4. 氣候變化 Climate change is now one of the major 氣候變化現已成為全球主要議題與挑戰之一， global issues and challenges, and the Group 而本集團深知氣候變遷的影響正與日俱增。隨 understands that the impact of climate change 著全球暖化加劇，本集團的業務將面對的風險 is increasing day by day. As global warming 正在日益增加，包括但不限於供應鏈中斷、自 intensifies, the Group</t>
        </is>
      </c>
    </row>
    <row r="110">
      <c r="A110" s="8" t="inlineStr">
        <is>
          <t>ESG Data</t>
        </is>
      </c>
      <c r="B110" s="8" t="inlineStr">
        <is>
          <t>環境社會及管治數據</t>
        </is>
      </c>
      <c r="C110" s="8" t="inlineStr">
        <is>
          <t>medium</t>
        </is>
      </c>
      <c r="D110" s="11" t="inlineStr">
        <is>
          <t>ESG</t>
        </is>
      </c>
      <c r="E110" s="11" t="inlineStr">
        <is>
          <t>PDF p.92 (印刷頁 91)</t>
        </is>
      </c>
      <c r="F110" s="11" t="inlineStr">
        <is>
          <t>overnance (i) 管治 The Board focuses on managing the risks 董事會專注於管理氣候變化所帶來的風 brought by climate change, integrating 險，將環境、社會及管治（包括氣候相關 ESG, including climate-related issues 議題）融入企業管治流程，提升董事會層 into the corporate governance process, 級的監督，並帶領管理層應對現有業務 improving board-level supervision, and 流程中的氣候風險及對本集團整體策略 leading the management to cope with 的影響。氣候相關風險管理已納入本集 the climate risk in the existing business 團的風險管理系統。董事會有責任監督 processes and the impact on the Group’s 其氣候相關風險管理是否有效，並在董 overall strategy. The climate-related risks 事會會議等風險管理流程中討</t>
        </is>
      </c>
    </row>
    <row r="111">
      <c r="A111" s="8" t="inlineStr">
        <is>
          <t>ESG Data</t>
        </is>
      </c>
      <c r="B111" s="8" t="inlineStr">
        <is>
          <t>環境社會及管治數據</t>
        </is>
      </c>
      <c r="C111" s="8" t="inlineStr">
        <is>
          <t>medium</t>
        </is>
      </c>
      <c r="D111" s="11" t="inlineStr">
        <is>
          <t>ESG</t>
        </is>
      </c>
      <c r="E111" s="11" t="inlineStr">
        <is>
          <t>PDF p.93 (印刷頁 92)</t>
        </is>
      </c>
      <c r="F111" s="11" t="inlineStr">
        <is>
          <t>roduce periodic 日後的環境、社會及管治報告中報告進 climate-related briefings or training for 展。 Board members, drawing on internal expertise from the ESG Task Force Team and, where appropriate, external advisers; and (iii) consider climate-related knowledge and experience as part of the Nomination Committee’s evaluation criteria for future Board appointments. The Group will report on progress in future ESG reports. 92 Sino Harbour Holdings Group Limited ANNUAL REPORT 2025/26</t>
        </is>
      </c>
    </row>
    <row r="112">
      <c r="A112" s="8" t="inlineStr">
        <is>
          <t>ESG Data</t>
        </is>
      </c>
      <c r="B112" s="8" t="inlineStr">
        <is>
          <t>環境社會及管治數據</t>
        </is>
      </c>
      <c r="C112" s="8" t="inlineStr">
        <is>
          <t>medium</t>
        </is>
      </c>
      <c r="D112" s="11" t="inlineStr">
        <is>
          <t>ESG</t>
        </is>
      </c>
      <c r="E112" s="11" t="inlineStr">
        <is>
          <t>PDF p.94 (印刷頁 93)</t>
        </is>
      </c>
      <c r="F112" s="11" t="inlineStr">
        <is>
          <t>climate considerations inform high-level strategic decision-making and overall business strategy. For further details of the Group’s ESG 有關本集團環境、社會及管治方面的進 governance, please refer to the section 一步詳情，請參閱「可持續發展目標與願 “Sustainability Mission and Vision”. 景」一節。 93 漢港控股集團有限公司 2025/26 年報</t>
        </is>
      </c>
    </row>
    <row r="113">
      <c r="A113" s="8" t="inlineStr">
        <is>
          <t>ESG Data</t>
        </is>
      </c>
      <c r="B113" s="8" t="inlineStr">
        <is>
          <t>環境社會及管治數據</t>
        </is>
      </c>
      <c r="C113" s="8" t="inlineStr">
        <is>
          <t>medium</t>
        </is>
      </c>
      <c r="D113" s="11" t="inlineStr">
        <is>
          <t>sustainability</t>
        </is>
      </c>
      <c r="E113" s="11" t="inlineStr">
        <is>
          <t>PDF p.95 (印刷頁 94)</t>
        </is>
      </c>
      <c r="F113" s="11" t="inlineStr">
        <is>
          <t>業務的 Group is well-equipped to handle the 長期可持續發展。 challenges posed by climate-related disruptions, thereby supporting the longterm sustainability of its operations. 94 Sino Harbour Holdings Group Limited ANNUAL REPORT 2025/26</t>
        </is>
      </c>
    </row>
    <row r="114">
      <c r="A114" s="8" t="inlineStr">
        <is>
          <t>ESG Data</t>
        </is>
      </c>
      <c r="B114" s="8" t="inlineStr">
        <is>
          <t>環境社會及管治數據</t>
        </is>
      </c>
      <c r="C114" s="8" t="inlineStr">
        <is>
          <t>medium</t>
        </is>
      </c>
      <c r="D114" s="11" t="inlineStr">
        <is>
          <t>環境、社會及管治</t>
        </is>
      </c>
      <c r="E114" s="11" t="inlineStr">
        <is>
          <t>PDF p.96 (印刷頁 95)</t>
        </is>
      </c>
      <c r="F114" s="11" t="inlineStr">
        <is>
          <t>ENVIRONMENTAL, SOCIAL AND GOVERNANCE REPORT 環境、社會及管治報告 STAKEHOLDERS’ FEEDBACK (CONTINUED) 持份者意見反饋（續） A. Environmental (Continued) A. 環境（續） 4. Climate Change (Continued) 4. 氣候變化（續） (ii) Strategy (Continued) (ii) 策略（續） Time Potential Impact on Climate Risks Horizon Likelihood Severity Potential Impact on Business Value Chain 氣候風險 時間範圍 可能性 嚴重程度 對業務的潛在影響 對價值鏈的潛在影響 Acute Short term High Medium Extreme weather events such as Disruption of the sup</t>
        </is>
      </c>
    </row>
    <row r="115">
      <c r="A115" s="8" t="inlineStr">
        <is>
          <t>ESG Data</t>
        </is>
      </c>
      <c r="B115" s="8" t="inlineStr">
        <is>
          <t>環境社會及管治數據</t>
        </is>
      </c>
      <c r="C115" s="8" t="inlineStr">
        <is>
          <t>medium</t>
        </is>
      </c>
      <c r="D115" s="11" t="inlineStr">
        <is>
          <t>carbon</t>
        </is>
      </c>
      <c r="E115" s="11" t="inlineStr">
        <is>
          <t>PDF p.97 (印刷頁 96)</t>
        </is>
      </c>
      <c r="F115" s="11" t="inlineStr">
        <is>
          <t>more stringent require suppliers and business climate disclosure requirements, partners to enhance their own and the introduction of carbon compliance measures, potentially pricing systems are expected to increasing the cost of raw raise operating costs. materials and contracted services. 政策及法律 中至長期 低 低至中 實施更嚴格的環境法律、更嚴謹 更嚴格的監管標準可能要求供應 的氣候披露要求，以及推出碳定 商和商業夥伴加強其自身合規措 價體系，預期將提升營運成本。 施，可能導致原材料及外包服務 的成本上升。 Market Long term Low High During the transitional period, the Changing customer and consumer Group might face a decrease in behav</t>
        </is>
      </c>
    </row>
    <row r="116">
      <c r="A116" s="8" t="inlineStr">
        <is>
          <t>R&amp;D Expenditure</t>
        </is>
      </c>
      <c r="B116" s="8" t="inlineStr">
        <is>
          <t>研發開支</t>
        </is>
      </c>
      <c r="C116" s="8" t="inlineStr">
        <is>
          <t>medium</t>
        </is>
      </c>
      <c r="D116" s="11" t="inlineStr">
        <is>
          <t>研發</t>
        </is>
      </c>
      <c r="E116" s="11" t="inlineStr">
        <is>
          <t>PDF p.3 (印刷頁 2)</t>
        </is>
      </c>
      <c r="F116" s="11" t="inlineStr">
        <is>
          <t>bed to it under the Listing Rules 「緊密聯繫人」 指 具有上市規則所賦予的涵義 “CMC” an important section in drug development process 「化學、生產和控制」或「CMC」 指 藥物研發流程中的一個重要部分 “Company” or “Sino Harbour” Sino Harbour Holdings Group Limited, a company incorporated in Bermuda with limited liability, the issued Shares of which are listed and traded on the main board of the Stock Exchange (Stock code: 1663) 「本公司」或「漢港控股」 指 漢港控股集團有限公司，一間於百慕達註冊成立之有限公司，其已發 行股份於聯交所主板上市及交易（股份代號：1663） 2 Sino Harbour Holdings Group Limited ANNUAL REPORT 2025/26</t>
        </is>
      </c>
    </row>
    <row r="117">
      <c r="A117" s="8" t="inlineStr">
        <is>
          <t>R&amp;D Expenditure</t>
        </is>
      </c>
      <c r="B117" s="8" t="inlineStr">
        <is>
          <t>研發開支</t>
        </is>
      </c>
      <c r="C117" s="8" t="inlineStr">
        <is>
          <t>medium</t>
        </is>
      </c>
      <c r="D117" s="11" t="inlineStr">
        <is>
          <t>研發</t>
        </is>
      </c>
      <c r="E117" s="11" t="inlineStr">
        <is>
          <t>PDF p.12 (印刷頁 11)</t>
        </is>
      </c>
      <c r="F117" s="11" t="inlineStr">
        <is>
          <t>f Sino Harbour • Guanlan (漢港 • 觀 瀾) Phase 2 in Yichun, the PRC. Chemistry, Manufacturing and Control (“CMC”) is an 化學、生產和控制（「CMC」）是藥物研發流程中的一個重要 important section in drug development process. Revenue 部分。二零二六財年和二零二五財年CMC相關服務收入主 from CMC related services in FY2026 and FY2025 mainly 要包括向製藥企業提供包括小分子化藥的質量研究、質量 included small molecule chemical drugs quality research 控制、合成工藝及制劑工藝的研發服務。 and control, synthesis process R&amp;D and preparation R&amp;D services provided to pharmaceutical companies. Dental service income in FY2026 mainly included ge</t>
        </is>
      </c>
    </row>
    <row r="118">
      <c r="A118" s="8" t="inlineStr">
        <is>
          <t>R&amp;D Expenditure</t>
        </is>
      </c>
      <c r="B118" s="8" t="inlineStr">
        <is>
          <t>研發開支</t>
        </is>
      </c>
      <c r="C118" s="8" t="inlineStr">
        <is>
          <t>medium</t>
        </is>
      </c>
      <c r="D118" s="11" t="inlineStr">
        <is>
          <t>開發成本</t>
        </is>
      </c>
      <c r="E118" s="11" t="inlineStr">
        <is>
          <t>PDF p.180 (印刷頁 179)</t>
        </is>
      </c>
      <c r="F118" s="11" t="inlineStr">
        <is>
          <t>average method. Net realisable value is determined by 可變現淨值由專業估值師基於剩餘法將項目的 professional valuer is based on residual method 預計完成價值減所有開發成本而釐定。 by taking the projected completed value of the project and subtracting all development costs. Properties held under development are classified 開發中物業分類為流動資產，惟相關物業開發 as current assets unless the construction period 項目之興建期間預計超出正常經營週期完成者 of the relevant property development project is 除外。 expected to complete beyond normal operating cycle. 179 漢港控股集團有限公司 2025/26 年報</t>
        </is>
      </c>
    </row>
    <row r="119">
      <c r="A119" s="8" t="inlineStr">
        <is>
          <t>R&amp;D Expenditure</t>
        </is>
      </c>
      <c r="B119" s="8" t="inlineStr">
        <is>
          <t>研發開支</t>
        </is>
      </c>
      <c r="C119" s="8" t="inlineStr">
        <is>
          <t>medium</t>
        </is>
      </c>
      <c r="D119" s="11" t="inlineStr">
        <is>
          <t>開發成本</t>
        </is>
      </c>
      <c r="E119" s="11" t="inlineStr">
        <is>
          <t>PDF p.181 (印刷頁 180)</t>
        </is>
      </c>
      <c r="F119" s="11" t="inlineStr">
        <is>
          <t>.11 待售物業 In case of completed properties developed by 倘為本集團完成開發之物業，成本乃透過攤分 the Group, cost is determined by apportionment 未售物業應佔開發項目之開發成本總額而釐 of the total development costs for that 定。 development project, attributable to the unsold properties. Properties held for sale are stated at the lower 待售物業按成本與可變現淨值之較低者列賬。 of cost and net realisable value. Net realisable 可變現淨值為日常業務過程中之估計售價減估 value is the estimated selling price in the 計銷售開支。 ordinary course of business less estimated selling expenses. 3.12 Accounting for income taxes 3.1</t>
        </is>
      </c>
    </row>
    <row r="120">
      <c r="A120" s="8" t="inlineStr">
        <is>
          <t>R&amp;D Expenditure</t>
        </is>
      </c>
      <c r="B120" s="8" t="inlineStr">
        <is>
          <t>研發開支</t>
        </is>
      </c>
      <c r="C120" s="8" t="inlineStr">
        <is>
          <t>medium</t>
        </is>
      </c>
      <c r="D120" s="11" t="inlineStr">
        <is>
          <t>開發成本</t>
        </is>
      </c>
      <c r="E120" s="11" t="inlineStr">
        <is>
          <t>PDF p.190 (印刷頁 189)</t>
        </is>
      </c>
      <c r="F120" s="11" t="inlineStr">
        <is>
          <t>cent sale transactions of the properties or similar 業估值師基於剩餘法將項目的預計完成價值減所有 properties within the vicinity. While for properties held 開發成本而釐定。 under development, through the professional valuer, net realisable value is determined based on residual method, by taking the projected completed value of the project and subtracting all development costs. For properties held for sale, these estimates require 就待售物業而言，此等估算須參考附近地點之近期 judgement as to the anticipated sale prices by 銷售交易、新物業銷售率、推廣費用、法律及監管 reference to recent sales transaction</t>
        </is>
      </c>
    </row>
    <row r="121">
      <c r="A121" s="8" t="inlineStr">
        <is>
          <t>Segment Information</t>
        </is>
      </c>
      <c r="B121" s="8" t="inlineStr">
        <is>
          <t>分部資料</t>
        </is>
      </c>
      <c r="C121" s="8" t="inlineStr">
        <is>
          <t>medium</t>
        </is>
      </c>
      <c r="D121" s="11" t="inlineStr">
        <is>
          <t>geographical</t>
        </is>
      </c>
      <c r="E121" s="11" t="inlineStr">
        <is>
          <t>PDF p.79 (印刷頁 78)</t>
        </is>
      </c>
      <c r="F121" s="11" t="inlineStr">
        <is>
          <t>(Continued) 1. 排放物（續） (ii) Greenhouse Gas Emissions (Continued) (ii) 溫室氣體排放（續） 3. A p p l y C r e d i b l e a n d 3. 採用可信且與地理位置相關的數據 Geographically Relevant Data 來源：如無法取得香港交易所公布 Sources: Where HKEX-published 的排放因子，本集團將採用其主要 factors are unavailable, the Group 營運地區（中國內地）的權威資料來 uses authoritative sources specific 源。該等來源包括中華人民共和國 to its primary region of operation 生態環境部（其中提供自中國國家電 (Mainland China). These sources 網購電的排放因子）、有關全球暖 include the Ministry of Ecology 化潛在數值來自的政府間氣候變化 and Environment of the People’s 專門委員會，以及有關商務航空差 Republic</t>
        </is>
      </c>
    </row>
    <row r="122">
      <c r="A122" s="8" t="inlineStr">
        <is>
          <t>Segment Information</t>
        </is>
      </c>
      <c r="B122" s="8" t="inlineStr">
        <is>
          <t>分部資料</t>
        </is>
      </c>
      <c r="C122" s="8" t="inlineStr">
        <is>
          <t>medium</t>
        </is>
      </c>
      <c r="D122" s="11" t="inlineStr">
        <is>
          <t>geographical</t>
        </is>
      </c>
      <c r="E122" s="11" t="inlineStr">
        <is>
          <t>PDF p.112 (印刷頁 111)</t>
        </is>
      </c>
      <c r="F122" s="11" t="inlineStr">
        <is>
          <t>營運位於中國內地。本集團目前並未就 operations in Mainland China. The Group 氣候相關風險、機遇或財務影響提供獨 does not currently provide a separate 立的地域分項資料。若日後出現重大地 geographical breakdown of climate related 域差異，本集團將作出相應披露。 risks, opportunities, or financial impacts. Should material geographic variations arise in the future, the Group will disclose them accordingly. The Group has also included carbon 本集團亦已將減少碳足跡列為其長期目 footprint reduction as one of its long- 標之一，並已承諾減少其營運及其供 term goals, and has pledged to reduce 應鏈的溫室氣體排放。為達成此目標， greenhouse gas emissions of its</t>
        </is>
      </c>
    </row>
    <row r="123">
      <c r="A123" s="8" t="inlineStr">
        <is>
          <t>Segment Information</t>
        </is>
      </c>
      <c r="B123" s="8" t="inlineStr">
        <is>
          <t>分部資料</t>
        </is>
      </c>
      <c r="C123" s="8" t="inlineStr">
        <is>
          <t>medium</t>
        </is>
      </c>
      <c r="D123" s="11" t="inlineStr">
        <is>
          <t>geographical</t>
        </is>
      </c>
      <c r="E123" s="11" t="inlineStr">
        <is>
          <t>PDF p.114 (印刷頁 113)</t>
        </is>
      </c>
      <c r="F123" s="11" t="inlineStr">
        <is>
          <t>46-55 25 13.74% 26 9.70% 56 or above 16 8.79% 12 4.48% 56或以上 Gender 性別 Male 63 34.62% 109 40.67% 男性 Female 119 65.38% 159 59.33% 女性 Geographical Region 地區 Mainland China 174 95.60% 264 98.51% 中國內地 Hong Kong 8 4.40% 4 1.49% 香港 113 漢港控股集團有限公司 2025/26 年報</t>
        </is>
      </c>
    </row>
    <row r="124">
      <c r="A124" s="8" t="inlineStr">
        <is>
          <t>Segment Information</t>
        </is>
      </c>
      <c r="B124" s="8" t="inlineStr">
        <is>
          <t>分部資料</t>
        </is>
      </c>
      <c r="C124" s="8" t="inlineStr">
        <is>
          <t>medium</t>
        </is>
      </c>
      <c r="D124" s="11" t="inlineStr">
        <is>
          <t>geographical</t>
        </is>
      </c>
      <c r="E124" s="11" t="inlineStr">
        <is>
          <t>PDF p.117 (印刷頁 116)</t>
        </is>
      </c>
      <c r="F124" s="11" t="inlineStr">
        <is>
          <t>.57% 46-55 11 44.00% 10 3.73% 56 or above 4 25.00% 6 2.24% 56或以上 Gender 性別 Male 38 60.32% 56 20.90% 男性 Female 77 64.71% 87 32.46% 女性 Geographical Region 地區 Mainland China 115 66.09% 143 54.17% 中國內地 Hong Kong 0 0.00% 0 0.00% 香港 Overall 115 63.19% 143 53.36% 整體 116 Sino Harbour Holdings Group Limited ANNUAL REPORT 2025/26</t>
        </is>
      </c>
    </row>
    <row r="125">
      <c r="A125" s="8" t="inlineStr">
        <is>
          <t>Segment Information</t>
        </is>
      </c>
      <c r="B125" s="8" t="inlineStr">
        <is>
          <t>分部資料</t>
        </is>
      </c>
      <c r="C125" s="8" t="inlineStr">
        <is>
          <t>medium</t>
        </is>
      </c>
      <c r="D125" s="11" t="inlineStr">
        <is>
          <t>geographical</t>
        </is>
      </c>
      <c r="E125" s="11" t="inlineStr">
        <is>
          <t>PDF p.128 (印刷頁 127)</t>
        </is>
      </c>
      <c r="F125" s="11" t="inlineStr">
        <is>
          <t>等機會、多元 113 化、反歧視以及其他待遇及福利的：(a)政策；及(b)遵守對發行人有重 大影響的相關法律及規例的資料。 KPI B1.1 Total workforce by gender, employment type, age group and 113 geographical region. 關鍵績效指標B1.1 按性別、僱傭類型、年齡組別及地區劃分的僱員總數。 113 KPI B1.2 Employee turnover rate by gender, age group and geographical region. 116 關鍵績效指標B1.2 按性別、年齡組別及地區劃分的僱員流失比率。 116 127 漢港控股集團有限公司 2025/26 年報</t>
        </is>
      </c>
    </row>
    <row r="126">
      <c r="A126" s="8" t="inlineStr">
        <is>
          <t>Segment Information</t>
        </is>
      </c>
      <c r="B126" s="8" t="inlineStr">
        <is>
          <t>分部資料</t>
        </is>
      </c>
      <c r="C126" s="8" t="inlineStr">
        <is>
          <t>medium</t>
        </is>
      </c>
      <c r="D126" s="11" t="inlineStr">
        <is>
          <t>geographical</t>
        </is>
      </c>
      <c r="E126" s="11" t="inlineStr">
        <is>
          <t>PDF p.130 (印刷頁 129)</t>
        </is>
      </c>
      <c r="F126" s="11" t="inlineStr">
        <is>
          <t>licies on managing environmental and social risks of the supply 121 chain. 一般披露 管理供應鏈的環境及社會風險政策。 121 KPI B5.1 Number of suppliers by geographical region. 121 關鍵績效指標B5.1 按地區劃分的供應商數目。 121 KPI B5.2 Description of practices relating to engaging supplies, number of 121 supplies where the practices are being implemented, how they are implemented and monitored. 關鍵績效指標B5.2 描述有關聘用供應商的慣例，向其執行有關慣例的供應商數目、以及 121 有關慣例的執行及監察方法。 KPI B5.3 Description of practices used to identify environmental and social risks 121 along the supply chain, and ho</t>
        </is>
      </c>
    </row>
    <row r="127">
      <c r="A127" s="8" t="inlineStr">
        <is>
          <t>Segment Information</t>
        </is>
      </c>
      <c r="B127" s="8" t="inlineStr">
        <is>
          <t>分部資料</t>
        </is>
      </c>
      <c r="C127" s="8" t="inlineStr">
        <is>
          <t>medium</t>
        </is>
      </c>
      <c r="D127" s="11" t="inlineStr">
        <is>
          <t>segment information</t>
        </is>
      </c>
      <c r="E127" s="11" t="inlineStr">
        <is>
          <t>PDF p.188 (印刷頁 187)</t>
        </is>
      </c>
      <c r="F127" s="11" t="inlineStr">
        <is>
          <t>r domestic partner. 之受養人。 3.18 Segment reporting 3.18 分部報告 The Group identifies operating segments and 本集團根據向執行董事呈報以供彼等決定如何 prepares segment information based on the 將資源分配至本集團業務分部並檢討該等分部 regular internal financial information reported 表現之定期內部財務資料，識別營運分部及編 to the executive directors for their decisions 製分部資料。 about resources allocation to the Group’s business components and for their review of the performance of those components. Individually material operating segments are 就財務報告目的而言，除非有關分部具備類似 not aggregated for financial repor</t>
        </is>
      </c>
    </row>
    <row r="128">
      <c r="A128" s="8" t="inlineStr">
        <is>
          <t>Segment Information</t>
        </is>
      </c>
      <c r="B128" s="8" t="inlineStr">
        <is>
          <t>分部資料</t>
        </is>
      </c>
      <c r="C128" s="8" t="inlineStr">
        <is>
          <t>medium</t>
        </is>
      </c>
      <c r="D128" s="11" t="inlineStr">
        <is>
          <t>segment information</t>
        </is>
      </c>
      <c r="E128" s="11" t="inlineStr">
        <is>
          <t>PDF p.193 (印刷頁 192)</t>
        </is>
      </c>
      <c r="F128" s="11" t="inlineStr">
        <is>
          <t>NOTES TO THE CONSOLIDATED FINANCIAL STATEMENTS 綜合財務報表附註 For the year ended 31 March 2026 截至二零二六年三月三十一日止年度 5. SEGMENT INFORMATION 5. 分部資料 An operating segment is a component of the Group 營運分部是從事本集團可從中賺取收入及產生費用 that is engaged in business activities from which the 之商業活動之本集團組成部分，本集團根據提供予 Group may earn revenue and incur expenses, and 執行董事並由彼等定期審閱以進行資源分配及分部 is identified on the basis of the internal management 表現評估之內部管理呈報資料確定營運分部。就所 reporting information that is provided to and regularly 呈列年度而言，執行董事從業務角度考慮分部</t>
        </is>
      </c>
    </row>
    <row r="129">
      <c r="A129" s="8" t="inlineStr">
        <is>
          <t>Segment Information</t>
        </is>
      </c>
      <c r="B129" s="8" t="inlineStr">
        <is>
          <t>分部資料</t>
        </is>
      </c>
      <c r="C129" s="8" t="inlineStr">
        <is>
          <t>medium</t>
        </is>
      </c>
      <c r="D129" s="11" t="inlineStr">
        <is>
          <t>segment information</t>
        </is>
      </c>
      <c r="E129" s="11" t="inlineStr">
        <is>
          <t>PDF p.194 (印刷頁 193)</t>
        </is>
      </c>
      <c r="F129" s="11" t="inlineStr">
        <is>
          <t>NOTES TO THE CONSOLIDATED FINANCIAL STATEMENTS 綜合財務報表附註 For the year ended 31 March 2026 截至二零二六年三月三十一日止年度 5. SEGMENT INFORMATION (CONTINUED) 5. 分部資料（續） Property Development Others Total 物業開發 其他 合計 RMB’000 RMB’000 RMB’000 人民幣千元 人民幣千元 人民幣千元 At 31 March 2026 於二零二六年 三月三十一日 Segment assets 分部資產 3,138,537 45,214 3,183,751 Other corporate assets 其他企業資產 960 Total assets 總資產 3,184,711 Segment liabilities 分部負債 (1,364,209) (9,029) (1,373,238) Other corporate liabilities 其他企業負債 (63) Total liabilities 總負債 (1,373,301)</t>
        </is>
      </c>
    </row>
    <row r="130">
      <c r="A130" s="8" t="inlineStr">
        <is>
          <t>Segment Information</t>
        </is>
      </c>
      <c r="B130" s="8" t="inlineStr">
        <is>
          <t>分部資料</t>
        </is>
      </c>
      <c r="C130" s="8" t="inlineStr">
        <is>
          <t>medium</t>
        </is>
      </c>
      <c r="D130" s="11" t="inlineStr">
        <is>
          <t>segment information</t>
        </is>
      </c>
      <c r="E130" s="11" t="inlineStr">
        <is>
          <t>PDF p.195 (印刷頁 194)</t>
        </is>
      </c>
      <c r="F130" s="11" t="inlineStr">
        <is>
          <t>NOTES TO THE CONSOLIDATED FINANCIAL STATEMENTS 綜合財務報表附註 For the year ended 31 March 2026 截至二零二六年三月三十一日止年度 5. SEGMENT INFORMATION (CONTINUED) 5. 分部資料（續） Property Development Others Total 物業開發 其他 合計 RMB’000 RMB’000 RMB’000 人民幣千元 人民幣千元 人民幣千元 Year ended 31 March 2025 截至二零二五年 三月三十一日止年度 Segment revenue 分部收入 514,674 11,293 525,967 Revenue from external 來自外部客戶之收入 customer 514,674 11,293 525,967 Segment profit/(loss) 分部溢利╱（虧損） 112,445 (27,985) 84,460 Less: 減： Unallocated expense* 未分配費用* (8,535) Profit before inco</t>
        </is>
      </c>
    </row>
    <row r="131">
      <c r="A131" s="8" t="inlineStr">
        <is>
          <t>Segment Information</t>
        </is>
      </c>
      <c r="B131" s="8" t="inlineStr">
        <is>
          <t>分部資料</t>
        </is>
      </c>
      <c r="C131" s="8" t="inlineStr">
        <is>
          <t>medium</t>
        </is>
      </c>
      <c r="D131" s="11" t="inlineStr">
        <is>
          <t>segment information</t>
        </is>
      </c>
      <c r="E131" s="11" t="inlineStr">
        <is>
          <t>PDF p.196 (印刷頁 195)</t>
        </is>
      </c>
      <c r="F131" s="11" t="inlineStr">
        <is>
          <t>NOTES TO THE CONSOLIDATED FINANCIAL STATEMENTS 綜合財務報表附註 For the year ended 31 March 2026 截至二零二六年三月三十一日止年度 5. SEGMENT INFORMATION (CONTINUED) 5. 分部資料（續） Property Development Others Total 物業開發 其他 合計 RMB’000 RMB’000 RMB’000 人民幣千元 人民幣千元 人民幣千元 Other segment information: 其他分部資料： Year ended 31 March 2025 截至二零二五年 三月三十一日止年度 Depreciation of property, plant and 物業、廠房及設備折舊 equipment (9,332) (8,534) (17,866) Depreciation of right-of-use assets 使用權資產折舊 – (3,743) (3,743) Reversal of loss allowance 已付按金及其他應收款項 of deposi</t>
        </is>
      </c>
    </row>
    <row r="132">
      <c r="A132" s="8" t="inlineStr">
        <is>
          <t>Related Party Transactions</t>
        </is>
      </c>
      <c r="B132" s="8" t="inlineStr">
        <is>
          <t>關聯方交易</t>
        </is>
      </c>
      <c r="C132" s="8" t="inlineStr">
        <is>
          <t>low</t>
        </is>
      </c>
      <c r="D132" s="11" t="inlineStr">
        <is>
          <t>related party</t>
        </is>
      </c>
      <c r="E132" s="11" t="inlineStr">
        <is>
          <t>PDF p.35 (印刷頁 34)</t>
        </is>
      </c>
      <c r="F132" s="11" t="inlineStr">
        <is>
          <t>DIRECTORS’ REPORT 董事會報告 CONNECTED TRANSACTIONS 關連交易 The related party transactions of car park rental agreement 綜合財務報表附註31所披露之停車場租賃協議及辦公室 and office rental agreement as disclosed in note 31 to 租賃協議之關連方交易亦符合上市規則第14A章所界定之 the Consolidated Financial Statements also fell under the 「持續關連交易」。由於該等持續關連交易涉及的年度總額 definition of “continuing connected transactions” in Chapter 少於3,000,000港元，該等持續關連交易符合上市規則第 14A of the Listing Rules. As the aggregate annual amount 14A</t>
        </is>
      </c>
    </row>
    <row r="133">
      <c r="A133" s="8" t="inlineStr">
        <is>
          <t>Related Party Transactions</t>
        </is>
      </c>
      <c r="B133" s="8" t="inlineStr">
        <is>
          <t>關聯方交易</t>
        </is>
      </c>
      <c r="C133" s="8" t="inlineStr">
        <is>
          <t>low</t>
        </is>
      </c>
      <c r="D133" s="11" t="inlineStr">
        <is>
          <t>related party</t>
        </is>
      </c>
      <c r="E133" s="11" t="inlineStr">
        <is>
          <t>PDF p.239 (印刷頁 238)</t>
        </is>
      </c>
      <c r="F133" s="11" t="inlineStr">
        <is>
          <t>disposal: 出售產生之現金流入淨額： RMB’000 人民幣千元 Cash consideration 現金代價 8,560 Cash and cash equivalents disposed of 已出售現金及現金等價物 (982) 7,578 31. RELATED PARTY TRANSACTIONS 31. 關連方交易 In addition to the transactions and balances disclosed 除該等綜合財務報表其他部分所披露之交易及結餘 elsewhere in these consolidated financial statements, 外，本集團已進行以下重大關連方交易： the Group had the following material related party transactions: Group 本集團 2026 2025 二零二六年 二零二五年 Notes RMB’000 RMB’000 附註 人民幣千元 人民幣千元 Car park expense charged by 下列人士收取之停車場收費 (a) – Spouse of Mr. Wong – 汪先生之配偶 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22" topLeftCell="A2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Balance Sheet</t>
        </is>
      </c>
      <c r="B8" s="8" t="inlineStr">
        <is>
          <t>Total Assets</t>
        </is>
      </c>
    </row>
    <row r="9">
      <c r="A9" s="8" t="inlineStr">
        <is>
          <t>Balance Sheet</t>
        </is>
      </c>
      <c r="B9" s="8" t="inlineStr">
        <is>
          <t>Cash and Equivalents</t>
        </is>
      </c>
    </row>
    <row r="10">
      <c r="A10" s="8" t="inlineStr">
        <is>
          <t>Balance Sheet</t>
        </is>
      </c>
      <c r="B10" s="8" t="inlineStr">
        <is>
          <t>Inventories</t>
        </is>
      </c>
    </row>
    <row r="11">
      <c r="A11" s="8" t="inlineStr">
        <is>
          <t>Balance Sheet</t>
        </is>
      </c>
      <c r="B11" s="8" t="inlineStr">
        <is>
          <t>Trade Receivables</t>
        </is>
      </c>
    </row>
    <row r="12">
      <c r="A12" s="8" t="inlineStr">
        <is>
          <t>Balance Sheet</t>
        </is>
      </c>
      <c r="B12" s="8" t="inlineStr">
        <is>
          <t>Goodwill</t>
        </is>
      </c>
    </row>
    <row r="13">
      <c r="A13" s="8" t="inlineStr">
        <is>
          <t>Balance Sheet</t>
        </is>
      </c>
      <c r="B13" s="8" t="inlineStr">
        <is>
          <t>Intangible Assets</t>
        </is>
      </c>
    </row>
    <row r="14">
      <c r="A14" s="8" t="inlineStr">
        <is>
          <t>Balance Sheet</t>
        </is>
      </c>
      <c r="B14" s="8" t="inlineStr">
        <is>
          <t>Total Liabilities</t>
        </is>
      </c>
    </row>
    <row r="15">
      <c r="A15" s="8" t="inlineStr">
        <is>
          <t>Balance Sheet</t>
        </is>
      </c>
      <c r="B15" s="8" t="inlineStr">
        <is>
          <t>Borrowings</t>
        </is>
      </c>
    </row>
    <row r="16">
      <c r="A16" s="8" t="inlineStr">
        <is>
          <t>Cash Flow</t>
        </is>
      </c>
      <c r="B16" s="8" t="inlineStr">
        <is>
          <t>Operating Cash Flow</t>
        </is>
      </c>
    </row>
    <row r="19">
      <c r="A19" s="5" t="inlineStr">
        <is>
          <t>二、文字量過低的頁面(疑似掃描頁)</t>
        </is>
      </c>
    </row>
    <row r="20">
      <c r="A20" s="2" t="inlineStr">
        <is>
          <t>這些頁面幾乎抓不到文字,通常是掃描件或純圖表,建議人手翻閱或另行 OCR。</t>
        </is>
      </c>
    </row>
    <row r="22">
      <c r="A22" s="7" t="inlineStr">
        <is>
          <t>PDF 頁碼</t>
        </is>
      </c>
      <c r="B22" s="7" t="inlineStr">
        <is>
          <t>狀態</t>
        </is>
      </c>
    </row>
    <row r="23">
      <c r="A23" s="8" t="n">
        <v>1</v>
      </c>
      <c r="B23" s="8" t="inlineStr">
        <is>
          <t>文字量過低 — 可能為掃描頁/圖表頁</t>
        </is>
      </c>
    </row>
    <row r="24">
      <c r="A24" s="8" t="n">
        <v>262</v>
      </c>
      <c r="B2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2026-08-30T14:15:29Z</dcterms:created>
  <dcterms:modified xsi:type="dcterms:W3CDTF">2026-08-30T14:15:29Z</dcterms:modified>
</cp:coreProperties>
</file>
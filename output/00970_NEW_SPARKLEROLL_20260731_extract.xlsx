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5">
    <fill>
      <patternFill/>
    </fill>
    <fill>
      <patternFill patternType="gray125"/>
    </fill>
    <fill>
      <patternFill patternType="solid">
        <fgColor rgb="001F4E5F"/>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f>
            </numRef>
          </cat>
          <val>
            <numRef>
              <f>'Chart 趨勢圖'!$B$5</f>
            </numRef>
          </val>
        </ser>
        <ser>
          <idx val="1"/>
          <order val="1"/>
          <tx>
            <strRef>
              <f>'Chart 趨勢圖'!C4</f>
            </strRef>
          </tx>
          <spPr>
            <a:ln>
              <a:prstDash val="solid"/>
            </a:ln>
          </spPr>
          <cat>
            <numRef>
              <f>'Chart 趨勢圖'!$A$5</f>
            </numRef>
          </cat>
          <val>
            <numRef>
              <f>'Chart 趨勢圖'!$C$5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00970_NEW_SPARKLEROLL_20260731.pdf</t>
        </is>
      </c>
    </row>
    <row r="5">
      <c r="A5" s="3" t="inlineStr">
        <is>
          <t>產生時間 Generated</t>
        </is>
      </c>
      <c r="B5" s="4" t="inlineStr">
        <is>
          <t>2026-08-30 22:17</t>
        </is>
      </c>
    </row>
    <row r="6">
      <c r="A6" s="4" t="inlineStr"/>
      <c r="B6" s="4" t="inlineStr"/>
    </row>
    <row r="7">
      <c r="A7" s="3" t="inlineStr">
        <is>
          <t>總頁數 Total pages</t>
        </is>
      </c>
      <c r="B7" s="4" t="n">
        <v>290</v>
      </c>
    </row>
    <row r="8">
      <c r="A8" s="3" t="inlineStr">
        <is>
          <t>已擷取字元 Characters extracted</t>
        </is>
      </c>
      <c r="B8" s="4" t="n">
        <v>550554</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27</v>
      </c>
    </row>
    <row r="13">
      <c r="A13" s="3" t="inlineStr">
        <is>
          <t>財務科目擷取筆數 Financial line items</t>
        </is>
      </c>
      <c r="B13" s="4" t="n">
        <v>10</v>
      </c>
    </row>
    <row r="14">
      <c r="A14" s="3" t="inlineStr">
        <is>
          <t>主題段落擷取筆數 Topic extracts</t>
        </is>
      </c>
      <c r="B14" s="4" t="n">
        <v>178</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578,730 − 590,109 = -11,379</t>
        </is>
      </c>
    </row>
    <row r="20">
      <c r="A20" s="6" t="inlineStr">
        <is>
          <t>✓ 三大報表應相鄰</t>
        </is>
      </c>
      <c r="B20" s="4" t="inlineStr">
        <is>
          <t>Balance Sheet: p.155、Cash Flow: p.157(相距 2 頁)</t>
        </is>
      </c>
    </row>
    <row r="22">
      <c r="A22" s="5" t="inlineStr">
        <is>
          <t>方法論 Methodology</t>
        </is>
      </c>
    </row>
    <row r="23">
      <c r="A23" s="4" t="inlineStr">
        <is>
          <t>1. 逐頁擷取文字,全程保留 PDF 頁碼與年報印刷頁碼(可追溯性)。</t>
        </is>
      </c>
    </row>
    <row r="24">
      <c r="A24" s="4" t="inlineStr">
        <is>
          <t>2. 規則層(正則/關鍵字)先把全份文件縮減為少數相關頁面 —— 解決「文件太大」。</t>
        </is>
      </c>
    </row>
    <row r="25">
      <c r="A25" s="4" t="inlineStr">
        <is>
          <t>3. 數字由正則精確擷取並做合理性檢查,不由語言模型生成 —— 解決「準確度」。</t>
        </is>
      </c>
    </row>
    <row r="26">
      <c r="A26" s="4" t="inlineStr">
        <is>
          <t>4. AI 僅在縮減後的頁面上做語意判斷,且輸出頁碼須通過驗證才保留。</t>
        </is>
      </c>
    </row>
    <row r="27">
      <c r="A27" s="4" t="inlineStr">
        <is>
          <t>5. 所有結果附來源頁碼與原文行,供估值師覆核。信心度為 Low 者建議人手確認。</t>
        </is>
      </c>
    </row>
    <row r="28">
      <c r="A28"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15.8</v>
      </c>
      <c r="D5" s="10" t="n">
        <v>15.8</v>
      </c>
      <c r="E5" s="11" t="inlineStr">
        <is>
          <t>15.8%</t>
        </is>
      </c>
      <c r="F5" s="11" t="inlineStr">
        <is>
          <t>High</t>
        </is>
      </c>
      <c r="G5" s="11" t="inlineStr">
        <is>
          <t>PDF p.19</t>
        </is>
      </c>
      <c r="H5" s="11" t="inlineStr">
        <is>
          <t xml:space="preserve"> on the pre-tax cash flow projections by applying a 採用基於獲批准之五年期預算編製的稅前現 pre-tax discount rate of 15.8%, based on the approved five-year 金流量預測進行，使用15.8%之稅前貼現率 budget, and accounted for a long term growth rate of 2.5%; and for 並計入2.5%之長期增長率；而預算並無涵蓋 period</t>
        </is>
      </c>
    </row>
    <row r="6">
      <c r="A6" s="8" t="inlineStr">
        <is>
          <t>Discount Rate</t>
        </is>
      </c>
      <c r="B6" s="8" t="inlineStr">
        <is>
          <t>折現率</t>
        </is>
      </c>
      <c r="C6" s="9" t="n">
        <v>16.5</v>
      </c>
      <c r="D6" s="10" t="n">
        <v>16.5</v>
      </c>
      <c r="E6" s="11" t="inlineStr">
        <is>
          <t>16.5%</t>
        </is>
      </c>
      <c r="F6" s="11" t="inlineStr">
        <is>
          <t>High</t>
        </is>
      </c>
      <c r="G6" s="11" t="inlineStr">
        <is>
          <t>PDF p.19</t>
        </is>
      </c>
      <c r="H6" s="11" t="inlineStr">
        <is>
          <t>using pre-tax cash flow projections 的稅前現金流量預測，使用16.5%之稅前貼 by applying a pre-tax discount rate of 16.5%, based on formally 現率並計及2.5%之長期增長率，透過使用價 approved budgets covering a detailed five year budget plan, which 值計算釐定汽車分銷業務現金產生單位之可 accounted for a long te</t>
        </is>
      </c>
    </row>
    <row r="7">
      <c r="A7" s="8" t="inlineStr">
        <is>
          <t>Discount Rate</t>
        </is>
      </c>
      <c r="B7" s="8" t="inlineStr">
        <is>
          <t>折現率</t>
        </is>
      </c>
      <c r="C7" s="9" t="n">
        <v>2.5</v>
      </c>
      <c r="D7" s="10" t="n">
        <v>2.5</v>
      </c>
      <c r="E7" s="11" t="inlineStr">
        <is>
          <t>2.5%</t>
        </is>
      </c>
      <c r="F7" s="11" t="inlineStr">
        <is>
          <t>Medium</t>
        </is>
      </c>
      <c r="G7" s="11" t="inlineStr">
        <is>
          <t>PDF p.19</t>
        </is>
      </c>
      <c r="H7" s="11" t="inlineStr">
        <is>
          <t>e-tax discount rate of 15.8%, based on the approved five-year 金流量預測進行，使用15.8%之稅前貼現率 budget, and accounted for a long term growth rate of 2.5%; and for 並計入2.5%之長期增長率；而預算並無涵蓋 period not covered by the budget and up to the end of remaining 之期間及剩餘</t>
        </is>
      </c>
    </row>
    <row r="8">
      <c r="A8" s="8" t="inlineStr">
        <is>
          <t>Discount Rate</t>
        </is>
      </c>
      <c r="B8" s="8" t="inlineStr">
        <is>
          <t>折現率</t>
        </is>
      </c>
      <c r="C8" s="9" t="n">
        <v>13.4</v>
      </c>
      <c r="D8" s="10" t="n">
        <v>13.4</v>
      </c>
      <c r="E8" s="11" t="inlineStr">
        <is>
          <t>13.4%</t>
        </is>
      </c>
      <c r="F8" s="11" t="inlineStr">
        <is>
          <t>High</t>
        </is>
      </c>
      <c r="G8" s="11" t="inlineStr">
        <is>
          <t>PDF p.20</t>
        </is>
      </c>
      <c r="H8" s="11" t="inlineStr">
        <is>
          <t xml:space="preserve"> using pre-tax cash flow projections 設定3%之收益增長率），對稅前現金流量預 by applying a pre-tax discount rate of 13.4%, based on formally 測採用13.4%之稅前貼現率，透過使用價值 approved budgets covering a detailed five-year budget plan, which 計算釐定現金產生單位之可收回金額。於二 accounted for a revenue</t>
        </is>
      </c>
    </row>
    <row r="9">
      <c r="A9" s="8" t="inlineStr">
        <is>
          <t>Discount Rate</t>
        </is>
      </c>
      <c r="B9" s="8" t="inlineStr">
        <is>
          <t>折現率</t>
        </is>
      </c>
      <c r="C9" s="9" t="n">
        <v>3</v>
      </c>
      <c r="D9" s="10" t="n">
        <v>3</v>
      </c>
      <c r="E9" s="11" t="inlineStr">
        <is>
          <t>3%</t>
        </is>
      </c>
      <c r="F9" s="12" t="inlineStr">
        <is>
          <t>Low</t>
        </is>
      </c>
      <c r="G9" s="11" t="inlineStr">
        <is>
          <t>PDF p.20</t>
        </is>
      </c>
      <c r="H9" s="11" t="inlineStr">
        <is>
          <t>金流量預 by applying a pre-tax discount rate of 13.4%, based on formally 測採用13.4%之稅前貼現率，透過使用價值 approved budgets covering a detailed five-year budget plan, which 計算釐定現金產生單位之可收回金額。於二 accounted for a revenue growth rate of 3%. As at 31 March 2025, 零二</t>
        </is>
      </c>
    </row>
    <row r="10">
      <c r="A10" s="8" t="inlineStr">
        <is>
          <t>Discount Rate</t>
        </is>
      </c>
      <c r="B10" s="8" t="inlineStr">
        <is>
          <t>折現率</t>
        </is>
      </c>
      <c r="C10" s="9" t="n">
        <v>17.1</v>
      </c>
      <c r="D10" s="10" t="n">
        <v>17.1</v>
      </c>
      <c r="E10" s="11" t="inlineStr">
        <is>
          <t>17.1%</t>
        </is>
      </c>
      <c r="F10" s="11" t="inlineStr">
        <is>
          <t>High</t>
        </is>
      </c>
      <c r="G10" s="11" t="inlineStr">
        <is>
          <t>PDF p.211</t>
        </is>
      </c>
      <c r="H10" s="11" t="inlineStr">
        <is>
          <t xml:space="preserve">uer using per-tax cash 式批准預算編製的稅前現金流量預測， flow projections by applying a pre-tax discount rate of 17.1%, 使用17.1%之稅前貼現率並計及3%之 based on formally approved budgets covering a detailed five- 長期增長率，透過使用價值計算釐定汽 year budget plan, which accounted for a long term </t>
        </is>
      </c>
    </row>
    <row r="11">
      <c r="A11" s="8" t="inlineStr">
        <is>
          <t>Discount Rate</t>
        </is>
      </c>
      <c r="B11" s="8" t="inlineStr">
        <is>
          <t>折現率</t>
        </is>
      </c>
      <c r="C11" s="9" t="n">
        <v>3</v>
      </c>
      <c r="D11" s="10" t="n">
        <v>3</v>
      </c>
      <c r="E11" s="11" t="inlineStr">
        <is>
          <t>3%</t>
        </is>
      </c>
      <c r="F11" s="11" t="inlineStr">
        <is>
          <t>High</t>
        </is>
      </c>
      <c r="G11" s="11" t="inlineStr">
        <is>
          <t>PDF p.211</t>
        </is>
      </c>
      <c r="H11" s="11" t="inlineStr">
        <is>
          <t xml:space="preserve">金流量預測， flow projections by applying a pre-tax discount rate of 17.1%, 使用17.1%之稅前貼現率並計及3%之 based on formally approved budgets covering a detailed five- 長期增長率，透過使用價值計算釐定汽 year budget plan, which accounted for a long term growth 車分銷業務現金產生單位之可收回金 </t>
        </is>
      </c>
    </row>
    <row r="12">
      <c r="A12" s="8" t="inlineStr">
        <is>
          <t>Discount Rate</t>
        </is>
      </c>
      <c r="B12" s="8" t="inlineStr">
        <is>
          <t>折現率</t>
        </is>
      </c>
      <c r="C12" s="9" t="n">
        <v>15.8</v>
      </c>
      <c r="D12" s="10" t="n">
        <v>15.8</v>
      </c>
      <c r="E12" s="11" t="inlineStr">
        <is>
          <t>15.8%</t>
        </is>
      </c>
      <c r="F12" s="11" t="inlineStr">
        <is>
          <t>High</t>
        </is>
      </c>
      <c r="G12" s="11" t="inlineStr">
        <is>
          <t>PDF p.212</t>
        </is>
      </c>
      <c r="H12" s="11" t="inlineStr">
        <is>
          <t xml:space="preserve">ed on the pre-tax cash flow projections by 以稅前現金流預測進行，使用稅前貼現 applying a pre-tax discount rate of 15.8%, based on the 率15.8%並按長期增長率2.5%入賬；而 approved five-year budget, and accounted for a long term 預算範圍以外之期間及截至餘下使用 growth rate of 2.5%; and for period not </t>
        </is>
      </c>
    </row>
    <row r="13">
      <c r="A13" s="8" t="inlineStr">
        <is>
          <t>Discount Rate</t>
        </is>
      </c>
      <c r="B13" s="8" t="inlineStr">
        <is>
          <t>折現率</t>
        </is>
      </c>
      <c r="C13" s="9" t="n">
        <v>16.5</v>
      </c>
      <c r="D13" s="10" t="n">
        <v>16.5</v>
      </c>
      <c r="E13" s="11" t="inlineStr">
        <is>
          <t>16.5%</t>
        </is>
      </c>
      <c r="F13" s="11" t="inlineStr">
        <is>
          <t>High</t>
        </is>
      </c>
      <c r="G13" s="11" t="inlineStr">
        <is>
          <t>PDF p.212</t>
        </is>
      </c>
      <c r="H13" s="11" t="inlineStr">
        <is>
          <t>uer using pre-tax cash 產生單位之可收回金額，該估值基於獲 flow projections by applying a pre-tax discount rate of 16.5%, 正式批准、涵蓋詳細五年預算計劃之預 based on formally approved budgets covering a detailed five- 算以稅前現金流預測進行，使用稅前貼 year budget plan, which accounted for a long term gr</t>
        </is>
      </c>
    </row>
    <row r="14">
      <c r="A14" s="8" t="inlineStr">
        <is>
          <t>Discount Rate</t>
        </is>
      </c>
      <c r="B14" s="8" t="inlineStr">
        <is>
          <t>折現率</t>
        </is>
      </c>
      <c r="C14" s="9" t="n">
        <v>20</v>
      </c>
      <c r="D14" s="10" t="n">
        <v>20</v>
      </c>
      <c r="E14" s="11" t="inlineStr">
        <is>
          <t>20%</t>
        </is>
      </c>
      <c r="F14" s="11" t="inlineStr">
        <is>
          <t>High</t>
        </is>
      </c>
      <c r="G14" s="11" t="inlineStr">
        <is>
          <t>PDF p.222</t>
        </is>
      </c>
      <c r="H14" s="11" t="inlineStr">
        <is>
          <t>ement services 有關：物業管理服務 Growth rate after five-year period 五年期後之增長率 3% Pre-tax discount rate 稅前貼現率 20% 221 NEW SPARKLE ROLL INTERNATIONAL GROUP LIMITED 新耀萊國際集團有限公司 ANNUAL REPORT 2026 年報</t>
        </is>
      </c>
    </row>
    <row r="15">
      <c r="A15" s="8" t="inlineStr">
        <is>
          <t>Discount Rate</t>
        </is>
      </c>
      <c r="B15" s="8" t="inlineStr">
        <is>
          <t>折現率</t>
        </is>
      </c>
      <c r="C15" s="9" t="n">
        <v>30.2</v>
      </c>
      <c r="D15" s="10" t="n">
        <v>30.2</v>
      </c>
      <c r="E15" s="11" t="inlineStr">
        <is>
          <t>30.2%</t>
        </is>
      </c>
      <c r="F15" s="11" t="inlineStr">
        <is>
          <t>High</t>
        </is>
      </c>
      <c r="G15" s="11" t="inlineStr">
        <is>
          <t>PDF p.226</t>
        </is>
      </c>
      <c r="H15" s="11" t="inlineStr">
        <is>
          <t>icensing of the film, which 產之稅前貼現率30.2%（二零二五年： were discounted using a pre-tax discount rate of 30.2% (2025: 28.0% ）貼現得出。 28.0%) for the relevant assets. 225 NEW SPARKLE ROLL INTERNATIONAL GROUP LIMITED 新耀萊國際集團有限公司 ANNUAL REPORT 2026 年報</t>
        </is>
      </c>
    </row>
    <row r="16">
      <c r="A16" s="8" t="inlineStr">
        <is>
          <t>Discount Rate</t>
        </is>
      </c>
      <c r="B16" s="8" t="inlineStr">
        <is>
          <t>折現率</t>
        </is>
      </c>
      <c r="C16" s="9" t="n">
        <v>13.4</v>
      </c>
      <c r="D16" s="10" t="n">
        <v>13.4</v>
      </c>
      <c r="E16" s="11" t="inlineStr">
        <is>
          <t>13.4%</t>
        </is>
      </c>
      <c r="F16" s="11" t="inlineStr">
        <is>
          <t>High</t>
        </is>
      </c>
      <c r="G16" s="11" t="inlineStr">
        <is>
          <t>PDF p.227</t>
        </is>
      </c>
      <c r="H16" s="11" t="inlineStr">
        <is>
          <t>HFT using pre-tax cash flow projections by applying a pre-tax 益增長率），對稅前現金流量預測採用 discount rate of 13.4%, based on formally approved budgets 13.4%之稅前貼現率，透過使用價值計 covering a detailed five-year budget plan, which accounted for 算釐定現金產生單位之可收回金額。 a revenue grow</t>
        </is>
      </c>
    </row>
    <row r="17">
      <c r="A17" s="8" t="inlineStr">
        <is>
          <t>Discount Rate</t>
        </is>
      </c>
      <c r="B17" s="8" t="inlineStr">
        <is>
          <t>折現率</t>
        </is>
      </c>
      <c r="C17" s="9" t="n">
        <v>3</v>
      </c>
      <c r="D17" s="10" t="n">
        <v>3</v>
      </c>
      <c r="E17" s="11" t="inlineStr">
        <is>
          <t>3%</t>
        </is>
      </c>
      <c r="F17" s="12" t="inlineStr">
        <is>
          <t>Low</t>
        </is>
      </c>
      <c r="G17" s="11" t="inlineStr">
        <is>
          <t>PDF p.227</t>
        </is>
      </c>
      <c r="H17" s="11" t="inlineStr">
        <is>
          <t>，對稅前現金流量預測採用 discount rate of 13.4%, based on formally approved budgets 13.4%之稅前貼現率，透過使用價值計 covering a detailed five-year budget plan, which accounted for 算釐定現金產生單位之可收回金額。 a revenue growth rate of 3%. 226 NEW SPARKLE ROLL INTERNATIONAL GROUP L</t>
        </is>
      </c>
    </row>
    <row r="18">
      <c r="A18" s="8" t="inlineStr">
        <is>
          <t>Discount Rate</t>
        </is>
      </c>
      <c r="B18" s="8" t="inlineStr">
        <is>
          <t>折現率</t>
        </is>
      </c>
      <c r="C18" s="9" t="n">
        <v>13.8</v>
      </c>
      <c r="D18" s="10" t="n">
        <v>38.3</v>
      </c>
      <c r="E18" s="11" t="inlineStr">
        <is>
          <t>13.8% to 38.3%</t>
        </is>
      </c>
      <c r="F18" s="11" t="inlineStr">
        <is>
          <t>High</t>
        </is>
      </c>
      <c r="G18" s="11" t="inlineStr">
        <is>
          <t>PDF p.235</t>
        </is>
      </c>
      <c r="H18" s="11" t="inlineStr">
        <is>
          <t>age 9.7% 至61.5% 28.7%至61.5% returns, the higher the fair value. 平均回報率越高， 公允值越高。 Discount rate 貼現率 13.8% to 38.3% 13.0% to 34.2% The higher the discount 13.8% 至38.3% 13.0%至34.2% rate, the lower the fair value. 貼現率越高， 公允值越低。 Significant judgement and esti</t>
        </is>
      </c>
    </row>
    <row r="19">
      <c r="A19" s="8" t="inlineStr">
        <is>
          <t>Discount Rate</t>
        </is>
      </c>
      <c r="B19" s="8" t="inlineStr">
        <is>
          <t>折現率</t>
        </is>
      </c>
      <c r="C19" s="9" t="n">
        <v>34.2</v>
      </c>
      <c r="D19" s="10" t="n">
        <v>34.2</v>
      </c>
      <c r="E19" s="11" t="inlineStr">
        <is>
          <t>34.2%</t>
        </is>
      </c>
      <c r="F19" s="11" t="inlineStr">
        <is>
          <t>Medium</t>
        </is>
      </c>
      <c r="G19" s="11" t="inlineStr">
        <is>
          <t>PDF p.235</t>
        </is>
      </c>
      <c r="H19" s="11" t="inlineStr">
        <is>
          <t>he higher the discount 13.8% 至38.3% 13.0%至34.2% rate, the lower the fair value. 貼現率越高， 公允值越低。 Significant judgement and estimate is required when evaluating 於評估公允值估計所採用之輸入值時， the inputs used in the fair value estimate. Reasonably possible 須作出重</t>
        </is>
      </c>
    </row>
    <row r="20">
      <c r="A20" s="8" t="inlineStr">
        <is>
          <t>Gross Margin</t>
        </is>
      </c>
      <c r="B20" s="8" t="inlineStr">
        <is>
          <t>毛利率</t>
        </is>
      </c>
      <c r="C20" s="9" t="n">
        <v>19.8</v>
      </c>
      <c r="D20" s="10" t="n">
        <v>19.8</v>
      </c>
      <c r="E20" s="11" t="inlineStr">
        <is>
          <t>19.80%</t>
        </is>
      </c>
      <c r="F20" s="11" t="inlineStr">
        <is>
          <t>High</t>
        </is>
      </c>
      <c r="G20" s="11" t="inlineStr">
        <is>
          <t>PDF p.7</t>
        </is>
      </c>
      <c r="H20" s="11" t="inlineStr">
        <is>
          <t xml:space="preserve">Y2023 FY2024 FY2025 FY2026 二零二二 二零二三 二零二四 二零二五 二零二六 財政年度 財政年度 財政年度 財政年度 財政年度 毛利及毛利率 (HK$’000)（千港元） 19.80% 1,000,000 20.0% 900,000 18.0% 856,432 800,000 16.0% 14.50% 700,000 14.0% 600,000 578,128 12.0% 9.4% 500,000 10.0% 7.3% 400,000 6.8% 8.0% </t>
        </is>
      </c>
    </row>
    <row r="21">
      <c r="A21" s="8" t="inlineStr">
        <is>
          <t>Gross Margin</t>
        </is>
      </c>
      <c r="B21" s="8" t="inlineStr">
        <is>
          <t>毛利率</t>
        </is>
      </c>
      <c r="C21" s="9" t="n">
        <v>7.3</v>
      </c>
      <c r="D21" s="10" t="n">
        <v>7.3</v>
      </c>
      <c r="E21" s="11" t="inlineStr">
        <is>
          <t>7.3%</t>
        </is>
      </c>
      <c r="F21" s="11" t="inlineStr">
        <is>
          <t>High</t>
        </is>
      </c>
      <c r="G21" s="11" t="inlineStr">
        <is>
          <t>PDF p.8</t>
        </is>
      </c>
      <c r="H21" s="11" t="inlineStr">
        <is>
          <t>ible worth 有形資產淨值 872,788 910,548 Financial Ratios: 財務比率： 2026 2025 二零二六年 二零二五年 Gross profit margin 毛利率 7.3% 6.8% Return on equity 權益回報率 (9.8%) (74.0%) Current ratio 流動比率 0.98 1.09 Gearing ratio 資本負債比率 43.4% 54.3% 7 NEW SPARKLE ROLL INTERNATIONAL GROUP LIMITE</t>
        </is>
      </c>
    </row>
    <row r="22">
      <c r="A22" s="8" t="inlineStr">
        <is>
          <t>Gross Margin</t>
        </is>
      </c>
      <c r="B22" s="8" t="inlineStr">
        <is>
          <t>毛利率</t>
        </is>
      </c>
      <c r="C22" s="9" t="n">
        <v>25.3</v>
      </c>
      <c r="D22" s="10" t="n">
        <v>25.3</v>
      </c>
      <c r="E22" s="11" t="inlineStr">
        <is>
          <t>25.3%</t>
        </is>
      </c>
      <c r="F22" s="11" t="inlineStr">
        <is>
          <t>High</t>
        </is>
      </c>
      <c r="G22" s="11" t="inlineStr">
        <is>
          <t>PDF p.13</t>
        </is>
      </c>
      <c r="H22" s="11" t="inlineStr">
        <is>
          <t>as compared 年度增加約19.9%。毛利率由上一財政年度 with that of the previous financial year. The gross profit margin 約25.3%下降至本財政年度約23.2%。 decreased from approximately 25.3% in the previous financial year to approximately 23.2% in this financial year. 12 NEW SPARKLE ROLL INTE</t>
        </is>
      </c>
    </row>
    <row r="23">
      <c r="A23" s="8" t="inlineStr">
        <is>
          <t>Gross Margin</t>
        </is>
      </c>
      <c r="B23" s="8" t="inlineStr">
        <is>
          <t>毛利率</t>
        </is>
      </c>
      <c r="C23" s="9" t="n">
        <v>19.9</v>
      </c>
      <c r="D23" s="10" t="n">
        <v>19.9</v>
      </c>
      <c r="E23" s="11" t="inlineStr">
        <is>
          <t>19.9%</t>
        </is>
      </c>
      <c r="F23" s="12" t="inlineStr">
        <is>
          <t>Low</t>
        </is>
      </c>
      <c r="G23" s="11" t="inlineStr">
        <is>
          <t>PDF p.13</t>
        </is>
      </c>
      <c r="H23" s="11" t="inlineStr">
        <is>
          <t>及勞 in average selling price and gross profit margin of Lamborghini and 斯萊斯之平均售價及毛利率均有所上升。 Rolls-Royce during this financial year. Revenue of after-sales services recorded an increase of 於本財政年度，售後服務之收益較上一財政 approximately 19.9% during this finan</t>
        </is>
      </c>
    </row>
    <row r="24">
      <c r="A24" s="8" t="inlineStr">
        <is>
          <t>Gross Margin</t>
        </is>
      </c>
      <c r="B24" s="8" t="inlineStr">
        <is>
          <t>毛利率</t>
        </is>
      </c>
      <c r="C24" s="9" t="n">
        <v>6.4</v>
      </c>
      <c r="D24" s="10" t="n">
        <v>6.4</v>
      </c>
      <c r="E24" s="11" t="inlineStr">
        <is>
          <t>6.4%</t>
        </is>
      </c>
      <c r="F24" s="11" t="inlineStr">
        <is>
          <t>Medium</t>
        </is>
      </c>
      <c r="G24" s="11" t="inlineStr">
        <is>
          <t>PDF p.14</t>
        </is>
      </c>
      <c r="H24" s="11" t="inlineStr">
        <is>
          <t>ear. Gross profit margin of our non-auto dealerships division increased 非汽車分銷分部之毛利率由上一財政年度約 during this financial year from approximately 6.4% in the previous 6.4%上升至本財政年度約7.1%。 financial year to approximately 7.1% in this financial year. Amon</t>
        </is>
      </c>
    </row>
    <row r="25">
      <c r="A25" s="8" t="inlineStr">
        <is>
          <t>Gross Margin</t>
        </is>
      </c>
      <c r="B25" s="8" t="inlineStr">
        <is>
          <t>毛利率</t>
        </is>
      </c>
      <c r="C25" s="9" t="n">
        <v>6.8</v>
      </c>
      <c r="D25" s="10" t="n">
        <v>6.8</v>
      </c>
      <c r="E25" s="11" t="inlineStr">
        <is>
          <t>6.8%</t>
        </is>
      </c>
      <c r="F25" s="11" t="inlineStr">
        <is>
          <t>High</t>
        </is>
      </c>
      <c r="G25" s="11" t="inlineStr">
        <is>
          <t>PDF p.17</t>
        </is>
      </c>
      <c r="H25" s="11" t="inlineStr">
        <is>
          <t>year ended 31 March 2026 港元），而本集團截至二零二六年三月 increased from 6.8% to 7.3%. 三十一日止年度之毛利率則由6.8%上升至 7.3%。 The increase in gross profit was mainly attributable to increase in 毛利增加主要歸因於汽車銷售之毛利率上升， gross profit margin of the sales of automobiles, especi</t>
        </is>
      </c>
    </row>
    <row r="26">
      <c r="A26" s="8" t="inlineStr">
        <is>
          <t>Gross Margin</t>
        </is>
      </c>
      <c r="B26" s="8" t="inlineStr">
        <is>
          <t>毛利率</t>
        </is>
      </c>
      <c r="C26" s="9" t="n">
        <v>6.8</v>
      </c>
      <c r="D26" s="10" t="n">
        <v>7.3</v>
      </c>
      <c r="E26" s="11" t="inlineStr">
        <is>
          <t>6.8% to 7.3%</t>
        </is>
      </c>
      <c r="F26" s="11" t="inlineStr">
        <is>
          <t>Medium</t>
        </is>
      </c>
      <c r="G26" s="11" t="inlineStr">
        <is>
          <t>PDF p.17</t>
        </is>
      </c>
      <c r="H26" s="11" t="inlineStr">
        <is>
          <t>March 2025: approximately HK$141.0 million) while the （二零二五年三月三十一日：約141,000,000 gross profit margin of the Group for the year ended 31 March 2026 港元），而本集團截至二零二六年三月 increased from 6.8% to 7.3%. 三十一日止年度之毛利率則由6.8%上升至 7.3%。 The increase in gross profit was mainly</t>
        </is>
      </c>
    </row>
    <row r="27">
      <c r="A27" s="8" t="inlineStr">
        <is>
          <t>Gross Margin</t>
        </is>
      </c>
      <c r="B27" s="8" t="inlineStr">
        <is>
          <t>毛利率</t>
        </is>
      </c>
      <c r="C27" s="9" t="n">
        <v>22.4</v>
      </c>
      <c r="D27" s="10" t="n">
        <v>22.4</v>
      </c>
      <c r="E27" s="11" t="inlineStr">
        <is>
          <t>22.4%</t>
        </is>
      </c>
      <c r="F27" s="12" t="inlineStr">
        <is>
          <t>Low</t>
        </is>
      </c>
      <c r="G27" s="11" t="inlineStr">
        <is>
          <t>PDF p.17</t>
        </is>
      </c>
      <c r="H27" s="11" t="inlineStr">
        <is>
          <t>管理層討論及分析 Management Discussion and Analysis Gross Profit and Gross Profit Margin 毛利及毛利率 Gross profit of the Group for the year ended 31 March 2026 本集團截至二零二六年三月三十一日止年度 increased by approximately 22.4% to approximately HK$172.6 之毛利增加約22.4%至約1</t>
        </is>
      </c>
    </row>
    <row r="28">
      <c r="A28" s="8" t="inlineStr">
        <is>
          <t>Gross Margin</t>
        </is>
      </c>
      <c r="B28" s="8" t="inlineStr">
        <is>
          <t>毛利率</t>
        </is>
      </c>
      <c r="C28" s="9" t="n">
        <v>72.59999999999999</v>
      </c>
      <c r="D28" s="10" t="n">
        <v>72.59999999999999</v>
      </c>
      <c r="E28" s="11" t="inlineStr">
        <is>
          <t>72.6%</t>
        </is>
      </c>
      <c r="F28" s="12" t="inlineStr">
        <is>
          <t>Low</t>
        </is>
      </c>
      <c r="G28" s="11" t="inlineStr">
        <is>
          <t>PDF p.17</t>
        </is>
      </c>
      <c r="H28" s="11" t="inlineStr">
        <is>
          <t>ase in gross profit was mainly attributable to increase in 毛利增加主要歸因於汽車銷售之毛利率上升， gross profit margin of the sales of automobiles, especially Rolls- 尤其是勞斯萊斯，該品牌於本財政年度貢獻 Royce, which contributes 72.6% of the gross profit of sales of 汽車銷售毛利之72.6%。於本財政年度，汽 automob</t>
        </is>
      </c>
    </row>
    <row r="29">
      <c r="A29" s="8" t="inlineStr">
        <is>
          <t>Terminal Growth Rate</t>
        </is>
      </c>
      <c r="B29" s="8" t="inlineStr">
        <is>
          <t>永續增長率</t>
        </is>
      </c>
      <c r="C29" s="9" t="n">
        <v>2.5</v>
      </c>
      <c r="D29" s="10" t="n">
        <v>2.5</v>
      </c>
      <c r="E29" s="11" t="inlineStr">
        <is>
          <t>2.5%</t>
        </is>
      </c>
      <c r="F29" s="11" t="inlineStr">
        <is>
          <t>Medium</t>
        </is>
      </c>
      <c r="G29" s="11" t="inlineStr">
        <is>
          <t>PDF p.19</t>
        </is>
      </c>
      <c r="H29" s="11" t="inlineStr">
        <is>
          <t xml:space="preserve">前貼現率 budget, and accounted for a long term growth rate of 2.5%; and for 並計入2.5%之長期增長率；而預算並無涵蓋 period not covered by the budget and up to the end of remaining 之期間及剩餘可使用年期屆滿前的估計現金 useful life, the estimated cash flow projections are extrapolated. </t>
        </is>
      </c>
    </row>
    <row r="30">
      <c r="A30" s="8" t="inlineStr">
        <is>
          <t>Terminal Growth Rate</t>
        </is>
      </c>
      <c r="B30" s="8" t="inlineStr">
        <is>
          <t>永續增長率</t>
        </is>
      </c>
      <c r="C30" s="9" t="n">
        <v>3</v>
      </c>
      <c r="D30" s="10" t="n">
        <v>3</v>
      </c>
      <c r="E30" s="11" t="inlineStr">
        <is>
          <t>3%</t>
        </is>
      </c>
      <c r="F30" s="12" t="inlineStr">
        <is>
          <t>Low</t>
        </is>
      </c>
      <c r="G30" s="11" t="inlineStr">
        <is>
          <t>PDF p.211</t>
        </is>
      </c>
      <c r="H30" s="11" t="inlineStr">
        <is>
          <t>用17.1%之稅前貼現率並計及3%之 based on formally approved budgets covering a detailed five- 長期增長率，透過使用價值計算釐定汽 year budget plan, which accounted for a long term growth 車分銷業務現金產生單位之可收回金 rate of 3%; and for period not covered by the budget and up 額；而預算並無涵蓋之期間及</t>
        </is>
      </c>
    </row>
    <row r="31">
      <c r="A31" s="8" t="inlineStr">
        <is>
          <t>Terminal Growth Rate</t>
        </is>
      </c>
      <c r="B31" s="8" t="inlineStr">
        <is>
          <t>永續增長率</t>
        </is>
      </c>
      <c r="C31" s="9" t="n">
        <v>2.5</v>
      </c>
      <c r="D31" s="10" t="n">
        <v>2.5</v>
      </c>
      <c r="E31" s="11" t="inlineStr">
        <is>
          <t>2.5%</t>
        </is>
      </c>
      <c r="F31" s="11" t="inlineStr">
        <is>
          <t>High</t>
        </is>
      </c>
      <c r="G31" s="11" t="inlineStr">
        <is>
          <t>PDF p.212</t>
        </is>
      </c>
      <c r="H31" s="11" t="inlineStr">
        <is>
          <t>前現金流預測進行，使用稅前貼現 applying a pre-tax discount rate of 15.8%, based on the 率15.8%並按長期增長率2.5%入賬；而 approved five-year budget, and accounted for a long term 預算範圍以外之期間及截至餘下使用 growth rate of 2.5%; and for period not covered by the budget 年期結束前之可收回金額則推算估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Balance Sheet</t>
        </is>
      </c>
      <c r="B5" s="8" t="inlineStr">
        <is>
          <t>Property Plant and Equipment</t>
        </is>
      </c>
      <c r="C5" s="13" t="n">
        <v>574404</v>
      </c>
      <c r="D5" s="14" t="n">
        <v>526025</v>
      </c>
      <c r="E5" s="15">
        <f>IF(ISERROR((C5-D5)/ABS(D5)),"",(C5-D5)/ABS(D5))</f>
        <v>0.0919709139299463</v>
      </c>
      <c r="F5" s="11" t="inlineStr">
        <is>
          <t>PDF p.155</t>
        </is>
      </c>
      <c r="G5" s="11" t="inlineStr">
        <is>
          <t>Property, plant and equipment 物業、機器及設備 16 574,404 526,025</t>
        </is>
      </c>
    </row>
    <row r="6">
      <c r="A6" s="8" t="inlineStr">
        <is>
          <t>Balance Sheet</t>
        </is>
      </c>
      <c r="B6" s="8" t="inlineStr">
        <is>
          <t>Investment Properties</t>
        </is>
      </c>
      <c r="C6" s="13" t="n">
        <v>295918</v>
      </c>
      <c r="D6" s="14" t="n">
        <v>323239</v>
      </c>
      <c r="E6" s="15">
        <f>IF(ISERROR((C6-D6)/ABS(D6)),"",(C6-D6)/ABS(D6))</f>
        <v>-0.08452259783008857</v>
      </c>
      <c r="F6" s="11" t="inlineStr">
        <is>
          <t>PDF p.155</t>
        </is>
      </c>
      <c r="G6" s="11" t="inlineStr">
        <is>
          <t>Investment properties 投資物業 18 295,918 323,239</t>
        </is>
      </c>
    </row>
    <row r="7">
      <c r="A7" s="8" t="inlineStr">
        <is>
          <t>Balance Sheet</t>
        </is>
      </c>
      <c r="B7" s="8" t="inlineStr">
        <is>
          <t>Goodwill</t>
        </is>
      </c>
      <c r="C7" s="13" t="n">
        <v>36125</v>
      </c>
      <c r="D7" s="14" t="n">
        <v>53883</v>
      </c>
      <c r="E7" s="15">
        <f>IF(ISERROR((C7-D7)/ABS(D7)),"",(C7-D7)/ABS(D7))</f>
        <v>-0.32956591132639235</v>
      </c>
      <c r="F7" s="11" t="inlineStr">
        <is>
          <t>PDF p.155</t>
        </is>
      </c>
      <c r="G7" s="11" t="inlineStr">
        <is>
          <t>Goodwill 商譽 19 36,125 53,883</t>
        </is>
      </c>
    </row>
    <row r="8">
      <c r="A8" s="8" t="inlineStr">
        <is>
          <t>Balance Sheet</t>
        </is>
      </c>
      <c r="B8" s="8" t="inlineStr">
        <is>
          <t>Inventories</t>
        </is>
      </c>
      <c r="C8" s="13" t="n">
        <v>314666</v>
      </c>
      <c r="D8" s="14" t="n">
        <v>556896</v>
      </c>
      <c r="E8" s="15">
        <f>IF(ISERROR((C8-D8)/ABS(D8)),"",(C8-D8)/ABS(D8))</f>
        <v>-0.434964517611906</v>
      </c>
      <c r="F8" s="11" t="inlineStr">
        <is>
          <t>PDF p.155</t>
        </is>
      </c>
      <c r="G8" s="11" t="inlineStr">
        <is>
          <t>Inventories 存貨 23 314,666 556,896</t>
        </is>
      </c>
    </row>
    <row r="9">
      <c r="A9" s="8" t="inlineStr">
        <is>
          <t>Balance Sheet</t>
        </is>
      </c>
      <c r="B9" s="8" t="inlineStr">
        <is>
          <t>Trade Receivables</t>
        </is>
      </c>
      <c r="C9" s="13" t="n">
        <v>17649</v>
      </c>
      <c r="D9" s="14" t="n">
        <v>32013</v>
      </c>
      <c r="E9" s="15">
        <f>IF(ISERROR((C9-D9)/ABS(D9)),"",(C9-D9)/ABS(D9))</f>
        <v>-0.44869271858307563</v>
      </c>
      <c r="F9" s="11" t="inlineStr">
        <is>
          <t>PDF p.155</t>
        </is>
      </c>
      <c r="G9" s="11" t="inlineStr">
        <is>
          <t>Trade receivables 應收貿易款項 24(a) 17,649 32,013</t>
        </is>
      </c>
    </row>
    <row r="10">
      <c r="A10" s="8" t="inlineStr">
        <is>
          <t>Balance Sheet</t>
        </is>
      </c>
      <c r="B10" s="8" t="inlineStr">
        <is>
          <t>Borrowings</t>
        </is>
      </c>
      <c r="C10" s="13" t="n">
        <v>396240</v>
      </c>
      <c r="D10" s="14" t="n">
        <v>526751</v>
      </c>
      <c r="E10" s="15">
        <f>IF(ISERROR((C10-D10)/ABS(D10)),"",(C10-D10)/ABS(D10))</f>
        <v>-0.24776602227617983</v>
      </c>
      <c r="F10" s="11" t="inlineStr">
        <is>
          <t>PDF p.155</t>
        </is>
      </c>
      <c r="G10" s="11" t="inlineStr">
        <is>
          <t>Borrowings 借貸 31 396,240 526,751</t>
        </is>
      </c>
    </row>
    <row r="11">
      <c r="A11" s="8" t="inlineStr">
        <is>
          <t>Balance Sheet</t>
        </is>
      </c>
      <c r="B11" s="8" t="inlineStr">
        <is>
          <t>Total Equity</t>
        </is>
      </c>
      <c r="C11" s="13" t="n">
        <v>913099</v>
      </c>
      <c r="D11" s="14" t="n">
        <v>970275</v>
      </c>
      <c r="E11" s="15">
        <f>IF(ISERROR((C11-D11)/ABS(D11)),"",(C11-D11)/ABS(D11))</f>
        <v>-0.058927623611862615</v>
      </c>
      <c r="F11" s="11" t="inlineStr">
        <is>
          <t>PDF p.156</t>
        </is>
      </c>
      <c r="G11" s="11" t="inlineStr">
        <is>
          <t>TOTAL EQUITY 權益總額 913,099 970,275</t>
        </is>
      </c>
    </row>
    <row r="12">
      <c r="A12" s="8" t="inlineStr">
        <is>
          <t>Balance Sheet</t>
        </is>
      </c>
      <c r="B12" s="8" t="inlineStr">
        <is>
          <t>Total Current Assets</t>
        </is>
      </c>
      <c r="C12" s="13" t="n">
        <v>578730</v>
      </c>
      <c r="D12" s="14" t="n">
        <v>787630</v>
      </c>
      <c r="E12" s="15">
        <f>IF(ISERROR((C12-D12)/ABS(D12)),"",(C12-D12)/ABS(D12))</f>
        <v>-0.2652260579205972</v>
      </c>
      <c r="F12" s="11" t="inlineStr">
        <is>
          <t>PDF p.155</t>
        </is>
      </c>
      <c r="G12" s="11" t="inlineStr">
        <is>
          <t>[current assets 區段小計] 578,730 787,630</t>
        </is>
      </c>
    </row>
    <row r="13">
      <c r="A13" s="8" t="inlineStr">
        <is>
          <t>Balance Sheet</t>
        </is>
      </c>
      <c r="B13" s="8" t="inlineStr">
        <is>
          <t>Total Current Liabilities</t>
        </is>
      </c>
      <c r="C13" s="13" t="n">
        <v>590109</v>
      </c>
      <c r="D13" s="14" t="n">
        <v>722669</v>
      </c>
      <c r="E13" s="15">
        <f>IF(ISERROR((C13-D13)/ABS(D13)),"",(C13-D13)/ABS(D13))</f>
        <v>-0.18343114205812067</v>
      </c>
      <c r="F13" s="11" t="inlineStr">
        <is>
          <t>PDF p.155</t>
        </is>
      </c>
      <c r="G13" s="11" t="inlineStr">
        <is>
          <t>[current liabilities 區段小計] 590,109 722,669</t>
        </is>
      </c>
    </row>
    <row r="14">
      <c r="A14" s="8" t="inlineStr">
        <is>
          <t>Cash Flow</t>
        </is>
      </c>
      <c r="B14" s="8" t="inlineStr">
        <is>
          <t>Operating Cash Flow</t>
        </is>
      </c>
      <c r="C14" s="13" t="n">
        <v>228286</v>
      </c>
      <c r="D14" s="14" t="n">
        <v>243226</v>
      </c>
      <c r="E14" s="15">
        <f>IF(ISERROR((C14-D14)/ABS(D14)),"",(C14-D14)/ABS(D14))</f>
        <v>-0.061424354304227345</v>
      </c>
      <c r="F14" s="11" t="inlineStr">
        <is>
          <t>PDF p.158</t>
        </is>
      </c>
      <c r="G14" s="11" t="inlineStr">
        <is>
          <t>Cash generated from operations 經營業務所得現金 228,286 243,226</t>
        </is>
      </c>
    </row>
    <row r="16">
      <c r="A16"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6" t="str">
        <f>IF(ISERROR(INDEX('Financials 財務數據'!$C$5:$C$14,MATCH("Gross Profit",'Financials 財務數據'!$B$5:$B$14,0))/INDEX('Financials 財務數據'!$C$5:$C$14,MATCH("Revenue",'Financials 財務數據'!$B$5:$B$14,0))),"n/a",INDEX('Financials 財務數據'!$C$5:$C$14,MATCH("Gross Profit",'Financials 財務數據'!$B$5:$B$14,0))/INDEX('Financials 財務數據'!$C$5:$C$14,MATCH("Revenue",'Financials 財務數據'!$B$5:$B$14,0)))</f>
        <v>n/a</v>
      </c>
      <c r="C5" s="16" t="str">
        <f>IF(ISERROR(INDEX('Financials 財務數據'!$D$5:$D$14,MATCH("Gross Profit",'Financials 財務數據'!$B$5:$B$14,0))/INDEX('Financials 財務數據'!$D$5:$D$14,MATCH("Revenue",'Financials 財務數據'!$B$5:$B$14,0))),"n/a",INDEX('Financials 財務數據'!$D$5:$D$14,MATCH("Gross Profit",'Financials 財務數據'!$B$5:$B$14,0))/INDEX('Financials 財務數據'!$D$5:$D$14,MATCH("Revenue",'Financials 財務數據'!$B$5:$B$14,0)))</f>
        <v>n/a</v>
      </c>
      <c r="D5" s="2" t="inlineStr">
        <is>
          <t>毛利 ÷ 收入</t>
        </is>
      </c>
    </row>
    <row r="6">
      <c r="A6" s="4" t="inlineStr">
        <is>
          <t>Net Margin 淨利率</t>
        </is>
      </c>
      <c r="B6" s="16" t="str">
        <f>IF(ISERROR(INDEX('Financials 財務數據'!$C$5:$C$14,MATCH("Profit for the Year",'Financials 財務數據'!$B$5:$B$14,0))/INDEX('Financials 財務數據'!$C$5:$C$14,MATCH("Revenue",'Financials 財務數據'!$B$5:$B$14,0))),"n/a",INDEX('Financials 財務數據'!$C$5:$C$14,MATCH("Profit for the Year",'Financials 財務數據'!$B$5:$B$14,0))/INDEX('Financials 財務數據'!$C$5:$C$14,MATCH("Revenue",'Financials 財務數據'!$B$5:$B$14,0)))</f>
        <v>n/a</v>
      </c>
      <c r="C6" s="16" t="str">
        <f>IF(ISERROR(INDEX('Financials 財務數據'!$D$5:$D$14,MATCH("Profit for the Year",'Financials 財務數據'!$B$5:$B$14,0))/INDEX('Financials 財務數據'!$D$5:$D$14,MATCH("Revenue",'Financials 財務數據'!$B$5:$B$14,0))),"n/a",INDEX('Financials 財務數據'!$D$5:$D$14,MATCH("Profit for the Year",'Financials 財務數據'!$B$5:$B$14,0))/INDEX('Financials 財務數據'!$D$5:$D$14,MATCH("Revenue",'Financials 財務數據'!$B$5:$B$14,0)))</f>
        <v>n/a</v>
      </c>
      <c r="D6" s="2" t="inlineStr">
        <is>
          <t>年內溢利 ÷ 收入</t>
        </is>
      </c>
    </row>
    <row r="7">
      <c r="A7" s="4" t="inlineStr">
        <is>
          <t>Current Ratio 流動比率</t>
        </is>
      </c>
      <c r="B7" s="17">
        <f>IF(ISERROR(INDEX('Financials 財務數據'!$C$5:$C$14,MATCH("Total Current Assets",'Financials 財務數據'!$B$5:$B$14,0))/INDEX('Financials 財務數據'!$C$5:$C$14,MATCH("Total Current Liabilities",'Financials 財務數據'!$B$5:$B$14,0))),"n/a",INDEX('Financials 財務數據'!$C$5:$C$14,MATCH("Total Current Assets",'Financials 財務數據'!$B$5:$B$14,0))/INDEX('Financials 財務數據'!$C$5:$C$14,MATCH("Total Current Liabilities",'Financials 財務數據'!$B$5:$B$14,0)))</f>
        <v>0.9807171217520831</v>
      </c>
      <c r="C7" s="17">
        <f>IF(ISERROR(INDEX('Financials 財務數據'!$D$5:$D$14,MATCH("Total Current Assets",'Financials 財務數據'!$B$5:$B$14,0))/INDEX('Financials 財務數據'!$D$5:$D$14,MATCH("Total Current Liabilities",'Financials 財務數據'!$B$5:$B$14,0))),"n/a",INDEX('Financials 財務數據'!$D$5:$D$14,MATCH("Total Current Assets",'Financials 財務數據'!$B$5:$B$14,0))/INDEX('Financials 財務數據'!$D$5:$D$14,MATCH("Total Current Liabilities",'Financials 財務數據'!$B$5:$B$14,0)))</f>
        <v>1.0898903924203196</v>
      </c>
      <c r="D7" s="2" t="inlineStr">
        <is>
          <t>流動資產 ÷ 流動負債</t>
        </is>
      </c>
    </row>
    <row r="8">
      <c r="A8" s="4" t="inlineStr">
        <is>
          <t>Debt / Equity 負債權益比</t>
        </is>
      </c>
      <c r="B8" s="17" t="str">
        <f>IF(ISERROR(INDEX('Financials 財務數據'!$C$5:$C$14,MATCH("Total Liabilities",'Financials 財務數據'!$B$5:$B$14,0))/INDEX('Financials 財務數據'!$C$5:$C$14,MATCH("Total Equity",'Financials 財務數據'!$B$5:$B$14,0))),"n/a",INDEX('Financials 財務數據'!$C$5:$C$14,MATCH("Total Liabilities",'Financials 財務數據'!$B$5:$B$14,0))/INDEX('Financials 財務數據'!$C$5:$C$14,MATCH("Total Equity",'Financials 財務數據'!$B$5:$B$14,0)))</f>
        <v>n/a</v>
      </c>
      <c r="C8" s="17" t="str">
        <f>IF(ISERROR(INDEX('Financials 財務數據'!$D$5:$D$14,MATCH("Total Liabilities",'Financials 財務數據'!$B$5:$B$14,0))/INDEX('Financials 財務數據'!$D$5:$D$14,MATCH("Total Equity",'Financials 財務數據'!$B$5:$B$14,0))),"n/a",INDEX('Financials 財務數據'!$D$5:$D$14,MATCH("Total Liabilities",'Financials 財務數據'!$B$5:$B$14,0))/INDEX('Financials 財務數據'!$D$5:$D$14,MATCH("Total Equity",'Financials 財務數據'!$B$5:$B$14,0)))</f>
        <v>n/a</v>
      </c>
      <c r="D8" s="2" t="inlineStr">
        <is>
          <t>總負債 ÷ 總權益</t>
        </is>
      </c>
    </row>
    <row r="9">
      <c r="A9" s="4" t="inlineStr">
        <is>
          <t>Goodwill / Total Assets</t>
        </is>
      </c>
      <c r="B9" s="16" t="str">
        <f>IF(ISERROR(INDEX('Financials 財務數據'!$C$5:$C$14,MATCH("Goodwill",'Financials 財務數據'!$B$5:$B$14,0))/INDEX('Financials 財務數據'!$C$5:$C$14,MATCH("Total Assets",'Financials 財務數據'!$B$5:$B$14,0))),"n/a",INDEX('Financials 財務數據'!$C$5:$C$14,MATCH("Goodwill",'Financials 財務數據'!$B$5:$B$14,0))/INDEX('Financials 財務數據'!$C$5:$C$14,MATCH("Total Assets",'Financials 財務數據'!$B$5:$B$14,0)))</f>
        <v>n/a</v>
      </c>
      <c r="C9" s="16" t="str">
        <f>IF(ISERROR(INDEX('Financials 財務數據'!$D$5:$D$14,MATCH("Goodwill",'Financials 財務數據'!$B$5:$B$14,0))/INDEX('Financials 財務數據'!$D$5:$D$14,MATCH("Total Assets",'Financials 財務數據'!$B$5:$B$14,0))),"n/a",INDEX('Financials 財務數據'!$D$5:$D$14,MATCH("Goodwill",'Financials 財務數據'!$B$5:$B$14,0))/INDEX('Financials 財務數據'!$D$5:$D$14,MATCH("Total Assets",'Financials 財務數據'!$B$5:$B$14,0)))</f>
        <v>n/a</v>
      </c>
      <c r="D9" s="2" t="inlineStr">
        <is>
          <t>商譽佔總資產比重 — 減值風險指標</t>
        </is>
      </c>
    </row>
    <row r="10">
      <c r="A10" s="4" t="inlineStr">
        <is>
          <t>Intangibles / Total Assets</t>
        </is>
      </c>
      <c r="B10" s="16" t="str">
        <f>IF(ISERROR(INDEX('Financials 財務數據'!$C$5:$C$14,MATCH("Intangible Assets",'Financials 財務數據'!$B$5:$B$14,0))/INDEX('Financials 財務數據'!$C$5:$C$14,MATCH("Total Assets",'Financials 財務數據'!$B$5:$B$14,0))),"n/a",INDEX('Financials 財務數據'!$C$5:$C$14,MATCH("Intangible Assets",'Financials 財務數據'!$B$5:$B$14,0))/INDEX('Financials 財務數據'!$C$5:$C$14,MATCH("Total Assets",'Financials 財務數據'!$B$5:$B$14,0)))</f>
        <v>n/a</v>
      </c>
      <c r="C10" s="16" t="str">
        <f>IF(ISERROR(INDEX('Financials 財務數據'!$D$5:$D$14,MATCH("Intangible Assets",'Financials 財務數據'!$B$5:$B$14,0))/INDEX('Financials 財務數據'!$D$5:$D$14,MATCH("Total Assets",'Financials 財務數據'!$B$5:$B$14,0))),"n/a",INDEX('Financials 財務數據'!$D$5:$D$14,MATCH("Intangible Assets",'Financials 財務數據'!$B$5:$B$14,0))/INDEX('Financials 財務數據'!$D$5:$D$14,MATCH("Total Assets",'Financials 財務數據'!$B$5:$B$14,0)))</f>
        <v>n/a</v>
      </c>
      <c r="D10" s="2" t="inlineStr">
        <is>
          <t>無形資產佔比</t>
        </is>
      </c>
    </row>
    <row r="11">
      <c r="A11" s="4" t="inlineStr">
        <is>
          <t>ROE 股本回報率</t>
        </is>
      </c>
      <c r="B11" s="16" t="str">
        <f>IF(ISERROR(INDEX('Financials 財務數據'!$C$5:$C$14,MATCH("Profit for the Year",'Financials 財務數據'!$B$5:$B$14,0))/INDEX('Financials 財務數據'!$C$5:$C$14,MATCH("Total Equity",'Financials 財務數據'!$B$5:$B$14,0))),"n/a",INDEX('Financials 財務數據'!$C$5:$C$14,MATCH("Profit for the Year",'Financials 財務數據'!$B$5:$B$14,0))/INDEX('Financials 財務數據'!$C$5:$C$14,MATCH("Total Equity",'Financials 財務數據'!$B$5:$B$14,0)))</f>
        <v>n/a</v>
      </c>
      <c r="C11" s="16" t="str">
        <f>IF(ISERROR(INDEX('Financials 財務數據'!$D$5:$D$14,MATCH("Profit for the Year",'Financials 財務數據'!$B$5:$B$14,0))/INDEX('Financials 財務數據'!$D$5:$D$14,MATCH("Total Equity",'Financials 財務數據'!$B$5:$B$14,0))),"n/a",INDEX('Financials 財務數據'!$D$5:$D$14,MATCH("Profit for the Year",'Financials 財務數據'!$B$5:$B$14,0))/INDEX('Financials 財務數據'!$D$5:$D$14,MATCH("Total Equity",'Financials 財務數據'!$B$5:$B$14,0)))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Total Equity</t>
        </is>
      </c>
      <c r="B5" s="19" t="n">
        <v>970275</v>
      </c>
      <c r="C5" s="19" t="n">
        <v>913099</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81"/>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20" t="inlineStr">
        <is>
          <t>high</t>
        </is>
      </c>
      <c r="D4" s="11" t="inlineStr">
        <is>
          <t>income approach</t>
        </is>
      </c>
      <c r="E4" s="11" t="inlineStr">
        <is>
          <t>PDF p.18</t>
        </is>
      </c>
      <c r="F4" s="11" t="inlineStr">
        <is>
          <t>lapses over 項目之餘下租期隨時間流逝而逐漸縮短， time resulting in less future cash flow with decreasing remaining 導致收入法下未來現金流量隨餘下租期縮 lease term under income approach. The impairment amount has 減而減少。減值金額已分配至商譽、物業、 been allocated to each category of goodwill, property, plant and 機器及設備以及其他無形資產各類別，以確 equipment, and other intangible assets such that the carrying 保各資產類別之賬面金額不會減至低於其 amount of each category of asset is not reduced below the highest 公允值減出售成本（173,300,000港元）與其 of its fair value less cost of disposal of HK$173.3 million and its 使用價值（104,50</t>
        </is>
      </c>
    </row>
    <row r="5">
      <c r="A5" s="8" t="inlineStr">
        <is>
          <t>Fair Value Measurement</t>
        </is>
      </c>
      <c r="B5" s="8" t="inlineStr">
        <is>
          <t>公允價值計量</t>
        </is>
      </c>
      <c r="C5" s="20" t="inlineStr">
        <is>
          <t>high</t>
        </is>
      </c>
      <c r="D5" s="11" t="inlineStr">
        <is>
          <t>valuation technique</t>
        </is>
      </c>
      <c r="E5" s="11" t="inlineStr">
        <is>
          <t>PDF p.193</t>
        </is>
      </c>
      <c r="F5" s="11" t="inlineStr">
        <is>
          <t>成重大疑問。 (v) Valuation of investment properties (v) 投資物業估值 The fair value of investment properties is determined 投資物業之公允值乃使用估值技 using valuation technique. Details of the judgements and 術釐定。判斷及假設之詳情於附 assumptions have been disclosed in Note 18. 註18披露。 192 NEW SPARKLE ROLL INTERNATIONAL GROUP LIMITED 新耀萊國際集團有限公司 ANNUAL REPORT 2026 年報</t>
        </is>
      </c>
    </row>
    <row r="6">
      <c r="A6" s="8" t="inlineStr">
        <is>
          <t>Fair Value Measurement</t>
        </is>
      </c>
      <c r="B6" s="8" t="inlineStr">
        <is>
          <t>公允價值計量</t>
        </is>
      </c>
      <c r="C6" s="20" t="inlineStr">
        <is>
          <t>high</t>
        </is>
      </c>
      <c r="D6" s="11" t="inlineStr">
        <is>
          <t>fair value hierarchy</t>
        </is>
      </c>
      <c r="E6" s="11" t="inlineStr">
        <is>
          <t>PDF p.218</t>
        </is>
      </c>
      <c r="F6" s="11" t="inlineStr">
        <is>
          <t>financial 業。公允值計量於財務報表附註39.7(i) statements. 披露。 The fair value of the investment properties is under level 2 and 投資物業之公允值屬第二及第三級公 3 fair value hierarchy. 允值層級。 Fair value is determined by applying the income approach and 公允值應用收入法及市場法釐定。 market approach. Income approach uses the term and reversion method, based 收入法乃基於物業之估計租值，使用年 on the estimated rental value of the property. The valuation 期及復歸法。估值計及物業權益的現時 takes account of the current rents of the property interests, 租金及重訂租約的可能、租期收益率及 the reversionary potentials of the tenancie</t>
        </is>
      </c>
    </row>
    <row r="7">
      <c r="A7" s="8" t="inlineStr">
        <is>
          <t>Fair Value Measurement</t>
        </is>
      </c>
      <c r="B7" s="8" t="inlineStr">
        <is>
          <t>公允價值計量</t>
        </is>
      </c>
      <c r="C7" s="20" t="inlineStr">
        <is>
          <t>high</t>
        </is>
      </c>
      <c r="D7" s="11" t="inlineStr">
        <is>
          <t>unobservable input</t>
        </is>
      </c>
      <c r="E7" s="11" t="inlineStr">
        <is>
          <t>PDF p.219</t>
        </is>
      </c>
      <c r="F7" s="11" t="inlineStr">
        <is>
          <t>2026 18. INVESTMENT PROPERTIES 18. 投資物業（續） (Continued) Information about fair value measurements using significant 有關使用重大不可觀察輸入值進行之 unobservable inputs: 公允值計量之資料： Relationship of unobservable Significant Range of significant Valuation inputs to Description unobservable inputs unobservable inputs technique fair value 不可觀察輸入值與 說明 重大不可觀察輸入值 重大不可觀察輸入值範圍 估值技術 公允值之關係 2026 2025 二零二六年 二零二五年 Right-of-use asset Market yield (%) 7.25 7.25 Income The higher the market yield, located in Beijing 市場回報率(%) approach the lower the fair value. 位</t>
        </is>
      </c>
    </row>
    <row r="8">
      <c r="A8" s="8" t="inlineStr">
        <is>
          <t>Fair Value Measurement</t>
        </is>
      </c>
      <c r="B8" s="8" t="inlineStr">
        <is>
          <t>公允價值計量</t>
        </is>
      </c>
      <c r="C8" s="20" t="inlineStr">
        <is>
          <t>high</t>
        </is>
      </c>
      <c r="D8" s="11" t="inlineStr">
        <is>
          <t>fair value hierarchy</t>
        </is>
      </c>
      <c r="E8" s="11" t="inlineStr">
        <is>
          <t>PDF p.220</t>
        </is>
      </c>
      <c r="F8" s="11" t="inlineStr">
        <is>
          <t>十一日止年 into or out of Level 3 or any other Level. The Group’s policy is 度，並無轉入第三級或任何其他級別， to recognise transfer between Levels of the fair value hierarchy 亦無自第三級或任何其他級別轉出。本 as at the end of the reporting period in which they occur. 集團之政策為於發生轉撥之報告期末 確認公允值等級間之轉撥。 During the year ended 31 March 2025, the Group transferred 於截至二零二五年三月三十一日止年 an investment property from Level 3 into Level 2 of the fair 度，本集團將一項投資物業自第三級轉 value hierarchy. Such transfer reflected the sign of recovery of 入公允值等級第二級。該轉撥反映了北 the commercial property market in</t>
        </is>
      </c>
    </row>
    <row r="9">
      <c r="A9" s="8" t="inlineStr">
        <is>
          <t>Fair Value Measurement</t>
        </is>
      </c>
      <c r="B9" s="8" t="inlineStr">
        <is>
          <t>公允價值計量</t>
        </is>
      </c>
      <c r="C9" s="20" t="inlineStr">
        <is>
          <t>high</t>
        </is>
      </c>
      <c r="D9" s="11" t="inlineStr">
        <is>
          <t>income approach</t>
        </is>
      </c>
      <c r="E9" s="11" t="inlineStr">
        <is>
          <t>PDF p.223</t>
        </is>
      </c>
      <c r="F9" s="11" t="inlineStr">
        <is>
          <t>t lapses over time resulting in less 流逝而逐漸縮短，導致收入法下未來現 future cash flow with decreasing remaining lease term under 金流量隨餘下租期縮減而減少。減值金 income approach. The impairment amount has been allocated 額已分配至商譽、物業、機器及設備以 to each category of goodwill, property, plant and equipment, 及其他無形資產各類別，以確保各資產 and other intangible assets such that the carrying amount of 類別之賬面金額不會減至低於其公允 each category of asset is not reduced below the highest of 值減出售成本（173,315,000港元）與其 its fair value less cost of disposal of HK$173,315,000 and 使用價值（104,470,000港元）兩者中之 i</t>
        </is>
      </c>
    </row>
    <row r="10">
      <c r="A10" s="8" t="inlineStr">
        <is>
          <t>Fair Value Measurement</t>
        </is>
      </c>
      <c r="B10" s="8" t="inlineStr">
        <is>
          <t>公允價值計量</t>
        </is>
      </c>
      <c r="C10" s="20" t="inlineStr">
        <is>
          <t>high</t>
        </is>
      </c>
      <c r="D10" s="11" t="inlineStr">
        <is>
          <t>income approach</t>
        </is>
      </c>
      <c r="E10" s="11" t="inlineStr">
        <is>
          <t>PDF p.224</t>
        </is>
      </c>
      <c r="F10" s="11" t="inlineStr">
        <is>
          <t>t lapses over time resulting in less 逝，導致在收入法下未來現金流量因餘 future cash flow with decreasing remaining lease term under 下租期流逝而減少，以及管理層因應當 income approach and the adjustment on the growth rate in 時物業租賃市場發展情況調整未來一 the coming one to two years, i.e. no growth for the first two 至兩年之增長率（即首兩年並無增長， years and gradually recovers to long-term growth rate, by 再逐步回復至長期增長率）。減值金額 the management in view of the current development on the 已分配至商譽、物業、機器及設備以及 property rental market condition. The impairment amount 其他無形資產各類別，以確保各資產類 has been allocated to</t>
        </is>
      </c>
    </row>
    <row r="11">
      <c r="A11" s="8" t="inlineStr">
        <is>
          <t>Fair Value Measurement</t>
        </is>
      </c>
      <c r="B11" s="8" t="inlineStr">
        <is>
          <t>公允價值計量</t>
        </is>
      </c>
      <c r="C11" s="20" t="inlineStr">
        <is>
          <t>high</t>
        </is>
      </c>
      <c r="D11" s="11" t="inlineStr">
        <is>
          <t>公允價值</t>
        </is>
      </c>
      <c r="E11" s="11" t="inlineStr">
        <is>
          <t>PDF p.227</t>
        </is>
      </c>
      <c r="F11" s="11" t="inlineStr">
        <is>
          <t>K$4,186,000), being the 之可收回金額為人民幣3,684,000元（相 higher of its fair value less cost of disposal and its value in use, 當於4,186,000港元）（即其公允價值減 which was lower than its carrying amount of RMB3,766,000 出售成本與其使用價值兩者中之較高 (equivalent to HK$4,049,000), resulting from decrease in 者），低於其賬面金額人民幣3,766,000 average return estimation under current market condition. 元（相當於4,049,000港元），此乃由於 Based on value-in-use calculation, impairment losses of 在當前市況下估計平均回報率有所下 approximately HK$90,000 and an exchange difference of 降。截至二零二六年三月三十一日止年 HK$3,000 has r</t>
        </is>
      </c>
    </row>
    <row r="12">
      <c r="A12" s="8" t="inlineStr">
        <is>
          <t>Fair Value Measurement</t>
        </is>
      </c>
      <c r="B12" s="8" t="inlineStr">
        <is>
          <t>公允價值計量</t>
        </is>
      </c>
      <c r="C12" s="20" t="inlineStr">
        <is>
          <t>high</t>
        </is>
      </c>
      <c r="D12" s="11" t="inlineStr">
        <is>
          <t>income approach</t>
        </is>
      </c>
      <c r="E12" s="11" t="inlineStr">
        <is>
          <t>PDF p.234</t>
        </is>
      </c>
      <c r="F12" s="11" t="inlineStr">
        <is>
          <t>were revalued on 31 March 本集團之電影投資由華坊於二零二五 2025 and 31 March 2026 by CHFT. Fair value is determined by 年三月三十一日及二零二六年三月 applying the income approach, using the discounted cash flow 三十一日進行重估。公允值應用收入 method, based on the estimated distribution income of the 法，基於電影之估計發行收入使用貼現 films. The valuation takes into account of expected income to 現金流量法釐定。估值計及預期票房收 be generated from the box offices receipts and other income 益及其他收入來源產生之收入。貼現率 streams. The discount rates have been adjusted for the 已就可銷性及當前市況調整。 marketability and current market</t>
        </is>
      </c>
    </row>
    <row r="13">
      <c r="A13" s="8" t="inlineStr">
        <is>
          <t>Fair Value Measurement</t>
        </is>
      </c>
      <c r="B13" s="8" t="inlineStr">
        <is>
          <t>公允價值計量</t>
        </is>
      </c>
      <c r="C13" s="20" t="inlineStr">
        <is>
          <t>high</t>
        </is>
      </c>
      <c r="D13" s="11" t="inlineStr">
        <is>
          <t>unobservable input</t>
        </is>
      </c>
      <c r="E13" s="11" t="inlineStr">
        <is>
          <t>PDF p.235</t>
        </is>
      </c>
      <c r="F13" s="11" t="inlineStr">
        <is>
          <t>ch 2026 25. INVESTMENT IN FILMS 25. 電影投資（續） (Continued) Information about fair value measurements using significant 與使用重大不可觀察輸入值之公允值 unobservable inputs: 計量有關之資料： Relationship of unobservable inputs to Significant unobservable inputs fair value 不可觀察輸入值 重大不可觀察輸入值 與公允值之關係 2026 2025 二零二六年 二零二五年 Average returns 平均回報率 9.7% to 61.5% 28.7% to 61.5% The higher the average 9.7% 至61.5% 28.7%至61.5% returns, the higher the fair value. 平均回報率越高， 公允值越高。 Discount rate 貼現率 13.8% to 38.3% 13.0% to 34.2% The higher the discount 13.8% 至38.3% 13.0%</t>
        </is>
      </c>
    </row>
    <row r="14">
      <c r="A14" s="8" t="inlineStr">
        <is>
          <t>Fair Value Measurement</t>
        </is>
      </c>
      <c r="B14" s="8" t="inlineStr">
        <is>
          <t>公允價值計量</t>
        </is>
      </c>
      <c r="C14" s="20" t="inlineStr">
        <is>
          <t>high</t>
        </is>
      </c>
      <c r="D14" s="11" t="inlineStr">
        <is>
          <t>level 3</t>
        </is>
      </c>
      <c r="E14" s="11" t="inlineStr">
        <is>
          <t>PDF p.236</t>
        </is>
      </c>
      <c r="F14" s="11" t="inlineStr">
        <is>
          <t>(Continued) Reconciliation for investment in films carried at fair value based 按基於重大不可觀察輸入值之公允值 on significant unobservable inputs (Level 3) are as follows: （第三級）列賬之電影投資對賬如下： 2026 2025 二零二六年 二零二五年 HK$’000 HK$’000 千港元 千港元 At beginning of the year 於年初 2,258 42,846 Disposal 出售 – (2,151) Changes in fair value 公允值變動 212 (37,516) Exchange differences 匯兌差額 136 (921) At end of the year 於年末 2,606 2,258 26. PLEDGED DEPOSITS AND CASH AT 26. 已抵押存款以及銀行及手頭 BANKS AND IN HAND 現金 Cash at banks earns interest at floating rates based on daily 銀行</t>
        </is>
      </c>
    </row>
    <row r="15">
      <c r="A15" s="8" t="inlineStr">
        <is>
          <t>Fair Value Measurement</t>
        </is>
      </c>
      <c r="B15" s="8" t="inlineStr">
        <is>
          <t>公允價值計量</t>
        </is>
      </c>
      <c r="C15" s="20" t="inlineStr">
        <is>
          <t>high</t>
        </is>
      </c>
      <c r="D15" s="11" t="inlineStr">
        <is>
          <t>fair value hierarchy</t>
        </is>
      </c>
      <c r="E15" s="11" t="inlineStr">
        <is>
          <t>PDF p.279</t>
        </is>
      </c>
      <c r="F15" s="11" t="inlineStr">
        <is>
          <t>. FINANCIAL RISK MANAGEMENT AND FAIR 39. 財務風險管理及公允值計量 VALUE MEASUREMENTS (Continued) （續） 39.7 Fair value measurements 39.7 公允值計量 (i) Fair value hierarchy (i) 公允值等級 HKFRS 13 “Fair Value Measurement” categorises 香港財務報告準則第13號 fair value measurements into a three-level hierarchy. 「公允值計量」將公允值計 The level into which a fair value measurement 量分為三個等級。公允值計 is classified is determined with reference to the 量之分類級別乃參照估值方 observability and significance of the inputs used in 法所使用輸入值之可觀察程 the valuation technique as follows: 度及重要性釐定如下： • Level</t>
        </is>
      </c>
    </row>
    <row r="16">
      <c r="A16" s="8" t="inlineStr">
        <is>
          <t>Fair Value Measurement</t>
        </is>
      </c>
      <c r="B16" s="8" t="inlineStr">
        <is>
          <t>公允價值計量</t>
        </is>
      </c>
      <c r="C16" s="20" t="inlineStr">
        <is>
          <t>high</t>
        </is>
      </c>
      <c r="D16" s="11" t="inlineStr">
        <is>
          <t>fair value hierarchy</t>
        </is>
      </c>
      <c r="E16" s="11" t="inlineStr">
        <is>
          <t>PDF p.280</t>
        </is>
      </c>
      <c r="F16" s="11" t="inlineStr">
        <is>
          <t>K MANAGEMENT AND FAIR 39. 財務風險管理及公允值計量 VALUE MEASUREMENTS (Continued) （續） 39.7 Fair value measurements (Continued) 39.7 公允值計量（續） (i) Fair value hierarchy (Continued) (i) 公允值等級（續） Level 1 Level 2 Level 3 Total 第一級 第二級 第三級 總計 HK$’000 HK$’000 HK$’000 HK$’000 千港元 千港元 千港元 千港元 At 31 March 2026 於二零二六年 三月三十一日 Financial assets 金融資產 Financial assets 按公允值計入其他 at FVTOCI 全面收入之 金融資產 177,443 – – 177,443 Investment in films and 投資電影及 television program 電視節目 – – 2,606 2,606 Investment properties 投資物業 – 91,373 204,545 295,918 Level 1 Level 2 Lev</t>
        </is>
      </c>
    </row>
    <row r="17">
      <c r="A17" s="8" t="inlineStr">
        <is>
          <t>Fair Value Measurement</t>
        </is>
      </c>
      <c r="B17" s="8" t="inlineStr">
        <is>
          <t>公允價值計量</t>
        </is>
      </c>
      <c r="C17" s="20" t="inlineStr">
        <is>
          <t>high</t>
        </is>
      </c>
      <c r="D17" s="11" t="inlineStr">
        <is>
          <t>fair value hierarchy</t>
        </is>
      </c>
      <c r="E17" s="11" t="inlineStr">
        <is>
          <t>PDF p.281</t>
        </is>
      </c>
      <c r="F17" s="11" t="inlineStr">
        <is>
          <t>K MANAGEMENT AND FAIR 39. 財務風險管理及公允值計量 VALUE MEASUREMENTS (Continued) （續） 39.7 Fair value measurements (Continued) 39.7 公允值計量（續） (i) Fair value hierarchy (Continued) (i) 公允值等級（續） During the years ended 31 March 2026, there 於截至二零二六年三月 were no transfers between Level 1 and Level 2 or 三十一日止年度，第一級與 transfers into or out of Level 3. 第二級之間並無轉撥，亦無 轉入第三級或自第三級轉 出。 During the year ended 31 March 2025, the Group 於截至二零二五年三月 has transferred an investment property from Level 3 三十一日止年度，本集團將 into Level 2 of the fair value hierarchy. Such trans</t>
        </is>
      </c>
    </row>
    <row r="18">
      <c r="A18" s="8" t="inlineStr">
        <is>
          <t>Fair Value Measurement</t>
        </is>
      </c>
      <c r="B18" s="8" t="inlineStr">
        <is>
          <t>公允價值計量</t>
        </is>
      </c>
      <c r="C18" s="20" t="inlineStr">
        <is>
          <t>high</t>
        </is>
      </c>
      <c r="D18" s="11" t="inlineStr">
        <is>
          <t>level 1</t>
        </is>
      </c>
      <c r="E18" s="11" t="inlineStr">
        <is>
          <t>PDF p.288</t>
        </is>
      </c>
      <c r="F18" s="11" t="inlineStr">
        <is>
          <t>ercial International Wonderland, 40 Xing Fu Er Cun, Chaoyang District, Beijing, the PRC* 中國北京市朝陽區 中期 商用 幸福二村40號樓 首開幸福廣場A座4層 Basement Level 1 and level 3 of Tower B, Medium Commercial International Wonderland, 40 Xing Fu Er Cun, Chaoyang District, Beijing, the PRC* 中國北京市朝陽區 中期 商用 幸福二村40號樓 首開幸福廣場B座1層及3層 Rooms 703, 704, 705 on the 7th floor, Medium Commercial Rooms 1401, 1402 and portion of 1407 on the 14th floor of Tower B, Jian Xin International Plaza, Ya Ou Road, Khorgos, the PRC* 中國霍爾果斯亞歐路 中期 商用 建新國際廣場B幢 7層703室、704室、705室、 14層1</t>
        </is>
      </c>
    </row>
    <row r="19">
      <c r="A19" s="8" t="inlineStr">
        <is>
          <t>Impairment Testing</t>
        </is>
      </c>
      <c r="B19" s="8" t="inlineStr">
        <is>
          <t>減值測試</t>
        </is>
      </c>
      <c r="C19" s="20" t="inlineStr">
        <is>
          <t>high</t>
        </is>
      </c>
      <c r="D19" s="11" t="inlineStr">
        <is>
          <t>impairment loss</t>
        </is>
      </c>
      <c r="E19" s="11" t="inlineStr">
        <is>
          <t>PDF p.6</t>
        </is>
      </c>
      <c r="F19" s="11" t="inlineStr">
        <is>
          <t>其他收入、收益及虧損為收 of approximately HK$5.6 million (2025: losses of approximately 益約5,600,000港元（二零二五年：虧損約 HK$78.4 million). 78,400,000港元）。 Impairment loss of trade receivables was nil (2025: approximately 應收貿易款項之減值虧損為零（二零二五年： HK$2.3 million). 約2,300,000港元）。 Reversal of impairment loss recognised on loan receivables and 就應收貸款及應收貸款利息確認之減值虧損 loan interest receivables amounted to approximately HK$4.3 million 撥回為約4,300,000港元（二零二五年：零）。 (2025: nil). Impairment loss recognised on goodwill amounted to approximately 就商譽確認之減值虧損為約20,100,000港元 HK</t>
        </is>
      </c>
    </row>
    <row r="20">
      <c r="A20" s="8" t="inlineStr">
        <is>
          <t>Impairment Testing</t>
        </is>
      </c>
      <c r="B20" s="8" t="inlineStr">
        <is>
          <t>減值測試</t>
        </is>
      </c>
      <c r="C20" s="20" t="inlineStr">
        <is>
          <t>high</t>
        </is>
      </c>
      <c r="D20" s="11" t="inlineStr">
        <is>
          <t>impairment loss</t>
        </is>
      </c>
      <c r="E20" s="11" t="inlineStr">
        <is>
          <t>PDF p.17</t>
        </is>
      </c>
      <c r="F20" s="11" t="inlineStr">
        <is>
          <t>節 this financial year. 目之公允值變動及租賃修訂收益。 Impairment of goodwill and impairment of properties, plant 商譽減值以及物業、機器及設備減值 and equipment The impairment losses on goodwill of approximately HK$20.1 million, 於截至二零二六年三月三十一日止年度， which is for property management services for the year ended 31 商譽之減值虧損約為20,100,000港元，該減 March 2026 (31 March 2025: approximately HK$29.3 million). The 值與物業管理服務有關（二零二五年三月 impairment losses on properties, plant and equipment was nil for the 三十一日：約29,300,000港元）。於截至二零 year ended 31 March 2026 (31 March 2025: HK$328.5 m</t>
        </is>
      </c>
    </row>
    <row r="21">
      <c r="A21" s="8" t="inlineStr">
        <is>
          <t>Impairment Testing</t>
        </is>
      </c>
      <c r="B21" s="8" t="inlineStr">
        <is>
          <t>減值測試</t>
        </is>
      </c>
      <c r="C21" s="20" t="inlineStr">
        <is>
          <t>high</t>
        </is>
      </c>
      <c r="D21" s="11" t="inlineStr">
        <is>
          <t>impairment test</t>
        </is>
      </c>
      <c r="E21" s="11" t="inlineStr">
        <is>
          <t>PDF p.18</t>
        </is>
      </c>
      <c r="F21" s="11" t="inlineStr">
        <is>
          <t>管理層討論及分析 Management Discussion and Analysis For the purpose of the goodwill impairment test, the Directors 就商譽減值測試而言，董事參考獨立合資格 determined the recoverable amounts of the cash generating unit 專業估值師行華坊諮詢評估有限公司（「華 (“CGU”) of property management services from fair value less cost 坊」）進行之業務估值，透過公允值減出售成 of disposal calculations with reference to the business valuations 本計算釐定物業管理服務現金產生單位之可 performed by CHFT Advisory and Appraisal Limited (“CHFT”), an 收回金額。業務估值乃由華坊採用稅前現金 independen</t>
        </is>
      </c>
    </row>
    <row r="22">
      <c r="A22" s="8" t="inlineStr">
        <is>
          <t>Impairment Testing</t>
        </is>
      </c>
      <c r="B22" s="8" t="inlineStr">
        <is>
          <t>減值測試</t>
        </is>
      </c>
      <c r="C22" s="20" t="inlineStr">
        <is>
          <t>high</t>
        </is>
      </c>
      <c r="D22" s="11" t="inlineStr">
        <is>
          <t>impairment loss</t>
        </is>
      </c>
      <c r="E22" s="11" t="inlineStr">
        <is>
          <t>PDF p.19</t>
        </is>
      </c>
      <c r="F22" s="11" t="inlineStr">
        <is>
          <t>remaining 之期間及剩餘可使用年期屆滿前的估計現金 useful life, the estimated cash flow projections are extrapolated. As 流量預測則以外推法得出。因此，就汽車業 a result, an impairment loss of HK$328.5 million was recognised to 務現金產生單位之物業、機器及設備確認減 property, plant and equipment of automobile business CGU. 值虧損328,500,000港元。 As at 31 March 2025, the Directors determined the recoverable 於二零二五年三月三十一日，董事參考獨立 amounts of the automobile dealership CGU from value-in-use 專業合資格估值師進行之估值，採用根據涵 calculations with reference to valuation performed by independent 蓋詳細五年預算計劃之獲正式批准預算編製 pro</t>
        </is>
      </c>
    </row>
    <row r="23">
      <c r="A23" s="8" t="inlineStr">
        <is>
          <t>Impairment Testing</t>
        </is>
      </c>
      <c r="B23" s="8" t="inlineStr">
        <is>
          <t>減值測試</t>
        </is>
      </c>
      <c r="C23" s="20" t="inlineStr">
        <is>
          <t>high</t>
        </is>
      </c>
      <c r="D23" s="11" t="inlineStr">
        <is>
          <t>impairment loss</t>
        </is>
      </c>
      <c r="E23" s="11" t="inlineStr">
        <is>
          <t>PDF p.20</t>
        </is>
      </c>
      <c r="F23" s="11" t="inlineStr">
        <is>
          <t>ment contracts, there is uncertainty regarding the feasibility 況不理想，執行相關物業合約的可行性存在 of executing the relevant property contracts. The impairment loss 不確定性。因此，已就截至二零二六年三月 of approximately HK$1.5 million has been recognised against the 三十一日止年度物業管理合約客戶名單之賬 carrying amount of the customer list from property management 面金額確認減值虧損約1,500,000港元。 contracts for the year ended 31 March 2026. During the year ended 31 March 2025, the property management 於截至二零二五年三月三十一日止年度， service business suffered from significant decrease in revenue due 由於年內</t>
        </is>
      </c>
    </row>
    <row r="24">
      <c r="A24" s="8" t="inlineStr">
        <is>
          <t>Impairment Testing</t>
        </is>
      </c>
      <c r="B24" s="8" t="inlineStr">
        <is>
          <t>減值測試</t>
        </is>
      </c>
      <c r="C24" s="20" t="inlineStr">
        <is>
          <t>high</t>
        </is>
      </c>
      <c r="D24" s="11" t="inlineStr">
        <is>
          <t>CGU</t>
        </is>
      </c>
      <c r="E24" s="11" t="inlineStr">
        <is>
          <t>PDF p.145</t>
        </is>
      </c>
      <c r="F24" s="11" t="inlineStr">
        <is>
          <t>uring the year. As at 31 零二六年三月三十一日， 貴集團從事汽 March 2026, the carrying amount of the Group’s cash-generating 車分銷業務之現金產生單位賬面金額約為 unit (“CGU”) engaged in the automobile dealerships business 760,408,000港元，當中主要包括汽車分銷 was approximately HK$760,408,000 of which mainly comprise of 業務之物業、機器及設備。 property, plant and equipment from automobile dealership business. 144 NEW SPARKLE ROLL INTERNATIONAL GROUP LIMITED 新耀萊國際集團有限公司 ANNUAL REPORT 2026 年報</t>
        </is>
      </c>
    </row>
    <row r="25">
      <c r="A25" s="8" t="inlineStr">
        <is>
          <t>Impairment Testing</t>
        </is>
      </c>
      <c r="B25" s="8" t="inlineStr">
        <is>
          <t>減值測試</t>
        </is>
      </c>
      <c r="C25" s="20" t="inlineStr">
        <is>
          <t>high</t>
        </is>
      </c>
      <c r="D25" s="11" t="inlineStr">
        <is>
          <t>impairment loss</t>
        </is>
      </c>
      <c r="E25" s="11" t="inlineStr">
        <is>
          <t>PDF p.146</t>
        </is>
      </c>
      <c r="F25" s="11" t="inlineStr">
        <is>
          <t>profit margin 當之貼現率。根據有關評估，並無於截至二 and in determining an appropriate discount rate. Based on such 零二六年三月三十一日止年度之綜合全面收 assessment, no impairment losses were recognised in consolidated 入報表中確認減值虧損。 statement of comprehensive income for the year ended 31 March 2026. Given the involvement of significant management judgement and 鑑於該減值評估涉及重大管理層判斷及估計， estimation in this impairment assessment and the significance of the 以及該等物業、機器及設備以及商譽之賬面 carrying amount of the property, plant and equipment and goodwill 金額對 貴集團之綜合財務報表之重要性， to the Group</t>
        </is>
      </c>
    </row>
    <row r="26">
      <c r="A26" s="8" t="inlineStr">
        <is>
          <t>Impairment Testing</t>
        </is>
      </c>
      <c r="B26" s="8" t="inlineStr">
        <is>
          <t>減值測試</t>
        </is>
      </c>
      <c r="C26" s="20" t="inlineStr">
        <is>
          <t>high</t>
        </is>
      </c>
      <c r="D26" s="11" t="inlineStr">
        <is>
          <t>impairment loss</t>
        </is>
      </c>
      <c r="E26" s="11" t="inlineStr">
        <is>
          <t>PDF p.147</t>
        </is>
      </c>
      <c r="F26" s="11" t="inlineStr">
        <is>
          <t>alculation 我們重點關注此範疇及視此為關鍵審計事項。 involves significant judgement and estimates used by management. Based on the impairment assessment, impairment loss on goodwill 根據有關減值評估，已於截至二零二六年三 of HK$20,134,000 was recognised in consolidated statement of 月三十一日止年度之綜合全面收入報表中確 comprehensive income for the year ended 31 March 2026. 認商譽減值虧損20,134,000港元。 146 NEW SPARKLE ROLL INTERNATIONAL GROUP LIMITED 新耀萊國際集團有限公司 ANNUAL REPORT 2026 年報</t>
        </is>
      </c>
    </row>
    <row r="27">
      <c r="A27" s="8" t="inlineStr">
        <is>
          <t>Impairment Testing</t>
        </is>
      </c>
      <c r="B27" s="8" t="inlineStr">
        <is>
          <t>減值測試</t>
        </is>
      </c>
      <c r="C27" s="20" t="inlineStr">
        <is>
          <t>high</t>
        </is>
      </c>
      <c r="D27" s="11" t="inlineStr">
        <is>
          <t>impairment loss</t>
        </is>
      </c>
      <c r="E27" s="11" t="inlineStr">
        <is>
          <t>PDF p.169</t>
        </is>
      </c>
      <c r="F27" s="11" t="inlineStr">
        <is>
          <t>In the Company’s statement of financial position, 於本公司之財務狀況報表中，於 investments in subsidiaries are stated at cost less 附屬公司之投資按成本扣除減值 impairment loss, if any. The results of subsidiaries are 虧損（如有）列賬。本公司按已收 accounted for by the Company on the basis of dividend 及應收股息將附屬公司之業績入 received and receivable. 賬。 168 NEW SPARKLE ROLL INTERNATIONAL GROUP LIMITED 新耀萊國際集團有限公司 ANNUAL REPORT 2026 年報</t>
        </is>
      </c>
    </row>
    <row r="28">
      <c r="A28" s="8" t="inlineStr">
        <is>
          <t>Impairment Testing</t>
        </is>
      </c>
      <c r="B28" s="8" t="inlineStr">
        <is>
          <t>減值測試</t>
        </is>
      </c>
      <c r="C28" s="20" t="inlineStr">
        <is>
          <t>high</t>
        </is>
      </c>
      <c r="D28" s="11" t="inlineStr">
        <is>
          <t>impairment loss</t>
        </is>
      </c>
      <c r="E28" s="11" t="inlineStr">
        <is>
          <t>PDF p.171</t>
        </is>
      </c>
      <c r="F28" s="11" t="inlineStr">
        <is>
          <t>ies Property, plant and equipment are stated at cost 物業、機器及設備按成本減累計 less accumulated depreciation and any accumulated 折舊及任何累計減值虧損列賬。 impairment losses. Depreciation on property, plant and equipment is 物業、機器及設備折舊按以下估 calculated to write off the cost of items of property, plant 計可用年期及扣除估計剩餘價值 and equipment, less their estimated residual value, if any, （如有）後，以直線法計算，以撇 using the straight-line method over their estimated useful 銷物業、機器及設備成本： lives as follows: Land and buildings Remaining lease terms 土地及樓宇 餘下租期 Furniture, fixtures and</t>
        </is>
      </c>
    </row>
    <row r="29">
      <c r="A29" s="8" t="inlineStr">
        <is>
          <t>Impairment Testing</t>
        </is>
      </c>
      <c r="B29" s="8" t="inlineStr">
        <is>
          <t>減值測試</t>
        </is>
      </c>
      <c r="C29" s="20" t="inlineStr">
        <is>
          <t>high</t>
        </is>
      </c>
      <c r="D29" s="11" t="inlineStr">
        <is>
          <t>impairment loss</t>
        </is>
      </c>
      <c r="E29" s="11" t="inlineStr">
        <is>
          <t>PDF p.172</t>
        </is>
      </c>
      <c r="F29" s="11" t="inlineStr">
        <is>
          <t>identifiable assets and liabilities 可識別資產及負債之公允值 measured as at the acquisition date. Goodwill is 的多出之數。商譽按成本扣 measured at cost less impairment losses. 除減值虧損計量。 (ii) Intangible assets (other than goodwill) (ii) 無形資產（不包括商譽） Intangible assets that are acquired by the Group are 本集團購入之無形資產按成 stated at cost less accumulated amortisation (where 本減累計攤銷（在估計可用 the estimated useful life is finite) and impairment 年期為確定之情況下）及減 losses. 值虧損列賬。 Amortisation of intangible assets with finite useful 有確定可用年期之無形資產 lives is charged to profit or los</t>
        </is>
      </c>
    </row>
    <row r="30">
      <c r="A30" s="8" t="inlineStr">
        <is>
          <t>Impairment Testing</t>
        </is>
      </c>
      <c r="B30" s="8" t="inlineStr">
        <is>
          <t>減值測試</t>
        </is>
      </c>
      <c r="C30" s="20" t="inlineStr">
        <is>
          <t>high</t>
        </is>
      </c>
      <c r="D30" s="11" t="inlineStr">
        <is>
          <t>impairment loss</t>
        </is>
      </c>
      <c r="E30" s="11" t="inlineStr">
        <is>
          <t>PDF p.174</t>
        </is>
      </c>
      <c r="F30" s="11" t="inlineStr">
        <is>
          <t>losses are recognised 本。其他收益及虧損淨額於其他 in other comprehensive income and are not reclassified 全面收入確認，且不會重新分類 to profit or loss. 至損益表。 Impairment loss on financial assets 金融資產之減值虧損 The Group recognises loss allowances for expected credit 本集團就應收貿易款項及按攤銷 loss (“ECL”) on trade receivables and other financial 成本計量之其他金融資產之預期 assets measured at amortised cost. 信貸虧損確認虧損備抵。 173 NEW SPARKLE ROLL INTERNATIONAL GROUP LIMITED 新耀萊國際集團有限公司 ANNUAL REPORT 2026 年報</t>
        </is>
      </c>
    </row>
    <row r="31">
      <c r="A31" s="8" t="inlineStr">
        <is>
          <t>Impairment Testing</t>
        </is>
      </c>
      <c r="B31" s="8" t="inlineStr">
        <is>
          <t>減值測試</t>
        </is>
      </c>
      <c r="C31" s="20" t="inlineStr">
        <is>
          <t>high</t>
        </is>
      </c>
      <c r="D31" s="11" t="inlineStr">
        <is>
          <t>impairment loss</t>
        </is>
      </c>
      <c r="E31" s="11" t="inlineStr">
        <is>
          <t>PDF p.175</t>
        </is>
      </c>
      <c r="F31" s="11" t="inlineStr">
        <is>
          <t>二六年三月三十一日 31 March 2026 4. SUMMARY OF ACCOUNTING POLICIES 4. 會計政策概要（續） (Continued) 4.6 Financial instruments (Continued) 4.6 金融工具（續） Impairment loss on financial assets (Continued) 金融資產之減值虧損（續） ECLs are a probability-weighted estimate of credit losses. 預期信貸虧損為信貸虧損之概率 Credit losses are measured as the difference between 加權估計。信貸虧損乃按根據合 all contractual cash flows that are due to the Group in 約應付本集團之合約現金流總額 accordance with the contract and all the cash flows 與本集團預期收取之所有現金流 that the Group expects to receive. The shortfall is then 之差</t>
        </is>
      </c>
    </row>
    <row r="32">
      <c r="A32" s="8" t="inlineStr">
        <is>
          <t>Impairment Testing</t>
        </is>
      </c>
      <c r="B32" s="8" t="inlineStr">
        <is>
          <t>減值測試</t>
        </is>
      </c>
      <c r="C32" s="20" t="inlineStr">
        <is>
          <t>high</t>
        </is>
      </c>
      <c r="D32" s="11" t="inlineStr">
        <is>
          <t>impairment loss</t>
        </is>
      </c>
      <c r="E32" s="11" t="inlineStr">
        <is>
          <t>PDF p.176</t>
        </is>
      </c>
      <c r="F32" s="11" t="inlineStr">
        <is>
          <t>二六年三月三十一日 31 March 2026 4. SUMMARY OF ACCOUNTING POLICIES 4. 會計政策概要（續） (Continued) 4.6 Financial instruments (Continued) 4.6 金融工具（續） Impairment loss on financial assets (Continued) 金融資產之減值虧損（續） The Group assumes that the credit risk on a financial 倘金融資產逾期超過30日，則本 asset has increased significantly if it is more than 30 集團推定金融資產之信貸風險會 days past due unless the Group has reasonable and 大幅增加，除非本集團有合理及 supportable information that a more lagging default 具理據支持資料顯示一個更為滯 criteria is more appropriate. 後之違約條件更加適當。 The Group considers a fi</t>
        </is>
      </c>
    </row>
    <row r="33">
      <c r="A33" s="8" t="inlineStr">
        <is>
          <t>Impairment Testing</t>
        </is>
      </c>
      <c r="B33" s="8" t="inlineStr">
        <is>
          <t>減值測試</t>
        </is>
      </c>
      <c r="C33" s="20" t="inlineStr">
        <is>
          <t>high</t>
        </is>
      </c>
      <c r="D33" s="11" t="inlineStr">
        <is>
          <t>impairment loss</t>
        </is>
      </c>
      <c r="E33" s="11" t="inlineStr">
        <is>
          <t>PDF p.180</t>
        </is>
      </c>
      <c r="F33" s="11" t="inlineStr">
        <is>
          <t>he cost 使用權資產。根據成本模型，本集 model, the Group measures the right-to-use at cost, less 團按成本減去任何累計折舊及任 any accumulated depreciation and any impairment losses, 何減值虧損計量使用權資產，並 and adjusted for any remeasurement of lease liability. The 就租賃負債之任何重新計量作出 Group accounts for leasehold land and buildings that 調整。本集團根據香港會計準則 are held for rental or capital appreciation purpose under 第40號「投資物業」將持作租金或 HKAS 40 “Investment Property” and are carried at fair 資本增值用途並按公允值列值之 value. 租賃土地及樓宇入賬。 Lease liability 租賃負債 The lease liability is initially recognis</t>
        </is>
      </c>
    </row>
    <row r="34">
      <c r="A34" s="8" t="inlineStr">
        <is>
          <t>Impairment Testing</t>
        </is>
      </c>
      <c r="B34" s="8" t="inlineStr">
        <is>
          <t>減值測試</t>
        </is>
      </c>
      <c r="C34" s="20" t="inlineStr">
        <is>
          <t>high</t>
        </is>
      </c>
      <c r="D34" s="11" t="inlineStr">
        <is>
          <t>impairment loss</t>
        </is>
      </c>
      <c r="E34" s="11" t="inlineStr">
        <is>
          <t>PDF p.185</t>
        </is>
      </c>
      <c r="F34" s="11" t="inlineStr">
        <is>
          <t>identify indications 外來之訊息，以識別下列資產可 that the following assets may be impaired or, except 能出現減值之跡象，或（除商譽 in the case of goodwill, an impairment loss previously 外）以往確認之減值虧損不復存 recognised no longer exists or may have decreased: 在或可能已經減少之跡象： – property, plant and equipment; － 物業、機器及設備； – other intangible assets; － 其他無形資產； – goodwill; and － 商譽；及 – investments in subsidiaries in the Company’s － 本公司財務狀況報表所示於 statement of financial position. 附屬公司之投資。 If any such indication exists, the asset’s recoverable 倘存在任何有關跡象，則本集團 amount is estim</t>
        </is>
      </c>
    </row>
    <row r="35">
      <c r="A35" s="8" t="inlineStr">
        <is>
          <t>Impairment Testing</t>
        </is>
      </c>
      <c r="B35" s="8" t="inlineStr">
        <is>
          <t>減值測試</t>
        </is>
      </c>
      <c r="C35" s="20" t="inlineStr">
        <is>
          <t>high</t>
        </is>
      </c>
      <c r="D35" s="11" t="inlineStr">
        <is>
          <t>impairment loss</t>
        </is>
      </c>
      <c r="E35" s="11" t="inlineStr">
        <is>
          <t>PDF p.186</t>
        </is>
      </c>
      <c r="F35" s="11" t="inlineStr">
        <is>
          <t>併而 CGU that are expected to benefit from the synergies of 產生之商譽會分配至預期受惠於 the combination. 合併所產生協同效益之現金產生 單位或現金產生單位組別。 Recognition of impairment losses 確認減值虧損 An impairment loss is recognised in profit or loss if the 倘資產或其所屬現金產生單位之 carrying amount of an asset, or the CGU to which it 賬面金額超過可收回金額，則本 belongs, exceeds its recoverable amount. Impairment 集團會於損益表確認減值虧損。 losses recognised in respect of CGUs are allocated first 就現金產生單位確認之減值虧損 to reduce the carrying amount of any goodwill allocated 會先作分配以減少任何攤分至該 to the CGU (or group of C</t>
        </is>
      </c>
    </row>
    <row r="36">
      <c r="A36" s="8" t="inlineStr">
        <is>
          <t>Impairment Testing</t>
        </is>
      </c>
      <c r="B36" s="8" t="inlineStr">
        <is>
          <t>減值測試</t>
        </is>
      </c>
      <c r="C36" s="20" t="inlineStr">
        <is>
          <t>high</t>
        </is>
      </c>
      <c r="D36" s="11" t="inlineStr">
        <is>
          <t>impairment loss</t>
        </is>
      </c>
      <c r="E36" s="11" t="inlineStr">
        <is>
          <t>PDF p.187</t>
        </is>
      </c>
      <c r="F36" s="11" t="inlineStr">
        <is>
          <t>6 4. SUMMARY OF ACCOUNTING POLICIES 4. 會計政策概要（續） (Continued) 4.14 Impairment of other assets (Continued) 4.14 其他資產減值（續） Reversals of impairment losses 減值虧損撥回 In respect of assets other than goodwill, an impairment 就資產（不包括商譽）而言，倘用 loss is reversed if there has been a favourable change in 於釐定可收回金額之估計發生有 the estimates used to determine the recoverable amount. 利之變化，則本集團會撥回減值 An impairment loss in respect of goodwill is not reversed. 虧損。有關商譽之減值虧損不予 撥回。 A reversal of an impairment loss is limited to the asset’s 減值虧損撥回以假設過往年度並 carryin</t>
        </is>
      </c>
    </row>
    <row r="37">
      <c r="A37" s="8" t="inlineStr">
        <is>
          <t>Impairment Testing</t>
        </is>
      </c>
      <c r="B37" s="8" t="inlineStr">
        <is>
          <t>減值測試</t>
        </is>
      </c>
      <c r="C37" s="20" t="inlineStr">
        <is>
          <t>high</t>
        </is>
      </c>
      <c r="D37" s="11" t="inlineStr">
        <is>
          <t>CGU</t>
        </is>
      </c>
      <c r="E37" s="11" t="inlineStr">
        <is>
          <t>PDF p.192</t>
        </is>
      </c>
      <c r="F37" s="11" t="inlineStr">
        <is>
          <t>ing whether goodwill is impaired requires an 釐定商譽是否出現減值須估計獲 estimation of the fair value less cost of disposal of 分配商譽之現金產生單位之公允 the CGUs to which goodwill has been allocated. The 值減出售成本。計算公允值減出 fair value less cost of disposal calculation requires the 售成本時，董事須估計現金產生 directors to estimate the future cash flows expected to 單位預期產生之未來現金流，並 arise from the CGU and a suitable discount rate in order 選定適當之貼現率以計算其現值。 to calculate the present value. (ii) Impairment of other non-financial assets (ii) 其他非金融資產減值 The Group assesses at the en</t>
        </is>
      </c>
    </row>
    <row r="38">
      <c r="A38" s="8" t="inlineStr">
        <is>
          <t>Impairment Testing</t>
        </is>
      </c>
      <c r="B38" s="8" t="inlineStr">
        <is>
          <t>減值測試</t>
        </is>
      </c>
      <c r="C38" s="20" t="inlineStr">
        <is>
          <t>high</t>
        </is>
      </c>
      <c r="D38" s="11" t="inlineStr">
        <is>
          <t>impairment loss</t>
        </is>
      </c>
      <c r="E38" s="11" t="inlineStr">
        <is>
          <t>PDF p.210</t>
        </is>
      </c>
      <c r="F38" s="11" t="inlineStr">
        <is>
          <t>) (340) (278) (9,880) Additions 添置 – 922 8,829 9,751 Transfer to investment properties 轉撥至投資物業（附註18） (Note 18) (19,322) – – (19,322) Impairment loss 減值虧損 (328,542) – – (328,542) Disposals 出售 – (118) (13,484) (13,602) Written off 撇銷 – (15) – (15) Depreciation 折舊 (39,891) (3,715) (2,880) (46,486) Revaluation loss 重估虧損 (19,125) – – (19,125) Modification of lease 租賃修訂 3,687 – – 3,687 Closing net carrying amount 年末賬面淨額 512,482 5,268 8,275 526,025 At 31 March 2025 於二零二五年三月三十一日 Cost 成本 1,104,988 311,223 25,568 1,441,779 Accumulated de</t>
        </is>
      </c>
    </row>
    <row r="39">
      <c r="A39" s="8" t="inlineStr">
        <is>
          <t>Impairment Testing</t>
        </is>
      </c>
      <c r="B39" s="8" t="inlineStr">
        <is>
          <t>減值測試</t>
        </is>
      </c>
      <c r="C39" s="20" t="inlineStr">
        <is>
          <t>high</t>
        </is>
      </c>
      <c r="D39" s="11" t="inlineStr">
        <is>
          <t>impairment loss</t>
        </is>
      </c>
      <c r="E39" s="11" t="inlineStr">
        <is>
          <t>PDF p.211</t>
        </is>
      </c>
      <c r="F39" s="11" t="inlineStr">
        <is>
          <t>demand and new dealership commencement 場反應及需求回升，加上未來將有新分 in the future. Based on the above assessment, no further 銷店開業。基於上述評估，並無確認進 impairment loss is recognised. 一步減值虧損。 During the year ended 31 March 2025, the use of certain 於截至二零二五年三月三十一日止年 land and buildings of the Group located in the PRC has been 度，本集團與租戶簽訂為期12個月之租 changed to long term leasing purpose, as evidenced by the 賃協議，證明本集團於中國之若干土地 signing of the lease agreements with the tenants for a term 及樓宇之用途更改為長期租賃。因此， of 12 months. Accordingly, the carrying amount of the r</t>
        </is>
      </c>
    </row>
    <row r="40">
      <c r="A40" s="8" t="inlineStr">
        <is>
          <t>Impairment Testing</t>
        </is>
      </c>
      <c r="B40" s="8" t="inlineStr">
        <is>
          <t>減值測試</t>
        </is>
      </c>
      <c r="C40" s="20" t="inlineStr">
        <is>
          <t>high</t>
        </is>
      </c>
      <c r="D40" s="11" t="inlineStr">
        <is>
          <t>recoverable amount</t>
        </is>
      </c>
      <c r="E40" s="11" t="inlineStr">
        <is>
          <t>PDF p.212</t>
        </is>
      </c>
      <c r="F40" s="11" t="inlineStr">
        <is>
          <t>ear. As at 30 September 2024, based on the result 日，管理層基於評估結果釐定，汽車 of the assessment, management determined that the 業務現金產生單位之可收回金額為 recoverable amount of the CGU of automobile business to 1,019,558,000港元，為其公允值減出 be HK$1,019,558,000, being the higher of its fair value less 售成本810,548,000港元及其使用價值 cost of disposal of HK$810,548,000 and its value in use of 1,019,558,000港元中的較高者，但低 HK$1,019,558,000, is lower than the carrying amount of 於賬面值1,348,100,000港元。經參考 HK$1,348,100,000. The value-in-use calculation with reference 獨立專業合資格估值師進行</t>
        </is>
      </c>
    </row>
    <row r="41">
      <c r="A41" s="8" t="inlineStr">
        <is>
          <t>Impairment Testing</t>
        </is>
      </c>
      <c r="B41" s="8" t="inlineStr">
        <is>
          <t>減值測試</t>
        </is>
      </c>
      <c r="C41" s="20" t="inlineStr">
        <is>
          <t>high</t>
        </is>
      </c>
      <c r="D41" s="11" t="inlineStr">
        <is>
          <t>impairment loss</t>
        </is>
      </c>
      <c r="E41" s="11" t="inlineStr">
        <is>
          <t>PDF p.213</t>
        </is>
      </c>
      <c r="F41" s="11" t="inlineStr">
        <is>
          <t>ed to subside hence 大品牌所面臨的車型換代挑戰將有所 improve market response and demand. Based on the above 緩解，因而改善市場反應及需求。基於 assessment, no further impairment loss is recognised. 上述評估，並無進一步確認減值虧損。 The Group’s land and buildings with carrying amount of 本集團賬面金額約483,274,000港元 approximately HK$483,274,000 (2025: HK$475,251,000) were （二零二五年：475,251,000港元）之土 pledged as securities for the Group’s borrowing facilities. 地及樓宇已抵押作為本集團借貸融資 之擔保。 17. LEASE 17. 租賃 (a) The Group as lessee (a) 本集團作為承租人 The Group has lease contracts for buildings, which 本集團有關於</t>
        </is>
      </c>
    </row>
    <row r="42">
      <c r="A42" s="8" t="inlineStr">
        <is>
          <t>Impairment Testing</t>
        </is>
      </c>
      <c r="B42" s="8" t="inlineStr">
        <is>
          <t>減值測試</t>
        </is>
      </c>
      <c r="C42" s="20" t="inlineStr">
        <is>
          <t>high</t>
        </is>
      </c>
      <c r="D42" s="11" t="inlineStr">
        <is>
          <t>impairment loss</t>
        </is>
      </c>
      <c r="E42" s="11" t="inlineStr">
        <is>
          <t>PDF p.214</t>
        </is>
      </c>
      <c r="F42" s="11" t="inlineStr">
        <is>
          <t>用 (21,568) (14,712) (36,280) Transfer to investment properties 轉撥至投資物業 (18,102) – (18,102) Revaluation loss 重估虧損 (17,918) – (17,918) Impairment loss 減值虧損 (258,628) (11,240) (269,868) Exchange differences 匯兌差額 (7,642) (655) (8,297) As at 31 March 2025 and 於二零二五年三月三十一日及 1 April 2025 二零二五年四月一日 419,421 25,808 445,229 Additions 添置 – 18,550 18,550 Modification of lease 租賃修訂 – 5,998 5,998 Depreciation expense 折舊費用 (16,209) (11,451) (27,660) Exchange differences 匯兌差額 23,278 1,899 25,177 As at 31 March 2026 於二零二六年三月三十一日 426,490 40,804 4</t>
        </is>
      </c>
    </row>
    <row r="43">
      <c r="A43" s="8" t="inlineStr">
        <is>
          <t>Impairment Testing</t>
        </is>
      </c>
      <c r="B43" s="8" t="inlineStr">
        <is>
          <t>減值測試</t>
        </is>
      </c>
      <c r="C43" s="20" t="inlineStr">
        <is>
          <t>high</t>
        </is>
      </c>
      <c r="D43" s="11" t="inlineStr">
        <is>
          <t>impairment loss</t>
        </is>
      </c>
      <c r="E43" s="11" t="inlineStr">
        <is>
          <t>PDF p.221</t>
        </is>
      </c>
      <c r="F43" s="11" t="inlineStr">
        <is>
          <t>1,399 (16,014) At end of the year 於年末 770,029 728,630 Accumulated impairment: 累計減值： At beginning of the year 於年初 (674,747) (659,936) Impairment loss recognised 確認減值虧損 (20,134) (29,318) Exchange differences 匯兌差額 (39,023) 14,507 At end of the year 於年末 733,904 (674,747) Net carrying amount 賬面淨額 36,125 53,883 The carrying amount of goodwill is allocated to the CGU as 商譽之賬面金額分配至以下現金產生 follows: 單位： 2026 2025 二零二六年 二零二五年 HK$’000 HK$’000 千港元 千港元 Property management services 物業管理服務 36,125 53,883 220 NEW SPARKLE ROLL INTERNATIONAL GROUP</t>
        </is>
      </c>
    </row>
    <row r="44">
      <c r="A44" s="8" t="inlineStr">
        <is>
          <t>Impairment Testing</t>
        </is>
      </c>
      <c r="B44" s="8" t="inlineStr">
        <is>
          <t>減值測試</t>
        </is>
      </c>
      <c r="C44" s="20" t="inlineStr">
        <is>
          <t>high</t>
        </is>
      </c>
      <c r="D44" s="11" t="inlineStr">
        <is>
          <t>impairment test</t>
        </is>
      </c>
      <c r="E44" s="11" t="inlineStr">
        <is>
          <t>PDF p.222</t>
        </is>
      </c>
      <c r="F44" s="11" t="inlineStr">
        <is>
          <t>to the Financial Statements (Continued) 二零二六年三月三十一日 31 March 2026 19. GOODWILL 19. 商譽（續） (Continued) For the purpose of the goodwill impairment test, the Directors 就商譽減值測試而言，董事參考華坊進 determined the recoverable amounts of the CGU of property 行之業務估值，透過公允值減出售成本 management services from fair value less cost of disposal 計算釐定物業管理服務現金產生單位 calculations with reference to the business valuations 之可收回金額。業務估值乃由獨立合資 performed by CHFT. Business valuations performed by the 格專業估值師行採用稅前現金流量預 independent firms of professionally qualified valuers</t>
        </is>
      </c>
    </row>
    <row r="45">
      <c r="A45" s="8" t="inlineStr">
        <is>
          <t>Impairment Testing</t>
        </is>
      </c>
      <c r="B45" s="8" t="inlineStr">
        <is>
          <t>減值測試</t>
        </is>
      </c>
      <c r="C45" s="20" t="inlineStr">
        <is>
          <t>high</t>
        </is>
      </c>
      <c r="D45" s="11" t="inlineStr">
        <is>
          <t>impairment loss</t>
        </is>
      </c>
      <c r="E45" s="11" t="inlineStr">
        <is>
          <t>PDF p.223</t>
        </is>
      </c>
      <c r="F45" s="11" t="inlineStr">
        <is>
          <t>,315,000港元）與其 its fair value less cost of disposal of HK$173,315,000 and 使用價值（104,470,000港元）兩者中之 its value in use of HK$104,470,000. Impairment losses of 較高者。已對照商譽之賬面金額確認減 approximately HK$20,134,000 have been recognised against 值虧損約20,134,000港元，匯兌差額為 that carrying amount of goodwill with an exchange difference 687,000港元；除商譽外，並無其他類 of HK$687,000 and no class of asset other than goodwill is 別的資產出現減值。 impaired. 222 NEW SPARKLE ROLL INTERNATIONAL GROUP LIMITED 新耀萊國際集團有限公司 ANNUAL REPORT 2026 年報</t>
        </is>
      </c>
    </row>
    <row r="46">
      <c r="A46" s="8" t="inlineStr">
        <is>
          <t>Impairment Testing</t>
        </is>
      </c>
      <c r="B46" s="8" t="inlineStr">
        <is>
          <t>減值測試</t>
        </is>
      </c>
      <c r="C46" s="20" t="inlineStr">
        <is>
          <t>high</t>
        </is>
      </c>
      <c r="D46" s="11" t="inlineStr">
        <is>
          <t>impairment loss</t>
        </is>
      </c>
      <c r="E46" s="11" t="inlineStr">
        <is>
          <t>PDF p.224</t>
        </is>
      </c>
      <c r="F46" s="11" t="inlineStr">
        <is>
          <t>s fair value less cost of disposal of 高者。已對照商譽之賬面金額確認減 HK$190,543,000 and its value in use of HK$225,397,000. 值虧損約29,318,000港元，匯兌差額為 Impairment losses of approximately HK$29,318,000 have been 652,000港元；除商譽外，並無其他資 recognised against that carrying amount of goodwill with an 產類別出現減值。 exchange difference of HK$652,000 and no class of asset other than goodwill is impaired. As at 31 March 2025, based on the result of the assessment, 於二零二五年三月三十一日，根據評估 management determined that the recoverable amount 結果，管理層釐定物業管理服務現金產 of the CGU of th</t>
        </is>
      </c>
    </row>
    <row r="47">
      <c r="A47" s="8" t="inlineStr">
        <is>
          <t>Impairment Testing</t>
        </is>
      </c>
      <c r="B47" s="8" t="inlineStr">
        <is>
          <t>減值測試</t>
        </is>
      </c>
      <c r="C47" s="20" t="inlineStr">
        <is>
          <t>high</t>
        </is>
      </c>
      <c r="D47" s="11" t="inlineStr">
        <is>
          <t>recoverable amount</t>
        </is>
      </c>
      <c r="E47" s="11" t="inlineStr">
        <is>
          <t>PDF p.226</t>
        </is>
      </c>
      <c r="F47" s="11" t="inlineStr">
        <is>
          <t>ess 本集團定期檢討電影版權以評估可銷 marketability, future economic benefits to be recognised 性、從電影確認之未來經濟利益及相應 from the films and the corresponding recoverable amounts. 可收回金額。董事乃參照華坊於二零 The estimated recoverable amounts were determined by the 二六年三月三十一日進行之估值釐定 directors with reference to the valuation performed by CHFT 估計可收回金額。該估值之基礎為電影 as at 31 March 2026. The valuation is based on the present 發行及轉授權所產生之預期未來收益 value of expected future revenues and related cash flows 及相關現金流之現值，乃使用相關資 arising from the distribution and sublicensing of the film,</t>
        </is>
      </c>
    </row>
    <row r="48">
      <c r="A48" s="8" t="inlineStr">
        <is>
          <t>Impairment Testing</t>
        </is>
      </c>
      <c r="B48" s="8" t="inlineStr">
        <is>
          <t>減值測試</t>
        </is>
      </c>
      <c r="C48" s="20" t="inlineStr">
        <is>
          <t>high</t>
        </is>
      </c>
      <c r="D48" s="11" t="inlineStr">
        <is>
          <t>impairment loss</t>
        </is>
      </c>
      <c r="E48" s="11" t="inlineStr">
        <is>
          <t>PDF p.227</t>
        </is>
      </c>
      <c r="F48" s="11" t="inlineStr">
        <is>
          <t>賬面金額人民幣3,766,000 average return estimation under current market condition. 元（相當於4,049,000港元），此乃由於 Based on value-in-use calculation, impairment losses of 在當前市況下估計平均回報率有所下 approximately HK$90,000 and an exchange difference of 降。截至二零二六年三月三十一日止年 HK$3,000 has recognised for the year ended 31 March 2026. 度，基於使用價值計算法，確認減值虧 損90,000港元及匯兌差額3,000港元。 As at 31 March 2025, the recoverable amount of film right was 於二零二五年三月三十一日，電影版 higher of its fair value less cost of disposal of HK$3,223,000 權之可收回金額為其公允值減出售 and its value in use of HK$4,049,</t>
        </is>
      </c>
    </row>
    <row r="49">
      <c r="A49" s="8" t="inlineStr">
        <is>
          <t>Impairment Testing</t>
        </is>
      </c>
      <c r="B49" s="8" t="inlineStr">
        <is>
          <t>減值測試</t>
        </is>
      </c>
      <c r="C49" s="20" t="inlineStr">
        <is>
          <t>high</t>
        </is>
      </c>
      <c r="D49" s="11" t="inlineStr">
        <is>
          <t>impairment loss</t>
        </is>
      </c>
      <c r="E49" s="11" t="inlineStr">
        <is>
          <t>PDF p.228</t>
        </is>
      </c>
      <c r="F49" s="11" t="inlineStr">
        <is>
          <t>,000港元（即其公允值減出售成 of disposal and value in use, is lower than the carrying 本與其使用價值兩者中之較高者），低 amount of HK$29,925,000. As a result, an impairment loss of 於其賬面金額29,925,000港元。因此， HK$28,130,000 was recognised against the carrying amount 截至二零二五年三月三十一日止年度， of other intangible asset for the year ended 31 March 2025. 已對照其他無形資產之賬面金額確認 減值虧損28,130,000港元。 21. FINANCIAL ASSETS AT FAIR VALUE 21. 按公允值計入其他全面收入 THROUGH OTHER COMPREHENSIVE 之金融資產 INCOME (“FVTOCI”) 2026 2025 二零二六年 二零二五年 HK$’000 HK$’000 千港元 千港元 Listed equity securities, at fair 上市股本</t>
        </is>
      </c>
    </row>
    <row r="50">
      <c r="A50" s="8" t="inlineStr">
        <is>
          <t>Impairment Testing</t>
        </is>
      </c>
      <c r="B50" s="8" t="inlineStr">
        <is>
          <t>減值測試</t>
        </is>
      </c>
      <c r="C50" s="20" t="inlineStr">
        <is>
          <t>high</t>
        </is>
      </c>
      <c r="D50" s="11" t="inlineStr">
        <is>
          <t>impairment loss</t>
        </is>
      </c>
      <c r="E50" s="11" t="inlineStr">
        <is>
          <t>PDF p.276</t>
        </is>
      </c>
      <c r="F50" s="11" t="inlineStr">
        <is>
          <t>項確認的全期預期信貸虧損變 simplified approach: 動： Lifetime ECL (credit-impaired) 全期預期信貸虧損 （已出現信貸減值） HK$’000 千港元 At 1 April 2024 於二零二四年四月一日 5,800 Impairment loss, net 減值虧損淨額 2,300 At 31 March 2025 and 31 March 於二零二五年三月三十一日 2026 及二零二六年三月 三十一日 8,100 The following table shows the movement in lifetime 下表呈列使用一般方法就應收貸 ECL that has been recognised for loan receivables and 款及應收貸款利息確認的全期預 interest receivables from loan receivables under general 期信貸虧損變動： approach: Stage 3 Lifetime ECL (credit-impaired) 階段3 全期預期信貸虧損 （已出現信貸減值） HK$’000 千港元 At 31 March 2</t>
        </is>
      </c>
    </row>
    <row r="51">
      <c r="A51" s="8" t="inlineStr">
        <is>
          <t>Intangible Assets &amp; Goodwill</t>
        </is>
      </c>
      <c r="B51" s="8" t="inlineStr">
        <is>
          <t>無形資產及商譽</t>
        </is>
      </c>
      <c r="C51" s="20" t="inlineStr">
        <is>
          <t>high</t>
        </is>
      </c>
      <c r="D51" s="11" t="inlineStr">
        <is>
          <t>intangible asset</t>
        </is>
      </c>
      <c r="E51" s="11" t="inlineStr">
        <is>
          <t>PDF p.6</t>
        </is>
      </c>
      <c r="F51" s="11" t="inlineStr">
        <is>
          <t>減值虧損為約20,100,000港元 HK$20.1 million (2025: approximately HK$29.3 million). （二零二五年：約29,300,000港元）。 Impairment loss recognised on other intangible assets amounted to 就其他無形資產確認之減值虧損為約 approximately HK$1.6 million (2025: HK$120.1 million). 1,600,000港元（二零二五年：120,100,000 港元）。 Impairment loss recognised on property, plant and equipment was 就物業、機器及設備確認之減值虧損為零（二 nil (2025: HK$328.5 million). 零二五年：328,500,000港元）。 Selling and distribution costs for this financial year decreased by 本財政年度之銷售及代理成本與上一財政年 approximately 12.0% as compared with th</t>
        </is>
      </c>
    </row>
    <row r="52">
      <c r="A52" s="8" t="inlineStr">
        <is>
          <t>Intangible Assets &amp; Goodwill</t>
        </is>
      </c>
      <c r="B52" s="8" t="inlineStr">
        <is>
          <t>無形資產及商譽</t>
        </is>
      </c>
      <c r="C52" s="20" t="inlineStr">
        <is>
          <t>high</t>
        </is>
      </c>
      <c r="D52" s="11" t="inlineStr">
        <is>
          <t>goodwill</t>
        </is>
      </c>
      <c r="E52" s="11" t="inlineStr">
        <is>
          <t>PDF p.17</t>
        </is>
      </c>
      <c r="F52" s="11" t="inlineStr">
        <is>
          <t>lms and television program, gain on lease modification during 政年度錄得投資物業以及投資電影及電視節 this financial year. 目之公允值變動及租賃修訂收益。 Impairment of goodwill and impairment of properties, plant 商譽減值以及物業、機器及設備減值 and equipment The impairment losses on goodwill of approximately HK$20.1 million, 於截至二零二六年三月三十一日止年度， which is for property management services for the year ended 31 商譽之減值虧損約為20,100,000港元，該減 March 2026 (31 March 2025: approximately HK$29.3 million). The 值與物業管理服務有關（二零二五年三月 impairment losses on properties, plant and equipment was nil for t</t>
        </is>
      </c>
    </row>
    <row r="53">
      <c r="A53" s="8" t="inlineStr">
        <is>
          <t>Intangible Assets &amp; Goodwill</t>
        </is>
      </c>
      <c r="B53" s="8" t="inlineStr">
        <is>
          <t>無形資產及商譽</t>
        </is>
      </c>
      <c r="C53" s="20" t="inlineStr">
        <is>
          <t>high</t>
        </is>
      </c>
      <c r="D53" s="11" t="inlineStr">
        <is>
          <t>intangible asset</t>
        </is>
      </c>
      <c r="E53" s="11" t="inlineStr">
        <is>
          <t>PDF p.18</t>
        </is>
      </c>
      <c r="F53" s="11" t="inlineStr">
        <is>
          <t>nt has 減而減少。減值金額已分配至商譽、物業、 been allocated to each category of goodwill, property, plant and 機器及設備以及其他無形資產各類別，以確 equipment, and other intangible assets such that the carrying 保各資產類別之賬面金額不會減至低於其 amount of each category of asset is not reduced below the highest 公允值減出售成本（173,300,000港元）與其 of its fair value less cost of disposal of HK$173.3 million and its 使用價值（104,500,000港元）兩者中之較高 value in use of HK$104.5 million. Impairment losses of approximately 者。已對照商譽之賬面金額確認減值虧損約 HK$20.1 million have been recognised against that carrying amount</t>
        </is>
      </c>
    </row>
    <row r="54">
      <c r="A54" s="8" t="inlineStr">
        <is>
          <t>Intangible Assets &amp; Goodwill</t>
        </is>
      </c>
      <c r="B54" s="8" t="inlineStr">
        <is>
          <t>無形資產及商譽</t>
        </is>
      </c>
      <c r="C54" s="20" t="inlineStr">
        <is>
          <t>high</t>
        </is>
      </c>
      <c r="D54" s="11" t="inlineStr">
        <is>
          <t>intangible asset</t>
        </is>
      </c>
      <c r="E54" s="11" t="inlineStr">
        <is>
          <t>PDF p.19</t>
        </is>
      </c>
      <c r="F54" s="11" t="inlineStr">
        <is>
          <t>arket response and demand. Based on the above assessment, no 並無確認進一步減值虧損。 further impairment loss is recognized. Impairment of other intangible assets 其他無形資產減值 The impairment losses on other intangible assets of approximately 於截至二零二六年三月三十一日止年度，其 HK$1.6 million, of which HK$0.1 million for film rights and HK$1.5 他無形資產之減值虧損約為1,600,000港元， million for customers’ list from property management contracts for 其中100,000港元為就電影版權作出之減值 the year ended 31 March 2026 (31 March 2025: HK$92.0 million 虧損，1,500,000港元為就物業管理合約客 for film rights and</t>
        </is>
      </c>
    </row>
    <row r="55">
      <c r="A55" s="8" t="inlineStr">
        <is>
          <t>Intangible Assets &amp; Goodwill</t>
        </is>
      </c>
      <c r="B55" s="8" t="inlineStr">
        <is>
          <t>無形資產及商譽</t>
        </is>
      </c>
      <c r="C55" s="20" t="inlineStr">
        <is>
          <t>high</t>
        </is>
      </c>
      <c r="D55" s="11" t="inlineStr">
        <is>
          <t>intangible asset</t>
        </is>
      </c>
      <c r="E55" s="11" t="inlineStr">
        <is>
          <t>PDF p.20</t>
        </is>
      </c>
      <c r="F55" s="11" t="inlineStr">
        <is>
          <t>t, an impairment loss 此，截至二零二五年三月三十一日止年度， of HK$28.1 million was recognised against the carrying amount of 已對照其他無形資產之賬面金額確認減值虧 other intangible asset for the year ended 31 March 2025. 損28,100,000港元。 Selling and distribution costs 銷售及代理成本 The selling and distribution costs decreased by approximately 12.0% 銷售及代理成本由約178,000,000港元減少 from approximately HK$178.0 million to approximately HK$156.6 約12.0%至約156,600,000港元，主要源於營 million. The decrease was mainly due to the decrease in marketing 銷及宣傳費用減少。 and promotion expenses. Administrati</t>
        </is>
      </c>
    </row>
    <row r="56">
      <c r="A56" s="8" t="inlineStr">
        <is>
          <t>Intangible Assets &amp; Goodwill</t>
        </is>
      </c>
      <c r="B56" s="8" t="inlineStr">
        <is>
          <t>無形資產及商譽</t>
        </is>
      </c>
      <c r="C56" s="20" t="inlineStr">
        <is>
          <t>high</t>
        </is>
      </c>
      <c r="D56" s="11" t="inlineStr">
        <is>
          <t>goodwill</t>
        </is>
      </c>
      <c r="E56" s="11" t="inlineStr">
        <is>
          <t>PDF p.22</t>
        </is>
      </c>
      <c r="F56" s="11" t="inlineStr">
        <is>
          <t>管理層討論及分析 Management Discussion and Analysis Goodwill 商譽 The Group’s goodwill as at 31 March 2026 was approximately 於二零二六年三月三十一日，本集團之商 HK$36.1 million (31 March 2025: approximately HK$53.9 million). 譽約為36,100,000港元（二零二五年三月 The decrease in goodwill was mainly due to the impairment of 三十一日：約53,900,000港元）。商譽減少主 goodwill on property management services incurred during this 要是由於本財政年度內產生之物業管理服務 financial year. 商譽減值所致。 Borrowings 借貸 The Group’s bor</t>
        </is>
      </c>
    </row>
    <row r="57">
      <c r="A57" s="8" t="inlineStr">
        <is>
          <t>Intangible Assets &amp; Goodwill</t>
        </is>
      </c>
      <c r="B57" s="8" t="inlineStr">
        <is>
          <t>無形資產及商譽</t>
        </is>
      </c>
      <c r="C57" s="20" t="inlineStr">
        <is>
          <t>high</t>
        </is>
      </c>
      <c r="D57" s="11" t="inlineStr">
        <is>
          <t>trademark</t>
        </is>
      </c>
      <c r="E57" s="11" t="inlineStr">
        <is>
          <t>PDF p.98</t>
        </is>
      </c>
      <c r="F57" s="11" t="inlineStr">
        <is>
          <t>Interests. Intellectual Property 知識產權 The handling and usage of suppliers’ intellectual properties, 供應商知識產權（包括商標、產品設計及技 encompassing trademarks, product designs and technical 術規格）之處理及使用，均受與供應商訂立 specifications, are controlled by the terms and conditions stated in 的經銷協議所載條款及條件規管。 the dealership agreement with the suppliers. Customer Privacy and Data Security 客戶私隱和數據安全 We keep most of our information as encrypted electronic copies, 我們大部分資料以電子方式加密儲存，存取 with access rights limited by a comprehensive authorisation matrix. 權受到全面的授權體系限</t>
        </is>
      </c>
    </row>
    <row r="58">
      <c r="A58" s="8" t="inlineStr">
        <is>
          <t>Intangible Assets &amp; Goodwill</t>
        </is>
      </c>
      <c r="B58" s="8" t="inlineStr">
        <is>
          <t>無形資產及商譽</t>
        </is>
      </c>
      <c r="C58" s="20" t="inlineStr">
        <is>
          <t>high</t>
        </is>
      </c>
      <c r="D58" s="11" t="inlineStr">
        <is>
          <t>goodwill</t>
        </is>
      </c>
      <c r="E58" s="11" t="inlineStr">
        <is>
          <t>PDF p.146</t>
        </is>
      </c>
      <c r="F58" s="11" t="inlineStr">
        <is>
          <t>this impairment assessment and the significance of the 以及該等物業、機器及設備以及商譽之賬面 carrying amount of the property, plant and equipment and goodwill 金額對 貴集團之綜合財務報表之重要性， to the Group’s consolidated financial statements, we identified this is 我們視此為關鍵審計事項。 a key audit matter. Our response: 我們的回應： Our audit procedures included, amongst others, the followings: 我們的審計程序包括（其中包括）以下各項： (i) evaluating the methodology and checking the composition of (i) 評估方法及檢查 貴集團現金產生單 the Group’s future cash flow forecasts in the CGU, and the 位未來現金流預測之構成及其編製程 p</t>
        </is>
      </c>
    </row>
    <row r="59">
      <c r="A59" s="8" t="inlineStr">
        <is>
          <t>Intangible Assets &amp; Goodwill</t>
        </is>
      </c>
      <c r="B59" s="8" t="inlineStr">
        <is>
          <t>無形資產及商譽</t>
        </is>
      </c>
      <c r="C59" s="20" t="inlineStr">
        <is>
          <t>high</t>
        </is>
      </c>
      <c r="D59" s="11" t="inlineStr">
        <is>
          <t>goodwill</t>
        </is>
      </c>
      <c r="E59" s="11" t="inlineStr">
        <is>
          <t>PDF p.147</t>
        </is>
      </c>
      <c r="F59" s="11" t="inlineStr">
        <is>
          <t>ompetence, capabilities and objectivity of the (iv) 評估獨立專業估值師之適任性、能力及 independent professional valuer. 客觀性。 Impairment assessment on goodwill relating to property 與物業管理服務有關之商譽之減值評估 management services Refer to Notes 4, 5 and 19 to the consolidated financial 參閱綜合財務報表附註4、5及19 statements As at 31 March 2026, goodwill related to property management 於二零二六年三月三十一日，與物業管理服 services amounted to approximately HK$53,883,000. The 務有關之商譽約為53,883,000港元。該現金 recoverable amount of the CGU is determined on the basis of 產生單位之可收回金額乃按使用價值計算法 value-i</t>
        </is>
      </c>
    </row>
    <row r="60">
      <c r="A60" s="8" t="inlineStr">
        <is>
          <t>Intangible Assets &amp; Goodwill</t>
        </is>
      </c>
      <c r="B60" s="8" t="inlineStr">
        <is>
          <t>無形資產及商譽</t>
        </is>
      </c>
      <c r="C60" s="20" t="inlineStr">
        <is>
          <t>high</t>
        </is>
      </c>
      <c r="D60" s="11" t="inlineStr">
        <is>
          <t>goodwill</t>
        </is>
      </c>
      <c r="E60" s="11" t="inlineStr">
        <is>
          <t>PDF p.148</t>
        </is>
      </c>
      <c r="F60" s="11" t="inlineStr">
        <is>
          <t>獨立核數師報告（續） Independent Auditor’s Report (Continued) KEY AUDIT MATTERS 關鍵審計事項（續） (Continued) Impairment assessment on goodwill relating to property 與物業管理服務有關之商譽之減值評估（續） management services (Continued) Refer to Notes 4, 5 and 19 to the consolidated financial 參閱綜合財務報表附註4、5及19（續） statements (Continued) Our response: 我們的回應： Our audit procedures included, amongst others, the followings: 我們的審計程序包括（其中包括）以下各項： (i) evaluating the assumptions and data used by the Group in (i) 評估 貴集團於計算相關公允值減出 the underlying fair value less</t>
        </is>
      </c>
    </row>
    <row r="61">
      <c r="A61" s="8" t="inlineStr">
        <is>
          <t>Intangible Assets &amp; Goodwill</t>
        </is>
      </c>
      <c r="B61" s="8" t="inlineStr">
        <is>
          <t>無形資產及商譽</t>
        </is>
      </c>
      <c r="C61" s="20" t="inlineStr">
        <is>
          <t>high</t>
        </is>
      </c>
      <c r="D61" s="11" t="inlineStr">
        <is>
          <t>intangible asset</t>
        </is>
      </c>
      <c r="E61" s="11" t="inlineStr">
        <is>
          <t>PDF p.153</t>
        </is>
      </c>
      <c r="F61" s="11" t="inlineStr">
        <is>
          <t>應收貸款及應收貸款 receivables and loan interest 利息減值撥回 receivables 4,300 – Impairment of goodwill 商譽減值 (20,134) (29,318) Impairment of other intangible assets 其他無形資產減值 (1,580) (120,126) Impairment of property, plant and 物業、機器及設備減值 equipment – (328,542) Selling and distribution costs 銷售及代理成本 (156,604) (177,999) Administrative expenses 行政費用 (48,370) (70,792) Operating loss 經營虧損 9 (44,255) (666,565) Finance costs 融資成本 10 (39,495) (65,234) Loss before income tax 除所得稅前虧損 (83,750) (731,799) Income tax (expense)/credit 所得稅（開支）╱抵免 11 (5,737) 1</t>
        </is>
      </c>
    </row>
    <row r="62">
      <c r="A62" s="8" t="inlineStr">
        <is>
          <t>Intangible Assets &amp; Goodwill</t>
        </is>
      </c>
      <c r="B62" s="8" t="inlineStr">
        <is>
          <t>無形資產及商譽</t>
        </is>
      </c>
      <c r="C62" s="20" t="inlineStr">
        <is>
          <t>high</t>
        </is>
      </c>
      <c r="D62" s="11" t="inlineStr">
        <is>
          <t>intangible asset</t>
        </is>
      </c>
      <c r="E62" s="11" t="inlineStr">
        <is>
          <t>PDF p.155</t>
        </is>
      </c>
      <c r="F62" s="11" t="inlineStr">
        <is>
          <t>ty, plant and equipment 物業、機器及設備 16 574,404 526,025 Investment properties 投資物業 18 295,918 323,239 Goodwill 商譽 19 36,125 53,883 Other intangible assets 其他無形資產 20 4,186 5,844 Financial assets at fair value through 按公允值計入其他全面 other comprehensive income 收入之金融資產 21 177,443 209,168 Deferred tax assets 遞延稅項資產 32 – 2,045 1,088,076 1,120,204 Current assets 流動資產 Inventories 存貨 23 314,666 556,896 Trade receivables 應收貿易款項 24(a) 17,649 32,013 Deposits, prepayments and other 按金、預繳款項及其他 receivables 應收款項 24(c) 94,412 59,740 Amounts due from no</t>
        </is>
      </c>
    </row>
    <row r="63">
      <c r="A63" s="8" t="inlineStr">
        <is>
          <t>Intangible Assets &amp; Goodwill</t>
        </is>
      </c>
      <c r="B63" s="8" t="inlineStr">
        <is>
          <t>無形資產及商譽</t>
        </is>
      </c>
      <c r="C63" s="20" t="inlineStr">
        <is>
          <t>high</t>
        </is>
      </c>
      <c r="D63" s="11" t="inlineStr">
        <is>
          <t>goodwill</t>
        </is>
      </c>
      <c r="E63" s="11" t="inlineStr">
        <is>
          <t>PDF p.157</t>
        </is>
      </c>
      <c r="F63" s="11" t="inlineStr">
        <is>
          <t>perty, 物業、機器及設備重估 plant and equipment 虧損 8 – 19,125 Impairment of property, 物業、機器及設備減值 plant and equipment 9 – 328,542 Impairment of goodwill 商譽減值 9 20,134 29,318 Impairment of other intangible 其他無形資產減值 assets 9 1,580 120,126 Impairment of trade receivables 應收貿易款項減值 9 – 2,300 Gain on disposal of subsidiaries 出售附屬公司之收益 (16) – 156 NEW SPARKLE ROLL INTERNATIONAL GROUP LIMITED 新耀萊國際集團有限公司 ANNUAL REPORT 2026 年報</t>
        </is>
      </c>
    </row>
    <row r="64">
      <c r="A64" s="8" t="inlineStr">
        <is>
          <t>Intangible Assets &amp; Goodwill</t>
        </is>
      </c>
      <c r="B64" s="8" t="inlineStr">
        <is>
          <t>無形資產及商譽</t>
        </is>
      </c>
      <c r="C64" s="20" t="inlineStr">
        <is>
          <t>high</t>
        </is>
      </c>
      <c r="D64" s="11" t="inlineStr">
        <is>
          <t>goodwill</t>
        </is>
      </c>
      <c r="E64" s="11" t="inlineStr">
        <is>
          <t>PDF p.169</t>
        </is>
      </c>
      <c r="F64" s="11" t="inlineStr">
        <is>
          <t>fair value of any retained interest 之總和；與(ii)附屬公司資產（包括 and (ii) the previous carrying amount of the assets 商譽）及負債以及任何非控股權 (including goodwill), and liabilities of the subsidiary 益先前之賬面金額間之差額計算。 and any non-controlling interests. Amounts previously 先前於其他全面收入確認有關附 recognised in other comprehensive income in relation to 屬公司之金額按在相關資產或負 that subsidiary are accounted for on the same basis as 債出售時可能規定之同一基準入 would be required if the relevant assets or liabilities were 賬。 disposed of. 4.2 Subsidiaries 4.2 附屬公司 A subsidiary is an investe</t>
        </is>
      </c>
    </row>
    <row r="65">
      <c r="A65" s="8" t="inlineStr">
        <is>
          <t>Intangible Assets &amp; Goodwill</t>
        </is>
      </c>
      <c r="B65" s="8" t="inlineStr">
        <is>
          <t>無形資產及商譽</t>
        </is>
      </c>
      <c r="C65" s="20" t="inlineStr">
        <is>
          <t>high</t>
        </is>
      </c>
      <c r="D65" s="11" t="inlineStr">
        <is>
          <t>goodwill</t>
        </is>
      </c>
      <c r="E65" s="11" t="inlineStr">
        <is>
          <t>PDF p.170</t>
        </is>
      </c>
      <c r="F65" s="11" t="inlineStr">
        <is>
          <t>率相若之匯率換算為港元。 exchange rates ruling at the dates of the transactions. 財務狀況報表項目（包括因合併 Statement of financial position items, including goodwill 海外企業而產生之商譽）按於報 arising on consolidation of foreign operations, are 告期末之外匯匯率換算為港元。 translated into HK$ at the closing foreign exchange rates 所產生之匯兌差額於其他全面收 at the end of the reporting period. The resulting exchange 入確認並分別於權益中之匯兌儲 differences are recognised in other comprehensive 備累計。 income and accumulated separately in equity in the exchange reserve. 169 NEW SPARKLE ROLL INTERNATIONAL GRO</t>
        </is>
      </c>
    </row>
    <row r="66">
      <c r="A66" s="8" t="inlineStr">
        <is>
          <t>Intangible Assets &amp; Goodwill</t>
        </is>
      </c>
      <c r="B66" s="8" t="inlineStr">
        <is>
          <t>無形資產及商譽</t>
        </is>
      </c>
      <c r="C66" s="20" t="inlineStr">
        <is>
          <t>high</t>
        </is>
      </c>
      <c r="D66" s="11" t="inlineStr">
        <is>
          <t>intangible asset</t>
        </is>
      </c>
      <c r="E66" s="11" t="inlineStr">
        <is>
          <t>PDF p.172</t>
        </is>
      </c>
      <c r="F66" s="11" t="inlineStr">
        <is>
          <t>tes to the Financial Statements (Continued) 二零二六年三月三十一日 31 March 2026 4. SUMMARY OF ACCOUNTING POLICIES 4. 會計政策概要（續） (Continued) 4.5 Intangible assets 4.5 無形資產 (i) Goodwill (i) 商譽 Goodwill represents the excess of the aggregate 商譽指已轉移代價之公允 of the fair value of the consideration transferred, 值、於被收購方之任何非控 the amount of any non-controlling interest in 股權益之金額及本集團先前 the acquiree and the fair value of the Group’s 所持被收購方股權之公允值 previously held equity interest in the acquiree over 之總額超出於收購日計量之 the fair value of the identifiable assets a</t>
        </is>
      </c>
    </row>
    <row r="67">
      <c r="A67" s="8" t="inlineStr">
        <is>
          <t>Intangible Assets &amp; Goodwill</t>
        </is>
      </c>
      <c r="B67" s="8" t="inlineStr">
        <is>
          <t>無形資產及商譽</t>
        </is>
      </c>
      <c r="C67" s="20" t="inlineStr">
        <is>
          <t>high</t>
        </is>
      </c>
      <c r="D67" s="11" t="inlineStr">
        <is>
          <t>攤銷</t>
        </is>
      </c>
      <c r="E67" s="11" t="inlineStr">
        <is>
          <t>PDF p.173</t>
        </is>
      </c>
      <c r="F67" s="11" t="inlineStr">
        <is>
          <t>st. The Group 體作出考慮。本集團將債務工具 classifies it debt instruments as follows: 分類如下： Amortised cost: Assets that are held for collection of 攤銷成本：為收取合約現金流而 contractual cash flows where those cash flows represent 持有且現金流純綷為支付本金及 solely payments of principal and interest are measured 利息之資產按攤銷成本計量。按 at amortised cost. Financial assets at amortised cost 攤銷成本之金融資產其後採用實 are subsequently measured using the effective interest 際利率法計量。利息收入、匯兌收 method. Interest income, foreign exchange gains and 益及虧損以及減值於損益表確認。 losses and impairment are recognised</t>
        </is>
      </c>
    </row>
    <row r="68">
      <c r="A68" s="8" t="inlineStr">
        <is>
          <t>Intangible Assets &amp; Goodwill</t>
        </is>
      </c>
      <c r="B68" s="8" t="inlineStr">
        <is>
          <t>無形資產及商譽</t>
        </is>
      </c>
      <c r="C68" s="20" t="inlineStr">
        <is>
          <t>high</t>
        </is>
      </c>
      <c r="D68" s="11" t="inlineStr">
        <is>
          <t>攤銷</t>
        </is>
      </c>
      <c r="E68" s="11" t="inlineStr">
        <is>
          <t>PDF p.174</t>
        </is>
      </c>
      <c r="F68" s="11" t="inlineStr">
        <is>
          <t>it or loss. 至損益表。 Impairment loss on financial assets 金融資產之減值虧損 The Group recognises loss allowances for expected credit 本集團就應收貿易款項及按攤銷 loss (“ECL”) on trade receivables and other financial 成本計量之其他金融資產之預期 assets measured at amortised cost. 信貸虧損確認虧損備抵。 173 NEW SPARKLE ROLL INTERNATIONAL GROUP LIMITED 新耀萊國際集團有限公司 ANNUAL REPORT 2026 年報</t>
        </is>
      </c>
    </row>
    <row r="69">
      <c r="A69" s="8" t="inlineStr">
        <is>
          <t>Intangible Assets &amp; Goodwill</t>
        </is>
      </c>
      <c r="B69" s="8" t="inlineStr">
        <is>
          <t>無形資產及商譽</t>
        </is>
      </c>
      <c r="C69" s="20" t="inlineStr">
        <is>
          <t>high</t>
        </is>
      </c>
      <c r="D69" s="11" t="inlineStr">
        <is>
          <t>攤銷</t>
        </is>
      </c>
      <c r="E69" s="11" t="inlineStr">
        <is>
          <t>PDF p.176</t>
        </is>
      </c>
      <c r="F69" s="11" t="inlineStr">
        <is>
          <t>Interest income on credit-impaired financial assets is 已出現信貸減值金融資產之利息 calculated based on the amortised cost (i.e. the gross 收入按金融資產之攤銷成本計量 carrying amount less loss allowance) of the financial （即賬面總額減虧損備抵）。就並 asset. For non-credit-impaired financial assets, interest 無出現信貸減值之金融資產而言， income is calculated based on the gross carrying amount. 利息收入基於賬面總額計算。 Financial liabilities 金融負債 Financial liabilities at amortised costs are initially 按攤銷成本之金融負債初始按公 measured at fair value, net of directly attributable costs 允值扣除所產生之直接應佔成本 incurre</t>
        </is>
      </c>
    </row>
    <row r="70">
      <c r="A70" s="8" t="inlineStr">
        <is>
          <t>Intangible Assets &amp; Goodwill</t>
        </is>
      </c>
      <c r="B70" s="8" t="inlineStr">
        <is>
          <t>無形資產及商譽</t>
        </is>
      </c>
      <c r="C70" s="20" t="inlineStr">
        <is>
          <t>high</t>
        </is>
      </c>
      <c r="D70" s="11" t="inlineStr">
        <is>
          <t>amortisation</t>
        </is>
      </c>
      <c r="E70" s="11" t="inlineStr">
        <is>
          <t>PDF p.177</t>
        </is>
      </c>
      <c r="F70" s="11" t="inlineStr">
        <is>
          <t>or losses are recognised in profit or loss when 收益或虧損於負債終止確認時透 the liabilities are derecognised as well as through the 過攤銷程序於損益表確認。 amortisation process. Derecognition 終止確認 The Group generally derecognises a financial asset when 本集團一般會於與金融資產有關 the contractual rights to the future cash flows in relation 之未來現金流合約權利屆滿時終 to the financial asset expires. 止確認金融資產。 Financial liabilities are derecognised when the obligation 金融負債於相關合約內訂明之責 specified in the relevant contract is discharged, cancelled 任解除、註銷或屆滿時終止確認。 or expires. 176 NEW SP</t>
        </is>
      </c>
    </row>
    <row r="71">
      <c r="A71" s="8" t="inlineStr">
        <is>
          <t>Intangible Assets &amp; Goodwill</t>
        </is>
      </c>
      <c r="B71" s="8" t="inlineStr">
        <is>
          <t>無形資產及商譽</t>
        </is>
      </c>
      <c r="C71" s="20" t="inlineStr">
        <is>
          <t>high</t>
        </is>
      </c>
      <c r="D71" s="11" t="inlineStr">
        <is>
          <t>intangible asset</t>
        </is>
      </c>
      <c r="E71" s="11" t="inlineStr">
        <is>
          <t>PDF p.185</t>
        </is>
      </c>
      <c r="F71" s="11" t="inlineStr">
        <is>
          <t>外）以往確認之減值虧損不復存 recognised no longer exists or may have decreased: 在或可能已經減少之跡象： – property, plant and equipment; － 物業、機器及設備； – other intangible assets; － 其他無形資產； – goodwill; and － 商譽；及 – investments in subsidiaries in the Company’s － 本公司財務狀況報表所示於 statement of financial position. 附屬公司之投資。 If any such indication exists, the asset’s recoverable 倘存在任何有關跡象，則本集團 amount is estimated. In addition, for goodwill, the 會估計該資產之可收回金額。此 recoverable amount is estimated annually regardless of 外，就商譽而言，無論有否任何減 whether or not there is any indicati</t>
        </is>
      </c>
    </row>
    <row r="72">
      <c r="A72" s="8" t="inlineStr">
        <is>
          <t>Intangible Assets &amp; Goodwill</t>
        </is>
      </c>
      <c r="B72" s="8" t="inlineStr">
        <is>
          <t>無形資產及商譽</t>
        </is>
      </c>
      <c r="C72" s="20" t="inlineStr">
        <is>
          <t>high</t>
        </is>
      </c>
      <c r="D72" s="11" t="inlineStr">
        <is>
          <t>goodwill</t>
        </is>
      </c>
      <c r="E72" s="11" t="inlineStr">
        <is>
          <t>PDF p.186</t>
        </is>
      </c>
      <c r="F72" s="11" t="inlineStr">
        <is>
          <t>mallest group 其他資產所產生者之情況下，本 of assets that generates cash inflows independently (i.e. 集團會就能獨立產生現金流入之 cash generating unit (“CGU”)). Goodwill arising from a 最小資產組別（即現金產生單位） business combination is allocated to CGUs or groups 釐定可收回金額。因業務合併而 CGU that are expected to benefit from the synergies of 產生之商譽會分配至預期受惠於 the combination. 合併所產生協同效益之現金產生 單位或現金產生單位組別。 Recognition of impairment losses 確認減值虧損 An impairment loss is recognised in profit or loss if the 倘資產或其所屬現金產生單位之 carrying amount of an asset, or the CGU to which it 賬面金額超過可收回金額，則</t>
        </is>
      </c>
    </row>
    <row r="73">
      <c r="A73" s="8" t="inlineStr">
        <is>
          <t>Intangible Assets &amp; Goodwill</t>
        </is>
      </c>
      <c r="B73" s="8" t="inlineStr">
        <is>
          <t>無形資產及商譽</t>
        </is>
      </c>
      <c r="C73" s="20" t="inlineStr">
        <is>
          <t>high</t>
        </is>
      </c>
      <c r="D73" s="11" t="inlineStr">
        <is>
          <t>goodwill</t>
        </is>
      </c>
      <c r="E73" s="11" t="inlineStr">
        <is>
          <t>PDF p.187</t>
        </is>
      </c>
      <c r="F73" s="11" t="inlineStr">
        <is>
          <t>ed) 4.14 Impairment of other assets (Continued) 4.14 其他資產減值（續） Reversals of impairment losses 減值虧損撥回 In respect of assets other than goodwill, an impairment 就資產（不包括商譽）而言，倘用 loss is reversed if there has been a favourable change in 於釐定可收回金額之估計發生有 the estimates used to determine the recoverable amount. 利之變化，則本集團會撥回減值 An impairment loss in respect of goodwill is not reversed. 虧損。有關商譽之減值虧損不予 撥回。 A reversal of an impairment loss is limited to the asset’s 減值虧損撥回以假設過往年度並 carrying amount that would have been determined had 無確認減值虧損而應釐定之</t>
        </is>
      </c>
    </row>
    <row r="74">
      <c r="A74" s="8" t="inlineStr">
        <is>
          <t>Intangible Assets &amp; Goodwill</t>
        </is>
      </c>
      <c r="B74" s="8" t="inlineStr">
        <is>
          <t>無形資產及商譽</t>
        </is>
      </c>
      <c r="C74" s="20" t="inlineStr">
        <is>
          <t>high</t>
        </is>
      </c>
      <c r="D74" s="11" t="inlineStr">
        <is>
          <t>goodwill</t>
        </is>
      </c>
      <c r="E74" s="11" t="inlineStr">
        <is>
          <t>PDF p.189</t>
        </is>
      </c>
      <c r="F74" s="11" t="inlineStr">
        <is>
          <t>t the end of reporting period. 致上制定之稅率計算。 Deferred tax is recognised in respect of temporary 本集團就暫時差異確認遞延稅項。 differences. Except for goodwill not deductible for tax 除不可扣稅之商譽，以及於在交 purposes and initial recognition of assets and liabilities 易之時並不影響會計或應課稅溢 in a transaction that is not a business combination and 利且無產生相等應課稅及可扣稅 at the time of transaction, affect neither accounting 暫時差異之交易（業務合併除外） nor taxable profits, and does not give rise to equal 中之資產及負債之初始確認外， taxable and deductible temporary difference, deferred 本集團就所有應課稅暫時差異確 t</t>
        </is>
      </c>
    </row>
    <row r="75">
      <c r="A75" s="8" t="inlineStr">
        <is>
          <t>Intangible Assets &amp; Goodwill</t>
        </is>
      </c>
      <c r="B75" s="8" t="inlineStr">
        <is>
          <t>無形資產及商譽</t>
        </is>
      </c>
      <c r="C75" s="20" t="inlineStr">
        <is>
          <t>high</t>
        </is>
      </c>
      <c r="D75" s="11" t="inlineStr">
        <is>
          <t>goodwill</t>
        </is>
      </c>
      <c r="E75" s="11" t="inlineStr">
        <is>
          <t>PDF p.192</t>
        </is>
      </c>
      <c r="F75" s="11" t="inlineStr">
        <is>
          <t>the carrying amounts of assets and liabilities 大調整之估計及假設闡述如下： within the next financial year are discussed below: (i) Impairment of goodwill (i) 商譽減值 Determining whether goodwill is impaired requires an 釐定商譽是否出現減值須估計獲 estimation of the fair value less cost of disposal of 分配商譽之現金產生單位之公允 the CGUs to which goodwill has been allocated. The 值減出售成本。計算公允值減出 fair value less cost of disposal calculation requires the 售成本時，董事須估計現金產生 directors to estimate the future cash flows expected to 單位預期產生之未來現金流，並 arise from the CGU and a suitable d</t>
        </is>
      </c>
    </row>
    <row r="76">
      <c r="A76" s="8" t="inlineStr">
        <is>
          <t>Intangible Assets &amp; Goodwill</t>
        </is>
      </c>
      <c r="B76" s="8" t="inlineStr">
        <is>
          <t>無形資產及商譽</t>
        </is>
      </c>
      <c r="C76" s="20" t="inlineStr">
        <is>
          <t>high</t>
        </is>
      </c>
      <c r="D76" s="11" t="inlineStr">
        <is>
          <t>intangible asset</t>
        </is>
      </c>
      <c r="E76" s="11" t="inlineStr">
        <is>
          <t>PDF p.195</t>
        </is>
      </c>
      <c r="F76" s="11" t="inlineStr">
        <is>
          <t>61,194 Reportable segment results 可報告分部業績 26,044 (18,551) (27,456) (19,963) Other segment information: 其他分部資料： Amortisation of other intangible assets 其他無形資產攤銷 – – (344) (344) Depreciation of property, plant and equipment 物業、機器及設備折舊 (22,526) (7,137) (50) (29,713) Unallocated 未分配 (5,286) (34,999) Changes in fair value of investment properties 投資物業之公允值變動 – – (44,180) (44,180) Changes in fair value of investment in films 電影投資之公允值變動 – – 212 212 Write-down of inventories 存貨撇減 (901) (65,125) – (66,026) Reversal of write-down of inven</t>
        </is>
      </c>
    </row>
    <row r="77">
      <c r="A77" s="8" t="inlineStr">
        <is>
          <t>Intangible Assets &amp; Goodwill</t>
        </is>
      </c>
      <c r="B77" s="8" t="inlineStr">
        <is>
          <t>無形資產及商譽</t>
        </is>
      </c>
      <c r="C77" s="20" t="inlineStr">
        <is>
          <t>high</t>
        </is>
      </c>
      <c r="D77" s="11" t="inlineStr">
        <is>
          <t>intangible asset</t>
        </is>
      </c>
      <c r="E77" s="11" t="inlineStr">
        <is>
          <t>PDF p.196</t>
        </is>
      </c>
      <c r="F77" s="11" t="inlineStr">
        <is>
          <t>9 Reportable segment results 可報告分部業績 (281,912) (65,396) (210,278) (557,586) Other segment information: 其他分部資料： Amortisation of other intangible assets 其他無形資產攤銷 – – (5,698) (5,698) Depreciation of property, plant and equipment 物業、機器及設備折舊 (25,456) (10,416) (13) (35,885) Unallocated 未分配 (10,601) (46,486) Changes in fair value of investment properties 投資物業之公允值變動 – – (35,357) (35,357) Changes in fair value of investment in films and 投資電影及電視節目之 television program 公允值變動 – – (37,516) (37,516) Write-down of inventories 存貨撇減 (1,874) (52,</t>
        </is>
      </c>
    </row>
    <row r="78">
      <c r="A78" s="8" t="inlineStr">
        <is>
          <t>Intangible Assets &amp; Goodwill</t>
        </is>
      </c>
      <c r="B78" s="8" t="inlineStr">
        <is>
          <t>無形資產及商譽</t>
        </is>
      </c>
      <c r="C78" s="20" t="inlineStr">
        <is>
          <t>high</t>
        </is>
      </c>
      <c r="D78" s="11" t="inlineStr">
        <is>
          <t>intangible asset</t>
        </is>
      </c>
      <c r="E78" s="11" t="inlineStr">
        <is>
          <t>PDF p.201</t>
        </is>
      </c>
      <c r="F78" s="11" t="inlineStr">
        <is>
          <t>loss is arrived at after charging/(crediting): 經營虧損已扣除╱（計入）以下項目： 2026 2025 二零二六年 二零二五年 HK$’000 HK$’000 千港元 千港元 Amortisation of other intangible assets 其他無形資產攤銷 344 5,698 Auditors’ remuneration 核數師酬金 – Audit services －審計服務 1,970 1,850 Cost of inventories recognised as 確認為費用之存貨成本，包括 expenses, including 2,183,954 1,917,608 – Write-down of inventories －存貨撇減 66,026 54,207 – Reversal of write-down of －撥回存貨撇減 inventories (48,192) (9,049) Depreciation of property, plant and 物業、機器及設備之折舊 equipment 34,999 46,486 Exchange differences, net</t>
        </is>
      </c>
    </row>
    <row r="79">
      <c r="A79" s="8" t="inlineStr">
        <is>
          <t>Intangible Assets &amp; Goodwill</t>
        </is>
      </c>
      <c r="B79" s="8" t="inlineStr">
        <is>
          <t>無形資產及商譽</t>
        </is>
      </c>
      <c r="C79" s="20" t="inlineStr">
        <is>
          <t>high</t>
        </is>
      </c>
      <c r="D79" s="11" t="inlineStr">
        <is>
          <t>useful life</t>
        </is>
      </c>
      <c r="E79" s="11" t="inlineStr">
        <is>
          <t>PDF p.211</t>
        </is>
      </c>
      <c r="F79" s="11" t="inlineStr">
        <is>
          <t>g term growth 車分銷業務現金產生單位之可收回金 rate of 3%; and for period not covered by the budget and up 額；而預算並無涵蓋之期間及剩餘可使 to the end of remaining useful life, the estimated cash flow 用年期屆滿前的估計現金流量預測則 projections are extrapolated. 以外推法得出。 As at 31 March 2026, management determined that the 於二零二六年三月三十一日，管理層 recoverable amount of the CGU to be HK$766,440,000 and 釐定該現金產生單位之可收回金額為 is higher than the carrying amount HK$760,408,000 because 766,440,000港元，高於其賬面金額 the challenge faced over car model changeovers for the 760,408,000港元，原因為年內三大品 three bra</t>
        </is>
      </c>
    </row>
    <row r="80">
      <c r="A80" s="8" t="inlineStr">
        <is>
          <t>Intangible Assets &amp; Goodwill</t>
        </is>
      </c>
      <c r="B80" s="8" t="inlineStr">
        <is>
          <t>無形資產及商譽</t>
        </is>
      </c>
      <c r="C80" s="20" t="inlineStr">
        <is>
          <t>high</t>
        </is>
      </c>
      <c r="D80" s="11" t="inlineStr">
        <is>
          <t>useful life</t>
        </is>
      </c>
      <c r="E80" s="11" t="inlineStr">
        <is>
          <t>PDF p.212</t>
        </is>
      </c>
      <c r="F80" s="11" t="inlineStr">
        <is>
          <t>term 預算範圍以外之期間及截至餘下使用 growth rate of 2.5%; and for period not covered by the budget 年期結束前之可收回金額則推算估計 and up to the end of remaining useful life, the estimated cash 現金流預測。因此，就汽車業務現金產 flow projections are extrapolated. As a result, an impairment 生單位之物業、機器及設備確認減值虧 loss of HK$328,542,000 was recognised to property, plant and 損328,542,000港元。 equipment of automobile business CGU. As at 31 March 2025, the Directors determined the recoverable 於二零二五年三月三十一日，董事乃參 amounts of the automobile dealership CGU from value-in- 考獨立專業合資格估值師進行之估值 us</t>
        </is>
      </c>
    </row>
    <row r="81">
      <c r="A81" s="8" t="inlineStr">
        <is>
          <t>Intangible Assets &amp; Goodwill</t>
        </is>
      </c>
      <c r="B81" s="8" t="inlineStr">
        <is>
          <t>無形資產及商譽</t>
        </is>
      </c>
      <c r="C81" s="20" t="inlineStr">
        <is>
          <t>high</t>
        </is>
      </c>
      <c r="D81" s="11" t="inlineStr">
        <is>
          <t>goodwill</t>
        </is>
      </c>
      <c r="E81" s="11" t="inlineStr">
        <is>
          <t>PDF p.221</t>
        </is>
      </c>
      <c r="F81" s="11" t="inlineStr">
        <is>
          <t>財務報表附註（續） Notes to the Financial Statements (Continued) 二零二六年三月三十一日 31 March 2026 19. GOODWILL 19. 商譽 The net carrying amount of goodwill is analysed as follows: 商譽之賬面淨額分析如下： 2026 2025 二零二六年 二零二五年 HK$’000 HK$’000 千港元 千港元 At cost: 按成本： At beginning of the year 於年初 728,630 744,644 Exchange differences 匯兌差額 41,399 (16,014) At end of the year 於年末 770,029 728,630 Accumulated impairment: 累計減值： At beginning of the year 於年初 (674,747) (659,936) Impairment loss recognised 確認減值虧損 (20,134) (29</t>
        </is>
      </c>
    </row>
    <row r="82">
      <c r="A82" s="8" t="inlineStr">
        <is>
          <t>Intangible Assets &amp; Goodwill</t>
        </is>
      </c>
      <c r="B82" s="8" t="inlineStr">
        <is>
          <t>無形資產及商譽</t>
        </is>
      </c>
      <c r="C82" s="20" t="inlineStr">
        <is>
          <t>high</t>
        </is>
      </c>
      <c r="D82" s="11" t="inlineStr">
        <is>
          <t>goodwill</t>
        </is>
      </c>
      <c r="E82" s="11" t="inlineStr">
        <is>
          <t>PDF p.222</t>
        </is>
      </c>
      <c r="F82" s="11" t="inlineStr">
        <is>
          <t>財務報表附註（續） Notes to the Financial Statements (Continued) 二零二六年三月三十一日 31 March 2026 19. GOODWILL 19. 商譽（續） (Continued) For the purpose of the goodwill impairment test, the Directors 就商譽減值測試而言，董事參考華坊進 determined the recoverable amounts of the CGU of property 行之業務估值，透過公允值減出售成本 management services from fair value less cost of disposal 計算釐定物業管理服務現金產生單位 calculations with reference to the business valuations 之可收回金額。業務估值乃由獨立合資 performed by CHFT. Business valuations performed by the 格專業估值師行採</t>
        </is>
      </c>
    </row>
    <row r="83">
      <c r="A83" s="8" t="inlineStr">
        <is>
          <t>Intangible Assets &amp; Goodwill</t>
        </is>
      </c>
      <c r="B83" s="8" t="inlineStr">
        <is>
          <t>無形資產及商譽</t>
        </is>
      </c>
      <c r="C83" s="20" t="inlineStr">
        <is>
          <t>high</t>
        </is>
      </c>
      <c r="D83" s="11" t="inlineStr">
        <is>
          <t>intangible asset</t>
        </is>
      </c>
      <c r="E83" s="11" t="inlineStr">
        <is>
          <t>PDF p.223</t>
        </is>
      </c>
      <c r="F83" s="11" t="inlineStr">
        <is>
          <t>amount has been allocated 額已分配至商譽、物業、機器及設備以 to each category of goodwill, property, plant and equipment, 及其他無形資產各類別，以確保各資產 and other intangible assets such that the carrying amount of 類別之賬面金額不會減至低於其公允 each category of asset is not reduced below the highest of 值減出售成本（173,315,000港元）與其 its fair value less cost of disposal of HK$173,315,000 and 使用價值（104,470,000港元）兩者中之 its value in use of HK$104,470,000. Impairment losses of 較高者。已對照商譽之賬面金額確認減 approximately HK$20,134,000 have been recognised against 值虧損約20,134,000港元，匯兌差額為 that carryi</t>
        </is>
      </c>
    </row>
    <row r="84">
      <c r="A84" s="8" t="inlineStr">
        <is>
          <t>Intangible Assets &amp; Goodwill</t>
        </is>
      </c>
      <c r="B84" s="8" t="inlineStr">
        <is>
          <t>無形資產及商譽</t>
        </is>
      </c>
      <c r="C84" s="20" t="inlineStr">
        <is>
          <t>high</t>
        </is>
      </c>
      <c r="D84" s="11" t="inlineStr">
        <is>
          <t>intangible asset</t>
        </is>
      </c>
      <c r="E84" s="11" t="inlineStr">
        <is>
          <t>PDF p.224</t>
        </is>
      </c>
      <c r="F84" s="11" t="inlineStr">
        <is>
          <t>amount 其他無形資產各類別，以確保各資產類 has been allocated to each category of goodwill, property, 別之賬面金額並無減至低於其公允值 plant and equipment, and other intangible assets such that 減出售成本（190,543,000港元）與其使 the carrying amount of each category of asset is not reduced 用價值（225,397,000港元）兩者中之較 below the highest of its fair value less cost of disposal of 高者。已對照商譽之賬面金額確認減 HK$190,543,000 and its value in use of HK$225,397,000. 值虧損約29,318,000港元，匯兌差額為 Impairment losses of approximately HK$29,318,000 have been 652,000港元；除商譽外，並無其他資 recognised against that car</t>
        </is>
      </c>
    </row>
    <row r="85">
      <c r="A85" s="8" t="inlineStr">
        <is>
          <t>Intangible Assets &amp; Goodwill</t>
        </is>
      </c>
      <c r="B85" s="8" t="inlineStr">
        <is>
          <t>無形資產及商譽</t>
        </is>
      </c>
      <c r="C85" s="20" t="inlineStr">
        <is>
          <t>high</t>
        </is>
      </c>
      <c r="D85" s="11" t="inlineStr">
        <is>
          <t>intangible asset</t>
        </is>
      </c>
      <c r="E85" s="11" t="inlineStr">
        <is>
          <t>PDF p.225</t>
        </is>
      </c>
      <c r="F85" s="11" t="inlineStr">
        <is>
          <t>財務報表附註（續） Notes to the Financial Statements (Continued) 二零二六年三月三十一日 31 March 2026 20. OTHER INTANGIBLE ASSETS 20. 其他無形資產 Customers’ list from property management Film rights contracts Total 物業管理合約 電影版權 客戶名單 合計 HK$’000 HK$’000 HK$’000 千港元 千港元 千港元 At 31 March 2024 於二零二四年三月三十一日 Gross carrying amount 賬面總額 164,835 69,429 234,264 Accumulated amortisation and 累計攤銷及減值 impairment (66,678) (33,024) (99,702) Net carrying amount 賬面淨額 98,157 36,405 134,562 Year ended 31 March 2025 截至二零二五年 三月三十一日止年度 O</t>
        </is>
      </c>
    </row>
    <row r="86">
      <c r="A86" s="8" t="inlineStr">
        <is>
          <t>Intangible Assets &amp; Goodwill</t>
        </is>
      </c>
      <c r="B86" s="8" t="inlineStr">
        <is>
          <t>無形資產及商譽</t>
        </is>
      </c>
      <c r="C86" s="20" t="inlineStr">
        <is>
          <t>high</t>
        </is>
      </c>
      <c r="D86" s="11" t="inlineStr">
        <is>
          <t>intangible asset</t>
        </is>
      </c>
      <c r="E86" s="11" t="inlineStr">
        <is>
          <t>PDF p.226</t>
        </is>
      </c>
      <c r="F86" s="11" t="inlineStr">
        <is>
          <t>財務報表附註（續） Notes to the Financial Statements (Continued) 二零二六年三月三十一日 31 March 2026 20. OTHER INTANGIBLE ASSETS 20. 其他無形資產（續） (Continued) Customers’ list from property management Film rights contracts Total 物業管理合約 電影版權 客戶名單 合計 HK$’000 HK$’000 HK$’000 千港元 千港元 千港元 Year ended 31 March 2026 截至二零二六年 三月三十一日止年度 Opening net carrying amount 年初賬面淨額 4,049 1,795 5,844 Amortisation 攤銷 – (344) (344) Impairment 減值 (90) (1,490) (1,580) Exchange adjustment 匯兌調整 227 39 266 Closing net carrying amount 年終賬面淨額</t>
        </is>
      </c>
    </row>
    <row r="87">
      <c r="A87" s="8" t="inlineStr">
        <is>
          <t>Intangible Assets &amp; Goodwill</t>
        </is>
      </c>
      <c r="B87" s="8" t="inlineStr">
        <is>
          <t>無形資產及商譽</t>
        </is>
      </c>
      <c r="C87" s="20" t="inlineStr">
        <is>
          <t>high</t>
        </is>
      </c>
      <c r="D87" s="11" t="inlineStr">
        <is>
          <t>intangible asset</t>
        </is>
      </c>
      <c r="E87" s="11" t="inlineStr">
        <is>
          <t>PDF p.227</t>
        </is>
      </c>
      <c r="F87" s="11" t="inlineStr">
        <is>
          <t>財務報表附註（續） Notes to the Financial Statements (Continued) 二零二六年三月三十一日 31 March 2026 20. OTHER INTANGIBLE ASSETS 20. 其他無形資產（續） (Continued) Film rights (Continued) 電影版權（續） As at 31 March 2026, the recoverable amount of film right 於二零二六年三月三十一日，電影版權 was RMB3,684,000 (equivalent to HK$4,186,000), being the 之可收回金額為人民幣3,684,000元（相 higher of its fair value less cost of disposal and its value in use, 當於4,186,000港元）（即其公允價值減 which was lower than its carrying amount of RMB3,766,000 出售成本與其使用價值兩者中之較高 (e</t>
        </is>
      </c>
    </row>
    <row r="88">
      <c r="A88" s="8" t="inlineStr">
        <is>
          <t>Intangible Assets &amp; Goodwill</t>
        </is>
      </c>
      <c r="B88" s="8" t="inlineStr">
        <is>
          <t>無形資產及商譽</t>
        </is>
      </c>
      <c r="C88" s="20" t="inlineStr">
        <is>
          <t>high</t>
        </is>
      </c>
      <c r="D88" s="11" t="inlineStr">
        <is>
          <t>intangible asset</t>
        </is>
      </c>
      <c r="E88" s="11" t="inlineStr">
        <is>
          <t>PDF p.228</t>
        </is>
      </c>
      <c r="F88" s="11" t="inlineStr">
        <is>
          <t>財務報表附註（續） Notes to the Financial Statements (Continued) 二零二六年三月三十一日 31 March 2026 20. OTHER INTANGIBLE ASSETS 20. 其他無形資產（續） (Continued) Customers’ list from property management contracts 物業管理合約客戶名單（續） (Continued) As at 31 March 2025, based on the result of the assessment, 於二零二五年三月三十一日，根據評 management determined that the recoverable amount of 估結果，管理層釐定可收回金額為 HK$1,795,000, being the higher of its fair value less cost 1,795,000港元（即其公允值減出售成 of disposal and value in use, is lower than the carr</t>
        </is>
      </c>
    </row>
    <row r="89">
      <c r="A89" s="8" t="inlineStr">
        <is>
          <t>Intangible Assets &amp; Goodwill</t>
        </is>
      </c>
      <c r="B89" s="8" t="inlineStr">
        <is>
          <t>無形資產及商譽</t>
        </is>
      </c>
      <c r="C89" s="20" t="inlineStr">
        <is>
          <t>high</t>
        </is>
      </c>
      <c r="D89" s="11" t="inlineStr">
        <is>
          <t>攤銷</t>
        </is>
      </c>
      <c r="E89" s="11" t="inlineStr">
        <is>
          <t>PDF p.265</t>
        </is>
      </c>
      <c r="F89" s="11" t="inlineStr">
        <is>
          <t>ts at FVTOCI 按公允值計入其他全面 收入之金融資產 177,443 209,168 Investment in films and television 投資電影及電視節目 program 2,606 2,258 At amortised cost: 按攤銷成本： Trade receivables 應收貿易款項 17,649 32,013 Deposits and other receivables 按金及其他應收款項 59,223 33,606 Amounts due from non-controlling 應收非控股權益款項 interests – 23 Pledged deposits 已抵押存款 23,864 31,204 Cash at banks and in hand 銀行及手頭現金 125,533 105,496 264 NEW SPARKLE ROLL INTERNATIONAL GROUP LIMITED 新耀萊國際集團有限公司 ANNUAL REPORT 2026 年報</t>
        </is>
      </c>
    </row>
    <row r="90">
      <c r="A90" s="8" t="inlineStr">
        <is>
          <t>Intangible Assets &amp; Goodwill</t>
        </is>
      </c>
      <c r="B90" s="8" t="inlineStr">
        <is>
          <t>無形資產及商譽</t>
        </is>
      </c>
      <c r="C90" s="20" t="inlineStr">
        <is>
          <t>high</t>
        </is>
      </c>
      <c r="D90" s="11" t="inlineStr">
        <is>
          <t>攤銷</t>
        </is>
      </c>
      <c r="E90" s="11" t="inlineStr">
        <is>
          <t>PDF p.266</t>
        </is>
      </c>
      <c r="F90" s="11" t="inlineStr">
        <is>
          <t>instruments (Continued) 39.1 金融工具類別（續） 2026 2025 二零二六年 二零二五年 HK$’000 HK$’000 千港元 千港元 Financial liabilities 金融負債 At amortised cost: 按攤銷成本： Trade payables 應付貿易款項 5,080 3,816 Refundable rental deposits 可退還租金按金 9,048 8,356 Accrued charges and other payables 應計費用及其他應付款項 38,153 29,823 Amounts due to non-controlling 應付非控股權益款項 interests 6,288 – Lease liabilities 租賃負債 212,366 253,535 Borrowings 借貸 396,240 526,751 39.2 Foreign currency risk 39.2 外幣風險 Foreign currency risk refers to the risk that the fair value 外幣風險指金融工具之公允值或 or future c</t>
        </is>
      </c>
    </row>
    <row r="91">
      <c r="A91" s="8" t="inlineStr">
        <is>
          <t>Investment Properties</t>
        </is>
      </c>
      <c r="B91" s="8" t="inlineStr">
        <is>
          <t>投資物業</t>
        </is>
      </c>
      <c r="C91" s="20" t="inlineStr">
        <is>
          <t>high</t>
        </is>
      </c>
      <c r="D91" s="11" t="inlineStr">
        <is>
          <t>投資物業</t>
        </is>
      </c>
      <c r="E91" s="11" t="inlineStr">
        <is>
          <t>PDF p.2</t>
        </is>
      </c>
      <c r="F91" s="11" t="inlineStr">
        <is>
          <t>dated Statement of Changes in Equity 綜合股本權益變動表 159 Notes to the Financial Statements 財務報表附註 161 Particulars of Investment Properties 投資物業詳情 287 Financial Summary 財務概要 288 1 NEW SPARKLE ROLL INTERNATIONAL GROUP LIMITED 新耀萊國際集團有限公司 ANNUAL REPORT 2026 年報</t>
        </is>
      </c>
    </row>
    <row r="92">
      <c r="A92" s="8" t="inlineStr">
        <is>
          <t>Investment Properties</t>
        </is>
      </c>
      <c r="B92" s="8" t="inlineStr">
        <is>
          <t>投資物業</t>
        </is>
      </c>
      <c r="C92" s="20" t="inlineStr">
        <is>
          <t>high</t>
        </is>
      </c>
      <c r="D92" s="11" t="inlineStr">
        <is>
          <t>投資物業</t>
        </is>
      </c>
      <c r="E92" s="11" t="inlineStr">
        <is>
          <t>PDF p.17</t>
        </is>
      </c>
      <c r="F92" s="11" t="inlineStr">
        <is>
          <t>vestment properties, and investment 78,400,000港元）。有關變動主要源於本財 in films and television program, gain on lease modification during 政年度錄得投資物業以及投資電影及電視節 this financial year. 目之公允值變動及租賃修訂收益。 Impairment of goodwill and impairment of properties, plant 商譽減值以及物業、機器及設備減值 and equipment The impairment losses on goodwill of approximately HK$20.1 million, 於截至二零二六年三月三十一日止年度， which is for property management services for the year ended 31 商譽之減值虧損約為20,100,000港元，該減 March 2026 (31 March 2025: approximately HK$29.3 million). The 值與物業管理服務有關（二零二五年三月</t>
        </is>
      </c>
    </row>
    <row r="93">
      <c r="A93" s="8" t="inlineStr">
        <is>
          <t>Investment Properties</t>
        </is>
      </c>
      <c r="B93" s="8" t="inlineStr">
        <is>
          <t>投資物業</t>
        </is>
      </c>
      <c r="C93" s="20" t="inlineStr">
        <is>
          <t>high</t>
        </is>
      </c>
      <c r="D93" s="11" t="inlineStr">
        <is>
          <t>投資物業</t>
        </is>
      </c>
      <c r="E93" s="11" t="inlineStr">
        <is>
          <t>PDF p.21</t>
        </is>
      </c>
      <c r="F93" s="11" t="inlineStr">
        <is>
          <t>t for the year ended 31 March 2025: 器及設備（截至二零二五年三月三十一日止 approximately HK$13.6 million). 年度賬面淨額：約13,600,000港元）。 Investment properties 投資物業 The Group’s investment properties as at 31 March 2026 were 於二零二六年三月三十一日，本集團之投資 approximately HK$295.9 million (31 March 2025: approximately 物業約為295,900,000港元（二零二五年三 HK$323.2 million). The change in value of investment properties was 月三十一日：約323,200,000港元）。投資物 mainly due to the decrease in fair value incurred during the financial 業之價值變動主要是由於回顧財政年度內公 year under review. 允值有所下跌。 20 NEW SPARKLE ROL</t>
        </is>
      </c>
    </row>
    <row r="94">
      <c r="A94" s="8" t="inlineStr">
        <is>
          <t>Investment Properties</t>
        </is>
      </c>
      <c r="B94" s="8" t="inlineStr">
        <is>
          <t>投資物業</t>
        </is>
      </c>
      <c r="C94" s="20" t="inlineStr">
        <is>
          <t>high</t>
        </is>
      </c>
      <c r="D94" s="11" t="inlineStr">
        <is>
          <t>investment property</t>
        </is>
      </c>
      <c r="E94" s="11" t="inlineStr">
        <is>
          <t>PDF p.23</t>
        </is>
      </c>
      <c r="F94" s="11" t="inlineStr">
        <is>
          <t>機器及設備之重大資本承擔（二零二五 年三月三十一日：無）。 Charges on Assets 資產押記 As at 31 March 2026, land and building, right-of-use assets, 於二零二六年三月三十一日，本集團已抵 investment property, pledged deposits and inventories of the Group 押賬面總額分別約483,300,000港元（二 with aggregate carrying amounts of approximately HK$483.3 million 零二五年三月三十一日：約475,300,000 (31 March 2025: approximately HK$475.3 million), approximately 港元）、約426,200,000港元（二零二五年 HK$426.2 million (31 March 2025: approximately HK$419.2 million), 三月三十一日：約419,200,000港元）、約 approximately HK$89.0 million (31 March</t>
        </is>
      </c>
    </row>
    <row r="95">
      <c r="A95" s="8" t="inlineStr">
        <is>
          <t>Investment Properties</t>
        </is>
      </c>
      <c r="B95" s="8" t="inlineStr">
        <is>
          <t>投資物業</t>
        </is>
      </c>
      <c r="C95" s="20" t="inlineStr">
        <is>
          <t>high</t>
        </is>
      </c>
      <c r="D95" s="11" t="inlineStr">
        <is>
          <t>投資物業</t>
        </is>
      </c>
      <c r="E95" s="11" t="inlineStr">
        <is>
          <t>PDF p.155</t>
        </is>
      </c>
      <c r="F95" s="11" t="inlineStr">
        <is>
          <t>SSETS AND LIABILITIES 資產及負債 Non-current assets 非流動資產 Property, plant and equipment 物業、機器及設備 16 574,404 526,025 Investment properties 投資物業 18 295,918 323,239 Goodwill 商譽 19 36,125 53,883 Other intangible assets 其他無形資產 20 4,186 5,844 Financial assets at fair value through 按公允值計入其他全面 other comprehensive income 收入之金融資產 21 177,443 209,168 Deferred tax assets 遞延稅項資產 32 – 2,045 1,088,076 1,120,204 Current assets 流動資產 Inventories 存貨 23 314,666 556,896 Trade receivables 應收貿易款項 24(a) 17,649 32,013 Deposits, prepayments and other 按金、預繳款項及</t>
        </is>
      </c>
    </row>
    <row r="96">
      <c r="A96" s="8" t="inlineStr">
        <is>
          <t>Investment Properties</t>
        </is>
      </c>
      <c r="B96" s="8" t="inlineStr">
        <is>
          <t>投資物業</t>
        </is>
      </c>
      <c r="C96" s="20" t="inlineStr">
        <is>
          <t>high</t>
        </is>
      </c>
      <c r="D96" s="11" t="inlineStr">
        <is>
          <t>投資物業</t>
        </is>
      </c>
      <c r="E96" s="11" t="inlineStr">
        <is>
          <t>PDF p.157</t>
        </is>
      </c>
      <c r="F96" s="11" t="inlineStr">
        <is>
          <t>ngible 其他無形資產攤銷 assets 9 344 5,698 Depreciation of property, 物業、機器及設備折舊 plant and equipment 9 34,999 46,486 Changes in fair value of 投資物業之公允值 investment properties 變動 8 44,180 35,357 Changes in fair value of investment 投資電影及電視節目 in films and television program 之公允值變動 8 (212) 37,516 Interest on borrowings 借貸利息 10 21,664 45,318 Imputed interest on lease liabilities 租賃負債推算利息 10 17,831 19,916 Written off of property, plant and 物業、機器及設備撇銷 equipment 9 – 15 Write-down of inventories 存貨撇減 9 66,026 54,207 Reversal of write-down of 撥回存貨撇</t>
        </is>
      </c>
    </row>
    <row r="97">
      <c r="A97" s="8" t="inlineStr">
        <is>
          <t>Investment Properties</t>
        </is>
      </c>
      <c r="B97" s="8" t="inlineStr">
        <is>
          <t>投資物業</t>
        </is>
      </c>
      <c r="C97" s="20" t="inlineStr">
        <is>
          <t>high</t>
        </is>
      </c>
      <c r="D97" s="11" t="inlineStr">
        <is>
          <t>投資物業</t>
        </is>
      </c>
      <c r="E97" s="11" t="inlineStr">
        <is>
          <t>PDF p.163</t>
        </is>
      </c>
      <c r="F97" s="11" t="inlineStr">
        <is>
          <t>financial statements have been prepared on 綜合財務報表乃按歷史成本基準編製， the historical cost basis except for investment properties and 惟按公允值計量之投資物業及若干金 certain financial instruments, which are measured at fair value. 融工具除外。 Going Concern Basis 持續經營基準 During the year ended 31 March 2026, the Group incurred 於截至二零二六年三月三十一日止 a loss of HK$89,487,000 and at the end of the reporting 年度，本集團錄得虧損89,487,000港 period, it recorded net current liabilities of HK$11,379,000. At 元，且於報告期末錄得流動負債淨額 the same time, the Group had borrowings of approximately 11,</t>
        </is>
      </c>
    </row>
    <row r="98">
      <c r="A98" s="8" t="inlineStr">
        <is>
          <t>Investment Properties</t>
        </is>
      </c>
      <c r="B98" s="8" t="inlineStr">
        <is>
          <t>投資物業</t>
        </is>
      </c>
      <c r="C98" s="20" t="inlineStr">
        <is>
          <t>high</t>
        </is>
      </c>
      <c r="D98" s="11" t="inlineStr">
        <is>
          <t>investment property</t>
        </is>
      </c>
      <c r="E98" s="11" t="inlineStr">
        <is>
          <t>PDF p.171</t>
        </is>
      </c>
      <c r="F98" s="11" t="inlineStr">
        <is>
          <t>動於損益表 any change therein recognised in profit or loss. 確認。 When the use of a property changes from owner- 倘一項物業的用途由自用物業轉 occupied to investment property, the property is 為投資物業，該物業按公允值重 remeasured to fair value and reclassified accordingly. 新計量並相應地重新分類。該重 Any gain arising on this remeasurement is recognised 新計量所產生的任何收益均於損 in profit or loss to the extent that it reverses a previous 益表確認，惟以轉回該特定物業 impairment loss on the specific property, with any 此前的減值虧損為限，而任何剩 remaining gain recognised in other comprehensive 餘收益則在其他全面收入內確認 incom</t>
        </is>
      </c>
    </row>
    <row r="99">
      <c r="A99" s="8" t="inlineStr">
        <is>
          <t>Investment Properties</t>
        </is>
      </c>
      <c r="B99" s="8" t="inlineStr">
        <is>
          <t>投資物業</t>
        </is>
      </c>
      <c r="C99" s="20" t="inlineStr">
        <is>
          <t>high</t>
        </is>
      </c>
      <c r="D99" s="11" t="inlineStr">
        <is>
          <t>investment property</t>
        </is>
      </c>
      <c r="E99" s="11" t="inlineStr">
        <is>
          <t>PDF p.180</t>
        </is>
      </c>
      <c r="F99" s="11" t="inlineStr">
        <is>
          <t>nued) 4.9 租賃（續） Right-of-use asset (Continued) 使用權資產（續） Except for right-of-use asset that meets the definition 除符合投資物業定義之使用權資 of an investment property, the Group measures the 產外，本集團應用成本模型計量 right-of-use assets applying a cost model. Under the cost 使用權資產。根據成本模型，本集 model, the Group measures the right-to-use at cost, less 團按成本減去任何累計折舊及任 any accumulated depreciation and any impairment losses, 何減值虧損計量使用權資產，並 and adjusted for any remeasurement of lease liability. The 就租賃負債之任何重新計量作出 Group accounts for leasehold land and buildings th</t>
        </is>
      </c>
    </row>
    <row r="100">
      <c r="A100" s="8" t="inlineStr">
        <is>
          <t>Investment Properties</t>
        </is>
      </c>
      <c r="B100" s="8" t="inlineStr">
        <is>
          <t>投資物業</t>
        </is>
      </c>
      <c r="C100" s="20" t="inlineStr">
        <is>
          <t>high</t>
        </is>
      </c>
      <c r="D100" s="11" t="inlineStr">
        <is>
          <t>investment property</t>
        </is>
      </c>
      <c r="E100" s="11" t="inlineStr">
        <is>
          <t>PDF p.181</t>
        </is>
      </c>
      <c r="F100" s="11" t="inlineStr">
        <is>
          <t>e 租賃。分租賃參照主租賃所產生 by reference to the right-of-use asset arising from the 之使用權資產分類為融資或經營 head lease. 租賃。 The Group has leased out its investment property to a 本集團向多名租戶出租投資物業。 number of tenants. Rental income from operating leases 來自經營租賃之租金收入於相關 is recognised in profit or loss on a straight-line basis 租賃之年期內以直線基準在損益 over the term of the relevant lease except where an 表確認，除非另有可更有效反映 alternative basis is more representative of the pattern of 使用租賃資產以產生利益之模式 benefits to be derived from the use of the leased asset. 之基準，則作別論。獲授之租賃獎 Lea</t>
        </is>
      </c>
    </row>
    <row r="101">
      <c r="A101" s="8" t="inlineStr">
        <is>
          <t>Investment Properties</t>
        </is>
      </c>
      <c r="B101" s="8" t="inlineStr">
        <is>
          <t>投資物業</t>
        </is>
      </c>
      <c r="C101" s="20" t="inlineStr">
        <is>
          <t>high</t>
        </is>
      </c>
      <c r="D101" s="11" t="inlineStr">
        <is>
          <t>investment property</t>
        </is>
      </c>
      <c r="E101" s="11" t="inlineStr">
        <is>
          <t>PDF p.190</t>
        </is>
      </c>
      <c r="F101" s="11" t="inlineStr">
        <is>
          <t>l requirement on determining 有關釐定用於計量遞延稅項金額 the appropriate tax rate used in measuring deferred tax 之適當稅率之一般規定有一個例 amount is when an investment property is carried at 外情況，即投資物業乃根據香港 fair value under HKAS 40 “Investment Property”. Unless 會計準則第40號「投資物業」按公 the presumption is rebutted, the deferred tax amounts 允值列賬。除非該假定被推翻，否 on these investment properties are measured using the 則此等投資物業之遞延稅項金額 tax rates that would apply on sale of these investment 乃使用出售此等投資物業時適用 properties at their carrying amounts at the reporting 之稅率按其於報告日期之賬面金 d</t>
        </is>
      </c>
    </row>
    <row r="102">
      <c r="A102" s="8" t="inlineStr">
        <is>
          <t>Investment Properties</t>
        </is>
      </c>
      <c r="B102" s="8" t="inlineStr">
        <is>
          <t>投資物業</t>
        </is>
      </c>
      <c r="C102" s="20" t="inlineStr">
        <is>
          <t>high</t>
        </is>
      </c>
      <c r="D102" s="11" t="inlineStr">
        <is>
          <t>投資物業</t>
        </is>
      </c>
      <c r="E102" s="11" t="inlineStr">
        <is>
          <t>PDF p.193</t>
        </is>
      </c>
      <c r="F102" s="11" t="inlineStr">
        <is>
          <t>量預測。實際結果可能有所不同， doubt in relation to the going concern assumption. 因此，這可能對持續經營假設構 成重大疑問。 (v) Valuation of investment properties (v) 投資物業估值 The fair value of investment properties is determined 投資物業之公允值乃使用估值技 using valuation technique. Details of the judgements and 術釐定。判斷及假設之詳情於附 assumptions have been disclosed in Note 18. 註18披露。 192 NEW SPARKLE ROLL INTERNATIONAL GROUP LIMITED 新耀萊國際集團有限公司 ANNUAL REPORT 2026 年報</t>
        </is>
      </c>
    </row>
    <row r="103">
      <c r="A103" s="8" t="inlineStr">
        <is>
          <t>Investment Properties</t>
        </is>
      </c>
      <c r="B103" s="8" t="inlineStr">
        <is>
          <t>投資物業</t>
        </is>
      </c>
      <c r="C103" s="20" t="inlineStr">
        <is>
          <t>high</t>
        </is>
      </c>
      <c r="D103" s="11" t="inlineStr">
        <is>
          <t>投資物業</t>
        </is>
      </c>
      <c r="E103" s="11" t="inlineStr">
        <is>
          <t>PDF p.195</t>
        </is>
      </c>
      <c r="F103" s="11" t="inlineStr">
        <is>
          <t>equipment 物業、機器及設備折舊 (22,526) (7,137) (50) (29,713) Unallocated 未分配 (5,286) (34,999) Changes in fair value of investment properties 投資物業之公允值變動 – – (44,180) (44,180) Changes in fair value of investment in films 電影投資之公允值變動 – – 212 212 Write-down of inventories 存貨撇減 (901) (65,125) – (66,026) Reversal of write-down of inventories 撥回存貨撇減 1,874 46,318 – 48,192 Impairment of goodwill 商譽減值 – – (20,134) (20,134) Impairment of other intangible assets 其他無形資產減值 – – (1,580) (1,580) Reversal of impairment of loan receivables and loan 應收貸款及應</t>
        </is>
      </c>
    </row>
    <row r="104">
      <c r="A104" s="8" t="inlineStr">
        <is>
          <t>Investment Properties</t>
        </is>
      </c>
      <c r="B104" s="8" t="inlineStr">
        <is>
          <t>投資物業</t>
        </is>
      </c>
      <c r="C104" s="20" t="inlineStr">
        <is>
          <t>high</t>
        </is>
      </c>
      <c r="D104" s="11" t="inlineStr">
        <is>
          <t>投資物業</t>
        </is>
      </c>
      <c r="E104" s="11" t="inlineStr">
        <is>
          <t>PDF p.196</t>
        </is>
      </c>
      <c r="F104" s="11" t="inlineStr">
        <is>
          <t>quipment 物業、機器及設備折舊 (25,456) (10,416) (13) (35,885) Unallocated 未分配 (10,601) (46,486) Changes in fair value of investment properties 投資物業之公允值變動 – – (35,357) (35,357) Changes in fair value of investment in films and 投資電影及電視節目之 television program 公允值變動 – – (37,516) (37,516) Write-down of inventories 存貨撇減 (1,874) (52,333) – (54,207) Reversal of write-down of inventories 撥回存貨撇減 6,676 2,373 – 9,049 Impairment of goodwill 商譽減值 – – (29,318) (29,318) Impairment of trade receivables 應收貿易款項減值 – – (2,300) (2,300) Impairment of other intan</t>
        </is>
      </c>
    </row>
    <row r="105">
      <c r="A105" s="8" t="inlineStr">
        <is>
          <t>Investment Properties</t>
        </is>
      </c>
      <c r="B105" s="8" t="inlineStr">
        <is>
          <t>投資物業</t>
        </is>
      </c>
      <c r="C105" s="20" t="inlineStr">
        <is>
          <t>high</t>
        </is>
      </c>
      <c r="D105" s="11" t="inlineStr">
        <is>
          <t>投資物業</t>
        </is>
      </c>
      <c r="E105" s="11" t="inlineStr">
        <is>
          <t>PDF p.200</t>
        </is>
      </c>
      <c r="F105" s="11" t="inlineStr">
        <is>
          <t>8. 其他收入、收益及虧損 2026 2025 二零二六年 二零二五年 HK$’000 HK$’000 千港元 千港元 Bank interest income 銀行利息收入 132 656 Changes in fair value of investment 投資物業之公允值變動 properties (44,180) (35,357) Changes in fair value of investment in 投資電影及電視節目之 films and television program 公允值變動 212 (37,516) Gain on disposal of property, plant 出售物業、機器及設備之收益 and equipment 171 1,380 Gain on sales of pre-owned cars 銷售二手汽車之收益 902 677 Gain on lease modification 租賃修訂收益 37,133 – Government grant (Note a) 政府補助（附註a ） 2,573 339 Revaluation loss on property, plant 物業、機器及設備重估虧損</t>
        </is>
      </c>
    </row>
    <row r="106">
      <c r="A106" s="8" t="inlineStr">
        <is>
          <t>Investment Properties</t>
        </is>
      </c>
      <c r="B106" s="8" t="inlineStr">
        <is>
          <t>投資物業</t>
        </is>
      </c>
      <c r="C106" s="20" t="inlineStr">
        <is>
          <t>high</t>
        </is>
      </c>
      <c r="D106" s="11" t="inlineStr">
        <is>
          <t>投資物業</t>
        </is>
      </c>
      <c r="E106" s="11" t="inlineStr">
        <is>
          <t>PDF p.210</t>
        </is>
      </c>
      <c r="F106" s="11" t="inlineStr">
        <is>
          <t>88 949,559 Exchange differences 匯兌差額 (9,262) (340) (278) (9,880) Additions 添置 – 922 8,829 9,751 Transfer to investment properties 轉撥至投資物業（附註18） (Note 18) (19,322) – – (19,322) Impairment loss 減值虧損 (328,542) – – (328,542) Disposals 出售 – (118) (13,484) (13,602) Written off 撇銷 – (15) – (15) Depreciation 折舊 (39,891) (3,715) (2,880) (46,486) Revaluation loss 重估虧損 (19,125) – – (19,125) Modification of lease 租賃修訂 3,687 – – 3,687 Closing net carrying amount 年末賬面淨額 512,482 5,268 8,275 526,025 At 31 March 2025 於二零二五年三月三十一日 Cost 成本 1,104,</t>
        </is>
      </c>
    </row>
    <row r="107">
      <c r="A107" s="8" t="inlineStr">
        <is>
          <t>Investment Properties</t>
        </is>
      </c>
      <c r="B107" s="8" t="inlineStr">
        <is>
          <t>投資物業</t>
        </is>
      </c>
      <c r="C107" s="20" t="inlineStr">
        <is>
          <t>high</t>
        </is>
      </c>
      <c r="D107" s="11" t="inlineStr">
        <is>
          <t>投資物業</t>
        </is>
      </c>
      <c r="E107" s="11" t="inlineStr">
        <is>
          <t>PDF p.211</t>
        </is>
      </c>
      <c r="F107" s="11" t="inlineStr">
        <is>
          <t>ant and equipment of HK$19,322,000 as at the 經重估）19,322,000港元已轉撥至本集 date of change in use was transferred to investment properties 團之投資物業。由於土地及樓宇之公允 of the Group. Since the fair value of the land and building fell 值跌至低於賬面金額，故重估產生虧損 below the carrying amounts, the revaluation gave rise to loss 19,125,000港元，已於截至二零二五年 of HK$19,125,000 recognised in profit or loss during the year 三月三十一日止年度之損益表確認。 ended 31 March 2025. 210 NEW SPARKLE ROLL INTERNATIONAL GROUP LIMITED 新耀萊國際集團有限公司 ANNUAL REPORT 2026 年報</t>
        </is>
      </c>
    </row>
    <row r="108">
      <c r="A108" s="8" t="inlineStr">
        <is>
          <t>Investment Properties</t>
        </is>
      </c>
      <c r="B108" s="8" t="inlineStr">
        <is>
          <t>投資物業</t>
        </is>
      </c>
      <c r="C108" s="20" t="inlineStr">
        <is>
          <t>high</t>
        </is>
      </c>
      <c r="D108" s="11" t="inlineStr">
        <is>
          <t>投資物業</t>
        </is>
      </c>
      <c r="E108" s="11" t="inlineStr">
        <is>
          <t>PDF p.214</t>
        </is>
      </c>
      <c r="F108" s="11" t="inlineStr">
        <is>
          <t>7 Modification of lease 租賃修訂 – 3,687 3,687 Depreciation expense 折舊費用 (21,568) (14,712) (36,280) Transfer to investment properties 轉撥至投資物業 (18,102) – (18,102) Revaluation loss 重估虧損 (17,918) – (17,918) Impairment loss 減值虧損 (258,628) (11,240) (269,868) Exchange differences 匯兌差額 (7,642) (655) (8,297) As at 31 March 2025 and 於二零二五年三月三十一日及 1 April 2025 二零二五年四月一日 419,421 25,808 445,229 Additions 添置 – 18,550 18,550 Modification of lease 租賃修訂 – 5,998 5,998 Depreciation expense 折舊費用 (16,209) (11,451) (27,660) Exchange differences 匯兌差額 23</t>
        </is>
      </c>
    </row>
    <row r="109">
      <c r="A109" s="8" t="inlineStr">
        <is>
          <t>Investment Properties</t>
        </is>
      </c>
      <c r="B109" s="8" t="inlineStr">
        <is>
          <t>投資物業</t>
        </is>
      </c>
      <c r="C109" s="20" t="inlineStr">
        <is>
          <t>high</t>
        </is>
      </c>
      <c r="D109" s="11" t="inlineStr">
        <is>
          <t>reversionary</t>
        </is>
      </c>
      <c r="E109" s="11" t="inlineStr">
        <is>
          <t>PDF p.218</t>
        </is>
      </c>
      <c r="F109" s="11" t="inlineStr">
        <is>
          <t>of the property. The valuation 期及復歸法。估值計及物業權益的現時 takes account of the current rents of the property interests, 租金及重訂租約的可能、租期收益率及 the reversionary potentials of the tenancies, term yield and 復歸收益率，隨後分別以復歸收益率計 reversionary yield, and reversionary yield is then applied 算物業的市場價值。 respectively to derive the market value of property. Market approach is making reference to the comparable 市場法乃基於類似物業的市場可觀察 market transactions as available, based on market observable 交易，參照可得的可資比較市場交易， transactions of similar properties and adjusted to re</t>
        </is>
      </c>
    </row>
    <row r="110">
      <c r="A110" s="8" t="inlineStr">
        <is>
          <t>Investment Properties</t>
        </is>
      </c>
      <c r="B110" s="8" t="inlineStr">
        <is>
          <t>投資物業</t>
        </is>
      </c>
      <c r="C110" s="20" t="inlineStr">
        <is>
          <t>high</t>
        </is>
      </c>
      <c r="D110" s="11" t="inlineStr">
        <is>
          <t>market rent</t>
        </is>
      </c>
      <c r="E110" s="11" t="inlineStr">
        <is>
          <t>PDF p.219</t>
        </is>
      </c>
      <c r="F110" s="11" t="inlineStr">
        <is>
          <t>come The higher the market yield, located in Beijing 市場回報率(%) approach the lower the fair value. 位於北京之使用權資產 收入法 市場回報率愈高， 公允值愈低。 Unit market rent 4.50 4.00 to 4.63 Income The higher the unit market rent, (RMB/sqm/day)+ 4.00至4.63 approach the higher the fair value. 單位市場租金 收入法 單位市場租金愈高， （人民幣╱平方米╱日）+ 公允值愈高。 Owned asset located Market unit rate 24,600 to 26,300 24,800 to 26,450 Market approach The higher the market unit in Beijing (RMB/sqm)+ 24,600至26,300 24,800至26,450 rate, the higher the fair value. 市場法 位於北京之自置資產 市場單價 市場單價愈高， （人民幣</t>
        </is>
      </c>
    </row>
    <row r="111">
      <c r="A111" s="8" t="inlineStr">
        <is>
          <t>Investment Properties</t>
        </is>
      </c>
      <c r="B111" s="8" t="inlineStr">
        <is>
          <t>投資物業</t>
        </is>
      </c>
      <c r="C111" s="20" t="inlineStr">
        <is>
          <t>high</t>
        </is>
      </c>
      <c r="D111" s="11" t="inlineStr">
        <is>
          <t>investment property</t>
        </is>
      </c>
      <c r="E111" s="11" t="inlineStr">
        <is>
          <t>PDF p.220</t>
        </is>
      </c>
      <c r="F111" s="11" t="inlineStr">
        <is>
          <t>od in which they occur. 集團之政策為於發生轉撥之報告期末 確認公允值等級間之轉撥。 During the year ended 31 March 2025, the Group transferred 於截至二零二五年三月三十一日止年 an investment property from Level 3 into Level 2 of the fair 度，本集團將一項投資物業自第三級轉 value hierarchy. Such transfer reflected the sign of recovery of 入公允值等級第二級。該轉撥反映了北 the commercial property market in Beijing and the availability 京商業物業市場復甦的跡象及隨著市 of market data of similar properties increased along with the 場更加活躍，可獲得的類似物業市場數 more active market. 據增加。 Significant judgement and estimation is required when 於評</t>
        </is>
      </c>
    </row>
    <row r="112">
      <c r="A112" s="8" t="inlineStr">
        <is>
          <t>Investment Properties</t>
        </is>
      </c>
      <c r="B112" s="8" t="inlineStr">
        <is>
          <t>投資物業</t>
        </is>
      </c>
      <c r="C112" s="20" t="inlineStr">
        <is>
          <t>high</t>
        </is>
      </c>
      <c r="D112" s="11" t="inlineStr">
        <is>
          <t>投資物業</t>
        </is>
      </c>
      <c r="E112" s="11" t="inlineStr">
        <is>
          <t>PDF p.237</t>
        </is>
      </c>
      <c r="F112" s="11" t="inlineStr">
        <is>
          <t>於截至二零二五年三月三十一日 has non-cash addition to investment properties of 止年度，本集團以非現金形式添 HK$19,322,000, transferred from property, plant and 置投資物業19,322,000港元，乃 equipment. 從物業、機器及設備轉撥。 (b) Reconciliation of liabilities arising from financing (b) 融資活動所產生負債對賬 activities The table below details changes in the Group’s liabilities 下表為本集團融資活動所產生負 from financing activities, including both cash and non- 債之變動（包括現金及非現金變 cash changes. Liabilities arising from financing activities 動）詳情。融資活動所產生負債為 are liabilities for which cash flows were, or future</t>
        </is>
      </c>
    </row>
    <row r="113">
      <c r="A113" s="8" t="inlineStr">
        <is>
          <t>Investment Properties</t>
        </is>
      </c>
      <c r="B113" s="8" t="inlineStr">
        <is>
          <t>投資物業</t>
        </is>
      </c>
      <c r="C113" s="20" t="inlineStr">
        <is>
          <t>high</t>
        </is>
      </c>
      <c r="D113" s="11" t="inlineStr">
        <is>
          <t>investment property</t>
        </is>
      </c>
      <c r="E113" s="11" t="inlineStr">
        <is>
          <t>PDF p.243</t>
        </is>
      </c>
      <c r="F113" s="11" t="inlineStr">
        <is>
          <t>ure the loan facilities 三十一日，若干物業、機器及設備（附 granted to the Group. 註16）已抵押，作為本集團獲授之貸 款融資之擔保。 (iv) As at 31 March 2025 and 2026, certain investment property (iv) 於二零二五年及二零二六年三月 (Note 18) was pledged to secure the loan facilities granted by 三十一日，若干投資物業（附註18）已 the Group. 抵押，作為本集團獲授之貸款融資之 擔保。 (v) Certain borrowings were secured by corporate guarantees (v) 於截至二零二五年及二零二六年三月 executed by the Company and certain subsidiaries during the 三十一日止年度，若干借貸由本公司 years ended 31 March 2025 and 2026. 及若干附屬公司簽立之企業擔保作擔 保。 (vi) As at 31 March 2025 and 202</t>
        </is>
      </c>
    </row>
    <row r="114">
      <c r="A114" s="8" t="inlineStr">
        <is>
          <t>Investment Properties</t>
        </is>
      </c>
      <c r="B114" s="8" t="inlineStr">
        <is>
          <t>投資物業</t>
        </is>
      </c>
      <c r="C114" s="20" t="inlineStr">
        <is>
          <t>high</t>
        </is>
      </c>
      <c r="D114" s="11" t="inlineStr">
        <is>
          <t>投資物業</t>
        </is>
      </c>
      <c r="E114" s="11" t="inlineStr">
        <is>
          <t>PDF p.244</t>
        </is>
      </c>
      <c r="F114" s="11" t="inlineStr">
        <is>
          <t>確認之遞延稅項（資產）及負債之變動 如下： Right-of-use Lease Investment Business assets liabilities properties combination Inventories Total 使用權資產 租賃負債 投資物業 業務合併 存貨 總計 At 1 April 2024 於二零二四年四月一日 90,755 (73,915) (10,906) 9,104 (1,029) 14,009 Credited to profit or loss 計入損益 (22,991) 9,245 5,449 (8,460) 1,029 (15,728) Exchange differences 匯兌差額 (1,948) 1,583 235 (196) – (326) At 31 March 2025 and 1 April 2025 於二零二五年三月三十一日及 二零二五年四月一日 65,816 (63,087) (5,222) 448 – (2,045) Credited to profit or loss 計入損益 (7,945) 13,130 (248) (86) – 4,851 Exchange differ</t>
        </is>
      </c>
    </row>
    <row r="115">
      <c r="A115" s="8" t="inlineStr">
        <is>
          <t>Investment Properties</t>
        </is>
      </c>
      <c r="B115" s="8" t="inlineStr">
        <is>
          <t>投資物業</t>
        </is>
      </c>
      <c r="C115" s="20" t="inlineStr">
        <is>
          <t>high</t>
        </is>
      </c>
      <c r="D115" s="11" t="inlineStr">
        <is>
          <t>投資物業</t>
        </is>
      </c>
      <c r="E115" s="11" t="inlineStr">
        <is>
          <t>PDF p.280</t>
        </is>
      </c>
      <c r="F115" s="11" t="inlineStr">
        <is>
          <t>at FVTOCI 全面收入之 金融資產 177,443 – – 177,443 Investment in films and 投資電影及 television program 電視節目 – – 2,606 2,606 Investment properties 投資物業 – 91,373 204,545 295,918 Level 1 Level 2 Level 3 Total 第一級 第二級 第三級 總計 HK$’000 HK$’000 HK$’000 HK$’000 千港元 千港元 千港元 千港元 At 31 March 2025 於二零二五年 三月三十一日 Financial assets 金融資產 Financial assets 按公允值計入其他 at FVTOCI 全面收入之 金融資產 209,168 – – 209,168 Investment in films and 投資電影及 television program 電視節目 – – 2,258 2,258 Investment properties 投資物業 – 87,433 235,806 323,239 279 NEW SPARKLE ROLL INTERNATIONAL</t>
        </is>
      </c>
    </row>
    <row r="116">
      <c r="A116" s="8" t="inlineStr">
        <is>
          <t>Investment Properties</t>
        </is>
      </c>
      <c r="B116" s="8" t="inlineStr">
        <is>
          <t>投資物業</t>
        </is>
      </c>
      <c r="C116" s="20" t="inlineStr">
        <is>
          <t>high</t>
        </is>
      </c>
      <c r="D116" s="11" t="inlineStr">
        <is>
          <t>investment property</t>
        </is>
      </c>
      <c r="E116" s="11" t="inlineStr">
        <is>
          <t>PDF p.281</t>
        </is>
      </c>
      <c r="F116" s="11" t="inlineStr">
        <is>
          <t>ers into or out of Level 3. 第二級之間並無轉撥，亦無 轉入第三級或自第三級轉 出。 During the year ended 31 March 2025, the Group 於截至二零二五年三月 has transferred an investment property from Level 3 三十一日止年度，本集團將 into Level 2 of the fair value hierarchy. Such transfer 一項投資物業自第三級轉入 reflects the sign of recovery of the commercial 公允值等級第二級。該轉撥 property market in Beijing during the year and 反映年內北京商業物業市 the availability of market data of similar properties 場復甦的跡象及隨著市場 increased along with the more active market. Other 更加活躍，可獲得的類似物 than the above transfer, there is n</t>
        </is>
      </c>
    </row>
    <row r="117">
      <c r="A117" s="8" t="inlineStr">
        <is>
          <t>Investment Properties</t>
        </is>
      </c>
      <c r="B117" s="8" t="inlineStr">
        <is>
          <t>投資物業</t>
        </is>
      </c>
      <c r="C117" s="20" t="inlineStr">
        <is>
          <t>high</t>
        </is>
      </c>
      <c r="D117" s="11" t="inlineStr">
        <is>
          <t>投資物業</t>
        </is>
      </c>
      <c r="E117" s="11" t="inlineStr">
        <is>
          <t>PDF p.288</t>
        </is>
      </c>
      <c r="F117" s="11" t="inlineStr">
        <is>
          <t>投資物業詳情 Particulars of Investment Properties 於二零二六年三月三十一日 At 31 March 2026 Location Held on Lease Term Usage 地點 租賃契約持有 用途 Building 17 and Building 19, Medium Commercial Xinghuo West Road, Chaoyang District, Beijing, the PRC* 中國北京市 中期 商用 朝陽區星火西路 17號樓及19號樓 Level 4 of Tower A, Medium Commercial International Wonderland, 40 Xing Fu Er Cun, Chaoyang District, Beijing, the PRC* 中國北京市朝陽區 中期 商用 幸福二村40號樓 首開</t>
        </is>
      </c>
    </row>
    <row r="118">
      <c r="A118" s="8" t="inlineStr">
        <is>
          <t>ESG Data</t>
        </is>
      </c>
      <c r="B118" s="8" t="inlineStr">
        <is>
          <t>環境社會及管治數據</t>
        </is>
      </c>
      <c r="C118" s="8" t="inlineStr">
        <is>
          <t>medium</t>
        </is>
      </c>
      <c r="D118" s="11" t="inlineStr">
        <is>
          <t>環境、社會及管治</t>
        </is>
      </c>
      <c r="E118" s="11" t="inlineStr">
        <is>
          <t>PDF p.2</t>
        </is>
      </c>
      <c r="F118" s="11" t="inlineStr">
        <is>
          <t>vernance Report 企業管治報告 48 Biographies of Directors and Senior Management 董事及高級管理人員之履歷 75 Environmental, Social and Governance Report 環境、社會及管治報告 79 Independent Auditor’s Report 獨立核數師報告 143 Consolidated Statement of Comprehensive Income 綜合全面收入報表 152 Consolidated Statement of Financial Position 綜合財務狀況報表 154 Consolidated Statement of Cash Flows 綜合現金流量表 156 Consolidated Statement of Changes in Equity 綜合股本權益變動表 159 Notes to the Financial Statements 財務報表附註 161 Particulars of Investment Properties 投資物業詳情 287 Financial Summary 財務概要 288</t>
        </is>
      </c>
    </row>
    <row r="119">
      <c r="A119" s="8" t="inlineStr">
        <is>
          <t>ESG Data</t>
        </is>
      </c>
      <c r="B119" s="8" t="inlineStr">
        <is>
          <t>環境社會及管治數據</t>
        </is>
      </c>
      <c r="C119" s="8" t="inlineStr">
        <is>
          <t>medium</t>
        </is>
      </c>
      <c r="D119" s="11" t="inlineStr">
        <is>
          <t>環境、社會及管治</t>
        </is>
      </c>
      <c r="E119" s="11" t="inlineStr">
        <is>
          <t>PDF p.47</t>
        </is>
      </c>
      <c r="F119" s="11" t="inlineStr">
        <is>
          <t>iance by the Group of the prevailing 及法規。對本集團環境政策及表現之探討載 environmental protection laws and regulations. Details of the 於本報告第79至142頁之「環境、社會及管治 environmental policies and performance of the Group are set out in 報告」一節。 the section headed “Environmental, Social and Governance Report” on pages 79 to 142 in this report. COMPLIANCE WITH LAWS AND 遵守法律及法規 REGULATIONS The shares of the Company are listed on the Main Board of the 本公司股份於聯交所主板上市，而本集團之 Stock Exchange and the operations of the Group are mainly carried 業務主要由其於香港及中國內地之附屬公司 out</t>
        </is>
      </c>
    </row>
    <row r="120">
      <c r="A120" s="8" t="inlineStr">
        <is>
          <t>ESG Data</t>
        </is>
      </c>
      <c r="B120" s="8" t="inlineStr">
        <is>
          <t>環境社會及管治數據</t>
        </is>
      </c>
      <c r="C120" s="8" t="inlineStr">
        <is>
          <t>medium</t>
        </is>
      </c>
      <c r="D120" s="11" t="inlineStr">
        <is>
          <t>可持續</t>
        </is>
      </c>
      <c r="E120" s="11" t="inlineStr">
        <is>
          <t>PDF p.49</t>
        </is>
      </c>
      <c r="F120" s="11" t="inlineStr">
        <is>
          <t>ld-class brands and to strive 集團匯聚世界級品牌，致力於晉身中國頂級 to be one of the top-tier dealers of luxury brands in the PRC, and to 奢侈品牌分銷商之列，並透過可持續增長及 create and enhance value to the stakeholders through sustainable 穩步發展為持份者創造和提升價值。為達成 growth and stable development. In order to achieve its long-term 此長遠目標並執行可持續業務模式，本集團 objectives and carry out a sustainable business model, the Group 一直培育彼此合作、互相尊重與合乎道德之 cultivates the corporate culture with cooperation, respect and ethics. 企業文化。按照本集團之宗旨及企業文化， With the Group’s mission and corporate culture,</t>
        </is>
      </c>
    </row>
    <row r="121">
      <c r="A121" s="8" t="inlineStr">
        <is>
          <t>ESG Data</t>
        </is>
      </c>
      <c r="B121" s="8" t="inlineStr">
        <is>
          <t>環境社會及管治數據</t>
        </is>
      </c>
      <c r="C121" s="8" t="inlineStr">
        <is>
          <t>medium</t>
        </is>
      </c>
      <c r="D121" s="11" t="inlineStr">
        <is>
          <t>ESG</t>
        </is>
      </c>
      <c r="E121" s="11" t="inlineStr">
        <is>
          <t>PDF p.80</t>
        </is>
      </c>
      <c r="F121" s="11" t="inlineStr">
        <is>
          <t>y. 最大價值。 ABOUT THE REPORT 關於本報告 The Group is pleased to publish our tenth Environmental, Social and 本集團欣然發佈我們的第十份環境、社會及 Governance (“ESG”) Report (the “Report”), which aims to disclose 管治（「ESG 」）報告（「本報告」），旨在向持 our sustainability strategies, management approach and ESG 份者披露我們的可持續發展策略、管理方針 performance to our stakeholders. 及ESG表現。 Reporting Period and Scope 報告期間及範圍 Unless otherwise stated, the Report covers our ESG initiatives and 除另有說明外，本報告涵蓋本集團由二零 performance during the period from 1 April 2025 to 31 March 2026 二五年四月一日至二零二六年三月三十</t>
        </is>
      </c>
    </row>
    <row r="122">
      <c r="A122" s="8" t="inlineStr">
        <is>
          <t>ESG Data</t>
        </is>
      </c>
      <c r="B122" s="8" t="inlineStr">
        <is>
          <t>環境社會及管治數據</t>
        </is>
      </c>
      <c r="C122" s="8" t="inlineStr">
        <is>
          <t>medium</t>
        </is>
      </c>
      <c r="D122" s="11" t="inlineStr">
        <is>
          <t>ESG</t>
        </is>
      </c>
      <c r="E122" s="11" t="inlineStr">
        <is>
          <t>PDF p.81</t>
        </is>
      </c>
      <c r="F122" s="11" t="inlineStr">
        <is>
          <t>的編製基礎： the Report: Through consistent communications with stakeholders and internal discussion, the Group has identiﬁed the material ESG issues for the Reporting Period and the outcome of the internal Materiality materiality assessment is disclosed in the section “Materiality Analysis”. 重要性 通過與持份者的持續溝通和內部討論，本集團已識別報告期間的重大ESG 議題，並在「重要 性分析」部分披露內部重要性評估的結果。 The environmental and social key performance indicators (“KPIs”) are disclosed quantitatively where applicable. The KPIs are calculated with reference to the Appendix 2: Reportin</t>
        </is>
      </c>
    </row>
    <row r="123">
      <c r="A123" s="8" t="inlineStr">
        <is>
          <t>ESG Data</t>
        </is>
      </c>
      <c r="B123" s="8" t="inlineStr">
        <is>
          <t>環境社會及管治數據</t>
        </is>
      </c>
      <c r="C123" s="8" t="inlineStr">
        <is>
          <t>medium</t>
        </is>
      </c>
      <c r="D123" s="11" t="inlineStr">
        <is>
          <t>carbon</t>
        </is>
      </c>
      <c r="E123" s="11" t="inlineStr">
        <is>
          <t>PDF p.82</t>
        </is>
      </c>
      <c r="F123" s="11" t="inlineStr">
        <is>
          <t>邦永晉諮詢有限公司為 sustainability efforts, we have appointed PAL Advisory Limited to 我們提供ESG及碳中和相關專業意見，並協 offer expertise on ESG matters and carbon neutrality, as well as 助編製本報告。 assist with the Report preparation. 81 NEW SPARKLE ROLL INTERNATIONAL GROUP LIMITED 新耀萊國際集團有限公司 ANNUAL REPORT 2026 年報</t>
        </is>
      </c>
    </row>
    <row r="124">
      <c r="A124" s="8" t="inlineStr">
        <is>
          <t>ESG Data</t>
        </is>
      </c>
      <c r="B124" s="8" t="inlineStr">
        <is>
          <t>環境社會及管治數據</t>
        </is>
      </c>
      <c r="C124" s="8" t="inlineStr">
        <is>
          <t>medium</t>
        </is>
      </c>
      <c r="D124" s="11" t="inlineStr">
        <is>
          <t>ESG</t>
        </is>
      </c>
      <c r="E124" s="11" t="inlineStr">
        <is>
          <t>PDF p.83</t>
        </is>
      </c>
      <c r="F124" s="11" t="inlineStr">
        <is>
          <t>ear the ultimate responsibility of sustainable development strategies of the Group; 承擔本集團可持續發展策略的最終責任； • Oversee the Group’s overall ESG issues and strategies; and 監管本集團整體ESG事宜及策略；以及 • Review and approve ESG Reports of the Group. 檢視及審批本集團之ESG報告。 Audit Committee ESG Working Group 審核委員會 ESG工作小組 • The ESG risk management function is delegated to • Identify, assess, prioritize and manage the Group’s the Audit Committee; material ESG matters; ESG風險管理職能已轉授至審核委員會； 識別、評估、優先排列及管理本集團之重要ESG相關 • Review and approve the risk assessment; and</t>
        </is>
      </c>
    </row>
    <row r="125">
      <c r="A125" s="8" t="inlineStr">
        <is>
          <t>ESG Data</t>
        </is>
      </c>
      <c r="B125" s="8" t="inlineStr">
        <is>
          <t>環境社會及管治數據</t>
        </is>
      </c>
      <c r="C125" s="8" t="inlineStr">
        <is>
          <t>medium</t>
        </is>
      </c>
      <c r="D125" s="11" t="inlineStr">
        <is>
          <t>ESG</t>
        </is>
      </c>
      <c r="E125" s="11" t="inlineStr">
        <is>
          <t>PDF p.84</t>
        </is>
      </c>
      <c r="F125" s="11" t="inlineStr">
        <is>
          <t>環境、社會及管治報告 Environmental, Social and Governance Report ESG RISK MANAGEMENT ESG風險管理 Effective risk management forms a crucial component of our 有效的風險管理是我們營運策略中的關鍵元 operational strategy. We have engaged an independent third-party 素。我們聘請了獨立的第三方顧問進行ESG consultant to conduct an ESG risk assessment, identifying the 風險評估，識別報告期間本集團的重大ESG Group’s material ESG risks in the Reporting Period. The Group has 風險。本集團已制定綜合性的措施以緩解重 put in place comprehensive measures to</t>
        </is>
      </c>
    </row>
    <row r="126">
      <c r="A126" s="8" t="inlineStr">
        <is>
          <t>ESG Data</t>
        </is>
      </c>
      <c r="B126" s="8" t="inlineStr">
        <is>
          <t>環境社會及管治數據</t>
        </is>
      </c>
      <c r="C126" s="8" t="inlineStr">
        <is>
          <t>medium</t>
        </is>
      </c>
      <c r="D126" s="11" t="inlineStr">
        <is>
          <t>ESG</t>
        </is>
      </c>
      <c r="E126" s="11" t="inlineStr">
        <is>
          <t>PDF p.85</t>
        </is>
      </c>
      <c r="F126" s="11" t="inlineStr">
        <is>
          <t>strategies, we have maintained 可持續發展策略至關重要，因此我們與持份 ongoing communication with them to collect their suggestions and 者保持持續溝通，以收集他們對我們ESG表 expectations regarding our ESG performance and to respond to their 現的建議和期望，並透過制訂適當的管理系 opinions by formulating appropriate management systems, policies, 統、政策及程序以回應他們的意見。以下為 and procedures. Below are the key channels we use to engage with 我們與持份者溝通的主要渠道： our stakeholders: Stakeholder groups Communication channels 持份者類別 溝通渠道 Customers • Feedback from customers 客戶 客戶反饋 • Company’s website 公司網站 •</t>
        </is>
      </c>
    </row>
    <row r="127">
      <c r="A127" s="8" t="inlineStr">
        <is>
          <t>ESG Data</t>
        </is>
      </c>
      <c r="B127" s="8" t="inlineStr">
        <is>
          <t>環境社會及管治數據</t>
        </is>
      </c>
      <c r="C127" s="8" t="inlineStr">
        <is>
          <t>medium</t>
        </is>
      </c>
      <c r="D127" s="11" t="inlineStr">
        <is>
          <t>ESG</t>
        </is>
      </c>
      <c r="E127" s="11" t="inlineStr">
        <is>
          <t>PDF p.86</t>
        </is>
      </c>
      <c r="F127" s="11" t="inlineStr">
        <is>
          <t>YSIS 重要性分析 The procedures below detail the approach of our internal materiality 以下程序詳述我們進行內部重要性評估的方 assessment, which identified key ESG issues impacting our business 法，用以識別報告期間對我們的業務營運和 operations and stakeholders during the Reporting Period. 持份者具影響的重大ESG議題： 1 1 2 2 Prioritization 3 3 排定優次 The Group reviewed and examined The Board reviewed and re-assessed After completing the review and 2025 2025 assessment, the Group adjusted the with reference to: materiality level of the topics. There 本集團參考以下因素，審視並研究 Reporting Period. The o</t>
        </is>
      </c>
    </row>
    <row r="128">
      <c r="A128" s="8" t="inlineStr">
        <is>
          <t>ESG Data</t>
        </is>
      </c>
      <c r="B128" s="8" t="inlineStr">
        <is>
          <t>環境社會及管治數據</t>
        </is>
      </c>
      <c r="C128" s="8" t="inlineStr">
        <is>
          <t>medium</t>
        </is>
      </c>
      <c r="D128" s="11" t="inlineStr">
        <is>
          <t>greenhouse gas</t>
        </is>
      </c>
      <c r="E128" s="11" t="inlineStr">
        <is>
          <t>PDF p.87</t>
        </is>
      </c>
      <c r="F128" s="11" t="inlineStr">
        <is>
          <t>Issues 重要性議題 Environment Employment Operation 環境 僱傭 營運 1. Air emission 9. Labour rights 16. Customer satisfaction 廢氣排放 勞工權利 客戶滿意度 2. Greenhouse gas emission 10. Labour-management relations 17. Customer service quality and 溫室氣體排放 勞資關係 complaints handling 3. Climate change 11. Employee retention 客戶服務質素及投訴處理 氣候變化 挽留員工 18. Customer health and safety 4. Energy efﬁciency 12. Diversity, non-discrimination and equal 客戶健康與安全 能源效益 opportunity 19. Marketing and product and service 5. Water and efﬂuents 多元化、反歧視及平等機會 labelling compliance 水及</t>
        </is>
      </c>
    </row>
    <row r="129">
      <c r="A129" s="8" t="inlineStr">
        <is>
          <t>ESG Data</t>
        </is>
      </c>
      <c r="B129" s="8" t="inlineStr">
        <is>
          <t>環境社會及管治數據</t>
        </is>
      </c>
      <c r="C129" s="8" t="inlineStr">
        <is>
          <t>medium</t>
        </is>
      </c>
      <c r="D129" s="11" t="inlineStr">
        <is>
          <t>ESG</t>
        </is>
      </c>
      <c r="E129" s="11" t="inlineStr">
        <is>
          <t>PDF p.88</t>
        </is>
      </c>
      <c r="F129" s="11" t="inlineStr">
        <is>
          <t>環境、社會及管治報告 Environmental, Social and Governance Report Following our assessment of how each ESG issue impacts the 在我們評估各ESG議題如何影響本集團及主 Group and major stakeholders, we have ranked their relative 要持份者後，我們為其重要性程度進行以下 importance as shown below： 排序： Most Important 17. Customer service quality and complaints handling 最重要 客戶服務質素及投訴處理 21. Customer privacy and data protection 客戶隱私及資料保護 16. Customer satisfaction 客戶滿意度 18. Customer health and safety 客戶健康與安全 19. Marketing and product and service la</t>
        </is>
      </c>
    </row>
    <row r="130">
      <c r="A130" s="8" t="inlineStr">
        <is>
          <t>ESG Data</t>
        </is>
      </c>
      <c r="B130" s="8" t="inlineStr">
        <is>
          <t>環境社會及管治數據</t>
        </is>
      </c>
      <c r="C130" s="8" t="inlineStr">
        <is>
          <t>medium</t>
        </is>
      </c>
      <c r="D130" s="11" t="inlineStr">
        <is>
          <t>greenhouse gas</t>
        </is>
      </c>
      <c r="E130" s="11" t="inlineStr">
        <is>
          <t>PDF p.89</t>
        </is>
      </c>
      <c r="F130" s="11" t="inlineStr">
        <is>
          <t>ersity, non-discrimination and equal opportunity 多元化、反歧視及平等機會 15. Prevention of child labour and forced labour 防止童工及強制勞工 Relevant 2. Greenhouse gas emissions 相關 溫室氣體排放 1. Air emission 廢氣排放 5. Water and effluents 水及廢水 26. Community investment 社區投資 88 NEW SPARKLE ROLL INTERNATIONAL GROUP LIMITED 新耀萊國際集團有限公司 ANNUAL REPORT 2026 年報</t>
        </is>
      </c>
    </row>
    <row r="131">
      <c r="A131" s="8" t="inlineStr">
        <is>
          <t>ESG Data</t>
        </is>
      </c>
      <c r="B131" s="8" t="inlineStr">
        <is>
          <t>環境社會及管治數據</t>
        </is>
      </c>
      <c r="C131" s="8" t="inlineStr">
        <is>
          <t>medium</t>
        </is>
      </c>
      <c r="D131" s="11" t="inlineStr">
        <is>
          <t>環境、社會及管治</t>
        </is>
      </c>
      <c r="E131" s="11" t="inlineStr">
        <is>
          <t>PDF p.90</t>
        </is>
      </c>
      <c r="F131" s="11" t="inlineStr">
        <is>
          <t>環境、社會及管治報告 Environmental, Social and Governance Report BUSINESS ETHICS 商業道德 Through promoting a culture of integrity and regulatory compliance, 通過推動誠信和合規文化，本集團嚴格禁止 the Group firmly prohibits all forms of bribery, extortion, fraud and 任何形式的賄賂、勒索、欺詐及洗黑錢活動。 money-laundering activities. We comply with relevant laws and 我們遵守相關法律法規，包括但不限於： regulations, including, but not limited to: • Anti-Unfair Compet</t>
        </is>
      </c>
    </row>
    <row r="132">
      <c r="A132" s="8" t="inlineStr">
        <is>
          <t>ESG Data</t>
        </is>
      </c>
      <c r="B132" s="8" t="inlineStr">
        <is>
          <t>環境社會及管治數據</t>
        </is>
      </c>
      <c r="C132" s="8" t="inlineStr">
        <is>
          <t>medium</t>
        </is>
      </c>
      <c r="D132" s="11" t="inlineStr">
        <is>
          <t>sustainability</t>
        </is>
      </c>
      <c r="E132" s="11" t="inlineStr">
        <is>
          <t>PDF p.91</t>
        </is>
      </c>
      <c r="F132" s="11" t="inlineStr">
        <is>
          <t>tions in various stages of our business activities. SUSTAINABLE SUPPLY CHAIN 可持續供應鏈 A stable and reliable supply chain underpins the sustainability of 穩定可靠的供應鏈是我們服務的可持續性的 our service offerings. Consequently, the Group places significant 基石。因此，本集團高度重視供應鏈管理，以 emphasis on supply chain management and the cultivation of 及與優質供應商建立長遠而穩固的合作關係。 enduring, stable relationships with suppliers of exceptional quality. 由於我們的業務性質以服務為主，我們非常 As the nature of our business is service-oriented, we focus on 重視對供應商之評核，考慮其服務交付、產 supplier assessment by</t>
        </is>
      </c>
    </row>
    <row r="133">
      <c r="A133" s="8" t="inlineStr">
        <is>
          <t>ESG Data</t>
        </is>
      </c>
      <c r="B133" s="8" t="inlineStr">
        <is>
          <t>環境社會及管治數據</t>
        </is>
      </c>
      <c r="C133" s="8" t="inlineStr">
        <is>
          <t>medium</t>
        </is>
      </c>
      <c r="D133" s="11" t="inlineStr">
        <is>
          <t>環境、社會及管治</t>
        </is>
      </c>
      <c r="E133" s="11" t="inlineStr">
        <is>
          <t>PDF p.92</t>
        </is>
      </c>
      <c r="F133" s="11" t="inlineStr">
        <is>
          <t>環境、社會及管治報告 Environmental, Social and Governance Report In order to maintain a fair and transparent procurement process, 為維持公平且透明的採購流程，我們會向至 we obtain proposals from at least three prospective suppliers and 少三名潛在供應商索取建議書，並考慮價格 consider price and product quality as key assessment factors. For 及產品品質為關鍵評估因素。例如，是否取 instance, whether quality management certificates are attained 得品質管理證書以保證我們產品及服務的品 to gu</t>
        </is>
      </c>
    </row>
    <row r="134">
      <c r="A134" s="8" t="inlineStr">
        <is>
          <t>ESG Data</t>
        </is>
      </c>
      <c r="B134" s="8" t="inlineStr">
        <is>
          <t>環境社會及管治數據</t>
        </is>
      </c>
      <c r="C134" s="8" t="inlineStr">
        <is>
          <t>medium</t>
        </is>
      </c>
      <c r="D134" s="11" t="inlineStr">
        <is>
          <t>環境、社會及管治</t>
        </is>
      </c>
      <c r="E134" s="11" t="inlineStr">
        <is>
          <t>PDF p.93</t>
        </is>
      </c>
      <c r="F134" s="11" t="inlineStr">
        <is>
          <t>環境、社會及管治報告 Environmental, Social and Governance Report Green Procurement 綠色採購 Our supplier evaluation process emphasizes environmental 除了產品質量外，我們的供應商評估過程亦 performance as well as product quality. In fulfillment of our corporate 強調環境表現。為履行我們的企業責任，本 obligations, the Group actively promotes environmentally responsible 集團積極鼓勵對環境負責任的採購措施。我 procurement practices. We conduct comprehensive assessments 們對潛在</t>
        </is>
      </c>
    </row>
    <row r="135">
      <c r="A135" s="8" t="inlineStr">
        <is>
          <t>ESG Data</t>
        </is>
      </c>
      <c r="B135" s="8" t="inlineStr">
        <is>
          <t>環境社會及管治數據</t>
        </is>
      </c>
      <c r="C135" s="8" t="inlineStr">
        <is>
          <t>medium</t>
        </is>
      </c>
      <c r="D135" s="11" t="inlineStr">
        <is>
          <t>環境、社會及管治</t>
        </is>
      </c>
      <c r="E135" s="11" t="inlineStr">
        <is>
          <t>PDF p.94</t>
        </is>
      </c>
      <c r="F135" s="11" t="inlineStr">
        <is>
          <t>環境、社會及管治報告 Environmental, Social and Governance Report Besides the Environmental Procurement Management Policy, we 除環保採購管理政策外，我們還要求所有供 require all our suppliers to adhere to our Supplier Environmental and 應商遵守我們的供應商環境及社會行為守則： Social Code of Conduct: Supplier Environmental and Social Code of Conduct 供應商環境及社會行為守則 Suppliers must fully comply with national and local legal or regulatory requirements; 供</t>
        </is>
      </c>
    </row>
    <row r="136">
      <c r="A136" s="8" t="inlineStr">
        <is>
          <t>ESG Data</t>
        </is>
      </c>
      <c r="B136" s="8" t="inlineStr">
        <is>
          <t>環境社會及管治數據</t>
        </is>
      </c>
      <c r="C136" s="8" t="inlineStr">
        <is>
          <t>medium</t>
        </is>
      </c>
      <c r="D136" s="11" t="inlineStr">
        <is>
          <t>環境、社會及管治</t>
        </is>
      </c>
      <c r="E136" s="11" t="inlineStr">
        <is>
          <t>PDF p.95</t>
        </is>
      </c>
      <c r="F136" s="11" t="inlineStr">
        <is>
          <t>環境、社會及管治報告 Environmental, Social and Governance Report Product Quality and Safety 產品質素及安全 The Group has created standardized quality assurance measures 本集團已制定豪華汽車檢驗的標準化質量保 for luxury automobile inspection, consisting of detailed guidelines, 證措施，當中包括詳細的指引、管理程序及 management procedures and requirements. These standards are 要求。此等標準已向員工發佈，以確保所有 provided to our employees, to ensure the safety and quality</t>
        </is>
      </c>
    </row>
    <row r="137">
      <c r="A137" s="8" t="inlineStr">
        <is>
          <t>ESG Data</t>
        </is>
      </c>
      <c r="B137" s="8" t="inlineStr">
        <is>
          <t>環境社會及管治數據</t>
        </is>
      </c>
      <c r="C137" s="8" t="inlineStr">
        <is>
          <t>medium</t>
        </is>
      </c>
      <c r="D137" s="11" t="inlineStr">
        <is>
          <t>環境、社會及管治</t>
        </is>
      </c>
      <c r="E137" s="11" t="inlineStr">
        <is>
          <t>PDF p.96</t>
        </is>
      </c>
      <c r="F137" s="11" t="inlineStr">
        <is>
          <t>環境、社會及管治報告 Environmental, Social and Governance Report We have established and strengthened a Customer Satisfaction 我們已制訂並加強客戶滿意度管理程序（「程 Management Procedure (the “Procedure”) to govern our after-sales 序」），從而規管售後服務、提升品牌形象及 services, enhance brand image and cultivate customer loyalty. The 培養客戶忠實度。程序列明以下標準，旨在 Procedure specifies the following standards aimed at optimizing 優化客戶體驗及滿意度。 customer experi</t>
        </is>
      </c>
    </row>
    <row r="138">
      <c r="A138" s="8" t="inlineStr">
        <is>
          <t>ESG Data</t>
        </is>
      </c>
      <c r="B138" s="8" t="inlineStr">
        <is>
          <t>環境社會及管治數據</t>
        </is>
      </c>
      <c r="C138" s="8" t="inlineStr">
        <is>
          <t>medium</t>
        </is>
      </c>
      <c r="D138" s="11" t="inlineStr">
        <is>
          <t>環境、社會及管治</t>
        </is>
      </c>
      <c r="E138" s="11" t="inlineStr">
        <is>
          <t>PDF p.97</t>
        </is>
      </c>
      <c r="F138" s="11" t="inlineStr">
        <is>
          <t>環境、社會及管治報告 Environmental, Social and Governance Report Handling Complaints 投訴處理 Customer feedback remains instrumental in our continuous pursuit 客戶意見對我們持續提升服務質素的追求至 of service quality enhancement. The Group has implemented an 為重要。本集團建立了有效的投訴處理機制， efficient complaint management system, enabling us to address 使我們能夠解決疑慮並提高整體顧客滿意度。 concerns and improve overall customer satisfaction. We follow 我們遵循綜合投訴</t>
        </is>
      </c>
    </row>
    <row r="139">
      <c r="A139" s="8" t="inlineStr">
        <is>
          <t>ESG Data</t>
        </is>
      </c>
      <c r="B139" s="8" t="inlineStr">
        <is>
          <t>環境社會及管治數據</t>
        </is>
      </c>
      <c r="C139" s="8" t="inlineStr">
        <is>
          <t>medium</t>
        </is>
      </c>
      <c r="D139" s="11" t="inlineStr">
        <is>
          <t>環境、社會及管治</t>
        </is>
      </c>
      <c r="E139" s="11" t="inlineStr">
        <is>
          <t>PDF p.98</t>
        </is>
      </c>
      <c r="F139" s="11" t="inlineStr">
        <is>
          <t>環境、社會及管治報告 Environmental, Social and Governance Report Intellectual Property, Customer Privacy, Data Security and 知識產權、客戶私隱、資料保護及營銷 Marketing Intellectual property rights and customer privacy are paramount to 知識產權及客戶私隱對本集團的營運至關重 the Group’s operations. We are resolutely committed to safeguarding 要。我們堅定遵守保障客戶資料之機密性並 the confidentiality of customer information and ensuring informational 確保資訊真實可靠的承諾，</t>
        </is>
      </c>
    </row>
    <row r="140">
      <c r="A140" s="8" t="inlineStr">
        <is>
          <t>ESG Data</t>
        </is>
      </c>
      <c r="B140" s="8" t="inlineStr">
        <is>
          <t>環境社會及管治數據</t>
        </is>
      </c>
      <c r="C140" s="8" t="inlineStr">
        <is>
          <t>medium</t>
        </is>
      </c>
      <c r="D140" s="11" t="inlineStr">
        <is>
          <t>環境、社會及管治</t>
        </is>
      </c>
      <c r="E140" s="11" t="inlineStr">
        <is>
          <t>PDF p.99</t>
        </is>
      </c>
      <c r="F140" s="11" t="inlineStr">
        <is>
          <t>環境、社會及管治報告 Environmental, Social and Governance Report CARE FOR OUR EMPLOYEES 關愛員工 Our employees constitute our vital strength, and the basis of our 我們的員工是我們的重要力量，亦為我們的 success and continuing advancement. Our corporate values of 成功及持續發展之基石。本集團秉持「誠信、 “Integrity, Trustworthiness, Innovation, and Excellence” demonstrate 守信、創新、卓越」的價值觀，體現我們為員 our strong commitment to providing a positive and enjoyable</t>
        </is>
      </c>
    </row>
    <row r="141">
      <c r="A141" s="8" t="inlineStr">
        <is>
          <t>ESG Data</t>
        </is>
      </c>
      <c r="B141" s="8" t="inlineStr">
        <is>
          <t>環境社會及管治數據</t>
        </is>
      </c>
      <c r="C141" s="8" t="inlineStr">
        <is>
          <t>medium</t>
        </is>
      </c>
      <c r="D141" s="11" t="inlineStr">
        <is>
          <t>環境、社會及管治</t>
        </is>
      </c>
      <c r="E141" s="11" t="inlineStr">
        <is>
          <t>PDF p.100</t>
        </is>
      </c>
      <c r="F141" s="11" t="inlineStr">
        <is>
          <t>環境、社會及管治報告 Environmental, Social and Governance Report Employee Profile 員工概覽 As at 31 March 2026, the Group employed 281 employees, of which 於二零二六年三月三十一日，本集團聘用 255 were full-time employees and 26 were part-time or contract 281名員工，其中255位為全職員工，26位為 employees, all based in the PRC. The distribution of employees by 兼職或合約員工，全部位於中國。員工按性 gender and age group is as follows: 別及年齡組別劃分的分佈如下： Total workforce</t>
        </is>
      </c>
    </row>
    <row r="142">
      <c r="A142" s="8" t="inlineStr">
        <is>
          <t>ESG Data</t>
        </is>
      </c>
      <c r="B142" s="8" t="inlineStr">
        <is>
          <t>環境社會及管治數據</t>
        </is>
      </c>
      <c r="C142" s="8" t="inlineStr">
        <is>
          <t>medium</t>
        </is>
      </c>
      <c r="D142" s="11" t="inlineStr">
        <is>
          <t>環境、社會及管治</t>
        </is>
      </c>
      <c r="E142" s="11" t="inlineStr">
        <is>
          <t>PDF p.101</t>
        </is>
      </c>
      <c r="F142" s="11" t="inlineStr">
        <is>
          <t>環境、社會及管治報告 Environmental, Social and Governance Report The employee turnover data for the Reporting Period is as follows: 報告期間，員工流失比率如下： Employee turnover Unit 2026 員工流失率 單位 二零二六年 Total turnover rate percentage 6 總流失比率 百分比 By gender 按性別劃分 Male percentage 3 男性 百分比 Female percentage 9 女性 百分比 By age group 按年齡組別劃分 18-30 percentage 12 18–30歲 百分比 31-50 percentage 5 31–50歲 百分比 51 or above percentage 5 51</t>
        </is>
      </c>
    </row>
    <row r="143">
      <c r="A143" s="8" t="inlineStr">
        <is>
          <t>ESG Data</t>
        </is>
      </c>
      <c r="B143" s="8" t="inlineStr">
        <is>
          <t>環境社會及管治數據</t>
        </is>
      </c>
      <c r="C143" s="8" t="inlineStr">
        <is>
          <t>medium</t>
        </is>
      </c>
      <c r="D143" s="11" t="inlineStr">
        <is>
          <t>環境、社會及管治</t>
        </is>
      </c>
      <c r="E143" s="11" t="inlineStr">
        <is>
          <t>PDF p.102</t>
        </is>
      </c>
      <c r="F143" s="11" t="inlineStr">
        <is>
          <t>環境、社會及管治報告 Environmental, Social and Governance Report Employment Practices 僱傭慣例 The Group values deeply each member of its workforce, and is 本集團珍視每一位員工，並致力在人力資源 dedicated to preserving the principles of transparency, equity, and 管理常規中，秉持透明、公正及公平之原則。 fairness in our human resources (“HR”) management practices. We 我們於內部提倡用人唯才的文化。我們期望 are dedicated to promoting an internal merit-based culture. Our 旗</t>
        </is>
      </c>
    </row>
    <row r="144">
      <c r="A144" s="8" t="inlineStr">
        <is>
          <t>ESG Data</t>
        </is>
      </c>
      <c r="B144" s="8" t="inlineStr">
        <is>
          <t>環境社會及管治數據</t>
        </is>
      </c>
      <c r="C144" s="8" t="inlineStr">
        <is>
          <t>medium</t>
        </is>
      </c>
      <c r="D144" s="11" t="inlineStr">
        <is>
          <t>環境、社會及管治</t>
        </is>
      </c>
      <c r="E144" s="11" t="inlineStr">
        <is>
          <t>PDF p.103</t>
        </is>
      </c>
      <c r="F144" s="11" t="inlineStr">
        <is>
          <t>環境、社會及管治報告 Environmental, Social and Governance Report Equal and Inclusive Workplace 平等共融的工作場所 The Group highly values fairness and equal opportunities within the 本集團高度重視工作環境的公平及平等機會。 workplace. Our commitment lies in ensuring that all employees are 我們致力於確保所有員工都得到公平對待， treated with equity and that recruitment and promotion decisions are 而招聘及晉升的決定純粹基於候選人的資格、 solely based on an individual’s qualific</t>
        </is>
      </c>
    </row>
    <row r="145">
      <c r="A145" s="8" t="inlineStr">
        <is>
          <t>ESG Data</t>
        </is>
      </c>
      <c r="B145" s="8" t="inlineStr">
        <is>
          <t>環境社會及管治數據</t>
        </is>
      </c>
      <c r="C145" s="8" t="inlineStr">
        <is>
          <t>medium</t>
        </is>
      </c>
      <c r="D145" s="11" t="inlineStr">
        <is>
          <t>環境、社會及管治</t>
        </is>
      </c>
      <c r="E145" s="11" t="inlineStr">
        <is>
          <t>PDF p.104</t>
        </is>
      </c>
      <c r="F145" s="11" t="inlineStr">
        <is>
          <t>環境、社會及管治報告 Environmental, Social and Governance Report The Group explicitly forbids child or forced labour practices. The HR 本集團嚴禁僱用童工或強制勞工。人力資源 Department will check the identification documents of all candidates 部門會在招聘流程中檢查所有應徵者的身份 in the recruitment process to ensure they fulfill the age requirements 證明文件，以確保他們符合當地勞動法的年 of relevant local labour laws. In the rare event of child or forced 齡要求。在我們</t>
        </is>
      </c>
    </row>
    <row r="146">
      <c r="A146" s="8" t="inlineStr">
        <is>
          <t>ESG Data</t>
        </is>
      </c>
      <c r="B146" s="8" t="inlineStr">
        <is>
          <t>環境社會及管治數據</t>
        </is>
      </c>
      <c r="C146" s="8" t="inlineStr">
        <is>
          <t>medium</t>
        </is>
      </c>
      <c r="D146" s="11" t="inlineStr">
        <is>
          <t>環境、社會及管治</t>
        </is>
      </c>
      <c r="E146" s="11" t="inlineStr">
        <is>
          <t>PDF p.105</t>
        </is>
      </c>
      <c r="F146" s="11" t="inlineStr">
        <is>
          <t>環境、社會及管治報告 Environmental, Social and Governance Report Orientation Training 入職培訓 New employees on probation will receive orientation training 在試用期內之新入職員工將在人力資源部門 under the assistance of the HR Department. Each functional 的協助下接受入職培訓。每個職能部門將組 department will organize relevant foundational knowledge trainings. 織相關基本知識培訓。入職培訓涵蓋本集團 The orientation training covers an overview of the history, current 的歷史</t>
        </is>
      </c>
    </row>
    <row r="147">
      <c r="A147" s="8" t="inlineStr">
        <is>
          <t>ESG Data</t>
        </is>
      </c>
      <c r="B147" s="8" t="inlineStr">
        <is>
          <t>環境社會及管治數據</t>
        </is>
      </c>
      <c r="C147" s="8" t="inlineStr">
        <is>
          <t>medium</t>
        </is>
      </c>
      <c r="D147" s="11" t="inlineStr">
        <is>
          <t>環境、社會及管治</t>
        </is>
      </c>
      <c r="E147" s="11" t="inlineStr">
        <is>
          <t>PDF p.106</t>
        </is>
      </c>
      <c r="F147" s="11" t="inlineStr">
        <is>
          <t>環境、社會及管治報告 Environmental, Social and Governance Report During the Reporting Period, the training data by gender and 報告期間，按性別及員工類別劃分的培訓數 employee category is as follows: 據如下： Employee training Unit 2026 員工培訓 單位 二零二六年 Percentage of employee trained 受訓員工百分比 By gender 按性別劃分 Male percentage 9 男性 百分比 Female percentage 6 女性 百分比 By employee category 按員工類別劃分 Senior management percentage 10 高級管理層 百分比 Middle</t>
        </is>
      </c>
    </row>
    <row r="148">
      <c r="A148" s="8" t="inlineStr">
        <is>
          <t>ESG Data</t>
        </is>
      </c>
      <c r="B148" s="8" t="inlineStr">
        <is>
          <t>環境社會及管治數據</t>
        </is>
      </c>
      <c r="C148" s="8" t="inlineStr">
        <is>
          <t>medium</t>
        </is>
      </c>
      <c r="D148" s="11" t="inlineStr">
        <is>
          <t>環境、社會及管治</t>
        </is>
      </c>
      <c r="E148" s="11" t="inlineStr">
        <is>
          <t>PDF p.107</t>
        </is>
      </c>
      <c r="F148" s="11" t="inlineStr">
        <is>
          <t>環境、社會及管治報告 Environmental, Social and Governance Report OCCUPATIONAL HEALTH AND SAFETY 職業健康與安全 With employees being central to our success, the Group focuses 員工乃我們成功之根基，故此本集團致力確 on ensuring employee wellness and protection. Considering that 保員工健康及安全。鑑於我們的工作流程涉 our work procedures involve close contact with various chemicals 及密切接觸不同化學物及氣態物質，或操作 and gaseous substances, or operations of heavy machiner</t>
        </is>
      </c>
    </row>
    <row r="149">
      <c r="A149" s="8" t="inlineStr">
        <is>
          <t>ESG Data</t>
        </is>
      </c>
      <c r="B149" s="8" t="inlineStr">
        <is>
          <t>環境社會及管治數據</t>
        </is>
      </c>
      <c r="C149" s="8" t="inlineStr">
        <is>
          <t>medium</t>
        </is>
      </c>
      <c r="D149" s="11" t="inlineStr">
        <is>
          <t>環境、社會及管治</t>
        </is>
      </c>
      <c r="E149" s="11" t="inlineStr">
        <is>
          <t>PDF p.108</t>
        </is>
      </c>
      <c r="F149" s="11" t="inlineStr">
        <is>
          <t>環境、社會及管治報告 Environmental, Social and Governance Report Safety Risk Identification and Prevention 識別及預防安全風險 The Group regularly executes safety preventative strategies to 本集團定期執行安全防範策略，以管理潛在 manage possible hazards, covering hazardous operations, fires, 危害，包括危險作業、火災、化學品事故、電 chemical accidents, electrical issues, and equipment failures, to limit 力問題及設備故障等，務求限制事故之不良 negative outcomes of incidents. Th</t>
        </is>
      </c>
    </row>
    <row r="150">
      <c r="A150" s="8" t="inlineStr">
        <is>
          <t>ESG Data</t>
        </is>
      </c>
      <c r="B150" s="8" t="inlineStr">
        <is>
          <t>環境社會及管治數據</t>
        </is>
      </c>
      <c r="C150" s="8" t="inlineStr">
        <is>
          <t>medium</t>
        </is>
      </c>
      <c r="D150" s="11" t="inlineStr">
        <is>
          <t>環境、社會及管治</t>
        </is>
      </c>
      <c r="E150" s="11" t="inlineStr">
        <is>
          <t>PDF p.109</t>
        </is>
      </c>
      <c r="F150" s="11" t="inlineStr">
        <is>
          <t>環境、社會及管治報告 Environmental, Social and Governance Report Occupational safety procedures and warning signs are displayed 職業安全程序及警告標誌會按照風險評估結 at high-risk locations according to risk assessment results. Our 果展示於高風險地點。我們的員工必須妥善 employees must properly wear protective equipment to prevent 佩戴保護裝備以預防職業病。我們會為他們 occupational diseases. We provide them with adequate preventive 提供足夠的預防措施。 measures. Production</t>
        </is>
      </c>
    </row>
    <row r="151">
      <c r="A151" s="8" t="inlineStr">
        <is>
          <t>ESG Data</t>
        </is>
      </c>
      <c r="B151" s="8" t="inlineStr">
        <is>
          <t>環境社會及管治數據</t>
        </is>
      </c>
      <c r="C151" s="8" t="inlineStr">
        <is>
          <t>medium</t>
        </is>
      </c>
      <c r="D151" s="11" t="inlineStr">
        <is>
          <t>環境、社會及管治</t>
        </is>
      </c>
      <c r="E151" s="11" t="inlineStr">
        <is>
          <t>PDF p.110</t>
        </is>
      </c>
      <c r="F151" s="11" t="inlineStr">
        <is>
          <t>環境、社會及管治報告 Environmental, Social and Governance Report OSH Management Policies and Guidelines 職安健管理政策及指引 The Group has developed and implemented a comprehensive set 本集團已制定並實施一套全面的工作指引及 of working guidelines and operational protocols to establish clear 操作規程，以確立所有營運過程中管理及執 standards for the management and implementation of OSH best 行職安健最佳實務之明確標準，確保各職級 practices during all operations, ensuring safety</t>
        </is>
      </c>
    </row>
    <row r="152">
      <c r="A152" s="8" t="inlineStr">
        <is>
          <t>ESG Data</t>
        </is>
      </c>
      <c r="B152" s="8" t="inlineStr">
        <is>
          <t>環境社會及管治數據</t>
        </is>
      </c>
      <c r="C152" s="8" t="inlineStr">
        <is>
          <t>medium</t>
        </is>
      </c>
      <c r="D152" s="11" t="inlineStr">
        <is>
          <t>環境、社會及管治</t>
        </is>
      </c>
      <c r="E152" s="11" t="inlineStr">
        <is>
          <t>PDF p.111</t>
        </is>
      </c>
      <c r="F152" s="11" t="inlineStr">
        <is>
          <t>環境、社會及管治報告 Environmental, Social and Governance Report OSH Trainings 職安健培訓 The Group believes that production and safety are inseparable, 本集團認為生產與安全密不可分，因此「哪 hence ‘Production safety education is necessary wherever 裡有生產，哪裡就需要進行安全生產教育」。 production takes place’. New management staff and production safety management 各個生產單位的新任管理員工及生產安全管 personnel of each production unit must complete initial safety 理人</t>
        </is>
      </c>
    </row>
    <row r="153">
      <c r="A153" s="8" t="inlineStr">
        <is>
          <t>ESG Data</t>
        </is>
      </c>
      <c r="B153" s="8" t="inlineStr">
        <is>
          <t>環境社會及管治數據</t>
        </is>
      </c>
      <c r="C153" s="8" t="inlineStr">
        <is>
          <t>medium</t>
        </is>
      </c>
      <c r="D153" s="11" t="inlineStr">
        <is>
          <t>greenhouse gas</t>
        </is>
      </c>
      <c r="E153" s="11" t="inlineStr">
        <is>
          <t>PDF p.112</t>
        </is>
      </c>
      <c r="F153" s="11" t="inlineStr">
        <is>
          <t>t aware of any 報告期間，本集團並無發現任何嚴重違反有 material non-compliance with the laws and regulations related to the 關廢氣及溫室氣體排放、向水及土地的排污、 air and greenhouse gas emissions, discharges into water and land, 以及有害及無害廢棄物的產生相關法律及法 and generation of hazardous and non-hazardous wastes that would 規，且會對本集團有重大影響的情況。 have a significant impact on the Group. 111 NEW SPARKLE ROLL INTERNATIONAL GROUP LIMITED 新耀萊國際集團有限公司 ANNUAL REPORT 2026 年報</t>
        </is>
      </c>
    </row>
    <row r="154">
      <c r="A154" s="8" t="inlineStr">
        <is>
          <t>ESG Data</t>
        </is>
      </c>
      <c r="B154" s="8" t="inlineStr">
        <is>
          <t>環境社會及管治數據</t>
        </is>
      </c>
      <c r="C154" s="8" t="inlineStr">
        <is>
          <t>medium</t>
        </is>
      </c>
      <c r="D154" s="11" t="inlineStr">
        <is>
          <t>greenhouse gas</t>
        </is>
      </c>
      <c r="E154" s="11" t="inlineStr">
        <is>
          <t>PDF p.113</t>
        </is>
      </c>
      <c r="F154" s="11" t="inlineStr">
        <is>
          <t>環境、社會及管治報告 Environmental, Social and Governance Report Emission Management 排放管理 Greenhouse Gas Emissions 溫室氣體排放 The majority of our greenhouse gas (“GHG”) emissions are 我們主要的溫室氣體（「溫室氣體」）排放來 attributable to the consumption of electricity and vehicle fuel usage. 自於電力消耗及車輛燃料使用。報告期間新 During the Reporting Period, emissions data generated from the 增了由補充製冷劑過程而產生的排放數據。 refrigerant replenishment process was newly included. During the 報告期間，排放數據如下： Reporting Period, the emission data ar</t>
        </is>
      </c>
    </row>
    <row r="155">
      <c r="A155" s="8" t="inlineStr">
        <is>
          <t>ESG Data</t>
        </is>
      </c>
      <c r="B155" s="8" t="inlineStr">
        <is>
          <t>環境社會及管治數據</t>
        </is>
      </c>
      <c r="C155" s="8" t="inlineStr">
        <is>
          <t>medium</t>
        </is>
      </c>
      <c r="D155" s="11" t="inlineStr">
        <is>
          <t>carbon</t>
        </is>
      </c>
      <c r="E155" s="11" t="inlineStr">
        <is>
          <t>PDF p.114</t>
        </is>
      </c>
      <c r="F155" s="11" t="inlineStr">
        <is>
          <t>廢氣排放主要為揮發性有機化合物（「揮 of volatile organic compounds (“VOCs”), benzene, toluene, 發性有機化合物」）、苯、甲苯、二甲苯、非甲 dimethylbenzene, non-methane hydrocarbon and carbon monoxide. 烷碳氫化合物及一氧化碳。該等排放物全部 These are produced through the process of paint spraying, grinding, 來自汽車噴塗、打磨及拋光工序。 and polishing of the vehicles. 113 NEW SPARKLE ROLL INTERNATIONAL GROUP LIMITED 新耀萊國際集團有限公司 ANNUAL REPORT 2026 年報</t>
        </is>
      </c>
    </row>
    <row r="156">
      <c r="A156" s="8" t="inlineStr">
        <is>
          <t>ESG Data</t>
        </is>
      </c>
      <c r="B156" s="8" t="inlineStr">
        <is>
          <t>環境社會及管治數據</t>
        </is>
      </c>
      <c r="C156" s="8" t="inlineStr">
        <is>
          <t>medium</t>
        </is>
      </c>
      <c r="D156" s="11" t="inlineStr">
        <is>
          <t>carbon</t>
        </is>
      </c>
      <c r="E156" s="11" t="inlineStr">
        <is>
          <t>PDF p.115</t>
        </is>
      </c>
      <c r="F156" s="11" t="inlineStr">
        <is>
          <t>y irregularities in consumption. 審視耗油紀錄以檢測任何不尋常耗用情況。 Use of Resources 資源使用 Fostering mindful resource usage minimizes our collective carbon 培養負責任的資源使用有助減低我們的整體 impact and strengthens sustainability alongside providing financial 碳排放影響並加強可持續發展，同時帶來財 benefits. Through fostering behavioral changes and proactive 務效益。通過培養行為改變和積極行動，本 actions, the Group firmly believes that we can make substantial 集團堅信我們能夠隨著時間的推移實現重大 and positive transformations over time. As a result, we urge our 而積極的轉變。因此，我們促請我們的員工 employees to manage office material</t>
        </is>
      </c>
    </row>
    <row r="157">
      <c r="A157" s="8" t="inlineStr">
        <is>
          <t>ESG Data</t>
        </is>
      </c>
      <c r="B157" s="8" t="inlineStr">
        <is>
          <t>環境社會及管治數據</t>
        </is>
      </c>
      <c r="C157" s="8" t="inlineStr">
        <is>
          <t>medium</t>
        </is>
      </c>
      <c r="D157" s="11" t="inlineStr">
        <is>
          <t>energy consumption</t>
        </is>
      </c>
      <c r="E157" s="11" t="inlineStr">
        <is>
          <t>PDF p.116</t>
        </is>
      </c>
      <c r="F157" s="11" t="inlineStr">
        <is>
          <t>環境、社會及管治報告 Environmental, Social and Governance Report Energy Efficiency 能源效益 During the Reporting Period, our energy consumption mainly comes 報告期間，我們主要的能源消耗來自於電力 from electricity consumption and vehicle fuel usage. 消耗及車輛燃料使用。 Energy use Unit 2026 2025 能源用量 單位 二零二六年 二零二五年 Direct energy (Petrol) MWh 261.74 132.95 直接能源（汽油） 兆瓦時 Indirect energy (Purchased electricity) MWh 1,048.00 1,605.14 間接能源（外購用電） 兆瓦時 Total energy consumption MWh 1,309.74 1,738.09 能源總耗量 兆瓦時 Intensity MWh/HKD million revenue 0.56 0.84 密度 兆瓦時</t>
        </is>
      </c>
    </row>
    <row r="158">
      <c r="A158" s="8" t="inlineStr">
        <is>
          <t>Segment Information</t>
        </is>
      </c>
      <c r="B158" s="8" t="inlineStr">
        <is>
          <t>分部資料</t>
        </is>
      </c>
      <c r="C158" s="8" t="inlineStr">
        <is>
          <t>medium</t>
        </is>
      </c>
      <c r="D158" s="11" t="inlineStr">
        <is>
          <t>geographical</t>
        </is>
      </c>
      <c r="E158" s="11" t="inlineStr">
        <is>
          <t>PDF p.92</t>
        </is>
      </c>
      <c r="F158" s="11" t="inlineStr">
        <is>
          <t>ss information is strictly 密資料。 prohibited. During the Reporting Period, we have a total of 10 suppliers, their 報告期間，我們與10家供應商合作。有關供 geographical distribution is as follows: 應商地區分佈如下： Number of Geographical location suppliers 地理位置 供應商數量 The PRC 中國 9 The United Kingdom 英國 1 We have conducted assessments and reviews on 10 suppliers. 我們已經對10家供應商進行評估和審查。 91 NEW SPARKLE ROLL INTERNATIONAL GROUP LIMITED 新耀萊國際集團有限公司 ANNUAL REPORT 2026 年報</t>
        </is>
      </c>
    </row>
    <row r="159">
      <c r="A159" s="8" t="inlineStr">
        <is>
          <t>Segment Information</t>
        </is>
      </c>
      <c r="B159" s="8" t="inlineStr">
        <is>
          <t>分部資料</t>
        </is>
      </c>
      <c r="C159" s="8" t="inlineStr">
        <is>
          <t>medium</t>
        </is>
      </c>
      <c r="D159" s="11" t="inlineStr">
        <is>
          <t>geographical</t>
        </is>
      </c>
      <c r="E159" s="11" t="inlineStr">
        <is>
          <t>PDF p.137</t>
        </is>
      </c>
      <c r="F159" s="11" t="inlineStr">
        <is>
          <t>tion, and other benefits and welfare. KPI B1.1 Total workforce by gender, employment type, age Employee Profile 關鍵績效指標B1.1 group and geographical region. 員工概覽 按性別、僱傭類型、年齡組別及地區劃分的員工總 數。 KPI B1.2 Employee turnover rate by gender, age group and Employee Profile 關鍵績效指標B1.2 geographical region. 員工概覽 按性別、年齡組別及地區劃分的員工流失比率。 136 NEW SPARKLE ROLL INTERNATIONAL GROUP LIMITED 新耀萊國際集團有限公司 ANNUAL REPORT 2026 年報</t>
        </is>
      </c>
    </row>
    <row r="160">
      <c r="A160" s="8" t="inlineStr">
        <is>
          <t>Segment Information</t>
        </is>
      </c>
      <c r="B160" s="8" t="inlineStr">
        <is>
          <t>分部資料</t>
        </is>
      </c>
      <c r="C160" s="8" t="inlineStr">
        <is>
          <t>medium</t>
        </is>
      </c>
      <c r="D160" s="11" t="inlineStr">
        <is>
          <t>geographical</t>
        </is>
      </c>
      <c r="E160" s="11" t="inlineStr">
        <is>
          <t>PDF p.140</t>
        </is>
      </c>
      <c r="F160" s="11" t="inlineStr">
        <is>
          <t>onmental and social Sustainable Supply Chain 一般披露 risks of the supply chain. 可持續供應鏈 管理供應鏈的環境及社會風險政策。 KPI B5.1 Number of suppliers by geographical region. Sustainable Supply Chain 關鍵績效指標B5.1 按地區劃分的供應商數目。 可持續供應鏈 KPI B5.2 Description of practices relating to engaging Sustainable Supply Chain 關鍵績效指標B5.2 suppliers, number of suppliers where the practices 可持續供應鏈 are being implemented, and how they are implemented and monitored. 描述有關聘用供應商的慣例，向其執行有關慣例 的供應商數目，以及有關慣例的執行及監察方法。 KPI B5.3 Description of practices used to identify Sustainable</t>
        </is>
      </c>
    </row>
    <row r="161">
      <c r="A161" s="8" t="inlineStr">
        <is>
          <t>Segment Information</t>
        </is>
      </c>
      <c r="B161" s="8" t="inlineStr">
        <is>
          <t>分部資料</t>
        </is>
      </c>
      <c r="C161" s="8" t="inlineStr">
        <is>
          <t>medium</t>
        </is>
      </c>
      <c r="D161" s="11" t="inlineStr">
        <is>
          <t>segment information</t>
        </is>
      </c>
      <c r="E161" s="11" t="inlineStr">
        <is>
          <t>PDF p.191</t>
        </is>
      </c>
      <c r="F161" s="11" t="inlineStr">
        <is>
          <t>LICIES 4. 會計政策概要（續） (Continued) 4.17 Segment reporting 4.17 分部報告 The Group identifies operating segments and prepares 本集團基於向執行董事呈報以供 segment information based on the regular internal 彼等就分配資源至本集團業務組 financial information reported to the executive directors 成部分及檢討該等部分表現作出 for their decisions about resources allocation to the 決定之定期內部財務資料，識別 Group’s business components and for their review of 營運分部及編製分部資料。向執 the performance of those components. The business 行董事呈報之內部財務資料內之 components in the internal financial information reported 業務組</t>
        </is>
      </c>
    </row>
    <row r="162">
      <c r="A162" s="8" t="inlineStr">
        <is>
          <t>Segment Information</t>
        </is>
      </c>
      <c r="B162" s="8" t="inlineStr">
        <is>
          <t>分部資料</t>
        </is>
      </c>
      <c r="C162" s="8" t="inlineStr">
        <is>
          <t>medium</t>
        </is>
      </c>
      <c r="D162" s="11" t="inlineStr">
        <is>
          <t>segment information</t>
        </is>
      </c>
      <c r="E162" s="11" t="inlineStr">
        <is>
          <t>PDF p.194</t>
        </is>
      </c>
      <c r="F162" s="11" t="inlineStr">
        <is>
          <t>財務報表附註（續） Notes to the Financial Statements (Continued) 二零二六年三月三十一日 31 March 2026 6. SEGMENT INFORMATION 6. 分部資料 Operating segments are reported in a manner consistent with 營運分部按照與向執行董事（負責分配 internal reporting provided to executive Directors who are 資源及評估營運分部之表現）提供之內 responsible for allocating resources and assessing performance 部報告貫徹一致之方式報告。 of the operating segments. The executive Directors have identified the following reportable 執行董事已識別出以下可報告營運分 operating segments: 部： (i) Auto</t>
        </is>
      </c>
    </row>
    <row r="163">
      <c r="A163" s="8" t="inlineStr">
        <is>
          <t>Segment Information</t>
        </is>
      </c>
      <c r="B163" s="8" t="inlineStr">
        <is>
          <t>分部資料</t>
        </is>
      </c>
      <c r="C163" s="8" t="inlineStr">
        <is>
          <t>medium</t>
        </is>
      </c>
      <c r="D163" s="11" t="inlineStr">
        <is>
          <t>segment information</t>
        </is>
      </c>
      <c r="E163" s="11" t="inlineStr">
        <is>
          <t>PDF p.195</t>
        </is>
      </c>
      <c r="F163" s="11" t="inlineStr">
        <is>
          <t>財務報表附註（續） Notes to the Financial Statements (Continued) 二零二六年三月三十一日 31 March 2026 6. SEGMENT INFORMATION 6. 分部資料（續） (Continued) 2026 二零二六年 Property Auto Non-auto management dealership dealership and others Total 物業管理 汽車分銷 非汽車分銷 及其他 合計 HK$’000 HK$’000 HK$’000 HK$’000 千港元 千港元 千港元 千港元 Revenue from external customers 來自外部客戶之收益 2,131,791 162,573 62,168 2,356,532 Other income, gains and losses 其他收入、收益及虧損 44,174 12,585 (52,097) 4,662 2,175,965 175,158 10,071 2,361,194 Reportable segment</t>
        </is>
      </c>
    </row>
    <row r="164">
      <c r="A164" s="8" t="inlineStr">
        <is>
          <t>Segment Information</t>
        </is>
      </c>
      <c r="B164" s="8" t="inlineStr">
        <is>
          <t>分部資料</t>
        </is>
      </c>
      <c r="C164" s="8" t="inlineStr">
        <is>
          <t>medium</t>
        </is>
      </c>
      <c r="D164" s="11" t="inlineStr">
        <is>
          <t>segment information</t>
        </is>
      </c>
      <c r="E164" s="11" t="inlineStr">
        <is>
          <t>PDF p.196</t>
        </is>
      </c>
      <c r="F164" s="11" t="inlineStr">
        <is>
          <t>財務報表附註（續） Notes to the Financial Statements (Continued) 二零二六年三月三十一日 31 March 2026 6. SEGMENT INFORMATION 6. 分部資料（續） (Continued) 2025 二零二五年 Property Auto Non-auto management dealership dealership and others Total 物業管理 汽車分銷 非汽車分銷 及其他 合計 HK$’000 HK$’000 HK$’000 HK$’000 千港元 千港元 千港元 千港元 Revenue from external customers 來自外部客戶之收益 1,724,766 276,186 66,592 2,067,544 Other income, gains and losses 其他收入、收益及虧損 60,079 3,487 (101,261) (37,695) 1,784,845 279,673 (34,669) 2,029,849 Reportable seg</t>
        </is>
      </c>
    </row>
    <row r="165">
      <c r="A165" s="8" t="inlineStr">
        <is>
          <t>Segment Information</t>
        </is>
      </c>
      <c r="B165" s="8" t="inlineStr">
        <is>
          <t>分部資料</t>
        </is>
      </c>
      <c r="C165" s="8" t="inlineStr">
        <is>
          <t>medium</t>
        </is>
      </c>
      <c r="D165" s="11" t="inlineStr">
        <is>
          <t>segment information</t>
        </is>
      </c>
      <c r="E165" s="11" t="inlineStr">
        <is>
          <t>PDF p.197</t>
        </is>
      </c>
      <c r="F165" s="11" t="inlineStr">
        <is>
          <t>財務報表附註（續） Notes to the Financial Statements (Continued) 二零二六年三月三十一日 31 March 2026 6. SEGMENT INFORMATION 6. 分部資料（續） (Continued) A reconciliation between the reportable segment results and 可報告分部業績與本集團之除所得稅 the Group’s loss before income tax is as follows: 前虧損之對賬如下： 2026 2025 二零二六年 二零二五年 HK$’000 HK$’000 千港元 千港元 Reportable segment results 可報告分部業績 (19,963) (557,586) Bank interest income 銀行利息收入 132 656 Unallocated corporate other income, 未分配公司其他收入、收益及 gains and losses 虧損 761 (41,410) U</t>
        </is>
      </c>
    </row>
    <row r="166">
      <c r="A166" s="8" t="inlineStr">
        <is>
          <t>Share-based Payment</t>
        </is>
      </c>
      <c r="B166" s="8" t="inlineStr">
        <is>
          <t>以股份為基礎的付款</t>
        </is>
      </c>
      <c r="C166" s="8" t="inlineStr">
        <is>
          <t>medium</t>
        </is>
      </c>
      <c r="D166" s="11" t="inlineStr">
        <is>
          <t>share-based payment</t>
        </is>
      </c>
      <c r="E166" s="11" t="inlineStr">
        <is>
          <t>PDF p.23</t>
        </is>
      </c>
      <c r="F166" s="11" t="inlineStr">
        <is>
          <t>, 本集團向僱員提供基本薪金、佣金、酌情花 commission, discretionary bonus, medical insurance and retirement 紅、醫療保險、退休基金及以權益結算以股 funds and equity-settled share-based payments to employees to 份為基礎之付款等福利，以維持本集團之競 sustain competitiveness of the Group. 爭力。 The package was reviewed on an annual basis based on the 本集團每年按其表現及僱員之表現評估檢討 Group’s performance and employees’ performance appraisal. 有關待遇。 The Group also provided training to the employees for their future 本集團亦會為僱員之日後發展提供培訓。 advancement. 22 NEW SPARKLE ROLL INTERNATIONAL GROUP LIMITED 新耀萊國際集團有限公司 A</t>
        </is>
      </c>
    </row>
    <row r="167">
      <c r="A167" s="8" t="inlineStr">
        <is>
          <t>Share-based Payment</t>
        </is>
      </c>
      <c r="B167" s="8" t="inlineStr">
        <is>
          <t>以股份為基礎的付款</t>
        </is>
      </c>
      <c r="C167" s="8" t="inlineStr">
        <is>
          <t>medium</t>
        </is>
      </c>
      <c r="D167" s="11" t="inlineStr">
        <is>
          <t>share option</t>
        </is>
      </c>
      <c r="E167" s="11" t="inlineStr">
        <is>
          <t>PDF p.35</t>
        </is>
      </c>
      <c r="F167" s="11" t="inlineStr">
        <is>
          <t>董事會報告 Report of the Directors ADOPTION OF 2025 SHARE SCHEME AND 採納二零二五年股份計劃及終止 TERMINATION OF THE SHARE OPTION 股份期權計劃 SCHEME The Company has adopted the share option scheme (“Share 本公司於二零二二年九月二十九日採納股份 Option Scheme”) on 29 September 2022 and is valid and effective 期權計劃（「股份期權計劃」），有效期為自 for a period of 10 years from the date of adoption. 採納日期起計10年。 During the reporting period, the Company proposed to terminate 於報告期內，本公司建議終止股份期權計劃 the Share Option Scheme and adopt a new share incentive scheme 並採納</t>
        </is>
      </c>
    </row>
    <row r="168">
      <c r="A168" s="8" t="inlineStr">
        <is>
          <t>Share-based Payment</t>
        </is>
      </c>
      <c r="B168" s="8" t="inlineStr">
        <is>
          <t>以股份為基礎的付款</t>
        </is>
      </c>
      <c r="C168" s="8" t="inlineStr">
        <is>
          <t>medium</t>
        </is>
      </c>
      <c r="D168" s="11" t="inlineStr">
        <is>
          <t>share option</t>
        </is>
      </c>
      <c r="E168" s="11" t="inlineStr">
        <is>
          <t>PDF p.36</t>
        </is>
      </c>
      <c r="F168" s="11" t="inlineStr">
        <is>
          <t>三月三十一日止年度，本 under the 2025 Share Scheme, the percentage of the number of 公司並無根據二零二五年股份計劃作出任何 Shares that may be issued in respect of share options and share 授予，故於報告期內就二零二五年股份計劃 awards granted under the 2025 Share Scheme during the reporting 項下授出之股份期權及股份獎勵而可能發行 period divided by the weighted average number of Shares in issue 的股份數目佔報告期內已發行股份加權平均 for the reporting period is not applicable. 數的百分比並不適用。 The following is a summary of the principal terms of the 2025 以下為二零二五年股份計劃之主要條款概要， Share Scheme but does not form part of, nor was i</t>
        </is>
      </c>
    </row>
    <row r="169">
      <c r="A169" s="8" t="inlineStr">
        <is>
          <t>Share-based Payment</t>
        </is>
      </c>
      <c r="B169" s="8" t="inlineStr">
        <is>
          <t>以股份為基礎的付款</t>
        </is>
      </c>
      <c r="C169" s="8" t="inlineStr">
        <is>
          <t>medium</t>
        </is>
      </c>
      <c r="D169" s="11" t="inlineStr">
        <is>
          <t>share option</t>
        </is>
      </c>
      <c r="E169" s="11" t="inlineStr">
        <is>
          <t>PDF p.37</t>
        </is>
      </c>
      <c r="F169" s="11" t="inlineStr">
        <is>
          <t>Listing 十七章所載之額外批准規定。 Rules. (5) Exercise period under the 2025 Share Scheme (5) 二零二五年股份計劃之行使期 The exercise period for any award of share options and/ 任何股份期權及╱或二零二五年股份 or share awards under the 2025 Share Scheme shall be 計劃之股份獎勵之行使期將由董事會 determined by the Board in its absolute discretion and shall 絕對酌情釐定且由授出日期起計不得 not be longer than 10 years from the grant date. 超過10年。 (6) Vesting period under the 2025 Share Scheme (6) 二零二五年股份計劃之歸屬期 The vesting period shall be determined by the Board and may 歸屬期將由董事會釐定且應不少於由 not be for a perio</t>
        </is>
      </c>
    </row>
    <row r="170">
      <c r="A170" s="8" t="inlineStr">
        <is>
          <t>Share-based Payment</t>
        </is>
      </c>
      <c r="B170" s="8" t="inlineStr">
        <is>
          <t>以股份為基礎的付款</t>
        </is>
      </c>
      <c r="C170" s="8" t="inlineStr">
        <is>
          <t>medium</t>
        </is>
      </c>
      <c r="D170" s="11" t="inlineStr">
        <is>
          <t>share option</t>
        </is>
      </c>
      <c r="E170" s="11" t="inlineStr">
        <is>
          <t>PDF p.38</t>
        </is>
      </c>
      <c r="F170" s="11" t="inlineStr">
        <is>
          <t>董事會報告 Report of the Directors (a) However, the Exercise Price for Share Options shall be no (a) 然而，股份期權之行使價不得低 less than the higher of: (i) the closing price of the Shares 於下列兩者中之較高者：(i)股份 as stated in the Stock Exchange’s daily quotations sheet 在授出日期之收市價（以聯交所 on the Grant Date; and (ii) the average closing price 日報表所載者為準）；及(ii)股份在 of the Shares as stated in the Stock Exchange’s daily 緊接授出日期前五個營業日之平 quotations sheets for the five Business Days immediately 均收市價（收</t>
        </is>
      </c>
    </row>
    <row r="171">
      <c r="A171" s="8" t="inlineStr">
        <is>
          <t>Share-based Payment</t>
        </is>
      </c>
      <c r="B171" s="8" t="inlineStr">
        <is>
          <t>以股份為基礎的付款</t>
        </is>
      </c>
      <c r="C171" s="8" t="inlineStr">
        <is>
          <t>medium</t>
        </is>
      </c>
      <c r="D171" s="11" t="inlineStr">
        <is>
          <t>share option</t>
        </is>
      </c>
      <c r="E171" s="11" t="inlineStr">
        <is>
          <t>PDF p.46</t>
        </is>
      </c>
      <c r="F171" s="11" t="inlineStr">
        <is>
          <t>排 DEBENTURES Other than as disclosed in the section headed “ADOPTION OF 2025 除上文「採納二零二五年股份計劃及終止股 SHARE SCHEME AND TERMINATION OF THE SHARE OPTION 份期權計劃」一節所披露者外，於本財政年 SCHEME” above, at no time during this financial year was the 度內任何時間，本公司、同系附屬公司或其 Company, fellow subsidiaries or any of its subsidiaries a party to any 任何附屬公司概無訂立任何安排，致使本公 arrangements to enable the directors of the Company to acquire 司董事可藉收購本公司或任何其他法人團體 benefits by means of the acquisition of shares in, or debentures of, 之股份或債券而獲益。 the Company or any other body co</t>
        </is>
      </c>
    </row>
    <row r="172">
      <c r="A172" s="8" t="inlineStr">
        <is>
          <t>Share-based Payment</t>
        </is>
      </c>
      <c r="B172" s="8" t="inlineStr">
        <is>
          <t>以股份為基礎的付款</t>
        </is>
      </c>
      <c r="C172" s="8" t="inlineStr">
        <is>
          <t>medium</t>
        </is>
      </c>
      <c r="D172" s="11" t="inlineStr">
        <is>
          <t>share option</t>
        </is>
      </c>
      <c r="E172" s="11" t="inlineStr">
        <is>
          <t>PDF p.63</t>
        </is>
      </c>
      <c r="F172" s="11" t="inlineStr">
        <is>
          <t>including the Independent Non-executive Directors), with 之薪酬，並向董事會提出建議以供批 recommendations to the Board for approval. 准。 • Review the Share Option Scheme and the 2025 Share Scheme • 檢討股份期權計劃及二零二五年股份 with recommendations to the Board for approval. 計劃，並向董事會提出建議以供批准。 62 NEW SPARKLE ROLL INTERNATIONAL GROUP LIMITED 新耀萊國際集團有限公司 ANNUAL REPORT 2026 年報</t>
        </is>
      </c>
    </row>
    <row r="173">
      <c r="A173" s="8" t="inlineStr">
        <is>
          <t>Share-based Payment</t>
        </is>
      </c>
      <c r="B173" s="8" t="inlineStr">
        <is>
          <t>以股份為基礎的付款</t>
        </is>
      </c>
      <c r="C173" s="8" t="inlineStr">
        <is>
          <t>medium</t>
        </is>
      </c>
      <c r="D173" s="11" t="inlineStr">
        <is>
          <t>購股權</t>
        </is>
      </c>
      <c r="E173" s="11" t="inlineStr">
        <is>
          <t>PDF p.158</t>
        </is>
      </c>
      <c r="F173" s="11" t="inlineStr">
        <is>
          <t>1,868 42,555 Proceeds from disposals of property, 出售物業、機器及設備 plant and equipment 所得款項 4,099 14,982 Acquisition of equity investment 收購股權投資 (55,084) (12,931) Disposal of equity investments 出售股權投資 – 3,829 Proceeds from disposal of 出售電視節目投資 investment in television program 所得款項 – 2,151 Proceeds from disposal of 出售一間附屬公司所得 a subsidiary, net of cash and 款項，已扣除所出售 cash equivalents disposed 現金及現金等值項目 550 – Repayment from non-controlling 附屬公司非控股權益 interest of subsidiaries 還款 6,311 329 Interest received 已收利息 132 656 Net cash (used in)/g</t>
        </is>
      </c>
    </row>
    <row r="174">
      <c r="A174" s="8" t="inlineStr">
        <is>
          <t>Share-based Payment</t>
        </is>
      </c>
      <c r="B174" s="8" t="inlineStr">
        <is>
          <t>以股份為基礎的付款</t>
        </is>
      </c>
      <c r="C174" s="8" t="inlineStr">
        <is>
          <t>medium</t>
        </is>
      </c>
      <c r="D174" s="11" t="inlineStr">
        <is>
          <t>share option</t>
        </is>
      </c>
      <c r="E174" s="11" t="inlineStr">
        <is>
          <t>PDF p.247</t>
        </is>
      </c>
      <c r="F174" s="11" t="inlineStr">
        <is>
          <t>溢價結餘款項至繳入盈 from the Company’s shareholders, (b) transfer from share 餘賬，(b)因沒收股份期權或股份期權失 option reserve due to forfeiture or lapse of share options, and 效而自股份期權儲備轉出，及(c)過往年 (c) dividends paid out in prior years and share repurchases. 度派付股息及進行股份購回。 Exchange reserve 外匯儲備 Exchange reserve comprises all foreign exchange differences 外匯儲備包括產生自換算海外業務財 arising from the translation of the financial statements of 務報表之所有外匯差額。 foreign operations. 246 NEW SPARKLE ROLL INTERNATIONAL GROUP LIMITED 新耀萊國際集團有限公司 ANNUAL REPORT 2026 年報</t>
        </is>
      </c>
    </row>
    <row r="175">
      <c r="A175" s="8" t="inlineStr">
        <is>
          <t>Share-based Payment</t>
        </is>
      </c>
      <c r="B175" s="8" t="inlineStr">
        <is>
          <t>以股份為基礎的付款</t>
        </is>
      </c>
      <c r="C175" s="8" t="inlineStr">
        <is>
          <t>medium</t>
        </is>
      </c>
      <c r="D175" s="11" t="inlineStr">
        <is>
          <t>share option</t>
        </is>
      </c>
      <c r="E175" s="11" t="inlineStr">
        <is>
          <t>PDF p.249</t>
        </is>
      </c>
      <c r="F175" s="11" t="inlineStr">
        <is>
          <t>ution passed at the annual 根據於二零二二年九月二十七日舉行 general meeting of the Company held on 27 September 2022, 之本公司股東週年大會上通過之一項 the Company’s share option scheme (the “Share Option 普通決議案，本公司於二零二二年九月 Scheme”) was adopted on 29 September 2022. The Share 二十九日採納股份期權計劃（「股份期 Option Scheme is effective for a term of ten years commencing 權計劃」）。股份期權計劃自二零二二 on 29 September 2022. The Company has terminated the 年九月二十九日起生效，為期十年。本 Share Option Scheme and has adopted a new share incentive 公司已終止股份期權計劃，並於二零 scheme (the “2025 Share Scheme”) under the Sha</t>
        </is>
      </c>
    </row>
    <row r="176">
      <c r="A176" s="8" t="inlineStr">
        <is>
          <t>Share-based Payment</t>
        </is>
      </c>
      <c r="B176" s="8" t="inlineStr">
        <is>
          <t>以股份為基礎的付款</t>
        </is>
      </c>
      <c r="C176" s="8" t="inlineStr">
        <is>
          <t>medium</t>
        </is>
      </c>
      <c r="D176" s="11" t="inlineStr">
        <is>
          <t>share option</t>
        </is>
      </c>
      <c r="E176" s="11" t="inlineStr">
        <is>
          <t>PDF p.250</t>
        </is>
      </c>
      <c r="F176" s="11" t="inlineStr">
        <is>
          <t>e Award, following which, the portion not accepted by the 效。 grantee shall automatically lapse. The exercise period for any award of share options and/ 任何股份期權之獎勵及╱或二零二五 or share awards under the 2025 Share Scheme shall be 年股份計劃之股份獎勵之行使期將由 determined by the Board in its absolute discretion and shall 董事會絕對酌情釐定且由授出日期起 not be longer than 10 years from the grant date. 計不得超過10年。 The Directors may determine in their absolute discretion 董事可全權酌情釐定行使股份獎勵之 the Issue Price for the exercise of Share Awards and/or the 發行價及╱或以股份獎勵及╱或股份 Exerci</t>
        </is>
      </c>
    </row>
    <row r="177">
      <c r="A177" s="8" t="inlineStr">
        <is>
          <t>Share-based Payment</t>
        </is>
      </c>
      <c r="B177" s="8" t="inlineStr">
        <is>
          <t>以股份為基礎的付款</t>
        </is>
      </c>
      <c r="C177" s="8" t="inlineStr">
        <is>
          <t>medium</t>
        </is>
      </c>
      <c r="D177" s="11" t="inlineStr">
        <is>
          <t>share-based payment</t>
        </is>
      </c>
      <c r="E177" s="11" t="inlineStr">
        <is>
          <t>PDF p.284</t>
        </is>
      </c>
      <c r="F177" s="11" t="inlineStr">
        <is>
          <t>in equity in 2025 二零二五年權益變動 Loss and total comprehensive income 本年度虧損及全面收入總額 for the year – – – – (888,255) (888,255) Equity-settled share-based payment 以權益結算以股份為基礎之 付款 45,526 – – – – 45,526 At 31 March 2025 於二零二五年三月三十一日 1,842,118 3,508 352,158 (1,971) (1,601,338) 594,475 At 1 April 2025 於二零二五年四月一日 1,842,118 3,508 352,158 (1,971) (1,601,338) 594,475 Changes in equity in 2026 二零二六年權益變動 Loss and total comprehensive income 本年度虧損及全面收入總額 for the year – – – – (11,702) (11,702) Placing of shares 配售股份 72,925 – – – – 72,925 At 31 March</t>
        </is>
      </c>
    </row>
    <row r="178">
      <c r="A178" s="8" t="inlineStr">
        <is>
          <t>Related Party Transactions</t>
        </is>
      </c>
      <c r="B178" s="8" t="inlineStr">
        <is>
          <t>關聯方交易</t>
        </is>
      </c>
      <c r="C178" s="8" t="inlineStr">
        <is>
          <t>low</t>
        </is>
      </c>
      <c r="D178" s="11" t="inlineStr">
        <is>
          <t>connected transaction</t>
        </is>
      </c>
      <c r="E178" s="11" t="inlineStr">
        <is>
          <t>PDF p.47</t>
        </is>
      </c>
      <c r="F178" s="11" t="inlineStr">
        <is>
          <t>董事會報告 Report of the Directors CONNECTED TRANSACTION 關連交易 There was no connected transactions or continuing connected 於截至二零二六年三月三十一日止年度，本 transactions undertaken by the Company during the year ended 公司並無進行根據上市規則第十四A章須披 31 March 2026 which was required to be disclosed pursuant to 露之關連交易或持續關連交易。 Chapter 14A of the Listing Rules. SUFFICIENCY OF PUBLIC FLOAT 足夠公眾持股量 The Company has maintained a sufficient public float throughout th</t>
        </is>
      </c>
    </row>
    <row r="179">
      <c r="A179" s="8" t="inlineStr">
        <is>
          <t>Related Party Transactions</t>
        </is>
      </c>
      <c r="B179" s="8" t="inlineStr">
        <is>
          <t>關聯方交易</t>
        </is>
      </c>
      <c r="C179" s="8" t="inlineStr">
        <is>
          <t>low</t>
        </is>
      </c>
      <c r="D179" s="11" t="inlineStr">
        <is>
          <t>connected transaction</t>
        </is>
      </c>
      <c r="E179" s="11" t="inlineStr">
        <is>
          <t>PDF p.67</t>
        </is>
      </c>
      <c r="F179" s="11" t="inlineStr">
        <is>
          <t>閱核數師致審核委員會之報告。 • Review of the internal controls and the risk management • 檢討本集團之內部監控及風險管理系 systems of the Group. 統。 • Review of the connected transactions (including continuing • 審核於年內進行之關連交易（包括持續 connected transactions) carried out during the year. 關連交易）。 • Review of the financial budget of the Group. • 審閱本集團財務預算。 • Review and make recommendation to the Board on the • 審閱核數師之續聘並就此向董事會提 reappointment of the auditors. 出建議。 • Review and approve the remuneration, other terms of • 審閱及批准核數師酬金、其他委聘條 engagement, the nature and scope o</t>
        </is>
      </c>
    </row>
    <row r="180">
      <c r="A180" s="8" t="inlineStr">
        <is>
          <t>Related Party Transactions</t>
        </is>
      </c>
      <c r="B180" s="8" t="inlineStr">
        <is>
          <t>關聯方交易</t>
        </is>
      </c>
      <c r="C180" s="8" t="inlineStr">
        <is>
          <t>low</t>
        </is>
      </c>
      <c r="D180" s="11" t="inlineStr">
        <is>
          <t>關連交易</t>
        </is>
      </c>
      <c r="E180" s="11" t="inlineStr">
        <is>
          <t>PDF p.68</t>
        </is>
      </c>
      <c r="F180" s="11" t="inlineStr">
        <is>
          <t>s and that it has regard to them when making 時已考慮該等發展因素。公司秘書亦會就董 decisions. The Company Secretary also advises the Directors on 事於證券、關連交易及內幕消息之利益之披 their obligations for disclosure of interests in securities, connected 露責任向彼等提供意見，以及確保上市規則 transactions and inside information and ensures that the standards 所規定之準則及披露得以遵從，並於有需要 and disclosures required by the Listing Rules are observed and, 時於本公司年報內反映。 where required, reflected in the annual reports of the Company. Ms. Xu Jiayuan (“Ms. Xu”) is the Company Secretary of the 許佳媛女士（「許女</t>
        </is>
      </c>
    </row>
    <row r="181">
      <c r="A181" s="8" t="inlineStr">
        <is>
          <t>Related Party Transactions</t>
        </is>
      </c>
      <c r="B181" s="8" t="inlineStr">
        <is>
          <t>關聯方交易</t>
        </is>
      </c>
      <c r="C181" s="8" t="inlineStr">
        <is>
          <t>low</t>
        </is>
      </c>
      <c r="D181" s="11" t="inlineStr">
        <is>
          <t>related party</t>
        </is>
      </c>
      <c r="E181" s="11" t="inlineStr">
        <is>
          <t>PDF p.252</t>
        </is>
      </c>
      <c r="F181" s="11" t="inlineStr">
        <is>
          <t>財務報表附註（續） Notes to the Financial Statements (Continued) 二零二六年三月三十一日 31 March 2026 37. RELATED PARTY DISCLOSURES 37. 關聯方披露 On 26 August 2024, the Company received a copy of the court 於二零二四年八月二十六日，本公司接 order of which the Company’s claim against a defendant, who 獲法院命令之副本，該命令之內容為終 is a close family member of one of the non-executive directors 止本公司向一名被告人（為本公司一 of the Company, be discontinued and cost of the Company’s 名非執行董事之近親屬）提出之申索， claim in relevant proceedings (including its costs)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workbookViewId="0">
      <pane ySplit="20" topLeftCell="A21"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Balance Sheet</t>
        </is>
      </c>
      <c r="B8" s="8" t="inlineStr">
        <is>
          <t>Total Assets</t>
        </is>
      </c>
    </row>
    <row r="9">
      <c r="A9" s="8" t="inlineStr">
        <is>
          <t>Balance Sheet</t>
        </is>
      </c>
      <c r="B9" s="8" t="inlineStr">
        <is>
          <t>Cash and Equivalents</t>
        </is>
      </c>
    </row>
    <row r="10">
      <c r="A10" s="8" t="inlineStr">
        <is>
          <t>Balance Sheet</t>
        </is>
      </c>
      <c r="B10" s="8" t="inlineStr">
        <is>
          <t>Intangible Assets</t>
        </is>
      </c>
    </row>
    <row r="11">
      <c r="A11" s="8" t="inlineStr">
        <is>
          <t>Balance Sheet</t>
        </is>
      </c>
      <c r="B11" s="8" t="inlineStr">
        <is>
          <t>Total Liabilities</t>
        </is>
      </c>
    </row>
    <row r="12">
      <c r="A12" s="8" t="inlineStr">
        <is>
          <t>Cash Flow</t>
        </is>
      </c>
      <c r="B12" s="8" t="inlineStr">
        <is>
          <t>Investing Cash Flow</t>
        </is>
      </c>
    </row>
    <row r="13">
      <c r="A13" s="8" t="inlineStr">
        <is>
          <t>Cash Flow</t>
        </is>
      </c>
      <c r="B13" s="8" t="inlineStr">
        <is>
          <t>Financing Cash Flow</t>
        </is>
      </c>
    </row>
    <row r="14">
      <c r="A14" s="8" t="inlineStr">
        <is>
          <t>Cash Flow</t>
        </is>
      </c>
      <c r="B14" s="8" t="inlineStr">
        <is>
          <t>Capital Expenditure</t>
        </is>
      </c>
    </row>
    <row r="17">
      <c r="A17" s="5" t="inlineStr">
        <is>
          <t>二、文字量過低的頁面(疑似掃描頁)</t>
        </is>
      </c>
    </row>
    <row r="18">
      <c r="A18" s="2" t="inlineStr">
        <is>
          <t>這些頁面幾乎抓不到文字,通常是掃描件或純圖表,建議人手翻閱或另行 OCR。</t>
        </is>
      </c>
    </row>
    <row r="20">
      <c r="A20" s="7" t="inlineStr">
        <is>
          <t>PDF 頁碼</t>
        </is>
      </c>
      <c r="B20" s="7" t="inlineStr">
        <is>
          <t>狀態</t>
        </is>
      </c>
    </row>
    <row r="21">
      <c r="A21" s="8" t="n">
        <v>290</v>
      </c>
      <c r="B21"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2026-08-30T14:17:04Z</dcterms:created>
  <dcterms:modified xsi:type="dcterms:W3CDTF">2026-08-30T14:17:04Z</dcterms:modified>
</cp:coreProperties>
</file>
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摘要" sheetId="1" state="visible" r:id="rId1"/>
    <sheet name="Valuation Params 估值參數" sheetId="2" state="visible" r:id="rId2"/>
    <sheet name="Financials 財務數據" sheetId="3" state="visible" r:id="rId3"/>
    <sheet name="Ratios 財務比率" sheetId="4" state="visible" r:id="rId4"/>
    <sheet name="Extracts 主題段落" sheetId="5" state="visible" r:id="rId5"/>
    <sheet name="Review Queue 待覆核" sheetId="6" state="visible" r:id="rId6"/>
  </sheets>
  <definedNames/>
  <calcPr calcId="124519" fullCalcOnLoad="1"/>
</workbook>
</file>

<file path=xl/styles.xml><?xml version="1.0" encoding="utf-8"?>
<styleSheet xmlns="http://schemas.openxmlformats.org/spreadsheetml/2006/main">
  <numFmts count="1">
    <numFmt numFmtId="164" formatCode="0.0%"/>
  </numFmts>
  <fonts count="8">
    <font>
      <name val="Calibri"/>
      <family val="2"/>
      <color theme="1"/>
      <sz val="11"/>
      <scheme val="minor"/>
    </font>
    <font>
      <name val="Arial"/>
      <b val="1"/>
      <color rgb="001F4E5F"/>
      <sz val="14"/>
    </font>
    <font>
      <name val="Arial"/>
      <i val="1"/>
      <color rgb="00808080"/>
      <sz val="9"/>
    </font>
    <font>
      <name val="Arial"/>
      <b val="1"/>
      <sz val="10"/>
    </font>
    <font>
      <name val="Arial"/>
      <sz val="10"/>
    </font>
    <font>
      <name val="Arial"/>
      <b val="1"/>
      <sz val="11"/>
    </font>
    <font>
      <name val="Arial"/>
      <color rgb="00006100"/>
      <sz val="10"/>
    </font>
    <font>
      <name val="Arial"/>
      <b val="1"/>
      <color rgb="00FFFFFF"/>
      <sz val="10"/>
    </font>
  </fonts>
  <fills count="5">
    <fill>
      <patternFill/>
    </fill>
    <fill>
      <patternFill patternType="gray125"/>
    </fill>
    <fill>
      <patternFill patternType="solid">
        <fgColor rgb="001F4E5F"/>
      </patternFill>
    </fill>
    <fill>
      <patternFill patternType="solid">
        <fgColor rgb="00FFF2CC"/>
      </patternFill>
    </fill>
    <fill>
      <patternFill patternType="solid">
        <fgColor rgb="00E2EFDA"/>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16">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5" fillId="0" borderId="0" pivotButton="0" quotePrefix="0" xfId="0"/>
    <xf numFmtId="0" fontId="6" fillId="0" borderId="0" pivotButton="0" quotePrefix="0" xfId="0"/>
    <xf numFmtId="0" fontId="7" fillId="2" borderId="0" applyAlignment="1" pivotButton="0" quotePrefix="0" xfId="0">
      <alignment vertical="center" wrapText="1"/>
    </xf>
    <xf numFmtId="0" fontId="4" fillId="0" borderId="1" applyAlignment="1" pivotButton="0" quotePrefix="0" xfId="0">
      <alignment vertical="top"/>
    </xf>
    <xf numFmtId="2" fontId="4" fillId="0" borderId="1" applyAlignment="1" pivotButton="0" quotePrefix="0" xfId="0">
      <alignment vertical="top"/>
    </xf>
    <xf numFmtId="2" fontId="4" fillId="0" borderId="1" applyAlignment="1" pivotButton="0" quotePrefix="0" xfId="0">
      <alignment vertical="top" wrapText="1"/>
    </xf>
    <xf numFmtId="0" fontId="4" fillId="0" borderId="1" applyAlignment="1" pivotButton="0" quotePrefix="0" xfId="0">
      <alignment vertical="top" wrapText="1"/>
    </xf>
    <xf numFmtId="0" fontId="4" fillId="3" borderId="1" applyAlignment="1" pivotButton="0" quotePrefix="0" xfId="0">
      <alignment vertical="top" wrapText="1"/>
    </xf>
    <xf numFmtId="164" fontId="4" fillId="0" borderId="0" pivotButton="0" quotePrefix="0" xfId="0"/>
    <xf numFmtId="2" fontId="4" fillId="0" borderId="0" pivotButton="0" quotePrefix="0" xfId="0"/>
    <xf numFmtId="0" fontId="4" fillId="4" borderId="1"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7"/>
  <sheetViews>
    <sheetView workbookViewId="0">
      <selection activeCell="A1" sqref="A1"/>
    </sheetView>
  </sheetViews>
  <sheetFormatPr baseColWidth="8" defaultRowHeight="15"/>
  <cols>
    <col width="42" customWidth="1" min="1" max="1"/>
    <col width="60" customWidth="1" min="2" max="2"/>
  </cols>
  <sheetData>
    <row r="1">
      <c r="A1" s="1" t="inlineStr">
        <is>
          <t>HKEX 文件資料萃取報告</t>
        </is>
      </c>
    </row>
    <row r="2">
      <c r="A2" s="2" t="inlineStr">
        <is>
          <t>Automated Extraction Report — Business Valuation Support</t>
        </is>
      </c>
    </row>
    <row r="4">
      <c r="A4" s="3" t="inlineStr">
        <is>
          <t>來源文件 Source file</t>
        </is>
      </c>
      <c r="B4" s="4" t="inlineStr">
        <is>
          <t>01539_UNITY_GP_HLDGS_20260730.pdf</t>
        </is>
      </c>
    </row>
    <row r="5">
      <c r="A5" s="3" t="inlineStr">
        <is>
          <t>產生時間 Generated</t>
        </is>
      </c>
      <c r="B5" s="4" t="inlineStr">
        <is>
          <t>2026-08-30 22:16</t>
        </is>
      </c>
    </row>
    <row r="6">
      <c r="A6" s="4" t="inlineStr"/>
      <c r="B6" s="4" t="inlineStr"/>
    </row>
    <row r="7">
      <c r="A7" s="3" t="inlineStr">
        <is>
          <t>總頁數 Total pages</t>
        </is>
      </c>
      <c r="B7" s="4" t="n">
        <v>166</v>
      </c>
    </row>
    <row r="8">
      <c r="A8" s="3" t="inlineStr">
        <is>
          <t>已擷取字元 Characters extracted</t>
        </is>
      </c>
      <c r="B8" s="4" t="n">
        <v>369652</v>
      </c>
    </row>
    <row r="9">
      <c r="A9" s="3" t="inlineStr">
        <is>
          <t>含表格頁數 Pages with tables</t>
        </is>
      </c>
      <c r="B9" s="4" t="n">
        <v>0</v>
      </c>
    </row>
    <row r="10">
      <c r="A10" s="3" t="inlineStr">
        <is>
          <t>需人手/OCR 頁數 Pages needing OCR</t>
        </is>
      </c>
      <c r="B10" s="4" t="n">
        <v>0</v>
      </c>
    </row>
    <row r="11">
      <c r="A11" s="4" t="inlineStr"/>
      <c r="B11" s="4" t="inlineStr"/>
    </row>
    <row r="12">
      <c r="A12" s="3" t="inlineStr">
        <is>
          <t>估值參數擷取筆數 Valuation parameters</t>
        </is>
      </c>
      <c r="B12" s="4" t="n">
        <v>5</v>
      </c>
    </row>
    <row r="13">
      <c r="A13" s="3" t="inlineStr">
        <is>
          <t>財務科目擷取筆數 Financial line items</t>
        </is>
      </c>
      <c r="B13" s="4" t="n">
        <v>0</v>
      </c>
    </row>
    <row r="14">
      <c r="A14" s="3" t="inlineStr">
        <is>
          <t>主題段落擷取筆數 Topic extracts</t>
        </is>
      </c>
      <c r="B14" s="4" t="n">
        <v>91</v>
      </c>
    </row>
    <row r="15">
      <c r="A15" s="3" t="inlineStr">
        <is>
          <t>AI 複核筆數 AI-verified findings</t>
        </is>
      </c>
      <c r="B15" s="4" t="n">
        <v>0</v>
      </c>
    </row>
    <row r="17">
      <c r="A17" s="5" t="inlineStr">
        <is>
          <t>資料完整性檢查 Integrity checks</t>
        </is>
      </c>
    </row>
    <row r="18">
      <c r="A18" s="2" t="inlineStr">
        <is>
          <t>用會計恆等式交叉驗證擷取結果 —— 數字之間本來就該對得上,對不上代表某欄可能抓錯,請翻回來源頁核對。</t>
        </is>
      </c>
    </row>
    <row r="19">
      <c r="A19" s="6" t="inlineStr">
        <is>
          <t>✓ 三大報表應相鄰</t>
        </is>
      </c>
      <c r="B19" s="4" t="inlineStr">
        <is>
          <t>Balance Sheet: p.128、Cash Flow: p.145(相距 17 頁)</t>
        </is>
      </c>
    </row>
    <row r="21">
      <c r="A21" s="5" t="inlineStr">
        <is>
          <t>方法論 Methodology</t>
        </is>
      </c>
    </row>
    <row r="22">
      <c r="A22" s="4" t="inlineStr">
        <is>
          <t>1. 逐頁擷取文字,全程保留 PDF 頁碼與年報印刷頁碼(可追溯性)。</t>
        </is>
      </c>
    </row>
    <row r="23">
      <c r="A23" s="4" t="inlineStr">
        <is>
          <t>2. 規則層(正則/關鍵字)先把全份文件縮減為少數相關頁面 —— 解決「文件太大」。</t>
        </is>
      </c>
    </row>
    <row r="24">
      <c r="A24" s="4" t="inlineStr">
        <is>
          <t>3. 數字由正則精確擷取並做合理性檢查,不由語言模型生成 —— 解決「準確度」。</t>
        </is>
      </c>
    </row>
    <row r="25">
      <c r="A25" s="4" t="inlineStr">
        <is>
          <t>4. AI 僅在縮減後的頁面上做語意判斷,且輸出頁碼須通過驗證才保留。</t>
        </is>
      </c>
    </row>
    <row r="26">
      <c r="A26" s="4" t="inlineStr">
        <is>
          <t>5. 所有結果附來源頁碼與原文行,供估值師覆核。信心度為 Low 者建議人手確認。</t>
        </is>
      </c>
    </row>
    <row r="27">
      <c r="A27" s="4" t="inlineStr">
        <is>
          <t>6. 支援中英對照年報、破折號(nil)、Profit/(loss) 等港股常見排版。</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9"/>
  <sheetViews>
    <sheetView workbookViewId="0">
      <pane ySplit="4" topLeftCell="A5" activePane="bottomLeft" state="frozen"/>
      <selection pane="bottomLeft" activeCell="A1" sqref="A1"/>
    </sheetView>
  </sheetViews>
  <sheetFormatPr baseColWidth="8" defaultRowHeight="15"/>
  <cols>
    <col width="24" customWidth="1" min="1" max="1"/>
    <col width="18" customWidth="1" min="2" max="2"/>
    <col width="12" customWidth="1" min="3" max="3"/>
    <col width="12" customWidth="1" min="4" max="4"/>
    <col width="14" customWidth="1" min="5" max="5"/>
    <col width="10" customWidth="1" min="6" max="6"/>
    <col width="22" customWidth="1" min="7" max="7"/>
    <col width="90" customWidth="1" min="8" max="8"/>
  </cols>
  <sheetData>
    <row r="1">
      <c r="A1" s="1" t="inlineStr">
        <is>
          <t>估值參數 Benchmark — 可直接併入行內參數資料庫</t>
        </is>
      </c>
    </row>
    <row r="2">
      <c r="A2" s="2" t="inlineStr">
        <is>
          <t>數字由正則式從原文精確擷取,並經合理範圍檢查;非由 AI 生成。</t>
        </is>
      </c>
    </row>
    <row r="4">
      <c r="A4" s="7" t="inlineStr">
        <is>
          <t>參數 Parameter</t>
        </is>
      </c>
      <c r="B4" s="7" t="inlineStr">
        <is>
          <t>中文</t>
        </is>
      </c>
      <c r="C4" s="7" t="inlineStr">
        <is>
          <t>下限 Low (%)</t>
        </is>
      </c>
      <c r="D4" s="7" t="inlineStr">
        <is>
          <t>上限 High (%)</t>
        </is>
      </c>
      <c r="E4" s="7" t="inlineStr">
        <is>
          <t>原文數值</t>
        </is>
      </c>
      <c r="F4" s="7" t="inlineStr">
        <is>
          <t>信心度</t>
        </is>
      </c>
      <c r="G4" s="7" t="inlineStr">
        <is>
          <t>來源頁 Source Page</t>
        </is>
      </c>
      <c r="H4" s="7" t="inlineStr">
        <is>
          <t>上下文 Context</t>
        </is>
      </c>
    </row>
    <row r="5">
      <c r="A5" s="8" t="inlineStr">
        <is>
          <t>Expected Volatility</t>
        </is>
      </c>
      <c r="B5" s="8" t="inlineStr">
        <is>
          <t>預期波幅</t>
        </is>
      </c>
      <c r="C5" s="9" t="n">
        <v>115.4</v>
      </c>
      <c r="D5" s="10" t="n">
        <v>115.4</v>
      </c>
      <c r="E5" s="11" t="inlineStr">
        <is>
          <t>115.4%</t>
        </is>
      </c>
      <c r="F5" s="11" t="inlineStr">
        <is>
          <t>High</t>
        </is>
      </c>
      <c r="G5" s="11" t="inlineStr">
        <is>
          <t>PDF p.152 (印刷頁 151)</t>
        </is>
      </c>
      <c r="H5" s="11" t="inlineStr">
        <is>
          <t xml:space="preserve">rice (HK$) 0.162 0.162 0.162 0.162 Exercise price (HK$) 0.172 0.172 0.172 0.172 Expected volatility 115.4% 115.4% 115.4% 115.4% Expected option life 2 years 2 years 2 years 2 years Expected dividend 0% 0% 0% 0% Risk-free rate 4.072% 4.072% 4.072% 4.072% Fair </t>
        </is>
      </c>
    </row>
    <row r="6">
      <c r="A6" s="8" t="inlineStr">
        <is>
          <t>Expected Volatility</t>
        </is>
      </c>
      <c r="B6" s="8" t="inlineStr">
        <is>
          <t>預期波幅</t>
        </is>
      </c>
      <c r="C6" s="9" t="n">
        <v>111.28</v>
      </c>
      <c r="D6" s="10" t="n">
        <v>111.28</v>
      </c>
      <c r="E6" s="11" t="inlineStr">
        <is>
          <t>111.28%</t>
        </is>
      </c>
      <c r="F6" s="11" t="inlineStr">
        <is>
          <t>High</t>
        </is>
      </c>
      <c r="G6" s="11" t="inlineStr">
        <is>
          <t>PDF p.152 (印刷頁 151)</t>
        </is>
      </c>
      <c r="H6" s="11" t="inlineStr">
        <is>
          <t>he 1a Tranche 1b Share price (HK$) 0.133 0.133 Exercise price (HK$) 0.139 0.139 Expected volatility 111.28% 111.28% Expected option life 3 years 3 years Expected dividend 0% 0% Risk-free rate 2.973% 2.973% Fair value per option (HK$) 0.079 0.072</t>
        </is>
      </c>
    </row>
    <row r="7">
      <c r="A7" s="8" t="inlineStr">
        <is>
          <t>Expected Volatility</t>
        </is>
      </c>
      <c r="B7" s="8" t="inlineStr">
        <is>
          <t>預期波幅</t>
        </is>
      </c>
      <c r="C7" s="9" t="n">
        <v>95.59999999999999</v>
      </c>
      <c r="D7" s="10" t="n">
        <v>95.59999999999999</v>
      </c>
      <c r="E7" s="11" t="inlineStr">
        <is>
          <t>95.60%</t>
        </is>
      </c>
      <c r="F7" s="11" t="inlineStr">
        <is>
          <t>High</t>
        </is>
      </c>
      <c r="G7" s="11" t="inlineStr">
        <is>
          <t>PDF p.153 (印刷頁 152)</t>
        </is>
      </c>
      <c r="H7" s="11" t="inlineStr">
        <is>
          <t xml:space="preserve">rice (HK$) 0.600 0.600 0.600 0.600 Exercise price (HK$) 0.601 0.601 0.601 0.601 Expected volatility 95.60% 95.60% 95.60% 95.60% Expected option life 4 years 4 years 4 years 4 years Expected dividend 0% 0% 0% 0% Risk-free rate 3.463% 3.463% 3.463% 3.463% Fair </t>
        </is>
      </c>
    </row>
    <row r="8">
      <c r="A8" s="8" t="inlineStr">
        <is>
          <t>Expected Volatility</t>
        </is>
      </c>
      <c r="B8" s="8" t="inlineStr">
        <is>
          <t>預期波幅</t>
        </is>
      </c>
      <c r="C8" s="9" t="n">
        <v>68.43000000000001</v>
      </c>
      <c r="D8" s="10" t="n">
        <v>68.43000000000001</v>
      </c>
      <c r="E8" s="11" t="inlineStr">
        <is>
          <t>68.43%</t>
        </is>
      </c>
      <c r="F8" s="11" t="inlineStr">
        <is>
          <t>High</t>
        </is>
      </c>
      <c r="G8" s="11" t="inlineStr">
        <is>
          <t>PDF p.153 (印刷頁 152)</t>
        </is>
      </c>
      <c r="H8" s="11" t="inlineStr">
        <is>
          <t>nche 2c Share price (HK$) 0.400 0.400 0.400 Exercise price (HK$) 0.41 0.41 0.41 Expected volatility 68.43% 68.43% 68.43% Expected option life 3 years 3 years 3 years Expected dividend 0% 0% 0% Risk-free rate 2.956% 2.956% 2.956% Fair value per option (HK$) 0.</t>
        </is>
      </c>
    </row>
    <row r="9">
      <c r="A9" s="8" t="inlineStr">
        <is>
          <t>Gross Margin</t>
        </is>
      </c>
      <c r="B9" s="8" t="inlineStr">
        <is>
          <t>毛利率</t>
        </is>
      </c>
      <c r="C9" s="9" t="n">
        <v>59.3</v>
      </c>
      <c r="D9" s="10" t="n">
        <v>59.3</v>
      </c>
      <c r="E9" s="11" t="inlineStr">
        <is>
          <t>59.3%</t>
        </is>
      </c>
      <c r="F9" s="12" t="inlineStr">
        <is>
          <t>Low</t>
        </is>
      </c>
      <c r="G9" s="11" t="inlineStr">
        <is>
          <t>PDF p.7 (印刷頁 6)</t>
        </is>
      </c>
      <c r="H9" s="11" t="inlineStr">
        <is>
          <t>s International Report 2025/2026 MANAGEMENT DISCUSSION AND ANALYSIS The Group’s gross profit margin increased from Furthermore, a gain on modification of financial liabilities approximately 59.3% for the year ended 31 March 2025 to of approximately HK$25.2 mi</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5"/>
  <sheetViews>
    <sheetView workbookViewId="0">
      <pane ySplit="4" topLeftCell="A5" activePane="bottomLeft" state="frozen"/>
      <selection pane="bottomLeft" activeCell="A1" sqref="A1"/>
    </sheetView>
  </sheetViews>
  <sheetFormatPr baseColWidth="8" defaultRowHeight="15"/>
  <cols>
    <col width="20" customWidth="1" min="1" max="1"/>
    <col width="28" customWidth="1" min="2" max="2"/>
    <col width="16" customWidth="1" min="3" max="3"/>
    <col width="16" customWidth="1" min="4" max="4"/>
    <col width="12" customWidth="1" min="5" max="5"/>
    <col width="20" customWidth="1" min="6" max="6"/>
    <col width="70" customWidth="1" min="7" max="7"/>
  </cols>
  <sheetData>
    <row r="1">
      <c r="A1" s="1" t="inlineStr">
        <is>
          <t>三大報表擷取結果</t>
        </is>
      </c>
    </row>
    <row r="2">
      <c r="A2" s="2" t="inlineStr">
        <is>
          <t>偵測到的年度欄位 — Balance Sheet: 2025 / 2026; Cash Flow: 2025 / 2026</t>
        </is>
      </c>
    </row>
    <row r="4">
      <c r="A4" s="7" t="inlineStr">
        <is>
          <t>報表 Statement</t>
        </is>
      </c>
      <c r="B4" s="7" t="inlineStr">
        <is>
          <t>科目 Item</t>
        </is>
      </c>
      <c r="C4" s="7" t="inlineStr">
        <is>
          <t>本年 Current</t>
        </is>
      </c>
      <c r="D4" s="7" t="inlineStr">
        <is>
          <t>上年 Prior</t>
        </is>
      </c>
      <c r="E4" s="7" t="inlineStr">
        <is>
          <t>變動 YoY %</t>
        </is>
      </c>
      <c r="F4" s="7" t="inlineStr">
        <is>
          <t>來源頁</t>
        </is>
      </c>
      <c r="G4" s="7" t="inlineStr">
        <is>
          <t>原文行 Source line</t>
        </is>
      </c>
    </row>
    <row r="5"/>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13"/>
  <sheetViews>
    <sheetView workbookViewId="0">
      <pane ySplit="4" topLeftCell="A5" activePane="bottomLeft" state="frozen"/>
      <selection pane="bottomLeft" activeCell="A1" sqref="A1"/>
    </sheetView>
  </sheetViews>
  <sheetFormatPr baseColWidth="8" defaultRowHeight="15"/>
  <cols>
    <col width="30" customWidth="1" min="1" max="1"/>
    <col width="16" customWidth="1" min="2" max="2"/>
    <col width="16" customWidth="1" min="3" max="3"/>
    <col width="48" customWidth="1" min="4" max="4"/>
  </cols>
  <sheetData>
    <row r="1">
      <c r="A1" s="1" t="inlineStr">
        <is>
          <t>衍生比率 — 全部以公式連結至 Financials 分頁</t>
        </is>
      </c>
    </row>
    <row r="2">
      <c r="A2" s="2" t="inlineStr">
        <is>
          <t>改動 Financials 分頁的數字,本頁會自動重算。</t>
        </is>
      </c>
    </row>
    <row r="4">
      <c r="A4" s="7" t="inlineStr">
        <is>
          <t>比率 Ratio</t>
        </is>
      </c>
      <c r="B4" s="7" t="inlineStr">
        <is>
          <t>本年 Current</t>
        </is>
      </c>
      <c r="C4" s="7" t="inlineStr">
        <is>
          <t>上年 Prior</t>
        </is>
      </c>
      <c r="D4" s="7" t="inlineStr">
        <is>
          <t>說明</t>
        </is>
      </c>
    </row>
    <row r="5">
      <c r="A5" s="4" t="inlineStr">
        <is>
          <t>Gross Margin 毛利率</t>
        </is>
      </c>
      <c r="B5" s="13" t="str">
        <f>IF(ISERROR(INDEX('Financials 財務數據'!$C$5:$C$5,MATCH("Gross Profit",'Financials 財務數據'!$B$5:$B$5,0))/INDEX('Financials 財務數據'!$C$5:$C$5,MATCH("Revenue",'Financials 財務數據'!$B$5:$B$5,0))),"n/a",INDEX('Financials 財務數據'!$C$5:$C$5,MATCH("Gross Profit",'Financials 財務數據'!$B$5:$B$5,0))/INDEX('Financials 財務數據'!$C$5:$C$5,MATCH("Revenue",'Financials 財務數據'!$B$5:$B$5,0)))</f>
        <v>n/a</v>
      </c>
      <c r="C5" s="13" t="str">
        <f>IF(ISERROR(INDEX('Financials 財務數據'!$D$5:$D$5,MATCH("Gross Profit",'Financials 財務數據'!$B$5:$B$5,0))/INDEX('Financials 財務數據'!$D$5:$D$5,MATCH("Revenue",'Financials 財務數據'!$B$5:$B$5,0))),"n/a",INDEX('Financials 財務數據'!$D$5:$D$5,MATCH("Gross Profit",'Financials 財務數據'!$B$5:$B$5,0))/INDEX('Financials 財務數據'!$D$5:$D$5,MATCH("Revenue",'Financials 財務數據'!$B$5:$B$5,0)))</f>
        <v>n/a</v>
      </c>
      <c r="D5" s="2" t="inlineStr">
        <is>
          <t>毛利 ÷ 收入</t>
        </is>
      </c>
    </row>
    <row r="6">
      <c r="A6" s="4" t="inlineStr">
        <is>
          <t>Net Margin 淨利率</t>
        </is>
      </c>
      <c r="B6" s="13" t="str">
        <f>IF(ISERROR(INDEX('Financials 財務數據'!$C$5:$C$5,MATCH("Profit for the Year",'Financials 財務數據'!$B$5:$B$5,0))/INDEX('Financials 財務數據'!$C$5:$C$5,MATCH("Revenue",'Financials 財務數據'!$B$5:$B$5,0))),"n/a",INDEX('Financials 財務數據'!$C$5:$C$5,MATCH("Profit for the Year",'Financials 財務數據'!$B$5:$B$5,0))/INDEX('Financials 財務數據'!$C$5:$C$5,MATCH("Revenue",'Financials 財務數據'!$B$5:$B$5,0)))</f>
        <v>n/a</v>
      </c>
      <c r="C6" s="13" t="str">
        <f>IF(ISERROR(INDEX('Financials 財務數據'!$D$5:$D$5,MATCH("Profit for the Year",'Financials 財務數據'!$B$5:$B$5,0))/INDEX('Financials 財務數據'!$D$5:$D$5,MATCH("Revenue",'Financials 財務數據'!$B$5:$B$5,0))),"n/a",INDEX('Financials 財務數據'!$D$5:$D$5,MATCH("Profit for the Year",'Financials 財務數據'!$B$5:$B$5,0))/INDEX('Financials 財務數據'!$D$5:$D$5,MATCH("Revenue",'Financials 財務數據'!$B$5:$B$5,0)))</f>
        <v>n/a</v>
      </c>
      <c r="D6" s="2" t="inlineStr">
        <is>
          <t>年內溢利 ÷ 收入</t>
        </is>
      </c>
    </row>
    <row r="7">
      <c r="A7" s="4" t="inlineStr">
        <is>
          <t>Current Ratio 流動比率</t>
        </is>
      </c>
      <c r="B7" s="14" t="str">
        <f>IF(ISERROR(INDEX('Financials 財務數據'!$C$5:$C$5,MATCH("Total Current Assets",'Financials 財務數據'!$B$5:$B$5,0))/INDEX('Financials 財務數據'!$C$5:$C$5,MATCH("Total Current Liabilities",'Financials 財務數據'!$B$5:$B$5,0))),"n/a",INDEX('Financials 財務數據'!$C$5:$C$5,MATCH("Total Current Assets",'Financials 財務數據'!$B$5:$B$5,0))/INDEX('Financials 財務數據'!$C$5:$C$5,MATCH("Total Current Liabilities",'Financials 財務數據'!$B$5:$B$5,0)))</f>
        <v>n/a</v>
      </c>
      <c r="C7" s="14" t="str">
        <f>IF(ISERROR(INDEX('Financials 財務數據'!$D$5:$D$5,MATCH("Total Current Assets",'Financials 財務數據'!$B$5:$B$5,0))/INDEX('Financials 財務數據'!$D$5:$D$5,MATCH("Total Current Liabilities",'Financials 財務數據'!$B$5:$B$5,0))),"n/a",INDEX('Financials 財務數據'!$D$5:$D$5,MATCH("Total Current Assets",'Financials 財務數據'!$B$5:$B$5,0))/INDEX('Financials 財務數據'!$D$5:$D$5,MATCH("Total Current Liabilities",'Financials 財務數據'!$B$5:$B$5,0)))</f>
        <v>n/a</v>
      </c>
      <c r="D7" s="2" t="inlineStr">
        <is>
          <t>流動資產 ÷ 流動負債</t>
        </is>
      </c>
    </row>
    <row r="8">
      <c r="A8" s="4" t="inlineStr">
        <is>
          <t>Debt / Equity 負債權益比</t>
        </is>
      </c>
      <c r="B8" s="14" t="str">
        <f>IF(ISERROR(INDEX('Financials 財務數據'!$C$5:$C$5,MATCH("Total Liabilities",'Financials 財務數據'!$B$5:$B$5,0))/INDEX('Financials 財務數據'!$C$5:$C$5,MATCH("Total Equity",'Financials 財務數據'!$B$5:$B$5,0))),"n/a",INDEX('Financials 財務數據'!$C$5:$C$5,MATCH("Total Liabilities",'Financials 財務數據'!$B$5:$B$5,0))/INDEX('Financials 財務數據'!$C$5:$C$5,MATCH("Total Equity",'Financials 財務數據'!$B$5:$B$5,0)))</f>
        <v>n/a</v>
      </c>
      <c r="C8" s="14" t="str">
        <f>IF(ISERROR(INDEX('Financials 財務數據'!$D$5:$D$5,MATCH("Total Liabilities",'Financials 財務數據'!$B$5:$B$5,0))/INDEX('Financials 財務數據'!$D$5:$D$5,MATCH("Total Equity",'Financials 財務數據'!$B$5:$B$5,0))),"n/a",INDEX('Financials 財務數據'!$D$5:$D$5,MATCH("Total Liabilities",'Financials 財務數據'!$B$5:$B$5,0))/INDEX('Financials 財務數據'!$D$5:$D$5,MATCH("Total Equity",'Financials 財務數據'!$B$5:$B$5,0)))</f>
        <v>n/a</v>
      </c>
      <c r="D8" s="2" t="inlineStr">
        <is>
          <t>總負債 ÷ 總權益</t>
        </is>
      </c>
    </row>
    <row r="9">
      <c r="A9" s="4" t="inlineStr">
        <is>
          <t>Goodwill / Total Assets</t>
        </is>
      </c>
      <c r="B9" s="13" t="str">
        <f>IF(ISERROR(INDEX('Financials 財務數據'!$C$5:$C$5,MATCH("Goodwill",'Financials 財務數據'!$B$5:$B$5,0))/INDEX('Financials 財務數據'!$C$5:$C$5,MATCH("Total Assets",'Financials 財務數據'!$B$5:$B$5,0))),"n/a",INDEX('Financials 財務數據'!$C$5:$C$5,MATCH("Goodwill",'Financials 財務數據'!$B$5:$B$5,0))/INDEX('Financials 財務數據'!$C$5:$C$5,MATCH("Total Assets",'Financials 財務數據'!$B$5:$B$5,0)))</f>
        <v>n/a</v>
      </c>
      <c r="C9" s="13" t="str">
        <f>IF(ISERROR(INDEX('Financials 財務數據'!$D$5:$D$5,MATCH("Goodwill",'Financials 財務數據'!$B$5:$B$5,0))/INDEX('Financials 財務數據'!$D$5:$D$5,MATCH("Total Assets",'Financials 財務數據'!$B$5:$B$5,0))),"n/a",INDEX('Financials 財務數據'!$D$5:$D$5,MATCH("Goodwill",'Financials 財務數據'!$B$5:$B$5,0))/INDEX('Financials 財務數據'!$D$5:$D$5,MATCH("Total Assets",'Financials 財務數據'!$B$5:$B$5,0)))</f>
        <v>n/a</v>
      </c>
      <c r="D9" s="2" t="inlineStr">
        <is>
          <t>商譽佔總資產比重 — 減值風險指標</t>
        </is>
      </c>
    </row>
    <row r="10">
      <c r="A10" s="4" t="inlineStr">
        <is>
          <t>Intangibles / Total Assets</t>
        </is>
      </c>
      <c r="B10" s="13" t="str">
        <f>IF(ISERROR(INDEX('Financials 財務數據'!$C$5:$C$5,MATCH("Intangible Assets",'Financials 財務數據'!$B$5:$B$5,0))/INDEX('Financials 財務數據'!$C$5:$C$5,MATCH("Total Assets",'Financials 財務數據'!$B$5:$B$5,0))),"n/a",INDEX('Financials 財務數據'!$C$5:$C$5,MATCH("Intangible Assets",'Financials 財務數據'!$B$5:$B$5,0))/INDEX('Financials 財務數據'!$C$5:$C$5,MATCH("Total Assets",'Financials 財務數據'!$B$5:$B$5,0)))</f>
        <v>n/a</v>
      </c>
      <c r="C10" s="13" t="str">
        <f>IF(ISERROR(INDEX('Financials 財務數據'!$D$5:$D$5,MATCH("Intangible Assets",'Financials 財務數據'!$B$5:$B$5,0))/INDEX('Financials 財務數據'!$D$5:$D$5,MATCH("Total Assets",'Financials 財務數據'!$B$5:$B$5,0))),"n/a",INDEX('Financials 財務數據'!$D$5:$D$5,MATCH("Intangible Assets",'Financials 財務數據'!$B$5:$B$5,0))/INDEX('Financials 財務數據'!$D$5:$D$5,MATCH("Total Assets",'Financials 財務數據'!$B$5:$B$5,0)))</f>
        <v>n/a</v>
      </c>
      <c r="D10" s="2" t="inlineStr">
        <is>
          <t>無形資產佔比</t>
        </is>
      </c>
    </row>
    <row r="11">
      <c r="A11" s="4" t="inlineStr">
        <is>
          <t>ROE 股本回報率</t>
        </is>
      </c>
      <c r="B11" s="13" t="str">
        <f>IF(ISERROR(INDEX('Financials 財務數據'!$C$5:$C$5,MATCH("Profit for the Year",'Financials 財務數據'!$B$5:$B$5,0))/INDEX('Financials 財務數據'!$C$5:$C$5,MATCH("Total Equity",'Financials 財務數據'!$B$5:$B$5,0))),"n/a",INDEX('Financials 財務數據'!$C$5:$C$5,MATCH("Profit for the Year",'Financials 財務數據'!$B$5:$B$5,0))/INDEX('Financials 財務數據'!$C$5:$C$5,MATCH("Total Equity",'Financials 財務數據'!$B$5:$B$5,0)))</f>
        <v>n/a</v>
      </c>
      <c r="C11" s="13" t="str">
        <f>IF(ISERROR(INDEX('Financials 財務數據'!$D$5:$D$5,MATCH("Profit for the Year",'Financials 財務數據'!$B$5:$B$5,0))/INDEX('Financials 財務數據'!$D$5:$D$5,MATCH("Total Equity",'Financials 財務數據'!$B$5:$B$5,0))),"n/a",INDEX('Financials 財務數據'!$D$5:$D$5,MATCH("Profit for the Year",'Financials 財務數據'!$B$5:$B$5,0))/INDEX('Financials 財務數據'!$D$5:$D$5,MATCH("Total Equity",'Financials 財務數據'!$B$5:$B$5,0)))</f>
        <v>n/a</v>
      </c>
      <c r="D11" s="2" t="inlineStr">
        <is>
          <t>年內溢利 ÷ 總權益</t>
        </is>
      </c>
    </row>
    <row r="13">
      <c r="A13" s="2" t="inlineStr">
        <is>
          <t>顯示 "n/a" 表示該科目未在文件中成功擷取,需人手補入。</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94"/>
  <sheetViews>
    <sheetView workbookViewId="0">
      <pane ySplit="3" topLeftCell="A4" activePane="bottomLeft" state="frozen"/>
      <selection pane="bottomLeft" activeCell="A1" sqref="A1"/>
    </sheetView>
  </sheetViews>
  <sheetFormatPr baseColWidth="8" defaultRowHeight="15"/>
  <cols>
    <col width="28" customWidth="1" min="1" max="1"/>
    <col width="20" customWidth="1" min="2" max="2"/>
    <col width="10" customWidth="1" min="3" max="3"/>
    <col width="20" customWidth="1" min="4" max="4"/>
    <col width="20" customWidth="1" min="5" max="5"/>
    <col width="100" customWidth="1" min="6" max="6"/>
  </cols>
  <sheetData>
    <row r="1">
      <c r="A1" s="1" t="inlineStr">
        <is>
          <t>主題式段落擷取 — 供估值師快速定位原文</t>
        </is>
      </c>
    </row>
    <row r="3">
      <c r="A3" s="7" t="inlineStr">
        <is>
          <t>主題 Topic</t>
        </is>
      </c>
      <c r="B3" s="7" t="inlineStr">
        <is>
          <t>中文</t>
        </is>
      </c>
      <c r="C3" s="7" t="inlineStr">
        <is>
          <t>優先</t>
        </is>
      </c>
      <c r="D3" s="7" t="inlineStr">
        <is>
          <t>命中詞</t>
        </is>
      </c>
      <c r="E3" s="7" t="inlineStr">
        <is>
          <t>來源頁</t>
        </is>
      </c>
      <c r="F3" s="7" t="inlineStr">
        <is>
          <t>段落 Snippet</t>
        </is>
      </c>
    </row>
    <row r="4">
      <c r="A4" s="8" t="inlineStr">
        <is>
          <t>Fair Value Measurement</t>
        </is>
      </c>
      <c r="B4" s="8" t="inlineStr">
        <is>
          <t>公允價值計量</t>
        </is>
      </c>
      <c r="C4" s="15" t="inlineStr">
        <is>
          <t>high</t>
        </is>
      </c>
      <c r="D4" s="11" t="inlineStr">
        <is>
          <t>independent valuer</t>
        </is>
      </c>
      <c r="E4" s="11" t="inlineStr">
        <is>
          <t>PDF p.91 (印刷頁 90)</t>
        </is>
      </c>
      <c r="F4" s="11" t="inlineStr">
        <is>
          <t>, which are deemed to be contributions from the relevant employees. The calculation of defined benefit obligation is performed by an independent valuer engaged by the Group using the projected unit credit method. Remeasurements arising from defined benefit plans, which comprise actuarial gains and losses are recognised immediately in other comprehensive income. Net interest expense for the period is determined by applying the discount rate used to measure the defined benefit obligation at the beginning of the reporting period t</t>
        </is>
      </c>
    </row>
    <row r="5">
      <c r="A5" s="8" t="inlineStr">
        <is>
          <t>Fair Value Measurement</t>
        </is>
      </c>
      <c r="B5" s="8" t="inlineStr">
        <is>
          <t>公允價值計量</t>
        </is>
      </c>
      <c r="C5" s="15" t="inlineStr">
        <is>
          <t>high</t>
        </is>
      </c>
      <c r="D5" s="11" t="inlineStr">
        <is>
          <t>level 3</t>
        </is>
      </c>
      <c r="E5" s="11" t="inlineStr">
        <is>
          <t>PDF p.119 (印刷頁 118)</t>
        </is>
      </c>
      <c r="F5" s="11" t="inlineStr">
        <is>
          <t>n InVinity and HK$16 as investment for a 1.79% equity interest in OXO YW Limited. The fair value of unlisted equity investments is a Level 3 recurring fair value measurement. The details of assessment are set out in note 39. HK$12,544,000 fair value gain has been recognised under “other income and expenses, net” in the consolidated statement of comprehensive income for the year ended 31 March 2026 (2025: loss HK$3,738,000). 17. FINANCE LEASE RECEIVABLES The Group provides financial leasing service of energy saving products. The</t>
        </is>
      </c>
    </row>
    <row r="6">
      <c r="A6" s="8" t="inlineStr">
        <is>
          <t>Fair Value Measurement</t>
        </is>
      </c>
      <c r="B6" s="8" t="inlineStr">
        <is>
          <t>公允價值計量</t>
        </is>
      </c>
      <c r="C6" s="15" t="inlineStr">
        <is>
          <t>high</t>
        </is>
      </c>
      <c r="D6" s="11" t="inlineStr">
        <is>
          <t>level 3</t>
        </is>
      </c>
      <c r="E6" s="11" t="inlineStr">
        <is>
          <t>PDF p.132 (印刷頁 131)</t>
        </is>
      </c>
      <c r="F6" s="11" t="inlineStr">
        <is>
          <t>sue date of the Bonds was approximately US$19,698,000 (equivalent to approximately HK$152,659,000). The fair value of the Bonds is a level 3 recurring fair value measurement and is determined using valuation model for which involved unobservable inputs. The day-one loss of approximately HK$75,159,000, which represented the difference between the nominal value and the fair value of the Bonds at the issue date, is not recognised in profit or loss immediately but is deferred. The deferred day-one loss will be amortised over the te</t>
        </is>
      </c>
    </row>
    <row r="7">
      <c r="A7" s="8" t="inlineStr">
        <is>
          <t>Fair Value Measurement</t>
        </is>
      </c>
      <c r="B7" s="8" t="inlineStr">
        <is>
          <t>公允價值計量</t>
        </is>
      </c>
      <c r="C7" s="15" t="inlineStr">
        <is>
          <t>high</t>
        </is>
      </c>
      <c r="D7" s="11" t="inlineStr">
        <is>
          <t>fair value hierarchy</t>
        </is>
      </c>
      <c r="E7" s="11" t="inlineStr">
        <is>
          <t>PDF p.162 (印刷頁 161)</t>
        </is>
      </c>
      <c r="F7" s="11" t="inlineStr">
        <is>
          <t>evel 3: Inputs for the asset or liability that are not based on observable market data (unobservable inputs). Disclosure of level in fair value hierarchy at 31 March: 2026 Description Fair value measurements using: Level 1 Level 2 Level 3 Total Recurring fair value measurements: HK$’000 HK$’000 HK$’000 HK$’000 Equity investment at FVTPL Unlisted equity investment – – 18,238 18,238 2025 Description Fair value measurements using: Level 1 Level 2 Level 3 Total Recurring fair value measurements: HK$’000 HK$’000 HK$’000 HK$’000 Equi</t>
        </is>
      </c>
    </row>
    <row r="8">
      <c r="A8" s="8" t="inlineStr">
        <is>
          <t>Fair Value Measurement</t>
        </is>
      </c>
      <c r="B8" s="8" t="inlineStr">
        <is>
          <t>公允價值計量</t>
        </is>
      </c>
      <c r="C8" s="15" t="inlineStr">
        <is>
          <t>high</t>
        </is>
      </c>
      <c r="D8" s="11" t="inlineStr">
        <is>
          <t>level 3</t>
        </is>
      </c>
      <c r="E8" s="11" t="inlineStr">
        <is>
          <t>PDF p.163 (印刷頁 162)</t>
        </is>
      </c>
      <c r="F8" s="11" t="inlineStr">
        <is>
          <t>FINANCIAL RISK MANAGEMENT AND FAIR VALUES OF FINANCIAL INSTRUMENTS (Continued) Fair value measurement (Continued) Information about level 3 fair value measurements The fair value of the unlisted equity investment in InVinity and OXO YW Ltd is estimated using asset-based method. Reconciliation for financial instruments carried at fair value based on significant unobservable inputs (Level 3) are as follows: Unlisted equity investment 2026 2025 HK$’000 HK$’000 At beginning of the year 7,042 10,800 Fair value adjustment 12,544 (3,</t>
        </is>
      </c>
    </row>
    <row r="9">
      <c r="A9" s="8" t="inlineStr">
        <is>
          <t>Impairment Testing</t>
        </is>
      </c>
      <c r="B9" s="8" t="inlineStr">
        <is>
          <t>減值測試</t>
        </is>
      </c>
      <c r="C9" s="15" t="inlineStr">
        <is>
          <t>high</t>
        </is>
      </c>
      <c r="D9" s="11" t="inlineStr">
        <is>
          <t>impairment loss</t>
        </is>
      </c>
      <c r="E9" s="11" t="inlineStr">
        <is>
          <t>PDF p.8 (印刷頁 7)</t>
        </is>
      </c>
      <c r="F9" s="11" t="inlineStr">
        <is>
          <t>oximately HK$15.4 million for the year ended 31 offset by approximately HK$28.3 million charge from the March 2026. derecognition of impairment loss provisions. Share of results of associates This increase was primarily driven by expanded financing activities and higher debt service obligations, The Group’s share of results of associates for the year comprising the following movements: (i) an increase in ended 31 March 2026 was a loss of approximately HK$0.3 million, which decreased from a loss of approximately interest on bank</t>
        </is>
      </c>
    </row>
    <row r="10">
      <c r="A10" s="8" t="inlineStr">
        <is>
          <t>Impairment Testing</t>
        </is>
      </c>
      <c r="B10" s="8" t="inlineStr">
        <is>
          <t>減值測試</t>
        </is>
      </c>
      <c r="C10" s="15" t="inlineStr">
        <is>
          <t>high</t>
        </is>
      </c>
      <c r="D10" s="11" t="inlineStr">
        <is>
          <t>impairment loss</t>
        </is>
      </c>
      <c r="E10" s="11" t="inlineStr">
        <is>
          <t>PDF p.72 (印刷頁 71)</t>
        </is>
      </c>
      <c r="F10" s="11" t="inlineStr">
        <is>
          <t>se termination 1,723 (2) Gain on modifications of financial assets – (39,253) Bad debts written off – 67 (Reversal of)/provision for impairment loss of financial assets 673 14,366 Amortisation of deferred day-one loss – 1,540 Change in fair value through profit or loss in relation to convertible bonds – (696) Share of results of associates 253 3,982 Provision/(reversal of) for warranty, net 15 (348) Write-off of inventories – 21 Write-off of other receivables – 1,155 Write-off of other payables (24) (1,101) Operating cash flows</t>
        </is>
      </c>
    </row>
    <row r="11">
      <c r="A11" s="8" t="inlineStr">
        <is>
          <t>Impairment Testing</t>
        </is>
      </c>
      <c r="B11" s="8" t="inlineStr">
        <is>
          <t>減值測試</t>
        </is>
      </c>
      <c r="C11" s="15" t="inlineStr">
        <is>
          <t>high</t>
        </is>
      </c>
      <c r="D11" s="11" t="inlineStr">
        <is>
          <t>impairment loss</t>
        </is>
      </c>
      <c r="E11" s="11" t="inlineStr">
        <is>
          <t>PDF p.77 (印刷頁 76)</t>
        </is>
      </c>
      <c r="F11" s="11" t="inlineStr">
        <is>
          <t>to the owners of the Company. In the Company's statement of financial position, an investment in a subsidiary is stated at cost less impairment losses (see note 3(t)).</t>
        </is>
      </c>
    </row>
    <row r="12">
      <c r="A12" s="8" t="inlineStr">
        <is>
          <t>Impairment Testing</t>
        </is>
      </c>
      <c r="B12" s="8" t="inlineStr">
        <is>
          <t>減值測試</t>
        </is>
      </c>
      <c r="C12" s="15" t="inlineStr">
        <is>
          <t>high</t>
        </is>
      </c>
      <c r="D12" s="11" t="inlineStr">
        <is>
          <t>impairment loss</t>
        </is>
      </c>
      <c r="E12" s="11" t="inlineStr">
        <is>
          <t>PDF p.80 (印刷頁 79)</t>
        </is>
      </c>
      <c r="F12" s="11" t="inlineStr">
        <is>
          <t>has been impaired, the carrying amount of the investment is tested for impairment in the same way as other non-financial assets. Any impairment loss recognised is not allocated to any asset, including goodwill, that forms part of the carrying amount of the investment. (d) Property, plant and equipment Property, plant and equipment are stated at cost less accumulated depreciation and accumulated impairment losses, if any. Depreciation on property, plant and equipment is provided over their estimated useful lives, using the strai</t>
        </is>
      </c>
    </row>
    <row r="13">
      <c r="A13" s="8" t="inlineStr">
        <is>
          <t>Impairment Testing</t>
        </is>
      </c>
      <c r="B13" s="8" t="inlineStr">
        <is>
          <t>減值測試</t>
        </is>
      </c>
      <c r="C13" s="15" t="inlineStr">
        <is>
          <t>high</t>
        </is>
      </c>
      <c r="D13" s="11" t="inlineStr">
        <is>
          <t>recoverable amount</t>
        </is>
      </c>
      <c r="E13" s="11" t="inlineStr">
        <is>
          <t>PDF p.81 (印刷頁 80)</t>
        </is>
      </c>
      <c r="F13" s="11" t="inlineStr">
        <is>
          <t>. MATERIAL ACCOUNTING POLICIES (Continued) (d) Property, plant and equipment (Continued) An asset is written down immediately to its recoverable amount if its carrying amount is higher than the asset's estimated recoverable amount. The gain or loss arising on retirement or disposal is determined as the difference between the sales proceeds and the carrying amount of the asset and is recognised in profit or loss upon disposal. (e) Leasing The Group as lessor When the Group acts as a lessor, it determines at lease inception wheth</t>
        </is>
      </c>
    </row>
    <row r="14">
      <c r="A14" s="8" t="inlineStr">
        <is>
          <t>Impairment Testing</t>
        </is>
      </c>
      <c r="B14" s="8" t="inlineStr">
        <is>
          <t>減值測試</t>
        </is>
      </c>
      <c r="C14" s="15" t="inlineStr">
        <is>
          <t>high</t>
        </is>
      </c>
      <c r="D14" s="11" t="inlineStr">
        <is>
          <t>impairment loss</t>
        </is>
      </c>
      <c r="E14" s="11" t="inlineStr">
        <is>
          <t>PDF p.82 (印刷頁 81)</t>
        </is>
      </c>
      <c r="F14" s="11" t="inlineStr">
        <is>
          <t>ng a cost model. Under the cost model, the Group measures the right-to-use assets at cost, less any accumulated depreciation and any impairment losses, and adjusted for any remeasurement of lease liability. Right-of-use assets are depreciated on a straight-line basis over the lease terms. Refundable rental deposits paid are accounted under HKFRS 9 and initially measured at fair value. Adjustments to fair value at initial recognition are considered as additional lease payments and included in the cost of right-of-use assets. The</t>
        </is>
      </c>
    </row>
    <row r="15">
      <c r="A15" s="8" t="inlineStr">
        <is>
          <t>Impairment Testing</t>
        </is>
      </c>
      <c r="B15" s="8" t="inlineStr">
        <is>
          <t>減值測試</t>
        </is>
      </c>
      <c r="C15" s="15" t="inlineStr">
        <is>
          <t>high</t>
        </is>
      </c>
      <c r="D15" s="11" t="inlineStr">
        <is>
          <t>impairment loss</t>
        </is>
      </c>
      <c r="E15" s="11" t="inlineStr">
        <is>
          <t>PDF p.92 (印刷頁 91)</t>
        </is>
      </c>
      <c r="F15" s="11" t="inlineStr">
        <is>
          <t>terests in associates and investment in a subsidiary to determine whether there is any indication that those assets have suffered an impairment loss or an impairment loss previously recognised no longer exists or may have decreased. If the recoverable amount (i.e. the greater of the fair value less costs of disposal and value-in-use) of an asset is estimated to be less than its carrying amount, the carrying amount of the asset is reduced to its recoverable amount. An impairment loss is recognised as an expense immediately. Valu</t>
        </is>
      </c>
    </row>
    <row r="16">
      <c r="A16" s="8" t="inlineStr">
        <is>
          <t>Impairment Testing</t>
        </is>
      </c>
      <c r="B16" s="8" t="inlineStr">
        <is>
          <t>減值測試</t>
        </is>
      </c>
      <c r="C16" s="15" t="inlineStr">
        <is>
          <t>high</t>
        </is>
      </c>
      <c r="D16" s="11" t="inlineStr">
        <is>
          <t>recoverable amount</t>
        </is>
      </c>
      <c r="E16" s="11" t="inlineStr">
        <is>
          <t>PDF p.97 (印刷頁 96)</t>
        </is>
      </c>
      <c r="F16" s="11" t="inlineStr">
        <is>
          <t>date whether there is an indication that an asset may be impaired. If any such indication exists, the Group makes an estimate of the recoverable amount of the asset. This requires an estimation of the value-in-use of the cash-generating unit to which the asset is allocated. Estimating the value-in-use requires the Group to make an estimate of the expected future cash flows from the cash-generating unit and also to choose a suitable discount rate in order to calculate the present value of those cash flows. A change in the estima</t>
        </is>
      </c>
    </row>
    <row r="17">
      <c r="A17" s="8" t="inlineStr">
        <is>
          <t>Impairment Testing</t>
        </is>
      </c>
      <c r="B17" s="8" t="inlineStr">
        <is>
          <t>減值測試</t>
        </is>
      </c>
      <c r="C17" s="15" t="inlineStr">
        <is>
          <t>high</t>
        </is>
      </c>
      <c r="D17" s="11" t="inlineStr">
        <is>
          <t>impairment loss</t>
        </is>
      </c>
      <c r="E17" s="11" t="inlineStr">
        <is>
          <t>PDF p.99 (印刷頁 98)</t>
        </is>
      </c>
      <c r="F17" s="11" t="inlineStr">
        <is>
          <t>52,528 19,422 – 118,692 Reportable segment profit 27,587 12,951 20,404 (1) 60,941 Depreciation – – – – – Provision for/(reversal of) impairment loss of financial assets, net (2,004) (69) 1,401 (1) (673) Finance cost (6,077) (71) – – (6,148) As at 31 March 2026 Reportable segment assets 183,442 225,134 80,712 7 489,295 Reportable segment liabilities 99,571 43,754 17 9 143,351 Licensing Provision Trading of fees for of energy energy energy EPCC saving saving saving of solar systems products products PV systems Total HK$’000 HK$’0</t>
        </is>
      </c>
    </row>
    <row r="18">
      <c r="A18" s="8" t="inlineStr">
        <is>
          <t>Impairment Testing</t>
        </is>
      </c>
      <c r="B18" s="8" t="inlineStr">
        <is>
          <t>減值測試</t>
        </is>
      </c>
      <c r="C18" s="15" t="inlineStr">
        <is>
          <t>high</t>
        </is>
      </c>
      <c r="D18" s="11" t="inlineStr">
        <is>
          <t>impairment loss</t>
        </is>
      </c>
      <c r="E18" s="11" t="inlineStr">
        <is>
          <t>PDF p.106 (印刷頁 105)</t>
        </is>
      </c>
      <c r="F18" s="11" t="inlineStr">
        <is>
          <t>ledged deposits 101 118 – from other receivables 333 396 – from restructured trade receivables 16,231 941 16,665 1,455 Provision for impairment loss of financial assets, net (673) (14,366) Bad debt written off – (67) Amortisation of deferred day-one loss – (1,540) Change in FVTPL in relation to convertible bonds – 696 Government grants – 750 Gain on deregistration of the shares in equity investment 11,032 – Fair value gain/(loss) on equity investment at FVTPL 12,544 (3,738) Write-off of other receivables – (1,155) Write-off of</t>
        </is>
      </c>
    </row>
    <row r="19">
      <c r="A19" s="8" t="inlineStr">
        <is>
          <t>Impairment Testing</t>
        </is>
      </c>
      <c r="B19" s="8" t="inlineStr">
        <is>
          <t>減值測試</t>
        </is>
      </c>
      <c r="C19" s="15" t="inlineStr">
        <is>
          <t>high</t>
        </is>
      </c>
      <c r="D19" s="11" t="inlineStr">
        <is>
          <t>impairment loss</t>
        </is>
      </c>
      <c r="E19" s="11" t="inlineStr">
        <is>
          <t>PDF p.107 (印刷頁 106)</t>
        </is>
      </c>
      <c r="F19" s="11" t="inlineStr">
        <is>
          <t>s to defined contribution retirement plan 1,856 1,426 44,004 42,329 Provision/(reversal of) for warranty, net 15 (348) Provision for impairment loss of financial assets, net 673 14,366 Gain on disposal of property, plant and equipment – (2) Write-off of other receivables – 1,155 Write-off of other payables (24) (1,101) Gain on deregistration of the shares in equity investment (11,032) – Fair value (gain)/loss on equity investment at FVTPL (12,544) 3,738 Net foreign exchange (gain)/losses (2,243) 2,473 Gain on modifications of f</t>
        </is>
      </c>
    </row>
    <row r="20">
      <c r="A20" s="8" t="inlineStr">
        <is>
          <t>Impairment Testing</t>
        </is>
      </c>
      <c r="B20" s="8" t="inlineStr">
        <is>
          <t>減值測試</t>
        </is>
      </c>
      <c r="C20" s="15" t="inlineStr">
        <is>
          <t>high</t>
        </is>
      </c>
      <c r="D20" s="11" t="inlineStr">
        <is>
          <t>impairment loss</t>
        </is>
      </c>
      <c r="E20" s="11" t="inlineStr">
        <is>
          <t>PDF p.114 (印刷頁 113)</t>
        </is>
      </c>
      <c r="F20" s="11" t="inlineStr">
        <is>
          <t>sal and value in use. The carrying amount of the relevant assets does not exceed the recoverable amount based on value in use and no impairment loss on property, plant and equipment has been recognised for the years ended 31 March 2026 and 2025.</t>
        </is>
      </c>
    </row>
    <row r="21">
      <c r="A21" s="8" t="inlineStr">
        <is>
          <t>Impairment Testing</t>
        </is>
      </c>
      <c r="B21" s="8" t="inlineStr">
        <is>
          <t>減值測試</t>
        </is>
      </c>
      <c r="C21" s="15" t="inlineStr">
        <is>
          <t>high</t>
        </is>
      </c>
      <c r="D21" s="11" t="inlineStr">
        <is>
          <t>impairment loss</t>
        </is>
      </c>
      <c r="E21" s="11" t="inlineStr">
        <is>
          <t>PDF p.119 (印刷頁 118)</t>
        </is>
      </c>
      <c r="F21" s="11" t="inlineStr">
        <is>
          <t>d finance lease income (58,132) (55,952) Present value of minimum lease payments 147,501 118,741 147,501 118,741 Less: Provision for impairment loss (4,990) (2,597) (4,990) (2,597) 142,511 116,144 142,511 116,144 Classified as: – Non-current assets 129,207 106,575 – Current assets 13,304 9,569 142,511 116,144 The effective interest rates of the Group’s finance leases are ranging from 6% to 12% per annum (2025: 6% - 12% per annum). There are no unguaranteed residual values of assets under finance leases. Finance lease receivable</t>
        </is>
      </c>
    </row>
    <row r="22">
      <c r="A22" s="8" t="inlineStr">
        <is>
          <t>Impairment Testing</t>
        </is>
      </c>
      <c r="B22" s="8" t="inlineStr">
        <is>
          <t>減值測試</t>
        </is>
      </c>
      <c r="C22" s="15" t="inlineStr">
        <is>
          <t>high</t>
        </is>
      </c>
      <c r="D22" s="11" t="inlineStr">
        <is>
          <t>impairment loss</t>
        </is>
      </c>
      <c r="E22" s="11" t="inlineStr">
        <is>
          <t>PDF p.120 (印刷頁 119)</t>
        </is>
      </c>
      <c r="F22" s="11" t="inlineStr">
        <is>
          <t>in transit 516 – 12,453 12,658 19. TRADE RECEIVABLES 2026 2025 HK$’000 HK$’000 Trade receivables 379,580 411,283 Less: Provision for impairment loss (64,032) (124,225) Trade receivables, net 315,548 287,058 Classified as: – Non-current assets (Note) 28,928 10,358 – Current assets (Note) 286,620 276,700 315,548 287,058 Notes: For the year ended 31 March 2026 and 2025 The Group has offered settlement term to a customer attributed to the segment of trading of energy saving products, interest-bearing of 5% per annum with settlement</t>
        </is>
      </c>
    </row>
    <row r="23">
      <c r="A23" s="8" t="inlineStr">
        <is>
          <t>Impairment Testing</t>
        </is>
      </c>
      <c r="B23" s="8" t="inlineStr">
        <is>
          <t>減值測試</t>
        </is>
      </c>
      <c r="C23" s="15" t="inlineStr">
        <is>
          <t>high</t>
        </is>
      </c>
      <c r="D23" s="11" t="inlineStr">
        <is>
          <t>impairment loss</t>
        </is>
      </c>
      <c r="E23" s="11" t="inlineStr">
        <is>
          <t>PDF p.121 (印刷頁 120)</t>
        </is>
      </c>
      <c r="F23" s="11" t="inlineStr">
        <is>
          <t>estructuring, the difference of approximately HK$15,937,000 between the carrying amounts of the respective trade receivables (net of impairment loss) and the fair values of the financial assets was recognised in profit or loss. As at 31 March 2026, the carrying amounts of the restructured trade receivables were approximately HK$280,265,000, which were unsecured, carried imputed interest rate at 10.98%-18.47% per annum. The following table provides information about trade receivables from contracts with customers and other sourc</t>
        </is>
      </c>
    </row>
    <row r="24">
      <c r="A24" s="8" t="inlineStr">
        <is>
          <t>Impairment Testing</t>
        </is>
      </c>
      <c r="B24" s="8" t="inlineStr">
        <is>
          <t>減值測試</t>
        </is>
      </c>
      <c r="C24" s="15" t="inlineStr">
        <is>
          <t>high</t>
        </is>
      </c>
      <c r="D24" s="11" t="inlineStr">
        <is>
          <t>recoverable amount</t>
        </is>
      </c>
      <c r="E24" s="11" t="inlineStr">
        <is>
          <t>PDF p.156 (印刷頁 155)</t>
        </is>
      </c>
      <c r="F24" s="11" t="inlineStr">
        <is>
          <t>Group monitors and controls the trade receivables regularly to mitigate the risk of significant exposure from bad debts, reviews the recoverable amount of each individual trade receivables at each reporting date to ensure that adequate impairment losses are made for irrecoverable amounts. Normally, the Group does not obtain collateral from customers. Significant concentrations of credit risk primarily arise when the Group has significant exposure to individual customers. At the end of the reporting period, 22.35% (2024: 22.00%)</t>
        </is>
      </c>
    </row>
    <row r="25">
      <c r="A25" s="8" t="inlineStr">
        <is>
          <t>Impairment Testing</t>
        </is>
      </c>
      <c r="B25" s="8" t="inlineStr">
        <is>
          <t>減值測試</t>
        </is>
      </c>
      <c r="C25" s="15" t="inlineStr">
        <is>
          <t>high</t>
        </is>
      </c>
      <c r="D25" s="11" t="inlineStr">
        <is>
          <t>impairment loss</t>
        </is>
      </c>
      <c r="E25" s="11" t="inlineStr">
        <is>
          <t>PDF p.159 (印刷頁 158)</t>
        </is>
      </c>
      <c r="F25" s="11" t="inlineStr">
        <is>
          <t>eceivables, the management assessed that amounts due from an individual of HK$1,066,000 (2024: HK$1,066,000) are credit impaired and impairment loss of HK$1,066,000 (2024: HK$1,066,000) is fully provided as at 31 March 2025. The credit risk for bank balances is mitigated as cash is deposited in bank of high credit rating. There has been no recent history of default in relation to these banks and thus the risk of default is regard as low. No significant changes to estimation techniques or assumptions were made during the year. M</t>
        </is>
      </c>
    </row>
    <row r="26">
      <c r="A26" s="8" t="inlineStr">
        <is>
          <t>Impairment Testing</t>
        </is>
      </c>
      <c r="B26" s="8" t="inlineStr">
        <is>
          <t>減值測試</t>
        </is>
      </c>
      <c r="C26" s="15" t="inlineStr">
        <is>
          <t>high</t>
        </is>
      </c>
      <c r="D26" s="11" t="inlineStr">
        <is>
          <t>impairment loss</t>
        </is>
      </c>
      <c r="E26" s="11" t="inlineStr">
        <is>
          <t>PDF p.160 (印刷頁 159)</t>
        </is>
      </c>
      <c r="F26" s="11" t="inlineStr">
        <is>
          <t>the year is as follows: Lifetime ECL (not credit-impaired) 2026 2025 HK$’000 HK$’000 Balance at the beginning of the year 2,597 730 Impairment losses reversed (620) (268) Impairment losses recognised 2,679 2,067 Exchange realignment 334 68 Balance at the end of the year 4,990 2,597 A reduction in loss allowance account in respect of trade receivables mainly was driven by the Debt Restructuring (note 19(b)). Conversely, the loss allowance for finance lease receivables increased due to additional new projects deployment in Malay</t>
        </is>
      </c>
    </row>
    <row r="27">
      <c r="A27" s="8" t="inlineStr">
        <is>
          <t>Intangible Assets &amp; Goodwill</t>
        </is>
      </c>
      <c r="B27" s="8" t="inlineStr">
        <is>
          <t>無形資產及商譽</t>
        </is>
      </c>
      <c r="C27" s="15" t="inlineStr">
        <is>
          <t>high</t>
        </is>
      </c>
      <c r="D27" s="11" t="inlineStr">
        <is>
          <t>amortization</t>
        </is>
      </c>
      <c r="E27" s="11" t="inlineStr">
        <is>
          <t>PDF p.7 (印刷頁 6)</t>
        </is>
      </c>
      <c r="F27" s="11" t="inlineStr">
        <is>
          <t>capability. measured at fair value through profit or loss (“FVTPL”) of approximately HK$3.7 million; and (iii) a fair value loss and amortization of deferred day-one loss in relation to The decrease was primarily driven by the net effect of: convertible bonds totaling approximately HK$2.2 million; (i) a reduction in advertising and promotion expenses to (iv) which was partially offset by interest income of approximately HK$1.1 million for the year ended 31 March approximately HK$1.5 million, primarily derived from the 2026 (202</t>
        </is>
      </c>
    </row>
    <row r="28">
      <c r="A28" s="8" t="inlineStr">
        <is>
          <t>Intangible Assets &amp; Goodwill</t>
        </is>
      </c>
      <c r="B28" s="8" t="inlineStr">
        <is>
          <t>無形資產及商譽</t>
        </is>
      </c>
      <c r="C28" s="15" t="inlineStr">
        <is>
          <t>high</t>
        </is>
      </c>
      <c r="D28" s="11" t="inlineStr">
        <is>
          <t>amortisation</t>
        </is>
      </c>
      <c r="E28" s="11" t="inlineStr">
        <is>
          <t>PDF p.9 (印刷頁 8)</t>
        </is>
      </c>
      <c r="F28" s="11" t="inlineStr">
        <is>
          <t>ear ended 31 March 2026 2025 HK$’000 HK$’000 Profit before income tax 82,318 38,841 Add back/(less) other major extraordinary items: Amortisation of deferred day-one loss (note (a)) – 1,540 Change in fair value through profit or loss in relation to convertible bonds (note (a)) – (696) Gain on modifications of financial assets (note (b)) (15,937) (39,253) Gain on modification of financial liabilities (note (b)) (25,218) – Fair value (gain)/loss on equity investment at FVTPL (note (a)) (12,544) 3,738 Gain on partial deregistratio</t>
        </is>
      </c>
    </row>
    <row r="29">
      <c r="A29" s="8" t="inlineStr">
        <is>
          <t>Intangible Assets &amp; Goodwill</t>
        </is>
      </c>
      <c r="B29" s="8" t="inlineStr">
        <is>
          <t>無形資產及商譽</t>
        </is>
      </c>
      <c r="C29" s="15" t="inlineStr">
        <is>
          <t>high</t>
        </is>
      </c>
      <c r="D29" s="11" t="inlineStr">
        <is>
          <t>amortisation</t>
        </is>
      </c>
      <c r="E29" s="11" t="inlineStr">
        <is>
          <t>PDF p.72 (印刷頁 71)</t>
        </is>
      </c>
      <c r="F29" s="11" t="inlineStr">
        <is>
          <t>of financial assets – (39,253) Bad debts written off – 67 (Reversal of)/provision for impairment loss of financial assets 673 14,366 Amortisation of deferred day-one loss – 1,540 Change in fair value through profit or loss in relation to convertible bonds – (696) Share of results of associates 253 3,982 Provision/(reversal of) for warranty, net 15 (348) Write-off of inventories – 21 Write-off of other receivables – 1,155 Write-off of other payables (24) (1,101) Operating cash flows before movements in working capital 42,019 51,</t>
        </is>
      </c>
    </row>
    <row r="30">
      <c r="A30" s="8" t="inlineStr">
        <is>
          <t>Intangible Assets &amp; Goodwill</t>
        </is>
      </c>
      <c r="B30" s="8" t="inlineStr">
        <is>
          <t>無形資產及商譽</t>
        </is>
      </c>
      <c r="C30" s="15" t="inlineStr">
        <is>
          <t>high</t>
        </is>
      </c>
      <c r="D30" s="11" t="inlineStr">
        <is>
          <t>goodwill</t>
        </is>
      </c>
      <c r="E30" s="11" t="inlineStr">
        <is>
          <t>PDF p.76 (印刷頁 75)</t>
        </is>
      </c>
      <c r="F30" s="11" t="inlineStr">
        <is>
          <t>e of any investment retained in that subsidiary and (ii) the Company's share of the net assets of that subsidiary plus any remaining goodwill relating to that subsidiary and any related accumulated foreign exchange reserves.</t>
        </is>
      </c>
    </row>
    <row r="31">
      <c r="A31" s="8" t="inlineStr">
        <is>
          <t>Intangible Assets &amp; Goodwill</t>
        </is>
      </c>
      <c r="B31" s="8" t="inlineStr">
        <is>
          <t>無形資產及商譽</t>
        </is>
      </c>
      <c r="C31" s="15" t="inlineStr">
        <is>
          <t>high</t>
        </is>
      </c>
      <c r="D31" s="11" t="inlineStr">
        <is>
          <t>goodwill</t>
        </is>
      </c>
      <c r="E31" s="11" t="inlineStr">
        <is>
          <t>PDF p.79 (印刷頁 78)</t>
        </is>
      </c>
      <c r="F31" s="11" t="inlineStr">
        <is>
          <t>such exchange differences are recognised in consolidated statement of comprehensive income as part of the gain or loss on disposal. Goodwill and fair value adjustments arising on the acquisition of a foreign entity are treated as assets and liabilities of the foreign entity and translated at the closing rate. (c) Associates An associate is an entity over which the Group has significant influence and that is neither a subsidiary nor a joint arrangement. Significant influence is the power to participate in the financial and oper</t>
        </is>
      </c>
    </row>
    <row r="32">
      <c r="A32" s="8" t="inlineStr">
        <is>
          <t>Intangible Assets &amp; Goodwill</t>
        </is>
      </c>
      <c r="B32" s="8" t="inlineStr">
        <is>
          <t>無形資產及商譽</t>
        </is>
      </c>
      <c r="C32" s="15" t="inlineStr">
        <is>
          <t>high</t>
        </is>
      </c>
      <c r="D32" s="11" t="inlineStr">
        <is>
          <t>goodwill</t>
        </is>
      </c>
      <c r="E32" s="11" t="inlineStr">
        <is>
          <t>PDF p.80 (印刷頁 79)</t>
        </is>
      </c>
      <c r="F32" s="11" t="inlineStr">
        <is>
          <t>or impairment in the same way as other non-financial assets. Any impairment loss recognised is not allocated to any asset, including goodwill, that forms part of the carrying amount of the investment. (d) Property, plant and equipment Property, plant and equipment are stated at cost less accumulated depreciation and accumulated impairment losses, if any. Depreciation on property, plant and equipment is provided over their estimated useful lives, using the straight line method. The assets' residual values, useful lives and depre</t>
        </is>
      </c>
    </row>
    <row r="33">
      <c r="A33" s="8" t="inlineStr">
        <is>
          <t>Intangible Assets &amp; Goodwill</t>
        </is>
      </c>
      <c r="B33" s="8" t="inlineStr">
        <is>
          <t>無形資產及商譽</t>
        </is>
      </c>
      <c r="C33" s="15" t="inlineStr">
        <is>
          <t>high</t>
        </is>
      </c>
      <c r="D33" s="11" t="inlineStr">
        <is>
          <t>goodwill</t>
        </is>
      </c>
      <c r="E33" s="11" t="inlineStr">
        <is>
          <t>PDF p.88 (印刷頁 87)</t>
        </is>
      </c>
      <c r="F33" s="11" t="inlineStr">
        <is>
          <t>probable that they will not reverse in the foreseeable future; – taxable temporary differences arising on the initial recognition of goodwill; and – those related to the income taxes arising from tax laws enacted or substantively enacted to implement the Pillar Two model rules published by the Organisation for Economic Co-operation and Development. The Group recognised deferred tax assets and deferred tax liabilities separately in relation to its lease liabilities and right-of-use assets. Deferred tax assets are recognised for</t>
        </is>
      </c>
    </row>
    <row r="34">
      <c r="A34" s="8" t="inlineStr">
        <is>
          <t>Intangible Assets &amp; Goodwill</t>
        </is>
      </c>
      <c r="B34" s="8" t="inlineStr">
        <is>
          <t>無形資產及商譽</t>
        </is>
      </c>
      <c r="C34" s="15" t="inlineStr">
        <is>
          <t>high</t>
        </is>
      </c>
      <c r="D34" s="11" t="inlineStr">
        <is>
          <t>amortisation</t>
        </is>
      </c>
      <c r="E34" s="11" t="inlineStr">
        <is>
          <t>PDF p.92 (印刷頁 91)</t>
        </is>
      </c>
      <c r="F34" s="11" t="inlineStr">
        <is>
          <t>amount, to the extent that the increased carrying amount does not exceed the carrying amount that would have been determined (net of amortisation or depreciation) had no impairment loss been recognised for the asset or cash-generating unit in prior years. A reversal of an impairment loss is recognised immediately in profit or loss. (u) Provisions and contingent liabilities Provisions are recognised for liabilities of uncertain timing or amount when the Group has a legal or constructive obligation arising as a result of a past e</t>
        </is>
      </c>
    </row>
    <row r="35">
      <c r="A35" s="8" t="inlineStr">
        <is>
          <t>Intangible Assets &amp; Goodwill</t>
        </is>
      </c>
      <c r="B35" s="8" t="inlineStr">
        <is>
          <t>無形資產及商譽</t>
        </is>
      </c>
      <c r="C35" s="15" t="inlineStr">
        <is>
          <t>high</t>
        </is>
      </c>
      <c r="D35" s="11" t="inlineStr">
        <is>
          <t>amortisation</t>
        </is>
      </c>
      <c r="E35" s="11" t="inlineStr">
        <is>
          <t>PDF p.106 (印刷頁 105)</t>
        </is>
      </c>
      <c r="F35" s="11" t="inlineStr">
        <is>
          <t>eceivables 16,231 941 16,665 1,455 Provision for impairment loss of financial assets, net (673) (14,366) Bad debt written off – (67) Amortisation of deferred day-one loss – (1,540) Change in FVTPL in relation to convertible bonds – 696 Government grants – 750 Gain on deregistration of the shares in equity investment 11,032 – Fair value gain/(loss) on equity investment at FVTPL 12,544 (3,738) Write-off of other receivables – (1,155) Write-off of other payables 24 1,101 Others (2,438) (1) 37,154 (16,865) 8. FINANCE COSTS 2026 202</t>
        </is>
      </c>
    </row>
    <row r="36">
      <c r="A36" s="8" t="inlineStr">
        <is>
          <t>Intangible Assets &amp; Goodwill</t>
        </is>
      </c>
      <c r="B36" s="8" t="inlineStr">
        <is>
          <t>無形資產及商譽</t>
        </is>
      </c>
      <c r="C36" s="15" t="inlineStr">
        <is>
          <t>high</t>
        </is>
      </c>
      <c r="D36" s="11" t="inlineStr">
        <is>
          <t>goodwill</t>
        </is>
      </c>
      <c r="E36" s="11" t="inlineStr">
        <is>
          <t>PDF p.115 (印刷頁 114)</t>
        </is>
      </c>
      <c r="F36" s="11" t="inlineStr">
        <is>
          <t>STATEMENTS For the year ended 31 March 2026 15. INTERESTS IN ASSOCIATES 2026 2025 HK$’000 HK$’000 Share of net assets 16,332 17,702 Goodwill 24,594 24,594 40,926 42,296 Particulars of the associates, which are accounted for using the equity method in the consolidated financial statements as at 31 March 2026, are as follows: Issued share Percentage of equity Place and date of capital/registered interest attributable Name of companies incorporation and operation capital to the Group Principal activities Direct Indirect Shine Dig</t>
        </is>
      </c>
    </row>
    <row r="37">
      <c r="A37" s="8" t="inlineStr">
        <is>
          <t>Intangible Assets &amp; Goodwill</t>
        </is>
      </c>
      <c r="B37" s="8" t="inlineStr">
        <is>
          <t>無形資產及商譽</t>
        </is>
      </c>
      <c r="C37" s="15" t="inlineStr">
        <is>
          <t>high</t>
        </is>
      </c>
      <c r="D37" s="11" t="inlineStr">
        <is>
          <t>goodwill</t>
        </is>
      </c>
      <c r="E37" s="11" t="inlineStr">
        <is>
          <t>PDF p.118 (印刷頁 117)</t>
        </is>
      </c>
      <c r="F37" s="11" t="inlineStr">
        <is>
          <t>centage of equity interest attributable to the Group 47.5% 47.5% The Group’s share of Kedah Synergy Group’s net assets 16,284 17,672 Goodwill 24,594 24,594 Carrying amount of the Group’s interests in Kedah Synergy Group 40,878 42,266 Reconciliation to the Group’s share of results of Kedah Synergy Group: 2026 2025 HK$’000 HK$’000 Percentage of equity interest attributable to the Group 47.5% 47.5% Group’s share of loss of the associates (96) (4,004) Group’s share of other comprehensive loss of the associates (10) – Share of total</t>
        </is>
      </c>
    </row>
    <row r="38">
      <c r="A38" s="8" t="inlineStr">
        <is>
          <t>Intangible Assets &amp; Goodwill</t>
        </is>
      </c>
      <c r="B38" s="8" t="inlineStr">
        <is>
          <t>無形資產及商譽</t>
        </is>
      </c>
      <c r="C38" s="15" t="inlineStr">
        <is>
          <t>high</t>
        </is>
      </c>
      <c r="D38" s="11" t="inlineStr">
        <is>
          <t>amortisation</t>
        </is>
      </c>
      <c r="E38" s="11" t="inlineStr">
        <is>
          <t>PDF p.133 (印刷頁 132)</t>
        </is>
      </c>
      <c r="F38" s="11" t="inlineStr">
        <is>
          <t>dholders. Financial liabilities Deferred at FVTPL day-one loss Total HK$’000 HK$’000 HK$’000 At 31 March 2024 26,911 (13,988) 12,923 Amortisation of deferred day-one loss – 1,540 1,540 Conversion of convertible bonds (26,215) 12,448 (13,767) Change in fair value through profit and loss (696) – (696) At 31 March 2025, 1 April 2025 and 31 March 2026 – – – On 12 May 2026, the Company issued convertible bonds (the “2nd Batch Bonds”) in an aggregate principal amount of USD500,000 with a maturity of 24 months. The 2nd Batch Bonds sha</t>
        </is>
      </c>
    </row>
    <row r="39">
      <c r="A39" s="8" t="inlineStr">
        <is>
          <t>Intangible Assets &amp; Goodwill</t>
        </is>
      </c>
      <c r="B39" s="8" t="inlineStr">
        <is>
          <t>無形資產及商譽</t>
        </is>
      </c>
      <c r="C39" s="15" t="inlineStr">
        <is>
          <t>high</t>
        </is>
      </c>
      <c r="D39" s="11" t="inlineStr">
        <is>
          <t>amortisation</t>
        </is>
      </c>
      <c r="E39" s="11" t="inlineStr">
        <is>
          <t>PDF p.145 (印刷頁 144)</t>
        </is>
      </c>
      <c r="F39" s="11" t="inlineStr">
        <is>
          <t>Total changes from financing cash flows 68,145 (2,778) – 44 (32,752) 4,750 Non-Cash changes: Interest expenses 2,869 294 – – 3,147 – Amortisation of deferred day-one loss – – 1,540 – – – Reallocation of unpaid interest to other payables (344) – – – – – Change in FVTPL in relation to convertible bonds – – (696) – – – Issue of shares upon conversion of convertible bonds – – (13,767) – – – Addition – 5,108 – – – – Lease termination/modification – (44) – – – – Exchange realignment 876 33 – – – – Total non-cash changes 3,401 5,391 (</t>
        </is>
      </c>
    </row>
    <row r="40">
      <c r="A40" s="8" t="inlineStr">
        <is>
          <t>ESG Data</t>
        </is>
      </c>
      <c r="B40" s="8" t="inlineStr">
        <is>
          <t>環境社會及管治數據</t>
        </is>
      </c>
      <c r="C40" s="8" t="inlineStr">
        <is>
          <t>medium</t>
        </is>
      </c>
      <c r="D40" s="11" t="inlineStr">
        <is>
          <t>carbon</t>
        </is>
      </c>
      <c r="E40" s="11" t="inlineStr">
        <is>
          <t>PDF p.5 (印刷頁 4)</t>
        </is>
      </c>
      <c r="F40" s="11" t="inlineStr">
        <is>
          <t>energy cost savings over a 10-year the Group has unlocked an entirely new high-margin term and eliminating roughly 153,125 tonnes of carbon business vertical. emissions. In March 2026, the Group finalised a definitive High- Concurrently, we remain committed to enhancing our Performance Computing Services Leasing Agreement Digital ESG Vertical Farming initiatives through our with PT Multipolar Technology Tbk. Under this 3-year associate, optimizing agricultural resource efficiency agreement, the Group will provide enterprise-gra</t>
        </is>
      </c>
    </row>
    <row r="41">
      <c r="A41" s="8" t="inlineStr">
        <is>
          <t>ESG Data</t>
        </is>
      </c>
      <c r="B41" s="8" t="inlineStr">
        <is>
          <t>環境社會及管治數據</t>
        </is>
      </c>
      <c r="C41" s="8" t="inlineStr">
        <is>
          <t>medium</t>
        </is>
      </c>
      <c r="D41" s="11" t="inlineStr">
        <is>
          <t>energy consumption</t>
        </is>
      </c>
      <c r="E41" s="11" t="inlineStr">
        <is>
          <t>PDF p.6 (印刷頁 5)</t>
        </is>
      </c>
      <c r="F41" s="11" t="inlineStr">
        <is>
          <t>miniums. By replacing legacy lighting setups with energy-saving solutions, the project helps condominium management offices optimise energy consumption and significantly lower electricity costs. The Malaysia Project continues to accumulate — strong local market traction and benefits from supportive regional governance — initiatives. Initially rolled out in the Selangor State of Malaysia which presents an addressable market of approximately 8,000 condominiums the project maintains a long-term strategic target of deploying 6 mill</t>
        </is>
      </c>
    </row>
    <row r="42">
      <c r="A42" s="8" t="inlineStr">
        <is>
          <t>ESG Data</t>
        </is>
      </c>
      <c r="B42" s="8" t="inlineStr">
        <is>
          <t>環境社會及管治數據</t>
        </is>
      </c>
      <c r="C42" s="8" t="inlineStr">
        <is>
          <t>medium</t>
        </is>
      </c>
      <c r="D42" s="11" t="inlineStr">
        <is>
          <t>carbon</t>
        </is>
      </c>
      <c r="E42" s="11" t="inlineStr">
        <is>
          <t>PDF p.16 (印刷頁 15)</t>
        </is>
      </c>
      <c r="F42" s="11" t="inlineStr">
        <is>
          <t>mited | Annual Unity Group Holdings International Report 2025/2026 15 MANAGEMENT DISCUSSION AND ANALYSIS FOREIGN CURRENCY EXPOSURE Carbon Credits Accreditation The Group’s revenue and expenses are mainly in Hong Following the successful vetting by a climate adviser in Kong dollar which is the functional currency of most of the Malaysia for the Group’s energy-management contract of entities making up the Group. As it is expected that there energy-saving lighting units (“EMC business”), the Group will be a continuous increase i</t>
        </is>
      </c>
    </row>
    <row r="43">
      <c r="A43" s="8" t="inlineStr">
        <is>
          <t>ESG Data</t>
        </is>
      </c>
      <c r="B43" s="8" t="inlineStr">
        <is>
          <t>環境社會及管治數據</t>
        </is>
      </c>
      <c r="C43" s="8" t="inlineStr">
        <is>
          <t>medium</t>
        </is>
      </c>
      <c r="D43" s="11" t="inlineStr">
        <is>
          <t>carbon</t>
        </is>
      </c>
      <c r="E43" s="11" t="inlineStr">
        <is>
          <t>PDF p.17 (印刷頁 16)</t>
        </is>
      </c>
      <c r="F43" s="11" t="inlineStr">
        <is>
          <t>stricted The Group’s strategic focus remains on: Wakalah, this self-sustaining, regenerative financing system leverages the value of carbon credits generated • Delivering high-performance AI computing power directly from the proceeds raised. The Group is currently to fast-growing enterprise clients across Southeast discussing with potential investors and underwriters in Asia and the Middle East. relation to the said issue. Subject to the feedback from the potential investors and underwriters and the Group’s • Meeting the rapidl</t>
        </is>
      </c>
    </row>
    <row r="44">
      <c r="A44" s="8" t="inlineStr">
        <is>
          <t>ESG Data</t>
        </is>
      </c>
      <c r="B44" s="8" t="inlineStr">
        <is>
          <t>環境社會及管治數據</t>
        </is>
      </c>
      <c r="C44" s="8" t="inlineStr">
        <is>
          <t>medium</t>
        </is>
      </c>
      <c r="D44" s="11" t="inlineStr">
        <is>
          <t>carbon</t>
        </is>
      </c>
      <c r="E44" s="11" t="inlineStr">
        <is>
          <t>PDF p.18 (印刷頁 17)</t>
        </is>
      </c>
      <c r="F44" s="11" t="inlineStr">
        <is>
          <t>the Group signed a solar equipment procurement, and the development monumental ten-year energy performance contract of a proprietary carbon emission reduction offsetting with Mydin Mohamed Holdings Berhad (“MYDIN”). This platform. Furthermore, the Group’s ongoing exploration project will retrofit over 210,000 lighting units across of joint green data center developments reinforces the 21 nationwide malls in Malaysia, yielding an estimated Group’s commitment to bringing highly sustainable, RM138 million in energy savings. innova</t>
        </is>
      </c>
    </row>
    <row r="45">
      <c r="A45" s="8" t="inlineStr">
        <is>
          <t>ESG Data</t>
        </is>
      </c>
      <c r="B45" s="8" t="inlineStr">
        <is>
          <t>環境社會及管治數據</t>
        </is>
      </c>
      <c r="C45" s="8" t="inlineStr">
        <is>
          <t>medium</t>
        </is>
      </c>
      <c r="D45" s="11" t="inlineStr">
        <is>
          <t>energy consumption</t>
        </is>
      </c>
      <c r="E45" s="11" t="inlineStr">
        <is>
          <t>PDF p.32 (印刷頁 31)</t>
        </is>
      </c>
      <c r="F45" s="11" t="inlineStr">
        <is>
          <t>up is not energy efficiency opportunities, the Group measures and aware of any material non-compliance with the laws and records the energy consumption intensity from time to regulations that have significant impact on the business of time. the Group. The Company will publish its standalone Environmental, Permitted indemnity provision Social and Governance Report for the year ended 31 Pursuant to the Articles of Association, the Directors and March 2026 on the websites of the Stock Exchange other officers, for the time being ac</t>
        </is>
      </c>
    </row>
    <row r="46">
      <c r="A46" s="8" t="inlineStr">
        <is>
          <t>ESG Data</t>
        </is>
      </c>
      <c r="B46" s="8" t="inlineStr">
        <is>
          <t>環境社會及管治數據</t>
        </is>
      </c>
      <c r="C46" s="8" t="inlineStr">
        <is>
          <t>medium</t>
        </is>
      </c>
      <c r="D46" s="11" t="inlineStr">
        <is>
          <t>carbon</t>
        </is>
      </c>
      <c r="E46" s="11" t="inlineStr">
        <is>
          <t>PDF p.34 (印刷頁 33)</t>
        </is>
      </c>
      <c r="F46" s="11" t="inlineStr">
        <is>
          <t>en Independent non-executive Directors: technology projects, we support our customers and Mr. CHUNG Koon Yan society to achieve peak carbon dioxide emissions and carbon neutrality earlier than planned. Mr. CHEUNG Yick Hung Jackie Dr. WONG Chi Ying Anthony Mr. TANG Warren Louis</t>
        </is>
      </c>
    </row>
    <row r="47">
      <c r="A47" s="8" t="inlineStr">
        <is>
          <t>ESG Data</t>
        </is>
      </c>
      <c r="B47" s="8" t="inlineStr">
        <is>
          <t>環境社會及管治數據</t>
        </is>
      </c>
      <c r="C47" s="8" t="inlineStr">
        <is>
          <t>medium</t>
        </is>
      </c>
      <c r="D47" s="11" t="inlineStr">
        <is>
          <t>sustainability</t>
        </is>
      </c>
      <c r="E47" s="11" t="inlineStr">
        <is>
          <t>PDF p.58 (印刷頁 57)</t>
        </is>
      </c>
      <c r="F47" s="11" t="inlineStr">
        <is>
          <t>d fellow member of The Business from the University of Cambridge Institute of Hong Kong Institute of Certified Public Accountants, a Sustainability Leadership in June 2023. fellow member of The Association of Chartered Certified Accountants and a fellow member of The Institute Ms. Cai Linda Xin Xin, aged 44, has been a non-executive of Chartered Accountants in England and Wales. He Director of the Company since 31 July 2024 and a member graduated from the Hong Kong Polytechnic University of the Nomination Committee of the Compa</t>
        </is>
      </c>
    </row>
    <row r="48">
      <c r="A48" s="8" t="inlineStr">
        <is>
          <t>ESG Data</t>
        </is>
      </c>
      <c r="B48" s="8" t="inlineStr">
        <is>
          <t>環境社會及管治數據</t>
        </is>
      </c>
      <c r="C48" s="8" t="inlineStr">
        <is>
          <t>medium</t>
        </is>
      </c>
      <c r="D48" s="11" t="inlineStr">
        <is>
          <t>ESG</t>
        </is>
      </c>
      <c r="E48" s="11" t="inlineStr">
        <is>
          <t>PDF p.140 (印刷頁 139)</t>
        </is>
      </c>
      <c r="F48" s="11" t="inlineStr">
        <is>
          <t>gy ESCO (Malaysia)”) 17 April 2014 management systems solutions Unity ESCO (Malaysia) Sdn. Bhd. Malaysia RM100 – 88.04% Provision of ESG solutions Malaysia 18 February 2025 including energy saving, renewable energy and digital farming Shine Plus Group Sdn. Bhd. Malaysia RM100 - 88.04% Investment holding Malaysia 2 June 2023 Shine Box Sdn. Bhd. Malaysia RM100 - 70.43% Trading of variety of Malaysia 6 June 2023 goods through vending machine Shine Urban Digital Farming Sdn. Bhd. Malaysia RM100 - 88.04% Plantation and cultivation M</t>
        </is>
      </c>
    </row>
    <row r="49">
      <c r="A49" s="8" t="inlineStr">
        <is>
          <t>ESG Data</t>
        </is>
      </c>
      <c r="B49" s="8" t="inlineStr">
        <is>
          <t>環境社會及管治數據</t>
        </is>
      </c>
      <c r="C49" s="8" t="inlineStr">
        <is>
          <t>medium</t>
        </is>
      </c>
      <c r="D49" s="11" t="inlineStr">
        <is>
          <t>ESG</t>
        </is>
      </c>
      <c r="E49" s="11" t="inlineStr">
        <is>
          <t>PDF p.141 (印刷頁 140)</t>
        </is>
      </c>
      <c r="F49" s="11" t="inlineStr">
        <is>
          <t>rect Indirect Unity Renewables (H.K.) Limited Hong Kong HK$1,000 - 100% Investment in renewable Hong Kong 17 May 2022 projects Unity ESG Sdn. Bhd. Malaysia RM100 – 100% Provision of ESG solutions Malaysia 14 March 2024 including energy saving, renewable energy and digital farming Unity ESG (Singapore) Pte Ltd Singapore SGP100 – 100% Engineering design and Singapore 4 October 2024 consultancy services in energy management and clean energy systems Synergy Green First Malaysia Malaysia RM3,000 – 100% Provision of energy Malaysia S</t>
        </is>
      </c>
    </row>
    <row r="50">
      <c r="A50" s="8" t="inlineStr">
        <is>
          <t>R&amp;D Expenditure</t>
        </is>
      </c>
      <c r="B50" s="8" t="inlineStr">
        <is>
          <t>研發開支</t>
        </is>
      </c>
      <c r="C50" s="8" t="inlineStr">
        <is>
          <t>medium</t>
        </is>
      </c>
      <c r="D50" s="11" t="inlineStr">
        <is>
          <t>research and development</t>
        </is>
      </c>
      <c r="E50" s="11" t="inlineStr">
        <is>
          <t>PDF p.59 (印刷頁 58)</t>
        </is>
      </c>
      <c r="F50" s="11" t="inlineStr">
        <is>
          <t>tive director of Ngai Hing Hong Company Limited (stock code: 1047), a company listed on the Stock Exchange, and was in charge of its research and development centre and responsible for its business development and remained in such company as a consultant subsequent to his cessation from the positions mentioned above until 31 March 2019. Dr. Wong serves as the Market Coordinator for the Asia Pacific region at Badger Color Concentrates INC., a U.S. manufacturer specializing in the manufacture of plastic functional masterbatches.</t>
        </is>
      </c>
    </row>
    <row r="51">
      <c r="A51" s="8" t="inlineStr">
        <is>
          <t>Segment Information</t>
        </is>
      </c>
      <c r="B51" s="8" t="inlineStr">
        <is>
          <t>分部資料</t>
        </is>
      </c>
      <c r="C51" s="8" t="inlineStr">
        <is>
          <t>medium</t>
        </is>
      </c>
      <c r="D51" s="11" t="inlineStr">
        <is>
          <t>segment information</t>
        </is>
      </c>
      <c r="E51" s="11" t="inlineStr">
        <is>
          <t>PDF p.94 (印刷頁 93)</t>
        </is>
      </c>
      <c r="F51" s="11" t="inlineStr">
        <is>
          <t>31 March 2026 3. MATERIAL ACCOUNTING POLICIES (Continued) (w) Segment reporting The Group identifies operating segments and prepares segment information based on the regular internal financial information reported to the executive directors for their decisions about resources allocation to the Group's business components and for their review of the performance of those components. The business components in the internal financial information reported to the executive directors are determined following the Group's major product</t>
        </is>
      </c>
    </row>
    <row r="52">
      <c r="A52" s="8" t="inlineStr">
        <is>
          <t>Segment Information</t>
        </is>
      </c>
      <c r="B52" s="8" t="inlineStr">
        <is>
          <t>分部資料</t>
        </is>
      </c>
      <c r="C52" s="8" t="inlineStr">
        <is>
          <t>medium</t>
        </is>
      </c>
      <c r="D52" s="11" t="inlineStr">
        <is>
          <t>segment information</t>
        </is>
      </c>
      <c r="E52" s="11" t="inlineStr">
        <is>
          <t>PDF p.98 (印刷頁 97)</t>
        </is>
      </c>
      <c r="F52" s="11" t="inlineStr">
        <is>
          <t>imately HK$48,599,000) as at 31 March 2026. Further details are disclosed in note 11(b) to the consolidated financial statements. 5. SEGMENT INFORMATION The Group determines its operating segments based on the reports reviewed by the chief operating decisionmaker, i.e. executive Directors who make strategic decisions. For the purpose of resources allocation and performance assessment, financial information relating to these operations is reported internally and is regularly reviewed by the chief operating decision maker based</t>
        </is>
      </c>
    </row>
    <row r="53">
      <c r="A53" s="8" t="inlineStr">
        <is>
          <t>Segment Information</t>
        </is>
      </c>
      <c r="B53" s="8" t="inlineStr">
        <is>
          <t>分部資料</t>
        </is>
      </c>
      <c r="C53" s="8" t="inlineStr">
        <is>
          <t>medium</t>
        </is>
      </c>
      <c r="D53" s="11" t="inlineStr">
        <is>
          <t>segment information</t>
        </is>
      </c>
      <c r="E53" s="11" t="inlineStr">
        <is>
          <t>PDF p.99 (印刷頁 98)</t>
        </is>
      </c>
      <c r="F53" s="11" t="inlineStr">
        <is>
          <t>ity Group Holdings International Report 2025/2026 NOTES TO THE CONSOLIDATED FINANCIAL STATEMENTS For the year ended 31 March 2026 5. SEGMENT INFORMATION (Continued) Information about reportable segment profit or loss, assets and liabilities: Licensing Provision Trading of fees for of energy energy energy EPCC saving saving saving of solar systems products products PV systems Total HK$’000 HK$’000 HK$’000 HK$’000 HK$’000 Year ended 31 March 2026 Revenue from external customers 46,742 52,528 19,422 – 118,692 Reportable segment pr</t>
        </is>
      </c>
    </row>
    <row r="54">
      <c r="A54" s="8" t="inlineStr">
        <is>
          <t>Segment Information</t>
        </is>
      </c>
      <c r="B54" s="8" t="inlineStr">
        <is>
          <t>分部資料</t>
        </is>
      </c>
      <c r="C54" s="8" t="inlineStr">
        <is>
          <t>medium</t>
        </is>
      </c>
      <c r="D54" s="11" t="inlineStr">
        <is>
          <t>segment information</t>
        </is>
      </c>
      <c r="E54" s="11" t="inlineStr">
        <is>
          <t>PDF p.100 (印刷頁 99)</t>
        </is>
      </c>
      <c r="F54" s="11" t="inlineStr">
        <is>
          <t>Group Holdings International Report 2025/2026 99 NOTES TO THE CONSOLIDATED FINANCIAL STATEMENTS For the year ended 31 March 2026 5. SEGMENT INFORMATION (Continued) The totals presented for the Group’s operating segments reconcile to the Group’s key financial figures as presented as follows: Profit or loss 2026 2025 HK$’000 HK$’000 Reportable segment profit 60,941 82,799 Unallocated corporate income (note) 52,056 26 Unallocated corporate expenses (note) (17,614) (36,200) Unallocated depreciation (3,564) (2,939) Unallocated fina</t>
        </is>
      </c>
    </row>
    <row r="55">
      <c r="A55" s="8" t="inlineStr">
        <is>
          <t>Segment Information</t>
        </is>
      </c>
      <c r="B55" s="8" t="inlineStr">
        <is>
          <t>分部資料</t>
        </is>
      </c>
      <c r="C55" s="8" t="inlineStr">
        <is>
          <t>medium</t>
        </is>
      </c>
      <c r="D55" s="11" t="inlineStr">
        <is>
          <t>segment information</t>
        </is>
      </c>
      <c r="E55" s="11" t="inlineStr">
        <is>
          <t>PDF p.101 (印刷頁 100)</t>
        </is>
      </c>
      <c r="F55" s="11" t="inlineStr">
        <is>
          <t>ity Group Holdings International Report 2025/2026 NOTES TO THE CONSOLIDATED FINANCIAL STATEMENTS For the year ended 31 March 2026 5. SEGMENT INFORMATION (Continued) 2026 2025 HK$’000 HK$’000 Reportable segment liabilities 143,351 94,787 Borrowings 22,991 18,552 Lease liabilities 2,563 4,819 Amount due to an associate 4,750 4,750 Amount due to a related company 3,161 2,380 Amount due to a director 1,600 129 Amounts due to the scheme creditors 39,564 40,491 Other corporate liabilities (note) 98,866 206,276 Group liabilities 316,8</t>
        </is>
      </c>
    </row>
    <row r="56">
      <c r="A56" s="8" t="inlineStr">
        <is>
          <t>Segment Information</t>
        </is>
      </c>
      <c r="B56" s="8" t="inlineStr">
        <is>
          <t>分部資料</t>
        </is>
      </c>
      <c r="C56" s="8" t="inlineStr">
        <is>
          <t>medium</t>
        </is>
      </c>
      <c r="D56" s="11" t="inlineStr">
        <is>
          <t>segment information</t>
        </is>
      </c>
      <c r="E56" s="11" t="inlineStr">
        <is>
          <t>PDF p.102 (印刷頁 101)</t>
        </is>
      </c>
      <c r="F56" s="11" t="inlineStr">
        <is>
          <t>Group Holdings International Report 2025/2026 101 NOTES TO THE CONSOLIDATED FINANCIAL STATEMENTS For the year ended 31 March 2026 5. SEGMENT INFORMATION (Continued) The Group’s non-current assets are located in Hong Kong and Malaysia, which are divided into the following geographical areas (other than financial assets and deferred tax assets): Specified non-current assets 2026 2025 HK$’000 HK$’000 Hong Kong (domiciled) 36,899 45,587 Malaysia 6,566 2,169 Others 286 177 43,751 47,933 The geographical location of revenue allocated</t>
        </is>
      </c>
    </row>
    <row r="57">
      <c r="A57" s="8" t="inlineStr">
        <is>
          <t>Segment Information</t>
        </is>
      </c>
      <c r="B57" s="8" t="inlineStr">
        <is>
          <t>分部資料</t>
        </is>
      </c>
      <c r="C57" s="8" t="inlineStr">
        <is>
          <t>medium</t>
        </is>
      </c>
      <c r="D57" s="11" t="inlineStr">
        <is>
          <t>geographical</t>
        </is>
      </c>
      <c r="E57" s="11" t="inlineStr">
        <is>
          <t>PDF p.104 (印刷頁 103)</t>
        </is>
      </c>
      <c r="F57" s="11" t="inlineStr">
        <is>
          <t>energy Licensing fees energy saving saving for energy Segments systems products saving product Total HK$’000 HK$’000 HK$’000 HK$’000 Geographical markets Hong Kong (domiciled) 47 – – 47 Japan – – – – Malaysia 46,695 766 – 47,461 Indonesia – – – – Macau – – 19,422 19,422 Australia – 24,683 – 24,683 Singapore – 27,079 – 27,079 Total 46,742 52,528 19,422 118,692 Major products/services Trading of energy saving products – 52,528 – 52,528 Consultancy and project management services – – 19,422 19,422 Leasing service 46,742 – – 46,742</t>
        </is>
      </c>
    </row>
    <row r="58">
      <c r="A58" s="8" t="inlineStr">
        <is>
          <t>Segment Information</t>
        </is>
      </c>
      <c r="B58" s="8" t="inlineStr">
        <is>
          <t>分部資料</t>
        </is>
      </c>
      <c r="C58" s="8" t="inlineStr">
        <is>
          <t>medium</t>
        </is>
      </c>
      <c r="D58" s="11" t="inlineStr">
        <is>
          <t>geographical</t>
        </is>
      </c>
      <c r="E58" s="11" t="inlineStr">
        <is>
          <t>PDF p.105 (印刷頁 104)</t>
        </is>
      </c>
      <c r="F58" s="11" t="inlineStr">
        <is>
          <t>energy Licensing fees energy saving saving for energy Segments systems products saving product Total HK$’000 HK$’000 HK$’000 HK$’000 Geographical markets Hong Kong (domiciled) 65 – – 65 Japan – 32,526 – 32,526 Malaysia 85,062 – – 85,062 Indonesia – 38 – 38 Macau – – 7,204 7,204 Australia – 32,229 – 32,229 PRC 7 240 – 247 Total 85,134 65,033 7,204 157,371 Major products/services Trading of energy saving products – 65,033 – 65,033 Consultancy and project management services – – 7,204 7,204 Leasing service 85,134 – – 85,134 Total</t>
        </is>
      </c>
    </row>
    <row r="59">
      <c r="A59" s="8" t="inlineStr">
        <is>
          <t>Share-based Payment</t>
        </is>
      </c>
      <c r="B59" s="8" t="inlineStr">
        <is>
          <t>以股份為基礎的付款</t>
        </is>
      </c>
      <c r="C59" s="8" t="inlineStr">
        <is>
          <t>medium</t>
        </is>
      </c>
      <c r="D59" s="11" t="inlineStr">
        <is>
          <t>share-based payment</t>
        </is>
      </c>
      <c r="E59" s="11" t="inlineStr">
        <is>
          <t>PDF p.9 (印刷頁 8)</t>
        </is>
      </c>
      <c r="F59" s="11" t="inlineStr">
        <is>
          <t>on equity investment at FVTPL (note (a)) (12,544) 3,738 Gain on partial deregistration of an equity investment (note (b)) (11,032) – Share-based payment expenses in respect of share options (note (a)) 19,504 21,117 Net foreign exchange (gain)/loss (note (a)) (2,243) 2,473 Expenses in relation to potential secondary listing in Malaysia (note (a)) 2,123 1,925 Share of results of associates (note (b)) – 4,781 Adjusted profit before income tax excluding major extraordinary items 36,971 34,466 Note: (a) These items were considered a</t>
        </is>
      </c>
    </row>
    <row r="60">
      <c r="A60" s="8" t="inlineStr">
        <is>
          <t>Share-based Payment</t>
        </is>
      </c>
      <c r="B60" s="8" t="inlineStr">
        <is>
          <t>以股份為基礎的付款</t>
        </is>
      </c>
      <c r="C60" s="8" t="inlineStr">
        <is>
          <t>medium</t>
        </is>
      </c>
      <c r="D60" s="11" t="inlineStr">
        <is>
          <t>share option</t>
        </is>
      </c>
      <c r="E60" s="11" t="inlineStr">
        <is>
          <t>PDF p.15 (印刷頁 14)</t>
        </is>
      </c>
      <c r="F60" s="11" t="inlineStr">
        <is>
          <t>Limited | Annual 14 Unity Group Holdings International Report 2025/2026 MANAGEMENT DISCUSSION AND ANALYSIS THE SHARE OPTION SCHEMES THE SHARE AWARD SCHEME The Company adopted a share option scheme on 5 To complement the Group’s incentive mechanisms, the March 2015 (which was amended on 26 October 2016) Board adopted a share award scheme (the “Share Award (“2015 Share Option Scheme”), which was terminated Scheme”) on 27 February 2026 for a term of 10 years. The on 1 November 2024 pursuant to a resolution pa</t>
        </is>
      </c>
    </row>
    <row r="61">
      <c r="A61" s="8" t="inlineStr">
        <is>
          <t>Share-based Payment</t>
        </is>
      </c>
      <c r="B61" s="8" t="inlineStr">
        <is>
          <t>以股份為基礎的付款</t>
        </is>
      </c>
      <c r="C61" s="8" t="inlineStr">
        <is>
          <t>medium</t>
        </is>
      </c>
      <c r="D61" s="11" t="inlineStr">
        <is>
          <t>share option</t>
        </is>
      </c>
      <c r="E61" s="11" t="inlineStr">
        <is>
          <t>PDF p.19 (印刷頁 18)</t>
        </is>
      </c>
      <c r="F61" s="11" t="inlineStr">
        <is>
          <t>t changes in Company’s includes the share premium, contributed the nature of the Group’s principal businesses during the surplus and share options reserve in the amounts of year ended 31 March 2026. approximately HK$1,030.1 million, HK$3.2 million and HK$43.2 million, respectively, net of capital reserves of ANNUAL RESULTS AND DISTRIBUTIONS approximately HK$282.5 million and accumulated losses The annual results of the Group for the year ended of approximately HK$643.0 million, as at 31 March 2026, 31 March 2026 are set out in</t>
        </is>
      </c>
    </row>
    <row r="62">
      <c r="A62" s="8" t="inlineStr">
        <is>
          <t>Share-based Payment</t>
        </is>
      </c>
      <c r="B62" s="8" t="inlineStr">
        <is>
          <t>以股份為基礎的付款</t>
        </is>
      </c>
      <c r="C62" s="8" t="inlineStr">
        <is>
          <t>medium</t>
        </is>
      </c>
      <c r="D62" s="11" t="inlineStr">
        <is>
          <t>share option</t>
        </is>
      </c>
      <c r="E62" s="11" t="inlineStr">
        <is>
          <t>PDF p.22 (印刷頁 21)</t>
        </is>
      </c>
      <c r="F62" s="11" t="inlineStr">
        <is>
          <t>,000 underlying shares under the options granted by the Company on 8 December 2023 and 10 December 2024 respectively pursuant to the Share Option Scheme, and 18,000,000 shares beneficially owned by Mr. TSANG Sze Wai Claudius. 6. These shares represented 250,000 underlying shares under the options granted by the Company on 10 December 2024 pursuant to the Share Option Scheme, and 125,000 shares beneficially owned by Mr. CHEUNG Yick Hung Jackie. 7. These shares represented 250,000 underlying shares under the options granted by th</t>
        </is>
      </c>
    </row>
    <row r="63">
      <c r="A63" s="8" t="inlineStr">
        <is>
          <t>Share-based Payment</t>
        </is>
      </c>
      <c r="B63" s="8" t="inlineStr">
        <is>
          <t>以股份為基礎的付款</t>
        </is>
      </c>
      <c r="C63" s="8" t="inlineStr">
        <is>
          <t>medium</t>
        </is>
      </c>
      <c r="D63" s="11" t="inlineStr">
        <is>
          <t>share option</t>
        </is>
      </c>
      <c r="E63" s="11" t="inlineStr">
        <is>
          <t>PDF p.24 (印刷頁 23)</t>
        </is>
      </c>
      <c r="F63" s="11" t="inlineStr">
        <is>
          <t>Limited | Annual Unity Group Holdings International Report 2025/2026 23 DIRECTORS’ REPORT SHARE OPTION SCHEME The purpose of the 2024 Share Option Scheme is to attract and retain the best available personnel The 2015 Share Option Scheme adopted on 5 March 2015 of the Group, to provide additional incentive to the (which was amended on 26 October 2016) was terminated Eligible Participants (as hereinafter defined) and to on 1 November 2024 pursuant to a resolution passed by promote the su</t>
        </is>
      </c>
    </row>
    <row r="64">
      <c r="A64" s="8" t="inlineStr">
        <is>
          <t>Share-based Payment</t>
        </is>
      </c>
      <c r="B64" s="8" t="inlineStr">
        <is>
          <t>以股份為基礎的付款</t>
        </is>
      </c>
      <c r="C64" s="8" t="inlineStr">
        <is>
          <t>medium</t>
        </is>
      </c>
      <c r="D64" s="11" t="inlineStr">
        <is>
          <t>share option</t>
        </is>
      </c>
      <c r="E64" s="11" t="inlineStr">
        <is>
          <t>PDF p.25 (印刷頁 24)</t>
        </is>
      </c>
      <c r="F64" s="11" t="inlineStr">
        <is>
          <t>Participant (“Offer Date”); granted and to be bound by the provisions of the (ii) the average of the closing prices of the Shares as Share Option Schemes (including any operational stated in the Stock Exchange’s daily quotation sheets rules). The offer should/shall remain open for for the five business days immediately preceding the acceptance for a period of twenty business days Offer Date; and (iii) the nominal value of the Shares. (for 2015 Share Option Scheme)/twenty-one days (for 2024 Share Option Scheme) from the date on</t>
        </is>
      </c>
    </row>
    <row r="65">
      <c r="A65" s="8" t="inlineStr">
        <is>
          <t>Share-based Payment</t>
        </is>
      </c>
      <c r="B65" s="8" t="inlineStr">
        <is>
          <t>以股份為基礎的付款</t>
        </is>
      </c>
      <c r="C65" s="8" t="inlineStr">
        <is>
          <t>medium</t>
        </is>
      </c>
      <c r="D65" s="11" t="inlineStr">
        <is>
          <t>share option</t>
        </is>
      </c>
      <c r="E65" s="11" t="inlineStr">
        <is>
          <t>PDF p.26 (印刷頁 25)</t>
        </is>
      </c>
      <c r="F65" s="11" t="inlineStr">
        <is>
          <t>Limited | Annual Unity Group Holdings International Report 2025/2026 25 DIRECTORS’ REPORT According to the terms of the 2015 Share Option (g) Timing for exercise of options Scheme, no further options might be granted after The period during which an option may be exercised termination but in all other respects, the provisions in accordance with the terms of the Share Option of the 2015 Share Option Scheme shall remain in full Schemes (“Option Period”) shall be a period of force and effect to the extent necessary to give</t>
        </is>
      </c>
    </row>
    <row r="66">
      <c r="A66" s="8" t="inlineStr">
        <is>
          <t>Share-based Payment</t>
        </is>
      </c>
      <c r="B66" s="8" t="inlineStr">
        <is>
          <t>以股份為基礎的付款</t>
        </is>
      </c>
      <c r="C66" s="8" t="inlineStr">
        <is>
          <t>medium</t>
        </is>
      </c>
      <c r="D66" s="11" t="inlineStr">
        <is>
          <t>share option</t>
        </is>
      </c>
      <c r="E66" s="11" t="inlineStr">
        <is>
          <t>PDF p.27 (印刷頁 26)</t>
        </is>
      </c>
      <c r="F66" s="11" t="inlineStr">
        <is>
          <t>26 Unity Group Holdings International Report 2025/2026 DIRECTORS’ REPORT The following table discloses movements in the Company’s share options during the year ended 31 March 2026: Number of share options Weighted average closing price of the shares immediately before the Closing price Performance dates on Lapsed/ per share immediately target or Outstanding Granted Exercised which the forfeited Cancelled Outstanding Exercise price before the date claw back as at during the during the options during during the as at Grantees</t>
        </is>
      </c>
    </row>
    <row r="67">
      <c r="A67" s="8" t="inlineStr">
        <is>
          <t>Share-based Payment</t>
        </is>
      </c>
      <c r="B67" s="8" t="inlineStr">
        <is>
          <t>以股份為基礎的付款</t>
        </is>
      </c>
      <c r="C67" s="8" t="inlineStr">
        <is>
          <t>medium</t>
        </is>
      </c>
      <c r="D67" s="11" t="inlineStr">
        <is>
          <t>share option</t>
        </is>
      </c>
      <c r="E67" s="11" t="inlineStr">
        <is>
          <t>PDF p.28 (印刷頁 27)</t>
        </is>
      </c>
      <c r="F67" s="11" t="inlineStr">
        <is>
          <t>te of this Annual Report, the total number of (a) The purpose of the Share Award Scheme shares available for issue in respect of the share options The Share Award Scheme seeks to recognize the granted under the 2015 Share Option Scheme and the contributions made by certain Eligible Participants 2024 Share Option Scheme were 62,212,000 shares and to provide them with incentives in order to retain and 166,724,000 shares, respectively, representing them for the continual operation and development approximately 1.81% and 4.84% of t</t>
        </is>
      </c>
    </row>
    <row r="68">
      <c r="A68" s="8" t="inlineStr">
        <is>
          <t>Share-based Payment</t>
        </is>
      </c>
      <c r="B68" s="8" t="inlineStr">
        <is>
          <t>以股份為基礎的付款</t>
        </is>
      </c>
      <c r="C68" s="8" t="inlineStr">
        <is>
          <t>medium</t>
        </is>
      </c>
      <c r="D68" s="11" t="inlineStr">
        <is>
          <t>share option</t>
        </is>
      </c>
      <c r="E68" s="11" t="inlineStr">
        <is>
          <t>PDF p.30 (印刷頁 29)</t>
        </is>
      </c>
      <c r="F68" s="11" t="inlineStr">
        <is>
          <t>REPORT ARRANGEMENT TO PURCHASE SHARES MANAGEMENT CONTRACTS OR DEBENTURES No contracts concerning the management and Other than the Share Option Scheme disclosed above, administration of the whole or any substantial part of the at no time during the year ended 31 March 2026 was business of the Company were entered into or existed the Company, or any of its subsidiaries a party to any during the year. arrangements to enable the Directors to acquire benefits DIRECTORS’ INTERESTS IN COMPETING by means of acquisition of shares in,</t>
        </is>
      </c>
    </row>
    <row r="69">
      <c r="A69" s="8" t="inlineStr">
        <is>
          <t>Share-based Payment</t>
        </is>
      </c>
      <c r="B69" s="8" t="inlineStr">
        <is>
          <t>以股份為基礎的付款</t>
        </is>
      </c>
      <c r="C69" s="8" t="inlineStr">
        <is>
          <t>medium</t>
        </is>
      </c>
      <c r="D69" s="11" t="inlineStr">
        <is>
          <t>share option</t>
        </is>
      </c>
      <c r="E69" s="11" t="inlineStr">
        <is>
          <t>PDF p.47 (印刷頁 46)</t>
        </is>
      </c>
      <c r="F69" s="11" t="inlineStr">
        <is>
          <t>ded 31 March 2026 contained in about their reporting responsibilities on the financial this Annual Report for the fair values of the share options statements is set out in the Independent Auditor’s Report granted under the Share Option Schemes, which were on pages 61 to 66 of this Annual Report. measured based on the binomial option-pricing mode. REMUNERATION OF MEMBERS OF THE SENIOR MANAGEMENT BY BAND The Remuneration Committee also conducted a review of its terms of reference during the year. It remained satisﬁed Pursuant to</t>
        </is>
      </c>
    </row>
    <row r="70">
      <c r="A70" s="8" t="inlineStr">
        <is>
          <t>Share-based Payment</t>
        </is>
      </c>
      <c r="B70" s="8" t="inlineStr">
        <is>
          <t>以股份為基礎的付款</t>
        </is>
      </c>
      <c r="C70" s="8" t="inlineStr">
        <is>
          <t>medium</t>
        </is>
      </c>
      <c r="D70" s="11" t="inlineStr">
        <is>
          <t>share option</t>
        </is>
      </c>
      <c r="E70" s="11" t="inlineStr">
        <is>
          <t>PDF p.71 (印刷頁 70)</t>
        </is>
      </c>
      <c r="F70" s="11" t="inlineStr">
        <is>
          <t>DATED STATEMENT OF CHANGES IN EQUITY For the year ended 31 March 2026 Attributable to owners of the Company Share Foreign Non- Share Share option Capital Merger exchange Accumulated controlling capital premium* reserve* reserves* reserve* reserves* losses* Subtotal interests Total HK$’000 HK$’000 HK$’000 HK$’000 HK$’000 HK$’000 HK$’000 HK$’000 HK$’000 HK$’000 (note 31) (note 32) (note 32) (note 32) (note 32) (note 32) (note 32) At 1 April 2024 33,494 1,009,411 10,284 (275,146) 12,183 (253) (468,069) 321,904 (7,794) 314,110 Issu</t>
        </is>
      </c>
    </row>
    <row r="71">
      <c r="A71" s="8" t="inlineStr">
        <is>
          <t>Share-based Payment</t>
        </is>
      </c>
      <c r="B71" s="8" t="inlineStr">
        <is>
          <t>以股份為基礎的付款</t>
        </is>
      </c>
      <c r="C71" s="8" t="inlineStr">
        <is>
          <t>medium</t>
        </is>
      </c>
      <c r="D71" s="11" t="inlineStr">
        <is>
          <t>share option</t>
        </is>
      </c>
      <c r="E71" s="11" t="inlineStr">
        <is>
          <t>PDF p.72 (印刷頁 71)</t>
        </is>
      </c>
      <c r="F71" s="11" t="inlineStr">
        <is>
          <t>t income from restructured trade receivables (16,231) (941) Depreciation of property, plant and equipment 3,564 3,150 Equity-settled share option expense 19,504 21,117 Fair value loss on equity investment at fair value through profit or loss (12,544) 3,738 Gain on deregistration of the shares in equity investment (11,032) – Gain on modifications of financial assets (15,937) – Gain on modifications of financial liability (25,218) – Gain on disposal of fixed assets – (2) (Gain)/loss on lease modification (2) 2 Loss/(gain) on leas</t>
        </is>
      </c>
    </row>
    <row r="72">
      <c r="A72" s="8" t="inlineStr">
        <is>
          <t>Share-based Payment</t>
        </is>
      </c>
      <c r="B72" s="8" t="inlineStr">
        <is>
          <t>以股份為基礎的付款</t>
        </is>
      </c>
      <c r="C72" s="8" t="inlineStr">
        <is>
          <t>medium</t>
        </is>
      </c>
      <c r="D72" s="11" t="inlineStr">
        <is>
          <t>share option</t>
        </is>
      </c>
      <c r="E72" s="11" t="inlineStr">
        <is>
          <t>PDF p.73 (印刷頁 72)</t>
        </is>
      </c>
      <c r="F72" s="11" t="inlineStr">
        <is>
          <t>(62,900) – Net cash (used in)/generated from investing activities (64,020) 23,591 Cash flows from financing activities Proceeds from share options arrangements (100) 5,292 Payments for transaction costs on issue of shares – (233) Interest paid on borrowings (677) (2,525) Interest element on lease payments (231) (294) Capital element of lease payments (2,756) (2,484) Proceed from borrowings 47,557 72,992 Repayment of borrowings (13,484) (2,322) Repayment to amounts due to the scheme creditors (6,672) (32,752) Redemption of finan</t>
        </is>
      </c>
    </row>
    <row r="73">
      <c r="A73" s="8" t="inlineStr">
        <is>
          <t>Share-based Payment</t>
        </is>
      </c>
      <c r="B73" s="8" t="inlineStr">
        <is>
          <t>以股份為基礎的付款</t>
        </is>
      </c>
      <c r="C73" s="8" t="inlineStr">
        <is>
          <t>medium</t>
        </is>
      </c>
      <c r="D73" s="11" t="inlineStr">
        <is>
          <t>share-based payment</t>
        </is>
      </c>
      <c r="E73" s="11" t="inlineStr">
        <is>
          <t>PDF p.93 (印刷頁 92)</t>
        </is>
      </c>
      <c r="F73" s="11" t="inlineStr">
        <is>
          <t>it will receive in respect of past sales. Any increase or decrease in the provision would affect profit or loss in future years. (v) Share-based payments Where share options are awarded to employees and others providing similar services, the fair value of the options at the date of grant is recognised in profit or loss over the vesting period with a corresponding increase in the share option reserve within equity. Non-market vesting conditions are taken into account by adjusting the number of equity instruments expected to vest</t>
        </is>
      </c>
    </row>
    <row r="74">
      <c r="A74" s="8" t="inlineStr">
        <is>
          <t>Share-based Payment</t>
        </is>
      </c>
      <c r="B74" s="8" t="inlineStr">
        <is>
          <t>以股份為基礎的付款</t>
        </is>
      </c>
      <c r="C74" s="8" t="inlineStr">
        <is>
          <t>medium</t>
        </is>
      </c>
      <c r="D74" s="11" t="inlineStr">
        <is>
          <t>share option</t>
        </is>
      </c>
      <c r="E74" s="11" t="inlineStr">
        <is>
          <t>PDF p.100 (印刷頁 99)</t>
        </is>
      </c>
      <c r="F74" s="11" t="inlineStr">
        <is>
          <t>on equity investment at FVTPL, interest income, and government grants. Unallocated corporate expenses mainly include equity-settled share option expense, unallocated legal and professional fees, unallocated salaries and other administrative expenses. Assets and liabilities 2026 2025 HK$’000 HK$’000 Reportable segment assets 489,295 435,227 Interests in associates 40,926 42,296 Equity investment at FVTPL 18,238 7,062 Cash and cash equivalents 1,555 12,431 Amount due from an associate 321 44 Deferred tax assets 34,356 48,599 Oth</t>
        </is>
      </c>
    </row>
    <row r="75">
      <c r="A75" s="8" t="inlineStr">
        <is>
          <t>Share-based Payment</t>
        </is>
      </c>
      <c r="B75" s="8" t="inlineStr">
        <is>
          <t>以股份為基礎的付款</t>
        </is>
      </c>
      <c r="C75" s="8" t="inlineStr">
        <is>
          <t>medium</t>
        </is>
      </c>
      <c r="D75" s="11" t="inlineStr">
        <is>
          <t>share option</t>
        </is>
      </c>
      <c r="E75" s="11" t="inlineStr">
        <is>
          <t>PDF p.107 (印刷頁 106)</t>
        </is>
      </c>
      <c r="F75" s="11" t="inlineStr">
        <is>
          <t>,698 3,564 3,150 Employee benefit expenses (including directors’ remuneration) – Salaries and welfare 22,645 19,786 – Equity-settled share option expense 19,503 21,117 – Contributions to defined contribution retirement plan 1,856 1,426 44,004 42,329 Provision/(reversal of) for warranty, net 15 (348) Provision for impairment loss of financial assets, net 673 14,366 Gain on disposal of property, plant and equipment – (2) Write-off of other receivables – 1,155 Write-off of other payables (24) (1,101) Gain on deregistration of the</t>
        </is>
      </c>
    </row>
    <row r="76">
      <c r="A76" s="8" t="inlineStr">
        <is>
          <t>Share-based Payment</t>
        </is>
      </c>
      <c r="B76" s="8" t="inlineStr">
        <is>
          <t>以股份為基礎的付款</t>
        </is>
      </c>
      <c r="C76" s="8" t="inlineStr">
        <is>
          <t>medium</t>
        </is>
      </c>
      <c r="D76" s="11" t="inlineStr">
        <is>
          <t>share option</t>
        </is>
      </c>
      <c r="E76" s="11" t="inlineStr">
        <is>
          <t>PDF p.108 (印刷頁 107)</t>
        </is>
      </c>
      <c r="F76" s="11" t="inlineStr">
        <is>
          <t>ALS (a) Directors’ remuneration Directors’ remunerations are disclosed as follows: Salaries, Equityallowances settled and benefits share option Defined Fees in kind expense contributions Total HK$’000 HK$’000 HK$’000 HK$’000 HK$’000 Year ended 31 March 2026 Executive director: Mr. Mansfield Wong – 1,428 – 18 1,446 Non-executive directors: Mr. Tsang Sze Wai Claudius 396 – 3,131 – 3,527 Ms. Cai Linda Xin Xin 66 – – – 66 Independent non-executive directors: – – Mr. Chung Koon Yan 205 – 30 – 235 Mr. Cheung Yick Hung Jackie 205 –</t>
        </is>
      </c>
    </row>
    <row r="77">
      <c r="A77" s="8" t="inlineStr">
        <is>
          <t>Share-based Payment</t>
        </is>
      </c>
      <c r="B77" s="8" t="inlineStr">
        <is>
          <t>以股份為基礎的付款</t>
        </is>
      </c>
      <c r="C77" s="8" t="inlineStr">
        <is>
          <t>medium</t>
        </is>
      </c>
      <c r="D77" s="11" t="inlineStr">
        <is>
          <t>share option</t>
        </is>
      </c>
      <c r="E77" s="11" t="inlineStr">
        <is>
          <t>PDF p.109 (印刷頁 108)</t>
        </is>
      </c>
      <c r="F77" s="11" t="inlineStr">
        <is>
          <t>the year (2025: 4) are set out below: 2026 2025 HK$’000 HK$’000 Salaries, allowances and benefits in kind 2,231 3,190 Equity-settled share option expense 11,842 18,893 Contributions to defined contribution retirement plan 108 108 14,181 22,191 Their emoluments were within the following bands: 2026 2025 No. of No. of individual individual HK$Nil to HK$1,000,000 – – HK$2,500,001 to HK$3,000,000 2 – HK$4,000,001 to HK$4,500,000 2 1 HK$5,500,001 to HK$6,000,000 – 1 HK$6,000,001 to HK$6,500,000 – 2 (c) During the year, no director o</t>
        </is>
      </c>
    </row>
    <row r="78">
      <c r="A78" s="8" t="inlineStr">
        <is>
          <t>Share-based Payment</t>
        </is>
      </c>
      <c r="B78" s="8" t="inlineStr">
        <is>
          <t>以股份為基礎的付款</t>
        </is>
      </c>
      <c r="C78" s="8" t="inlineStr">
        <is>
          <t>medium</t>
        </is>
      </c>
      <c r="D78" s="11" t="inlineStr">
        <is>
          <t>share option</t>
        </is>
      </c>
      <c r="E78" s="11" t="inlineStr">
        <is>
          <t>PDF p.112 (印刷頁 111)</t>
        </is>
      </c>
      <c r="F78" s="11" t="inlineStr">
        <is>
          <t>number of shares for the purpose of calculating basic earnings per share 3,444,112 3,427,705 Effect of dilutive potential shares on share options – 16,031 Weighted average number of shares for the purpose of calculating diluted earnings per share 3,444,112 3,443,736 Diluted earnings per share is calculated by adjusting the weighted average number of ordinary shares outstanding assuming conversion of all dilutive potential shares. For the year ended 31 March 2025, the calculation of dilutive earnings per shares excluded the eff</t>
        </is>
      </c>
    </row>
    <row r="79">
      <c r="A79" s="8" t="inlineStr">
        <is>
          <t>Share-based Payment</t>
        </is>
      </c>
      <c r="B79" s="8" t="inlineStr">
        <is>
          <t>以股份為基礎的付款</t>
        </is>
      </c>
      <c r="C79" s="8" t="inlineStr">
        <is>
          <t>medium</t>
        </is>
      </c>
      <c r="D79" s="11" t="inlineStr">
        <is>
          <t>share option</t>
        </is>
      </c>
      <c r="E79" s="11" t="inlineStr">
        <is>
          <t>PDF p.134 (印刷頁 133)</t>
        </is>
      </c>
      <c r="F79" s="11" t="inlineStr">
        <is>
          <t>025, 1 April 2025 and 31 March 2026 50,000,000 500,000 Issued and fully paid: At 1 April 2024 3,349,414 33,494 Issue of shares under share option scheme (a) 35,607 356 Issue of shares upon conversion of convertible bonds (b) 59,091 591 At 31 March 2025, 1 April 2025 and 31 March 2026 3,444,112 34,441 Notes: (a) On 28 May 2024 and 11 June 2024, the Company issued total 35,607,000 shares under the share option scheme at HK$0.01 each. Net proceeds of HK$5,292,000 were raised, comprising share capital of HK$356,000, share premium o</t>
        </is>
      </c>
    </row>
    <row r="80">
      <c r="A80" s="8" t="inlineStr">
        <is>
          <t>Share-based Payment</t>
        </is>
      </c>
      <c r="B80" s="8" t="inlineStr">
        <is>
          <t>以股份為基礎的付款</t>
        </is>
      </c>
      <c r="C80" s="8" t="inlineStr">
        <is>
          <t>medium</t>
        </is>
      </c>
      <c r="D80" s="11" t="inlineStr">
        <is>
          <t>share option</t>
        </is>
      </c>
      <c r="E80" s="11" t="inlineStr">
        <is>
          <t>PDF p.135 (印刷頁 134)</t>
        </is>
      </c>
      <c r="F80" s="11" t="inlineStr">
        <is>
          <t>e presented in the consolidated statement of comprehensive income and consolidated statement of changes in equity. (b) Company Share Share option Capital Contributed Accumulated premium reserve reserves surplus losses Total HK$’000 HK$’000 HK$’000 HK$’000 HK$’000 HK$’000 (note) At 1 April 2024 1,009,411 10,284 (282,534) 3,236 (459,899) 280,498 Issue of shares upon conversion of convertible bonds (note 31(e)) 13,176 – – – – 13,176 Transaction costs on issue of shares (233) – – – – (233) Equity-settled share option arrangements –</t>
        </is>
      </c>
    </row>
    <row r="81">
      <c r="A81" s="8" t="inlineStr">
        <is>
          <t>Share-based Payment</t>
        </is>
      </c>
      <c r="B81" s="8" t="inlineStr">
        <is>
          <t>以股份為基礎的付款</t>
        </is>
      </c>
      <c r="C81" s="8" t="inlineStr">
        <is>
          <t>medium</t>
        </is>
      </c>
      <c r="D81" s="11" t="inlineStr">
        <is>
          <t>share-based payment</t>
        </is>
      </c>
      <c r="E81" s="11" t="inlineStr">
        <is>
          <t>PDF p.136 (印刷頁 135)</t>
        </is>
      </c>
      <c r="F81" s="11" t="inlineStr">
        <is>
          <t>ised share options granted to employees of the Company that has been recognised in accordance with the accounting policy adopted for share-based payments in note 3(v). Capital reserves Capital reserves represent (i) the capital contributions made by a shareholder of Synergy Group Worldwide Limited before a group reorganisation completed during the year ended 31 March 2015 and (ii) the distribution of the shareholders arising from settlement of financial liabilities due to shareholders with equity instruments during the year end</t>
        </is>
      </c>
    </row>
    <row r="82">
      <c r="A82" s="8" t="inlineStr">
        <is>
          <t>Share-based Payment</t>
        </is>
      </c>
      <c r="B82" s="8" t="inlineStr">
        <is>
          <t>以股份為基礎的付款</t>
        </is>
      </c>
      <c r="C82" s="8" t="inlineStr">
        <is>
          <t>medium</t>
        </is>
      </c>
      <c r="D82" s="11" t="inlineStr">
        <is>
          <t>share option</t>
        </is>
      </c>
      <c r="E82" s="11" t="inlineStr">
        <is>
          <t>PDF p.143 (印刷頁 142)</t>
        </is>
      </c>
      <c r="F82" s="11" t="inlineStr">
        <is>
          <t>of key management during the year were as follows: 2026 2025 HK$’000 HK$’000 Short-term employee benefits 5,983 5,745 Equity-settled share option expense 5,426 18,380 11,409 24,125</t>
        </is>
      </c>
    </row>
    <row r="83">
      <c r="A83" s="8" t="inlineStr">
        <is>
          <t>Share-based Payment</t>
        </is>
      </c>
      <c r="B83" s="8" t="inlineStr">
        <is>
          <t>以股份為基礎的付款</t>
        </is>
      </c>
      <c r="C83" s="8" t="inlineStr">
        <is>
          <t>medium</t>
        </is>
      </c>
      <c r="D83" s="11" t="inlineStr">
        <is>
          <t>share option</t>
        </is>
      </c>
      <c r="E83" s="11" t="inlineStr">
        <is>
          <t>PDF p.145 (印刷頁 144)</t>
        </is>
      </c>
      <c r="F83" s="11" t="inlineStr">
        <is>
          <t>hanges 3,401 5,391 (12,923) – 3,147 – At 31 March 2025 88,963 4,819 – 129 40,491 4,750 38. EQUITY-SETTLED SHARE-BASED TRANSACTIONS A share option scheme (the “2015 Share Option Scheme”) was approved by its shareholders to adopt on 5 March 2015 and was amended on 26 October 2016.</t>
        </is>
      </c>
    </row>
    <row r="84">
      <c r="A84" s="8" t="inlineStr">
        <is>
          <t>Share-based Payment</t>
        </is>
      </c>
      <c r="B84" s="8" t="inlineStr">
        <is>
          <t>以股份為基礎的付款</t>
        </is>
      </c>
      <c r="C84" s="8" t="inlineStr">
        <is>
          <t>medium</t>
        </is>
      </c>
      <c r="D84" s="11" t="inlineStr">
        <is>
          <t>share option</t>
        </is>
      </c>
      <c r="E84" s="11" t="inlineStr">
        <is>
          <t>PDF p.146 (印刷頁 145)</t>
        </is>
      </c>
      <c r="F84" s="11" t="inlineStr">
        <is>
          <t>the year ended 31 March 2026 38. EQUITY-SETTLED SHARE-BASED TRANSACTIONS (Continued) Unless otherwise cancelled or amended, the 2015 Share Option Scheme will remain in force for 10 years from 5 March 2015. Under the 2015 Share Option Scheme, the directors may in its absolute discretion offer to grant to any qualified participant an option to subscribe for the number of shares at an exercise price determined by the directors, being at least the highest of (i) the closing price of shares of the Company as stated in the Stock Exch</t>
        </is>
      </c>
    </row>
    <row r="85">
      <c r="A85" s="8" t="inlineStr">
        <is>
          <t>Share-based Payment</t>
        </is>
      </c>
      <c r="B85" s="8" t="inlineStr">
        <is>
          <t>以股份為基礎的付款</t>
        </is>
      </c>
      <c r="C85" s="8" t="inlineStr">
        <is>
          <t>medium</t>
        </is>
      </c>
      <c r="D85" s="11" t="inlineStr">
        <is>
          <t>share option</t>
        </is>
      </c>
      <c r="E85" s="11" t="inlineStr">
        <is>
          <t>PDF p.148 (印刷頁 147)</t>
        </is>
      </c>
      <c r="F85" s="11" t="inlineStr">
        <is>
          <t>rch 2026 38. EQUITY-SETTLED SHARE-BASED TRANSACTIONS (Continued) (a) The terms and conditions of the grants are as follows: (i) 2015 Share option scheme – Share options on 2 April 2020 On 2 April 2020, the Company has granted a total of 36,560,000 share options to subscribe for an aggregate of 36,560,000 ordinary shares of HK$0.01 each in the capital of the Company, comprising (i) 11,150,000 share options to five Directors; and (ii) 25,410,000 share options to certain qualified participants, being employees of the Group. Number</t>
        </is>
      </c>
    </row>
    <row r="86">
      <c r="A86" s="8" t="inlineStr">
        <is>
          <t>Share-based Payment</t>
        </is>
      </c>
      <c r="B86" s="8" t="inlineStr">
        <is>
          <t>以股份為基礎的付款</t>
        </is>
      </c>
      <c r="C86" s="8" t="inlineStr">
        <is>
          <t>medium</t>
        </is>
      </c>
      <c r="D86" s="11" t="inlineStr">
        <is>
          <t>share option</t>
        </is>
      </c>
      <c r="E86" s="11" t="inlineStr">
        <is>
          <t>PDF p.149 (印刷頁 148)</t>
        </is>
      </c>
      <c r="F86" s="11" t="inlineStr">
        <is>
          <t>EQUITY-SETTLED SHARE-BASED TRANSACTIONS (Continued) (a) The terms and conditions of the grants are as follows: (Continued) (ii) 2015 Share option scheme – Share options on 12 December 2022 On 12 December 2022, the Company has granted a total of 90,068,000 share options to subscribe for an aggregate of 90,068,000 ordinary shares of HK$0.01 each in the capital of the Company, comprising (i) 1,000,000 share options to four Directors; and (ii) 89,068,000 share options to certain qualified participants, being employees of the Group.</t>
        </is>
      </c>
    </row>
    <row r="87">
      <c r="A87" s="8" t="inlineStr">
        <is>
          <t>Share-based Payment</t>
        </is>
      </c>
      <c r="B87" s="8" t="inlineStr">
        <is>
          <t>以股份為基礎的付款</t>
        </is>
      </c>
      <c r="C87" s="8" t="inlineStr">
        <is>
          <t>medium</t>
        </is>
      </c>
      <c r="D87" s="11" t="inlineStr">
        <is>
          <t>share option</t>
        </is>
      </c>
      <c r="E87" s="11" t="inlineStr">
        <is>
          <t>PDF p.150 (印刷頁 149)</t>
        </is>
      </c>
      <c r="F87" s="11" t="inlineStr">
        <is>
          <t>EQUITY-SETTLED SHARE-BASED TRANSACTIONS (Continued) (a) The terms and conditions of the grants are as follows: (Continued) (iv) 2015 Share option scheme – Share options on 8 December 2023 On 8 December 2023, the Company has granted a total of 62,212,000 share options to subscribe for an aggregate of 62,212,000 ordinary shares of HK$0.01 each in the capital of the Company, comprising (i) 23,856,600 share options to a non-executive Director; and (ii) 38,356,000 share options to certain qualified participants, being employees of t</t>
        </is>
      </c>
    </row>
    <row r="88">
      <c r="A88" s="8" t="inlineStr">
        <is>
          <t>Share-based Payment</t>
        </is>
      </c>
      <c r="B88" s="8" t="inlineStr">
        <is>
          <t>以股份為基礎的付款</t>
        </is>
      </c>
      <c r="C88" s="8" t="inlineStr">
        <is>
          <t>medium</t>
        </is>
      </c>
      <c r="D88" s="11" t="inlineStr">
        <is>
          <t>share option</t>
        </is>
      </c>
      <c r="E88" s="11" t="inlineStr">
        <is>
          <t>PDF p.151 (印刷頁 150)</t>
        </is>
      </c>
      <c r="F88" s="11" t="inlineStr">
        <is>
          <t>r ended 31 March 2026 38. EQUITY-SETTLED SHARE-BASED TRANSACTIONS (Continued) (b) The number and weighted average exercise prices of share options are as follows: 2026 2025 Weighted Weighted average average exercise exercise price Number price Number HK$ HK$ Outstanding at beginning of the year 0.46 228,936,000 0.38 124,224,680 Granted during the year – – 0.41 166,724,000 Exercised during the year – – 0.15 (35,606,680) Lapsed during the year 0.41 (20,000,000) 0.17 (26,406,000) Outstanding at end of the year 0.47 208,936,000 0.4</t>
        </is>
      </c>
    </row>
    <row r="89">
      <c r="A89" s="8" t="inlineStr">
        <is>
          <t>Share-based Payment</t>
        </is>
      </c>
      <c r="B89" s="8" t="inlineStr">
        <is>
          <t>以股份為基礎的付款</t>
        </is>
      </c>
      <c r="C89" s="8" t="inlineStr">
        <is>
          <t>medium</t>
        </is>
      </c>
      <c r="D89" s="11" t="inlineStr">
        <is>
          <t>share option</t>
        </is>
      </c>
      <c r="E89" s="11" t="inlineStr">
        <is>
          <t>PDF p.152 (印刷頁 151)</t>
        </is>
      </c>
      <c r="F89" s="11" t="inlineStr">
        <is>
          <t>r ended 31 March 2026 38. EQUITY-SETTLED SHARE-BASED TRANSACTIONS (Continued) (b) The number and weighted average exercise prices of share options are as follows: (Continued) The fair value of services received in return for share options granted is measured by reference to the fair value of share options granted. The estimation of the fair value of the share options granted is measured based on a binomial option pricing model. The contractual life of the share option is used as an input into this model. Expectations of early e</t>
        </is>
      </c>
    </row>
    <row r="90">
      <c r="A90" s="8" t="inlineStr">
        <is>
          <t>Share-based Payment</t>
        </is>
      </c>
      <c r="B90" s="8" t="inlineStr">
        <is>
          <t>以股份為基礎的付款</t>
        </is>
      </c>
      <c r="C90" s="8" t="inlineStr">
        <is>
          <t>medium</t>
        </is>
      </c>
      <c r="D90" s="11" t="inlineStr">
        <is>
          <t>share option</t>
        </is>
      </c>
      <c r="E90" s="11" t="inlineStr">
        <is>
          <t>PDF p.153 (印刷頁 152)</t>
        </is>
      </c>
      <c r="F90" s="11" t="inlineStr">
        <is>
          <t>ATED FINANCIAL STATEMENTS For the year ended 31 March 2026 38. EQUITY-SETTLED SHARE-BASED TRANSACTIONS (Continued) (c) Fair value of share options and assumptions (Continued) (iii) Share options on 8 December 2023 Tranche 1a Tranche 1b Tranche 1c Tranche 1d Share price (HK$) 0.600 0.600 0.600 0.600 Exercise price (HK$) 0.601 0.601 0.601 0.601 Expected volatility 95.60% 95.60% 95.60% 95.60% Expected option life 4 years 4 years 4 years 4 years Expected dividend 0% 0% 0% 0% Risk-free rate 3.463% 3.463% 3.463% 3.463% Fair value per</t>
        </is>
      </c>
    </row>
    <row r="91">
      <c r="A91" s="8" t="inlineStr">
        <is>
          <t>Related Party Transactions</t>
        </is>
      </c>
      <c r="B91" s="8" t="inlineStr">
        <is>
          <t>關聯方交易</t>
        </is>
      </c>
      <c r="C91" s="8" t="inlineStr">
        <is>
          <t>low</t>
        </is>
      </c>
      <c r="D91" s="11" t="inlineStr">
        <is>
          <t>related party</t>
        </is>
      </c>
      <c r="E91" s="11" t="inlineStr">
        <is>
          <t>PDF p.31 (印刷頁 30)</t>
        </is>
      </c>
      <c r="F91" s="11" t="inlineStr">
        <is>
          <t>Limited | Annual 30 Unity Group Holdings International Report 2025/2026 DIRECTORS’ REPORT RELATED PARTY TRANSACTIONS AUDIT COMMITTEE Details of the Group’s related party transaction are set The Audit Committee of the Board was established with out in Note 36 to the consolidated financial statements. its written terms of reference in compliance with Rules Save for transactions disclosed under Note 36(a)(i) which 3.21 to 3.23 of the Listing Rules and code provision D.3.3 are continuing c</t>
        </is>
      </c>
    </row>
    <row r="92">
      <c r="A92" s="8" t="inlineStr">
        <is>
          <t>Related Party Transactions</t>
        </is>
      </c>
      <c r="B92" s="8" t="inlineStr">
        <is>
          <t>關聯方交易</t>
        </is>
      </c>
      <c r="C92" s="8" t="inlineStr">
        <is>
          <t>low</t>
        </is>
      </c>
      <c r="D92" s="11" t="inlineStr">
        <is>
          <t>connected transaction</t>
        </is>
      </c>
      <c r="E92" s="11" t="inlineStr">
        <is>
          <t>PDF p.42 (印刷頁 41)</t>
        </is>
      </c>
      <c r="F92" s="11" t="inlineStr">
        <is>
          <t>ements of such function to the Linda Xin Xin. Board The Nomination Committee is primarily responsible for • reviewing the continuing connected transactions reviewing the structure, size, composition and diversity of (fully exempt from all requirements under the Listing the Board at least annually, developing and formulating Rules) relevant procedures for the nomination and appointment of directors, making recommendations to the Board on The Group’s annual results for the year ended 31 March the appointment and succession planni</t>
        </is>
      </c>
    </row>
    <row r="93">
      <c r="A93" s="8" t="inlineStr">
        <is>
          <t>Related Party Transactions</t>
        </is>
      </c>
      <c r="B93" s="8" t="inlineStr">
        <is>
          <t>關聯方交易</t>
        </is>
      </c>
      <c r="C93" s="8" t="inlineStr">
        <is>
          <t>low</t>
        </is>
      </c>
      <c r="D93" s="11" t="inlineStr">
        <is>
          <t>connected transaction</t>
        </is>
      </c>
      <c r="E93" s="11" t="inlineStr">
        <is>
          <t>PDF p.50 (印刷頁 49)</t>
        </is>
      </c>
      <c r="F93" s="11" t="inlineStr">
        <is>
          <t>ties interest disclosure, disclosure requirements of recognises the importance of transparency and timely discloseable transactions, connected transactions and disclosure of corporate information, which enable the inside information. The Company Secretary shall provide shareholders and investors to make the best investment advice to the Board with respect to strict compliance with decisions. The Board endeavours to maintain an on-going the laws, requirements and the Articles of Association dialogue with shareholders and in part</t>
        </is>
      </c>
    </row>
    <row r="94">
      <c r="A94" s="8" t="inlineStr">
        <is>
          <t>Related Party Transactions</t>
        </is>
      </c>
      <c r="B94" s="8" t="inlineStr">
        <is>
          <t>關聯方交易</t>
        </is>
      </c>
      <c r="C94" s="8" t="inlineStr">
        <is>
          <t>low</t>
        </is>
      </c>
      <c r="D94" s="11" t="inlineStr">
        <is>
          <t>related party</t>
        </is>
      </c>
      <c r="E94" s="11" t="inlineStr">
        <is>
          <t>PDF p.143 (印刷頁 142)</t>
        </is>
      </c>
      <c r="F94" s="11" t="inlineStr">
        <is>
          <t>ty Group Holdings International Report 2025/2026 NOTES TO THE CONSOLIDATED FINANCIAL STATEMENTS For the year ended 31 March 2026 36. RELATED PARTY TRANSACTIONS (a) Save as disclosed elsewhere in these financial statements, the Group had the following material related party transactions during the year: 2026 2025 Notes HK$’000 HK$’000 Interest expenses to an associate 3,028 66 Computer software consultancy service fees paid to a related company (i) 336 336 Notes: (i) The Group has paid computer software consultancy service fees</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31"/>
  <sheetViews>
    <sheetView workbookViewId="0">
      <pane ySplit="30" topLeftCell="A31" activePane="bottomLeft" state="frozen"/>
      <selection pane="bottomLeft" activeCell="A1" sqref="A1"/>
    </sheetView>
  </sheetViews>
  <sheetFormatPr baseColWidth="8" defaultRowHeight="15"/>
  <cols>
    <col width="16" customWidth="1" min="1" max="1"/>
    <col width="40" customWidth="1" min="2" max="2"/>
  </cols>
  <sheetData>
    <row r="1">
      <c r="A1" s="1" t="inlineStr">
        <is>
          <t>需要人手處理的項目</t>
        </is>
      </c>
    </row>
    <row r="2">
      <c r="A2" s="2" t="inlineStr">
        <is>
          <t>工具沒抓到的東西會列在這裡,不會靜靜消失 —— 請人手翻閱原文補入。</t>
        </is>
      </c>
    </row>
    <row r="4">
      <c r="A4" s="5" t="inlineStr">
        <is>
          <t>一、未擷取到的財務科目</t>
        </is>
      </c>
    </row>
    <row r="5">
      <c r="A5" s="2" t="inlineStr">
        <is>
          <t>可能原因:該公司未單獨揭露此科目 / 用了工具不認得的措辭 / 位於跨頁或附註中。措辭問題可在 config.py 補上別名。</t>
        </is>
      </c>
    </row>
    <row r="7">
      <c r="A7" s="7" t="inlineStr">
        <is>
          <t>報表 Statement</t>
        </is>
      </c>
      <c r="B7" s="7" t="inlineStr">
        <is>
          <t>未擷取科目 Missing item</t>
        </is>
      </c>
    </row>
    <row r="8">
      <c r="A8" s="8" t="inlineStr">
        <is>
          <t>Balance Sheet</t>
        </is>
      </c>
      <c r="B8" s="8" t="inlineStr">
        <is>
          <t>Total Assets</t>
        </is>
      </c>
    </row>
    <row r="9">
      <c r="A9" s="8" t="inlineStr">
        <is>
          <t>Balance Sheet</t>
        </is>
      </c>
      <c r="B9" s="8" t="inlineStr">
        <is>
          <t>Total Current Assets</t>
        </is>
      </c>
    </row>
    <row r="10">
      <c r="A10" s="8" t="inlineStr">
        <is>
          <t>Balance Sheet</t>
        </is>
      </c>
      <c r="B10" s="8" t="inlineStr">
        <is>
          <t>Cash and Equivalents</t>
        </is>
      </c>
    </row>
    <row r="11">
      <c r="A11" s="8" t="inlineStr">
        <is>
          <t>Balance Sheet</t>
        </is>
      </c>
      <c r="B11" s="8" t="inlineStr">
        <is>
          <t>Inventories</t>
        </is>
      </c>
    </row>
    <row r="12">
      <c r="A12" s="8" t="inlineStr">
        <is>
          <t>Balance Sheet</t>
        </is>
      </c>
      <c r="B12" s="8" t="inlineStr">
        <is>
          <t>Trade Receivables</t>
        </is>
      </c>
    </row>
    <row r="13">
      <c r="A13" s="8" t="inlineStr">
        <is>
          <t>Balance Sheet</t>
        </is>
      </c>
      <c r="B13" s="8" t="inlineStr">
        <is>
          <t>Goodwill</t>
        </is>
      </c>
    </row>
    <row r="14">
      <c r="A14" s="8" t="inlineStr">
        <is>
          <t>Balance Sheet</t>
        </is>
      </c>
      <c r="B14" s="8" t="inlineStr">
        <is>
          <t>Intangible Assets</t>
        </is>
      </c>
    </row>
    <row r="15">
      <c r="A15" s="8" t="inlineStr">
        <is>
          <t>Balance Sheet</t>
        </is>
      </c>
      <c r="B15" s="8" t="inlineStr">
        <is>
          <t>Investment Properties</t>
        </is>
      </c>
    </row>
    <row r="16">
      <c r="A16" s="8" t="inlineStr">
        <is>
          <t>Balance Sheet</t>
        </is>
      </c>
      <c r="B16" s="8" t="inlineStr">
        <is>
          <t>Property Plant and Equipment</t>
        </is>
      </c>
    </row>
    <row r="17">
      <c r="A17" s="8" t="inlineStr">
        <is>
          <t>Balance Sheet</t>
        </is>
      </c>
      <c r="B17" s="8" t="inlineStr">
        <is>
          <t>Total Liabilities</t>
        </is>
      </c>
    </row>
    <row r="18">
      <c r="A18" s="8" t="inlineStr">
        <is>
          <t>Balance Sheet</t>
        </is>
      </c>
      <c r="B18" s="8" t="inlineStr">
        <is>
          <t>Total Current Liabilities</t>
        </is>
      </c>
    </row>
    <row r="19">
      <c r="A19" s="8" t="inlineStr">
        <is>
          <t>Balance Sheet</t>
        </is>
      </c>
      <c r="B19" s="8" t="inlineStr">
        <is>
          <t>Borrowings</t>
        </is>
      </c>
    </row>
    <row r="20">
      <c r="A20" s="8" t="inlineStr">
        <is>
          <t>Balance Sheet</t>
        </is>
      </c>
      <c r="B20" s="8" t="inlineStr">
        <is>
          <t>Total Equity</t>
        </is>
      </c>
    </row>
    <row r="21">
      <c r="A21" s="8" t="inlineStr">
        <is>
          <t>Cash Flow</t>
        </is>
      </c>
      <c r="B21" s="8" t="inlineStr">
        <is>
          <t>Operating Cash Flow</t>
        </is>
      </c>
    </row>
    <row r="22">
      <c r="A22" s="8" t="inlineStr">
        <is>
          <t>Cash Flow</t>
        </is>
      </c>
      <c r="B22" s="8" t="inlineStr">
        <is>
          <t>Investing Cash Flow</t>
        </is>
      </c>
    </row>
    <row r="23">
      <c r="A23" s="8" t="inlineStr">
        <is>
          <t>Cash Flow</t>
        </is>
      </c>
      <c r="B23" s="8" t="inlineStr">
        <is>
          <t>Financing Cash Flow</t>
        </is>
      </c>
    </row>
    <row r="24">
      <c r="A24" s="8" t="inlineStr">
        <is>
          <t>Cash Flow</t>
        </is>
      </c>
      <c r="B24" s="8" t="inlineStr">
        <is>
          <t>Capital Expenditure</t>
        </is>
      </c>
    </row>
    <row r="27">
      <c r="A27" s="5" t="inlineStr">
        <is>
          <t>二、文字量過低的頁面(疑似掃描頁)</t>
        </is>
      </c>
    </row>
    <row r="28">
      <c r="A28" s="2" t="inlineStr">
        <is>
          <t>這些頁面幾乎抓不到文字,通常是掃描件或純圖表,建議人手翻閱或另行 OCR。</t>
        </is>
      </c>
    </row>
    <row r="30">
      <c r="A30" s="7" t="inlineStr">
        <is>
          <t>PDF 頁碼</t>
        </is>
      </c>
      <c r="B30" s="7" t="inlineStr">
        <is>
          <t>狀態</t>
        </is>
      </c>
    </row>
    <row r="31">
      <c r="A31" s="4" t="inlineStr">
        <is>
          <t>無 — 全份文件均成功擷取文字</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2026-08-30T14:16:08Z</dcterms:created>
  <dcterms:modified xsi:type="dcterms:W3CDTF">2026-08-30T14:16:08Z</dcterms:modified>
</cp:coreProperties>
</file>
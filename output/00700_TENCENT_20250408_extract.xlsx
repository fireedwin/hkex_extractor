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00700_TENCENT_20250408.pdf</t>
        </is>
      </c>
    </row>
    <row r="5">
      <c r="A5" s="3" t="inlineStr">
        <is>
          <t>產生時間 Generated</t>
        </is>
      </c>
      <c r="B5" s="4" t="inlineStr">
        <is>
          <t>2026-08-30 21:49</t>
        </is>
      </c>
    </row>
    <row r="6">
      <c r="A6" s="4" t="inlineStr"/>
      <c r="B6" s="4" t="inlineStr"/>
    </row>
    <row r="7">
      <c r="A7" s="3" t="inlineStr">
        <is>
          <t>總頁數 Total pages</t>
        </is>
      </c>
      <c r="B7" s="4" t="n">
        <v>274</v>
      </c>
    </row>
    <row r="8">
      <c r="A8" s="3" t="inlineStr">
        <is>
          <t>已擷取字元 Characters extracted</t>
        </is>
      </c>
      <c r="B8" s="4" t="n">
        <v>532714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21</v>
      </c>
    </row>
    <row r="13">
      <c r="A13" s="3" t="inlineStr">
        <is>
          <t>財務科目擷取筆數 Financial line items</t>
        </is>
      </c>
      <c r="B13" s="4" t="n">
        <v>24</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496,180 − 396,909 = 99,271</t>
        </is>
      </c>
    </row>
    <row r="20">
      <c r="A20" s="6" t="inlineStr">
        <is>
          <t>✓ 總資產 = 總負債 + 總權益</t>
        </is>
      </c>
      <c r="B20" s="4" t="inlineStr">
        <is>
          <t>1,780,995 vs 727,099 + 1,053,896 = 1,780,995</t>
        </is>
      </c>
    </row>
    <row r="21">
      <c r="A21" s="6" t="inlineStr">
        <is>
          <t>✓ 收入 − 銷售成本 = 毛利</t>
        </is>
      </c>
      <c r="B21" s="4" t="inlineStr">
        <is>
          <t>660,257 − 311,011 = 349,246 vs 毛利 349,246</t>
        </is>
      </c>
    </row>
    <row r="22">
      <c r="A22" s="6" t="inlineStr">
        <is>
          <t>✓ 除稅前溢利 ± 稅項 = 年內溢利</t>
        </is>
      </c>
      <c r="B22" s="4" t="inlineStr">
        <is>
          <t>241,485 + 45,018 = 196,467 vs 196,467</t>
        </is>
      </c>
    </row>
    <row r="23">
      <c r="A23" s="6" t="inlineStr">
        <is>
          <t>✓ 三大報表應相鄰</t>
        </is>
      </c>
      <c r="B23" s="4" t="inlineStr">
        <is>
          <t>Income Statement: p.124、Balance Sheet: p.126、Cash Flow: p.133(相距 9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22</v>
      </c>
      <c r="D5" s="10" t="n">
        <v>22</v>
      </c>
      <c r="E5" s="11" t="inlineStr">
        <is>
          <t>22%</t>
        </is>
      </c>
      <c r="F5" s="11" t="inlineStr">
        <is>
          <t>High</t>
        </is>
      </c>
      <c r="G5" s="11" t="inlineStr">
        <is>
          <t>PDF p.216 (印刷頁 215)</t>
        </is>
      </c>
      <c r="H5" s="11" t="inlineStr">
        <is>
          <t>nal growth rate of generally not more than 5% (2023: not more than 5%). Pre-tax discount rates of not more than 22% (2023: not more than 22%) were applied, which reflected assessment of time value and specific risks relating to the industries that the G</t>
        </is>
      </c>
    </row>
    <row r="6">
      <c r="A6" s="8" t="inlineStr">
        <is>
          <t>Expected Volatility</t>
        </is>
      </c>
      <c r="B6" s="8" t="inlineStr">
        <is>
          <t>預期波幅</t>
        </is>
      </c>
      <c r="C6" s="9" t="n">
        <v>32</v>
      </c>
      <c r="D6" s="10" t="n">
        <v>32</v>
      </c>
      <c r="E6" s="11" t="inlineStr">
        <is>
          <t>32%</t>
        </is>
      </c>
      <c r="F6" s="11" t="inlineStr">
        <is>
          <t>High</t>
        </is>
      </c>
      <c r="G6" s="11" t="inlineStr">
        <is>
          <t>PDF p.181 (印刷頁 180)</t>
        </is>
      </c>
      <c r="H6" s="11" t="inlineStr">
        <is>
          <t xml:space="preserve"> 2023 2024 2023 RMB’Million RMB’Million Investments in unlisted 192,787 213,369 Expected volatility 32% ~ 82% 33% ~ 82% Depends on rights and companies in restrictions of shares FVPL and FVOCI held by the Group Risk-free rate 0.04% ~ 6.64% 0.04% ~ 7.05% 180 T</t>
        </is>
      </c>
    </row>
    <row r="7">
      <c r="A7" s="8" t="inlineStr">
        <is>
          <t>Expected Volatility</t>
        </is>
      </c>
      <c r="B7" s="8" t="inlineStr">
        <is>
          <t>預期波幅</t>
        </is>
      </c>
      <c r="C7" s="9" t="n">
        <v>38</v>
      </c>
      <c r="D7" s="10" t="n">
        <v>38</v>
      </c>
      <c r="E7" s="11" t="inlineStr">
        <is>
          <t>38%</t>
        </is>
      </c>
      <c r="F7" s="11" t="inlineStr">
        <is>
          <t>High</t>
        </is>
      </c>
      <c r="G7" s="11" t="inlineStr">
        <is>
          <t>PDF p.245 (印刷頁 244)</t>
        </is>
      </c>
      <c r="H7" s="11" t="inlineStr">
        <is>
          <t>HKD341.90 Risk-free rate 2.55% ~ 3.52% 2.82% ~ 3.98% Dividend yield 0.39% 0.31% Expected volatility (Note) 38% ~ 39% 36% ~ 37% Note: The expected volatility, measured as the standard deviation of expected share price returns, is determined based on the averag</t>
        </is>
      </c>
    </row>
    <row r="8">
      <c r="A8" s="8" t="inlineStr">
        <is>
          <t>Expected Volatility</t>
        </is>
      </c>
      <c r="B8" s="8" t="inlineStr">
        <is>
          <t>預期波幅</t>
        </is>
      </c>
      <c r="C8" s="9" t="n">
        <v>37</v>
      </c>
      <c r="D8" s="10" t="n">
        <v>37</v>
      </c>
      <c r="E8" s="11" t="inlineStr">
        <is>
          <t>37%</t>
        </is>
      </c>
      <c r="F8" s="11" t="inlineStr">
        <is>
          <t>Medium</t>
        </is>
      </c>
      <c r="G8" s="11" t="inlineStr">
        <is>
          <t>PDF p.245 (印刷頁 244)</t>
        </is>
      </c>
      <c r="H8" s="11" t="inlineStr">
        <is>
          <t>dend yield 0.39% 0.31% Expected volatility (Note) 38% ~ 39% 36% ~ 37% Note: The expected volatility, measured as the standard deviation of expected share price returns, is determined based on the average daily trading price volatility of the shares of the Com</t>
        </is>
      </c>
    </row>
    <row r="9">
      <c r="A9" s="8" t="inlineStr">
        <is>
          <t>Gross Margin</t>
        </is>
      </c>
      <c r="B9" s="8" t="inlineStr">
        <is>
          <t>毛利率</t>
        </is>
      </c>
      <c r="C9" s="9" t="n">
        <v>53</v>
      </c>
      <c r="D9" s="10" t="n">
        <v>53</v>
      </c>
      <c r="E9" s="11" t="inlineStr">
        <is>
          <t>53%</t>
        </is>
      </c>
      <c r="F9" s="11" t="inlineStr">
        <is>
          <t>High</t>
        </is>
      </c>
      <c r="G9" s="11" t="inlineStr">
        <is>
          <t>PDF p.10 (印刷頁 9)</t>
        </is>
      </c>
      <c r="H9" s="11" t="inlineStr">
        <is>
          <t>form video businesses also contributed to the overall increase in gross profit. Gross margin increased to 53%, compared to 48% in the prior year. The following table sets forth gross profit and gross margin of the Group and its segments for the years e</t>
        </is>
      </c>
    </row>
    <row r="10">
      <c r="A10" s="8" t="inlineStr">
        <is>
          <t>Gross Margin</t>
        </is>
      </c>
      <c r="B10" s="8" t="inlineStr">
        <is>
          <t>毛利率</t>
        </is>
      </c>
      <c r="C10" s="9" t="n">
        <v>57</v>
      </c>
      <c r="D10" s="10" t="n">
        <v>57</v>
      </c>
      <c r="E10" s="11" t="inlineStr">
        <is>
          <t>57%</t>
        </is>
      </c>
      <c r="F10" s="11" t="inlineStr">
        <is>
          <t>High</t>
        </is>
      </c>
      <c r="G10" s="11" t="inlineStr">
        <is>
          <t>PDF p.10 (印刷頁 9)</t>
        </is>
      </c>
      <c r="H10" s="11" t="inlineStr">
        <is>
          <t>l as long-form video subscription revenue growth and content cost optimisation. Gross margin improved to 57%, up from 54% in the prior year. – Gross profit for Marketing Services rose by 31% year-on-year to RMB67.2 billion, primarily due to growth in h</t>
        </is>
      </c>
    </row>
    <row r="11">
      <c r="A11" s="8" t="inlineStr">
        <is>
          <t>Gross Margin</t>
        </is>
      </c>
      <c r="B11" s="8" t="inlineStr">
        <is>
          <t>毛利率</t>
        </is>
      </c>
      <c r="C11" s="9" t="n">
        <v>55</v>
      </c>
      <c r="D11" s="10" t="n">
        <v>55</v>
      </c>
      <c r="E11" s="11" t="inlineStr">
        <is>
          <t>55%</t>
        </is>
      </c>
      <c r="F11" s="11" t="inlineStr">
        <is>
          <t>High</t>
        </is>
      </c>
      <c r="G11" s="11" t="inlineStr">
        <is>
          <t>PDF p.10 (印刷頁 9)</t>
        </is>
      </c>
      <c r="H11" s="11" t="inlineStr">
        <is>
          <t xml:space="preserve"> high-margin revenues from Video Accounts and Weixin Search marketing services. Gross margin expanded to 55%, compared to 51% in the previous year. – Gross profit for FinTech and Business Services increased by 24% year-on-year to RMB99.7 billion, drive</t>
        </is>
      </c>
    </row>
    <row r="12">
      <c r="A12" s="8" t="inlineStr">
        <is>
          <t>Gross Margin</t>
        </is>
      </c>
      <c r="B12" s="8" t="inlineStr">
        <is>
          <t>毛利率</t>
        </is>
      </c>
      <c r="C12" s="9" t="n">
        <v>47</v>
      </c>
      <c r="D12" s="10" t="n">
        <v>47</v>
      </c>
      <c r="E12" s="11" t="inlineStr">
        <is>
          <t>47%</t>
        </is>
      </c>
      <c r="F12" s="11" t="inlineStr">
        <is>
          <t>High</t>
        </is>
      </c>
      <c r="G12" s="11" t="inlineStr">
        <is>
          <t>PDF p.10 (印刷頁 9)</t>
        </is>
      </c>
      <c r="H12" s="11" t="inlineStr">
        <is>
          <t>nology service fees, as well as enhanced cost efficiency in our cloud services. Gross margin rose to 47% from 40% in the previous year. Annual Report 2024 9</t>
        </is>
      </c>
    </row>
    <row r="13">
      <c r="A13" s="8" t="inlineStr">
        <is>
          <t>Gross Margin</t>
        </is>
      </c>
      <c r="B13" s="8" t="inlineStr">
        <is>
          <t>毛利率</t>
        </is>
      </c>
      <c r="C13" s="9" t="n">
        <v>12</v>
      </c>
      <c r="D13" s="10" t="n">
        <v>12</v>
      </c>
      <c r="E13" s="11" t="inlineStr">
        <is>
          <t>12%</t>
        </is>
      </c>
      <c r="F13" s="11" t="inlineStr">
        <is>
          <t>Medium</t>
        </is>
      </c>
      <c r="G13" s="11" t="inlineStr">
        <is>
          <t>PDF p.10 (印刷頁 9)</t>
        </is>
      </c>
      <c r="H13" s="11" t="inlineStr">
        <is>
          <t>ar ended 31 December Yearon-year 2024 2023 change 2024 2023 Gross profit/(loss) Gross margin (RMB in millions, unless specified) VAS 181,657 161,919 12% 57% 54% Marketing Services 67,232 51,344 31% 55% 51% FinTech and Business Services 99,701 80,636 24</t>
        </is>
      </c>
    </row>
    <row r="14">
      <c r="A14" s="8" t="inlineStr">
        <is>
          <t>Gross Margin</t>
        </is>
      </c>
      <c r="B14" s="8" t="inlineStr">
        <is>
          <t>毛利率</t>
        </is>
      </c>
      <c r="C14" s="9" t="n">
        <v>53</v>
      </c>
      <c r="D14" s="10" t="n">
        <v>53</v>
      </c>
      <c r="E14" s="11" t="inlineStr">
        <is>
          <t>53%</t>
        </is>
      </c>
      <c r="F14" s="11" t="inlineStr">
        <is>
          <t>High</t>
        </is>
      </c>
      <c r="G14" s="11" t="inlineStr">
        <is>
          <t>PDF p.14 (印刷頁 13)</t>
        </is>
      </c>
      <c r="H14" s="11" t="inlineStr">
        <is>
          <t>ts and Weixin Search, alongside enhanced cost efficiency in our cloud services. Gross margin improved to 53% from 50% in the same period last year. The following table sets forth gross profit and gross margin of the Group and its segments for the fourt</t>
        </is>
      </c>
    </row>
    <row r="15">
      <c r="A15" s="8" t="inlineStr">
        <is>
          <t>Gross Margin</t>
        </is>
      </c>
      <c r="B15" s="8" t="inlineStr">
        <is>
          <t>毛利率</t>
        </is>
      </c>
      <c r="C15" s="9" t="n">
        <v>56</v>
      </c>
      <c r="D15" s="10" t="n">
        <v>56</v>
      </c>
      <c r="E15" s="11" t="inlineStr">
        <is>
          <t>56%</t>
        </is>
      </c>
      <c r="F15" s="11" t="inlineStr">
        <is>
          <t>High</t>
        </is>
      </c>
      <c r="G15" s="11" t="inlineStr">
        <is>
          <t>PDF p.14 (印刷頁 13)</t>
        </is>
      </c>
      <c r="H15" s="11" t="inlineStr">
        <is>
          <t>4.2 billion, primarily driven by growth in high-margin Domestic Games revenues. Gross margin rose to 56%, up from 54% in the same period last year. – Gross profit for Marketing Services was RMB20.2 billion, up 19% year-on-year, supported by growth in h</t>
        </is>
      </c>
    </row>
    <row r="16">
      <c r="A16" s="8" t="inlineStr">
        <is>
          <t>Gross Margin</t>
        </is>
      </c>
      <c r="B16" s="8" t="inlineStr">
        <is>
          <t>毛利率</t>
        </is>
      </c>
      <c r="C16" s="9" t="n">
        <v>58</v>
      </c>
      <c r="D16" s="10" t="n">
        <v>58</v>
      </c>
      <c r="E16" s="11" t="inlineStr">
        <is>
          <t>58%</t>
        </is>
      </c>
      <c r="F16" s="11" t="inlineStr">
        <is>
          <t>High</t>
        </is>
      </c>
      <c r="G16" s="11" t="inlineStr">
        <is>
          <t>PDF p.14 (印刷頁 13)</t>
        </is>
      </c>
      <c r="H16" s="11" t="inlineStr">
        <is>
          <t>, supported by growth in high-margin Video Accounts and Weixin Search revenues. Gross margin was 58%, compared to 57% in the same period last year. – Gross profit for FinTech and Business Services rose by 11% year-on-year to RMB26.5 billion, mainly due</t>
        </is>
      </c>
    </row>
    <row r="17">
      <c r="A17" s="8" t="inlineStr">
        <is>
          <t>Gross Margin</t>
        </is>
      </c>
      <c r="B17" s="8" t="inlineStr">
        <is>
          <t>毛利率</t>
        </is>
      </c>
      <c r="C17" s="9" t="n">
        <v>47</v>
      </c>
      <c r="D17" s="10" t="n">
        <v>47</v>
      </c>
      <c r="E17" s="11" t="inlineStr">
        <is>
          <t>47%</t>
        </is>
      </c>
      <c r="F17" s="11" t="inlineStr">
        <is>
          <t>High</t>
        </is>
      </c>
      <c r="G17" s="11" t="inlineStr">
        <is>
          <t>PDF p.14 (印刷頁 13)</t>
        </is>
      </c>
      <c r="H17" s="11" t="inlineStr">
        <is>
          <t>n services and WeCom, alongside improved cost efficiency in our cloud services. Gross margin increased to 47% from 44% in the same period last year. Annual Report 2024 13</t>
        </is>
      </c>
    </row>
    <row r="18">
      <c r="A18" s="8" t="inlineStr">
        <is>
          <t>Gross Margin</t>
        </is>
      </c>
      <c r="B18" s="8" t="inlineStr">
        <is>
          <t>毛利率</t>
        </is>
      </c>
      <c r="C18" s="9" t="n">
        <v>19</v>
      </c>
      <c r="D18" s="10" t="n">
        <v>19</v>
      </c>
      <c r="E18" s="11" t="inlineStr">
        <is>
          <t>19%</t>
        </is>
      </c>
      <c r="F18" s="11" t="inlineStr">
        <is>
          <t>Medium</t>
        </is>
      </c>
      <c r="G18" s="11" t="inlineStr">
        <is>
          <t>PDF p.14 (印刷頁 13)</t>
        </is>
      </c>
      <c r="H18" s="11" t="inlineStr">
        <is>
          <t xml:space="preserve"> on-year 31 December 31 December 2024 2023 change 2024 2023 Gross profit/(loss) Gross margin (RMB in millions, unless specified) VAS 44,157 37,090 19% 56% 54% Marketing Services 20,197 16,922 19% 58% 57% FinTech and Business Services 26,460 23,860 11% </t>
        </is>
      </c>
    </row>
    <row r="19">
      <c r="A19" s="8" t="inlineStr">
        <is>
          <t>Gross Margin</t>
        </is>
      </c>
      <c r="B19" s="8" t="inlineStr">
        <is>
          <t>毛利率</t>
        </is>
      </c>
      <c r="C19" s="9" t="n">
        <v>53</v>
      </c>
      <c r="D19" s="10" t="n">
        <v>53</v>
      </c>
      <c r="E19" s="11" t="inlineStr">
        <is>
          <t>53%</t>
        </is>
      </c>
      <c r="F19" s="11" t="inlineStr">
        <is>
          <t>High</t>
        </is>
      </c>
      <c r="G19" s="11" t="inlineStr">
        <is>
          <t>PDF p.17 (印刷頁 16)</t>
        </is>
      </c>
      <c r="H19" s="11" t="inlineStr">
        <is>
          <t>t was RMB90.7 billion for the fourth quarter of 2024, up 2% quarter-on-quarter. Gross margin was 53%, broadly stable quarter-on-quarter. – Gross profit for VAS was RMB44.2 billion, down 7% quarter-on-quarter primarily due to seasonally lower revenues f</t>
        </is>
      </c>
    </row>
    <row r="20">
      <c r="A20" s="8" t="inlineStr">
        <is>
          <t>Gross Margin</t>
        </is>
      </c>
      <c r="B20" s="8" t="inlineStr">
        <is>
          <t>毛利率</t>
        </is>
      </c>
      <c r="C20" s="9" t="n">
        <v>56</v>
      </c>
      <c r="D20" s="10" t="n">
        <v>56</v>
      </c>
      <c r="E20" s="11" t="inlineStr">
        <is>
          <t>56%</t>
        </is>
      </c>
      <c r="F20" s="11" t="inlineStr">
        <is>
          <t>High</t>
        </is>
      </c>
      <c r="G20" s="11" t="inlineStr">
        <is>
          <t>PDF p.17 (印刷頁 16)</t>
        </is>
      </c>
      <c r="H20" s="11" t="inlineStr">
        <is>
          <t>rter-on-quarter primarily due to seasonally lower revenues from Domestic Games. Gross margin was 56%, compared to 57% in the third quarter of 2024. – Gross profit for Marketing Services increased by 27% quarter-on-quarter to RMB20.2 billion driven by s</t>
        </is>
      </c>
    </row>
    <row r="21">
      <c r="A21" s="8" t="inlineStr">
        <is>
          <t>Gross Margin</t>
        </is>
      </c>
      <c r="B21" s="8" t="inlineStr">
        <is>
          <t>毛利率</t>
        </is>
      </c>
      <c r="C21" s="9" t="n">
        <v>58</v>
      </c>
      <c r="D21" s="10" t="n">
        <v>58</v>
      </c>
      <c r="E21" s="11" t="inlineStr">
        <is>
          <t>58%</t>
        </is>
      </c>
      <c r="F21" s="11" t="inlineStr">
        <is>
          <t>High</t>
        </is>
      </c>
      <c r="G21" s="11" t="inlineStr">
        <is>
          <t>PDF p.17 (印刷頁 16)</t>
        </is>
      </c>
      <c r="H21" s="11" t="inlineStr">
        <is>
          <t xml:space="preserve"> to RMB20.2 billion driven by seasonally higher eCommerce advertising spending. Gross margin increased to 58% from 53% in the previous quarter. – Gross profit for FinTech and Business Services increased by 4% quarter-on-quarter to RMB26.5 billion, main</t>
        </is>
      </c>
    </row>
    <row r="22">
      <c r="A22" s="8" t="inlineStr">
        <is>
          <t>Gross Margin</t>
        </is>
      </c>
      <c r="B22" s="8" t="inlineStr">
        <is>
          <t>毛利率</t>
        </is>
      </c>
      <c r="C22" s="9" t="n">
        <v>47</v>
      </c>
      <c r="D22" s="10" t="n">
        <v>47</v>
      </c>
      <c r="E22" s="11" t="inlineStr">
        <is>
          <t>47%</t>
        </is>
      </c>
      <c r="F22" s="11" t="inlineStr">
        <is>
          <t>High</t>
        </is>
      </c>
      <c r="G22" s="11" t="inlineStr">
        <is>
          <t>PDF p.17 (印刷頁 16)</t>
        </is>
      </c>
      <c r="H22" s="11" t="inlineStr">
        <is>
          <t xml:space="preserve">venue growth from consumer loan services and eCommerce technology service fees. Gross margin was 47%, compared to 48% in the third quarter of 2024. Selling and marketing expenses. Selling and marketing expenses rose by 9% quarter-on-quarter to RMB10.3 </t>
        </is>
      </c>
    </row>
    <row r="23">
      <c r="A23" s="8" t="inlineStr">
        <is>
          <t>Risk-free Rate</t>
        </is>
      </c>
      <c r="B23" s="8" t="inlineStr">
        <is>
          <t>無風險利率</t>
        </is>
      </c>
      <c r="C23" s="9" t="n">
        <v>0.04</v>
      </c>
      <c r="D23" s="10" t="n">
        <v>0.04</v>
      </c>
      <c r="E23" s="11" t="inlineStr">
        <is>
          <t>0.04%</t>
        </is>
      </c>
      <c r="F23" s="11" t="inlineStr">
        <is>
          <t>High</t>
        </is>
      </c>
      <c r="G23" s="11" t="inlineStr">
        <is>
          <t>PDF p.181 (印刷頁 180)</t>
        </is>
      </c>
      <c r="H23" s="11" t="inlineStr">
        <is>
          <t>rights and companies in restrictions of shares FVPL and FVOCI held by the Group Risk-free rate 0.04% ~ 6.64% 0.04% ~ 7.05% 180 Tencent Holdings Limited</t>
        </is>
      </c>
    </row>
    <row r="24">
      <c r="A24" s="8" t="inlineStr">
        <is>
          <t>Risk-free Rate</t>
        </is>
      </c>
      <c r="B24" s="8" t="inlineStr">
        <is>
          <t>無風險利率</t>
        </is>
      </c>
      <c r="C24" s="9" t="n">
        <v>2.55</v>
      </c>
      <c r="D24" s="10" t="n">
        <v>2.55</v>
      </c>
      <c r="E24" s="11" t="inlineStr">
        <is>
          <t>2.55%</t>
        </is>
      </c>
      <c r="F24" s="11" t="inlineStr">
        <is>
          <t>High</t>
        </is>
      </c>
      <c r="G24" s="11" t="inlineStr">
        <is>
          <t>PDF p.245 (印刷頁 244)</t>
        </is>
      </c>
      <c r="H24" s="11" t="inlineStr">
        <is>
          <t>w: 2024 2023 Weighted average share price at the grant date HKD297.53 HKD341.90 Risk-free rate 2.55% ~ 3.52% 2.82% ~ 3.98% Dividend yield 0.39% 0.31% Expected volatility (Note) 38% ~ 39% 36% ~ 37% Note: The expected volatility, measured as the standard d</t>
        </is>
      </c>
    </row>
    <row r="25">
      <c r="A25" s="8" t="inlineStr">
        <is>
          <t>Terminal Growth Rate</t>
        </is>
      </c>
      <c r="B25" s="8" t="inlineStr">
        <is>
          <t>永續增長率</t>
        </is>
      </c>
      <c r="C25" s="9" t="n">
        <v>5</v>
      </c>
      <c r="D25" s="10" t="n">
        <v>5</v>
      </c>
      <c r="E25" s="11" t="inlineStr">
        <is>
          <t>5%</t>
        </is>
      </c>
      <c r="F25" s="11" t="inlineStr">
        <is>
          <t>High</t>
        </is>
      </c>
      <c r="G25" s="11" t="inlineStr">
        <is>
          <t>PDF p.216 (印刷頁 215)</t>
        </is>
      </c>
      <c r="H25" s="11" t="inlineStr">
        <is>
          <t>related to cash flows beyond the projection period extrapolated at an estimated terminal growth rate of generally not more than 5% (2023: not more than 5%). Pre-tax discount rates of not more than 22% (2023: not more than 22%) were applied, which reflecte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2024 / 2023; Balance Sheet: 2024 / 2023; Cash Flow: 2024 / 2023</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660257</v>
      </c>
      <c r="D5" s="13" t="n">
        <v>609015</v>
      </c>
      <c r="E5" s="14">
        <f>IF(ISERROR((C5-D5)/ABS(D5)),"",(C5-D5)/ABS(D5))</f>
        <v>0.08413914271405466</v>
      </c>
      <c r="F5" s="11" t="inlineStr">
        <is>
          <t>PDF p.124 (印刷頁 123)</t>
        </is>
      </c>
      <c r="G5" s="11" t="inlineStr">
        <is>
          <t>Revenues … 6 660,257 609,015</t>
        </is>
      </c>
    </row>
    <row r="6">
      <c r="A6" s="8" t="inlineStr">
        <is>
          <t>Income Statement</t>
        </is>
      </c>
      <c r="B6" s="8" t="inlineStr">
        <is>
          <t>Cost of Sales</t>
        </is>
      </c>
      <c r="C6" s="12" t="n">
        <v>-311011</v>
      </c>
      <c r="D6" s="13" t="n">
        <v>-315906</v>
      </c>
      <c r="E6" s="14">
        <f>IF(ISERROR((C6-D6)/ABS(D6)),"",(C6-D6)/ABS(D6))</f>
        <v>0.015495115635663774</v>
      </c>
      <c r="F6" s="11" t="inlineStr">
        <is>
          <t>PDF p.124 (印刷頁 123)</t>
        </is>
      </c>
      <c r="G6" s="11" t="inlineStr">
        <is>
          <t>Cost of revenues 7 (311,011) (315,906)</t>
        </is>
      </c>
    </row>
    <row r="7">
      <c r="A7" s="8" t="inlineStr">
        <is>
          <t>Income Statement</t>
        </is>
      </c>
      <c r="B7" s="8" t="inlineStr">
        <is>
          <t>Gross Profit</t>
        </is>
      </c>
      <c r="C7" s="12" t="n">
        <v>349246</v>
      </c>
      <c r="D7" s="13" t="n">
        <v>293109</v>
      </c>
      <c r="E7" s="14">
        <f>IF(ISERROR((C7-D7)/ABS(D7)),"",(C7-D7)/ABS(D7))</f>
        <v>0.1915226076306084</v>
      </c>
      <c r="F7" s="11" t="inlineStr">
        <is>
          <t>PDF p.124 (印刷頁 123)</t>
        </is>
      </c>
      <c r="G7" s="11" t="inlineStr">
        <is>
          <t>Gross profit 349,246 293,109</t>
        </is>
      </c>
    </row>
    <row r="8">
      <c r="A8" s="8" t="inlineStr">
        <is>
          <t>Income Statement</t>
        </is>
      </c>
      <c r="B8" s="8" t="inlineStr">
        <is>
          <t>Operating Profit</t>
        </is>
      </c>
      <c r="C8" s="12" t="n">
        <v>208099</v>
      </c>
      <c r="D8" s="13" t="n">
        <v>160074</v>
      </c>
      <c r="E8" s="14">
        <f>IF(ISERROR((C8-D8)/ABS(D8)),"",(C8-D8)/ABS(D8))</f>
        <v>0.3000174919099916</v>
      </c>
      <c r="F8" s="11" t="inlineStr">
        <is>
          <t>PDF p.124 (印刷頁 123)</t>
        </is>
      </c>
      <c r="G8" s="11" t="inlineStr">
        <is>
          <t>Operating profit 208,099 160,074</t>
        </is>
      </c>
    </row>
    <row r="9">
      <c r="A9" s="8" t="inlineStr">
        <is>
          <t>Income Statement</t>
        </is>
      </c>
      <c r="B9" s="8" t="inlineStr">
        <is>
          <t>Finance Costs</t>
        </is>
      </c>
      <c r="C9" s="12" t="n">
        <v>-11981</v>
      </c>
      <c r="D9" s="13" t="n">
        <v>-12268</v>
      </c>
      <c r="E9" s="14">
        <f>IF(ISERROR((C9-D9)/ABS(D9)),"",(C9-D9)/ABS(D9))</f>
        <v>0.023394196283012716</v>
      </c>
      <c r="F9" s="11" t="inlineStr">
        <is>
          <t>PDF p.124 (印刷頁 123)</t>
        </is>
      </c>
      <c r="G9" s="11" t="inlineStr">
        <is>
          <t>Finance costs 11 (11,981) (12,268)</t>
        </is>
      </c>
    </row>
    <row r="10">
      <c r="A10" s="8" t="inlineStr">
        <is>
          <t>Income Statement</t>
        </is>
      </c>
      <c r="B10" s="8" t="inlineStr">
        <is>
          <t>Profit Before Tax</t>
        </is>
      </c>
      <c r="C10" s="12" t="n">
        <v>241485</v>
      </c>
      <c r="D10" s="13" t="n">
        <v>161324</v>
      </c>
      <c r="E10" s="14">
        <f>IF(ISERROR((C10-D10)/ABS(D10)),"",(C10-D10)/ABS(D10))</f>
        <v>0.4968944484391659</v>
      </c>
      <c r="F10" s="11" t="inlineStr">
        <is>
          <t>PDF p.124 (印刷頁 123)</t>
        </is>
      </c>
      <c r="G10" s="11" t="inlineStr">
        <is>
          <t>Profit before income tax 241,485 161,324</t>
        </is>
      </c>
    </row>
    <row r="11">
      <c r="A11" s="8" t="inlineStr">
        <is>
          <t>Income Statement</t>
        </is>
      </c>
      <c r="B11" s="8" t="inlineStr">
        <is>
          <t>Income Tax</t>
        </is>
      </c>
      <c r="C11" s="12" t="n">
        <v>-45018</v>
      </c>
      <c r="D11" s="13" t="n">
        <v>-43276</v>
      </c>
      <c r="E11" s="14">
        <f>IF(ISERROR((C11-D11)/ABS(D11)),"",(C11-D11)/ABS(D11))</f>
        <v>-0.040253258156946116</v>
      </c>
      <c r="F11" s="11" t="inlineStr">
        <is>
          <t>PDF p.124 (印刷頁 123)</t>
        </is>
      </c>
      <c r="G11" s="11" t="inlineStr">
        <is>
          <t>Income tax expense 12(a) (45,018) (43,276)</t>
        </is>
      </c>
    </row>
    <row r="12">
      <c r="A12" s="8" t="inlineStr">
        <is>
          <t>Income Statement</t>
        </is>
      </c>
      <c r="B12" s="8" t="inlineStr">
        <is>
          <t>Profit for the Year</t>
        </is>
      </c>
      <c r="C12" s="12" t="n">
        <v>196467</v>
      </c>
      <c r="D12" s="13" t="n">
        <v>118048</v>
      </c>
      <c r="E12" s="14">
        <f>IF(ISERROR((C12-D12)/ABS(D12)),"",(C12-D12)/ABS(D12))</f>
        <v>0.6642975738682569</v>
      </c>
      <c r="F12" s="11" t="inlineStr">
        <is>
          <t>PDF p.124 (印刷頁 123)</t>
        </is>
      </c>
      <c r="G12" s="11" t="inlineStr">
        <is>
          <t>Profit for the year 196,467 118,048</t>
        </is>
      </c>
    </row>
    <row r="13">
      <c r="A13" s="8" t="inlineStr">
        <is>
          <t>Balance Sheet</t>
        </is>
      </c>
      <c r="B13" s="8" t="inlineStr">
        <is>
          <t>Property Plant and Equipment</t>
        </is>
      </c>
      <c r="C13" s="12" t="n">
        <v>80185</v>
      </c>
      <c r="D13" s="13" t="n">
        <v>53232</v>
      </c>
      <c r="E13" s="14">
        <f>IF(ISERROR((C13-D13)/ABS(D13)),"",(C13-D13)/ABS(D13))</f>
        <v>0.5063307784791103</v>
      </c>
      <c r="F13" s="11" t="inlineStr">
        <is>
          <t>PDF p.126 (印刷頁 125)</t>
        </is>
      </c>
      <c r="G13" s="11" t="inlineStr">
        <is>
          <t>Property, plant and equipment 17 80,185 53,232</t>
        </is>
      </c>
    </row>
    <row r="14">
      <c r="A14" s="8" t="inlineStr">
        <is>
          <t>Balance Sheet</t>
        </is>
      </c>
      <c r="B14" s="8" t="inlineStr">
        <is>
          <t>Investment Properties</t>
        </is>
      </c>
      <c r="C14" s="12" t="n">
        <v>801</v>
      </c>
      <c r="D14" s="13" t="n">
        <v>570</v>
      </c>
      <c r="E14" s="14">
        <f>IF(ISERROR((C14-D14)/ABS(D14)),"",(C14-D14)/ABS(D14))</f>
        <v>0.4052631578947368</v>
      </c>
      <c r="F14" s="11" t="inlineStr">
        <is>
          <t>PDF p.126 (印刷頁 125)</t>
        </is>
      </c>
      <c r="G14" s="11" t="inlineStr">
        <is>
          <t>Investment properties 801 570</t>
        </is>
      </c>
    </row>
    <row r="15">
      <c r="A15" s="8" t="inlineStr">
        <is>
          <t>Balance Sheet</t>
        </is>
      </c>
      <c r="B15" s="8" t="inlineStr">
        <is>
          <t>Intangible Assets</t>
        </is>
      </c>
      <c r="C15" s="12" t="n">
        <v>196127</v>
      </c>
      <c r="D15" s="13" t="n">
        <v>177727</v>
      </c>
      <c r="E15" s="14">
        <f>IF(ISERROR((C15-D15)/ABS(D15)),"",(C15-D15)/ABS(D15))</f>
        <v>0.10352957063361222</v>
      </c>
      <c r="F15" s="11" t="inlineStr">
        <is>
          <t>PDF p.126 (印刷頁 125)</t>
        </is>
      </c>
      <c r="G15" s="11" t="inlineStr">
        <is>
          <t>Intangible assets 21 196,127 177,727</t>
        </is>
      </c>
    </row>
    <row r="16">
      <c r="A16" s="8" t="inlineStr">
        <is>
          <t>Balance Sheet</t>
        </is>
      </c>
      <c r="B16" s="8" t="inlineStr">
        <is>
          <t>Inventories</t>
        </is>
      </c>
      <c r="C16" s="12" t="n">
        <v>440</v>
      </c>
      <c r="D16" s="13" t="n">
        <v>456</v>
      </c>
      <c r="E16" s="14">
        <f>IF(ISERROR((C16-D16)/ABS(D16)),"",(C16-D16)/ABS(D16))</f>
        <v>-0.03508771929824561</v>
      </c>
      <c r="F16" s="11" t="inlineStr">
        <is>
          <t>PDF p.126 (印刷頁 125)</t>
        </is>
      </c>
      <c r="G16" s="11" t="inlineStr">
        <is>
          <t>Inventories 440 456</t>
        </is>
      </c>
    </row>
    <row r="17">
      <c r="A17" s="8" t="inlineStr">
        <is>
          <t>Balance Sheet</t>
        </is>
      </c>
      <c r="B17" s="8" t="inlineStr">
        <is>
          <t>Trade Receivables</t>
        </is>
      </c>
      <c r="C17" s="12" t="n">
        <v>48203</v>
      </c>
      <c r="D17" s="13" t="n">
        <v>46606</v>
      </c>
      <c r="E17" s="14">
        <f>IF(ISERROR((C17-D17)/ABS(D17)),"",(C17-D17)/ABS(D17))</f>
        <v>0.03426597433806806</v>
      </c>
      <c r="F17" s="11" t="inlineStr">
        <is>
          <t>PDF p.126 (印刷頁 125)</t>
        </is>
      </c>
      <c r="G17" s="11" t="inlineStr">
        <is>
          <t>Accounts receivable 31 48,203 46,606</t>
        </is>
      </c>
    </row>
    <row r="18">
      <c r="A18" s="8" t="inlineStr">
        <is>
          <t>Balance Sheet</t>
        </is>
      </c>
      <c r="B18" s="8" t="inlineStr">
        <is>
          <t>Cash and Equivalents</t>
        </is>
      </c>
      <c r="C18" s="12" t="n">
        <v>132519</v>
      </c>
      <c r="D18" s="13" t="n">
        <v>172320</v>
      </c>
      <c r="E18" s="14">
        <f>IF(ISERROR((C18-D18)/ABS(D18)),"",(C18-D18)/ABS(D18))</f>
        <v>-0.23097144846796658</v>
      </c>
      <c r="F18" s="11" t="inlineStr">
        <is>
          <t>PDF p.126 (印刷頁 125)</t>
        </is>
      </c>
      <c r="G18" s="11" t="inlineStr">
        <is>
          <t>Cash and cash equivalents 32 132,519 172,320</t>
        </is>
      </c>
    </row>
    <row r="19">
      <c r="A19" s="8" t="inlineStr">
        <is>
          <t>Balance Sheet</t>
        </is>
      </c>
      <c r="B19" s="8" t="inlineStr">
        <is>
          <t>Total Assets</t>
        </is>
      </c>
      <c r="C19" s="12" t="n">
        <v>1780995</v>
      </c>
      <c r="D19" s="13" t="n">
        <v>1577246</v>
      </c>
      <c r="E19" s="14">
        <f>IF(ISERROR((C19-D19)/ABS(D19)),"",(C19-D19)/ABS(D19))</f>
        <v>0.129180229336451</v>
      </c>
      <c r="F19" s="11" t="inlineStr">
        <is>
          <t>PDF p.126 (印刷頁 125)</t>
        </is>
      </c>
      <c r="G19" s="11" t="inlineStr">
        <is>
          <t>Total assets 1,780,995 1,577,246</t>
        </is>
      </c>
    </row>
    <row r="20">
      <c r="A20" s="8" t="inlineStr">
        <is>
          <t>Balance Sheet</t>
        </is>
      </c>
      <c r="B20" s="8" t="inlineStr">
        <is>
          <t>Total Equity</t>
        </is>
      </c>
      <c r="C20" s="12" t="n">
        <v>1053896</v>
      </c>
      <c r="D20" s="13" t="n">
        <v>873681</v>
      </c>
      <c r="E20" s="14">
        <f>IF(ISERROR((C20-D20)/ABS(D20)),"",(C20-D20)/ABS(D20))</f>
        <v>0.20627093870646152</v>
      </c>
      <c r="F20" s="11" t="inlineStr">
        <is>
          <t>PDF p.127 (印刷頁 126)</t>
        </is>
      </c>
      <c r="G20" s="11" t="inlineStr">
        <is>
          <t>Total equity 1,053,896 873,681</t>
        </is>
      </c>
    </row>
    <row r="21">
      <c r="A21" s="8" t="inlineStr">
        <is>
          <t>Balance Sheet</t>
        </is>
      </c>
      <c r="B21" s="8" t="inlineStr">
        <is>
          <t>Borrowings</t>
        </is>
      </c>
      <c r="C21" s="12" t="n">
        <v>146521</v>
      </c>
      <c r="D21" s="13" t="n">
        <v>155819</v>
      </c>
      <c r="E21" s="14">
        <f>IF(ISERROR((C21-D21)/ABS(D21)),"",(C21-D21)/ABS(D21))</f>
        <v>-0.05967179868950513</v>
      </c>
      <c r="F21" s="11" t="inlineStr">
        <is>
          <t>PDF p.127 (印刷頁 126)</t>
        </is>
      </c>
      <c r="G21" s="11" t="inlineStr">
        <is>
          <t>Borrowings 36 146,521 155,819</t>
        </is>
      </c>
    </row>
    <row r="22">
      <c r="A22" s="8" t="inlineStr">
        <is>
          <t>Balance Sheet</t>
        </is>
      </c>
      <c r="B22" s="8" t="inlineStr">
        <is>
          <t>Total Liabilities</t>
        </is>
      </c>
      <c r="C22" s="12" t="n">
        <v>727099</v>
      </c>
      <c r="D22" s="13" t="n">
        <v>703565</v>
      </c>
      <c r="E22" s="14">
        <f>IF(ISERROR((C22-D22)/ABS(D22)),"",(C22-D22)/ABS(D22))</f>
        <v>0.03344964573280365</v>
      </c>
      <c r="F22" s="11" t="inlineStr">
        <is>
          <t>PDF p.128 (印刷頁 127)</t>
        </is>
      </c>
      <c r="G22" s="11" t="inlineStr">
        <is>
          <t>Total liabilities 727,099 703,565</t>
        </is>
      </c>
    </row>
    <row r="23">
      <c r="A23" s="8" t="inlineStr">
        <is>
          <t>Balance Sheet</t>
        </is>
      </c>
      <c r="B23" s="8" t="inlineStr">
        <is>
          <t>Total Current Assets</t>
        </is>
      </c>
      <c r="C23" s="12" t="n">
        <v>496180</v>
      </c>
      <c r="D23" s="13" t="n">
        <v>518446</v>
      </c>
      <c r="E23" s="14">
        <f>IF(ISERROR((C23-D23)/ABS(D23)),"",(C23-D23)/ABS(D23))</f>
        <v>-0.042947577954116724</v>
      </c>
      <c r="F23" s="11" t="inlineStr">
        <is>
          <t>PDF p.126 (印刷頁 125)</t>
        </is>
      </c>
      <c r="G23" s="11" t="inlineStr">
        <is>
          <t>[current assets 區段小計] 496,180 518,446</t>
        </is>
      </c>
    </row>
    <row r="24">
      <c r="A24" s="8" t="inlineStr">
        <is>
          <t>Balance Sheet</t>
        </is>
      </c>
      <c r="B24" s="8" t="inlineStr">
        <is>
          <t>Total Current Liabilities</t>
        </is>
      </c>
      <c r="C24" s="12" t="n">
        <v>396909</v>
      </c>
      <c r="D24" s="13" t="n">
        <v>352157</v>
      </c>
      <c r="E24" s="14">
        <f>IF(ISERROR((C24-D24)/ABS(D24)),"",(C24-D24)/ABS(D24))</f>
        <v>0.1270796832094776</v>
      </c>
      <c r="F24" s="11" t="inlineStr">
        <is>
          <t>PDF p.128 (印刷頁 127)</t>
        </is>
      </c>
      <c r="G24" s="11" t="inlineStr">
        <is>
          <t>[current liabilities 區段小計] 396,909 352,157</t>
        </is>
      </c>
    </row>
    <row r="25">
      <c r="A25" s="8" t="inlineStr">
        <is>
          <t>Cash Flow</t>
        </is>
      </c>
      <c r="B25" s="8" t="inlineStr">
        <is>
          <t>Operating Cash Flow</t>
        </is>
      </c>
      <c r="C25" s="12" t="n">
        <v>258521</v>
      </c>
      <c r="D25" s="13" t="n">
        <v>221962</v>
      </c>
      <c r="E25" s="14">
        <f>IF(ISERROR((C25-D25)/ABS(D25)),"",(C25-D25)/ABS(D25))</f>
        <v>0.1647083735053748</v>
      </c>
      <c r="F25" s="11" t="inlineStr">
        <is>
          <t>PDF p.133 (印刷頁 132)</t>
        </is>
      </c>
      <c r="G25" s="11" t="inlineStr">
        <is>
          <t>Net cash flows generated from operating activities 258,521 221,962</t>
        </is>
      </c>
    </row>
    <row r="26">
      <c r="A26" s="8" t="inlineStr">
        <is>
          <t>Cash Flow</t>
        </is>
      </c>
      <c r="B26" s="8" t="inlineStr">
        <is>
          <t>Capital Expenditure</t>
        </is>
      </c>
      <c r="C26" s="12" t="n">
        <v>-62927</v>
      </c>
      <c r="D26" s="13" t="n">
        <v>-21008</v>
      </c>
      <c r="E26" s="14">
        <f>IF(ISERROR((C26-D26)/ABS(D26)),"",(C26-D26)/ABS(D26))</f>
        <v>-1.9953827113480578</v>
      </c>
      <c r="F26" s="11" t="inlineStr">
        <is>
          <t>PDF p.133 (印刷頁 132)</t>
        </is>
      </c>
      <c r="G26" s="11" t="inlineStr">
        <is>
          <t>Purchase of/prepayments for property, plant and equipment, … construction in progress and investment properties (62,927) (21,008)</t>
        </is>
      </c>
    </row>
    <row r="27">
      <c r="A27" s="8" t="inlineStr">
        <is>
          <t>Cash Flow</t>
        </is>
      </c>
      <c r="B27" s="8" t="inlineStr">
        <is>
          <t>Investing Cash Flow</t>
        </is>
      </c>
      <c r="C27" s="12" t="n">
        <v>-122187</v>
      </c>
      <c r="D27" s="13" t="n">
        <v>-125161</v>
      </c>
      <c r="E27" s="14">
        <f>IF(ISERROR((C27-D27)/ABS(D27)),"",(C27-D27)/ABS(D27))</f>
        <v>0.023761395322824203</v>
      </c>
      <c r="F27" s="11" t="inlineStr">
        <is>
          <t>PDF p.133 (印刷頁 132)</t>
        </is>
      </c>
      <c r="G27" s="11" t="inlineStr">
        <is>
          <t>Net cash flows used in investing activities (122,187) (125,161)</t>
        </is>
      </c>
    </row>
    <row r="28">
      <c r="A28" s="8" t="inlineStr">
        <is>
          <t>Cash Flow</t>
        </is>
      </c>
      <c r="B28" s="8" t="inlineStr">
        <is>
          <t>Financing Cash Flow</t>
        </is>
      </c>
      <c r="C28" s="12" t="n">
        <v>-176494</v>
      </c>
      <c r="D28" s="13" t="n">
        <v>-82573</v>
      </c>
      <c r="E28" s="14">
        <f>IF(ISERROR((C28-D28)/ABS(D28)),"",(C28-D28)/ABS(D28))</f>
        <v>-1.1374299105034333</v>
      </c>
      <c r="F28" s="11" t="inlineStr">
        <is>
          <t>PDF p.134 (印刷頁 133)</t>
        </is>
      </c>
      <c r="G28" s="11" t="inlineStr">
        <is>
          <t>Net cash flows used in financing activities (176,494) (82,573)</t>
        </is>
      </c>
    </row>
    <row r="30">
      <c r="A3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財務數據'!$C$5:$C$28,MATCH("Gross Profit",'Financials 財務數據'!$B$5:$B$28,0))/INDEX('Financials 財務數據'!$C$5:$C$28,MATCH("Revenue",'Financials 財務數據'!$B$5:$B$28,0))),"n/a",INDEX('Financials 財務數據'!$C$5:$C$28,MATCH("Gross Profit",'Financials 財務數據'!$B$5:$B$28,0))/INDEX('Financials 財務數據'!$C$5:$C$28,MATCH("Revenue",'Financials 財務數據'!$B$5:$B$28,0)))</f>
        <v>0.5289546343317829</v>
      </c>
      <c r="C5" s="15">
        <f>IF(ISERROR(INDEX('Financials 財務數據'!$D$5:$D$28,MATCH("Gross Profit",'Financials 財務數據'!$B$5:$B$28,0))/INDEX('Financials 財務數據'!$D$5:$D$28,MATCH("Revenue",'Financials 財務數據'!$B$5:$B$28,0))),"n/a",INDEX('Financials 財務數據'!$D$5:$D$28,MATCH("Gross Profit",'Financials 財務數據'!$B$5:$B$28,0))/INDEX('Financials 財務數據'!$D$5:$D$28,MATCH("Revenue",'Financials 財務數據'!$B$5:$B$28,0)))</f>
        <v>0.48128371222383687</v>
      </c>
      <c r="D5" s="2" t="inlineStr">
        <is>
          <t>毛利 ÷ 收入</t>
        </is>
      </c>
    </row>
    <row r="6">
      <c r="A6" s="4" t="inlineStr">
        <is>
          <t>Net Margin 淨利率</t>
        </is>
      </c>
      <c r="B6" s="15">
        <f>IF(ISERROR(INDEX('Financials 財務數據'!$C$5:$C$28,MATCH("Profit for the Year",'Financials 財務數據'!$B$5:$B$28,0))/INDEX('Financials 財務數據'!$C$5:$C$28,MATCH("Revenue",'Financials 財務數據'!$B$5:$B$28,0))),"n/a",INDEX('Financials 財務數據'!$C$5:$C$28,MATCH("Profit for the Year",'Financials 財務數據'!$B$5:$B$28,0))/INDEX('Financials 財務數據'!$C$5:$C$28,MATCH("Revenue",'Financials 財務數據'!$B$5:$B$28,0)))</f>
        <v>0.2975614041199109</v>
      </c>
      <c r="C6" s="15">
        <f>IF(ISERROR(INDEX('Financials 財務數據'!$D$5:$D$28,MATCH("Profit for the Year",'Financials 財務數據'!$B$5:$B$28,0))/INDEX('Financials 財務數據'!$D$5:$D$28,MATCH("Revenue",'Financials 財務數據'!$B$5:$B$28,0))),"n/a",INDEX('Financials 財務數據'!$D$5:$D$28,MATCH("Profit for the Year",'Financials 財務數據'!$B$5:$B$28,0))/INDEX('Financials 財務數據'!$D$5:$D$28,MATCH("Revenue",'Financials 財務數據'!$B$5:$B$28,0)))</f>
        <v>0.19383430621577466</v>
      </c>
      <c r="D6" s="2" t="inlineStr">
        <is>
          <t>年內溢利 ÷ 收入</t>
        </is>
      </c>
    </row>
    <row r="7">
      <c r="A7" s="4" t="inlineStr">
        <is>
          <t>Current Ratio 流動比率</t>
        </is>
      </c>
      <c r="B7" s="16">
        <f>IF(ISERROR(INDEX('Financials 財務數據'!$C$5:$C$28,MATCH("Total Current Assets",'Financials 財務數據'!$B$5:$B$28,0))/INDEX('Financials 財務數據'!$C$5:$C$28,MATCH("Total Current Liabilities",'Financials 財務數據'!$B$5:$B$28,0))),"n/a",INDEX('Financials 財務數據'!$C$5:$C$28,MATCH("Total Current Assets",'Financials 財務數據'!$B$5:$B$28,0))/INDEX('Financials 財務數據'!$C$5:$C$28,MATCH("Total Current Liabilities",'Financials 財務數據'!$B$5:$B$28,0)))</f>
        <v>1.2501102267774225</v>
      </c>
      <c r="C7" s="16">
        <f>IF(ISERROR(INDEX('Financials 財務數據'!$D$5:$D$28,MATCH("Total Current Assets",'Financials 財務數據'!$B$5:$B$28,0))/INDEX('Financials 財務數據'!$D$5:$D$28,MATCH("Total Current Liabilities",'Financials 財務數據'!$B$5:$B$28,0))),"n/a",INDEX('Financials 財務數據'!$D$5:$D$28,MATCH("Total Current Assets",'Financials 財務數據'!$B$5:$B$28,0))/INDEX('Financials 財務數據'!$D$5:$D$28,MATCH("Total Current Liabilities",'Financials 財務數據'!$B$5:$B$28,0)))</f>
        <v>1.4722013192979269</v>
      </c>
      <c r="D7" s="2" t="inlineStr">
        <is>
          <t>流動資產 ÷ 流動負債</t>
        </is>
      </c>
    </row>
    <row r="8">
      <c r="A8" s="4" t="inlineStr">
        <is>
          <t>Debt / Equity 負債權益比</t>
        </is>
      </c>
      <c r="B8" s="16">
        <f>IF(ISERROR(INDEX('Financials 財務數據'!$C$5:$C$28,MATCH("Total Liabilities",'Financials 財務數據'!$B$5:$B$28,0))/INDEX('Financials 財務數據'!$C$5:$C$28,MATCH("Total Equity",'Financials 財務數據'!$B$5:$B$28,0))),"n/a",INDEX('Financials 財務數據'!$C$5:$C$28,MATCH("Total Liabilities",'Financials 財務數據'!$B$5:$B$28,0))/INDEX('Financials 財務數據'!$C$5:$C$28,MATCH("Total Equity",'Financials 財務數據'!$B$5:$B$28,0)))</f>
        <v>0.6899153237131558</v>
      </c>
      <c r="C8" s="16">
        <f>IF(ISERROR(INDEX('Financials 財務數據'!$D$5:$D$28,MATCH("Total Liabilities",'Financials 財務數據'!$B$5:$B$28,0))/INDEX('Financials 財務數據'!$D$5:$D$28,MATCH("Total Equity",'Financials 財務數據'!$B$5:$B$28,0))),"n/a",INDEX('Financials 財務數據'!$D$5:$D$28,MATCH("Total Liabilities",'Financials 財務數據'!$B$5:$B$28,0))/INDEX('Financials 財務數據'!$D$5:$D$28,MATCH("Total Equity",'Financials 財務數據'!$B$5:$B$28,0)))</f>
        <v>0.8052882001554343</v>
      </c>
      <c r="D8" s="2" t="inlineStr">
        <is>
          <t>總負債 ÷ 總權益</t>
        </is>
      </c>
    </row>
    <row r="9">
      <c r="A9" s="4" t="inlineStr">
        <is>
          <t>Goodwill / Total Assets</t>
        </is>
      </c>
      <c r="B9" s="15" t="str">
        <f>IF(ISERROR(INDEX('Financials 財務數據'!$C$5:$C$28,MATCH("Goodwill",'Financials 財務數據'!$B$5:$B$28,0))/INDEX('Financials 財務數據'!$C$5:$C$28,MATCH("Total Assets",'Financials 財務數據'!$B$5:$B$28,0))),"n/a",INDEX('Financials 財務數據'!$C$5:$C$28,MATCH("Goodwill",'Financials 財務數據'!$B$5:$B$28,0))/INDEX('Financials 財務數據'!$C$5:$C$28,MATCH("Total Assets",'Financials 財務數據'!$B$5:$B$28,0)))</f>
        <v>n/a</v>
      </c>
      <c r="C9" s="15" t="str">
        <f>IF(ISERROR(INDEX('Financials 財務數據'!$D$5:$D$28,MATCH("Goodwill",'Financials 財務數據'!$B$5:$B$28,0))/INDEX('Financials 財務數據'!$D$5:$D$28,MATCH("Total Assets",'Financials 財務數據'!$B$5:$B$28,0))),"n/a",INDEX('Financials 財務數據'!$D$5:$D$28,MATCH("Goodwill",'Financials 財務數據'!$B$5:$B$28,0))/INDEX('Financials 財務數據'!$D$5:$D$28,MATCH("Total Assets",'Financials 財務數據'!$B$5:$B$28,0)))</f>
        <v>n/a</v>
      </c>
      <c r="D9" s="2" t="inlineStr">
        <is>
          <t>商譽佔總資產比重 — 減值風險指標</t>
        </is>
      </c>
    </row>
    <row r="10">
      <c r="A10" s="4" t="inlineStr">
        <is>
          <t>Intangibles / Total Assets</t>
        </is>
      </c>
      <c r="B10" s="15">
        <f>IF(ISERROR(INDEX('Financials 財務數據'!$C$5:$C$28,MATCH("Intangible Assets",'Financials 財務數據'!$B$5:$B$28,0))/INDEX('Financials 財務數據'!$C$5:$C$28,MATCH("Total Assets",'Financials 財務數據'!$B$5:$B$28,0))),"n/a",INDEX('Financials 財務數據'!$C$5:$C$28,MATCH("Intangible Assets",'Financials 財務數據'!$B$5:$B$28,0))/INDEX('Financials 財務數據'!$C$5:$C$28,MATCH("Total Assets",'Financials 財務數據'!$B$5:$B$28,0)))</f>
        <v>0.11012215082018759</v>
      </c>
      <c r="C10" s="15">
        <f>IF(ISERROR(INDEX('Financials 財務數據'!$D$5:$D$28,MATCH("Intangible Assets",'Financials 財務數據'!$B$5:$B$28,0))/INDEX('Financials 財務數據'!$D$5:$D$28,MATCH("Total Assets",'Financials 財務數據'!$B$5:$B$28,0))),"n/a",INDEX('Financials 財務數據'!$D$5:$D$28,MATCH("Intangible Assets",'Financials 財務數據'!$B$5:$B$28,0))/INDEX('Financials 財務數據'!$D$5:$D$28,MATCH("Total Assets",'Financials 財務數據'!$B$5:$B$28,0)))</f>
        <v>0.11268185178469306</v>
      </c>
      <c r="D10" s="2" t="inlineStr">
        <is>
          <t>無形資產佔比</t>
        </is>
      </c>
    </row>
    <row r="11">
      <c r="A11" s="4" t="inlineStr">
        <is>
          <t>ROE 股本回報率</t>
        </is>
      </c>
      <c r="B11" s="15">
        <f>IF(ISERROR(INDEX('Financials 財務數據'!$C$5:$C$28,MATCH("Profit for the Year",'Financials 財務數據'!$B$5:$B$28,0))/INDEX('Financials 財務數據'!$C$5:$C$28,MATCH("Total Equity",'Financials 財務數據'!$B$5:$B$28,0))),"n/a",INDEX('Financials 財務數據'!$C$5:$C$28,MATCH("Profit for the Year",'Financials 財務數據'!$B$5:$B$28,0))/INDEX('Financials 財務數據'!$C$5:$C$28,MATCH("Total Equity",'Financials 財務數據'!$B$5:$B$28,0)))</f>
        <v>0.18641972262917783</v>
      </c>
      <c r="C11" s="15">
        <f>IF(ISERROR(INDEX('Financials 財務數據'!$D$5:$D$28,MATCH("Profit for the Year",'Financials 財務數據'!$B$5:$B$28,0))/INDEX('Financials 財務數據'!$D$5:$D$28,MATCH("Total Equity",'Financials 財務數據'!$B$5:$B$28,0))),"n/a",INDEX('Financials 財務數據'!$D$5:$D$28,MATCH("Profit for the Year",'Financials 財務數據'!$B$5:$B$28,0))/INDEX('Financials 財務數據'!$D$5:$D$28,MATCH("Total Equity",'Financials 財務數據'!$B$5:$B$28,0)))</f>
        <v>0.1351156772323079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609015</v>
      </c>
      <c r="C5" s="18" t="n">
        <v>660257</v>
      </c>
    </row>
    <row r="6">
      <c r="A6" s="4" t="inlineStr">
        <is>
          <t>Gross Profit</t>
        </is>
      </c>
      <c r="B6" s="18" t="n">
        <v>293109</v>
      </c>
      <c r="C6" s="18" t="n">
        <v>349246</v>
      </c>
    </row>
    <row r="7">
      <c r="A7" s="4" t="inlineStr">
        <is>
          <t>Profit Before Tax</t>
        </is>
      </c>
      <c r="B7" s="18" t="n">
        <v>161324</v>
      </c>
      <c r="C7" s="18" t="n">
        <v>241485</v>
      </c>
    </row>
    <row r="8">
      <c r="A8" s="4" t="inlineStr">
        <is>
          <t>Profit for the Year</t>
        </is>
      </c>
      <c r="B8" s="18" t="n">
        <v>118048</v>
      </c>
      <c r="C8" s="18" t="n">
        <v>196467</v>
      </c>
    </row>
    <row r="9">
      <c r="A9" s="4" t="inlineStr">
        <is>
          <t>Total Assets</t>
        </is>
      </c>
      <c r="B9" s="18" t="n">
        <v>1577246</v>
      </c>
      <c r="C9" s="18" t="n">
        <v>1780995</v>
      </c>
    </row>
    <row r="10">
      <c r="A10" s="4" t="inlineStr">
        <is>
          <t>Total Equity</t>
        </is>
      </c>
      <c r="B10" s="18" t="n">
        <v>873681</v>
      </c>
      <c r="C10" s="18" t="n">
        <v>1053896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3</t>
        </is>
      </c>
      <c r="E4" s="11" t="inlineStr">
        <is>
          <t>PDF p.116 (印刷頁 115)</t>
        </is>
      </c>
      <c r="F4" s="11" t="inlineStr">
        <is>
          <t>eriods ‧ Impairment assessments of goodwill, investments in associates and investments in joint ventures ‧ Fair value measurement of Level 3 financial instruments, including financial assets at fair value through profit or loss and financial assets at fair value through other comprehensive income Annual Report 2024 115</t>
        </is>
      </c>
    </row>
    <row r="5">
      <c r="A5" s="8" t="inlineStr">
        <is>
          <t>Fair Value Measurement</t>
        </is>
      </c>
      <c r="B5" s="8" t="inlineStr">
        <is>
          <t>公允價值計量</t>
        </is>
      </c>
      <c r="C5" s="19" t="inlineStr">
        <is>
          <t>high</t>
        </is>
      </c>
      <c r="D5" s="11" t="inlineStr">
        <is>
          <t>market approach</t>
        </is>
      </c>
      <c r="E5" s="11" t="inlineStr">
        <is>
          <t>PDF p.119 (印刷頁 118)</t>
        </is>
      </c>
      <c r="F5" s="11" t="inlineStr">
        <is>
          <t>es, by considering the Management adopted either the discounted cash flows or factors such as market segments, geographic areas, and market approach in determining the respective recoverable revenue size, etc., and their price multiples, recent market amounts based on their assessments. Significant management’s transactions undertaken, and liquidity discounts adopted for assumptions are required in applying these approaches, including lack of marketability. We assessed these key assumptions revenue growth rates, terminal growth</t>
        </is>
      </c>
    </row>
    <row r="6">
      <c r="A6" s="8" t="inlineStr">
        <is>
          <t>Fair Value Measurement</t>
        </is>
      </c>
      <c r="B6" s="8" t="inlineStr">
        <is>
          <t>公允價值計量</t>
        </is>
      </c>
      <c r="C6" s="19" t="inlineStr">
        <is>
          <t>high</t>
        </is>
      </c>
      <c r="D6" s="11" t="inlineStr">
        <is>
          <t>level 3</t>
        </is>
      </c>
      <c r="E6" s="11" t="inlineStr">
        <is>
          <t>PDF p.120 (印刷頁 119)</t>
        </is>
      </c>
      <c r="F6" s="11" t="inlineStr">
        <is>
          <t>Independent Auditor’s Report Key Audit Matter How our audit addressed the Key Audit Matter Fair value measurement of Level 3 financial instruments, including financial assets at fair value through profit or loss and financial assets at fair value through other comprehensive income Refer to Notes 4.3, 5(c), 25 and 26 to the consolidated In respect of the fair value measurement of Level 3 financial financial statements. instruments, we assessed and tested the key internal controls in relation to the valuation, inc</t>
        </is>
      </c>
    </row>
    <row r="7">
      <c r="A7" s="8" t="inlineStr">
        <is>
          <t>Fair Value Measurement</t>
        </is>
      </c>
      <c r="B7" s="8" t="inlineStr">
        <is>
          <t>公允價值計量</t>
        </is>
      </c>
      <c r="C7" s="19" t="inlineStr">
        <is>
          <t>high</t>
        </is>
      </c>
      <c r="D7" s="11" t="inlineStr">
        <is>
          <t>fair value hierarchy</t>
        </is>
      </c>
      <c r="E7" s="11" t="inlineStr">
        <is>
          <t>PDF p.178 (印刷頁 177)</t>
        </is>
      </c>
      <c r="F7" s="11" t="inlineStr">
        <is>
          <t>24 by level of the inputs to valuation techniques used to measure fair value. Such inputs are categorised into three levels within a fair value hierarchy as follows: ‧ Quoted prices (unadjusted) in active markets for identical assets or liabilities (Level 1); ‧ Inputs other than quoted prices included within Level 1 that are observable for the asset or liability, either directly (that is, as prices) or indirectly (that is, derived from prices) (Level 2); and ‧ Inputs for the asset or liability that are not based on observable m</t>
        </is>
      </c>
    </row>
    <row r="8">
      <c r="A8" s="8" t="inlineStr">
        <is>
          <t>Fair Value Measurement</t>
        </is>
      </c>
      <c r="B8" s="8" t="inlineStr">
        <is>
          <t>公允價值計量</t>
        </is>
      </c>
      <c r="C8" s="19" t="inlineStr">
        <is>
          <t>high</t>
        </is>
      </c>
      <c r="D8" s="11" t="inlineStr">
        <is>
          <t>level 1</t>
        </is>
      </c>
      <c r="E8" s="11" t="inlineStr">
        <is>
          <t>PDF p.179 (印刷頁 178)</t>
        </is>
      </c>
      <c r="F8" s="11" t="inlineStr">
        <is>
          <t>hose prices represent actual and regularly occurring market transactions on an arm’s length basis. These instruments are included in Level 1. The fair value of financial instruments that are not traded in an active market is determined by using valuation techniques. These valuation techniques maximise the use of observable market data where it is available and rely as little as possible on entity specific estimates. If all significant inputs required for evaluating the fair value of such a financial instrument are observable, t</t>
        </is>
      </c>
    </row>
    <row r="9">
      <c r="A9" s="8" t="inlineStr">
        <is>
          <t>Fair Value Measurement</t>
        </is>
      </c>
      <c r="B9" s="8" t="inlineStr">
        <is>
          <t>公允價值計量</t>
        </is>
      </c>
      <c r="C9" s="19" t="inlineStr">
        <is>
          <t>high</t>
        </is>
      </c>
      <c r="D9" s="11" t="inlineStr">
        <is>
          <t>level 1</t>
        </is>
      </c>
      <c r="E9" s="11" t="inlineStr">
        <is>
          <t>PDF p.180 (印刷頁 179)</t>
        </is>
      </c>
      <c r="F9" s="11" t="inlineStr">
        <is>
          <t>K MANAGEMENT (continued) 4.3 Fair value estimation (continued) During the year ended 31 December 2024, there was no transfer between Level 1 and 2 for recurring fair value measurements. Transfers in and out of Level 3 measurements are set out in the following table, which presents the changes of financial instruments in Level 3 for the years ended 31 December 2024 and 2023: Financial assets Financial liabilities 2024 2023 2024 2023 RMB’Million RMB’Million RMB’Million RMB’Million Opening balance 222,232 216,054 (2,977) (3,298) A</t>
        </is>
      </c>
    </row>
    <row r="10">
      <c r="A10" s="8" t="inlineStr">
        <is>
          <t>Fair Value Measurement</t>
        </is>
      </c>
      <c r="B10" s="8" t="inlineStr">
        <is>
          <t>公允價值計量</t>
        </is>
      </c>
      <c r="C10" s="19" t="inlineStr">
        <is>
          <t>high</t>
        </is>
      </c>
      <c r="D10" s="11" t="inlineStr">
        <is>
          <t>level 3</t>
        </is>
      </c>
      <c r="E10" s="11" t="inlineStr">
        <is>
          <t>PDF p.181 (印刷頁 180)</t>
        </is>
      </c>
      <c r="F10" s="11" t="inlineStr">
        <is>
          <t>ANCIAL RISK MANAGEMENT (continued) 4.3 Fair value estimation (continued) Valuation processes inputs and relationships to fair value (Level 3) The Group has a team of personnel who performs valuation on these Level 3 instruments for financial reporting purposes. The team performs valuation, or necessary updates, at least once every quarter, which coincides with the Group’s quarterly reporting dates. On an annual basis, the team adopts various valuation techniques to determine the fair value of the Group’s Level 3 instruments. Ex</t>
        </is>
      </c>
    </row>
    <row r="11">
      <c r="A11" s="8" t="inlineStr">
        <is>
          <t>Fair Value Measurement</t>
        </is>
      </c>
      <c r="B11" s="8" t="inlineStr">
        <is>
          <t>公允價值計量</t>
        </is>
      </c>
      <c r="C11" s="19" t="inlineStr">
        <is>
          <t>high</t>
        </is>
      </c>
      <c r="D11" s="11" t="inlineStr">
        <is>
          <t>fair value hierarchy</t>
        </is>
      </c>
      <c r="E11" s="11" t="inlineStr">
        <is>
          <t>PDF p.183 (印刷頁 182)</t>
        </is>
      </c>
      <c r="F11" s="11" t="inlineStr">
        <is>
          <t>ome statement. (c) Fair value measurement of FVPL and FVOCI The fair value assessment of FVPL and FVOCI that are measured at Level 3 fair value hierarchy requires significant estimates, which include risk-free rates, expected volatility, market information of recent transactions (such as recent fund-raising transactions undertaken by the investees) and other assumptions. Changes in these assumptions and estimates could materially affect the respective fair value of these investments. (d) Share-based compensation arrangements As</t>
        </is>
      </c>
    </row>
    <row r="12">
      <c r="A12" s="8" t="inlineStr">
        <is>
          <t>Fair Value Measurement</t>
        </is>
      </c>
      <c r="B12" s="8" t="inlineStr">
        <is>
          <t>公允價值計量</t>
        </is>
      </c>
      <c r="C12" s="19" t="inlineStr">
        <is>
          <t>high</t>
        </is>
      </c>
      <c r="D12" s="11" t="inlineStr">
        <is>
          <t>level 3</t>
        </is>
      </c>
      <c r="E12" s="11" t="inlineStr">
        <is>
          <t>PDF p.215 (印刷頁 214)</t>
        </is>
      </c>
      <c r="F12" s="11" t="inlineStr">
        <is>
          <t>in VAS segment, the recoverable amount was determined using fair value less costs of disposal where the fair value was determined as Level 3 according to the principle set out in Note 4.3. Fair value less costs of disposal was primarily determined based on ratios of EV (enterprise value) divided by EBITDA of several comparable public companies (range: 10-17x) (2023: range: 11-19x) multiplied by the EBITDA of the related CGU (or group of CGUs) and liquidity discount for lack of marketability at a range of 10% to 20% (2023: 10% t</t>
        </is>
      </c>
    </row>
    <row r="13">
      <c r="A13" s="8" t="inlineStr">
        <is>
          <t>Impairment Testing</t>
        </is>
      </c>
      <c r="B13" s="8" t="inlineStr">
        <is>
          <t>減值測試</t>
        </is>
      </c>
      <c r="C13" s="19" t="inlineStr">
        <is>
          <t>high</t>
        </is>
      </c>
      <c r="D13" s="11" t="inlineStr">
        <is>
          <t>recoverable amount</t>
        </is>
      </c>
      <c r="E13" s="11" t="inlineStr">
        <is>
          <t>PDF p.119 (印刷頁 118)</t>
        </is>
      </c>
      <c r="F13" s="11" t="inlineStr">
        <is>
          <t>out impairment assessments, significant judgments In respect of impairment assessments using the market are required to estimate the recoverable amounts, being the approach, we assessed, on a sample basis, the key higher of the fair value less costs of disposal and value in use. assumptions adopted by management including the selection of comparable companies, by considering the Management adopted either the discounted cash flows or factors such as market segments, geographic areas, and market approach in determining the respec</t>
        </is>
      </c>
    </row>
    <row r="14">
      <c r="A14" s="8" t="inlineStr">
        <is>
          <t>Impairment Testing</t>
        </is>
      </c>
      <c r="B14" s="8" t="inlineStr">
        <is>
          <t>減值測試</t>
        </is>
      </c>
      <c r="C14" s="19" t="inlineStr">
        <is>
          <t>high</t>
        </is>
      </c>
      <c r="D14" s="11" t="inlineStr">
        <is>
          <t>impairment test</t>
        </is>
      </c>
      <c r="E14" s="11" t="inlineStr">
        <is>
          <t>PDF p.139 (印刷頁 138)</t>
        </is>
      </c>
      <c r="F14" s="11" t="inlineStr">
        <is>
          <t>goodwill in “Intangible assets” in the consolidated financial statements. Goodwill is not amortised, but must instead subject to an impairment test at least annually (Notes 2.8 and 2.9). If the total of consideration transferred, non-controlling interest recognised and previously held interest measured is less than the net acquisition-date amount of the identifiable assets acquired and the liabilities assumed in the case of a bargain purchase, the difference is recognised directly in the consolidated income statement. (ii) Cha</t>
        </is>
      </c>
    </row>
    <row r="15">
      <c r="A15" s="8" t="inlineStr">
        <is>
          <t>Impairment Testing</t>
        </is>
      </c>
      <c r="B15" s="8" t="inlineStr">
        <is>
          <t>減值測試</t>
        </is>
      </c>
      <c r="C15" s="19" t="inlineStr">
        <is>
          <t>high</t>
        </is>
      </c>
      <c r="D15" s="11" t="inlineStr">
        <is>
          <t>impairment test</t>
        </is>
      </c>
      <c r="E15" s="11" t="inlineStr">
        <is>
          <t>PDF p.140 (印刷頁 139)</t>
        </is>
      </c>
      <c r="F15" s="11" t="inlineStr">
        <is>
          <t>to the “Shares held for share award schemes” under equity when the contribution is used for the acquisition of the Company’s shares. Impairment testing of the investments in subsidiaries is required upon receiving dividends from these investments if the dividends exceed the total comprehensive income of the subsidiaries in the period the dividends are declared or if the carrying amount of the investments in the separate financial statements exceeds the carrying amount of the subsidiaries’ net assets including goodwill in the co</t>
        </is>
      </c>
    </row>
    <row r="16">
      <c r="A16" s="8" t="inlineStr">
        <is>
          <t>Impairment Testing</t>
        </is>
      </c>
      <c r="B16" s="8" t="inlineStr">
        <is>
          <t>減值測試</t>
        </is>
      </c>
      <c r="C16" s="19" t="inlineStr">
        <is>
          <t>high</t>
        </is>
      </c>
      <c r="D16" s="11" t="inlineStr">
        <is>
          <t>impairment loss</t>
        </is>
      </c>
      <c r="E16" s="11" t="inlineStr">
        <is>
          <t>PDF p.144 (印刷頁 143)</t>
        </is>
      </c>
      <c r="F16" s="11" t="inlineStr">
        <is>
          <t>in progress All items of property, plant and equipment are stated at historical costs less accumulated depreciation and accumulated impairment losses. Historical costs include expenditures that are directly attributable to the acquisition of the items. Subsequent costs are included in the asset’s carrying amount or recognised as a separate asset, as appropriate, only when it is probable that future economic benefits associated with the items will flow to the Group and the cost of the items can be measured reliably. The carryin</t>
        </is>
      </c>
    </row>
    <row r="17">
      <c r="A17" s="8" t="inlineStr">
        <is>
          <t>Impairment Testing</t>
        </is>
      </c>
      <c r="B17" s="8" t="inlineStr">
        <is>
          <t>減值測試</t>
        </is>
      </c>
      <c r="C17" s="19" t="inlineStr">
        <is>
          <t>high</t>
        </is>
      </c>
      <c r="D17" s="11" t="inlineStr">
        <is>
          <t>impairment test</t>
        </is>
      </c>
      <c r="E17" s="11" t="inlineStr">
        <is>
          <t>PDF p.145 (印刷頁 144)</t>
        </is>
      </c>
      <c r="F17" s="11" t="inlineStr">
        <is>
          <t>ognised as described in Note 2.3(a) and included in “Intangible assets” in the consolidated financial statements. For the purpose of impairment testing, goodwill acquired in a business combination is allocated to each of the cash-generating units (“CGUs”), or groups of CGUs, that is expected to benefit from the synergies of the combination. Each CGU or group of CGUs to which the goodwill is allocated represents the lowest level within the Group at which the goodwill is monitored for internal management purposes, and is not larg</t>
        </is>
      </c>
    </row>
    <row r="18">
      <c r="A18" s="8" t="inlineStr">
        <is>
          <t>Impairment Testing</t>
        </is>
      </c>
      <c r="B18" s="8" t="inlineStr">
        <is>
          <t>減值測試</t>
        </is>
      </c>
      <c r="C18" s="19" t="inlineStr">
        <is>
          <t>high</t>
        </is>
      </c>
      <c r="D18" s="11" t="inlineStr">
        <is>
          <t>impairment loss</t>
        </is>
      </c>
      <c r="E18" s="11" t="inlineStr">
        <is>
          <t>PDF p.146 (印刷頁 145)</t>
        </is>
      </c>
      <c r="F18" s="11" t="inlineStr">
        <is>
          <t>viewed for impairment whenever events or changes in circumstances indicate that the carrying amount may not be fully recoverable. An impairment loss is recognised for the amount by which the asset’s carrying amount exceeds its recoverable amount. The recoverable amount is the higher of an asset’s fair value less costs of disposal and value in use. For the purpose of assessing impairment, assets are grouped at the lowest levels for which there are separately identifiable cash flows which are largely independent of the cash inflo</t>
        </is>
      </c>
    </row>
    <row r="19">
      <c r="A19" s="8" t="inlineStr">
        <is>
          <t>Impairment Testing</t>
        </is>
      </c>
      <c r="B19" s="8" t="inlineStr">
        <is>
          <t>減值測試</t>
        </is>
      </c>
      <c r="C19" s="19" t="inlineStr">
        <is>
          <t>high</t>
        </is>
      </c>
      <c r="D19" s="11" t="inlineStr">
        <is>
          <t>impairment loss</t>
        </is>
      </c>
      <c r="E19" s="11" t="inlineStr">
        <is>
          <t>PDF p.164 (印刷頁 163)</t>
        </is>
      </c>
      <c r="F19" s="11" t="inlineStr">
        <is>
          <t>d are not occupied by the Group. Investment properties are carried at historical costs less accumulated depreciation and accumulated impairment losses. Historical costs include expenditures that are directly attributable to the acquisition of the items. Annual Report 2024 163</t>
        </is>
      </c>
    </row>
    <row r="20">
      <c r="A20" s="8" t="inlineStr">
        <is>
          <t>Impairment Testing</t>
        </is>
      </c>
      <c r="B20" s="8" t="inlineStr">
        <is>
          <t>減值測試</t>
        </is>
      </c>
      <c r="C20" s="19" t="inlineStr">
        <is>
          <t>high</t>
        </is>
      </c>
      <c r="D20" s="11" t="inlineStr">
        <is>
          <t>recoverable amount</t>
        </is>
      </c>
      <c r="E20" s="11" t="inlineStr">
        <is>
          <t>PDF p.165 (印刷頁 164)</t>
        </is>
      </c>
      <c r="F20" s="11" t="inlineStr">
        <is>
          <t>d if appropriate, at the end of each reporting period. Investment properties’ carrying amounts are written down immediately to their recoverable amounts if their carrying amounts are greater than their estimated recoverable amounts (Note 2.9). 3.3 Share capital Ordinary shares are classified as equity. Incremental costs directly attributable to the issue of new shares are recognised in equity as a deduction from the proceeds. 3.4 Offsetting financial instruments Financial assets and liabilities are offset, and the net amount is</t>
        </is>
      </c>
    </row>
    <row r="21">
      <c r="A21" s="8" t="inlineStr">
        <is>
          <t>Impairment Testing</t>
        </is>
      </c>
      <c r="B21" s="8" t="inlineStr">
        <is>
          <t>減值測試</t>
        </is>
      </c>
      <c r="C21" s="19" t="inlineStr">
        <is>
          <t>high</t>
        </is>
      </c>
      <c r="D21" s="11" t="inlineStr">
        <is>
          <t>impairment loss</t>
        </is>
      </c>
      <c r="E21" s="11" t="inlineStr">
        <is>
          <t>PDF p.171 (印刷頁 170)</t>
        </is>
      </c>
      <c r="F21" s="11" t="inlineStr">
        <is>
          <t>ts on the recoverability of other receivables based on historical settlement records and past experience. For financial assets whose impairment losses are measured using ECL model, the Group assesses whether their credit risk has increased significantly since their initial recognition, and applies a three-stage impairment model to calculate their impairment allowance and recognise their ECL, as follows: – Stage 1: If the credit risk has not increased significantly since its initial recognition, the financial instrument is inclu</t>
        </is>
      </c>
    </row>
    <row r="22">
      <c r="A22" s="8" t="inlineStr">
        <is>
          <t>Impairment Testing</t>
        </is>
      </c>
      <c r="B22" s="8" t="inlineStr">
        <is>
          <t>減值測試</t>
        </is>
      </c>
      <c r="C22" s="19" t="inlineStr">
        <is>
          <t>high</t>
        </is>
      </c>
      <c r="D22" s="11" t="inlineStr">
        <is>
          <t>impairment loss</t>
        </is>
      </c>
      <c r="E22" s="11" t="inlineStr">
        <is>
          <t>PDF p.173 (印刷頁 172)</t>
        </is>
      </c>
      <c r="F22" s="11" t="inlineStr">
        <is>
          <t>gage in a repayment plan with the Group, and the failure to make contractual payments for a period of greater than 3 years past due. Impairment losses on accounts receivables are presented as net impairment losses within operating profit. Subsequent recoveries of amounts previously written off are credited against the same item. 172 Tencent Holdings Limited</t>
        </is>
      </c>
    </row>
    <row r="23">
      <c r="A23" s="8" t="inlineStr">
        <is>
          <t>Impairment Testing</t>
        </is>
      </c>
      <c r="B23" s="8" t="inlineStr">
        <is>
          <t>減值測試</t>
        </is>
      </c>
      <c r="C23" s="19" t="inlineStr">
        <is>
          <t>high</t>
        </is>
      </c>
      <c r="D23" s="11" t="inlineStr">
        <is>
          <t>impairment loss</t>
        </is>
      </c>
      <c r="E23" s="11" t="inlineStr">
        <is>
          <t>PDF p.174 (印刷頁 173)</t>
        </is>
      </c>
      <c r="F23" s="11" t="inlineStr">
        <is>
          <t>ferred from stage 1 to stage 2 or stage 3 was immaterial (31 December 2023: immaterial). During the year ended 31 December 2024, the impairment loss resulting from loan receivables related to financial services was immaterial (2023: immaterial). Annual Report 2024 173</t>
        </is>
      </c>
    </row>
    <row r="24">
      <c r="A24" s="8" t="inlineStr">
        <is>
          <t>Impairment Testing</t>
        </is>
      </c>
      <c r="B24" s="8" t="inlineStr">
        <is>
          <t>減值測試</t>
        </is>
      </c>
      <c r="C24" s="19" t="inlineStr">
        <is>
          <t>high</t>
        </is>
      </c>
      <c r="D24" s="11" t="inlineStr">
        <is>
          <t>impairment test</t>
        </is>
      </c>
      <c r="E24" s="11" t="inlineStr">
        <is>
          <t>PDF p.183 (印刷頁 182)</t>
        </is>
      </c>
      <c r="F24" s="11" t="inlineStr">
        <is>
          <t>d market approach. Changing the assumptions selected by management in assessing impairment could materially affect the result of the impairment test and in turn affect the Group’s financial condition and results of operations. If there is a significant adverse change in the key assumptions applied, it may be necessary to take additional impairment charge to the consolidated income statement. (c) Fair value measurement of FVPL and FVOCI The fair value assessment of FVPL and FVOCI that are measured at Level 3 fair value hierarchy</t>
        </is>
      </c>
    </row>
    <row r="25">
      <c r="A25" s="8" t="inlineStr">
        <is>
          <t>Impairment Testing</t>
        </is>
      </c>
      <c r="B25" s="8" t="inlineStr">
        <is>
          <t>減值測試</t>
        </is>
      </c>
      <c r="C25" s="19" t="inlineStr">
        <is>
          <t>high</t>
        </is>
      </c>
      <c r="D25" s="11" t="inlineStr">
        <is>
          <t>impairment test</t>
        </is>
      </c>
      <c r="E25" s="11" t="inlineStr">
        <is>
          <t>PDF p.215 (印刷頁 214)</t>
        </is>
      </c>
      <c r="F25" s="11" t="inlineStr">
        <is>
          <t>others”, and impairment losses of RMB52 million (2023: RMB3 million) on other intangible assets were charged to “Cost of revenues”. Impairment tests for goodwill Goodwill was allocated to VAS segment with RMB138,500 million (31 December 2023: RMB121,437 million), Marketing Services segment with RMB464 million (31 December 2023: RMB434 million), FinTech and Business Services segment with RMB1,349 million (31 December 2023: RMB1,432 million) and Others segment with RMB1,813 million (31 December 2023: RMB2,917 million). The Group</t>
        </is>
      </c>
    </row>
    <row r="26">
      <c r="A26" s="8" t="inlineStr">
        <is>
          <t>Impairment Testing</t>
        </is>
      </c>
      <c r="B26" s="8" t="inlineStr">
        <is>
          <t>減值測試</t>
        </is>
      </c>
      <c r="C26" s="19" t="inlineStr">
        <is>
          <t>high</t>
        </is>
      </c>
      <c r="D26" s="11" t="inlineStr">
        <is>
          <t>impairment test</t>
        </is>
      </c>
      <c r="E26" s="11" t="inlineStr">
        <is>
          <t>PDF p.216 (印刷頁 215)</t>
        </is>
      </c>
      <c r="F26" s="11" t="inlineStr">
        <is>
          <t>Notes to the Consolidated Financial Statements For the year ended 31 December 2024 21 INTANGIBLE ASSETS (continued) Impairment tests for goodwill (continued) For goodwill attributable to the Group’s online music business and online literature business within VAS segment, FinTech and Business Services segment and television programme and film production businesses within Others segment, value in use was calculated using discounted cash flows. The valuations were based on five-year financial projections plus a te</t>
        </is>
      </c>
    </row>
    <row r="27">
      <c r="A27" s="8" t="inlineStr">
        <is>
          <t>Impairment Testing</t>
        </is>
      </c>
      <c r="B27" s="8" t="inlineStr">
        <is>
          <t>減值測試</t>
        </is>
      </c>
      <c r="C27" s="19" t="inlineStr">
        <is>
          <t>high</t>
        </is>
      </c>
      <c r="D27" s="11" t="inlineStr">
        <is>
          <t>impairment loss</t>
        </is>
      </c>
      <c r="E27" s="11" t="inlineStr">
        <is>
          <t>PDF p.218 (印刷頁 217)</t>
        </is>
      </c>
      <c r="F27" s="11" t="inlineStr">
        <is>
          <t>liquidity discounts adopted for lack of marketability for unlisted investments. During the year ended 31 December 2024, an aggregate impairment loss of approximately RMB8,250 million (2023: RMB6,847 million) had been recognised for investments in associates with impairment indicators, and the majority of these investments’ recoverable amounts were determined using fair value less costs of disposal where the respective fair values had been determined according to the principle set out in Note 4.3. Annual Report 2024 217</t>
        </is>
      </c>
    </row>
    <row r="28">
      <c r="A28" s="8" t="inlineStr">
        <is>
          <t>Impairment Testing</t>
        </is>
      </c>
      <c r="B28" s="8" t="inlineStr">
        <is>
          <t>減值測試</t>
        </is>
      </c>
      <c r="C28" s="19" t="inlineStr">
        <is>
          <t>high</t>
        </is>
      </c>
      <c r="D28" s="11" t="inlineStr">
        <is>
          <t>recoverable amount</t>
        </is>
      </c>
      <c r="E28" s="11" t="inlineStr">
        <is>
          <t>PDF p.220 (印刷頁 219)</t>
        </is>
      </c>
      <c r="F28" s="11" t="inlineStr">
        <is>
          <t>752 million) had been recognised against the carrying amounts of the investments in joint ventures, based on the respective assessed recoverable amounts. Annual Report 2024 219</t>
        </is>
      </c>
    </row>
    <row r="29">
      <c r="A29" s="8" t="inlineStr">
        <is>
          <t>Impairment Testing</t>
        </is>
      </c>
      <c r="B29" s="8" t="inlineStr">
        <is>
          <t>減值測試</t>
        </is>
      </c>
      <c r="C29" s="19" t="inlineStr">
        <is>
          <t>high</t>
        </is>
      </c>
      <c r="D29" s="11" t="inlineStr">
        <is>
          <t>impairment loss</t>
        </is>
      </c>
      <c r="E29" s="11" t="inlineStr">
        <is>
          <t>PDF p.226 (印刷頁 225)</t>
        </is>
      </c>
      <c r="F29" s="11" t="inlineStr">
        <is>
          <t>e loan receivables are held, they were subsequently measured at amortised cost. During the year ended 31 December 2024 and 2023, the impairment loss on loan receivables related to financial services was immaterial. As at 31 December 2024, loss allowance subject to the ECL model made against the gross amounts of deposits and other receivables amounted to RMB2,943 million (31 December 2023: RMB2,761 million). As at 31 December 2024 and 2023, the carrying amounts of prepayments, deposits and other assets (excluding prepayments and</t>
        </is>
      </c>
    </row>
    <row r="30">
      <c r="A30" s="8" t="inlineStr">
        <is>
          <t>Intangible Assets &amp; Goodwill</t>
        </is>
      </c>
      <c r="B30" s="8" t="inlineStr">
        <is>
          <t>無形資產及商譽</t>
        </is>
      </c>
      <c r="C30" s="19" t="inlineStr">
        <is>
          <t>high</t>
        </is>
      </c>
      <c r="D30" s="11" t="inlineStr">
        <is>
          <t>intangible asset</t>
        </is>
      </c>
      <c r="E30" s="11" t="inlineStr">
        <is>
          <t>PDF p.18 (印刷頁 17)</t>
        </is>
      </c>
      <c r="F30" s="11" t="inlineStr">
        <is>
          <t>adding back depreciation of property, plant and equipment, investment properties as well as right-of-use assets, and amortisation of intangible assets and land use rights. Adjusted EBITDA is calculated as EBITDA plus equity-settled share-based compensation expenses. (b) Adjusted EBITDA margin is calculated by dividing Adjusted EBITDA by revenues. (c) Net cash/(debt) represents period end balance and is calculated as cash and cash equivalents, plus term deposits and others, including highly liquid investment products held for tr</t>
        </is>
      </c>
    </row>
    <row r="31">
      <c r="A31" s="8" t="inlineStr">
        <is>
          <t>Intangible Assets &amp; Goodwill</t>
        </is>
      </c>
      <c r="B31" s="8" t="inlineStr">
        <is>
          <t>無形資產及商譽</t>
        </is>
      </c>
      <c r="C31" s="19" t="inlineStr">
        <is>
          <t>high</t>
        </is>
      </c>
      <c r="D31" s="11" t="inlineStr">
        <is>
          <t>intangible asset</t>
        </is>
      </c>
      <c r="E31" s="11" t="inlineStr">
        <is>
          <t>PDF p.19 (印刷頁 18)</t>
        </is>
      </c>
      <c r="F31" s="11" t="inlineStr">
        <is>
          <t>estment properties 5,811 5,183 5,117 21,141 19,908 Depreciation of right-of-use assets 1,595 1,549 1,544 6,191 6,397 Amortisation of intangible assets and land use rights 7,546 7,306 7,904 28,881 32,703 EBITDA 63,917 64,397 53,983 256,310 214,381 Equity-settled share-based compensation 5,662 5,259 5,511 20,702 21,073 Adjusted EBITDA 69,579 69,656 59,494 277,012 235,454 18 Tencent Holdings Limited</t>
        </is>
      </c>
    </row>
    <row r="32">
      <c r="A32" s="8" t="inlineStr">
        <is>
          <t>Intangible Assets &amp; Goodwill</t>
        </is>
      </c>
      <c r="B32" s="8" t="inlineStr">
        <is>
          <t>無形資產及商譽</t>
        </is>
      </c>
      <c r="C32" s="19" t="inlineStr">
        <is>
          <t>high</t>
        </is>
      </c>
      <c r="D32" s="11" t="inlineStr">
        <is>
          <t>amortisation</t>
        </is>
      </c>
      <c r="E32" s="11" t="inlineStr">
        <is>
          <t>PDF p.20 (印刷頁 19)</t>
        </is>
      </c>
      <c r="F32" s="11" t="inlineStr">
        <is>
          <t>earest measures prepared in accordance with IFRS: Unaudited three months ended 31 December 2024 Adjustments Net (gains)/ losses from Amortisation Impairment As Share-based investee of intangible provisions/ SSV &amp; Income tax reported compensation companies assets (reversals) CPP effects Non-IFRS (a) (b) (c) (d) (e) (g) (RMB in millions, unless specified) Operating profit 51,478 6,140 – 1,416 – 441 – 59,475 Share of profit/(loss) of associates and joint ventures, net 9,253 1,003 (3,799) 1,176 116 – – 7,749 Profit for the period 5</t>
        </is>
      </c>
    </row>
    <row r="33">
      <c r="A33" s="8" t="inlineStr">
        <is>
          <t>Intangible Assets &amp; Goodwill</t>
        </is>
      </c>
      <c r="B33" s="8" t="inlineStr">
        <is>
          <t>無形資產及商譽</t>
        </is>
      </c>
      <c r="C33" s="19" t="inlineStr">
        <is>
          <t>high</t>
        </is>
      </c>
      <c r="D33" s="11" t="inlineStr">
        <is>
          <t>amortisation</t>
        </is>
      </c>
      <c r="E33" s="11" t="inlineStr">
        <is>
          <t>PDF p.21 (印刷頁 20)</t>
        </is>
      </c>
      <c r="F33" s="11" t="inlineStr">
        <is>
          <t>Management Discussion and Analysis Unaudited three months ended 30 September 2024 Adjustments Net (gains)/ losses from Amortisation Impairment As Share-based investee of intangible provisions/ SSV &amp; Income tax reported compensation companies assets (reversals) CPP effects Non-IFRS (a) (b) (c) (d) (e) (g) (RMB in millions, unless specified) Operating profit 53,333 6,377 – 1,324 – 240 – 61,274 Share of profit/(loss) of associates and joint ventures, net 6,019 985 60 1,433 12 – – 8,509 Profit for the period 53,983 7,</t>
        </is>
      </c>
    </row>
    <row r="34">
      <c r="A34" s="8" t="inlineStr">
        <is>
          <t>Intangible Assets &amp; Goodwill</t>
        </is>
      </c>
      <c r="B34" s="8" t="inlineStr">
        <is>
          <t>無形資產及商譽</t>
        </is>
      </c>
      <c r="C34" s="19" t="inlineStr">
        <is>
          <t>high</t>
        </is>
      </c>
      <c r="D34" s="11" t="inlineStr">
        <is>
          <t>amortisation</t>
        </is>
      </c>
      <c r="E34" s="11" t="inlineStr">
        <is>
          <t>PDF p.22 (印刷頁 21)</t>
        </is>
      </c>
      <c r="F34" s="11" t="inlineStr">
        <is>
          <t>Management Discussion and Analysis Year ended 31 December 2024 Adjustments Net (gains)/ losses from Amortisation Impairment As Share-based investee of intangible provisions/ SSV &amp; Income tax reported compensation companies assets (reversals) CPP Others effects Non-IFRS (a) (b) (c) (d) (e) (f) (g) (RMB in millions, unless specified) Operating profit 208,099 23,424 – 5,294 – 991 3 – 237,811 Share of profit/(loss) of associates and joint ventures, net 25,176 4,423 (4,289) 5,478 847 – – – 31,635 Pro</t>
        </is>
      </c>
    </row>
    <row r="35">
      <c r="A35" s="8" t="inlineStr">
        <is>
          <t>Intangible Assets &amp; Goodwill</t>
        </is>
      </c>
      <c r="B35" s="8" t="inlineStr">
        <is>
          <t>無形資產及商譽</t>
        </is>
      </c>
      <c r="C35" s="19" t="inlineStr">
        <is>
          <t>high</t>
        </is>
      </c>
      <c r="D35" s="11" t="inlineStr">
        <is>
          <t>intangible asset</t>
        </is>
      </c>
      <c r="E35" s="11" t="inlineStr">
        <is>
          <t>PDF p.23 (印刷頁 22)</t>
        </is>
      </c>
      <c r="F35" s="11" t="inlineStr">
        <is>
          <t>ges arising from investee companies, and other expenses in relation to equity transactions of investee companies (c) Amortisation of intangible assets resulting from acquisitions (d) Mainly including impairment provisions/(reversals) for associates, joint ventures, goodwill and other intangible assets arising from acquisitions (e) Mainly including donations and expenses incurred for the Group’s SSV &amp; CPP initiatives (f) Primarily non-recurring compliance-related costs and expenses incurred for certain litigation settlements of</t>
        </is>
      </c>
    </row>
    <row r="36">
      <c r="A36" s="8" t="inlineStr">
        <is>
          <t>Intangible Assets &amp; Goodwill</t>
        </is>
      </c>
      <c r="B36" s="8" t="inlineStr">
        <is>
          <t>無形資產及商譽</t>
        </is>
      </c>
      <c r="C36" s="19" t="inlineStr">
        <is>
          <t>high</t>
        </is>
      </c>
      <c r="D36" s="11" t="inlineStr">
        <is>
          <t>intangible asset</t>
        </is>
      </c>
      <c r="E36" s="11" t="inlineStr">
        <is>
          <t>PDF p.24 (印刷頁 23)</t>
        </is>
      </c>
      <c r="F36" s="11" t="inlineStr">
        <is>
          <t>e companies 12,810 4,283 Net fair value gains/(losses) 2,621 (2,106) Impairment provision for investee companies, goodwill and other intangible assets from acquisitions (9,789) (6,190) Share of profit/(loss) of associates and joint ventures, net 25,176 5,800 Amortisation of intangible assets resulting from acquisitions (5,294) (5,019) We continue to closely monitor the performance of our investment portfolio, strategically make investments, and explore opportunities in monetising some of the existing investments if appropriate</t>
        </is>
      </c>
    </row>
    <row r="37">
      <c r="A37" s="8" t="inlineStr">
        <is>
          <t>Intangible Assets &amp; Goodwill</t>
        </is>
      </c>
      <c r="B37" s="8" t="inlineStr">
        <is>
          <t>無形資產及商譽</t>
        </is>
      </c>
      <c r="C37" s="19" t="inlineStr">
        <is>
          <t>high</t>
        </is>
      </c>
      <c r="D37" s="11" t="inlineStr">
        <is>
          <t>patent</t>
        </is>
      </c>
      <c r="E37" s="11" t="inlineStr">
        <is>
          <t>PDF p.63 (印刷頁 62)</t>
        </is>
      </c>
      <c r="F37" s="11" t="inlineStr">
        <is>
          <t>uated the effects and economic efficacy of early screening of the disease. She has published more than 100 papers and had registered patents and been granted awards at national and provincial levels for technological and educational achievements. Professor Ke was a member of the 11th and 12th National Committee of the Chinese People’s Political Consultative Conference, an executive Vice-president of Peking University and of the Peking University Health Science Center (formerly known as Beijing Medical College), a member of the</t>
        </is>
      </c>
    </row>
    <row r="38">
      <c r="A38" s="8" t="inlineStr">
        <is>
          <t>Intangible Assets &amp; Goodwill</t>
        </is>
      </c>
      <c r="B38" s="8" t="inlineStr">
        <is>
          <t>無形資產及商譽</t>
        </is>
      </c>
      <c r="C38" s="19" t="inlineStr">
        <is>
          <t>high</t>
        </is>
      </c>
      <c r="D38" s="11" t="inlineStr">
        <is>
          <t>licence</t>
        </is>
      </c>
      <c r="E38" s="11" t="inlineStr">
        <is>
          <t>PDF p.70 (印刷頁 69)</t>
        </is>
      </c>
      <c r="F38" s="11" t="inlineStr">
        <is>
          <t>ent in businesses providing value-added telecommunications services in China. As foreign-invested enterprises, the WFOEs do not have licences to provide Internet content or information services and other telecommunications value-added services. Accordingly, the value-added telecommunications business of the Group has been conducted through Tencent Computer, Shiji Kaixuan and Shenzhen Tencent Tianyou (the “OPCOs”) by themselves or through their subsidiaries under the Structure Contracts (as defined in the section “Our History an</t>
        </is>
      </c>
    </row>
    <row r="39">
      <c r="A39" s="8" t="inlineStr">
        <is>
          <t>Intangible Assets &amp; Goodwill</t>
        </is>
      </c>
      <c r="B39" s="8" t="inlineStr">
        <is>
          <t>無形資產及商譽</t>
        </is>
      </c>
      <c r="C39" s="19" t="inlineStr">
        <is>
          <t>high</t>
        </is>
      </c>
      <c r="D39" s="11" t="inlineStr">
        <is>
          <t>licence</t>
        </is>
      </c>
      <c r="E39" s="11" t="inlineStr">
        <is>
          <t>PDF p.71 (印刷頁 70)</t>
        </is>
      </c>
      <c r="F39" s="11" t="inlineStr">
        <is>
          <t>rect ways such as establishing other joint venture companies or entering into contractual or technical arrangements with the Chinese licence holders. However, the Circular 13 does not provide any interpretation of the term “foreign investors” or make a distinction between foreign online game companies and companies under a corporate structure similar to the Group. Thus, it is unclear whether National Press and Publication Administration (National Copyright Administration) will deem the Group’s structure and operations to be in</t>
        </is>
      </c>
    </row>
    <row r="40">
      <c r="A40" s="8" t="inlineStr">
        <is>
          <t>Intangible Assets &amp; Goodwill</t>
        </is>
      </c>
      <c r="B40" s="8" t="inlineStr">
        <is>
          <t>無形資產及商譽</t>
        </is>
      </c>
      <c r="C40" s="19" t="inlineStr">
        <is>
          <t>high</t>
        </is>
      </c>
      <c r="D40" s="11" t="inlineStr">
        <is>
          <t>licence</t>
        </is>
      </c>
      <c r="E40" s="11" t="inlineStr">
        <is>
          <t>PDF p.72 (印刷頁 71)</t>
        </is>
      </c>
      <c r="F40" s="11" t="inlineStr">
        <is>
          <t>n 60%, 35% and 5%, respectively of Tencent Enterprise Management. The above OPCOs are significant to the Group as they hold relevant licences to provide Internet information services and other value-added telecommunications services. The aggregate gross revenue and net asset value of the above OPCOs that are subject to the Structure Contracts amounted to approximately RMB352 billion for the year ended 31 December 2024 and approximately RMB21 billion as at 31 December 2024, respectively. Annual Report 2024 71</t>
        </is>
      </c>
    </row>
    <row r="41">
      <c r="A41" s="8" t="inlineStr">
        <is>
          <t>Intangible Assets &amp; Goodwill</t>
        </is>
      </c>
      <c r="B41" s="8" t="inlineStr">
        <is>
          <t>無形資產及商譽</t>
        </is>
      </c>
      <c r="C41" s="19" t="inlineStr">
        <is>
          <t>high</t>
        </is>
      </c>
      <c r="D41" s="11" t="inlineStr">
        <is>
          <t>trademark</t>
        </is>
      </c>
      <c r="E41" s="11" t="inlineStr">
        <is>
          <t>PDF p.74 (印刷頁 73)</t>
        </is>
      </c>
      <c r="F41" s="11" t="inlineStr">
        <is>
          <t>year, no domain name licence was transacted under such arrangements, save as disclosed elsewhere in this section. 7. Pursuant to the trademark licence agreement dated 28 February 2004 entered into between Tencent Technology, as licensor, and Tencent Computer, as licensee, Tencent Technology shall grant to Tencent Computer a non-exclusive licence to use specified trademarks against payment of annual royalties determined as a percentage of Tencent Computer’s annual revenues (which may be adjusted pursuant to the agreement or the</t>
        </is>
      </c>
    </row>
    <row r="42">
      <c r="A42" s="8" t="inlineStr">
        <is>
          <t>Intangible Assets &amp; Goodwill</t>
        </is>
      </c>
      <c r="B42" s="8" t="inlineStr">
        <is>
          <t>無形資產及商譽</t>
        </is>
      </c>
      <c r="C42" s="19" t="inlineStr">
        <is>
          <t>high</t>
        </is>
      </c>
      <c r="D42" s="11" t="inlineStr">
        <is>
          <t>trademark</t>
        </is>
      </c>
      <c r="E42" s="11" t="inlineStr">
        <is>
          <t>PDF p.75 (印刷頁 74)</t>
        </is>
      </c>
      <c r="F42" s="11" t="inlineStr">
        <is>
          <t>Directors’ Report 8. Pursuant to the trademark licence agreement dated 28 February 2004 entered into between Tencent Technology, as licensor, and Shiji Kaixuan, as licensee, Tencent Technology shall grant to Shiji Kaixuan a non-exclusive licence to use specified trademarks against payment of annual royalties determined as a percentage of Shiji Kaixuan’s annual revenues (which may be adjusted pursuant to the agreement or the SKT CFC).</t>
        </is>
      </c>
    </row>
    <row r="43">
      <c r="A43" s="8" t="inlineStr">
        <is>
          <t>Intangible Assets &amp; Goodwill</t>
        </is>
      </c>
      <c r="B43" s="8" t="inlineStr">
        <is>
          <t>無形資產及商譽</t>
        </is>
      </c>
      <c r="C43" s="19" t="inlineStr">
        <is>
          <t>high</t>
        </is>
      </c>
      <c r="D43" s="11" t="inlineStr">
        <is>
          <t>goodwill</t>
        </is>
      </c>
      <c r="E43" s="11" t="inlineStr">
        <is>
          <t>PDF p.116 (印刷頁 115)</t>
        </is>
      </c>
      <c r="F43" s="11" t="inlineStr">
        <is>
          <t>vices related to in-game permanent virtual items – the estimates of expected users’ relationship periods ‧ Impairment assessments of goodwill, investments in associates and investments in joint ventures ‧ Fair value measurement of Level 3 financial instruments, including financial assets at fair value through profit or loss and financial assets at fair value through other comprehensive income Annual Report 2024 115</t>
        </is>
      </c>
    </row>
    <row r="44">
      <c r="A44" s="8" t="inlineStr">
        <is>
          <t>Intangible Assets &amp; Goodwill</t>
        </is>
      </c>
      <c r="B44" s="8" t="inlineStr">
        <is>
          <t>無形資產及商譽</t>
        </is>
      </c>
      <c r="C44" s="19" t="inlineStr">
        <is>
          <t>high</t>
        </is>
      </c>
      <c r="D44" s="11" t="inlineStr">
        <is>
          <t>goodwill</t>
        </is>
      </c>
      <c r="E44" s="11" t="inlineStr">
        <is>
          <t>PDF p.118 (印刷頁 117)</t>
        </is>
      </c>
      <c r="F44" s="11" t="inlineStr">
        <is>
          <t>Independent Auditor’s Report Key Audit Matter How our audit addressed the Key Audit Matter Impairment assessments of goodwill, investments in associates and investments in joint ventures Refer to Notes 2.8(a), 2.9, 5(b), 21, 22 and 23 to the We assessed and tested the key internal controls in respect consolidated financial statements. of (i) the annual impairment assessments of goodwill; and (ii) identification of impairment indicators of and performing As at 31 December 2024, the Group’s goodwill of approximate</t>
        </is>
      </c>
    </row>
    <row r="45">
      <c r="A45" s="8" t="inlineStr">
        <is>
          <t>Intangible Assets &amp; Goodwill</t>
        </is>
      </c>
      <c r="B45" s="8" t="inlineStr">
        <is>
          <t>無形資產及商譽</t>
        </is>
      </c>
      <c r="C45" s="19" t="inlineStr">
        <is>
          <t>high</t>
        </is>
      </c>
      <c r="D45" s="11" t="inlineStr">
        <is>
          <t>goodwill</t>
        </is>
      </c>
      <c r="E45" s="11" t="inlineStr">
        <is>
          <t>PDF p.119 (印刷頁 118)</t>
        </is>
      </c>
      <c r="F45" s="11" t="inlineStr">
        <is>
          <t>Independent Auditor’s Report Key Audit Matter How our audit addressed the Key Audit Matter Impairment assessments of goodwill, investments in associates and investments in joint ventures (continued) In carrying out impairment assessments, significant judgments In respect of impairment assessments using the market are required to estimate the recoverable amounts, being the approach, we assessed, on a sample basis, the key higher of the fair value less costs of disposal and value in use. assumptions adopted by man</t>
        </is>
      </c>
    </row>
    <row r="46">
      <c r="A46" s="8" t="inlineStr">
        <is>
          <t>Intangible Assets &amp; Goodwill</t>
        </is>
      </c>
      <c r="B46" s="8" t="inlineStr">
        <is>
          <t>無形資產及商譽</t>
        </is>
      </c>
      <c r="C46" s="19" t="inlineStr">
        <is>
          <t>high</t>
        </is>
      </c>
      <c r="D46" s="11" t="inlineStr">
        <is>
          <t>intangible asset</t>
        </is>
      </c>
      <c r="E46" s="11" t="inlineStr">
        <is>
          <t>PDF p.126 (印刷頁 125)</t>
        </is>
      </c>
      <c r="F46" s="11" t="inlineStr">
        <is>
          <t>rights 18 23,117 17,179 Right-of-use assets 19 17,679 20,464 Construction in progress 20 12,302 13,583 Investment properties 801 570 Intangible assets 21 196,127 177,727 Investments in associates 22 290,343 253,696 Investments in joint ventures 23 7,072 7,969 Financial assets at fair value through profit or loss 25 204,999 211,145 Financial assets at fair value through other comprehensive income 26 302,360 213,951 Prepayments, deposits and other assets 27 42,828 28,439 Other financial assets 28 1,076 2,527 Deferred income tax a</t>
        </is>
      </c>
    </row>
    <row r="47">
      <c r="A47" s="8" t="inlineStr">
        <is>
          <t>Intangible Assets &amp; Goodwill</t>
        </is>
      </c>
      <c r="B47" s="8" t="inlineStr">
        <is>
          <t>無形資產及商譽</t>
        </is>
      </c>
      <c r="C47" s="19" t="inlineStr">
        <is>
          <t>high</t>
        </is>
      </c>
      <c r="D47" s="11" t="inlineStr">
        <is>
          <t>intangible asset</t>
        </is>
      </c>
      <c r="E47" s="11" t="inlineStr">
        <is>
          <t>PDF p.133 (印刷頁 132)</t>
        </is>
      </c>
      <c r="F47" s="11" t="inlineStr">
        <is>
          <t>investment properties (62,927) (21,008) Proceeds from disposal of property, plant and equipment 203 257 Purchase of/prepayments for intangible assets (26,394) (26,042) Purchase of/prepayments for land use rights (6,727) (357) Payments for acquisition of investments in associates (1,967) (5,625) Proceeds from disposal of investments in associates 4,627 3,938 Payments for acquisition of investments in joint ventures (22) (25) Proceeds from disposal of investments in joint ventures 267 431 Payments for acquisition of financial as</t>
        </is>
      </c>
    </row>
    <row r="48">
      <c r="A48" s="8" t="inlineStr">
        <is>
          <t>Intangible Assets &amp; Goodwill</t>
        </is>
      </c>
      <c r="B48" s="8" t="inlineStr">
        <is>
          <t>無形資產及商譽</t>
        </is>
      </c>
      <c r="C48" s="19" t="inlineStr">
        <is>
          <t>high</t>
        </is>
      </c>
      <c r="D48" s="11" t="inlineStr">
        <is>
          <t>intangible asset</t>
        </is>
      </c>
      <c r="E48" s="11" t="inlineStr">
        <is>
          <t>PDF p.139 (印刷頁 138)</t>
        </is>
      </c>
      <c r="F48" s="11" t="inlineStr">
        <is>
          <t>ree over the net acquisition-date amount of the identifiable assets acquired and the liabilities assumed is recorded as goodwill in “Intangible assets” in the consolidated financial statements. Goodwill is not amortised, but must instead subject to an impairment test at least annually (Notes 2.8 and 2.9). If the total of consideration transferred, non-controlling interest recognised and previously held interest measured is less than the net acquisition-date amount of the identifiable assets acquired and the liabilities assumed</t>
        </is>
      </c>
    </row>
    <row r="49">
      <c r="A49" s="8" t="inlineStr">
        <is>
          <t>Intangible Assets &amp; Goodwill</t>
        </is>
      </c>
      <c r="B49" s="8" t="inlineStr">
        <is>
          <t>無形資產及商譽</t>
        </is>
      </c>
      <c r="C49" s="19" t="inlineStr">
        <is>
          <t>high</t>
        </is>
      </c>
      <c r="D49" s="11" t="inlineStr">
        <is>
          <t>goodwill</t>
        </is>
      </c>
      <c r="E49" s="11" t="inlineStr">
        <is>
          <t>PDF p.140 (印刷頁 139)</t>
        </is>
      </c>
      <c r="F49" s="11" t="inlineStr">
        <is>
          <t>amount of the investments in the separate financial statements exceeds the carrying amount of the subsidiaries’ net assets including goodwill in the consolidated financial statements. 2.4 Investments under equity method of accounting (a) Associates Associates are all entities over which the Group has significant influence but not control or joint control, generally but not necessarily accompanying a holding of between 20% and 50% of the voting rights. Investments in associates are accounted for using the equity method of accoun</t>
        </is>
      </c>
    </row>
    <row r="50">
      <c r="A50" s="8" t="inlineStr">
        <is>
          <t>Intangible Assets &amp; Goodwill</t>
        </is>
      </c>
      <c r="B50" s="8" t="inlineStr">
        <is>
          <t>無形資產及商譽</t>
        </is>
      </c>
      <c r="C50" s="19" t="inlineStr">
        <is>
          <t>high</t>
        </is>
      </c>
      <c r="D50" s="11" t="inlineStr">
        <is>
          <t>goodwill</t>
        </is>
      </c>
      <c r="E50" s="11" t="inlineStr">
        <is>
          <t>PDF p.143 (印刷頁 142)</t>
        </is>
      </c>
      <c r="F50" s="11" t="inlineStr">
        <is>
          <t>and of borrowings and other financial instruments designated as hedges of such investments, are taken to other comprehensive income. Goodwill and fair value adjustments arising on the acquisition of a foreign operation are treated as assets and liabilities of the foreign operation and translated at the closing rate. Currency translation differences arising thereon are recognised in other comprehensive income. 142 Tencent Holdings Limited</t>
        </is>
      </c>
    </row>
    <row r="51">
      <c r="A51" s="8" t="inlineStr">
        <is>
          <t>Intangible Assets &amp; Goodwill</t>
        </is>
      </c>
      <c r="B51" s="8" t="inlineStr">
        <is>
          <t>無形資產及商譽</t>
        </is>
      </c>
      <c r="C51" s="19" t="inlineStr">
        <is>
          <t>high</t>
        </is>
      </c>
      <c r="D51" s="11" t="inlineStr">
        <is>
          <t>useful life</t>
        </is>
      </c>
      <c r="E51" s="11" t="inlineStr">
        <is>
          <t>PDF p.144 (印刷頁 143)</t>
        </is>
      </c>
      <c r="F51" s="11" t="inlineStr">
        <is>
          <t>* As non-removable parts of the buildings, fixtures and internal decoration are depreciated over the shorter of the specific asset’s useful life and the remaining useful life of the entire building. The assets’ residual values and useful lives are reviewed, and adjusted if appropriate, at the end of each reporting period. Construction in progress represents office buildings and data centers under construction, which is stated at actual construction costs less any impairment loss. Construction in progress is transferred to prope</t>
        </is>
      </c>
    </row>
    <row r="52">
      <c r="A52" s="8" t="inlineStr">
        <is>
          <t>Intangible Assets &amp; Goodwill</t>
        </is>
      </c>
      <c r="B52" s="8" t="inlineStr">
        <is>
          <t>無形資產及商譽</t>
        </is>
      </c>
      <c r="C52" s="19" t="inlineStr">
        <is>
          <t>high</t>
        </is>
      </c>
      <c r="D52" s="11" t="inlineStr">
        <is>
          <t>intangible asset</t>
        </is>
      </c>
      <c r="E52" s="11" t="inlineStr">
        <is>
          <t>PDF p.145 (印刷頁 144)</t>
        </is>
      </c>
      <c r="F52" s="11" t="inlineStr">
        <is>
          <t>ncluded in the cost of construction in progress as appropriate, on a straight-line basis over the remaining period of the lease. 2.8 Intangible assets (a) Goodwill Goodwill on acquisition of subsidiaries is recognised as described in Note 2.3(a) and included in “Intangible assets” in the consolidated financial statements. For the purpose of impairment testing, goodwill acquired in a business combination is allocated to each of the cash-generating units (“CGUs”), or groups of CGUs, that is expected to benefit from the synergies</t>
        </is>
      </c>
    </row>
    <row r="53">
      <c r="A53" s="8" t="inlineStr">
        <is>
          <t>Intangible Assets &amp; Goodwill</t>
        </is>
      </c>
      <c r="B53" s="8" t="inlineStr">
        <is>
          <t>無形資產及商譽</t>
        </is>
      </c>
      <c r="C53" s="19" t="inlineStr">
        <is>
          <t>high</t>
        </is>
      </c>
      <c r="D53" s="11" t="inlineStr">
        <is>
          <t>intangible asset</t>
        </is>
      </c>
      <c r="E53" s="11" t="inlineStr">
        <is>
          <t>PDF p.146 (印刷頁 145)</t>
        </is>
      </c>
      <c r="F53" s="11" t="inlineStr">
        <is>
          <t>ded 31 December 2024 2 SUMMARY OF MATERIAL ACCOUNTING POLICIES (continued) 2.9 Impairment of non-financial assets Goodwill and other intangible assets that have an indefinite useful life or are not yet available for use are not subject to amortisation and are tested annually for impairment, or more frequently if events or changes in circumstances indicate that they might be impaired. Other assets are reviewed for impairment whenever events or changes in circumstances indicate that the carrying amount may not be fully recoverabl</t>
        </is>
      </c>
    </row>
    <row r="54">
      <c r="A54" s="8" t="inlineStr">
        <is>
          <t>Intangible Assets &amp; Goodwill</t>
        </is>
      </c>
      <c r="B54" s="8" t="inlineStr">
        <is>
          <t>無形資產及商譽</t>
        </is>
      </c>
      <c r="C54" s="19" t="inlineStr">
        <is>
          <t>high</t>
        </is>
      </c>
      <c r="D54" s="11" t="inlineStr">
        <is>
          <t>goodwill</t>
        </is>
      </c>
      <c r="E54" s="11" t="inlineStr">
        <is>
          <t>PDF p.153 (印刷頁 152)</t>
        </is>
      </c>
      <c r="F54" s="11" t="inlineStr">
        <is>
          <t>in the consolidated financial statements. However, deferred income tax is not accounted for if it arises from initial recognition of goodwill or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that have been enacted or substantively enacted by the end of the reporting period</t>
        </is>
      </c>
    </row>
    <row r="55">
      <c r="A55" s="8" t="inlineStr">
        <is>
          <t>Intangible Assets &amp; Goodwill</t>
        </is>
      </c>
      <c r="B55" s="8" t="inlineStr">
        <is>
          <t>無形資產及商譽</t>
        </is>
      </c>
      <c r="C55" s="19" t="inlineStr">
        <is>
          <t>high</t>
        </is>
      </c>
      <c r="D55" s="11" t="inlineStr">
        <is>
          <t>amortisation</t>
        </is>
      </c>
      <c r="E55" s="11" t="inlineStr">
        <is>
          <t>PDF p.161 (印刷頁 160)</t>
        </is>
      </c>
      <c r="F55" s="11" t="inlineStr">
        <is>
          <t>he practical expedient to recognise the contract cost relating to obtaining a contract as an expense when incurred, if otherwise the amortisation period is one year or less. 2.23 Government grants/subsidies Grants/subsidies from the government are recognised at their fair values where there is a reasonable assurance that the grants/subsidies will be received and the Group will comply with all attached conditions. Under these circumstances, the grants/subsidies are recognised as income or deducted in reporting the associated cos</t>
        </is>
      </c>
    </row>
    <row r="56">
      <c r="A56" s="8" t="inlineStr">
        <is>
          <t>Intangible Assets &amp; Goodwill</t>
        </is>
      </c>
      <c r="B56" s="8" t="inlineStr">
        <is>
          <t>無形資產及商譽</t>
        </is>
      </c>
      <c r="C56" s="19" t="inlineStr">
        <is>
          <t>high</t>
        </is>
      </c>
      <c r="D56" s="11" t="inlineStr">
        <is>
          <t>useful life</t>
        </is>
      </c>
      <c r="E56" s="11" t="inlineStr">
        <is>
          <t>PDF p.163 (印刷頁 162)</t>
        </is>
      </c>
      <c r="F56" s="11" t="inlineStr">
        <is>
          <t>; ‧ any initial direct costs; and ‧ restoration costs. A right-of-use asset is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are recognised on a straight-line basis as an expense in profit or loss. Short-term leases are leases with a lease term of 12 months or less without a purc</t>
        </is>
      </c>
    </row>
    <row r="57">
      <c r="A57" s="8" t="inlineStr">
        <is>
          <t>Intangible Assets &amp; Goodwill</t>
        </is>
      </c>
      <c r="B57" s="8" t="inlineStr">
        <is>
          <t>無形資產及商譽</t>
        </is>
      </c>
      <c r="C57" s="19" t="inlineStr">
        <is>
          <t>high</t>
        </is>
      </c>
      <c r="D57" s="11" t="inlineStr">
        <is>
          <t>development cost</t>
        </is>
      </c>
      <c r="E57" s="11" t="inlineStr">
        <is>
          <t>PDF p.164 (印刷頁 163)</t>
        </is>
      </c>
      <c r="F57" s="11" t="inlineStr">
        <is>
          <t>costs are performed annually. Other development expenditures that do not meet those criteria are recognised as expenses as incurred. Development costs previously recognised as expenses are not recognised as assets in subsequent periods. 3 SUMMARY OF OTHER ACCOUNTING POLICIES 3.1 Inventories Inventories, mainly consisting of merchandise for sale, are primarily accounted for using the weighted average cost method and are stated at the lower of cost and net realisable value. 3.2 Investment properties Investment properties are held</t>
        </is>
      </c>
    </row>
    <row r="58">
      <c r="A58" s="8" t="inlineStr">
        <is>
          <t>Intangible Assets &amp; Goodwill</t>
        </is>
      </c>
      <c r="B58" s="8" t="inlineStr">
        <is>
          <t>無形資產及商譽</t>
        </is>
      </c>
      <c r="C58" s="19" t="inlineStr">
        <is>
          <t>high</t>
        </is>
      </c>
      <c r="D58" s="11" t="inlineStr">
        <is>
          <t>intangible asset</t>
        </is>
      </c>
      <c r="E58" s="11" t="inlineStr">
        <is>
          <t>PDF p.177 (印刷頁 176)</t>
        </is>
      </c>
      <c r="F58" s="11" t="inlineStr">
        <is>
          <t>and adding back depreciation of property, plant and equipment, investment properties as well as right-of-use assets, amortisation of intangible assets and land use rights, and equitysettled share-based compensation expenses. 176 Tencent Holdings Limited</t>
        </is>
      </c>
    </row>
    <row r="59">
      <c r="A59" s="8" t="inlineStr">
        <is>
          <t>Intangible Assets &amp; Goodwill</t>
        </is>
      </c>
      <c r="B59" s="8" t="inlineStr">
        <is>
          <t>無形資產及商譽</t>
        </is>
      </c>
      <c r="C59" s="19" t="inlineStr">
        <is>
          <t>high</t>
        </is>
      </c>
      <c r="D59" s="11" t="inlineStr">
        <is>
          <t>intangible asset</t>
        </is>
      </c>
      <c r="E59" s="11" t="inlineStr">
        <is>
          <t>PDF p.183 (印刷頁 182)</t>
        </is>
      </c>
      <c r="F59" s="11" t="inlineStr">
        <is>
          <t>impairment. Goodwill and other non-financial assets, mainly including property, plant and equipment, construction in progress, other intangible assets, investment properties, land use rights, right-of-use assets as well as investments in associates and joint ventures are reviewed for impairment whenever events or changes in circumstances indicate that the carrying amounts may not be fully recoverable. The recoverable amounts have been determined based on value-in-use calculations or fair value less costs of disposal. These calc</t>
        </is>
      </c>
    </row>
    <row r="60">
      <c r="A60" s="8" t="inlineStr">
        <is>
          <t>Intangible Assets &amp; Goodwill</t>
        </is>
      </c>
      <c r="B60" s="8" t="inlineStr">
        <is>
          <t>無形資產及商譽</t>
        </is>
      </c>
      <c r="C60" s="19" t="inlineStr">
        <is>
          <t>high</t>
        </is>
      </c>
      <c r="D60" s="11" t="inlineStr">
        <is>
          <t>amortisation</t>
        </is>
      </c>
      <c r="E60" s="11" t="inlineStr">
        <is>
          <t>PDF p.186 (印刷頁 185)</t>
        </is>
      </c>
      <c r="F60" s="11" t="inlineStr">
        <is>
          <t>1,374 211,956 7,759 660,257 Gross profit 181,657 67,232 99,701 656 349,246 Cost of revenues Depreciation 5,242 6,792 7,773 55 19,862 Amortisation 16,270 7,327 152 2,243 25,992 Year ended 31 December 2023 FinTech and Marketing Business VAS Services Services Others Total RMB’Million RMB’Million RMB’Million RMB’Million RMB’Million Segment revenues 298,375 101,482 203,763 5,395 609,015 Gross profit/(loss) 161,919 51,344 80,636 (790) 293,109 Cost of revenues Depreciation 5,239 6,025 8,713 59 20,036 Amortisation 19,468 8,661 158 1,93</t>
        </is>
      </c>
    </row>
    <row r="61">
      <c r="A61" s="8" t="inlineStr">
        <is>
          <t>Intangible Assets &amp; Goodwill</t>
        </is>
      </c>
      <c r="B61" s="8" t="inlineStr">
        <is>
          <t>無形資產及商譽</t>
        </is>
      </c>
      <c r="C61" s="19" t="inlineStr">
        <is>
          <t>high</t>
        </is>
      </c>
      <c r="D61" s="11" t="inlineStr">
        <is>
          <t>intangible asset</t>
        </is>
      </c>
      <c r="E61" s="11" t="inlineStr">
        <is>
          <t>PDF p.191 (印刷頁 190)</t>
        </is>
      </c>
      <c r="F61" s="11" t="inlineStr">
        <is>
          <t>Note (a)) 134,954 134,864 Employee benefits expenses (Note (b) and Note 14) 112,826 107,675 Content costs (excluding amortisation of intangible assets) 68,581 62,696 Amortisation of intangible assets (Note (c) and Note 21) 28,765 32,623 Depreciation of property, plant and equipment, investment properties and right-of-use assets 27,332 26,305 Bandwidth and server custody fees (excluding depreciation of right-of-use assets) 26,419 24,248 Promotion and advertising expenses 25,062 22,836 Auditor’s remuneration – Audit and audit-rel</t>
        </is>
      </c>
    </row>
    <row r="62">
      <c r="A62" s="8" t="inlineStr">
        <is>
          <t>Intangible Assets &amp; Goodwill</t>
        </is>
      </c>
      <c r="B62" s="8" t="inlineStr">
        <is>
          <t>無形資產及商譽</t>
        </is>
      </c>
      <c r="C62" s="19" t="inlineStr">
        <is>
          <t>high</t>
        </is>
      </c>
      <c r="D62" s="11" t="inlineStr">
        <is>
          <t>intangible asset</t>
        </is>
      </c>
      <c r="E62" s="11" t="inlineStr">
        <is>
          <t>PDF p.192 (印刷頁 191)</t>
        </is>
      </c>
      <c r="F62" s="11" t="inlineStr">
        <is>
          <t>ancial Statements For the year ended 31 December 2024 7 EXPENSES BY NATURE (continued) Note: (continued) (c) Amortisation charges of intangible assets are mainly in respect of media content including long-form video and music content, game licences, and other content. During the year ended 31 December 2024, amortisation of media content was approximately RMB26,166 million (2023: RMB30,088 million). During the year ended 31 December 2024, amortisation of intangible assets included the amortisation of intangible assets arising fr</t>
        </is>
      </c>
    </row>
    <row r="63">
      <c r="A63" s="8" t="inlineStr">
        <is>
          <t>Intangible Assets &amp; Goodwill</t>
        </is>
      </c>
      <c r="B63" s="8" t="inlineStr">
        <is>
          <t>無形資產及商譽</t>
        </is>
      </c>
      <c r="C63" s="19" t="inlineStr">
        <is>
          <t>high</t>
        </is>
      </c>
      <c r="D63" s="11" t="inlineStr">
        <is>
          <t>intangible asset</t>
        </is>
      </c>
      <c r="E63" s="11" t="inlineStr">
        <is>
          <t>PDF p.193 (印刷頁 192)</t>
        </is>
      </c>
      <c r="F63" s="11" t="inlineStr">
        <is>
          <t>mpairment (provisions)/reversals for investments in joint ventures and others (170) 752 Impairment provisions for goodwill and other intangible assets arising from acquisitions (Note 21) (1,369) (95) Other net fair value losses (Note (c)) (892) (165) Donations (Note (d)) (2,003) (2,952) Dividend income 715 546 Others (Note (e)) (187) 342 4,187 (6,090) Note: (a) The net disposal and deemed disposal gains of approximately RMB12,810 million recognised during the year ended 31 December 2024 comprised the following: – aggregate net</t>
        </is>
      </c>
    </row>
    <row r="64">
      <c r="A64" s="8" t="inlineStr">
        <is>
          <t>Intangible Assets &amp; Goodwill</t>
        </is>
      </c>
      <c r="B64" s="8" t="inlineStr">
        <is>
          <t>無形資產及商譽</t>
        </is>
      </c>
      <c r="C64" s="19" t="inlineStr">
        <is>
          <t>high</t>
        </is>
      </c>
      <c r="D64" s="11" t="inlineStr">
        <is>
          <t>amortisation</t>
        </is>
      </c>
      <c r="E64" s="11" t="inlineStr">
        <is>
          <t>PDF p.209 (印刷頁 208)</t>
        </is>
      </c>
      <c r="F64" s="11" t="inlineStr">
        <is>
          <t>024 2023 RMB’Million RMB’Million Opening net book amount 17,179 18,046 Additions 6,617 36 Reduction (Note) – (201) Disposals – (162) Amortisation (655) (532) Impairment provisions (28) (10) Currency translation differences 4 2 Closing net book amount 23,117 17,179 Note: It represented the return from the government due to actual occupancy area adjustments. The land use rights mainly represented prepaid operating lease payments in respect of land in the Mainland of China with remaining lease periods ranging from 24 to 49 years.</t>
        </is>
      </c>
    </row>
    <row r="65">
      <c r="A65" s="8" t="inlineStr">
        <is>
          <t>Intangible Assets &amp; Goodwill</t>
        </is>
      </c>
      <c r="B65" s="8" t="inlineStr">
        <is>
          <t>無形資產及商譽</t>
        </is>
      </c>
      <c r="C65" s="19" t="inlineStr">
        <is>
          <t>high</t>
        </is>
      </c>
      <c r="D65" s="11" t="inlineStr">
        <is>
          <t>amortisation</t>
        </is>
      </c>
      <c r="E65" s="11" t="inlineStr">
        <is>
          <t>PDF p.211 (印刷頁 210)</t>
        </is>
      </c>
      <c r="F65" s="11" t="inlineStr">
        <is>
          <t>solidated statement of cash flows The consolidated income statement included the following amounts relating to leases (excluding the amortisation of land use rights, disclosed in Note 18): 2024 2023 RMB’Million RMB’Million Depreciation charge of right-of-use assets Buildings 2,722 2,927 Computer and other operating equipment 3,442 3,436 Others 27 34 6,191 6,397 Interest expense (included in finance costs) 879 1,011 Expense relating to short-term leases not included in lease liabilities (included in cost of revenues and expenses</t>
        </is>
      </c>
    </row>
    <row r="66">
      <c r="A66" s="8" t="inlineStr">
        <is>
          <t>Intangible Assets &amp; Goodwill</t>
        </is>
      </c>
      <c r="B66" s="8" t="inlineStr">
        <is>
          <t>無形資產及商譽</t>
        </is>
      </c>
      <c r="C66" s="19" t="inlineStr">
        <is>
          <t>high</t>
        </is>
      </c>
      <c r="D66" s="11" t="inlineStr">
        <is>
          <t>intangible asset</t>
        </is>
      </c>
      <c r="E66" s="11" t="inlineStr">
        <is>
          <t>PDF p.213 (印刷頁 212)</t>
        </is>
      </c>
      <c r="F66" s="11" t="inlineStr">
        <is>
          <t>Notes to the Consolidated Financial Statements For the year ended 31 December 2024 21 INTANGIBLE ASSETS Computer software and Media Goodwill technology content Trademarks Others Total RMB’Million RMB’Million RMB’Million RMB’Million RMB’Million RMB’Million At 1 January 2024 Cost 146,966 14,935 167,888 14,591 10,253 354,633 Accumulated amortisation and impairment (23,106) (11,031) (130,672) (6,960) (8,049) (179,818) Currency translation differences 2,360 (11) 541 33 (11) 2,912 Net bo</t>
        </is>
      </c>
    </row>
    <row r="67">
      <c r="A67" s="8" t="inlineStr">
        <is>
          <t>Intangible Assets &amp; Goodwill</t>
        </is>
      </c>
      <c r="B67" s="8" t="inlineStr">
        <is>
          <t>無形資產及商譽</t>
        </is>
      </c>
      <c r="C67" s="19" t="inlineStr">
        <is>
          <t>high</t>
        </is>
      </c>
      <c r="D67" s="11" t="inlineStr">
        <is>
          <t>intangible asset</t>
        </is>
      </c>
      <c r="E67" s="11" t="inlineStr">
        <is>
          <t>PDF p.214 (印刷頁 213)</t>
        </is>
      </c>
      <c r="F67" s="11" t="inlineStr">
        <is>
          <t>Notes to the Consolidated Financial Statements For the year ended 31 December 2024 21 INTANGIBLE ASSETS (continued) Computer software and Media Goodwill technology content Trademarks Others Total RMB’Million RMB’Million RMB’Million RMB’Million RMB’Million RMB’Million At 1 January 2023 Cost 142,499 14,179 139,124 13,865 9,948 319,615 Accumulated amortisation and impairment (23,101) (10,035) (108,045) (5,971) (7,515) (154,667) Currency translation differences (2,667) (34) (69) (304)</t>
        </is>
      </c>
    </row>
    <row r="68">
      <c r="A68" s="8" t="inlineStr">
        <is>
          <t>Intangible Assets &amp; Goodwill</t>
        </is>
      </c>
      <c r="B68" s="8" t="inlineStr">
        <is>
          <t>無形資產及商譽</t>
        </is>
      </c>
      <c r="C68" s="19" t="inlineStr">
        <is>
          <t>high</t>
        </is>
      </c>
      <c r="D68" s="11" t="inlineStr">
        <is>
          <t>intangible asset</t>
        </is>
      </c>
      <c r="E68" s="11" t="inlineStr">
        <is>
          <t>PDF p.215 (印刷頁 214)</t>
        </is>
      </c>
      <c r="F68" s="11" t="inlineStr">
        <is>
          <t>Notes to the Consolidated Financial Statements For the year ended 31 December 2024 21 INTANGIBLE ASSETS (continued) During the year ended 31 December 2024, amortisation of RMB25,992 million (2023: RMB30,217 million) and RMB2,773 million (2023: RMB2,406 million) were charged to “Cost of revenues” and “General and administrative expenses”, respectively. During the year ended 31 December 2024, impairment losses of RMB1,369 million (2023: RMB95 million) on goodwill and other intangible</t>
        </is>
      </c>
    </row>
    <row r="69">
      <c r="A69" s="8" t="inlineStr">
        <is>
          <t>Intangible Assets &amp; Goodwill</t>
        </is>
      </c>
      <c r="B69" s="8" t="inlineStr">
        <is>
          <t>無形資產及商譽</t>
        </is>
      </c>
      <c r="C69" s="19" t="inlineStr">
        <is>
          <t>high</t>
        </is>
      </c>
      <c r="D69" s="11" t="inlineStr">
        <is>
          <t>intangible asset</t>
        </is>
      </c>
      <c r="E69" s="11" t="inlineStr">
        <is>
          <t>PDF p.216 (印刷頁 215)</t>
        </is>
      </c>
      <c r="F69" s="11" t="inlineStr">
        <is>
          <t>Notes to the Consolidated Financial Statements For the year ended 31 December 2024 21 INTANGIBLE ASSETS (continued) Impairment tests for goodwill (continued) For goodwill attributable to the Group’s online music business and online literature business within VAS segment, FinTech and Business Services segment and television programme and film production businesses within Others segment, value in use was calculated using discounted cash flows. The valuations were based on five-year f</t>
        </is>
      </c>
    </row>
    <row r="70">
      <c r="A70" s="8" t="inlineStr">
        <is>
          <t>Investment Properties</t>
        </is>
      </c>
      <c r="B70" s="8" t="inlineStr">
        <is>
          <t>投資物業</t>
        </is>
      </c>
      <c r="C70" s="19" t="inlineStr">
        <is>
          <t>high</t>
        </is>
      </c>
      <c r="D70" s="11" t="inlineStr">
        <is>
          <t>rental yield</t>
        </is>
      </c>
      <c r="E70" s="11" t="inlineStr">
        <is>
          <t>PDF p.164 (印刷頁 163)</t>
        </is>
      </c>
      <c r="F70" s="11" t="inlineStr">
        <is>
          <t>and are stated at the lower of cost and net realisable value. 3.2 Investment properties Investment properties are held for long-term rental yields and are not occupied by the Group. Investment properties are carried at historical costs less accumulated depreciation and accumulated impairment losses. Historical costs include expenditures that are directly attributable to the acquisition of the items. Annual Report 2024 163</t>
        </is>
      </c>
    </row>
    <row r="71">
      <c r="A71" s="8" t="inlineStr">
        <is>
          <t>ESG Data</t>
        </is>
      </c>
      <c r="B71" s="8" t="inlineStr">
        <is>
          <t>環境社會及管治數據</t>
        </is>
      </c>
      <c r="C71" s="8" t="inlineStr">
        <is>
          <t>medium</t>
        </is>
      </c>
      <c r="D71" s="11" t="inlineStr">
        <is>
          <t>carbon</t>
        </is>
      </c>
      <c r="E71" s="11" t="inlineStr">
        <is>
          <t>PDF p.7 (印刷頁 6)</t>
        </is>
      </c>
      <c r="F71" s="11" t="inlineStr">
        <is>
          <t>‧ We enhanced our data centres’ energy efficiency, and increased their adoption of renewable energy, progressing towards our goal of carbon neutrality. DIVIDEND The Board has recommended the payment of a final dividend of HKD4.50 per share (2023: HKD3.40 per share) for the year ended 31 December 2024, subject to the approval of the shareholders at the 2025 AGM. Such proposed dividend is expected to be payable on 30 May 2025 to the shareholders whose names appear on the register of members of the Company on 21 May 2025. APPRECIA</t>
        </is>
      </c>
    </row>
    <row r="72">
      <c r="A72" s="8" t="inlineStr">
        <is>
          <t>ESG Data</t>
        </is>
      </c>
      <c r="B72" s="8" t="inlineStr">
        <is>
          <t>環境社會及管治數據</t>
        </is>
      </c>
      <c r="C72" s="8" t="inlineStr">
        <is>
          <t>medium</t>
        </is>
      </c>
      <c r="D72" s="11" t="inlineStr">
        <is>
          <t>ESG</t>
        </is>
      </c>
      <c r="E72" s="11" t="inlineStr">
        <is>
          <t>PDF p.83 (印刷頁 82)</t>
        </is>
      </c>
      <c r="F72" s="11" t="inlineStr">
        <is>
          <t>ders; ‧ reviews and monitors the evaluation and management of issues related to the Company’s Environmental, Social and Governance (“ESG”) matters; ‧ reviews and monitors the progress made against ESG-related goals and targets; ‧ reviews the Company’s compliance with the CG Code and disclosure in the Corporate Governance Report and the ESG Report; ‧ reviews the Company’s ESG strategy and makes recommendations to the Board; and ‧ reviews and monitors the training and continuous professional development of the directors and senio</t>
        </is>
      </c>
    </row>
    <row r="73">
      <c r="A73" s="8" t="inlineStr">
        <is>
          <t>ESG Data</t>
        </is>
      </c>
      <c r="B73" s="8" t="inlineStr">
        <is>
          <t>環境社會及管治數據</t>
        </is>
      </c>
      <c r="C73" s="8" t="inlineStr">
        <is>
          <t>medium</t>
        </is>
      </c>
      <c r="D73" s="11" t="inlineStr">
        <is>
          <t>ESG</t>
        </is>
      </c>
      <c r="E73" s="11" t="inlineStr">
        <is>
          <t>PDF p.91 (印刷頁 90)</t>
        </is>
      </c>
      <c r="F73" s="11" t="inlineStr">
        <is>
          <t>Corporate Governance Report, the Directors’ Report and the financial statements, as well as the related results announcement and the ESG Report; ‧ reviewing the 2024 interim report and interim results announcement; ‧ reviewing the 2024 first and third quarters results announcements; ‧ reviewing the status of compliance with the CG Code, the Listing Rules and relevant laws by the Group; ‧ reviewing the dividend policy of the Company; ‧ in relation to the external auditor, reviewing their plans, reports and management letter, fee</t>
        </is>
      </c>
    </row>
    <row r="74">
      <c r="A74" s="8" t="inlineStr">
        <is>
          <t>ESG Data</t>
        </is>
      </c>
      <c r="B74" s="8" t="inlineStr">
        <is>
          <t>環境社會及管治數據</t>
        </is>
      </c>
      <c r="C74" s="8" t="inlineStr">
        <is>
          <t>medium</t>
        </is>
      </c>
      <c r="D74" s="11" t="inlineStr">
        <is>
          <t>ESG</t>
        </is>
      </c>
      <c r="E74" s="11" t="inlineStr">
        <is>
          <t>PDF p.92 (印刷頁 91)</t>
        </is>
      </c>
      <c r="F74" s="11" t="inlineStr">
        <is>
          <t>the date of this annual report includes the following: ‧ reviewing the Company’s policies and practices on corporate governance and ESG; ‧ reviewing legal and regulatory compliance, including the insider dealing policy, the disclosure of inside information policy and the shareholders communication policy. The insider dealing policy was revised in March 2024 and the shareholders communication policy was revised in March 2025; ‧ reviewing the Company’s compliance with the CG Code and disclosure in the Corporate Governance Report</t>
        </is>
      </c>
    </row>
    <row r="75">
      <c r="A75" s="8" t="inlineStr">
        <is>
          <t>ESG Data</t>
        </is>
      </c>
      <c r="B75" s="8" t="inlineStr">
        <is>
          <t>環境社會及管治數據</t>
        </is>
      </c>
      <c r="C75" s="8" t="inlineStr">
        <is>
          <t>medium</t>
        </is>
      </c>
      <c r="D75" s="11" t="inlineStr">
        <is>
          <t>ESG</t>
        </is>
      </c>
      <c r="E75" s="11" t="inlineStr">
        <is>
          <t>PDF p.96 (印刷頁 95)</t>
        </is>
      </c>
      <c r="F75" s="11" t="inlineStr">
        <is>
          <t>our workforce (including the gender ratio), please refer to the sections headed “Implementing Diversity, Equity, and Inclusion” and “ESG Key Performance Tables” in the “Environmental, Social and Governance Report 2024”. The Nomination Committee will ensure that the Board has the appropriate balance of skills, experience and diversity of perspectives that are required to support the execution of its business strategy and in order for the Board to be effective. Annual Report 2024 95</t>
        </is>
      </c>
    </row>
    <row r="76">
      <c r="A76" s="8" t="inlineStr">
        <is>
          <t>ESG Data</t>
        </is>
      </c>
      <c r="B76" s="8" t="inlineStr">
        <is>
          <t>環境社會及管治數據</t>
        </is>
      </c>
      <c r="C76" s="8" t="inlineStr">
        <is>
          <t>medium</t>
        </is>
      </c>
      <c r="D76" s="11" t="inlineStr">
        <is>
          <t>ESG</t>
        </is>
      </c>
      <c r="E76" s="11" t="inlineStr">
        <is>
          <t>PDF p.99 (印刷頁 98)</t>
        </is>
      </c>
      <c r="F76" s="11" t="inlineStr">
        <is>
          <t>risks mentioned above also include, but are not limited to, significant risks relating to the environmental, social and governance (ESG) aspects of the Company. Under the supervision and guidance of the Board, the Company has adopted a risk management and internal control structure, referred to as the “Three Lines Model”, to ensure the effectiveness of its risk management and internal control systems. 98 Tencent Holdings Limited</t>
        </is>
      </c>
    </row>
    <row r="77">
      <c r="A77" s="8" t="inlineStr">
        <is>
          <t>ESG Data</t>
        </is>
      </c>
      <c r="B77" s="8" t="inlineStr">
        <is>
          <t>環境社會及管治數據</t>
        </is>
      </c>
      <c r="C77" s="8" t="inlineStr">
        <is>
          <t>medium</t>
        </is>
      </c>
      <c r="D77" s="11" t="inlineStr">
        <is>
          <t>ESG</t>
        </is>
      </c>
      <c r="E77" s="11" t="inlineStr">
        <is>
          <t>PDF p.102 (印刷頁 101)</t>
        </is>
      </c>
      <c r="F77" s="11" t="inlineStr">
        <is>
          <t>to increase, and the external environment continues to evolve. Management faces a wide range of risks, including but not limited to ESG risk. Through risk management analysis and evaluation, management considers that the ten significant risks disclosed in the financial year 2023 still exist. Among these, the “Market competition and innovation risk” has increased to a certain extent, while the other risks remain at a similar risk level as last year. On behalf of the Board, the Audit Committee supervises the overall risk managem</t>
        </is>
      </c>
    </row>
    <row r="78">
      <c r="A78" s="8" t="inlineStr">
        <is>
          <t>ESG Data</t>
        </is>
      </c>
      <c r="B78" s="8" t="inlineStr">
        <is>
          <t>環境社會及管治數據</t>
        </is>
      </c>
      <c r="C78" s="8" t="inlineStr">
        <is>
          <t>medium</t>
        </is>
      </c>
      <c r="D78" s="11" t="inlineStr">
        <is>
          <t>ESG</t>
        </is>
      </c>
      <c r="E78" s="11" t="inlineStr">
        <is>
          <t>PDF p.107 (印刷頁 106)</t>
        </is>
      </c>
      <c r="F78" s="11" t="inlineStr">
        <is>
          <t>sk There is a consensus among organisations of United Nations, international listing rules-setting organisations and regulators that ESG affairs are classified as regular disclosures for listed companies. As one of the important standards for evaluating the health of a company’s development, ESG performance will affect how shareholders and other stakeholders determine the value of the Company. The Company has established an ESG team to comprehensively assess and manage ESG matters, including existing and emerging ESG risks, to</t>
        </is>
      </c>
    </row>
    <row r="79">
      <c r="A79" s="8" t="inlineStr">
        <is>
          <t>ESG Data</t>
        </is>
      </c>
      <c r="B79" s="8" t="inlineStr">
        <is>
          <t>環境社會及管治數據</t>
        </is>
      </c>
      <c r="C79" s="8" t="inlineStr">
        <is>
          <t>medium</t>
        </is>
      </c>
      <c r="D79" s="11" t="inlineStr">
        <is>
          <t>carbon</t>
        </is>
      </c>
      <c r="E79" s="11" t="inlineStr">
        <is>
          <t>PDF p.108 (印刷頁 107)</t>
        </is>
      </c>
      <c r="F79" s="11" t="inlineStr">
        <is>
          <t>ology in the collaborative response to climate and biodiversity conservation. In this respect, the Company has set a goal to achieve carbon neutrality covering its supply chain and has released a “Biodiversity Statement”, committing to implementing specific actions to reduce carbon emissions and dependence on nature, and to support environmental protection with digital technology. Annual Report 2024 107</t>
        </is>
      </c>
    </row>
    <row r="80">
      <c r="A80" s="8" t="inlineStr">
        <is>
          <t>ESG Data</t>
        </is>
      </c>
      <c r="B80" s="8" t="inlineStr">
        <is>
          <t>環境社會及管治數據</t>
        </is>
      </c>
      <c r="C80" s="8" t="inlineStr">
        <is>
          <t>medium</t>
        </is>
      </c>
      <c r="D80" s="11" t="inlineStr">
        <is>
          <t>ESG</t>
        </is>
      </c>
      <c r="E80" s="11" t="inlineStr">
        <is>
          <t>PDF p.111 (印刷頁 110)</t>
        </is>
      </c>
      <c r="F80" s="11" t="inlineStr">
        <is>
          <t>fective and adequate. In addition, the Board believes that the Company’s accounting and financial reporting functions as well as the ESG performance and reporting functions have been performed by staff with the appropriate qualifications and experience and that such staff receives appropriate and sufficient training and development. Based on the report of the Audit Committee, the Board has reviewed and is satisfied that sufficient resources have been obtained for the Company’s internal audit and financial reporting function and</t>
        </is>
      </c>
    </row>
    <row r="81">
      <c r="A81" s="8" t="inlineStr">
        <is>
          <t>ESG Data</t>
        </is>
      </c>
      <c r="B81" s="8" t="inlineStr">
        <is>
          <t>環境社會及管治數據</t>
        </is>
      </c>
      <c r="C81" s="8" t="inlineStr">
        <is>
          <t>medium</t>
        </is>
      </c>
      <c r="D81" s="11" t="inlineStr">
        <is>
          <t>ESG</t>
        </is>
      </c>
      <c r="E81" s="11" t="inlineStr">
        <is>
          <t>PDF p.114 (印刷頁 113)</t>
        </is>
      </c>
      <c r="F81" s="11" t="inlineStr">
        <is>
          <t>he external auditor mainly include tax advisory services for certain subsidiaries, due diligence services and other services such as ESG assurance service and services relating to risk management and internal control review. Please refer to Note 7 to the consolidated financial statements for a breakdown of the fees paid for the key non-audit services. Framework for Disclosure of Inside Information The Company has in place a framework for the handling and disclosure of inside information in compliance with the SFO. The framework</t>
        </is>
      </c>
    </row>
    <row r="82">
      <c r="A82" s="8" t="inlineStr">
        <is>
          <t>ESG Data</t>
        </is>
      </c>
      <c r="B82" s="8" t="inlineStr">
        <is>
          <t>環境社會及管治數據</t>
        </is>
      </c>
      <c r="C82" s="8" t="inlineStr">
        <is>
          <t>medium</t>
        </is>
      </c>
      <c r="D82" s="11" t="inlineStr">
        <is>
          <t>ESG</t>
        </is>
      </c>
      <c r="E82" s="11" t="inlineStr">
        <is>
          <t>PDF p.267 (印刷頁 266)</t>
        </is>
      </c>
      <c r="F82" s="11" t="inlineStr">
        <is>
          <t>ard Schemes as an inducement to enter into employment contracts with these companies (as the case may be)) “EPS” earnings per share “ESG Reporting Code” the Environmental, Social and Governance Reporting Code as set out in Appendix C2 to the Listing Rules 266 Tencent Holdings Limited</t>
        </is>
      </c>
    </row>
    <row r="83">
      <c r="A83" s="8" t="inlineStr">
        <is>
          <t>R&amp;D Expenditure</t>
        </is>
      </c>
      <c r="B83" s="8" t="inlineStr">
        <is>
          <t>研發開支</t>
        </is>
      </c>
      <c r="C83" s="8" t="inlineStr">
        <is>
          <t>medium</t>
        </is>
      </c>
      <c r="D83" s="11" t="inlineStr">
        <is>
          <t>R&amp;D expense</t>
        </is>
      </c>
      <c r="E83" s="11" t="inlineStr">
        <is>
          <t>PDF p.11 (印刷頁 10)</t>
        </is>
      </c>
      <c r="F83" s="11" t="inlineStr">
        <is>
          <t>s increased by 9% year-on-year to RMB112.7 billion for the year ended 31 December 2024. This increase was primarily driven by higher R&amp;D expenses, including those related to our AI initiatives, alongside higher staff costs. As a percentage of revenues, general and administrative expenses remained broadly stable at 17%, in line with the prior year. Interest income. Interest income increased by 16% year-on-year to RMB16.0 billion for the year ended 31 December 2024 due to growth in cash reserves. Finance costs. Finance costs decr</t>
        </is>
      </c>
    </row>
    <row r="84">
      <c r="A84" s="8" t="inlineStr">
        <is>
          <t>R&amp;D Expenditure</t>
        </is>
      </c>
      <c r="B84" s="8" t="inlineStr">
        <is>
          <t>研發開支</t>
        </is>
      </c>
      <c r="C84" s="8" t="inlineStr">
        <is>
          <t>medium</t>
        </is>
      </c>
      <c r="D84" s="11" t="inlineStr">
        <is>
          <t>R&amp;D expense</t>
        </is>
      </c>
      <c r="E84" s="11" t="inlineStr">
        <is>
          <t>PDF p.15 (印刷頁 14)</t>
        </is>
      </c>
      <c r="F84" s="11" t="inlineStr">
        <is>
          <t>ministrative expenses increased by 16% year-on-year to RMB31.4 billion for the fourth quarter of 2024, primarily driven by increased R&amp;D expenses, including staff costs and depreciation expenses related to our AI initiatives. Interest income. Interest income was RMB3.9 billion for the fourth quarter of 2024, broadly stable year-on-year. Finance costs. Finance costs decreased by 29% year-on-year to RMB2.5 billion for the fourth quarter of 2024, mainly due to recognition of foreign exchange gains this quarter, compared to losses</t>
        </is>
      </c>
    </row>
    <row r="85">
      <c r="A85" s="8" t="inlineStr">
        <is>
          <t>R&amp;D Expenditure</t>
        </is>
      </c>
      <c r="B85" s="8" t="inlineStr">
        <is>
          <t>研發開支</t>
        </is>
      </c>
      <c r="C85" s="8" t="inlineStr">
        <is>
          <t>medium</t>
        </is>
      </c>
      <c r="D85" s="11" t="inlineStr">
        <is>
          <t>research and development</t>
        </is>
      </c>
      <c r="E85" s="11" t="inlineStr">
        <is>
          <t>PDF p.30 (印刷頁 29)</t>
        </is>
      </c>
      <c r="F85" s="11" t="inlineStr">
        <is>
          <t>ystem and 94.1 to 125.5 27.7 up to 24.2 Before the end of 2027 eSports partners to expand content genres and improve content quality Research and development to strengthen 78.5 to 94.1 3.6 up to 71.7 Before the end of 2027 technologies and products Overseas expansion opportunities and 31.4 to 47.1 4.1 up to 35.9 Before the end of 2027 potential strategic investments and merger and acquisition opportunities Expanding and enhancing product and 15.7 to 31.4 2.3 up to 14.9 Before the end of 2027 service offerings General corporate</t>
        </is>
      </c>
    </row>
    <row r="86">
      <c r="A86" s="8" t="inlineStr">
        <is>
          <t>R&amp;D Expenditure</t>
        </is>
      </c>
      <c r="B86" s="8" t="inlineStr">
        <is>
          <t>研發開支</t>
        </is>
      </c>
      <c r="C86" s="8" t="inlineStr">
        <is>
          <t>medium</t>
        </is>
      </c>
      <c r="D86" s="11" t="inlineStr">
        <is>
          <t>research and development</t>
        </is>
      </c>
      <c r="E86" s="11" t="inlineStr">
        <is>
          <t>PDF p.64 (印刷頁 63)</t>
        </is>
      </c>
      <c r="F86" s="11" t="inlineStr">
        <is>
          <t>n and General Manager for the Interactive Entertainment Business Division. Since September 2005, Mr Ren has been responsible for the research and development, operations, marketing and sales of gaming products for the Interactive Entertainment Business. Since May 2012, Mr Ren has been appointed as Chief Operating Officer and is now in charge of the overall operation of the Platform &amp; Content Group and the Interactive Entertainment Group. Prior to joining the Company, Mr Ren worked at Huawei Technologies Co., Ltd. Mr Ren receive</t>
        </is>
      </c>
    </row>
    <row r="87">
      <c r="A87" s="8" t="inlineStr">
        <is>
          <t>R&amp;D Expenditure</t>
        </is>
      </c>
      <c r="B87" s="8" t="inlineStr">
        <is>
          <t>研發開支</t>
        </is>
      </c>
      <c r="C87" s="8" t="inlineStr">
        <is>
          <t>medium</t>
        </is>
      </c>
      <c r="D87" s="11" t="inlineStr">
        <is>
          <t>research and development</t>
        </is>
      </c>
      <c r="E87" s="11" t="inlineStr">
        <is>
          <t>PDF p.164 (印刷頁 163)</t>
        </is>
      </c>
      <c r="F87" s="11" t="inlineStr">
        <is>
          <t>h assets to be distributed are presented as “Assets held for distribution” in the consolidated statement of financial position. 2.26 Research and development expenses Research expenditure is recognised as an expense as incurred. Costs incurred on development projects (relating to the design and testing of new or improved products) are capitalised when capitalisation criteria are fulfilled and tests for impairment on the capitalised development costs are performed annually. Other development expenditures that do not meet those c</t>
        </is>
      </c>
    </row>
    <row r="88">
      <c r="A88" s="8" t="inlineStr">
        <is>
          <t>R&amp;D Expenditure</t>
        </is>
      </c>
      <c r="B88" s="8" t="inlineStr">
        <is>
          <t>研發開支</t>
        </is>
      </c>
      <c r="C88" s="8" t="inlineStr">
        <is>
          <t>medium</t>
        </is>
      </c>
      <c r="D88" s="11" t="inlineStr">
        <is>
          <t>research and development</t>
        </is>
      </c>
      <c r="E88" s="11" t="inlineStr">
        <is>
          <t>PDF p.191 (印刷頁 190)</t>
        </is>
      </c>
      <c r="F88" s="11" t="inlineStr">
        <is>
          <t>fees, channel and distribution costs. (b) During the year ended 31 December 2024, the Group had incurred expenses for the purpose of research and development of approximately RMB70,686 million (2023: RMB64,078 million), which mainly comprised employee benefits expenses of approximately RMB56,061 million (2023: RMB52,416 million). No significant development expenses had been capitalised for the years ended 31 December 2024 and 2023. During the year ended 31 December 2024, employee benefits expenses included the share-based compe</t>
        </is>
      </c>
    </row>
    <row r="89">
      <c r="A89" s="8" t="inlineStr">
        <is>
          <t>R&amp;D Expenditure</t>
        </is>
      </c>
      <c r="B89" s="8" t="inlineStr">
        <is>
          <t>研發開支</t>
        </is>
      </c>
      <c r="C89" s="8" t="inlineStr">
        <is>
          <t>medium</t>
        </is>
      </c>
      <c r="D89" s="11" t="inlineStr">
        <is>
          <t>research and development</t>
        </is>
      </c>
      <c r="E89" s="11" t="inlineStr">
        <is>
          <t>PDF p.270 (印刷頁 269)</t>
        </is>
      </c>
      <c r="F89" s="11" t="inlineStr">
        <is>
          <t>IPO Option Scheme” the Pre-IPO Share Option Scheme adopted by the Company on 27 July 2001 “PUBG” PlayerUnknown’s Battlegrounds “R&amp;D” research and development “Related Entity” a holding company (as defined in the Listing Rules), a fellow subsidiary (“subsidiary” as defined in the Listing Rules) or an associated company of the Company “Remuneration Committee” the remuneration committee of the Company “RMB” the lawful currency of the PRC “Selected Participant(s)” any Eligible Person(s) selected by the Board to participate in the r</t>
        </is>
      </c>
    </row>
    <row r="90">
      <c r="A90" s="8" t="inlineStr">
        <is>
          <t>R&amp;D Expenditure</t>
        </is>
      </c>
      <c r="B90" s="8" t="inlineStr">
        <is>
          <t>研發開支</t>
        </is>
      </c>
      <c r="C90" s="8" t="inlineStr">
        <is>
          <t>medium</t>
        </is>
      </c>
      <c r="D90" s="11" t="inlineStr">
        <is>
          <t>research and development</t>
        </is>
      </c>
      <c r="E90" s="11" t="inlineStr">
        <is>
          <t>PDF p.271 (印刷頁 270)</t>
        </is>
      </c>
      <c r="F90" s="11" t="inlineStr">
        <is>
          <t>rformance, including independent contractors, consultants, agents, advisers and suppliers engaged to provide services in relation to research and development, engineering or technical contribution, the design or development or distribution of products/ services provided by the Group, product commercialisation, marketing, innovation upgrading, strategic/commercial planning on corporate image and investor relations in investment environment of the Group, as determined by the Board in its sole and absolute discretion, provided tha</t>
        </is>
      </c>
    </row>
    <row r="91">
      <c r="A91" s="8" t="inlineStr">
        <is>
          <t>Segment Information</t>
        </is>
      </c>
      <c r="B91" s="8" t="inlineStr">
        <is>
          <t>分部資料</t>
        </is>
      </c>
      <c r="C91" s="8" t="inlineStr">
        <is>
          <t>medium</t>
        </is>
      </c>
      <c r="D91" s="11" t="inlineStr">
        <is>
          <t>geographical</t>
        </is>
      </c>
      <c r="E91" s="11" t="inlineStr">
        <is>
          <t>PDF p.27 (印刷頁 26)</t>
        </is>
      </c>
      <c r="F91" s="11" t="inlineStr">
        <is>
          <t>ancial statements. The analysis of the Group’s revenues and contribution to results by business segments and the Group’s revenues by geographical area of operations is set out in Note 6 to the consolidated financial statements. RESULTS AND APPROPRIATIONS The results of the Group for the year are set out in the consolidated statement of comprehensive income on page 124 of this annual report. The Board has recommended the payment of a final dividend of HKD4.50 per Share for the year ended 31 December 2024. The dividend is expecte</t>
        </is>
      </c>
    </row>
    <row r="92">
      <c r="A92" s="8" t="inlineStr">
        <is>
          <t>Segment Information</t>
        </is>
      </c>
      <c r="B92" s="8" t="inlineStr">
        <is>
          <t>分部資料</t>
        </is>
      </c>
      <c r="C92" s="8" t="inlineStr">
        <is>
          <t>medium</t>
        </is>
      </c>
      <c r="D92" s="11" t="inlineStr">
        <is>
          <t>operating segment</t>
        </is>
      </c>
      <c r="E92" s="11" t="inlineStr">
        <is>
          <t>PDF p.145 (印刷頁 144)</t>
        </is>
      </c>
      <c r="F92" s="11" t="inlineStr">
        <is>
          <t>nts the lowest level within the Group at which the goodwill is monitored for internal management purposes, and is not larger than an operating segment. Goodwill impairment reviews are undertaken annually or more frequently if events or changes in circumstances indicate a potential impairment. The carrying amount of the CGU or group of CGUs including the allocated goodwill is compared to the recoverable amount, which is the higher of value in use and the fair value less costs of disposal. Any impairment is recognised immediately</t>
        </is>
      </c>
    </row>
    <row r="93">
      <c r="A93" s="8" t="inlineStr">
        <is>
          <t>Segment Information</t>
        </is>
      </c>
      <c r="B93" s="8" t="inlineStr">
        <is>
          <t>分部資料</t>
        </is>
      </c>
      <c r="C93" s="8" t="inlineStr">
        <is>
          <t>medium</t>
        </is>
      </c>
      <c r="D93" s="11" t="inlineStr">
        <is>
          <t>segment information</t>
        </is>
      </c>
      <c r="E93" s="11" t="inlineStr">
        <is>
          <t>PDF p.185 (印刷頁 184)</t>
        </is>
      </c>
      <c r="F93" s="11" t="inlineStr">
        <is>
          <t>Notes to the Consolidated Financial Statements For the year ended 31 December 2024 6 SEGMENT INFORMATION AND REVENUES (a) Description of segments and principal activities Operating segments are reported in a manner consistent with the internal reporting provided to the chief operating decision-makers. The chief operating decision-makers mainly include chief executive officer and president of the Company. They review the Group’s internal reporting in order to assess performance, al</t>
        </is>
      </c>
    </row>
    <row r="94">
      <c r="A94" s="8" t="inlineStr">
        <is>
          <t>Segment Information</t>
        </is>
      </c>
      <c r="B94" s="8" t="inlineStr">
        <is>
          <t>分部資料</t>
        </is>
      </c>
      <c r="C94" s="8" t="inlineStr">
        <is>
          <t>medium</t>
        </is>
      </c>
      <c r="D94" s="11" t="inlineStr">
        <is>
          <t>segment information</t>
        </is>
      </c>
      <c r="E94" s="11" t="inlineStr">
        <is>
          <t>PDF p.186 (印刷頁 185)</t>
        </is>
      </c>
      <c r="F94" s="11" t="inlineStr">
        <is>
          <t>Notes to the Consolidated Financial Statements For the year ended 31 December 2024 6 SEGMENT INFORMATION AND REVENUES (continued) (a) Description of segments and principal activities (continued) The segment information provided to the chief operating decision-makers for the reportable segments for the years ended 31 December 2024 and 2023 is as follows: Year ended 31 December 2024 FinTech and Marketing Business VAS Services Services Others Total RMB’Million RMB’Million RMB’Million</t>
        </is>
      </c>
    </row>
    <row r="95">
      <c r="A95" s="8" t="inlineStr">
        <is>
          <t>Segment Information</t>
        </is>
      </c>
      <c r="B95" s="8" t="inlineStr">
        <is>
          <t>分部資料</t>
        </is>
      </c>
      <c r="C95" s="8" t="inlineStr">
        <is>
          <t>medium</t>
        </is>
      </c>
      <c r="D95" s="11" t="inlineStr">
        <is>
          <t>segment information</t>
        </is>
      </c>
      <c r="E95" s="11" t="inlineStr">
        <is>
          <t>PDF p.187 (印刷頁 186)</t>
        </is>
      </c>
      <c r="F95" s="11" t="inlineStr">
        <is>
          <t>Notes to the Consolidated Financial Statements For the year ended 31 December 2024 6 SEGMENT INFORMATION AND REVENUES (continued) (a) Description of segments and principal activities (continued) The Company is domiciled in the Cayman Islands while the Group mainly operates its businesses in the Mainland of China. For the years ended 31 December 2024 and 2023, breakdown of the total revenues by geographical location is as follows: 2024 2023 RMB’Million RMB’Million Revenues – The Ma</t>
        </is>
      </c>
    </row>
    <row r="96">
      <c r="A96" s="8" t="inlineStr">
        <is>
          <t>Segment Information</t>
        </is>
      </c>
      <c r="B96" s="8" t="inlineStr">
        <is>
          <t>分部資料</t>
        </is>
      </c>
      <c r="C96" s="8" t="inlineStr">
        <is>
          <t>medium</t>
        </is>
      </c>
      <c r="D96" s="11" t="inlineStr">
        <is>
          <t>segment information</t>
        </is>
      </c>
      <c r="E96" s="11" t="inlineStr">
        <is>
          <t>PDF p.188 (印刷頁 187)</t>
        </is>
      </c>
      <c r="F96" s="11" t="inlineStr">
        <is>
          <t>Notes to the Consolidated Financial Statements For the year ended 31 December 2024 6 SEGMENT INFORMATION AND REVENUES (continued) (a) Description of segments and principal activities (continued) All the revenues derived from any single external customer were less than 10% of the Group’s total revenues during the years ended 31 December 2024 and 2023. (b) Disaggregation of revenues In the following table, revenues of the Group are disaggregated by revenue sources. The table also in</t>
        </is>
      </c>
    </row>
    <row r="97">
      <c r="A97" s="8" t="inlineStr">
        <is>
          <t>Segment Information</t>
        </is>
      </c>
      <c r="B97" s="8" t="inlineStr">
        <is>
          <t>分部資料</t>
        </is>
      </c>
      <c r="C97" s="8" t="inlineStr">
        <is>
          <t>medium</t>
        </is>
      </c>
      <c r="D97" s="11" t="inlineStr">
        <is>
          <t>segment information</t>
        </is>
      </c>
      <c r="E97" s="11" t="inlineStr">
        <is>
          <t>PDF p.189 (印刷頁 188)</t>
        </is>
      </c>
      <c r="F97" s="11" t="inlineStr">
        <is>
          <t>Notes to the Consolidated Financial Statements For the year ended 31 December 2024 6 SEGMENT INFORMATION AND REVENUES (continued) (c) Assets and liabilities related to contracts with customers The Group has recognised the following liabilities related to contracts with customers under “Deferred revenue”: As at 31 December 2024 2023 RMB’Million RMB’Million Contract liabilities: VAS 78,784 62,890 Marketing Services 833 1,335 FinTech and Business Services 7,722 6,733 Others 213 172 8</t>
        </is>
      </c>
    </row>
    <row r="98">
      <c r="A98" s="8" t="inlineStr">
        <is>
          <t>Segment Information</t>
        </is>
      </c>
      <c r="B98" s="8" t="inlineStr">
        <is>
          <t>分部資料</t>
        </is>
      </c>
      <c r="C98" s="8" t="inlineStr">
        <is>
          <t>medium</t>
        </is>
      </c>
      <c r="D98" s="11" t="inlineStr">
        <is>
          <t>segment information</t>
        </is>
      </c>
      <c r="E98" s="11" t="inlineStr">
        <is>
          <t>PDF p.190 (印刷頁 189)</t>
        </is>
      </c>
      <c r="F98" s="11" t="inlineStr">
        <is>
          <t>Notes to the Consolidated Financial Statements For the year ended 31 December 2024 6 SEGMENT INFORMATION AND REVENUES (continued) (c) Assets and liabilities related to contracts with customers (continued) Note: (continued) (ii) Revenue recognised in relation to contract liabilities The following table shows the extent of the revenue recognised in the current reporting period which relates to carriedforward contract liabilities: 2024 2023 RMB’Million RMB’Million Revenue recognise</t>
        </is>
      </c>
    </row>
    <row r="99">
      <c r="A99" s="8" t="inlineStr">
        <is>
          <t>Share-based Payment</t>
        </is>
      </c>
      <c r="B99" s="8" t="inlineStr">
        <is>
          <t>以股份為基礎的付款</t>
        </is>
      </c>
      <c r="C99" s="8" t="inlineStr">
        <is>
          <t>medium</t>
        </is>
      </c>
      <c r="D99" s="11" t="inlineStr">
        <is>
          <t>share option</t>
        </is>
      </c>
      <c r="E99" s="11" t="inlineStr">
        <is>
          <t>PDF p.31 (印刷頁 30)</t>
        </is>
      </c>
      <c r="F99" s="11" t="inlineStr">
        <is>
          <t>Directors’ Report SHARE OPTION SCHEMES The Company had one share option scheme which remained valid and effective during the year ended 31 December 2024, namely, the 2023 Share Option Scheme. The Board may, at its discretion, grant options to any qualifying participant to subscribe for Shares, subject to the terms and conditions stipulated therein. The exercise price must be in compliance with the requirements unde</t>
        </is>
      </c>
    </row>
    <row r="100">
      <c r="A100" s="8" t="inlineStr">
        <is>
          <t>Share-based Payment</t>
        </is>
      </c>
      <c r="B100" s="8" t="inlineStr">
        <is>
          <t>以股份為基礎的付款</t>
        </is>
      </c>
      <c r="C100" s="8" t="inlineStr">
        <is>
          <t>medium</t>
        </is>
      </c>
      <c r="D100" s="11" t="inlineStr">
        <is>
          <t>share option</t>
        </is>
      </c>
      <c r="E100" s="11" t="inlineStr">
        <is>
          <t>PDF p.32 (印刷頁 31)</t>
        </is>
      </c>
      <c r="F100" s="11" t="inlineStr">
        <is>
          <t>Directors’ Report Details of movements of share options granted to Employee Participants of the Group during the year ended 31 December 2024 are as follows: Number of share options Lapsed/ forfeited/ As at Granted Exercised waived As at 1 January during during during 31 December Exercise Date of grant 2024 the year the year the year 2024 price Exercise period/ Performance targets (Notes 15 (Note 14) HKD (Note 20) and 16) 24 Mar 2017 690,1</t>
        </is>
      </c>
    </row>
    <row r="101">
      <c r="A101" s="8" t="inlineStr">
        <is>
          <t>Share-based Payment</t>
        </is>
      </c>
      <c r="B101" s="8" t="inlineStr">
        <is>
          <t>以股份為基礎的付款</t>
        </is>
      </c>
      <c r="C101" s="8" t="inlineStr">
        <is>
          <t>medium</t>
        </is>
      </c>
      <c r="D101" s="11" t="inlineStr">
        <is>
          <t>share option</t>
        </is>
      </c>
      <c r="E101" s="11" t="inlineStr">
        <is>
          <t>PDF p.33 (印刷頁 32)</t>
        </is>
      </c>
      <c r="F101"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6 Jul 2018 2,024 – 2,024 – – 332.87 6 Jul 2020 to 5 Jul 2025 (Note 4) 2,013 – 2,013 – – 332.47 2,013 – 2,013 – – 331.57 6 Jul 2018 647 – – – 6</t>
        </is>
      </c>
    </row>
    <row r="102">
      <c r="A102" s="8" t="inlineStr">
        <is>
          <t>Share-based Payment</t>
        </is>
      </c>
      <c r="B102" s="8" t="inlineStr">
        <is>
          <t>以股份為基礎的付款</t>
        </is>
      </c>
      <c r="C102" s="8" t="inlineStr">
        <is>
          <t>medium</t>
        </is>
      </c>
      <c r="D102" s="11" t="inlineStr">
        <is>
          <t>share option</t>
        </is>
      </c>
      <c r="E102" s="11" t="inlineStr">
        <is>
          <t>PDF p.34 (印刷頁 33)</t>
        </is>
      </c>
      <c r="F102"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8 Jan 2020 74,340 – – – 74,340 330.89 15 Dec 2020 to 7 Jan 2027 (Note 10) 37,170 – – – 37,170 329.92 20 Mar 2020 98,981 – 9,854 – 89,127 305.6</t>
        </is>
      </c>
    </row>
    <row r="103">
      <c r="A103" s="8" t="inlineStr">
        <is>
          <t>Share-based Payment</t>
        </is>
      </c>
      <c r="B103" s="8" t="inlineStr">
        <is>
          <t>以股份為基礎的付款</t>
        </is>
      </c>
      <c r="C103" s="8" t="inlineStr">
        <is>
          <t>medium</t>
        </is>
      </c>
      <c r="D103" s="11" t="inlineStr">
        <is>
          <t>share option</t>
        </is>
      </c>
      <c r="E103" s="11" t="inlineStr">
        <is>
          <t>PDF p.35 (印刷頁 34)</t>
        </is>
      </c>
      <c r="F103"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21 Aug 2020 3,511 – – – 3,511 444.32 15 Aug 2021 to 20 Aug 2027 (Note 10) 3,512 – – – 3,512 444.01 3,512 – – – 3,512 443.08 21 Aug 2020 488 –</t>
        </is>
      </c>
    </row>
    <row r="104">
      <c r="A104" s="8" t="inlineStr">
        <is>
          <t>Share-based Payment</t>
        </is>
      </c>
      <c r="B104" s="8" t="inlineStr">
        <is>
          <t>以股份為基礎的付款</t>
        </is>
      </c>
      <c r="C104" s="8" t="inlineStr">
        <is>
          <t>medium</t>
        </is>
      </c>
      <c r="D104" s="11" t="inlineStr">
        <is>
          <t>share option</t>
        </is>
      </c>
      <c r="E104" s="11" t="inlineStr">
        <is>
          <t>PDF p.36 (印刷頁 35)</t>
        </is>
      </c>
      <c r="F104"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30 Mar 2021 25,083 – – – 25,083 533.39 8 Feb 2022 to 29 Mar 2028 (Note 8) 25,083 – – – 25,083 533.13 25,084 – – – 25,084 532.35 25,085 – – – 2</t>
        </is>
      </c>
    </row>
    <row r="105">
      <c r="A105" s="8" t="inlineStr">
        <is>
          <t>Share-based Payment</t>
        </is>
      </c>
      <c r="B105" s="8" t="inlineStr">
        <is>
          <t>以股份為基礎的付款</t>
        </is>
      </c>
      <c r="C105" s="8" t="inlineStr">
        <is>
          <t>medium</t>
        </is>
      </c>
      <c r="D105" s="11" t="inlineStr">
        <is>
          <t>share option</t>
        </is>
      </c>
      <c r="E105" s="11" t="inlineStr">
        <is>
          <t>PDF p.37 (印刷頁 36)</t>
        </is>
      </c>
      <c r="F105"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14 Jul 2021 1,874,281 – – 78,321 1,795,960 478.17 5 Jul 2022 to 13 Jul 2028 (Note 8) 1,870,023 – – 78,339 1,791,684 477.46 1,855,716 – – 78,35</t>
        </is>
      </c>
    </row>
    <row r="106">
      <c r="A106" s="8" t="inlineStr">
        <is>
          <t>Share-based Payment</t>
        </is>
      </c>
      <c r="B106" s="8" t="inlineStr">
        <is>
          <t>以股份為基礎的付款</t>
        </is>
      </c>
      <c r="C106" s="8" t="inlineStr">
        <is>
          <t>medium</t>
        </is>
      </c>
      <c r="D106" s="11" t="inlineStr">
        <is>
          <t>share option</t>
        </is>
      </c>
      <c r="E106" s="11" t="inlineStr">
        <is>
          <t>PDF p.38 (印刷頁 37)</t>
        </is>
      </c>
      <c r="F106"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24 Mar 2022 1,399,354 – – – 1,399,354 343.61 24 Mar 2023 to 23 Mar 2029 (Note 8) 1,399,355 – – – 1,399,355 342.79 1,399,356 – – – 1,399,356 34</t>
        </is>
      </c>
    </row>
    <row r="107">
      <c r="A107" s="8" t="inlineStr">
        <is>
          <t>Share-based Payment</t>
        </is>
      </c>
      <c r="B107" s="8" t="inlineStr">
        <is>
          <t>以股份為基礎的付款</t>
        </is>
      </c>
      <c r="C107" s="8" t="inlineStr">
        <is>
          <t>medium</t>
        </is>
      </c>
      <c r="D107" s="11" t="inlineStr">
        <is>
          <t>share option</t>
        </is>
      </c>
      <c r="E107" s="11" t="inlineStr">
        <is>
          <t>PDF p.40 (印刷頁 39)</t>
        </is>
      </c>
      <c r="F107" s="11" t="inlineStr">
        <is>
          <t>e of the participants has been granted with options and awards in excess of the 1% individual limit. 19. Details of the valuation of share options of the Company during the year ended 31 December 2024, including the accounting standard and policy adopted for the share option schemes, are set out in Note 35 and Note 2.20 to the consolidated financial statements. 20. All of the grants made during the year ended 31 December 2024 were made without any performance targets. 21. Please refer to the Definition section for the descripti</t>
        </is>
      </c>
    </row>
    <row r="108">
      <c r="A108" s="8" t="inlineStr">
        <is>
          <t>Share-based Payment</t>
        </is>
      </c>
      <c r="B108" s="8" t="inlineStr">
        <is>
          <t>以股份為基礎的付款</t>
        </is>
      </c>
      <c r="C108" s="8" t="inlineStr">
        <is>
          <t>medium</t>
        </is>
      </c>
      <c r="D108" s="11" t="inlineStr">
        <is>
          <t>share option</t>
        </is>
      </c>
      <c r="E108" s="11" t="inlineStr">
        <is>
          <t>PDF p.41 (印刷頁 40)</t>
        </is>
      </c>
      <c r="F108" s="11" t="inlineStr">
        <is>
          <t>Directors’ Report SUMMARY OF THE SHARE OPTION SCHEMES Details Post-IPO Option Scheme II 2023 Share Option Scheme 1. Purposes To recognise the contribution that certain individuals have made to the Group, to attract the best available personnel and to promote the success of the Group’s business 2. Qualifying participants Any employee (whether full time or Any Employee Participant, any director part time), executive or officer, dir</t>
        </is>
      </c>
    </row>
    <row r="109">
      <c r="A109" s="8" t="inlineStr">
        <is>
          <t>Share-based Payment</t>
        </is>
      </c>
      <c r="B109" s="8" t="inlineStr">
        <is>
          <t>以股份為基礎的付款</t>
        </is>
      </c>
      <c r="C109" s="8" t="inlineStr">
        <is>
          <t>medium</t>
        </is>
      </c>
      <c r="D109" s="11" t="inlineStr">
        <is>
          <t>share option</t>
        </is>
      </c>
      <c r="E109" s="11" t="inlineStr">
        <is>
          <t>PDF p.42 (印刷頁 41)</t>
        </is>
      </c>
      <c r="F109" s="11" t="inlineStr">
        <is>
          <t>Directors’ Report Details Post-IPO Option Scheme II 2023 Share Option Scheme 4. Maximum entitlement 1% of the issued Shares from time to time For any 12-month period up to and of each participant within any 12-month period up to the date including the date of grant, the aggregate of the latest grant number of Shares issued and to be issued in respect of all options or awards granted to any Eligible Person (excluding any lapsed options or awards) under t</t>
        </is>
      </c>
    </row>
    <row r="110">
      <c r="A110" s="8" t="inlineStr">
        <is>
          <t>Share-based Payment</t>
        </is>
      </c>
      <c r="B110" s="8" t="inlineStr">
        <is>
          <t>以股份為基礎的付款</t>
        </is>
      </c>
      <c r="C110" s="8" t="inlineStr">
        <is>
          <t>medium</t>
        </is>
      </c>
      <c r="D110" s="11" t="inlineStr">
        <is>
          <t>share option</t>
        </is>
      </c>
      <c r="E110" s="11" t="inlineStr">
        <is>
          <t>PDF p.43 (印刷頁 42)</t>
        </is>
      </c>
      <c r="F110" s="11" t="inlineStr">
        <is>
          <t>Directors’ Report Details Post-IPO Option Scheme II 2023 Share Option Scheme 7. Acceptance of offer Options granted must be accepted within Options granted must be accepted within 28 days of the date of grant, upon 28 days of the date of grant. No cash payment of HKD1 per grant. consideration is required. 8. Exercise price The exercise price must be at least the higher of: (i) the closing price of the securities as stated in the Stock Exchange’s daily q</t>
        </is>
      </c>
    </row>
    <row r="111">
      <c r="A111" s="8" t="inlineStr">
        <is>
          <t>Share-based Payment</t>
        </is>
      </c>
      <c r="B111" s="8" t="inlineStr">
        <is>
          <t>以股份為基礎的付款</t>
        </is>
      </c>
      <c r="C111" s="8" t="inlineStr">
        <is>
          <t>medium</t>
        </is>
      </c>
      <c r="D111" s="11" t="inlineStr">
        <is>
          <t>share option</t>
        </is>
      </c>
      <c r="E111" s="11" t="inlineStr">
        <is>
          <t>PDF p.47 (印刷頁 46)</t>
        </is>
      </c>
      <c r="F111" s="11" t="inlineStr">
        <is>
          <t>e consolidated financial statements. During the year, a total of 57,740,633 Shares were issued to option holders who exercised their share options granted under the Post-IPO Option Scheme II and the 2023 Share Option Scheme, and pursuant to the 2023 Share Award Scheme. The total number of Shares available for issue under the 2023 Share Award Scheme as at the date of this annual report is 285,262,533, representing approximately 3.11% of the issued Shares as at the date of this annual report. The total number of Shares that may b</t>
        </is>
      </c>
    </row>
    <row r="112">
      <c r="A112" s="8" t="inlineStr">
        <is>
          <t>Share-based Payment</t>
        </is>
      </c>
      <c r="B112" s="8" t="inlineStr">
        <is>
          <t>以股份為基礎的付款</t>
        </is>
      </c>
      <c r="C112" s="8" t="inlineStr">
        <is>
          <t>medium</t>
        </is>
      </c>
      <c r="D112" s="11" t="inlineStr">
        <is>
          <t>share-based payment</t>
        </is>
      </c>
      <c r="E112" s="11" t="inlineStr">
        <is>
          <t>PDF p.76 (印刷頁 75)</t>
        </is>
      </c>
      <c r="F112" s="11" t="inlineStr">
        <is>
          <t>paid individuals), Note 15 (Benefits and interests of directors), Note 27 (Loans to investees and investees’ shareholders), Note 35 (Share-based payments) and Note 45 (Related party transactions) to the consolidated financial statements. Save as the related parties transactions involving payment of remuneration to certain directors of the Group which constitute continuing connected transactions fully exempt from the connected transaction requirements under Rule 14A.76(1) or Rule 14A.95 of the Listing Rules, no related parties t</t>
        </is>
      </c>
    </row>
    <row r="113">
      <c r="A113" s="8" t="inlineStr">
        <is>
          <t>Share-based Payment</t>
        </is>
      </c>
      <c r="B113" s="8" t="inlineStr">
        <is>
          <t>以股份為基礎的付款</t>
        </is>
      </c>
      <c r="C113" s="8" t="inlineStr">
        <is>
          <t>medium</t>
        </is>
      </c>
      <c r="D113" s="11" t="inlineStr">
        <is>
          <t>share option</t>
        </is>
      </c>
      <c r="E113" s="11" t="inlineStr">
        <is>
          <t>PDF p.79 (印刷頁 78)</t>
        </is>
      </c>
      <c r="F113" s="11" t="inlineStr">
        <is>
          <t>loyees are periodically reviewed. Apart from pension funds and in-house training programmes, discretionary bonuses, share awards and share options may be awarded to employees according to the assessment of individual performance. The total remuneration cost incurred by the Group for the year ended 31 December 2024 was RMB112.8 billion (2023: RMB107.7 billion). SUFFICIENCY OF PUBLIC FLOAT As at the date of this annual report, based on information that is publicly available to the Company and within the knowledge of its directors</t>
        </is>
      </c>
    </row>
    <row r="114">
      <c r="A114" s="8" t="inlineStr">
        <is>
          <t>Share-based Payment</t>
        </is>
      </c>
      <c r="B114" s="8" t="inlineStr">
        <is>
          <t>以股份為基礎的付款</t>
        </is>
      </c>
      <c r="C114" s="8" t="inlineStr">
        <is>
          <t>medium</t>
        </is>
      </c>
      <c r="D114" s="11" t="inlineStr">
        <is>
          <t>share option</t>
        </is>
      </c>
      <c r="E114" s="11" t="inlineStr">
        <is>
          <t>PDF p.98 (印刷頁 97)</t>
        </is>
      </c>
      <c r="F114" s="11" t="inlineStr">
        <is>
          <t>tions to the Company and providing incentives for future performances; ‧ reviewing and approving the grant of options under the 2023 Share Option Scheme and the grants of share awards under the 2023 Share Award Scheme; ‧ reviewing and recommending to the Board on the adoption of the share incentive schemes of certain subsidiaries of the Company; and ‧ reviewing and approving the service contract entered into by the executive director with the Group. All the options or awards involving new Shares granted to Employee Participants</t>
        </is>
      </c>
    </row>
    <row r="115">
      <c r="A115" s="8" t="inlineStr">
        <is>
          <t>Share-based Payment</t>
        </is>
      </c>
      <c r="B115" s="8" t="inlineStr">
        <is>
          <t>以股份為基礎的付款</t>
        </is>
      </c>
      <c r="C115" s="8" t="inlineStr">
        <is>
          <t>medium</t>
        </is>
      </c>
      <c r="D115" s="11" t="inlineStr">
        <is>
          <t>expected volatility</t>
        </is>
      </c>
      <c r="E115" s="11" t="inlineStr">
        <is>
          <t>PDF p.120 (印刷頁 119)</t>
        </is>
      </c>
      <c r="F115" s="11" t="inlineStr">
        <is>
          <t>uation methods and appropriate assumptions and inputs, such as risk-free rates, ‧ We evaluated the underlying assumptions and inputs expected volatility, discount for lack of marketability and recent selected including risk-free rates, expected volatility transaction prices. and discount for lack of marketability based on our industry knowledge and independent research performed by us; ‧ We tested the recent transaction prices adopted (such as recent fund-raising transactions undertaken by the investees) by examining relevant s</t>
        </is>
      </c>
    </row>
    <row r="116">
      <c r="A116" s="8" t="inlineStr">
        <is>
          <t>Share-based Payment</t>
        </is>
      </c>
      <c r="B116" s="8" t="inlineStr">
        <is>
          <t>以股份為基礎的付款</t>
        </is>
      </c>
      <c r="C116" s="8" t="inlineStr">
        <is>
          <t>medium</t>
        </is>
      </c>
      <c r="D116" s="11" t="inlineStr">
        <is>
          <t>share-based payment</t>
        </is>
      </c>
      <c r="E116" s="11" t="inlineStr">
        <is>
          <t>PDF p.130 (印刷頁 129)</t>
        </is>
      </c>
      <c r="F116" s="11" t="inlineStr">
        <is>
          <t>for share award schemes – – – (3,420) – – (3,420) – (3,420) – vesting of awarded shares – (3,338) – 3,338 – – – – – Tax benefit from share-based payments – – – – 13 – 13 – 13 Repurchase and cancellation of shares – (13,681) 4,740 – – (89,725) (98,666) – (98,666) Repurchase of shares (to be cancelled) – – (3,597) – – – (3,597) – (3,597) Cash dividends – – – – – (28,924) (28,924) (2,158) (31,082) Non-controlling interests arising from business combinations – – – – – – – 12,624 12,624 Acquisition of additional equity interests in</t>
        </is>
      </c>
    </row>
    <row r="117">
      <c r="A117" s="8" t="inlineStr">
        <is>
          <t>Share-based Payment</t>
        </is>
      </c>
      <c r="B117" s="8" t="inlineStr">
        <is>
          <t>以股份為基礎的付款</t>
        </is>
      </c>
      <c r="C117" s="8" t="inlineStr">
        <is>
          <t>medium</t>
        </is>
      </c>
      <c r="D117" s="11" t="inlineStr">
        <is>
          <t>share-based payment</t>
        </is>
      </c>
      <c r="E117" s="11" t="inlineStr">
        <is>
          <t>PDF p.132 (印刷頁 131)</t>
        </is>
      </c>
      <c r="F117" s="11" t="inlineStr">
        <is>
          <t>for share award schemes – – – (4,378) – – (4,378) – (4,378) – vesting of awarded shares – (2,071) – 2,071 – – – – – Tax benefit from share-based payments – – – – 21 – 21 – 21 Profit appropriations to statutory reserves – – – – 912 (912) – – – Repurchase and cancellation of shares – (42,112) 1,868 – – – (40,244) – (40,244) Repurchase of shares (to be cancelled) – – (4,740) – – – (4,740) – (4,740) Cash dividends – – – – – (20,586) (20,586) (598) (21,184) Dividends under distribution in specie – – – – – 32,169 32,169 – 32,169 Non-</t>
        </is>
      </c>
    </row>
    <row r="118">
      <c r="A118" s="8" t="inlineStr">
        <is>
          <t>Share-based Payment</t>
        </is>
      </c>
      <c r="B118" s="8" t="inlineStr">
        <is>
          <t>以股份為基礎的付款</t>
        </is>
      </c>
      <c r="C118" s="8" t="inlineStr">
        <is>
          <t>medium</t>
        </is>
      </c>
      <c r="D118" s="11" t="inlineStr">
        <is>
          <t>share option</t>
        </is>
      </c>
      <c r="E118" s="11" t="inlineStr">
        <is>
          <t>PDF p.134 (印刷頁 133)</t>
        </is>
      </c>
      <c r="F118" s="11" t="inlineStr">
        <is>
          <t>) (11,478) Payments for repurchase of shares (102,331) (43,767) Proceeds from issuance of ordinary shares as a result of exercise of share options 1,932 1,070 Payments for withholding individual income tax for share option schemes (105) (242) Payments for shares purchased/withheld for share award schemes (3,420) (4,378) Proceeds from issuance of additional equity interests of non wholly-owned subsidiaries 161 196 Payments for acquisition of non-controlling interests in non wholly-owned subsidiaries (8,381) (4,818) Capital reduc</t>
        </is>
      </c>
    </row>
    <row r="119">
      <c r="A119" s="8" t="inlineStr">
        <is>
          <t>Share-based Payment</t>
        </is>
      </c>
      <c r="B119" s="8" t="inlineStr">
        <is>
          <t>以股份為基礎的付款</t>
        </is>
      </c>
      <c r="C119" s="8" t="inlineStr">
        <is>
          <t>medium</t>
        </is>
      </c>
      <c r="D119" s="11" t="inlineStr">
        <is>
          <t>share option</t>
        </is>
      </c>
      <c r="E119" s="11" t="inlineStr">
        <is>
          <t>PDF p.155 (印刷頁 154)</t>
        </is>
      </c>
      <c r="F119" s="11" t="inlineStr">
        <is>
          <t>in which they occur. (e) Share-based compensation benefits The Group operates a number of share-based compensation plans (including share option schemes and share award schemes), under which the Group receives services from employees and other qualifying participants as consideration for equity instruments (including share options and awarded shares) of the Group. The fair value of the employee services and other qualifying participants’ services received in exchange for the grant of equity instruments of the Group is recognis</t>
        </is>
      </c>
    </row>
    <row r="120">
      <c r="A120" s="8" t="inlineStr">
        <is>
          <t>Share-based Payment</t>
        </is>
      </c>
      <c r="B120" s="8" t="inlineStr">
        <is>
          <t>以股份為基礎的付款</t>
        </is>
      </c>
      <c r="C120" s="8" t="inlineStr">
        <is>
          <t>medium</t>
        </is>
      </c>
      <c r="D120" s="11" t="inlineStr">
        <is>
          <t>share option</t>
        </is>
      </c>
      <c r="E120" s="11" t="inlineStr">
        <is>
          <t>PDF p.156 (印刷頁 155)</t>
        </is>
      </c>
      <c r="F120" s="11" t="inlineStr">
        <is>
          <t>AL ACCOUNTING POLICIES (continued) 2.20 Employee benefits (continued) (e) Share-based compensation benefits (continued) For grant of share options, the total amount to be expensed is determined by reference to the grant-date fair value of the options granted by using option-pricing model, “Enhanced FAS 123” binomial model (the “Binomial Model”), which includes the impact of market performance conditions (such as the Company’s share price) but excludes the impact of service condition and non-market performance conditions. For gr</t>
        </is>
      </c>
    </row>
    <row r="121">
      <c r="A121" s="8" t="inlineStr">
        <is>
          <t>Share-based Payment</t>
        </is>
      </c>
      <c r="B121" s="8" t="inlineStr">
        <is>
          <t>以股份為基礎的付款</t>
        </is>
      </c>
      <c r="C121" s="8" t="inlineStr">
        <is>
          <t>medium</t>
        </is>
      </c>
      <c r="D121" s="11" t="inlineStr">
        <is>
          <t>share-based payment</t>
        </is>
      </c>
      <c r="E121" s="11" t="inlineStr">
        <is>
          <t>PDF p.157 (印刷頁 156)</t>
        </is>
      </c>
      <c r="F121" s="11" t="inlineStr">
        <is>
          <t>share-based award are modified, an additional expense is recognised for any modification that increases the total fair value of the share-based payment arrangement, or is otherwise beneficial to the employees and other qualifying participants, as measured at the date of modification. Modifications of an equity-settled share-based award in a manner that is not beneficial to employees are not taken into account when determining the expenses to be recognised. If a grant of equity instruments is cancelled or settled during the ves</t>
        </is>
      </c>
    </row>
    <row r="122">
      <c r="A122" s="8" t="inlineStr">
        <is>
          <t>Share-based Payment</t>
        </is>
      </c>
      <c r="B122" s="8" t="inlineStr">
        <is>
          <t>以股份為基礎的付款</t>
        </is>
      </c>
      <c r="C122" s="8" t="inlineStr">
        <is>
          <t>medium</t>
        </is>
      </c>
      <c r="D122" s="11" t="inlineStr">
        <is>
          <t>risk-free rate</t>
        </is>
      </c>
      <c r="E122" s="11" t="inlineStr">
        <is>
          <t>PDF p.163 (印刷頁 162)</t>
        </is>
      </c>
      <c r="F122" s="11" t="inlineStr">
        <is>
          <t>d to reflect changes in financing conditions since third-party financing was received; ‧ uses a build-up approach that starts with a risk-free rate adjusted for credit risk for leases held by the lessee, which does not have recent third-party financing; and ‧ makes adjustments specific to the lease, e.g., term, country, currency and security. If a readily observable amortising loan rate is available to the individual lessee (through recent financing or market data) which has a similar payment profile to the lease, then the Grou</t>
        </is>
      </c>
    </row>
    <row r="123">
      <c r="A123" s="8" t="inlineStr">
        <is>
          <t>Share-based Payment</t>
        </is>
      </c>
      <c r="B123" s="8" t="inlineStr">
        <is>
          <t>以股份為基礎的付款</t>
        </is>
      </c>
      <c r="C123" s="8" t="inlineStr">
        <is>
          <t>medium</t>
        </is>
      </c>
      <c r="D123" s="11" t="inlineStr">
        <is>
          <t>expected volatility</t>
        </is>
      </c>
      <c r="E123" s="11" t="inlineStr">
        <is>
          <t>PDF p.181 (印刷頁 180)</t>
        </is>
      </c>
      <c r="F123" s="11" t="inlineStr">
        <is>
          <t>ng approach and others. These valuation approaches require significant judgments, assumptions and inputs, including risk-free rates, expected volatility, and market information of recent transactions (such as recent fund-raising transactions undertaken by the investees) and other exposure, etc. The quantitative information about the significant unobservable inputs used in Level 3 fair value measurements of investments in unlisted companies comprises: Relationship of Fair value as Significant Range of inputs unobservable inputs</t>
        </is>
      </c>
    </row>
    <row r="124">
      <c r="A124" s="8" t="inlineStr">
        <is>
          <t>Share-based Payment</t>
        </is>
      </c>
      <c r="B124" s="8" t="inlineStr">
        <is>
          <t>以股份為基礎的付款</t>
        </is>
      </c>
      <c r="C124" s="8" t="inlineStr">
        <is>
          <t>medium</t>
        </is>
      </c>
      <c r="D124" s="11" t="inlineStr">
        <is>
          <t>expected volatility</t>
        </is>
      </c>
      <c r="E124" s="11" t="inlineStr">
        <is>
          <t>PDF p.182 (印刷頁 181)</t>
        </is>
      </c>
      <c r="F124" s="11" t="inlineStr">
        <is>
          <t>ion payables related to business combinations, management considered that any reasonable changes in the growth rate of net profit or expected volatility would not result in a significant change in the Group’s results for the years ended 31 December 2024 and 2023. 5 CRITICAL ACCOUNTING ESTIMATES AND JUDGMENTS The Group makes estimates and judgments concerning the future. The resulting accounting estimates will, by definition, seldom equal the related actual results. Estimates and judgments are continually evaluated and are based</t>
        </is>
      </c>
    </row>
    <row r="125">
      <c r="A125" s="8" t="inlineStr">
        <is>
          <t>Share-based Payment</t>
        </is>
      </c>
      <c r="B125" s="8" t="inlineStr">
        <is>
          <t>以股份為基礎的付款</t>
        </is>
      </c>
      <c r="C125" s="8" t="inlineStr">
        <is>
          <t>medium</t>
        </is>
      </c>
      <c r="D125" s="11" t="inlineStr">
        <is>
          <t>share option</t>
        </is>
      </c>
      <c r="E125" s="11" t="inlineStr">
        <is>
          <t>PDF p.183 (印刷頁 182)</t>
        </is>
      </c>
      <c r="F125" s="11" t="inlineStr">
        <is>
          <t>ctive fair value of these investments. (d) Share-based compensation arrangements As mentioned in Note 2.20(e), the Group has granted share options to its employees and other qualifying participants. The directors have adopted the Binomial Model to determine the total grant-date fair value of share options granted, which is to be expensed over the respective vesting periods. Significant estimates and judgment on key parameters, such as risk-free rate, dividend yield and expected volatility, are required to be made by the directo</t>
        </is>
      </c>
    </row>
    <row r="126">
      <c r="A126" s="8" t="inlineStr">
        <is>
          <t>Share-based Payment</t>
        </is>
      </c>
      <c r="B126" s="8" t="inlineStr">
        <is>
          <t>以股份為基礎的付款</t>
        </is>
      </c>
      <c r="C126" s="8" t="inlineStr">
        <is>
          <t>medium</t>
        </is>
      </c>
      <c r="D126" s="11" t="inlineStr">
        <is>
          <t>share option</t>
        </is>
      </c>
      <c r="E126" s="11" t="inlineStr">
        <is>
          <t>PDF p.184 (印刷頁 183)</t>
        </is>
      </c>
      <c r="F126" s="11" t="inlineStr">
        <is>
          <t>roup has to estimate the expected yearly percentage of grantees that will stay within the Group at the end of vesting periods of the share options and awarded shares (the “Expected Retention Rate”) in order to determine the amount of share-based compensation expenses charged to the consolidated income statement. Where the final retention rate is different from the initial estimate, such differences will impact the share-based compensation expenses in subsequent periods. As at 31 December 2024, the Expected Retention Rate of the</t>
        </is>
      </c>
    </row>
    <row r="127">
      <c r="A127" s="8" t="inlineStr">
        <is>
          <t>Share-based Payment</t>
        </is>
      </c>
      <c r="B127" s="8" t="inlineStr">
        <is>
          <t>以股份為基礎的付款</t>
        </is>
      </c>
      <c r="C127" s="8" t="inlineStr">
        <is>
          <t>medium</t>
        </is>
      </c>
      <c r="D127" s="11" t="inlineStr">
        <is>
          <t>share option</t>
        </is>
      </c>
      <c r="E127" s="11" t="inlineStr">
        <is>
          <t>PDF p.200 (印刷頁 199)</t>
        </is>
      </c>
      <c r="F127" s="11" t="inlineStr">
        <is>
          <t>Notes to the Consolidated Financial Statements For the year ended 31 December 2024 13 EARNINGS PER SHARE (continued) (b) Diluted The share options and awarded shares granted by the Company have potential dilutive effect on the EPS. Diluted EPS is calculated by adjusting the weighted average number of ordinary shares outstanding by the assumption of the conversion of all potential dilutive ordinary shares arising from share options and awarded shares granted by the Company (collectively forming the denominator for computing the</t>
        </is>
      </c>
    </row>
    <row r="128">
      <c r="A128" s="8" t="inlineStr">
        <is>
          <t>Share-based Payment</t>
        </is>
      </c>
      <c r="B128" s="8" t="inlineStr">
        <is>
          <t>以股份為基礎的付款</t>
        </is>
      </c>
      <c r="C128" s="8" t="inlineStr">
        <is>
          <t>medium</t>
        </is>
      </c>
      <c r="D128" s="11" t="inlineStr">
        <is>
          <t>share option</t>
        </is>
      </c>
      <c r="E128" s="11" t="inlineStr">
        <is>
          <t>PDF p.205 (印刷頁 204)</t>
        </is>
      </c>
      <c r="F128" s="11" t="inlineStr">
        <is>
          <t>ctor of the Company during the period from 1 January 2023 to 17 May 2023. (iii) During the years ended 31 December 2024 and 2023, no share options were granted to any director of the Company, while 105,760 awarded shares were granted to five independent non-executive directors of the Company (2023: 74,542 awarded shares were granted to five independent non-executive directors of the Company). (iv) 843,658 share options previously granted were voluntarily waived by a former executive director in January 2024, which did not take</t>
        </is>
      </c>
    </row>
    <row r="129">
      <c r="A129" s="8" t="inlineStr">
        <is>
          <t>Share-based Payment</t>
        </is>
      </c>
      <c r="B129" s="8" t="inlineStr">
        <is>
          <t>以股份為基礎的付款</t>
        </is>
      </c>
      <c r="C129" s="8" t="inlineStr">
        <is>
          <t>medium</t>
        </is>
      </c>
      <c r="D129" s="11" t="inlineStr">
        <is>
          <t>share option</t>
        </is>
      </c>
      <c r="E129" s="11" t="inlineStr">
        <is>
          <t>PDF p.236 (印刷頁 235)</t>
        </is>
      </c>
      <c r="F129" s="11" t="inlineStr">
        <is>
          <t>RMB’Million RMB’Million RMB’Million RMB’Million RMB’Million At 1 January 2024 9,482,992,820 – 37,989 (4,740) (5,350) 27,899 Employee share option schemes: – value of employee services – – 1,917 – – 1,917 – proceeds from shares issued, net of withholding individual income tax (Note (a)) 13,355,702 – 1,827 – – 1,827 Employee share award schemes: – value of employee services – – 16,829 – – 16,829 – shares purchased/withheld for share award schemes (Note (b)) – – – – (3,420) (3,420) – shares allotted for share award schemes (Note (</t>
        </is>
      </c>
    </row>
    <row r="130">
      <c r="A130" s="8" t="inlineStr">
        <is>
          <t>Share-based Payment</t>
        </is>
      </c>
      <c r="B130" s="8" t="inlineStr">
        <is>
          <t>以股份為基礎的付款</t>
        </is>
      </c>
      <c r="C130" s="8" t="inlineStr">
        <is>
          <t>medium</t>
        </is>
      </c>
      <c r="D130" s="11" t="inlineStr">
        <is>
          <t>share option</t>
        </is>
      </c>
      <c r="E130" s="11" t="inlineStr">
        <is>
          <t>PDF p.237 (印刷頁 236)</t>
        </is>
      </c>
      <c r="F130" s="11" t="inlineStr">
        <is>
          <t>RMB’Million RMB’Million RMB’Million RMB’Million RMB’Million At 1 January 2023 9,568,738,935 – 62,418 (1,868) (4,226) 56,324 Employee share option schemes: – value of employee services – – 1,687 – – 1,687 – proceeds from shares issued, net of withholding individual income tax (Note (a)) 8,820,561 – 828 – – 828 Employee share award schemes: – value of employee services – – 17,267 – – 17,267 – shares purchased/withheld for share award schemes (Note (b)) – – – – (4,378) (4,378) – shares allotted for share award schemes (Note (c)) 4</t>
        </is>
      </c>
    </row>
    <row r="131">
      <c r="A131" s="8" t="inlineStr">
        <is>
          <t>Share-based Payment</t>
        </is>
      </c>
      <c r="B131" s="8" t="inlineStr">
        <is>
          <t>以股份為基礎的付款</t>
        </is>
      </c>
      <c r="C131" s="8" t="inlineStr">
        <is>
          <t>medium</t>
        </is>
      </c>
      <c r="D131" s="11" t="inlineStr">
        <is>
          <t>share-based payment</t>
        </is>
      </c>
      <c r="E131" s="11" t="inlineStr">
        <is>
          <t>PDF p.239 (印刷頁 238)</t>
        </is>
      </c>
      <c r="F131" s="11" t="inlineStr">
        <is>
          <t>services: – Employee share option schemes – – – – – 45 – 45 – Employee share award schemes – – – – – 1,572 – 1,572 Tax benefit from share-based payments – – – – – 13 – 13 Acquisition of additional equity interests in non wholly-owned subsidiaries (4,637) – – – – – – (4,637) Dilution of interests in subsidiaries (1,924) – – – – – – (1,924) Net gains from changes in fair value of FVOCI – 90,612 – – – – – 90,612 Share of other comprehensive income of associates and joint ventures – – (1,181) – – – – (1,181) Transfer of share of o</t>
        </is>
      </c>
    </row>
    <row r="132">
      <c r="A132" s="8" t="inlineStr">
        <is>
          <t>Share-based Payment</t>
        </is>
      </c>
      <c r="B132" s="8" t="inlineStr">
        <is>
          <t>以股份為基礎的付款</t>
        </is>
      </c>
      <c r="C132" s="8" t="inlineStr">
        <is>
          <t>medium</t>
        </is>
      </c>
      <c r="D132" s="11" t="inlineStr">
        <is>
          <t>share-based payment</t>
        </is>
      </c>
      <c r="E132" s="11" t="inlineStr">
        <is>
          <t>PDF p.240 (印刷頁 239)</t>
        </is>
      </c>
      <c r="F132" s="11" t="inlineStr">
        <is>
          <t>services: – Employee share option schemes – – – – – 73 – 73 – Employee share award schemes – – – – – 1,583 – 1,583 Tax benefit from share-based payments – – – – – 21 – 21 Acquisition of additional equity interests in non wholly-owned subsidiaries 1,449 – – – – – – 1,449 Transfer of equity interests of subsidiaries to non-controlling interests 95 – – – – – – 95 Recognition of put option liabilities arising from business combinations (4,594) – – – – – – (4,594) Changes in put option liabilities in respect of non-controlling inte</t>
        </is>
      </c>
    </row>
    <row r="133">
      <c r="A133" s="8" t="inlineStr">
        <is>
          <t>Share-based Payment</t>
        </is>
      </c>
      <c r="B133" s="8" t="inlineStr">
        <is>
          <t>以股份為基礎的付款</t>
        </is>
      </c>
      <c r="C133" s="8" t="inlineStr">
        <is>
          <t>medium</t>
        </is>
      </c>
      <c r="D133" s="11" t="inlineStr">
        <is>
          <t>share option</t>
        </is>
      </c>
      <c r="E133" s="11" t="inlineStr">
        <is>
          <t>PDF p.241 (印刷頁 240)</t>
        </is>
      </c>
      <c r="F133" s="11" t="inlineStr">
        <is>
          <t>the Reserve Fund can be used to offset accumulated deficit or to increase capital. (d) Share-based compensation reserves arise from share option schemes and share award schemes adopted by certain subsidiaries of the Group (Note 35(d)). 240 Tencent Holdings Limited</t>
        </is>
      </c>
    </row>
    <row r="134">
      <c r="A134" s="8" t="inlineStr">
        <is>
          <t>Share-based Payment</t>
        </is>
      </c>
      <c r="B134" s="8" t="inlineStr">
        <is>
          <t>以股份為基礎的付款</t>
        </is>
      </c>
      <c r="C134" s="8" t="inlineStr">
        <is>
          <t>medium</t>
        </is>
      </c>
      <c r="D134" s="11" t="inlineStr">
        <is>
          <t>share-based payment</t>
        </is>
      </c>
      <c r="E134" s="11" t="inlineStr">
        <is>
          <t>PDF p.242 (印刷頁 241)</t>
        </is>
      </c>
      <c r="F134" s="11" t="inlineStr">
        <is>
          <t>Notes to the Consolidated Financial Statements For the year ended 31 December 2024 35 SHARE-BASED PAYMENTS (a) Share option schemes The Company has adopted six share option schemes, namely, the Pre-IPO Option Scheme, the Post-IPO Option Scheme I, the Post-IPO Option Scheme II, the Post-IPO Option Scheme III, the Post-IPO Option Scheme IV and the 2023 Share Option Scheme. The Pre-IPO Option Scheme, the Post-IPO Option Scheme I, the Post-IPO Option Scheme II and the Post-IPO Option S</t>
        </is>
      </c>
    </row>
    <row r="135">
      <c r="A135" s="8" t="inlineStr">
        <is>
          <t>Share-based Payment</t>
        </is>
      </c>
      <c r="B135" s="8" t="inlineStr">
        <is>
          <t>以股份為基礎的付款</t>
        </is>
      </c>
      <c r="C135" s="8" t="inlineStr">
        <is>
          <t>medium</t>
        </is>
      </c>
      <c r="D135" s="11" t="inlineStr">
        <is>
          <t>share-based payment</t>
        </is>
      </c>
      <c r="E135" s="11" t="inlineStr">
        <is>
          <t>PDF p.243 (印刷頁 242)</t>
        </is>
      </c>
      <c r="F135" s="11" t="inlineStr">
        <is>
          <t>Notes to the Consolidated Financial Statements For the year ended 31 December 2024 35 SHARE-BASED PAYMENTS (continued) (a) Share option schemes (continued) (i) Movements in the share options Movements in the number of share options outstanding and their related weighted average exercise prices are as follows: Post-IPO Option Scheme II 2023 Share Option Scheme Total Average Number Average Number Number exercise price of options exercise price of options of options At 1 January 2024</t>
        </is>
      </c>
    </row>
    <row r="136">
      <c r="A136" s="8" t="inlineStr">
        <is>
          <t>Share-based Payment</t>
        </is>
      </c>
      <c r="B136" s="8" t="inlineStr">
        <is>
          <t>以股份為基礎的付款</t>
        </is>
      </c>
      <c r="C136" s="8" t="inlineStr">
        <is>
          <t>medium</t>
        </is>
      </c>
      <c r="D136" s="11" t="inlineStr">
        <is>
          <t>share-based payment</t>
        </is>
      </c>
      <c r="E136" s="11" t="inlineStr">
        <is>
          <t>PDF p.244 (印刷頁 243)</t>
        </is>
      </c>
      <c r="F136" s="11" t="inlineStr">
        <is>
          <t>Notes to the Consolidated Financial Statements For the year ended 31 December 2024 35 SHARE-BASED PAYMENTS (continued) (a) Share option schemes (continued) (i) Movements in the share options (continued) During the years ended 31 December 2024 and 2023, no options were granted to any director of the Company. During the year ended 31 December 2024, 22,893,680 options (2023: 13,148,354 options) were exercised and the right to receive 9,537,978 shares (2023: 4,327,793 shares) was surre</t>
        </is>
      </c>
    </row>
    <row r="137">
      <c r="A137" s="8" t="inlineStr">
        <is>
          <t>Share-based Payment</t>
        </is>
      </c>
      <c r="B137" s="8" t="inlineStr">
        <is>
          <t>以股份為基礎的付款</t>
        </is>
      </c>
      <c r="C137" s="8" t="inlineStr">
        <is>
          <t>medium</t>
        </is>
      </c>
      <c r="D137" s="11" t="inlineStr">
        <is>
          <t>share-based payment</t>
        </is>
      </c>
      <c r="E137" s="11" t="inlineStr">
        <is>
          <t>PDF p.245 (印刷頁 244)</t>
        </is>
      </c>
      <c r="F137" s="11" t="inlineStr">
        <is>
          <t>Notes to the Consolidated Financial Statements For the year ended 31 December 2024 35 SHARE-BASED PAYMENTS (continued) (a) Share option schemes (continued) (iii) Fair value of options The directors of the Company had used the Binomial Model to determine the fair value of the options as at the respective grant dates, which was to be expensed over the relevant vesting period. The weighted average fair value of options granted during the year ended 31 December 2024 was HKD104.71 per s</t>
        </is>
      </c>
    </row>
    <row r="138">
      <c r="A138" s="8" t="inlineStr">
        <is>
          <t>Share-based Payment</t>
        </is>
      </c>
      <c r="B138" s="8" t="inlineStr">
        <is>
          <t>以股份為基礎的付款</t>
        </is>
      </c>
      <c r="C138" s="8" t="inlineStr">
        <is>
          <t>medium</t>
        </is>
      </c>
      <c r="D138" s="11" t="inlineStr">
        <is>
          <t>share-based payment</t>
        </is>
      </c>
      <c r="E138" s="11" t="inlineStr">
        <is>
          <t>PDF p.246 (印刷頁 245)</t>
        </is>
      </c>
      <c r="F138" s="11" t="inlineStr">
        <is>
          <t>Notes to the Consolidated Financial Statements For the year ended 31 December 2024 35 SHARE-BASED PAYMENTS (continued) (b) Share award schemes As at 31 December 2024, the Company had only one effective share award scheme, being the 2023 Share Award Scheme (effective since 17 May 2023), which was administered by an independent trustee appointed by the Group. The vesting period of the awarded shares is determined by the Board. Movements in the number of awarded shares under the Share</t>
        </is>
      </c>
    </row>
    <row r="139">
      <c r="A139" s="8" t="inlineStr">
        <is>
          <t>Related Party Transactions</t>
        </is>
      </c>
      <c r="B139" s="8" t="inlineStr">
        <is>
          <t>關聯方交易</t>
        </is>
      </c>
      <c r="C139" s="8" t="inlineStr">
        <is>
          <t>low</t>
        </is>
      </c>
      <c r="D139" s="11" t="inlineStr">
        <is>
          <t>connected transaction</t>
        </is>
      </c>
      <c r="E139" s="11" t="inlineStr">
        <is>
          <t>PDF p.70 (印刷頁 69)</t>
        </is>
      </c>
      <c r="F139" s="11" t="inlineStr">
        <is>
          <t>hort positions in any shares, underlying shares or debentures of the Company and its associated corporations as at 31 December 2024. CONNECTED TRANSACTIONS Reference is made to the waiver granted by the Stock Exchange regarding the compliance with the applicable disclosure, reporting and shareholders’ approval requirements under Chapter 14A of the Listing Rules when the Company was listed in June 2004. The reasons for using Structure Contracts Current PRC laws and regulations limit foreign investment in businesses providing val</t>
        </is>
      </c>
    </row>
    <row r="140">
      <c r="A140" s="8" t="inlineStr">
        <is>
          <t>Related Party Transactions</t>
        </is>
      </c>
      <c r="B140" s="8" t="inlineStr">
        <is>
          <t>關聯方交易</t>
        </is>
      </c>
      <c r="C140" s="8" t="inlineStr">
        <is>
          <t>low</t>
        </is>
      </c>
      <c r="D140" s="11" t="inlineStr">
        <is>
          <t>related party</t>
        </is>
      </c>
      <c r="E140" s="11" t="inlineStr">
        <is>
          <t>PDF p.76 (印刷頁 75)</t>
        </is>
      </c>
      <c r="F140" s="11" t="inlineStr">
        <is>
          <t>s and interests of directors), Note 27 (Loans to investees and investees’ shareholders), Note 35 (Share-based payments) and Note 45 (Related party transactions) to the consolidated financial statements. Save as the related parties transactions involving payment of remuneration to certain directors of the Group which constitute continuing connected transactions fully exempt from the connected transaction requirements under Rule 14A.76(1) or Rule 14A.95 of the Listing Rules, no related parties transactions disclosed in the consol</t>
        </is>
      </c>
    </row>
    <row r="141">
      <c r="A141" s="8" t="inlineStr">
        <is>
          <t>Related Party Transactions</t>
        </is>
      </c>
      <c r="B141" s="8" t="inlineStr">
        <is>
          <t>關聯方交易</t>
        </is>
      </c>
      <c r="C141" s="8" t="inlineStr">
        <is>
          <t>low</t>
        </is>
      </c>
      <c r="D141" s="11" t="inlineStr">
        <is>
          <t>related party</t>
        </is>
      </c>
      <c r="E141" s="11" t="inlineStr">
        <is>
          <t>PDF p.257 (印刷頁 256)</t>
        </is>
      </c>
      <c r="F141" s="11" t="inlineStr">
        <is>
          <t>ear 11,799 11,404 Later than one year and not later than five years 13,612 12,801 Later than five years 5,659 5,103 31,070 29,308 45 RELATED PARTY TRANSACTIONS Except as disclosed in Note 14(a) (Senior management’s emoluments), Note 14(b) (Five highest paid individuals), Note 15 (Benefits and interests of directors), Note 27 (Loans to investees and investees’ shareholders) and Note 35 (Sharebased payments) to the consolidated financial statements, other significant transactions carried out between the Group and its related pa</t>
        </is>
      </c>
    </row>
    <row r="142">
      <c r="A142" s="8" t="inlineStr">
        <is>
          <t>Related Party Transactions</t>
        </is>
      </c>
      <c r="B142" s="8" t="inlineStr">
        <is>
          <t>關聯方交易</t>
        </is>
      </c>
      <c r="C142" s="8" t="inlineStr">
        <is>
          <t>low</t>
        </is>
      </c>
      <c r="D142" s="11" t="inlineStr">
        <is>
          <t>related party</t>
        </is>
      </c>
      <c r="E142" s="11" t="inlineStr">
        <is>
          <t>PDF p.258 (印刷頁 257)</t>
        </is>
      </c>
      <c r="F142" s="11" t="inlineStr">
        <is>
          <t>Notes to the Consolidated Financial Statements For the year ended 31 December 2024 45 RELATED PARTY TRANSACTIONS (continued) (a) Significant transactions with related parties The Group has commercial arrangements with certain associates and joint ventures to provide Marketing Services, FinTech and Business Services, and other services, the revenue from which, for the year ended 31 December 2024, amounted to RMB5,238 million, RMB45,430 million and RMB2,907 million, respectively (202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pane ySplit="17" topLeftCell="A1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Goodwill</t>
        </is>
      </c>
    </row>
    <row r="14">
      <c r="A14" s="5" t="inlineStr">
        <is>
          <t>二、文字量過低的頁面(疑似掃描頁)</t>
        </is>
      </c>
    </row>
    <row r="15">
      <c r="A15" s="2" t="inlineStr">
        <is>
          <t>這些頁面幾乎抓不到文字,通常是掃描件或純圖表,建議人手翻閱或另行 OCR。</t>
        </is>
      </c>
    </row>
    <row r="17">
      <c r="A17" s="7" t="inlineStr">
        <is>
          <t>PDF 頁碼</t>
        </is>
      </c>
      <c r="B17" s="7" t="inlineStr">
        <is>
          <t>狀態</t>
        </is>
      </c>
    </row>
    <row r="18">
      <c r="A18" s="8" t="n">
        <v>1</v>
      </c>
      <c r="B18" s="8" t="inlineStr">
        <is>
          <t>文字量過低 — 可能為掃描頁/圖表頁</t>
        </is>
      </c>
    </row>
    <row r="19">
      <c r="A19" s="8" t="n">
        <v>274</v>
      </c>
      <c r="B1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2026-08-30T13:49:20Z</dcterms:created>
  <dcterms:modified xsi:type="dcterms:W3CDTF">2026-08-30T13:49:20Z</dcterms:modified>
</cp:coreProperties>
</file>
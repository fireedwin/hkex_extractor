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Extracts 主題段落" sheetId="5" state="visible" r:id="rId5"/>
    <sheet name="Review Queue 待覆核"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b val="1"/>
      <color rgb="00FFFF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wrapText="1"/>
    </xf>
    <xf numFmtId="164" fontId="4" fillId="0" borderId="0" pivotButton="0" quotePrefix="0" xfId="0"/>
    <xf numFmtId="2" fontId="4" fillId="0" borderId="0" pivotButton="0" quotePrefix="0" xfId="0"/>
    <xf numFmtId="0" fontId="4" fillId="0" borderId="1" applyAlignment="1" pivotButton="0" quotePrefix="0" xfId="0">
      <alignment vertical="top"/>
    </xf>
    <xf numFmtId="0" fontId="4" fillId="3" borderId="1" applyAlignment="1" pivotButton="0" quotePrefix="0" xfId="0">
      <alignment vertical="top"/>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02814_SAMSUNG_FANG_20260731.pdf</t>
        </is>
      </c>
    </row>
    <row r="5">
      <c r="A5" s="3" t="inlineStr">
        <is>
          <t>產生時間 Generated</t>
        </is>
      </c>
      <c r="B5" s="4" t="inlineStr">
        <is>
          <t>2026-08-30 22:17</t>
        </is>
      </c>
    </row>
    <row r="6">
      <c r="A6" s="4" t="inlineStr"/>
      <c r="B6" s="4" t="inlineStr"/>
    </row>
    <row r="7">
      <c r="A7" s="3" t="inlineStr">
        <is>
          <t>總頁數 Total pages</t>
        </is>
      </c>
      <c r="B7" s="4" t="n">
        <v>91</v>
      </c>
    </row>
    <row r="8">
      <c r="A8" s="3" t="inlineStr">
        <is>
          <t>已擷取字元 Characters extracted</t>
        </is>
      </c>
      <c r="B8" s="4" t="n">
        <v>145828</v>
      </c>
    </row>
    <row r="9">
      <c r="A9" s="3" t="inlineStr">
        <is>
          <t>含表格頁數 Pages with tables</t>
        </is>
      </c>
      <c r="B9" s="4" t="n">
        <v>0</v>
      </c>
    </row>
    <row r="10">
      <c r="A10" s="3" t="inlineStr">
        <is>
          <t>需人手/OCR 頁數 Pages needing OCR</t>
        </is>
      </c>
      <c r="B10" s="4" t="n">
        <v>10</v>
      </c>
    </row>
    <row r="11">
      <c r="A11" s="4" t="inlineStr"/>
      <c r="B11" s="4" t="inlineStr"/>
    </row>
    <row r="12">
      <c r="A12" s="3" t="inlineStr">
        <is>
          <t>估值參數擷取筆數 Valuation parameters</t>
        </is>
      </c>
      <c r="B12" s="4" t="n">
        <v>0</v>
      </c>
    </row>
    <row r="13">
      <c r="A13" s="3" t="inlineStr">
        <is>
          <t>財務科目擷取筆數 Financial line items</t>
        </is>
      </c>
      <c r="B13" s="4" t="n">
        <v>0</v>
      </c>
    </row>
    <row r="14">
      <c r="A14" s="3" t="inlineStr">
        <is>
          <t>主題段落擷取筆數 Topic extracts</t>
        </is>
      </c>
      <c r="B14" s="4" t="n">
        <v>11</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4" t="inlineStr">
        <is>
          <t>擷取到的科目不足,無法進行交叉驗證</t>
        </is>
      </c>
    </row>
    <row r="21">
      <c r="A21" s="5" t="inlineStr">
        <is>
          <t>方法論 Methodology</t>
        </is>
      </c>
    </row>
    <row r="22">
      <c r="A22" s="4" t="inlineStr">
        <is>
          <t>1. 逐頁擷取文字,全程保留 PDF 頁碼與年報印刷頁碼(可追溯性)。</t>
        </is>
      </c>
    </row>
    <row r="23">
      <c r="A23" s="4" t="inlineStr">
        <is>
          <t>2. 規則層(正則/關鍵字)先把全份文件縮減為少數相關頁面 —— 解決「文件太大」。</t>
        </is>
      </c>
    </row>
    <row r="24">
      <c r="A24" s="4" t="inlineStr">
        <is>
          <t>3. 數字由正則精確擷取並做合理性檢查,不由語言模型生成 —— 解決「準確度」。</t>
        </is>
      </c>
    </row>
    <row r="25">
      <c r="A25" s="4" t="inlineStr">
        <is>
          <t>4. AI 僅在縮減後的頁面上做語意判斷,且輸出頁碼須通過驗證才保留。</t>
        </is>
      </c>
    </row>
    <row r="26">
      <c r="A26" s="4" t="inlineStr">
        <is>
          <t>5. 所有結果附來源頁碼與原文行,供估值師覆核。信心度為 Low 者建議人手確認。</t>
        </is>
      </c>
    </row>
    <row r="27">
      <c r="A27"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6" t="inlineStr">
        <is>
          <t>參數 Parameter</t>
        </is>
      </c>
      <c r="B4" s="6" t="inlineStr">
        <is>
          <t>中文</t>
        </is>
      </c>
      <c r="C4" s="6" t="inlineStr">
        <is>
          <t>下限 Low (%)</t>
        </is>
      </c>
      <c r="D4" s="6" t="inlineStr">
        <is>
          <t>上限 High (%)</t>
        </is>
      </c>
      <c r="E4" s="6" t="inlineStr">
        <is>
          <t>原文數值</t>
        </is>
      </c>
      <c r="F4" s="6" t="inlineStr">
        <is>
          <t>信心度</t>
        </is>
      </c>
      <c r="G4" s="6" t="inlineStr">
        <is>
          <t>來源頁 Source Page</t>
        </is>
      </c>
      <c r="H4" s="6" t="inlineStr">
        <is>
          <t>上下文 Context</t>
        </is>
      </c>
    </row>
    <row r="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t>
        </is>
      </c>
    </row>
    <row r="4">
      <c r="A4" s="6" t="inlineStr">
        <is>
          <t>報表 Statement</t>
        </is>
      </c>
      <c r="B4" s="6" t="inlineStr">
        <is>
          <t>科目 Item</t>
        </is>
      </c>
      <c r="C4" s="6" t="inlineStr">
        <is>
          <t>本年 Current</t>
        </is>
      </c>
      <c r="D4" s="6" t="inlineStr">
        <is>
          <t>上年 Prior</t>
        </is>
      </c>
      <c r="E4" s="6" t="inlineStr">
        <is>
          <t>變動 YoY %</t>
        </is>
      </c>
      <c r="F4" s="6" t="inlineStr">
        <is>
          <t>來源頁</t>
        </is>
      </c>
      <c r="G4" s="6" t="inlineStr">
        <is>
          <t>原文行 Source line</t>
        </is>
      </c>
    </row>
    <row r="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6" t="inlineStr">
        <is>
          <t>比率 Ratio</t>
        </is>
      </c>
      <c r="B4" s="6" t="inlineStr">
        <is>
          <t>本年 Current</t>
        </is>
      </c>
      <c r="C4" s="6" t="inlineStr">
        <is>
          <t>上年 Prior</t>
        </is>
      </c>
      <c r="D4" s="6" t="inlineStr">
        <is>
          <t>說明</t>
        </is>
      </c>
    </row>
    <row r="5">
      <c r="A5" s="4" t="inlineStr">
        <is>
          <t>Gross Margin 毛利率</t>
        </is>
      </c>
      <c r="B5" s="7" t="str">
        <f>IF(ISERROR(INDEX('Financials 財務數據'!$C$5:$C$5,MATCH("Gross Profit",'Financials 財務數據'!$B$5:$B$5,0))/INDEX('Financials 財務數據'!$C$5:$C$5,MATCH("Revenue",'Financials 財務數據'!$B$5:$B$5,0))),"n/a",INDEX('Financials 財務數據'!$C$5:$C$5,MATCH("Gross Profit",'Financials 財務數據'!$B$5:$B$5,0))/INDEX('Financials 財務數據'!$C$5:$C$5,MATCH("Revenue",'Financials 財務數據'!$B$5:$B$5,0)))</f>
        <v>n/a</v>
      </c>
      <c r="C5" s="7" t="str">
        <f>IF(ISERROR(INDEX('Financials 財務數據'!$D$5:$D$5,MATCH("Gross Profit",'Financials 財務數據'!$B$5:$B$5,0))/INDEX('Financials 財務數據'!$D$5:$D$5,MATCH("Revenue",'Financials 財務數據'!$B$5:$B$5,0))),"n/a",INDEX('Financials 財務數據'!$D$5:$D$5,MATCH("Gross Profit",'Financials 財務數據'!$B$5:$B$5,0))/INDEX('Financials 財務數據'!$D$5:$D$5,MATCH("Revenue",'Financials 財務數據'!$B$5:$B$5,0)))</f>
        <v>n/a</v>
      </c>
      <c r="D5" s="2" t="inlineStr">
        <is>
          <t>毛利 ÷ 收入</t>
        </is>
      </c>
    </row>
    <row r="6">
      <c r="A6" s="4" t="inlineStr">
        <is>
          <t>Net Margin 淨利率</t>
        </is>
      </c>
      <c r="B6" s="7" t="str">
        <f>IF(ISERROR(INDEX('Financials 財務數據'!$C$5:$C$5,MATCH("Profit for the Year",'Financials 財務數據'!$B$5:$B$5,0))/INDEX('Financials 財務數據'!$C$5:$C$5,MATCH("Revenue",'Financials 財務數據'!$B$5:$B$5,0))),"n/a",INDEX('Financials 財務數據'!$C$5:$C$5,MATCH("Profit for the Year",'Financials 財務數據'!$B$5:$B$5,0))/INDEX('Financials 財務數據'!$C$5:$C$5,MATCH("Revenue",'Financials 財務數據'!$B$5:$B$5,0)))</f>
        <v>n/a</v>
      </c>
      <c r="C6" s="7" t="str">
        <f>IF(ISERROR(INDEX('Financials 財務數據'!$D$5:$D$5,MATCH("Profit for the Year",'Financials 財務數據'!$B$5:$B$5,0))/INDEX('Financials 財務數據'!$D$5:$D$5,MATCH("Revenue",'Financials 財務數據'!$B$5:$B$5,0))),"n/a",INDEX('Financials 財務數據'!$D$5:$D$5,MATCH("Profit for the Year",'Financials 財務數據'!$B$5:$B$5,0))/INDEX('Financials 財務數據'!$D$5:$D$5,MATCH("Revenue",'Financials 財務數據'!$B$5:$B$5,0)))</f>
        <v>n/a</v>
      </c>
      <c r="D6" s="2" t="inlineStr">
        <is>
          <t>年內溢利 ÷ 收入</t>
        </is>
      </c>
    </row>
    <row r="7">
      <c r="A7" s="4" t="inlineStr">
        <is>
          <t>Current Ratio 流動比率</t>
        </is>
      </c>
      <c r="B7" s="8" t="str">
        <f>IF(ISERROR(INDEX('Financials 財務數據'!$C$5:$C$5,MATCH("Total Current Assets",'Financials 財務數據'!$B$5:$B$5,0))/INDEX('Financials 財務數據'!$C$5:$C$5,MATCH("Total Current Liabilities",'Financials 財務數據'!$B$5:$B$5,0))),"n/a",INDEX('Financials 財務數據'!$C$5:$C$5,MATCH("Total Current Assets",'Financials 財務數據'!$B$5:$B$5,0))/INDEX('Financials 財務數據'!$C$5:$C$5,MATCH("Total Current Liabilities",'Financials 財務數據'!$B$5:$B$5,0)))</f>
        <v>n/a</v>
      </c>
      <c r="C7" s="8" t="str">
        <f>IF(ISERROR(INDEX('Financials 財務數據'!$D$5:$D$5,MATCH("Total Current Assets",'Financials 財務數據'!$B$5:$B$5,0))/INDEX('Financials 財務數據'!$D$5:$D$5,MATCH("Total Current Liabilities",'Financials 財務數據'!$B$5:$B$5,0))),"n/a",INDEX('Financials 財務數據'!$D$5:$D$5,MATCH("Total Current Assets",'Financials 財務數據'!$B$5:$B$5,0))/INDEX('Financials 財務數據'!$D$5:$D$5,MATCH("Total Current Liabilities",'Financials 財務數據'!$B$5:$B$5,0)))</f>
        <v>n/a</v>
      </c>
      <c r="D7" s="2" t="inlineStr">
        <is>
          <t>流動資產 ÷ 流動負債</t>
        </is>
      </c>
    </row>
    <row r="8">
      <c r="A8" s="4" t="inlineStr">
        <is>
          <t>Debt / Equity 負債權益比</t>
        </is>
      </c>
      <c r="B8" s="8" t="str">
        <f>IF(ISERROR(INDEX('Financials 財務數據'!$C$5:$C$5,MATCH("Total Liabilities",'Financials 財務數據'!$B$5:$B$5,0))/INDEX('Financials 財務數據'!$C$5:$C$5,MATCH("Total Equity",'Financials 財務數據'!$B$5:$B$5,0))),"n/a",INDEX('Financials 財務數據'!$C$5:$C$5,MATCH("Total Liabilities",'Financials 財務數據'!$B$5:$B$5,0))/INDEX('Financials 財務數據'!$C$5:$C$5,MATCH("Total Equity",'Financials 財務數據'!$B$5:$B$5,0)))</f>
        <v>n/a</v>
      </c>
      <c r="C8" s="8" t="str">
        <f>IF(ISERROR(INDEX('Financials 財務數據'!$D$5:$D$5,MATCH("Total Liabilities",'Financials 財務數據'!$B$5:$B$5,0))/INDEX('Financials 財務數據'!$D$5:$D$5,MATCH("Total Equity",'Financials 財務數據'!$B$5:$B$5,0))),"n/a",INDEX('Financials 財務數據'!$D$5:$D$5,MATCH("Total Liabilities",'Financials 財務數據'!$B$5:$B$5,0))/INDEX('Financials 財務數據'!$D$5:$D$5,MATCH("Total Equity",'Financials 財務數據'!$B$5:$B$5,0)))</f>
        <v>n/a</v>
      </c>
      <c r="D8" s="2" t="inlineStr">
        <is>
          <t>總負債 ÷ 總權益</t>
        </is>
      </c>
    </row>
    <row r="9">
      <c r="A9" s="4" t="inlineStr">
        <is>
          <t>Goodwill / Total Assets</t>
        </is>
      </c>
      <c r="B9" s="7" t="str">
        <f>IF(ISERROR(INDEX('Financials 財務數據'!$C$5:$C$5,MATCH("Goodwill",'Financials 財務數據'!$B$5:$B$5,0))/INDEX('Financials 財務數據'!$C$5:$C$5,MATCH("Total Assets",'Financials 財務數據'!$B$5:$B$5,0))),"n/a",INDEX('Financials 財務數據'!$C$5:$C$5,MATCH("Goodwill",'Financials 財務數據'!$B$5:$B$5,0))/INDEX('Financials 財務數據'!$C$5:$C$5,MATCH("Total Assets",'Financials 財務數據'!$B$5:$B$5,0)))</f>
        <v>n/a</v>
      </c>
      <c r="C9" s="7" t="str">
        <f>IF(ISERROR(INDEX('Financials 財務數據'!$D$5:$D$5,MATCH("Goodwill",'Financials 財務數據'!$B$5:$B$5,0))/INDEX('Financials 財務數據'!$D$5:$D$5,MATCH("Total Assets",'Financials 財務數據'!$B$5:$B$5,0))),"n/a",INDEX('Financials 財務數據'!$D$5:$D$5,MATCH("Goodwill",'Financials 財務數據'!$B$5:$B$5,0))/INDEX('Financials 財務數據'!$D$5:$D$5,MATCH("Total Assets",'Financials 財務數據'!$B$5:$B$5,0)))</f>
        <v>n/a</v>
      </c>
      <c r="D9" s="2" t="inlineStr">
        <is>
          <t>商譽佔總資產比重 — 減值風險指標</t>
        </is>
      </c>
    </row>
    <row r="10">
      <c r="A10" s="4" t="inlineStr">
        <is>
          <t>Intangibles / Total Assets</t>
        </is>
      </c>
      <c r="B10" s="7" t="str">
        <f>IF(ISERROR(INDEX('Financials 財務數據'!$C$5:$C$5,MATCH("Intangible Assets",'Financials 財務數據'!$B$5:$B$5,0))/INDEX('Financials 財務數據'!$C$5:$C$5,MATCH("Total Assets",'Financials 財務數據'!$B$5:$B$5,0))),"n/a",INDEX('Financials 財務數據'!$C$5:$C$5,MATCH("Intangible Assets",'Financials 財務數據'!$B$5:$B$5,0))/INDEX('Financials 財務數據'!$C$5:$C$5,MATCH("Total Assets",'Financials 財務數據'!$B$5:$B$5,0)))</f>
        <v>n/a</v>
      </c>
      <c r="C10" s="7" t="str">
        <f>IF(ISERROR(INDEX('Financials 財務數據'!$D$5:$D$5,MATCH("Intangible Assets",'Financials 財務數據'!$B$5:$B$5,0))/INDEX('Financials 財務數據'!$D$5:$D$5,MATCH("Total Assets",'Financials 財務數據'!$B$5:$B$5,0))),"n/a",INDEX('Financials 財務數據'!$D$5:$D$5,MATCH("Intangible Assets",'Financials 財務數據'!$B$5:$B$5,0))/INDEX('Financials 財務數據'!$D$5:$D$5,MATCH("Total Assets",'Financials 財務數據'!$B$5:$B$5,0)))</f>
        <v>n/a</v>
      </c>
      <c r="D10" s="2" t="inlineStr">
        <is>
          <t>無形資產佔比</t>
        </is>
      </c>
    </row>
    <row r="11">
      <c r="A11" s="4" t="inlineStr">
        <is>
          <t>ROE 股本回報率</t>
        </is>
      </c>
      <c r="B11" s="7" t="str">
        <f>IF(ISERROR(INDEX('Financials 財務數據'!$C$5:$C$5,MATCH("Profit for the Year",'Financials 財務數據'!$B$5:$B$5,0))/INDEX('Financials 財務數據'!$C$5:$C$5,MATCH("Total Equity",'Financials 財務數據'!$B$5:$B$5,0))),"n/a",INDEX('Financials 財務數據'!$C$5:$C$5,MATCH("Profit for the Year",'Financials 財務數據'!$B$5:$B$5,0))/INDEX('Financials 財務數據'!$C$5:$C$5,MATCH("Total Equity",'Financials 財務數據'!$B$5:$B$5,0)))</f>
        <v>n/a</v>
      </c>
      <c r="C11" s="7" t="str">
        <f>IF(ISERROR(INDEX('Financials 財務數據'!$D$5:$D$5,MATCH("Profit for the Year",'Financials 財務數據'!$B$5:$B$5,0))/INDEX('Financials 財務數據'!$D$5:$D$5,MATCH("Total Equity",'Financials 財務數據'!$B$5:$B$5,0))),"n/a",INDEX('Financials 財務數據'!$D$5:$D$5,MATCH("Profit for the Year",'Financials 財務數據'!$B$5:$B$5,0))/INDEX('Financials 財務數據'!$D$5:$D$5,MATCH("Total Equity",'Financials 財務數據'!$B$5:$B$5,0)))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6" t="inlineStr">
        <is>
          <t>主題 Topic</t>
        </is>
      </c>
      <c r="B3" s="6" t="inlineStr">
        <is>
          <t>中文</t>
        </is>
      </c>
      <c r="C3" s="6" t="inlineStr">
        <is>
          <t>優先</t>
        </is>
      </c>
      <c r="D3" s="6" t="inlineStr">
        <is>
          <t>命中詞</t>
        </is>
      </c>
      <c r="E3" s="6" t="inlineStr">
        <is>
          <t>來源頁</t>
        </is>
      </c>
      <c r="F3" s="6" t="inlineStr">
        <is>
          <t>段落 Snippet</t>
        </is>
      </c>
    </row>
    <row r="4">
      <c r="A4" s="9" t="inlineStr">
        <is>
          <t>Fair Value Measurement</t>
        </is>
      </c>
      <c r="B4" s="9" t="inlineStr">
        <is>
          <t>公允價值計量</t>
        </is>
      </c>
      <c r="C4" s="10" t="inlineStr">
        <is>
          <t>high</t>
        </is>
      </c>
      <c r="D4" s="11" t="inlineStr">
        <is>
          <t>level 3</t>
        </is>
      </c>
      <c r="E4" s="11" t="inlineStr">
        <is>
          <t>PDF p.6 (印刷頁 4)</t>
        </is>
      </c>
      <c r="F4" s="11" t="inlineStr">
        <is>
          <t>he latest fiscal year from semiconductor businesses, i.e. industries classified as Bloomberg Industry Classification standard (BICS) Level 3 “Semiconductors” industries. The BBG Index is constructed with a 15% cap on the weight of each constituent at each quarterly rebalancing of the BBG Index in March, June, September and December. The BBG Index is reconstituted semi-annually in March and September for addition and deletion of constituents. As at 31 March 2026, it comprised 20 constituent stocks. For the statement of financial</t>
        </is>
      </c>
    </row>
    <row r="5">
      <c r="A5" s="9" t="inlineStr">
        <is>
          <t>Fair Value Measurement</t>
        </is>
      </c>
      <c r="B5" s="9" t="inlineStr">
        <is>
          <t>公允價值計量</t>
        </is>
      </c>
      <c r="C5" s="10" t="inlineStr">
        <is>
          <t>high</t>
        </is>
      </c>
      <c r="D5" s="11" t="inlineStr">
        <is>
          <t>level 1</t>
        </is>
      </c>
      <c r="E5" s="11" t="inlineStr">
        <is>
          <t>PDF p.29 (印刷頁 27)</t>
        </is>
      </c>
      <c r="F5" s="11" t="inlineStr">
        <is>
          <t>tatements is determined on such a basis. In addition, for financial reporting purposes, fair value measurements are categorised into Level 1, 2 or 3 based on the degree to which the inputs to the fair value measurements are observable and the significance of the inputs to the fair value measurement in its entirety, which are described as follows: 27</t>
        </is>
      </c>
    </row>
    <row r="6">
      <c r="A6" s="9" t="inlineStr">
        <is>
          <t>Fair Value Measurement</t>
        </is>
      </c>
      <c r="B6" s="9" t="inlineStr">
        <is>
          <t>公允價值計量</t>
        </is>
      </c>
      <c r="C6" s="10" t="inlineStr">
        <is>
          <t>high</t>
        </is>
      </c>
      <c r="D6" s="11" t="inlineStr">
        <is>
          <t>level 1</t>
        </is>
      </c>
      <c r="E6" s="11" t="inlineStr">
        <is>
          <t>PDF p.30 (印刷頁 28)</t>
        </is>
      </c>
      <c r="F6" s="11" t="inlineStr">
        <is>
          <t>ST) NOTES TO THE FINANCIAL STATEMENTS 31 MARCH 2026 3. MATERIAL ACCOUNTING POLICIES (continued) Fair value measurement (continued)  Level 1 inputs are quoted prices (unadjusted) in active markets for identical assets or liabilities that the entity can access at the measurement date;  Level 2 inputs are inputs, other than quoted prices included within Level 1, that are observable for the asset or liability, either directly or indirectly; and  Level 3 inputs are unobservable inputs for the asset or liability. For assets and li</t>
        </is>
      </c>
    </row>
    <row r="7">
      <c r="A7" s="9" t="inlineStr">
        <is>
          <t>Fair Value Measurement</t>
        </is>
      </c>
      <c r="B7" s="9" t="inlineStr">
        <is>
          <t>公允價值計量</t>
        </is>
      </c>
      <c r="C7" s="10" t="inlineStr">
        <is>
          <t>high</t>
        </is>
      </c>
      <c r="D7" s="11" t="inlineStr">
        <is>
          <t>fair value hierarchy</t>
        </is>
      </c>
      <c r="E7" s="11" t="inlineStr">
        <is>
          <t>PDF p.66 (印刷頁 64)</t>
        </is>
      </c>
      <c r="F7" s="11" t="inlineStr">
        <is>
          <t>tent it is available. The following analyses derivative financial assets measured at FVTPL on the reporting date by the level in the fair value hierarchy into which the fair value measurement is categorised. Samsung S&amp;P GSCI Crude Oil ER Futures ETF At 31 March 2026 Level 1 Level 2 Level 3 Total HK$ HK$ HK$ HK$ Financial assets at FVTPL - Listed equity 29,048,580 - - 29,048,580 Derivative financial assets - Futures contracts 118,030,117 - - 118,030,117 Derivative financial liabilities - Futures contracts (144,249) - - (144,249)</t>
        </is>
      </c>
    </row>
    <row r="8">
      <c r="A8" s="9" t="inlineStr">
        <is>
          <t>Fair Value Measurement</t>
        </is>
      </c>
      <c r="B8" s="9" t="inlineStr">
        <is>
          <t>公允價值計量</t>
        </is>
      </c>
      <c r="C8" s="10" t="inlineStr">
        <is>
          <t>high</t>
        </is>
      </c>
      <c r="D8" s="11" t="inlineStr">
        <is>
          <t>level 1</t>
        </is>
      </c>
      <c r="E8" s="11" t="inlineStr">
        <is>
          <t>PDF p.67 (印刷頁 65)</t>
        </is>
      </c>
      <c r="F8" s="11" t="inlineStr">
        <is>
          <t>ATED RISKS (continued) Fair value (continued) Valuation of financial instruments (continued) Samsung NYSE FANG+ ETF At 31 March 2026 Level 1 Level 2 Level 3 Total US$ US$ US$ US$ Financial assets at FVTPL - Listed equities 7,859,774 - - 7,859,774 At 31 March 2025 Level 1 Level 2 Level 3 Total US$ US$ US$ US$ Financial assets at FVTPL - Listed equities 6,632,237 - - 6,632,237 Samsung Bloomberg Global Semiconductor ETF At 31 March 2026 Level 1 Level 2 Level 3 Total US$ US$ US$ US$ Financial assets at FVTPL - Listed equities 12,88</t>
        </is>
      </c>
    </row>
    <row r="9">
      <c r="A9" s="9" t="inlineStr">
        <is>
          <t>Fair Value Measurement</t>
        </is>
      </c>
      <c r="B9" s="9" t="inlineStr">
        <is>
          <t>公允價值計量</t>
        </is>
      </c>
      <c r="C9" s="10" t="inlineStr">
        <is>
          <t>high</t>
        </is>
      </c>
      <c r="D9" s="11" t="inlineStr">
        <is>
          <t>fair value hierarchy</t>
        </is>
      </c>
      <c r="E9" s="11" t="inlineStr">
        <is>
          <t>PDF p.68 (印刷頁 66)</t>
        </is>
      </c>
      <c r="F9" s="11" t="inlineStr">
        <is>
          <t>nstruments (continued) For the years ended 31 March 2026 and 31 March 2025, there were no transfers of financial instruments between fair value hierarchy levels. The fair values of above financial instruments are based on quoted market prices in an active market at the end of reporting period. As at 31 March 2026 and 31 March 2025, except for derivative financial instruments and equity securities as disclosed in the financial statements which are classified as the financial assets at FVTPL, all other financial assets and financ</t>
        </is>
      </c>
    </row>
    <row r="10">
      <c r="A10" s="9" t="inlineStr">
        <is>
          <t>Intangible Assets &amp; Goodwill</t>
        </is>
      </c>
      <c r="B10" s="9" t="inlineStr">
        <is>
          <t>無形資產及商譽</t>
        </is>
      </c>
      <c r="C10" s="10" t="inlineStr">
        <is>
          <t>high</t>
        </is>
      </c>
      <c r="D10" s="11" t="inlineStr">
        <is>
          <t>amortisation</t>
        </is>
      </c>
      <c r="E10" s="11" t="inlineStr">
        <is>
          <t>PDF p.69 (印刷頁 67)</t>
        </is>
      </c>
      <c r="F10" s="11" t="inlineStr">
        <is>
          <t>For Samsung NYSE FANG+ ETF, as at 31 March 2026, unamortised establishment costs were US$2,064 (2025: US$21,661) while the remaining amortisation period is 2 months (2025: 14 months). For Samsung Bloomberg Global Semiconductor ETF, as at 31 March 2026, unamortised establishment costs were US$15,372 (2025: US$41,101) while the remaining amortisation period is 7 months (2025: 19 months). For Samsung Blockchain Technologies ETF, the establishment costs was borne by the Manager. 67</t>
        </is>
      </c>
    </row>
    <row r="11">
      <c r="A11" s="9" t="inlineStr">
        <is>
          <t>ESG Data</t>
        </is>
      </c>
      <c r="B11" s="9" t="inlineStr">
        <is>
          <t>環境社會及管治數據</t>
        </is>
      </c>
      <c r="C11" s="9" t="inlineStr">
        <is>
          <t>medium</t>
        </is>
      </c>
      <c r="D11" s="11" t="inlineStr">
        <is>
          <t>ESG</t>
        </is>
      </c>
      <c r="E11" s="11" t="inlineStr">
        <is>
          <t>PDF p.28 (印刷頁 26)</t>
        </is>
      </c>
      <c r="F11" s="11" t="inlineStr">
        <is>
          <t>te  Additional guidance on how the contractual cash flows for financial assets with environmental, social and corporate governance (ESG) and similar features should be assessed  Clarifications on what constitute ‘non-recourse features’ and what are the characteristics of contractually linked instruments  The introduction of disclosures for financial instruments with contingent features and additional disclosure requirements for equity instruments classified at fair value through other comprehensive income (OCI) The Amendment</t>
        </is>
      </c>
    </row>
    <row r="12">
      <c r="A12" s="9" t="inlineStr">
        <is>
          <t>Segment Information</t>
        </is>
      </c>
      <c r="B12" s="9" t="inlineStr">
        <is>
          <t>分部資料</t>
        </is>
      </c>
      <c r="C12" s="9" t="inlineStr">
        <is>
          <t>medium</t>
        </is>
      </c>
      <c r="D12" s="11" t="inlineStr">
        <is>
          <t>operating segment</t>
        </is>
      </c>
      <c r="E12" s="11" t="inlineStr">
        <is>
          <t>PDF p.36 (印刷頁 34)</t>
        </is>
      </c>
      <c r="F12" s="11" t="inlineStr">
        <is>
          <t>lating to monetary items are presented separately in statement of profit or loss and other comprehensive income. Segmental reporting Operating segments are reported in a manner consistent with the internal reporting used by the chief operating decision-maker. The Manager, who is responsible for allocating resources and assessing performance of the operating segments, has been identified as the chief operating decision-maker that makes strategic decisions. Related parties A party is considered to be related to the Sub-Funds if:</t>
        </is>
      </c>
    </row>
    <row r="13">
      <c r="A13" s="9" t="inlineStr">
        <is>
          <t>Segment Information</t>
        </is>
      </c>
      <c r="B13" s="9" t="inlineStr">
        <is>
          <t>分部資料</t>
        </is>
      </c>
      <c r="C13" s="9" t="inlineStr">
        <is>
          <t>medium</t>
        </is>
      </c>
      <c r="D13" s="11" t="inlineStr">
        <is>
          <t>segment information</t>
        </is>
      </c>
      <c r="E13" s="11" t="inlineStr">
        <is>
          <t>PDF p.70 (印刷頁 68)</t>
        </is>
      </c>
      <c r="F13" s="11" t="inlineStr">
        <is>
          <t>ost, when incurred, are immediately recognised in the Statements of profit or loss and other comprehensive income as an expense. 16. SEGMENT INFORMATION The Manager makes the strategic resource allocations on behalf of the Sub-Funds and has determined the operating segments based on the reports reviewed which are used to make strategic decisions. The Manager considers that the Sub-Funds is a single operating segment which is investments in futures contracts and equity instruments. The investment objectives of the Sub-Funds are</t>
        </is>
      </c>
    </row>
    <row r="14">
      <c r="A14" s="9" t="inlineStr">
        <is>
          <t>Related Party Transactions</t>
        </is>
      </c>
      <c r="B14" s="9" t="inlineStr">
        <is>
          <t>關聯方交易</t>
        </is>
      </c>
      <c r="C14" s="9" t="inlineStr">
        <is>
          <t>low</t>
        </is>
      </c>
      <c r="D14" s="11" t="inlineStr">
        <is>
          <t>related party</t>
        </is>
      </c>
      <c r="E14" s="11" t="inlineStr">
        <is>
          <t>PDF p.39 (印刷頁 37)</t>
        </is>
      </c>
      <c r="F14" s="11" t="inlineStr">
        <is>
          <t>ANCIAL STATEMENTS 31 MARCH 2026 5. TRANSACTIONS WITH THE RELATED PARTIES/CONNECTED PERSONS The following is a summary of significant related party transactions/transactions entered into during the years ended 31 March 2026 and 31 March 2025 between the Sub-Funds, the Manager (also a connected person), the Trustee and the holding company of the Trustee. Connected persons are defined in the SFC Code. All transactions entered into during the years ended 31 March 2026 and 31 March 2025 were carried out in the normal course of busin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4"/>
  <sheetViews>
    <sheetView workbookViewId="0">
      <pane ySplit="24" topLeftCell="A25"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6" t="inlineStr">
        <is>
          <t>報表 Statement</t>
        </is>
      </c>
      <c r="B7" s="6" t="inlineStr">
        <is>
          <t>未擷取科目 Missing item</t>
        </is>
      </c>
    </row>
    <row r="8">
      <c r="A8" s="9" t="inlineStr">
        <is>
          <t>Income Statement</t>
        </is>
      </c>
      <c r="B8" s="9" t="inlineStr">
        <is>
          <t>Revenue</t>
        </is>
      </c>
    </row>
    <row r="9">
      <c r="A9" s="9" t="inlineStr">
        <is>
          <t>Income Statement</t>
        </is>
      </c>
      <c r="B9" s="9" t="inlineStr">
        <is>
          <t>Cost of Sales</t>
        </is>
      </c>
    </row>
    <row r="10">
      <c r="A10" s="9" t="inlineStr">
        <is>
          <t>Income Statement</t>
        </is>
      </c>
      <c r="B10" s="9" t="inlineStr">
        <is>
          <t>Gross Profit</t>
        </is>
      </c>
    </row>
    <row r="11">
      <c r="A11" s="9" t="inlineStr">
        <is>
          <t>Income Statement</t>
        </is>
      </c>
      <c r="B11" s="9" t="inlineStr">
        <is>
          <t>Operating Profit</t>
        </is>
      </c>
    </row>
    <row r="12">
      <c r="A12" s="9" t="inlineStr">
        <is>
          <t>Income Statement</t>
        </is>
      </c>
      <c r="B12" s="9" t="inlineStr">
        <is>
          <t>Finance Costs</t>
        </is>
      </c>
    </row>
    <row r="13">
      <c r="A13" s="9" t="inlineStr">
        <is>
          <t>Income Statement</t>
        </is>
      </c>
      <c r="B13" s="9" t="inlineStr">
        <is>
          <t>Profit Before Tax</t>
        </is>
      </c>
    </row>
    <row r="14">
      <c r="A14" s="9" t="inlineStr">
        <is>
          <t>Income Statement</t>
        </is>
      </c>
      <c r="B14" s="9" t="inlineStr">
        <is>
          <t>Income Tax</t>
        </is>
      </c>
    </row>
    <row r="15">
      <c r="A15" s="9" t="inlineStr">
        <is>
          <t>Income Statement</t>
        </is>
      </c>
      <c r="B15" s="9" t="inlineStr">
        <is>
          <t>Profit for the Year</t>
        </is>
      </c>
    </row>
    <row r="16">
      <c r="A16" s="9" t="inlineStr">
        <is>
          <t>Income Statement</t>
        </is>
      </c>
      <c r="B16" s="9" t="inlineStr">
        <is>
          <t>R&amp;D Expenses</t>
        </is>
      </c>
    </row>
    <row r="17">
      <c r="A17" s="9" t="inlineStr">
        <is>
          <t>Income Statement</t>
        </is>
      </c>
      <c r="B17" s="9" t="inlineStr">
        <is>
          <t>Depreciation</t>
        </is>
      </c>
    </row>
    <row r="18">
      <c r="A18" s="9" t="inlineStr">
        <is>
          <t>Income Statement</t>
        </is>
      </c>
      <c r="B18" s="9" t="inlineStr">
        <is>
          <t>Amortisation</t>
        </is>
      </c>
    </row>
    <row r="21">
      <c r="A21" s="5" t="inlineStr">
        <is>
          <t>二、文字量過低的頁面(疑似掃描頁)</t>
        </is>
      </c>
    </row>
    <row r="22">
      <c r="A22" s="2" t="inlineStr">
        <is>
          <t>這些頁面幾乎抓不到文字,通常是掃描件或純圖表,建議人手翻閱或另行 OCR。</t>
        </is>
      </c>
    </row>
    <row r="24">
      <c r="A24" s="6" t="inlineStr">
        <is>
          <t>PDF 頁碼</t>
        </is>
      </c>
      <c r="B24" s="6" t="inlineStr">
        <is>
          <t>狀態</t>
        </is>
      </c>
    </row>
    <row r="25">
      <c r="A25" s="9" t="n">
        <v>7</v>
      </c>
      <c r="B25" s="9" t="inlineStr">
        <is>
          <t>文字量過低 — 可能為掃描頁/圖表頁</t>
        </is>
      </c>
    </row>
    <row r="26">
      <c r="A26" s="9" t="n">
        <v>8</v>
      </c>
      <c r="B26" s="9" t="inlineStr">
        <is>
          <t>文字量過低 — 可能為掃描頁/圖表頁</t>
        </is>
      </c>
    </row>
    <row r="27">
      <c r="A27" s="9" t="n">
        <v>10</v>
      </c>
      <c r="B27" s="9" t="inlineStr">
        <is>
          <t>文字量過低 — 可能為掃描頁/圖表頁</t>
        </is>
      </c>
    </row>
    <row r="28">
      <c r="A28" s="9" t="n">
        <v>11</v>
      </c>
      <c r="B28" s="9" t="inlineStr">
        <is>
          <t>文字量過低 — 可能為掃描頁/圖表頁</t>
        </is>
      </c>
    </row>
    <row r="29">
      <c r="A29" s="9" t="n">
        <v>12</v>
      </c>
      <c r="B29" s="9" t="inlineStr">
        <is>
          <t>文字量過低 — 可能為掃描頁/圖表頁</t>
        </is>
      </c>
    </row>
    <row r="30">
      <c r="A30" s="9" t="n">
        <v>13</v>
      </c>
      <c r="B30" s="9" t="inlineStr">
        <is>
          <t>文字量過低 — 可能為掃描頁/圖表頁</t>
        </is>
      </c>
    </row>
    <row r="31">
      <c r="A31" s="9" t="n">
        <v>14</v>
      </c>
      <c r="B31" s="9" t="inlineStr">
        <is>
          <t>文字量過低 — 可能為掃描頁/圖表頁</t>
        </is>
      </c>
    </row>
    <row r="32">
      <c r="A32" s="9" t="n">
        <v>15</v>
      </c>
      <c r="B32" s="9" t="inlineStr">
        <is>
          <t>文字量過低 — 可能為掃描頁/圖表頁</t>
        </is>
      </c>
    </row>
    <row r="33">
      <c r="A33" s="9" t="n">
        <v>16</v>
      </c>
      <c r="B33" s="9" t="inlineStr">
        <is>
          <t>文字量過低 — 可能為掃描頁/圖表頁</t>
        </is>
      </c>
    </row>
    <row r="34">
      <c r="A34" s="9" t="n">
        <v>20</v>
      </c>
      <c r="B34" s="9"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2026-08-30T14:17:10Z</dcterms:created>
  <dcterms:modified xsi:type="dcterms:W3CDTF">2026-08-30T14:17:10Z</dcterms:modified>
</cp:coreProperties>
</file>
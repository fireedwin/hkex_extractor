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趨勢圖'!$A$5:$A$7</f>
            </numRef>
          </cat>
          <val>
            <numRef>
              <f>'Chart 趨勢圖'!$B$5:$B$7</f>
            </numRef>
          </val>
        </ser>
        <ser>
          <idx val="1"/>
          <order val="1"/>
          <tx>
            <strRef>
              <f>'Chart 趨勢圖'!C4</f>
            </strRef>
          </tx>
          <spPr>
            <a:ln>
              <a:prstDash val="solid"/>
            </a:ln>
          </spPr>
          <cat>
            <numRef>
              <f>'Chart 趨勢圖'!$A$5:$A$7</f>
            </numRef>
          </cat>
          <val>
            <numRef>
              <f>'Chart 趨勢圖'!$C$5:$C$7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08367_SIMPLICITY_HLDG_20260730.pdf</t>
        </is>
      </c>
    </row>
    <row r="5">
      <c r="A5" s="3" t="inlineStr">
        <is>
          <t>產生時間 Generated</t>
        </is>
      </c>
      <c r="B5" s="4" t="inlineStr">
        <is>
          <t>2026-08-30 22:15</t>
        </is>
      </c>
    </row>
    <row r="6">
      <c r="A6" s="4" t="inlineStr"/>
      <c r="B6" s="4" t="inlineStr"/>
    </row>
    <row r="7">
      <c r="A7" s="3" t="inlineStr">
        <is>
          <t>總頁數 Total pages</t>
        </is>
      </c>
      <c r="B7" s="4" t="n">
        <v>117</v>
      </c>
    </row>
    <row r="8">
      <c r="A8" s="3" t="inlineStr">
        <is>
          <t>已擷取字元 Characters extracted</t>
        </is>
      </c>
      <c r="B8" s="4" t="n">
        <v>242882</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7</v>
      </c>
    </row>
    <row r="13">
      <c r="A13" s="3" t="inlineStr">
        <is>
          <t>財務科目擷取筆數 Financial line items</t>
        </is>
      </c>
      <c r="B13" s="4" t="n">
        <v>15</v>
      </c>
    </row>
    <row r="14">
      <c r="A14" s="3" t="inlineStr">
        <is>
          <t>主題段落擷取筆數 Topic extracts</t>
        </is>
      </c>
      <c r="B14" s="4" t="n">
        <v>71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16,279 − 33,589 = -17,310</t>
        </is>
      </c>
    </row>
    <row r="20">
      <c r="A20" s="6" t="inlineStr">
        <is>
          <t>✓ 除稅前溢利 ± 稅項 = 年內溢利</t>
        </is>
      </c>
      <c r="B20" s="4" t="inlineStr">
        <is>
          <t>-31,335 + 796 = -30,539 vs -30,539</t>
        </is>
      </c>
    </row>
    <row r="21">
      <c r="A21" s="6" t="inlineStr">
        <is>
          <t>✓ 三大報表應相鄰</t>
        </is>
      </c>
      <c r="B21" s="4" t="inlineStr">
        <is>
          <t>Income Statement: p.48、Balance Sheet: p.49、Cash Flow: p.52(相距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12</v>
      </c>
      <c r="D5" s="10" t="n">
        <v>12</v>
      </c>
      <c r="E5" s="11" t="inlineStr">
        <is>
          <t>12.00%</t>
        </is>
      </c>
      <c r="F5" s="11" t="inlineStr">
        <is>
          <t>High</t>
        </is>
      </c>
      <c r="G5" s="11" t="inlineStr">
        <is>
          <t>PDF p.85 (印刷頁 84)</t>
        </is>
      </c>
      <c r="H5" s="11" t="inlineStr">
        <is>
          <t>ions used for the cash flow projections of the CGU in 2025 included (i) pre-tax discount rate of 12.00% which was reference to companies with similar industries and (ii) growth rate to extrapolate cash flows beyond the projection period of 2% with refer</t>
        </is>
      </c>
    </row>
    <row r="6">
      <c r="A6" s="8" t="inlineStr">
        <is>
          <t>Discount Rate</t>
        </is>
      </c>
      <c r="B6" s="8" t="inlineStr">
        <is>
          <t>折現率</t>
        </is>
      </c>
      <c r="C6" s="9" t="n">
        <v>17</v>
      </c>
      <c r="D6" s="10" t="n">
        <v>17</v>
      </c>
      <c r="E6" s="11" t="inlineStr">
        <is>
          <t>17%</t>
        </is>
      </c>
      <c r="F6" s="11" t="inlineStr">
        <is>
          <t>High</t>
        </is>
      </c>
      <c r="G6" s="11" t="inlineStr">
        <is>
          <t>PDF p.89 (印刷頁 88)</t>
        </is>
      </c>
      <c r="H6" s="11" t="inlineStr">
        <is>
          <t>ine stand repairing and maintenance services and other related services Pre-tax discount rate 17% 17% Operating margin (2%) 4% Growth rate of sales revenue within the five-year period 2% 2% The discount rate used is pre-tax and reflect specific risks re</t>
        </is>
      </c>
    </row>
    <row r="7">
      <c r="A7" s="8" t="inlineStr">
        <is>
          <t>Discount Rate</t>
        </is>
      </c>
      <c r="B7" s="8" t="inlineStr">
        <is>
          <t>折現率</t>
        </is>
      </c>
      <c r="C7" s="9" t="n">
        <v>2</v>
      </c>
      <c r="D7" s="10" t="n">
        <v>2</v>
      </c>
      <c r="E7" s="11" t="inlineStr">
        <is>
          <t>2%</t>
        </is>
      </c>
      <c r="F7" s="11" t="inlineStr">
        <is>
          <t>Medium</t>
        </is>
      </c>
      <c r="G7" s="11" t="inlineStr">
        <is>
          <t>PDF p.89 (印刷頁 88)</t>
        </is>
      </c>
      <c r="H7" s="11" t="inlineStr">
        <is>
          <t>rgin (2%) 4% Growth rate of sales revenue within the five-year period 2% 2% The discount rate used is pre-tax and reflect specific risks relating to the relevant CGU. The operating margin and growth rate within the five-year period have been based on in</t>
        </is>
      </c>
    </row>
    <row r="8">
      <c r="A8" s="8" t="inlineStr">
        <is>
          <t>Discount Rate</t>
        </is>
      </c>
      <c r="B8" s="8" t="inlineStr">
        <is>
          <t>折現率</t>
        </is>
      </c>
      <c r="C8" s="9" t="n">
        <v>5</v>
      </c>
      <c r="D8" s="10" t="n">
        <v>5</v>
      </c>
      <c r="E8" s="11" t="inlineStr">
        <is>
          <t>5%</t>
        </is>
      </c>
      <c r="F8" s="11" t="inlineStr">
        <is>
          <t>High</t>
        </is>
      </c>
      <c r="G8" s="11" t="inlineStr">
        <is>
          <t>PDF p.99 (印刷頁 98)</t>
        </is>
      </c>
      <c r="H8" s="11" t="inlineStr">
        <is>
          <t>ressed as weighted averages) and sensitivity analysis are as follows: 2026 2025 Discount rate 5% 5% Future salary increases 4% 4% Expected investment return on offsettable MPF accrued benefits 5% 5% The below analysis shows how the defined benefit oblig</t>
        </is>
      </c>
    </row>
    <row r="9">
      <c r="A9" s="8" t="inlineStr">
        <is>
          <t>Discount Rate</t>
        </is>
      </c>
      <c r="B9" s="8" t="inlineStr">
        <is>
          <t>折現率</t>
        </is>
      </c>
      <c r="C9" s="9" t="n">
        <v>3</v>
      </c>
      <c r="D9" s="10" t="n">
        <v>3</v>
      </c>
      <c r="E9" s="11" t="inlineStr">
        <is>
          <t>3%</t>
        </is>
      </c>
      <c r="F9" s="11" t="inlineStr">
        <is>
          <t>Medium</t>
        </is>
      </c>
      <c r="G9" s="11" t="inlineStr">
        <is>
          <t>PDF p.99 (印刷頁 98)</t>
        </is>
      </c>
      <c r="H9" s="11" t="inlineStr">
        <is>
          <t xml:space="preserve">crease in 3% Decrease in 3% 2026 2025 2026 2025 HK$’000 HK$’000 HK$’000 HK$’000 Discount rate (105) (50) 154 179 Future salary increases 13 55 (26) (14) The above sensitivity analysis is based on the assumption that changes in actuarial assumptions are </t>
        </is>
      </c>
    </row>
    <row r="10">
      <c r="A10" s="8" t="inlineStr">
        <is>
          <t>Expected Volatility</t>
        </is>
      </c>
      <c r="B10" s="8" t="inlineStr">
        <is>
          <t>預期波幅</t>
        </is>
      </c>
      <c r="C10" s="9" t="n">
        <v>109</v>
      </c>
      <c r="D10" s="10" t="n">
        <v>109</v>
      </c>
      <c r="E10" s="11" t="inlineStr">
        <is>
          <t>109%</t>
        </is>
      </c>
      <c r="F10" s="11" t="inlineStr">
        <is>
          <t>High</t>
        </is>
      </c>
      <c r="G10" s="11" t="inlineStr">
        <is>
          <t>PDF p.101 (印刷頁 100)</t>
        </is>
      </c>
      <c r="H10" s="11" t="inlineStr">
        <is>
          <t xml:space="preserve"> HK$0.14 Adjusted (Original) exercise price HK$2.20 HK$2.80 (HK$0.11) (HK$0.14) Expected volatility (note) 109% 106% Expected life 10 years 10 years Risk-free rate 3.97% 3.48% Expected dividend yield 0% 0% Note: The expected volatility was determined with ref</t>
        </is>
      </c>
    </row>
    <row r="11">
      <c r="A11" s="8" t="inlineStr">
        <is>
          <t>Risk-free Rate</t>
        </is>
      </c>
      <c r="B11" s="8" t="inlineStr">
        <is>
          <t>無風險利率</t>
        </is>
      </c>
      <c r="C11" s="9" t="n">
        <v>3.97</v>
      </c>
      <c r="D11" s="10" t="n">
        <v>3.97</v>
      </c>
      <c r="E11" s="11" t="inlineStr">
        <is>
          <t>3.97%</t>
        </is>
      </c>
      <c r="F11" s="11" t="inlineStr">
        <is>
          <t>High</t>
        </is>
      </c>
      <c r="G11" s="11" t="inlineStr">
        <is>
          <t>PDF p.101 (印刷頁 100)</t>
        </is>
      </c>
      <c r="H11" s="11" t="inlineStr">
        <is>
          <t xml:space="preserve"> (HK$0.14) Expected volatility (note) 109% 106% Expected life 10 years 10 years Risk-free rate 3.97% 3.48% Expected dividend yield 0% 0% Note: The expected volatility was determined with reference to the historical volatility of share prices of the Compa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71310</v>
      </c>
      <c r="D5" s="13" t="n">
        <v>97763</v>
      </c>
      <c r="E5" s="14">
        <f>IF(ISERROR((C5-D5)/ABS(D5)),"",(C5-D5)/ABS(D5))</f>
        <v>-0.27058294037621594</v>
      </c>
      <c r="F5" s="11" t="inlineStr">
        <is>
          <t>PDF p.48 (印刷頁 47)</t>
        </is>
      </c>
      <c r="G5" s="11" t="inlineStr">
        <is>
          <t>Revenue 6 71,310 97,763</t>
        </is>
      </c>
    </row>
    <row r="6">
      <c r="A6" s="8" t="inlineStr">
        <is>
          <t>Income Statement</t>
        </is>
      </c>
      <c r="B6" s="8" t="inlineStr">
        <is>
          <t>Depreciation</t>
        </is>
      </c>
      <c r="C6" s="12" t="n">
        <v>-10727</v>
      </c>
      <c r="D6" s="13" t="n">
        <v>-10626</v>
      </c>
      <c r="E6" s="14">
        <f>IF(ISERROR((C6-D6)/ABS(D6)),"",(C6-D6)/ABS(D6))</f>
        <v>-0.009504987765857332</v>
      </c>
      <c r="F6" s="11" t="inlineStr">
        <is>
          <t>PDF p.48 (印刷頁 47)</t>
        </is>
      </c>
      <c r="G6" s="11" t="inlineStr">
        <is>
          <t>Depreciation and amortisation expense (10,727) (10,626)</t>
        </is>
      </c>
    </row>
    <row r="7">
      <c r="A7" s="8" t="inlineStr">
        <is>
          <t>Income Statement</t>
        </is>
      </c>
      <c r="B7" s="8" t="inlineStr">
        <is>
          <t>Finance Costs</t>
        </is>
      </c>
      <c r="C7" s="12" t="n">
        <v>-484</v>
      </c>
      <c r="D7" s="13" t="n">
        <v>-925</v>
      </c>
      <c r="E7" s="14">
        <f>IF(ISERROR((C7-D7)/ABS(D7)),"",(C7-D7)/ABS(D7))</f>
        <v>0.47675675675675677</v>
      </c>
      <c r="F7" s="11" t="inlineStr">
        <is>
          <t>PDF p.48 (印刷頁 47)</t>
        </is>
      </c>
      <c r="G7" s="11" t="inlineStr">
        <is>
          <t>Finance costs 8 (484) (925)</t>
        </is>
      </c>
    </row>
    <row r="8">
      <c r="A8" s="8" t="inlineStr">
        <is>
          <t>Income Statement</t>
        </is>
      </c>
      <c r="B8" s="8" t="inlineStr">
        <is>
          <t>Profit Before Tax</t>
        </is>
      </c>
      <c r="C8" s="12" t="n">
        <v>-31335</v>
      </c>
      <c r="D8" s="13" t="n">
        <v>-20912</v>
      </c>
      <c r="E8" s="14">
        <f>IF(ISERROR((C8-D8)/ABS(D8)),"",(C8-D8)/ABS(D8))</f>
        <v>-0.4984219586840092</v>
      </c>
      <c r="F8" s="11" t="inlineStr">
        <is>
          <t>PDF p.48 (印刷頁 47)</t>
        </is>
      </c>
      <c r="G8" s="11" t="inlineStr">
        <is>
          <t>Loss before tax 9 (31,335) (20,912)</t>
        </is>
      </c>
    </row>
    <row r="9">
      <c r="A9" s="8" t="inlineStr">
        <is>
          <t>Income Statement</t>
        </is>
      </c>
      <c r="B9" s="8" t="inlineStr">
        <is>
          <t>Income Tax</t>
        </is>
      </c>
      <c r="C9" s="12" t="n">
        <v>796</v>
      </c>
      <c r="D9" s="13" t="n">
        <v>59</v>
      </c>
      <c r="E9" s="14">
        <f>IF(ISERROR((C9-D9)/ABS(D9)),"",(C9-D9)/ABS(D9))</f>
        <v>12.491525423728813</v>
      </c>
      <c r="F9" s="11" t="inlineStr">
        <is>
          <t>PDF p.48 (印刷頁 47)</t>
        </is>
      </c>
      <c r="G9" s="11" t="inlineStr">
        <is>
          <t>Income tax credit 10 796 59</t>
        </is>
      </c>
    </row>
    <row r="10">
      <c r="A10" s="8" t="inlineStr">
        <is>
          <t>Income Statement</t>
        </is>
      </c>
      <c r="B10" s="8" t="inlineStr">
        <is>
          <t>Profit for the Year</t>
        </is>
      </c>
      <c r="C10" s="12" t="n">
        <v>-30539</v>
      </c>
      <c r="D10" s="13" t="n">
        <v>-20853</v>
      </c>
      <c r="E10" s="14">
        <f>IF(ISERROR((C10-D10)/ABS(D10)),"",(C10-D10)/ABS(D10))</f>
        <v>-0.4644895218913346</v>
      </c>
      <c r="F10" s="11" t="inlineStr">
        <is>
          <t>PDF p.48 (印刷頁 47)</t>
        </is>
      </c>
      <c r="G10" s="11" t="inlineStr">
        <is>
          <t>Loss for the year (30,539) (20,853)</t>
        </is>
      </c>
    </row>
    <row r="11">
      <c r="A11" s="8" t="inlineStr">
        <is>
          <t>Balance Sheet</t>
        </is>
      </c>
      <c r="B11" s="8" t="inlineStr">
        <is>
          <t>Property Plant and Equipment</t>
        </is>
      </c>
      <c r="C11" s="12" t="n">
        <v>6602</v>
      </c>
      <c r="D11" s="13" t="n">
        <v>12218</v>
      </c>
      <c r="E11" s="14">
        <f>IF(ISERROR((C11-D11)/ABS(D11)),"",(C11-D11)/ABS(D11))</f>
        <v>-0.4596496971681126</v>
      </c>
      <c r="F11" s="11" t="inlineStr">
        <is>
          <t>PDF p.49 (印刷頁 48)</t>
        </is>
      </c>
      <c r="G11" s="11" t="inlineStr">
        <is>
          <t>Property, plant and equipment 15 6,602 12,218</t>
        </is>
      </c>
    </row>
    <row r="12">
      <c r="A12" s="8" t="inlineStr">
        <is>
          <t>Balance Sheet</t>
        </is>
      </c>
      <c r="B12" s="8" t="inlineStr">
        <is>
          <t>Goodwill</t>
        </is>
      </c>
      <c r="C12" s="12" t="n">
        <v>0</v>
      </c>
      <c r="D12" s="13" t="n">
        <v>11722</v>
      </c>
      <c r="E12" s="14">
        <f>IF(ISERROR((C12-D12)/ABS(D12)),"",(C12-D12)/ABS(D12))</f>
        <v>-1.0</v>
      </c>
      <c r="F12" s="11" t="inlineStr">
        <is>
          <t>PDF p.49 (印刷頁 48)</t>
        </is>
      </c>
      <c r="G12" s="11" t="inlineStr">
        <is>
          <t>Goodwill 17 — 11,722</t>
        </is>
      </c>
    </row>
    <row r="13">
      <c r="A13" s="8" t="inlineStr">
        <is>
          <t>Balance Sheet</t>
        </is>
      </c>
      <c r="B13" s="8" t="inlineStr">
        <is>
          <t>Inventories</t>
        </is>
      </c>
      <c r="C13" s="12" t="n">
        <v>1743</v>
      </c>
      <c r="D13" s="13" t="n">
        <v>2035</v>
      </c>
      <c r="E13" s="14">
        <f>IF(ISERROR((C13-D13)/ABS(D13)),"",(C13-D13)/ABS(D13))</f>
        <v>-0.14348894348894348</v>
      </c>
      <c r="F13" s="11" t="inlineStr">
        <is>
          <t>PDF p.49 (印刷頁 48)</t>
        </is>
      </c>
      <c r="G13" s="11" t="inlineStr">
        <is>
          <t>Inventories 19 1,743 2,035</t>
        </is>
      </c>
    </row>
    <row r="14">
      <c r="A14" s="8" t="inlineStr">
        <is>
          <t>Balance Sheet</t>
        </is>
      </c>
      <c r="B14" s="8" t="inlineStr">
        <is>
          <t>Trade Receivables</t>
        </is>
      </c>
      <c r="C14" s="12" t="n">
        <v>10305</v>
      </c>
      <c r="D14" s="13" t="n">
        <v>24002</v>
      </c>
      <c r="E14" s="14">
        <f>IF(ISERROR((C14-D14)/ABS(D14)),"",(C14-D14)/ABS(D14))</f>
        <v>-0.5706607782684776</v>
      </c>
      <c r="F14" s="11" t="inlineStr">
        <is>
          <t>PDF p.49 (印刷頁 48)</t>
        </is>
      </c>
      <c r="G14" s="11" t="inlineStr">
        <is>
          <t>Trade and other receivables, deposits and prepayments 20 10,305 24,002</t>
        </is>
      </c>
    </row>
    <row r="15">
      <c r="A15" s="8" t="inlineStr">
        <is>
          <t>Balance Sheet</t>
        </is>
      </c>
      <c r="B15" s="8" t="inlineStr">
        <is>
          <t>Total Current Assets</t>
        </is>
      </c>
      <c r="C15" s="12" t="n">
        <v>16279</v>
      </c>
      <c r="D15" s="13" t="n">
        <v>33940</v>
      </c>
      <c r="E15" s="14">
        <f>IF(ISERROR((C15-D15)/ABS(D15)),"",(C15-D15)/ABS(D15))</f>
        <v>-0.5203594578668238</v>
      </c>
      <c r="F15" s="11" t="inlineStr">
        <is>
          <t>PDF p.49 (印刷頁 48)</t>
        </is>
      </c>
      <c r="G15" s="11" t="inlineStr">
        <is>
          <t>Total current assets 16,279 33,940</t>
        </is>
      </c>
    </row>
    <row r="16">
      <c r="A16" s="8" t="inlineStr">
        <is>
          <t>Balance Sheet</t>
        </is>
      </c>
      <c r="B16" s="8" t="inlineStr">
        <is>
          <t>Total Current Liabilities</t>
        </is>
      </c>
      <c r="C16" s="12" t="n">
        <v>33589</v>
      </c>
      <c r="D16" s="13" t="n">
        <v>46408</v>
      </c>
      <c r="E16" s="14">
        <f>IF(ISERROR((C16-D16)/ABS(D16)),"",(C16-D16)/ABS(D16))</f>
        <v>-0.2762239269091536</v>
      </c>
      <c r="F16" s="11" t="inlineStr">
        <is>
          <t>PDF p.49 (印刷頁 48)</t>
        </is>
      </c>
      <c r="G16" s="11" t="inlineStr">
        <is>
          <t>Total current liabilities 33,589 46,408</t>
        </is>
      </c>
    </row>
    <row r="17">
      <c r="A17" s="8" t="inlineStr">
        <is>
          <t>Cash Flow</t>
        </is>
      </c>
      <c r="B17" s="8" t="inlineStr">
        <is>
          <t>Operating Cash Flow</t>
        </is>
      </c>
      <c r="C17" s="12" t="n">
        <v>1338</v>
      </c>
      <c r="D17" s="13" t="n">
        <v>12681</v>
      </c>
      <c r="E17" s="14">
        <f>IF(ISERROR((C17-D17)/ABS(D17)),"",(C17-D17)/ABS(D17))</f>
        <v>-0.8944878164182636</v>
      </c>
      <c r="F17" s="11" t="inlineStr">
        <is>
          <t>PDF p.52 (印刷頁 51)</t>
        </is>
      </c>
      <c r="G17" s="11" t="inlineStr">
        <is>
          <t>NET CASH GENERATED FROM OPERATING ACTIVITIES 1,338 12,681</t>
        </is>
      </c>
    </row>
    <row r="18">
      <c r="A18" s="8" t="inlineStr">
        <is>
          <t>Cash Flow</t>
        </is>
      </c>
      <c r="B18" s="8" t="inlineStr">
        <is>
          <t>Capital Expenditure</t>
        </is>
      </c>
      <c r="C18" s="12" t="n">
        <v>-2595</v>
      </c>
      <c r="D18" s="13" t="n">
        <v>-11754</v>
      </c>
      <c r="E18" s="14">
        <f>IF(ISERROR((C18-D18)/ABS(D18)),"",(C18-D18)/ABS(D18))</f>
        <v>0.7792240939254722</v>
      </c>
      <c r="F18" s="11" t="inlineStr">
        <is>
          <t>PDF p.53 (印刷頁 52)</t>
        </is>
      </c>
      <c r="G18" s="11" t="inlineStr">
        <is>
          <t>Purchase of property, plant and equipment (2,595) (11,754)</t>
        </is>
      </c>
    </row>
    <row r="19">
      <c r="A19" s="8" t="inlineStr">
        <is>
          <t>Cash Flow</t>
        </is>
      </c>
      <c r="B19" s="8" t="inlineStr">
        <is>
          <t>Financing Cash Flow</t>
        </is>
      </c>
      <c r="C19" s="12" t="n">
        <v>-8092</v>
      </c>
      <c r="D19" s="13" t="n">
        <v>-3598</v>
      </c>
      <c r="E19" s="14">
        <f>IF(ISERROR((C19-D19)/ABS(D19)),"",(C19-D19)/ABS(D19))</f>
        <v>-1.2490272373540856</v>
      </c>
      <c r="F19" s="11" t="inlineStr">
        <is>
          <t>PDF p.53 (印刷頁 52)</t>
        </is>
      </c>
      <c r="G19" s="11" t="inlineStr">
        <is>
          <t>NET CASH USED IN FINANCING ACTIVITIES (8,092) (3,598)</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n/a</v>
      </c>
      <c r="C5" s="15" t="str">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n/a</v>
      </c>
      <c r="D5" s="2" t="inlineStr">
        <is>
          <t>毛利 ÷ 收入</t>
        </is>
      </c>
    </row>
    <row r="6">
      <c r="A6" s="4" t="inlineStr">
        <is>
          <t>Net Margin 淨利率</t>
        </is>
      </c>
      <c r="B6" s="15">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-0.42825690646473147</v>
      </c>
      <c r="C6" s="15">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-0.21330155580332028</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0.4846527136860282</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0.7313394242372004</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t="str">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n/a</v>
      </c>
      <c r="C11" s="15" t="str">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97763</v>
      </c>
      <c r="C5" s="18" t="n">
        <v>71310</v>
      </c>
    </row>
    <row r="6">
      <c r="A6" s="4" t="inlineStr">
        <is>
          <t>Profit Before Tax</t>
        </is>
      </c>
      <c r="B6" s="18" t="n">
        <v>-20912</v>
      </c>
      <c r="C6" s="18" t="n">
        <v>-31335</v>
      </c>
    </row>
    <row r="7">
      <c r="A7" s="4" t="inlineStr">
        <is>
          <t>Profit for the Year</t>
        </is>
      </c>
      <c r="B7" s="18" t="n">
        <v>-20853</v>
      </c>
      <c r="C7" s="18" t="n">
        <v>-30539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p.44 (印刷頁 43)</t>
        </is>
      </c>
      <c r="F4" s="11" t="inlineStr">
        <is>
          <t>ly. This assessment was based on the • conducting in-depth discussions with value-in-use calculations of the CGU. management and the independent valuer about the cash flow projections used in the We have identified impairment assessment value-in-use calculations and assessing of customer relationship intangible asset and the appropriateness of the significant goodwill as a key audit matter because of (i) assumptions and critical judgement areas their significance to the consolidated financial which affect the value-in-use calcu</t>
        </is>
      </c>
    </row>
    <row r="5">
      <c r="A5" s="8" t="inlineStr">
        <is>
          <t>Fair Value Measurement</t>
        </is>
      </c>
      <c r="B5" s="8" t="inlineStr">
        <is>
          <t>公允價值計量</t>
        </is>
      </c>
      <c r="C5" s="19" t="inlineStr">
        <is>
          <t>high</t>
        </is>
      </c>
      <c r="D5" s="11" t="inlineStr">
        <is>
          <t>valuation technique</t>
        </is>
      </c>
      <c r="E5" s="11" t="inlineStr">
        <is>
          <t>PDF p.57 (印刷頁 56)</t>
        </is>
      </c>
      <c r="F5" s="11" t="inlineStr">
        <is>
          <t>ween market participants at the measurement date, regardless of whether that price is directly observable or estimated using another valuation technique. 56 SIMPLICITY HOLDING LIMITED</t>
        </is>
      </c>
    </row>
    <row r="6">
      <c r="A6" s="8" t="inlineStr">
        <is>
          <t>Fair Value Measurement</t>
        </is>
      </c>
      <c r="B6" s="8" t="inlineStr">
        <is>
          <t>公允價值計量</t>
        </is>
      </c>
      <c r="C6" s="19" t="inlineStr">
        <is>
          <t>high</t>
        </is>
      </c>
      <c r="D6" s="11" t="inlineStr">
        <is>
          <t>independent valuer</t>
        </is>
      </c>
      <c r="E6" s="11" t="inlineStr">
        <is>
          <t>PDF p.88 (印刷頁 87)</t>
        </is>
      </c>
      <c r="F6" s="11" t="inlineStr">
        <is>
          <t>nd business plan. The recoverable amount is estimated by the management of the Group with reference to valuation reports provided by independent valuers, B.I. Appraisals Limited (2025: B.I. Appraisals Limited), who holds recognised and relevant professional qualifications. As at 31 March 2026, the carrying amount of the CGU before recognition of impairment loss for the year was HK$24,285,000 and the recoverable amount of the CGU was HK$8,500,000 which was determined based on value-in-use calculations prepared by the valuer. The</t>
        </is>
      </c>
    </row>
    <row r="7">
      <c r="A7" s="8" t="inlineStr">
        <is>
          <t>Fair Value Measurement</t>
        </is>
      </c>
      <c r="B7" s="8" t="inlineStr">
        <is>
          <t>公允價值計量</t>
        </is>
      </c>
      <c r="C7" s="19" t="inlineStr">
        <is>
          <t>high</t>
        </is>
      </c>
      <c r="D7" s="11" t="inlineStr">
        <is>
          <t>fair value hierarchy</t>
        </is>
      </c>
      <c r="E7" s="11" t="inlineStr">
        <is>
          <t>PDF p.111 (印刷頁 110)</t>
        </is>
      </c>
      <c r="F7" s="11" t="inlineStr">
        <is>
          <t>S TO THE CONSOLIDATED FINANCIAL STATEMENTS FOR THE YEAR ENDED 31 MARCH 2026 33. FINANCIAL INSTRUMENTS (Continued) (c) Fair value and fair value hierarchy The directors of the Company consider that the carrying amounts of financial assets and financial liabilities recorded at amortised cost in the consolidated statement of financial position of the Group approximate their fair values. The following table provides an analysis of financial instruments that are measured subsequent to initial recognition at fair value, grouped into</t>
        </is>
      </c>
    </row>
    <row r="8">
      <c r="A8" s="8" t="inlineStr">
        <is>
          <t>Impairment Testing</t>
        </is>
      </c>
      <c r="B8" s="8" t="inlineStr">
        <is>
          <t>減值測試</t>
        </is>
      </c>
      <c r="C8" s="19" t="inlineStr">
        <is>
          <t>high</t>
        </is>
      </c>
      <c r="D8" s="11" t="inlineStr">
        <is>
          <t>impairment loss</t>
        </is>
      </c>
      <c r="E8" s="11" t="inlineStr">
        <is>
          <t>PDF p.12 (印刷頁 11)</t>
        </is>
      </c>
      <c r="F8" s="11" t="inlineStr">
        <is>
          <t>pproximately HK$0.62 million and HK$1.22 million, respectively and was mainly due to the reduction of turnover of catering business. Impairment loss of goodwill For the year ended 31 March 2026, the Group recorded impairment loss on goodwill of HK$11.72 million (2025: HK$9.00 million). Such increase was mainly due to the recoverable amount is lower than the carrying amount. Impairment loss on intangible assets For the year ended 31 March 2026, the Group recorded impairment loss on intangible assets of HK$4.06 million. Such incr</t>
        </is>
      </c>
    </row>
    <row r="9">
      <c r="A9" s="8" t="inlineStr">
        <is>
          <t>Impairment Testing</t>
        </is>
      </c>
      <c r="B9" s="8" t="inlineStr">
        <is>
          <t>減值測試</t>
        </is>
      </c>
      <c r="C9" s="19" t="inlineStr">
        <is>
          <t>high</t>
        </is>
      </c>
      <c r="D9" s="11" t="inlineStr">
        <is>
          <t>recoverable amount</t>
        </is>
      </c>
      <c r="E9" s="11" t="inlineStr">
        <is>
          <t>PDF p.43 (印刷頁 42)</t>
        </is>
      </c>
      <c r="F9" s="11" t="inlineStr">
        <is>
          <t>allocated to the respective cash-generating units (“CGUs”), and management has assessed • assessing the valuation methodologies the recoverable amount of these assets based on applied in the estimation of recoverable recoverable amounts of the CGUs. Recoverable amounts of the CGUs; amount is the higher of value in use and fair value less costs of disposal of the CGUs. In carrying • a s s e s s i n g t h e a p p r o p r i a t e n e s s a n d out the impairment assessment, significant reasonableness of key assumptions, inputs an</t>
        </is>
      </c>
    </row>
    <row r="10">
      <c r="A10" s="8" t="inlineStr">
        <is>
          <t>Impairment Testing</t>
        </is>
      </c>
      <c r="B10" s="8" t="inlineStr">
        <is>
          <t>減值測試</t>
        </is>
      </c>
      <c r="C10" s="19" t="inlineStr">
        <is>
          <t>high</t>
        </is>
      </c>
      <c r="D10" s="11" t="inlineStr">
        <is>
          <t>impairment test</t>
        </is>
      </c>
      <c r="E10" s="11" t="inlineStr">
        <is>
          <t>PDF p.44 (印刷頁 43)</t>
        </is>
      </c>
      <c r="F10" s="11" t="inlineStr">
        <is>
          <t>enance services and other assets and goodwill; related services. • considering and assessing the historical Management has performed impairment test on the accuracy of management’s budgeting intangible assets and goodwill in accordance with processes; the Group’s accounting policies. During the year ended 31 March 2026, impairment loss on goodwill • e v a l u a t i n g t h e i n d e p e n d e n t v a l u e r ’ s and intangible assets of approximately HK$11.7 competence, capabilities and objectivity; million and HK$4.1 million w</t>
        </is>
      </c>
    </row>
    <row r="11">
      <c r="A11" s="8" t="inlineStr">
        <is>
          <t>Impairment Testing</t>
        </is>
      </c>
      <c r="B11" s="8" t="inlineStr">
        <is>
          <t>減值測試</t>
        </is>
      </c>
      <c r="C11" s="19" t="inlineStr">
        <is>
          <t>high</t>
        </is>
      </c>
      <c r="D11" s="11" t="inlineStr">
        <is>
          <t>impairment loss</t>
        </is>
      </c>
      <c r="E11" s="11" t="inlineStr">
        <is>
          <t>PDF p.48 (印刷頁 47)</t>
        </is>
      </c>
      <c r="F11" s="11" t="inlineStr">
        <is>
          <t>) Depreciation and amortisation expense (10,727) (10,626) Rental and related expenses (732) (1,107) Utilities expenses (617) (1,217) Impairment loss on goodwill (11,722) (9,000) Impairment loss on intangible assets (4,063) — Impairment loss under expected credit loss model for trade receivables, net of reversal (930) (467) Other expenses (36,439) (24,992) Finance costs 8 (484) (925) Loss before tax 9 (31,335) (20,912) Income tax credit 10 796 59 Loss for the year (30,539) (20,853) Other comprehensive expense Item that will be r</t>
        </is>
      </c>
    </row>
    <row r="12">
      <c r="A12" s="8" t="inlineStr">
        <is>
          <t>Impairment Testing</t>
        </is>
      </c>
      <c r="B12" s="8" t="inlineStr">
        <is>
          <t>減值測試</t>
        </is>
      </c>
      <c r="C12" s="19" t="inlineStr">
        <is>
          <t>high</t>
        </is>
      </c>
      <c r="D12" s="11" t="inlineStr">
        <is>
          <t>recoverable amount</t>
        </is>
      </c>
      <c r="E12" s="11" t="inlineStr">
        <is>
          <t>PDF p.56 (印刷頁 55)</t>
        </is>
      </c>
      <c r="F12" s="11" t="inlineStr">
        <is>
          <t>liabilities in the normal course of business. Adjustments would have to be made to write down the carrying value of assets to their recoverable amounts, to provide for any future liabilities which might arise and to reclassify non-current assets and liabilities as current assets and liabilities respectively. The effects of these adjustments have not been reflected in the consolidated financial statements. 55 2026 ANNUAL REPORT</t>
        </is>
      </c>
    </row>
    <row r="13">
      <c r="A13" s="8" t="inlineStr">
        <is>
          <t>Impairment Testing</t>
        </is>
      </c>
      <c r="B13" s="8" t="inlineStr">
        <is>
          <t>減值測試</t>
        </is>
      </c>
      <c r="C13" s="19" t="inlineStr">
        <is>
          <t>high</t>
        </is>
      </c>
      <c r="D13" s="11" t="inlineStr">
        <is>
          <t>impairment test</t>
        </is>
      </c>
      <c r="E13" s="11" t="inlineStr">
        <is>
          <t>PDF p.58 (印刷頁 57)</t>
        </is>
      </c>
      <c r="F13" s="11" t="inlineStr">
        <is>
          <t>the basis of dividend received and receivable. (d) Goodwill Goodwill is measured at cost less impairment losses. For the purpose of impairment testing, goodwill arising from an acquisition is allocated to each of the relevant cash-generating units that are expected to benefit from the synergies of the acquisition. For goodwill arising on an acquisition in a financial year, the cash-generating unit to which goodwill has been allocated is tested for impairment before the end of that financial year. When the recoverable amount of</t>
        </is>
      </c>
    </row>
    <row r="14">
      <c r="A14" s="8" t="inlineStr">
        <is>
          <t>Impairment Testing</t>
        </is>
      </c>
      <c r="B14" s="8" t="inlineStr">
        <is>
          <t>減值測試</t>
        </is>
      </c>
      <c r="C14" s="19" t="inlineStr">
        <is>
          <t>high</t>
        </is>
      </c>
      <c r="D14" s="11" t="inlineStr">
        <is>
          <t>impairment loss</t>
        </is>
      </c>
      <c r="E14" s="11" t="inlineStr">
        <is>
          <t>PDF p.59 (印刷頁 58)</t>
        </is>
      </c>
      <c r="F14" s="11" t="inlineStr">
        <is>
          <t>uisition. Subsequently, intangible assets with finite useful lives are carried at cost less accumulated amortisation and accumulated impairment losses. The amortisation expense is recognised in profit or loss. Amortisation is provided on a straight-line basis over their useful lives as follows. Customer relationship 5 years (ii) Impairment Intangible assets with finite lives are tested for impairment when there is an indication that an asset may be impaired. If the recoverable amount of an asset is estimated to be less than its</t>
        </is>
      </c>
    </row>
    <row r="15">
      <c r="A15" s="8" t="inlineStr">
        <is>
          <t>Impairment Testing</t>
        </is>
      </c>
      <c r="B15" s="8" t="inlineStr">
        <is>
          <t>減值測試</t>
        </is>
      </c>
      <c r="C15" s="19" t="inlineStr">
        <is>
          <t>high</t>
        </is>
      </c>
      <c r="D15" s="11" t="inlineStr">
        <is>
          <t>impairment loss</t>
        </is>
      </c>
      <c r="E15" s="11" t="inlineStr">
        <is>
          <t>PDF p.61 (印刷頁 60)</t>
        </is>
      </c>
      <c r="F15" s="11" t="inlineStr">
        <is>
          <t>TS FOR THE YEAR ENDED 31 MARCH 2026 4. MATERIAL ACCOUNTING POLICY INFORMATION (Continued) (h) Financial instruments (Continued) (ii) Impairment loss on financial assets The Group recognises loss allowances for ECL on trade receivables and financial assets measured at amortised cost. The ECLs are measured on either of the following bases: (1) 12 months ECLs: these are the ECLs that result from possible default events within the 12 months after the reporting date: and (2) lifetime ECLs: these are ECLs that result from all possibl</t>
        </is>
      </c>
    </row>
    <row r="16">
      <c r="A16" s="8" t="inlineStr">
        <is>
          <t>Impairment Testing</t>
        </is>
      </c>
      <c r="B16" s="8" t="inlineStr">
        <is>
          <t>減值測試</t>
        </is>
      </c>
      <c r="C16" s="19" t="inlineStr">
        <is>
          <t>high</t>
        </is>
      </c>
      <c r="D16" s="11" t="inlineStr">
        <is>
          <t>impairment loss</t>
        </is>
      </c>
      <c r="E16" s="11" t="inlineStr">
        <is>
          <t>PDF p.67 (印刷頁 66)</t>
        </is>
      </c>
      <c r="F16" s="11" t="inlineStr">
        <is>
          <t>reviews the carrying amounts of the following assets to determine whether there is any indication that those assets have suffered an impairment loss or an impairment loss previously recognised no longer exists or may have decreased: • property, plant and equipment; • right-of-use assets; • goodwill; • intangible asset; and • investments in subsidiaries. If the recoverable amount (i.e. the greater of the fair value less costs of disposal and value in use) of an asset is estimated to be less than its carrying amount, the carrying</t>
        </is>
      </c>
    </row>
    <row r="17">
      <c r="A17" s="8" t="inlineStr">
        <is>
          <t>Impairment Testing</t>
        </is>
      </c>
      <c r="B17" s="8" t="inlineStr">
        <is>
          <t>減值測試</t>
        </is>
      </c>
      <c r="C17" s="19" t="inlineStr">
        <is>
          <t>high</t>
        </is>
      </c>
      <c r="D17" s="11" t="inlineStr">
        <is>
          <t>impairment test</t>
        </is>
      </c>
      <c r="E17" s="11" t="inlineStr">
        <is>
          <t>PDF p.69 (印刷頁 68)</t>
        </is>
      </c>
      <c r="F17" s="11" t="inlineStr">
        <is>
          <t>lete or non-strategic assets that have been abandoned. Actual economic useful lives may differ from estimated economic useful lives. Impairment testing of property, plant and equipment, right-of-use assets and intangible assets The Group determines whether property, plant and equipment, right-of-use assets and intangible assets are impaired when there are indicators that the carrying amounts may not be recoverable. An impairment exists when the carrying values of these assets exceed their recoverable amounts, which is the highe</t>
        </is>
      </c>
    </row>
    <row r="18">
      <c r="A18" s="8" t="inlineStr">
        <is>
          <t>Impairment Testing</t>
        </is>
      </c>
      <c r="B18" s="8" t="inlineStr">
        <is>
          <t>減值測試</t>
        </is>
      </c>
      <c r="C18" s="19" t="inlineStr">
        <is>
          <t>high</t>
        </is>
      </c>
      <c r="D18" s="11" t="inlineStr">
        <is>
          <t>impairment loss</t>
        </is>
      </c>
      <c r="E18" s="11" t="inlineStr">
        <is>
          <t>PDF p.76 (印刷頁 75)</t>
        </is>
      </c>
      <c r="F18" s="11" t="inlineStr">
        <is>
          <t>iation: – owned property, plant and equipment — 101 — — 2,207 — — 2,308 – leased right-of-use assets 181 1,536 — 225 4,357 — — 6,299 Impairment losses on trade receivables, net — — — — 930 — — 930 Amortisation of intangible assets — — — — 2,120 — — 2,120 Amounts regularly provided to the CODM but not included in the measure of segment profit or loss: Impairment of goodwill — — — — 11,722 — — 11,722 Impairment of intangible assets — — — — 4,063 — — 4,063 Year ended 31 March 2025 Aircraft’s engine stand repairing and Food mainten</t>
        </is>
      </c>
    </row>
    <row r="19">
      <c r="A19" s="8" t="inlineStr">
        <is>
          <t>Impairment Testing</t>
        </is>
      </c>
      <c r="B19" s="8" t="inlineStr">
        <is>
          <t>減值測試</t>
        </is>
      </c>
      <c r="C19" s="19" t="inlineStr">
        <is>
          <t>high</t>
        </is>
      </c>
      <c r="D19" s="11" t="inlineStr">
        <is>
          <t>recoverable amount</t>
        </is>
      </c>
      <c r="E19" s="11" t="inlineStr">
        <is>
          <t>PDF p.84 (印刷頁 83)</t>
        </is>
      </c>
      <c r="F19" s="11" t="inlineStr">
        <is>
          <t>. The decline in these restaurants’ performance was due to the economic recession of the restaurant business. The Group assessed the recoverable amounts of these restaurants, each of which represented a cash-generating unit (“CGU”). 83 2026 ANNUAL REPORT</t>
        </is>
      </c>
    </row>
    <row r="20">
      <c r="A20" s="8" t="inlineStr">
        <is>
          <t>Impairment Testing</t>
        </is>
      </c>
      <c r="B20" s="8" t="inlineStr">
        <is>
          <t>減值測試</t>
        </is>
      </c>
      <c r="C20" s="19" t="inlineStr">
        <is>
          <t>high</t>
        </is>
      </c>
      <c r="D20" s="11" t="inlineStr">
        <is>
          <t>impairment loss</t>
        </is>
      </c>
      <c r="E20" s="11" t="inlineStr">
        <is>
          <t>PDF p.85 (印刷頁 84)</t>
        </is>
      </c>
      <c r="F20" s="11" t="inlineStr">
        <is>
          <t>,474,000 in aggregate. Since there was a shortfall between the carrying amounts of the CGU and its recoverable amount by HK$653,000, impairment loss of approximately HK$67,000 and HK$586,000 was recognised in the consolidated statement of profit or loss and other comprehensive income to write down the carrying amounts as at 31 March 2025 of property, plant and equipment and right-of-use assets, respectively, belonging to the CGU of Thai cuisine restaurants segment. No impairment was provided for the year ended 31 March 2026 sin</t>
        </is>
      </c>
    </row>
    <row r="21">
      <c r="A21" s="8" t="inlineStr">
        <is>
          <t>Impairment Testing</t>
        </is>
      </c>
      <c r="B21" s="8" t="inlineStr">
        <is>
          <t>減值測試</t>
        </is>
      </c>
      <c r="C21" s="19" t="inlineStr">
        <is>
          <t>high</t>
        </is>
      </c>
      <c r="D21" s="11" t="inlineStr">
        <is>
          <t>impairment loss</t>
        </is>
      </c>
      <c r="E21" s="11" t="inlineStr">
        <is>
          <t>PDF p.87 (印刷頁 86)</t>
        </is>
      </c>
      <c r="F21" s="11" t="inlineStr">
        <is>
          <t>mounts of the right-of-use assets allocated to the respective CGUs for certain restaurants, as disclosed in note 15. As a result, an impairment loss of approximately HK$Nil (2025: HK$586,000) was recognised in the consolidated statement of profit or loss and other comprehensive income for the year ended 31 March 2026. The recoverable amounts of the CGUs related to these restaurants have been determined based on value-in-use calculations, which use cash flow projections based on the most recent financial forecasts approved by th</t>
        </is>
      </c>
    </row>
    <row r="22">
      <c r="A22" s="8" t="inlineStr">
        <is>
          <t>Impairment Testing</t>
        </is>
      </c>
      <c r="B22" s="8" t="inlineStr">
        <is>
          <t>減值測試</t>
        </is>
      </c>
      <c r="C22" s="19" t="inlineStr">
        <is>
          <t>high</t>
        </is>
      </c>
      <c r="D22" s="11" t="inlineStr">
        <is>
          <t>impairment test</t>
        </is>
      </c>
      <c r="E22" s="11" t="inlineStr">
        <is>
          <t>PDF p.88 (印刷頁 87)</t>
        </is>
      </c>
      <c r="F22" s="11" t="inlineStr">
        <is>
          <t>4 Carrying amounts: At 31 March 2026 — At 31 March 2025 11,722 For the year ended 31 March 2026 and 31 March 2025 For the purpose of impairment testing as at 31 March 2026 and 2025, goodwill acquired through business combination is identified as belonging to the following CGU which comprised the aircraft’s engine stand repairing and maintenance services and other related services reportable segment of the Group: 2026 2025 HK$’000 HK$’000 Aircraft’s engine stand repairing and maintenance services and other related services — 11,</t>
        </is>
      </c>
    </row>
    <row r="23">
      <c r="A23" s="8" t="inlineStr">
        <is>
          <t>Impairment Testing</t>
        </is>
      </c>
      <c r="B23" s="8" t="inlineStr">
        <is>
          <t>減值測試</t>
        </is>
      </c>
      <c r="C23" s="19" t="inlineStr">
        <is>
          <t>high</t>
        </is>
      </c>
      <c r="D23" s="11" t="inlineStr">
        <is>
          <t>impairment loss</t>
        </is>
      </c>
      <c r="E23" s="11" t="inlineStr">
        <is>
          <t>PDF p.89 (印刷頁 88)</t>
        </is>
      </c>
      <c r="F23" s="11" t="inlineStr">
        <is>
          <t>NCIAL STATEMENTS FOR THE YEAR ENDED 31 MARCH 2026 17. GOODWILL (Continued) After assessment of the non-current assets of the CGU, an impairment loss of HK$11,722,000 (2025: HK$9,000,000) was allocated to goodwill to reduce its carrying amount to nil, and the remaining impairment loss of the CGU of HK$4,063,000 (2025: Nil) was allocated to intangible assets, as the fair values of other non-current assets of the CGU (comprising of property, plant and equipment) were determined to be higher than their respective carrying amounts.</t>
        </is>
      </c>
    </row>
    <row r="24">
      <c r="A24" s="8" t="inlineStr">
        <is>
          <t>Impairment Testing</t>
        </is>
      </c>
      <c r="B24" s="8" t="inlineStr">
        <is>
          <t>減值測試</t>
        </is>
      </c>
      <c r="C24" s="19" t="inlineStr">
        <is>
          <t>high</t>
        </is>
      </c>
      <c r="D24" s="11" t="inlineStr">
        <is>
          <t>impairment loss</t>
        </is>
      </c>
      <c r="E24" s="11" t="inlineStr">
        <is>
          <t>PDF p.90 (印刷頁 89)</t>
        </is>
      </c>
      <c r="F24" s="11" t="inlineStr">
        <is>
          <t>s engine stand repairing and maintenance services, and other related services CGU was estimated to be below its carrying amount, and impairment loss of HK$4,063,000 was recognised to reduce the carrying amount of intangible assets allocate to the CGU for the year ended 31 March 2026. Details of the variables and assumptions are disclosed in note 17. 19. INVENTORIES 2026 2025 HK$’000 HK$’000 Food and beverages 768 1,413 Materials for aircraft engine stand repairing 975 622 1,743 2,035 89 2026 ANNUAL REPORT</t>
        </is>
      </c>
    </row>
    <row r="25">
      <c r="A25" s="8" t="inlineStr">
        <is>
          <t>Impairment Testing</t>
        </is>
      </c>
      <c r="B25" s="8" t="inlineStr">
        <is>
          <t>減值測試</t>
        </is>
      </c>
      <c r="C25" s="19" t="inlineStr">
        <is>
          <t>high</t>
        </is>
      </c>
      <c r="D25" s="11" t="inlineStr">
        <is>
          <t>impairment loss</t>
        </is>
      </c>
      <c r="E25" s="11" t="inlineStr">
        <is>
          <t>PDF p.109 (印刷頁 108)</t>
        </is>
      </c>
      <c r="F25" s="11" t="inlineStr">
        <is>
          <t>r trade and other receivables. Trade Other receivables receivables Lifetime ECL 12m ECL HK$’000 HK$’000 As at 1 April 2024 395 1,966 Impairment losses recognised 467 — As at 31 March 2025 862 1,966 Impairment losses recognised 1,397 — Reversal (467) — As at 31 March 2026 1,792 1,966 108 SIMPLICITY HOLDING LIMITED</t>
        </is>
      </c>
    </row>
    <row r="26">
      <c r="A26" s="8" t="inlineStr">
        <is>
          <t>Intangible Assets &amp; Goodwill</t>
        </is>
      </c>
      <c r="B26" s="8" t="inlineStr">
        <is>
          <t>無形資產及商譽</t>
        </is>
      </c>
      <c r="C26" s="19" t="inlineStr">
        <is>
          <t>high</t>
        </is>
      </c>
      <c r="D26" s="11" t="inlineStr">
        <is>
          <t>intangible asset</t>
        </is>
      </c>
      <c r="E26" s="11" t="inlineStr">
        <is>
          <t>PDF p.12 (印刷頁 11)</t>
        </is>
      </c>
      <c r="F26" s="11" t="inlineStr">
        <is>
          <t>2025: HK$9.00 million). Such increase was mainly due to the recoverable amount is lower than the carrying amount. Impairment loss on intangible assets For the year ended 31 March 2026, the Group recorded impairment loss on intangible assets of HK$4.06 million. Such increase was mainly due to the recoverable amount lower than the carrying amount. Impairment loss under expected credit loss model for trade receivables For the year ended 31 March 2026, the Group recorded impairment loss under expected credit loss model for trade re</t>
        </is>
      </c>
    </row>
    <row r="27">
      <c r="A27" s="8" t="inlineStr">
        <is>
          <t>Intangible Assets &amp; Goodwill</t>
        </is>
      </c>
      <c r="B27" s="8" t="inlineStr">
        <is>
          <t>無形資產及商譽</t>
        </is>
      </c>
      <c r="C27" s="19" t="inlineStr">
        <is>
          <t>high</t>
        </is>
      </c>
      <c r="D27" s="11" t="inlineStr">
        <is>
          <t>licence</t>
        </is>
      </c>
      <c r="E27" s="11" t="inlineStr">
        <is>
          <t>PDF p.14 (印刷頁 13)</t>
        </is>
      </c>
      <c r="F27" s="11" t="inlineStr">
        <is>
          <t>able quality or in a timely manner, we may experience supply shortages and increased food costs. 3) We require various approvals and licences to operate our business, and the loss of, or failure to, obtain or renew any or all of these approvals and licences, could materially and adversely affect our business. 4) Labour shortages or increases in labour costs will increase our Group’s operating costs and reduce our profitability. 5) Risks related to the spread of coronavirus and other possible infectious disease which may adverse</t>
        </is>
      </c>
    </row>
    <row r="28">
      <c r="A28" s="8" t="inlineStr">
        <is>
          <t>Intangible Assets &amp; Goodwill</t>
        </is>
      </c>
      <c r="B28" s="8" t="inlineStr">
        <is>
          <t>無形資產及商譽</t>
        </is>
      </c>
      <c r="C28" s="19" t="inlineStr">
        <is>
          <t>high</t>
        </is>
      </c>
      <c r="D28" s="11" t="inlineStr">
        <is>
          <t>intangible asset</t>
        </is>
      </c>
      <c r="E28" s="11" t="inlineStr">
        <is>
          <t>PDF p.44 (印刷頁 43)</t>
        </is>
      </c>
      <c r="F28" s="11" t="inlineStr">
        <is>
          <t>INDEPENDENT AUDITOR’S REPORT Key audit matter How our audit addressed the key audit matter Impairment assessment of intangible assets and goodwill As at 31 March 2026, the net carrying amounts Our procedures in relation to management’s of customer relationship intangible assets and impairment assessment of intangible assets and goodwill before recognition of impairment loss for goodwill included: the year then ended were approximately HK$4.1 million and HK$11.7 million respectively. These • understanding the ma</t>
        </is>
      </c>
    </row>
    <row r="29">
      <c r="A29" s="8" t="inlineStr">
        <is>
          <t>Intangible Assets &amp; Goodwill</t>
        </is>
      </c>
      <c r="B29" s="8" t="inlineStr">
        <is>
          <t>無形資產及商譽</t>
        </is>
      </c>
      <c r="C29" s="19" t="inlineStr">
        <is>
          <t>high</t>
        </is>
      </c>
      <c r="D29" s="11" t="inlineStr">
        <is>
          <t>intangible asset</t>
        </is>
      </c>
      <c r="E29" s="11" t="inlineStr">
        <is>
          <t>PDF p.48 (印刷頁 47)</t>
        </is>
      </c>
      <c r="F29" s="11" t="inlineStr">
        <is>
          <t>and related expenses (732) (1,107) Utilities expenses (617) (1,217) Impairment loss on goodwill (11,722) (9,000) Impairment loss on intangible assets (4,063) — Impairment loss under expected credit loss model for trade receivables, net of reversal (930) (467) Other expenses (36,439) (24,992) Finance costs 8 (484) (925) Loss before tax 9 (31,335) (20,912) Income tax credit 10 796 59 Loss for the year (30,539) (20,853) Other comprehensive expense Item that will be reclassified subsequently to profit or loss: – Exchange differenc</t>
        </is>
      </c>
    </row>
    <row r="30">
      <c r="A30" s="8" t="inlineStr">
        <is>
          <t>Intangible Assets &amp; Goodwill</t>
        </is>
      </c>
      <c r="B30" s="8" t="inlineStr">
        <is>
          <t>無形資產及商譽</t>
        </is>
      </c>
      <c r="C30" s="19" t="inlineStr">
        <is>
          <t>high</t>
        </is>
      </c>
      <c r="D30" s="11" t="inlineStr">
        <is>
          <t>intangible asset</t>
        </is>
      </c>
      <c r="E30" s="11" t="inlineStr">
        <is>
          <t>PDF p.49 (印刷頁 48)</t>
        </is>
      </c>
      <c r="F30" s="11" t="inlineStr">
        <is>
          <t>s Property, plant and equipment 15 6,602 12,218 Right-of-use assets 16 3,723 8,116 Deferred tax assets 28 — 871 Goodwill 17 — 11,722 Intangible asset 18 — 6,183 Deposits 20 862 1,045 Total non-current assets 11,187 40,155 Current assets Inventories 19 1,743 2,035 Trade and other receivables, deposits and prepayments 20 10,305 24,002 Financial assets at fair value through profit or loss 21 251 410 Tax recoverable 12 765 Bank balances and cash 22 3,968 6,728 Total current assets 16,279 33,940 Current liabilities Trade and other p</t>
        </is>
      </c>
    </row>
    <row r="31">
      <c r="A31" s="8" t="inlineStr">
        <is>
          <t>Intangible Assets &amp; Goodwill</t>
        </is>
      </c>
      <c r="B31" s="8" t="inlineStr">
        <is>
          <t>無形資產及商譽</t>
        </is>
      </c>
      <c r="C31" s="19" t="inlineStr">
        <is>
          <t>high</t>
        </is>
      </c>
      <c r="D31" s="11" t="inlineStr">
        <is>
          <t>intangible asset</t>
        </is>
      </c>
      <c r="E31" s="11" t="inlineStr">
        <is>
          <t>PDF p.52 (印刷頁 51)</t>
        </is>
      </c>
      <c r="F31" s="11" t="inlineStr">
        <is>
          <t>IVITIES Loss before tax (31,335) (20,912) Adjustments for: Bank interest income 7 (16) (129) Finance costs 8 484 925 Amortisation of intangible assets 9 2,120 2,120 Depreciation: – owned property, plant and equipment 9 2,308 2,457 – leased right-of-use assets 9 6,299 6,049 Gain on disposal of property, plant and equipment 7 (22) (5) Gain on termination of lease 7 (23) (150) Loss on derecognition of subsidiaries 33 — Impairment of goodwill 17 11,722 9,000 Impairment of intangible assets 18 4,063 — (Gain)/loss on disposal of fina</t>
        </is>
      </c>
    </row>
    <row r="32">
      <c r="A32" s="8" t="inlineStr">
        <is>
          <t>Intangible Assets &amp; Goodwill</t>
        </is>
      </c>
      <c r="B32" s="8" t="inlineStr">
        <is>
          <t>無形資產及商譽</t>
        </is>
      </c>
      <c r="C32" s="19" t="inlineStr">
        <is>
          <t>high</t>
        </is>
      </c>
      <c r="D32" s="11" t="inlineStr">
        <is>
          <t>goodwill</t>
        </is>
      </c>
      <c r="E32" s="11" t="inlineStr">
        <is>
          <t>PDF p.57 (印刷頁 56)</t>
        </is>
      </c>
      <c r="F32" s="11" t="inlineStr">
        <is>
          <t>sferred by the acquirer is recognised at acquisition-date fair value. Subsequent adjustments to consideration are recognised against goodwill only to the extent that they arise from new information obtained within the measurement period (a maximum of 12 months from the acquisition date) about the fair value at the acquisition date. All other subsequent adjustments to contingent consideration classified as an asset or a liability are recognised in profit or loss. When the Group loses control of a subsidiary, the profit or loss o</t>
        </is>
      </c>
    </row>
    <row r="33">
      <c r="A33" s="8" t="inlineStr">
        <is>
          <t>Intangible Assets &amp; Goodwill</t>
        </is>
      </c>
      <c r="B33" s="8" t="inlineStr">
        <is>
          <t>無形資產及商譽</t>
        </is>
      </c>
      <c r="C33" s="19" t="inlineStr">
        <is>
          <t>high</t>
        </is>
      </c>
      <c r="D33" s="11" t="inlineStr">
        <is>
          <t>goodwill</t>
        </is>
      </c>
      <c r="E33" s="11" t="inlineStr">
        <is>
          <t>PDF p.58 (印刷頁 57)</t>
        </is>
      </c>
      <c r="F33" s="11" t="inlineStr">
        <is>
          <t>ent loss, if any. The results of subsidiaries are accounted for by the Company on the basis of dividend received and receivable. (d) Goodwill Goodwill is measured at cost less impairment losses. For the purpose of impairment testing, goodwill arising from an acquisition is allocated to each of the relevant cash-generating units that are expected to benefit from the synergies of the acquisition. For goodwill arising on an acquisition in a financial year, the cash-generating unit to which goodwill has been allocated is tested for</t>
        </is>
      </c>
    </row>
    <row r="34">
      <c r="A34" s="8" t="inlineStr">
        <is>
          <t>Intangible Assets &amp; Goodwill</t>
        </is>
      </c>
      <c r="B34" s="8" t="inlineStr">
        <is>
          <t>無形資產及商譽</t>
        </is>
      </c>
      <c r="C34" s="19" t="inlineStr">
        <is>
          <t>high</t>
        </is>
      </c>
      <c r="D34" s="11" t="inlineStr">
        <is>
          <t>intangible asset</t>
        </is>
      </c>
      <c r="E34" s="11" t="inlineStr">
        <is>
          <t>PDF p.59 (印刷頁 58)</t>
        </is>
      </c>
      <c r="F34" s="11" t="inlineStr">
        <is>
          <t>TO THE CONSOLIDATED FINANCIAL STATEMENTS FOR THE YEAR ENDED 31 MARCH 2026 4. MATERIAL ACCOUNTING POLICY INFORMATION (Continued) (f) Intangible assets (i) Intangible assets acquired separately are initially recognised at cost. The cost of intangible assets acquired in a business combination is its fair value at the date of acquisition. Subsequently, intangible assets with finite useful lives are carried at cost less accumulated amortisation and accumulated impairment losses. The amortisation expense is recognised in profit or l</t>
        </is>
      </c>
    </row>
    <row r="35">
      <c r="A35" s="8" t="inlineStr">
        <is>
          <t>Intangible Assets &amp; Goodwill</t>
        </is>
      </c>
      <c r="B35" s="8" t="inlineStr">
        <is>
          <t>無形資產及商譽</t>
        </is>
      </c>
      <c r="C35" s="19" t="inlineStr">
        <is>
          <t>high</t>
        </is>
      </c>
      <c r="D35" s="11" t="inlineStr">
        <is>
          <t>useful life</t>
        </is>
      </c>
      <c r="E35" s="11" t="inlineStr">
        <is>
          <t>PDF p.60 (印刷頁 59)</t>
        </is>
      </c>
      <c r="F35"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Lease liabilities At the commencement date of a lease, the Group recognises and measures the lease liability at the present value of lease payments that are unpaid at that date. In calculating the present value of lease payments, the Group uses the</t>
        </is>
      </c>
    </row>
    <row r="36">
      <c r="A36" s="8" t="inlineStr">
        <is>
          <t>Intangible Assets &amp; Goodwill</t>
        </is>
      </c>
      <c r="B36" s="8" t="inlineStr">
        <is>
          <t>無形資產及商譽</t>
        </is>
      </c>
      <c r="C36" s="19" t="inlineStr">
        <is>
          <t>high</t>
        </is>
      </c>
      <c r="D36" s="11" t="inlineStr">
        <is>
          <t>amortisation</t>
        </is>
      </c>
      <c r="E36" s="11" t="inlineStr">
        <is>
          <t>PDF p.62 (印刷頁 61)</t>
        </is>
      </c>
      <c r="F36" s="11" t="inlineStr">
        <is>
          <t>sed in profit or loss. Gains or losses are recognised in profit or loss when the liabilities are derecognised as well as through the amortisation process. Financial liabilities at fair value through profit or loss Financial liabilities at fair value through profit or loss include financial liabilities held for trading and financial liabilities designated upon initial recognition as at fair value through profit or loss. Subsequent to initial recognition, financial liabilities at fair value through profit or loss are measured at</t>
        </is>
      </c>
    </row>
    <row r="37">
      <c r="A37" s="8" t="inlineStr">
        <is>
          <t>Intangible Assets &amp; Goodwill</t>
        </is>
      </c>
      <c r="B37" s="8" t="inlineStr">
        <is>
          <t>無形資產及商譽</t>
        </is>
      </c>
      <c r="C37" s="19" t="inlineStr">
        <is>
          <t>high</t>
        </is>
      </c>
      <c r="D37" s="11" t="inlineStr">
        <is>
          <t>goodwill</t>
        </is>
      </c>
      <c r="E37" s="11" t="inlineStr">
        <is>
          <t>PDF p.65 (印刷頁 64)</t>
        </is>
      </c>
      <c r="F37" s="11" t="inlineStr">
        <is>
          <t>g amounts of assets and liabilities for financial reporting purposes and the corresponding amounts used for tax purposes. Except for goodwill and recognised assets and liabilities that affect neither accounting nor taxable profits and does not give rise to equal taxable and deductible temporary differences, deferred tax liabilities are recognised for all taxable temporary differences. Deferred tax assets are recognised to the extent that it is probable that taxable profits will be available against which deductible temporary di</t>
        </is>
      </c>
    </row>
    <row r="38">
      <c r="A38" s="8" t="inlineStr">
        <is>
          <t>Intangible Assets &amp; Goodwill</t>
        </is>
      </c>
      <c r="B38" s="8" t="inlineStr">
        <is>
          <t>無形資產及商譽</t>
        </is>
      </c>
      <c r="C38" s="19" t="inlineStr">
        <is>
          <t>high</t>
        </is>
      </c>
      <c r="D38" s="11" t="inlineStr">
        <is>
          <t>intangible asset</t>
        </is>
      </c>
      <c r="E38" s="11" t="inlineStr">
        <is>
          <t>PDF p.67 (印刷頁 66)</t>
        </is>
      </c>
      <c r="F38" s="11" t="inlineStr">
        <is>
          <t>previously recognised no longer exists or may have decreased: • property, plant and equipment; • right-of-use assets; • goodwill; • intangible asset; and • investments in subsidiaries. If the recoverable amount (i.e. the greater of the fair value less costs of disposal and value in use) of an asset is estimated to be less than its carrying amount, the carrying amount of the asset is reduced to its recoverable amount. An impairment loss is recognised as an expense immediately, unless the relevant asset is carried at a revalued</t>
        </is>
      </c>
    </row>
    <row r="39">
      <c r="A39" s="8" t="inlineStr">
        <is>
          <t>Intangible Assets &amp; Goodwill</t>
        </is>
      </c>
      <c r="B39" s="8" t="inlineStr">
        <is>
          <t>無形資產及商譽</t>
        </is>
      </c>
      <c r="C39" s="19" t="inlineStr">
        <is>
          <t>high</t>
        </is>
      </c>
      <c r="D39" s="11" t="inlineStr">
        <is>
          <t>intangible asset</t>
        </is>
      </c>
      <c r="E39" s="11" t="inlineStr">
        <is>
          <t>PDF p.69 (印刷頁 68)</t>
        </is>
      </c>
      <c r="F39" s="11" t="inlineStr">
        <is>
          <t>lives may differ from estimated economic useful lives. Impairment testing of property, plant and equipment, right-of-use assets and intangible assets The Group determines whether property, plant and equipment, right-of-use assets and intangible assets are impaired when there are indicators that the carrying amounts may not be recoverable. An impairment exists when the carrying values of these assets exceed their recoverable amounts, which is the higher of their fair values less costs of disposal and their value in use. When va</t>
        </is>
      </c>
    </row>
    <row r="40">
      <c r="A40" s="8" t="inlineStr">
        <is>
          <t>Intangible Assets &amp; Goodwill</t>
        </is>
      </c>
      <c r="B40" s="8" t="inlineStr">
        <is>
          <t>無形資產及商譽</t>
        </is>
      </c>
      <c r="C40" s="19" t="inlineStr">
        <is>
          <t>high</t>
        </is>
      </c>
      <c r="D40" s="11" t="inlineStr">
        <is>
          <t>intangible asset</t>
        </is>
      </c>
      <c r="E40" s="11" t="inlineStr">
        <is>
          <t>PDF p.71 (印刷頁 70)</t>
        </is>
      </c>
      <c r="F40" s="11" t="inlineStr">
        <is>
          <t>) represents the profit/(loss) earned by each segment without allocation of central administration costs, impairment of goodwill and intangible asset, directors’ emoluments, share-based payment expenses, bank interest income, certain gains or losses and finance cost on general working capital borrowings. Revenue from contracts with customers Information about the Group’s performance obligations is summarized below: Revenue from restaurant operations The performance obligation is recognised at a point in time when control of the</t>
        </is>
      </c>
    </row>
    <row r="41">
      <c r="A41" s="8" t="inlineStr">
        <is>
          <t>Intangible Assets &amp; Goodwill</t>
        </is>
      </c>
      <c r="B41" s="8" t="inlineStr">
        <is>
          <t>無形資產及商譽</t>
        </is>
      </c>
      <c r="C41" s="19" t="inlineStr">
        <is>
          <t>high</t>
        </is>
      </c>
      <c r="D41" s="11" t="inlineStr">
        <is>
          <t>goodwill</t>
        </is>
      </c>
      <c r="E41" s="11" t="inlineStr">
        <is>
          <t>PDF p.72 (印刷頁 71)</t>
        </is>
      </c>
      <c r="F41" s="11" t="inlineStr">
        <is>
          <t>000 Segment revenue 906 8,360 — 817 61,197 30 71,310 Segment loss (706) (1,442) (2,842) (1,412) (3,508) (278) (10,188) Impairment of goodwill (11,722) Impairment of intangible asset (4,063) Unallocated corporate costs (5,800) Gain on disposal of financial assets at FVTPL 438 Loss before tax (31,335) 71 2026 ANNUAL REPORT</t>
        </is>
      </c>
    </row>
    <row r="42">
      <c r="A42" s="8" t="inlineStr">
        <is>
          <t>Intangible Assets &amp; Goodwill</t>
        </is>
      </c>
      <c r="B42" s="8" t="inlineStr">
        <is>
          <t>無形資產及商譽</t>
        </is>
      </c>
      <c r="C42" s="19" t="inlineStr">
        <is>
          <t>high</t>
        </is>
      </c>
      <c r="D42" s="11" t="inlineStr">
        <is>
          <t>goodwill</t>
        </is>
      </c>
      <c r="E42" s="11" t="inlineStr">
        <is>
          <t>PDF p.73 (印刷頁 72)</t>
        </is>
      </c>
      <c r="F42" s="11" t="inlineStr">
        <is>
          <t>7) (1,981) (4,537) (860) 3,165 (5,890) Unallocated other income and other gains 83 Unallocated corporate costs (4,245) Impairment of goodwill (9,000) Loss on disposal of financial assets at FVTPL (1,860) Loss before tax (20,912) 72 SIMPLICITY HOLDING LIMITED</t>
        </is>
      </c>
    </row>
    <row r="43">
      <c r="A43" s="8" t="inlineStr">
        <is>
          <t>Intangible Assets &amp; Goodwill</t>
        </is>
      </c>
      <c r="B43" s="8" t="inlineStr">
        <is>
          <t>無形資產及商譽</t>
        </is>
      </c>
      <c r="C43" s="19" t="inlineStr">
        <is>
          <t>high</t>
        </is>
      </c>
      <c r="D43" s="11" t="inlineStr">
        <is>
          <t>intangible asset</t>
        </is>
      </c>
      <c r="E43" s="11" t="inlineStr">
        <is>
          <t>PDF p.76 (印刷頁 75)</t>
        </is>
      </c>
      <c r="F43" s="11" t="inlineStr">
        <is>
          <t>ased right-of-use assets 742 1,349 — 247 3,711 — 6,049 Impairment losses on trade receivables, net — — — — 467 — 467 Amortisation of intangible assets — — — — 2,120 — 2,120 Amounts regularly provided to the CODM but not included in the measure of segment profit or loss: Impairment of goodwill — — — — 9,000 — 9,000 75 2026 ANNUAL REPORT</t>
        </is>
      </c>
    </row>
    <row r="44">
      <c r="A44" s="8" t="inlineStr">
        <is>
          <t>Intangible Assets &amp; Goodwill</t>
        </is>
      </c>
      <c r="B44" s="8" t="inlineStr">
        <is>
          <t>無形資產及商譽</t>
        </is>
      </c>
      <c r="C44" s="19" t="inlineStr">
        <is>
          <t>high</t>
        </is>
      </c>
      <c r="D44" s="11" t="inlineStr">
        <is>
          <t>intangible asset</t>
        </is>
      </c>
      <c r="E44" s="11" t="inlineStr">
        <is>
          <t>PDF p.78 (印刷頁 77)</t>
        </is>
      </c>
      <c r="F44" s="11" t="inlineStr">
        <is>
          <t>ice 680 680 Depreciation: – owned property, plant and equipment 2,308 2,457 – leased right-of-use assets 6,299 6,049 Amortisation of intangible assets 2,120 2,120 Write-off of property, plant and equipment (included in other expenses) — 140 Transportation costs related to aircraft’s engine stand repair and maintenance services and aircraft engine logistic services (included in other expenses) 21,930 10,115 Subcontracting fees for aircraft engine stand repair and maintenance works 5,954 29,261 Marketing expenses 4,785 4,775 Shor</t>
        </is>
      </c>
    </row>
    <row r="45">
      <c r="A45" s="8" t="inlineStr">
        <is>
          <t>Intangible Assets &amp; Goodwill</t>
        </is>
      </c>
      <c r="B45" s="8" t="inlineStr">
        <is>
          <t>無形資產及商譽</t>
        </is>
      </c>
      <c r="C45" s="19" t="inlineStr">
        <is>
          <t>high</t>
        </is>
      </c>
      <c r="D45" s="11" t="inlineStr">
        <is>
          <t>goodwill</t>
        </is>
      </c>
      <c r="E45" s="11" t="inlineStr">
        <is>
          <t>PDF p.88 (印刷頁 87)</t>
        </is>
      </c>
      <c r="F45" s="11" t="inlineStr">
        <is>
          <t>NOTES TO THE CONSOLIDATED FINANCIAL STATEMENTS FOR THE YEAR ENDED 31 MARCH 2026 17. GOODWILL HK$’000 Cost: At 1 April 2024,31 March 2025,1 April 2025 and 31 March 2026 20,814 Accumulated impairment: At 1 April 2024 92 Impairment 9,000 At 31 March 2025 and 1 April 2025 9,092 Impairment 11,722 At 31 March 2026 20,814 Carrying amounts: At 31 March 2026 — At 31 March 2025 11,722 For the year ended 31 March 2026 and 31 March 2025 For the purpose of impairment testing as at 31 March 20</t>
        </is>
      </c>
    </row>
    <row r="46">
      <c r="A46" s="8" t="inlineStr">
        <is>
          <t>Intangible Assets &amp; Goodwill</t>
        </is>
      </c>
      <c r="B46" s="8" t="inlineStr">
        <is>
          <t>無形資產及商譽</t>
        </is>
      </c>
      <c r="C46" s="19" t="inlineStr">
        <is>
          <t>high</t>
        </is>
      </c>
      <c r="D46" s="11" t="inlineStr">
        <is>
          <t>intangible asset</t>
        </is>
      </c>
      <c r="E46" s="11" t="inlineStr">
        <is>
          <t>PDF p.89 (印刷頁 88)</t>
        </is>
      </c>
      <c r="F46" s="11" t="inlineStr">
        <is>
          <t>will to reduce its carrying amount to nil, and the remaining impairment loss of the CGU of HK$4,063,000 (2025: Nil) was allocated to intangible assets, as the fair values of other non-current assets of the CGU (comprising of property, plant and equipment) were determined to be higher than their respective carrying amounts. The fair values of the items of property, plant and equipment belonging to the aircraft’s engine stand repairing and maintenance services and other related services CGU were estimated to be above their carryi</t>
        </is>
      </c>
    </row>
    <row r="47">
      <c r="A47" s="8" t="inlineStr">
        <is>
          <t>Intangible Assets &amp; Goodwill</t>
        </is>
      </c>
      <c r="B47" s="8" t="inlineStr">
        <is>
          <t>無形資產及商譽</t>
        </is>
      </c>
      <c r="C47" s="19" t="inlineStr">
        <is>
          <t>high</t>
        </is>
      </c>
      <c r="D47" s="11" t="inlineStr">
        <is>
          <t>intangible asset</t>
        </is>
      </c>
      <c r="E47" s="11" t="inlineStr">
        <is>
          <t>PDF p.90 (印刷頁 89)</t>
        </is>
      </c>
      <c r="F47" s="11" t="inlineStr">
        <is>
          <t>NOTES TO THE CONSOLIDATED FINANCIAL STATEMENTS FOR THE YEAR ENDED 31 MARCH 2026 18. INTANGIBLE ASSET Customer relationship HK$’000 Cost: At 1 April 2024, 31 March 2025, 1 April 2025 and 31 March 2026 10,600 Accumulated amortisation and impairment: At 1 April 2024 2,297 Amortisation for the year 2,120 At 31 March 2025 and 1 April 2025 4,417 Amortisation for the year 2,120 Impairment 4,063 At 31 March 2026 10,600 Carrying amounts: At 31 March 2026 — At 31 March 2025 6,183 For impai</t>
        </is>
      </c>
    </row>
    <row r="48">
      <c r="A48" s="8" t="inlineStr">
        <is>
          <t>ESG Data</t>
        </is>
      </c>
      <c r="B48" s="8" t="inlineStr">
        <is>
          <t>環境社會及管治數據</t>
        </is>
      </c>
      <c r="C48" s="8" t="inlineStr">
        <is>
          <t>medium</t>
        </is>
      </c>
      <c r="D48" s="11" t="inlineStr">
        <is>
          <t>ESG</t>
        </is>
      </c>
      <c r="E48" s="11" t="inlineStr">
        <is>
          <t>PDF p.15 (印刷頁 14)</t>
        </is>
      </c>
      <c r="F48" s="11" t="inlineStr">
        <is>
          <t>lia, a member of Chartered Global Management Accountant and a member of International Chamber of Sustainable Development — Certified ESG Planner CEP®. Mr. Choi graduated from Hong Kong Metropolitan University with a Master of Law (Chinese Business Law) in Hong Kong in 2017. He obtained a Bachelor of Business (Accounting) from Central Queensland University in Australia in 2003 and further studied Postgraduate Diploma of Accounting in Monash University in Australia in 2005. Mr. Leung Wai Tai (梁煒泰) (“Mr. WT Leung”), aged 44, was a</t>
        </is>
      </c>
    </row>
    <row r="49">
      <c r="A49" s="8" t="inlineStr">
        <is>
          <t>Segment Information</t>
        </is>
      </c>
      <c r="B49" s="8" t="inlineStr">
        <is>
          <t>分部資料</t>
        </is>
      </c>
      <c r="C49" s="8" t="inlineStr">
        <is>
          <t>medium</t>
        </is>
      </c>
      <c r="D49" s="11" t="inlineStr">
        <is>
          <t>reportable segment</t>
        </is>
      </c>
      <c r="E49" s="11" t="inlineStr">
        <is>
          <t>PDF p.44 (印刷頁 43)</t>
        </is>
      </c>
      <c r="F49" s="11" t="inlineStr">
        <is>
          <t>the management’s internal assets belong to the CGU comprising the Group’s c o n t r o l a n d a s s e s s m e n t p r o c e s s o f reportable segment of aircraft’s engine stand impairment assessment of the intangible repairing and maintenance services and other assets and goodwill; related services. • considering and assessing the historical Management has performed impairment test on the accuracy of management’s budgeting intangible assets and goodwill in accordance with processes; the Group’s accounting policies. During the</t>
        </is>
      </c>
    </row>
    <row r="50">
      <c r="A50" s="8" t="inlineStr">
        <is>
          <t>Segment Information</t>
        </is>
      </c>
      <c r="B50" s="8" t="inlineStr">
        <is>
          <t>分部資料</t>
        </is>
      </c>
      <c r="C50" s="8" t="inlineStr">
        <is>
          <t>medium</t>
        </is>
      </c>
      <c r="D50" s="11" t="inlineStr">
        <is>
          <t>segment information</t>
        </is>
      </c>
      <c r="E50" s="11" t="inlineStr">
        <is>
          <t>PDF p.66 (印刷頁 65)</t>
        </is>
      </c>
      <c r="F50" s="11" t="inlineStr">
        <is>
          <t>he probability of outflow of economic benefits is remote. (p) Segment reporting The Group identifies operating segments and prepares segment information based on the regular internal financial information reported to the executive directors for their decisions about resources allocation to the Group’s business components and for their review of the performance of those components. The business components in the internal financial information reported to the executive directors are determined the Group’s service lines stated in</t>
        </is>
      </c>
    </row>
    <row r="51">
      <c r="A51" s="8" t="inlineStr">
        <is>
          <t>Segment Information</t>
        </is>
      </c>
      <c r="B51" s="8" t="inlineStr">
        <is>
          <t>分部資料</t>
        </is>
      </c>
      <c r="C51" s="8" t="inlineStr">
        <is>
          <t>medium</t>
        </is>
      </c>
      <c r="D51" s="11" t="inlineStr">
        <is>
          <t>segment information</t>
        </is>
      </c>
      <c r="E51" s="11" t="inlineStr">
        <is>
          <t>PDF p.70 (印刷頁 69)</t>
        </is>
      </c>
      <c r="F51" s="11" t="inlineStr">
        <is>
          <t>lue of trade and other receivables and impairment made/reversed in the period in which the estimate has been changed. 6. REVENUE AND SEGMENT INFORMATION Revenue represents the amounts received or receivable from the operation of restaurants, food ingredients and beverage, and aircraft’s engine stand repairing and maintenance services, aircraft engine logistic services and warehouse storage services in Hong Kong, and the sales of agricultural products in the People’s Republic of China during the year. Revenue The amounts of each</t>
        </is>
      </c>
    </row>
    <row r="52">
      <c r="A52" s="8" t="inlineStr">
        <is>
          <t>Segment Information</t>
        </is>
      </c>
      <c r="B52" s="8" t="inlineStr">
        <is>
          <t>分部資料</t>
        </is>
      </c>
      <c r="C52" s="8" t="inlineStr">
        <is>
          <t>medium</t>
        </is>
      </c>
      <c r="D52" s="11" t="inlineStr">
        <is>
          <t>segment information</t>
        </is>
      </c>
      <c r="E52" s="11" t="inlineStr">
        <is>
          <t>PDF p.71 (印刷頁 70)</t>
        </is>
      </c>
      <c r="F52" s="11" t="inlineStr">
        <is>
          <t>NOTES TO THE CONSOLIDATED FINANCIAL STATEMENTS FOR THE YEAR ENDED 31 MARCH 2026 6. REVENUE AND SEGMENT INFORMATION (Continued) Transaction price allocated to the remaining performance obligation for contracts with customers All the contracts for food ingredients and beverage operations, aircraft engine stand repairing and maintenance services, warehouse storage services and aircraft engine logistics services and sales of agricultural products are for original expected duration of one year o</t>
        </is>
      </c>
    </row>
    <row r="53">
      <c r="A53" s="8" t="inlineStr">
        <is>
          <t>Segment Information</t>
        </is>
      </c>
      <c r="B53" s="8" t="inlineStr">
        <is>
          <t>分部資料</t>
        </is>
      </c>
      <c r="C53" s="8" t="inlineStr">
        <is>
          <t>medium</t>
        </is>
      </c>
      <c r="D53" s="11" t="inlineStr">
        <is>
          <t>segment information</t>
        </is>
      </c>
      <c r="E53" s="11" t="inlineStr">
        <is>
          <t>PDF p.72 (印刷頁 71)</t>
        </is>
      </c>
      <c r="F53" s="11" t="inlineStr">
        <is>
          <t>NOTES TO THE CONSOLIDATED FINANCIAL STATEMENTS FOR THE YEAR ENDED 31 MARCH 2026 6. REVENUE AND SEGMENT INFORMATION (Continued) Segment revenue and results (Continued) Revenue from contracts with customers (Continued) Sales of wine to third parties The performance obligation is recognised at a point in time when control of the products is transferred to the customer, being at the point the customer purchases on delivery of the wine. Payment of the transaction price is due at the point the cu</t>
        </is>
      </c>
    </row>
    <row r="54">
      <c r="A54" s="8" t="inlineStr">
        <is>
          <t>Segment Information</t>
        </is>
      </c>
      <c r="B54" s="8" t="inlineStr">
        <is>
          <t>分部資料</t>
        </is>
      </c>
      <c r="C54" s="8" t="inlineStr">
        <is>
          <t>medium</t>
        </is>
      </c>
      <c r="D54" s="11" t="inlineStr">
        <is>
          <t>segment information</t>
        </is>
      </c>
      <c r="E54" s="11" t="inlineStr">
        <is>
          <t>PDF p.73 (印刷頁 72)</t>
        </is>
      </c>
      <c r="F54" s="11" t="inlineStr">
        <is>
          <t>NOTES TO THE CONSOLIDATED FINANCIAL STATEMENTS FOR THE YEAR ENDED 31 MARCH 2026 6. REVENUE AND SEGMENT INFORMATION (Continued) Segment revenue and results (Continued) Year ended 31 March 2025 Aircraft’s engine stand repairing and Food maintenance ingredients services and Chinese Thai Malaysian and beverage other related cuisine cuisine cuisine operations services Total HK$’000 HK$’000 HK$’000 HK$’000 HK$’000 HK$’000 Segment revenue 8,959 9,699 1,251 323 77,531 97,763 Segment (loss)/profit (</t>
        </is>
      </c>
    </row>
    <row r="55">
      <c r="A55" s="8" t="inlineStr">
        <is>
          <t>Segment Information</t>
        </is>
      </c>
      <c r="B55" s="8" t="inlineStr">
        <is>
          <t>分部資料</t>
        </is>
      </c>
      <c r="C55" s="8" t="inlineStr">
        <is>
          <t>medium</t>
        </is>
      </c>
      <c r="D55" s="11" t="inlineStr">
        <is>
          <t>segment information</t>
        </is>
      </c>
      <c r="E55" s="11" t="inlineStr">
        <is>
          <t>PDF p.74 (印刷頁 73)</t>
        </is>
      </c>
      <c r="F55" s="11" t="inlineStr">
        <is>
          <t>NOTES TO THE CONSOLIDATED FINANCIAL STATEMENTS FOR THE YEAR ENDED 31 MARCH 2026 6. REVENUE AND SEGMENT INFORMATION (Continued) Segment assets and liabilities The following is an analysis of the Group’s assets and liabilities by operating and reportable segment: As 31 March 2026 Aircraft’s engine stand Food repairing and ingredients maintenance and services and Chinese Thai Malaysian beverage other related Agricultural cuisine cuisine cuisine operations services products Total HK$’000 HK$’00</t>
        </is>
      </c>
    </row>
    <row r="56">
      <c r="A56" s="8" t="inlineStr">
        <is>
          <t>Segment Information</t>
        </is>
      </c>
      <c r="B56" s="8" t="inlineStr">
        <is>
          <t>分部資料</t>
        </is>
      </c>
      <c r="C56" s="8" t="inlineStr">
        <is>
          <t>medium</t>
        </is>
      </c>
      <c r="D56" s="11" t="inlineStr">
        <is>
          <t>segment information</t>
        </is>
      </c>
      <c r="E56" s="11" t="inlineStr">
        <is>
          <t>PDF p.75 (印刷頁 74)</t>
        </is>
      </c>
      <c r="F56" s="11" t="inlineStr">
        <is>
          <t>NOTES TO THE CONSOLIDATED FINANCIAL STATEMENTS FOR THE YEAR ENDED 31 MARCH 2026 6. REVENUE AND SEGMENT INFORMATION (Continued) Segment assets and liabilities (Continued) As 31 March 2025 Aircraft’s engine stand repairing and Food maintenance ingredients services and Chinese Thai Malaysian and beverage other related cuisine cuisine cuisine operations services Total HK$’000 HK$’000 HK$’000 HK$’000 HK$’000 HK$’000 Segment assets 1,684 4,813 2,496 2,973 53,355 65,321 Deferred tax assets 871 Tax</t>
        </is>
      </c>
    </row>
    <row r="57">
      <c r="A57" s="8" t="inlineStr">
        <is>
          <t>Segment Information</t>
        </is>
      </c>
      <c r="B57" s="8" t="inlineStr">
        <is>
          <t>分部資料</t>
        </is>
      </c>
      <c r="C57" s="8" t="inlineStr">
        <is>
          <t>medium</t>
        </is>
      </c>
      <c r="D57" s="11" t="inlineStr">
        <is>
          <t>segment information</t>
        </is>
      </c>
      <c r="E57" s="11" t="inlineStr">
        <is>
          <t>PDF p.76 (印刷頁 75)</t>
        </is>
      </c>
      <c r="F57" s="11" t="inlineStr">
        <is>
          <t>NOTES TO THE CONSOLIDATED FINANCIAL STATEMENTS FOR THE YEAR ENDED 31 MARCH 2026 6. REVENUE AND SEGMENT INFORMATION (Continued) Other segment information Year ended 31 March 2026 Aircraft’s engine stand Food repairing and ingredients maintenance and services and Chinese Thai Malaysian beverage other related Agricultural cuisine cuisine cuisine operations services products Unallocated Total HK$’000 HK$’000 HK$’000 HK$’000 HK$’000 HK$’000 HK$’000 HK$’000 Amounts included in the measure of segm</t>
        </is>
      </c>
    </row>
    <row r="58">
      <c r="A58" s="8" t="inlineStr">
        <is>
          <t>Segment Information</t>
        </is>
      </c>
      <c r="B58" s="8" t="inlineStr">
        <is>
          <t>分部資料</t>
        </is>
      </c>
      <c r="C58" s="8" t="inlineStr">
        <is>
          <t>medium</t>
        </is>
      </c>
      <c r="D58" s="11" t="inlineStr">
        <is>
          <t>segment information</t>
        </is>
      </c>
      <c r="E58" s="11" t="inlineStr">
        <is>
          <t>PDF p.77 (印刷頁 76)</t>
        </is>
      </c>
      <c r="F58" s="11" t="inlineStr">
        <is>
          <t>NOTES TO THE CONSOLIDATED FINANCIAL STATEMENTS FOR THE YEAR ENDED 31 MARCH 2026 6. REVENUE AND SEGMENT INFORMATION (Continued) Geographical information The Group’s operations are located in Hong Kong and People’s Republic of China. Accordingly, the Group’s revenue from external customers and all non-current assets are located in Hong Kong and People’s Republic of China. Information about major customers Revenue from the major customer, which amounted to 10% or more of the Group’s total reve</t>
        </is>
      </c>
    </row>
    <row r="59">
      <c r="A59" s="8" t="inlineStr">
        <is>
          <t>Segment Information</t>
        </is>
      </c>
      <c r="B59" s="8" t="inlineStr">
        <is>
          <t>分部資料</t>
        </is>
      </c>
      <c r="C59" s="8" t="inlineStr">
        <is>
          <t>medium</t>
        </is>
      </c>
      <c r="D59" s="11" t="inlineStr">
        <is>
          <t>reportable segment</t>
        </is>
      </c>
      <c r="E59" s="11" t="inlineStr">
        <is>
          <t>PDF p.88 (印刷頁 87)</t>
        </is>
      </c>
      <c r="F59" s="11" t="inlineStr">
        <is>
          <t>nging to the following CGU which comprised the aircraft’s engine stand repairing and maintenance services and other related services reportable segment of the Group: 2026 2025 HK$’000 HK$’000 Aircraft’s engine stand repairing and maintenance services and other related services — 11,722 The aircraft’s engine stand repairing and maintenance services and other related services reportable segment comprises one CGU. The Group performed its annual impairment assessment for goodwill by comparing the recoverable amount of the CGU to it</t>
        </is>
      </c>
    </row>
    <row r="60">
      <c r="A60" s="8" t="inlineStr">
        <is>
          <t>Share-based Payment</t>
        </is>
      </c>
      <c r="B60" s="8" t="inlineStr">
        <is>
          <t>以股份為基礎的付款</t>
        </is>
      </c>
      <c r="C60" s="8" t="inlineStr">
        <is>
          <t>medium</t>
        </is>
      </c>
      <c r="D60" s="11" t="inlineStr">
        <is>
          <t>share option</t>
        </is>
      </c>
      <c r="E60" s="11" t="inlineStr">
        <is>
          <t>PDF p.34 (印刷頁 33)</t>
        </is>
      </c>
      <c r="F60" s="11" t="inlineStr">
        <is>
          <t>the Directors to acquire such rights in any other body corporate. EQUITY-LINKED AGREEMENTS Save as disclosed in the section headed “Share Option Scheme” below, share options granted was disclosed in note 30 for the year ended 31 March 2026. 33 2026 ANNUAL REPORT</t>
        </is>
      </c>
    </row>
    <row r="61">
      <c r="A61" s="8" t="inlineStr">
        <is>
          <t>Share-based Payment</t>
        </is>
      </c>
      <c r="B61" s="8" t="inlineStr">
        <is>
          <t>以股份為基礎的付款</t>
        </is>
      </c>
      <c r="C61" s="8" t="inlineStr">
        <is>
          <t>medium</t>
        </is>
      </c>
      <c r="D61" s="11" t="inlineStr">
        <is>
          <t>share option</t>
        </is>
      </c>
      <c r="E61" s="11" t="inlineStr">
        <is>
          <t>PDF p.35 (印刷頁 34)</t>
        </is>
      </c>
      <c r="F61" s="11" t="inlineStr">
        <is>
          <t>DIRECTORS’ REPORT SHARE OPTION SCHEME The former share option scheme of the Company (the “Former Scheme”) was adopted pursuant to a resolution passed by the Company’s shareholders on 29 January 2018 which was subsequently terminated on 18 January 2024. In view of the amendments to Chapter 23 of the GEM Listing Rule relating to share schemes which came into effect on 1 January 2023, the Company adopted a new share s</t>
        </is>
      </c>
    </row>
    <row r="62">
      <c r="A62" s="8" t="inlineStr">
        <is>
          <t>Share-based Payment</t>
        </is>
      </c>
      <c r="B62" s="8" t="inlineStr">
        <is>
          <t>以股份為基礎的付款</t>
        </is>
      </c>
      <c r="C62" s="8" t="inlineStr">
        <is>
          <t>medium</t>
        </is>
      </c>
      <c r="D62" s="11" t="inlineStr">
        <is>
          <t>share-based payment</t>
        </is>
      </c>
      <c r="E62" s="11" t="inlineStr">
        <is>
          <t>PDF p.65 (印刷頁 64)</t>
        </is>
      </c>
      <c r="F62" s="11" t="inlineStr">
        <is>
          <t>raw the offer of those benefits and when the Group recognises restructuring costs involving the payment of termination benefits. (l) Share-based payments Where share options are awarded to employees and others providing similar services, the fair value of the options at the date of grant is recognised in profit or loss over the vesting period with a corresponding increase in the employee share option reserve within equity. Non-market vesting conditions are taken into account by adjusting the number of equity instruments expecte</t>
        </is>
      </c>
    </row>
    <row r="63">
      <c r="A63" s="8" t="inlineStr">
        <is>
          <t>Share-based Payment</t>
        </is>
      </c>
      <c r="B63" s="8" t="inlineStr">
        <is>
          <t>以股份為基礎的付款</t>
        </is>
      </c>
      <c r="C63" s="8" t="inlineStr">
        <is>
          <t>medium</t>
        </is>
      </c>
      <c r="D63" s="11" t="inlineStr">
        <is>
          <t>share-based payment</t>
        </is>
      </c>
      <c r="E63" s="11" t="inlineStr">
        <is>
          <t>PDF p.71 (印刷頁 70)</t>
        </is>
      </c>
      <c r="F63" s="11" t="inlineStr">
        <is>
          <t>each segment without allocation of central administration costs, impairment of goodwill and intangible asset, directors’ emoluments, share-based payment expenses, bank interest income, certain gains or losses and finance cost on general working capital borrowings. Revenue from contracts with customers Information about the Group’s performance obligations is summarized below: Revenue from restaurant operations The performance obligation is recognised at a point in time when control of the products is transferred to the customer,</t>
        </is>
      </c>
    </row>
    <row r="64">
      <c r="A64" s="8" t="inlineStr">
        <is>
          <t>Share-based Payment</t>
        </is>
      </c>
      <c r="B64" s="8" t="inlineStr">
        <is>
          <t>以股份為基礎的付款</t>
        </is>
      </c>
      <c r="C64" s="8" t="inlineStr">
        <is>
          <t>medium</t>
        </is>
      </c>
      <c r="D64" s="11" t="inlineStr">
        <is>
          <t>share-based payment</t>
        </is>
      </c>
      <c r="E64" s="11" t="inlineStr">
        <is>
          <t>PDF p.80 (印刷頁 79)</t>
        </is>
      </c>
      <c r="F64" s="11" t="inlineStr">
        <is>
          <t>s: Fees 360 240 106 706 Other emoluments — — — — Salaries and other benefits — — — — Retirement benefit scheme contributions — — — — Share-based payment expense — — — — Sub-total 360 240 106 706 The executive directors’ emoluments shown above were for their services in connection with management of the affairs of the Company and the Group. Mr. Lo Cheuk Mr. Cheung Ms. Ip Fei Jeffrey Hiu Fung Sin Nam Total HK$’000 HK$’000 HK$’000 HK$’000 (note (b)) Independent non-executive directors: Fees 120 120 120 360 Other emoluments — — — —</t>
        </is>
      </c>
    </row>
    <row r="65">
      <c r="A65" s="8" t="inlineStr">
        <is>
          <t>Share-based Payment</t>
        </is>
      </c>
      <c r="B65" s="8" t="inlineStr">
        <is>
          <t>以股份為基礎的付款</t>
        </is>
      </c>
      <c r="C65" s="8" t="inlineStr">
        <is>
          <t>medium</t>
        </is>
      </c>
      <c r="D65" s="11" t="inlineStr">
        <is>
          <t>share-based payment</t>
        </is>
      </c>
      <c r="E65" s="11" t="inlineStr">
        <is>
          <t>PDF p.81 (印刷頁 80)</t>
        </is>
      </c>
      <c r="F65" s="11" t="inlineStr">
        <is>
          <t>ecutive directors: Fees 360 240 600 Other emoluments Salaries and other benefits — — — Retirement benefit scheme contributions — — — Share-based payment expense — — — Sub-total 360 240 600 The executive directors’ emoluments shown above were for their services in connection with management of the affairs of the Company and the Group. Mr. Lo Cheuk Mr. Cheung Mr. Wang Ms. Ip Fei Jeffrey Hiu Fung Rongqian Sin Nam Total HK$’000 HK$’000 HK$’000 HK$’000 HK$’000 (note (a)) (note (b)) Independent non-executive directors: Fees 120 120 5</t>
        </is>
      </c>
    </row>
    <row r="66">
      <c r="A66" s="8" t="inlineStr">
        <is>
          <t>Share-based Payment</t>
        </is>
      </c>
      <c r="B66" s="8" t="inlineStr">
        <is>
          <t>以股份為基礎的付款</t>
        </is>
      </c>
      <c r="C66" s="8" t="inlineStr">
        <is>
          <t>medium</t>
        </is>
      </c>
      <c r="D66" s="11" t="inlineStr">
        <is>
          <t>share option</t>
        </is>
      </c>
      <c r="E66" s="11" t="inlineStr">
        <is>
          <t>PDF p.83 (印刷頁 82)</t>
        </is>
      </c>
      <c r="F66" s="11" t="inlineStr">
        <is>
          <t>ighted average number of ordinary shares for the purpose of basic loss per share 75,818 60,476 Effect of dilutive potential shares — share options — — Weighted average number of ordinary shares for the purpose of diluted loss per share 75,818 60,476 The weighted average number of ordinary shares used to calculate the basic and diluted loss per share for the year ended 31 March 2025 have been adjusted to retrospectively to reflect the share consolidation that was effected in January 2025. The computation of diluted loss per shar</t>
        </is>
      </c>
    </row>
    <row r="67">
      <c r="A67" s="8" t="inlineStr">
        <is>
          <t>Share-based Payment</t>
        </is>
      </c>
      <c r="B67" s="8" t="inlineStr">
        <is>
          <t>以股份為基礎的付款</t>
        </is>
      </c>
      <c r="C67" s="8" t="inlineStr">
        <is>
          <t>medium</t>
        </is>
      </c>
      <c r="D67" s="11" t="inlineStr">
        <is>
          <t>share-based payment</t>
        </is>
      </c>
      <c r="E67" s="11" t="inlineStr">
        <is>
          <t>PDF p.100 (印刷頁 99)</t>
        </is>
      </c>
      <c r="F67" s="11" t="inlineStr">
        <is>
          <t>NOTES TO THE CONSOLIDATED FINANCIAL STATEMENTS FOR THE YEAR ENDED 31 MARCH 2026 30. SHARE-BASED PAYMENT TRANSACTIONS The Company’s former share option scheme (the “Former Scheme”) was approved and adopted in compliance with Chapter 23 of the GEM Listing Rules by the written resolutions of the shareholders passed on 29 January 2018 which was terminated on 18 January 2024. In view of the amendments to Chapter 23 of the GEM Listing Rule relating to share schemes which came into effe</t>
        </is>
      </c>
    </row>
    <row r="68">
      <c r="A68" s="8" t="inlineStr">
        <is>
          <t>Share-based Payment</t>
        </is>
      </c>
      <c r="B68" s="8" t="inlineStr">
        <is>
          <t>以股份為基礎的付款</t>
        </is>
      </c>
      <c r="C68" s="8" t="inlineStr">
        <is>
          <t>medium</t>
        </is>
      </c>
      <c r="D68" s="11" t="inlineStr">
        <is>
          <t>share-based payment</t>
        </is>
      </c>
      <c r="E68" s="11" t="inlineStr">
        <is>
          <t>PDF p.101 (印刷頁 100)</t>
        </is>
      </c>
      <c r="F68" s="11" t="inlineStr">
        <is>
          <t>NOTES TO THE CONSOLIDATED FINANCIAL STATEMENTS FOR THE YEAR ENDED 31 MARCH 2026 30. SHARE-BASED PAYMENT TRANSACTIONS (Continued) An option may be exercised in accordance with the terms of the Former Scheme and such other terms and conditions upon which an option was granted, at any time during the option period after the option has been granted by the Board but in any event, not longer than 10 years from the date of grant. An option shall lapse automatically and not be exercisabl</t>
        </is>
      </c>
    </row>
    <row r="69">
      <c r="A69" s="8" t="inlineStr">
        <is>
          <t>Share-based Payment</t>
        </is>
      </c>
      <c r="B69" s="8" t="inlineStr">
        <is>
          <t>以股份為基礎的付款</t>
        </is>
      </c>
      <c r="C69" s="8" t="inlineStr">
        <is>
          <t>medium</t>
        </is>
      </c>
      <c r="D69" s="11" t="inlineStr">
        <is>
          <t>share-based payment</t>
        </is>
      </c>
      <c r="E69" s="11" t="inlineStr">
        <is>
          <t>PDF p.102 (印刷頁 101)</t>
        </is>
      </c>
      <c r="F69" s="11" t="inlineStr">
        <is>
          <t>NOTES TO THE CONSOLIDATED FINANCIAL STATEMENTS FOR THE YEAR ENDED 31 MARCH 2026 30. SHARE-BASED PAYMENT TRANSACTIONS (Continued) Movements of the share options granted to the selected director, employees and consultants pursuant to the Former Scheme for the year ended 31 March 2026 and 31 March 2025 are as follows: Number of share Number options of share outstanding options and outstanding exercisable and Adjustment at 31 March Adjusted exercisable for the year 2025, 1 April Exer</t>
        </is>
      </c>
    </row>
    <row r="70">
      <c r="A70" s="8" t="inlineStr">
        <is>
          <t>Share-based Payment</t>
        </is>
      </c>
      <c r="B70" s="8" t="inlineStr">
        <is>
          <t>以股份為基礎的付款</t>
        </is>
      </c>
      <c r="C70" s="8" t="inlineStr">
        <is>
          <t>medium</t>
        </is>
      </c>
      <c r="D70" s="11" t="inlineStr">
        <is>
          <t>share-based payment</t>
        </is>
      </c>
      <c r="E70" s="11" t="inlineStr">
        <is>
          <t>PDF p.103 (印刷頁 102)</t>
        </is>
      </c>
      <c r="F70" s="11" t="inlineStr">
        <is>
          <t>NOTES TO THE CONSOLIDATED FINANCIAL STATEMENTS FOR THE YEAR ENDED 31 MARCH 2026 30. SHARE-BASED PAYMENT TRANSACTIONS (Continued) Notes: 1. Consultant G is a business developer and provided business development services to the Company for the year ended 31 March 2023. In order to have a better service and be part of the Group, the Company retained and motivated Consultant G to strive for future development and expansion of the Group by way of granting options to Consultant G. 2. C</t>
        </is>
      </c>
    </row>
    <row r="71">
      <c r="A71" s="8" t="inlineStr">
        <is>
          <t>Share-based Payment</t>
        </is>
      </c>
      <c r="B71" s="8" t="inlineStr">
        <is>
          <t>以股份為基礎的付款</t>
        </is>
      </c>
      <c r="C71" s="8" t="inlineStr">
        <is>
          <t>medium</t>
        </is>
      </c>
      <c r="D71" s="11" t="inlineStr">
        <is>
          <t>share-based payment</t>
        </is>
      </c>
      <c r="E71" s="11" t="inlineStr">
        <is>
          <t>PDF p.104 (印刷頁 103)</t>
        </is>
      </c>
      <c r="F71" s="11" t="inlineStr">
        <is>
          <t>NOTES TO THE CONSOLIDATED FINANCIAL STATEMENTS FOR THE YEAR ENDED 31 MARCH 2026 30. SHARE-BASED PAYMENT TRANSACTIONS (Continued) For New Share Scheme: (Continued) An option or award may be exercised in whole or in part after the same has become vested and at any time during a period as the Board may determine which shall not exceed ten years from the date of offer of the Options, by the grantee giving notice in writing to the Company in such form as the Board may from time to tim</t>
        </is>
      </c>
    </row>
    <row r="72">
      <c r="A72" s="8" t="inlineStr">
        <is>
          <t>Related Party Transactions</t>
        </is>
      </c>
      <c r="B72" s="8" t="inlineStr">
        <is>
          <t>關聯方交易</t>
        </is>
      </c>
      <c r="C72" s="8" t="inlineStr">
        <is>
          <t>low</t>
        </is>
      </c>
      <c r="D72" s="11" t="inlineStr">
        <is>
          <t>connected transaction</t>
        </is>
      </c>
      <c r="E72" s="11" t="inlineStr">
        <is>
          <t>PDF p.22 (印刷頁 21)</t>
        </is>
      </c>
      <c r="F72" s="11" t="inlineStr">
        <is>
          <t>Cheung Hiu Fung 1/1 4/4 Ms. Ip Sin Nam 1/1 4/4 INDEPENDENT BOARD COMMITTEE Where there are matters involving connected or continuing connected transactions, so far as required under the GEM Listing Rules, an Independent Board Committee, comprising wholly the INEDs, will be established. BOARD COMMITTEES The Board has established three committees, including the Remuneration Committee, the Nomination Committee and the Audit Committee with delegated powers for overseeing particular aspects of the Company’s affair. Each of the commi</t>
        </is>
      </c>
    </row>
    <row r="73">
      <c r="A73" s="8" t="inlineStr">
        <is>
          <t>Related Party Transactions</t>
        </is>
      </c>
      <c r="B73" s="8" t="inlineStr">
        <is>
          <t>關聯方交易</t>
        </is>
      </c>
      <c r="C73" s="8" t="inlineStr">
        <is>
          <t>low</t>
        </is>
      </c>
      <c r="D73" s="11" t="inlineStr">
        <is>
          <t>related party</t>
        </is>
      </c>
      <c r="E73" s="11" t="inlineStr">
        <is>
          <t>PDF p.35 (印刷頁 34)</t>
        </is>
      </c>
      <c r="F73" s="11" t="inlineStr">
        <is>
          <t>arch 2026 and 2025, share options were granted, exercised, expired or lapsed are disclosed in note 30 under the Share Option Scheme. RELATED PARTY TRANSACTIONS AND CONNECTED TRANSACTIONS Details of the significant related party transactions and connected transactions entered by the Group during the year ended 31 March 2026 are set out in note 35 to the consolidated financial statements. 34 SIMPLICITY HOLDING LIMITED</t>
        </is>
      </c>
    </row>
    <row r="74">
      <c r="A74" s="8" t="inlineStr">
        <is>
          <t>Related Party Transactions</t>
        </is>
      </c>
      <c r="B74" s="8" t="inlineStr">
        <is>
          <t>關聯方交易</t>
        </is>
      </c>
      <c r="C74" s="8" t="inlineStr">
        <is>
          <t>low</t>
        </is>
      </c>
      <c r="D74" s="11" t="inlineStr">
        <is>
          <t>related party</t>
        </is>
      </c>
      <c r="E74" s="11" t="inlineStr">
        <is>
          <t>PDF p.113 (印刷頁 112)</t>
        </is>
      </c>
      <c r="F74" s="11" t="inlineStr">
        <is>
          <t>raised, interest payment of bank borrowings, and repayment of lease liabilities including both principal and interest portions. 35. RELATED PARTY TRANSACTIONS Compensation of key management personnel The remuneration of directors, who comprise the members of key management of the Group, during the years ended 31 March 2026 and 2025 were as follows: 2026 2025 HK$’000 HK$’000 Short-term benefits 1,066 924 Post-employment benefits — — 1,066 924 112 SIMPLICITY HOLDING LIMITED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R&amp;D Expenses</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Intangible Assets</t>
        </is>
      </c>
    </row>
    <row r="16">
      <c r="A16" s="8" t="inlineStr">
        <is>
          <t>Balance Sheet</t>
        </is>
      </c>
      <c r="B16" s="8" t="inlineStr">
        <is>
          <t>Investment Properties</t>
        </is>
      </c>
    </row>
    <row r="17">
      <c r="A17" s="8" t="inlineStr">
        <is>
          <t>Balance Sheet</t>
        </is>
      </c>
      <c r="B17" s="8" t="inlineStr">
        <is>
          <t>Total Liabilities</t>
        </is>
      </c>
    </row>
    <row r="18">
      <c r="A18" s="8" t="inlineStr">
        <is>
          <t>Balance Sheet</t>
        </is>
      </c>
      <c r="B18" s="8" t="inlineStr">
        <is>
          <t>Borrowings</t>
        </is>
      </c>
    </row>
    <row r="19">
      <c r="A19" s="8" t="inlineStr">
        <is>
          <t>Balance Sheet</t>
        </is>
      </c>
      <c r="B19" s="8" t="inlineStr">
        <is>
          <t>Total Equity</t>
        </is>
      </c>
    </row>
    <row r="20">
      <c r="A20" s="8" t="inlineStr">
        <is>
          <t>Cash Flow</t>
        </is>
      </c>
      <c r="B20" s="8" t="inlineStr">
        <is>
          <t>Investing Cash Flow</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2026-08-30T14:15:43Z</dcterms:created>
  <dcterms:modified xsi:type="dcterms:W3CDTF">2026-08-30T14:15:43Z</dcterms:modified>
</cp:coreProperties>
</file>
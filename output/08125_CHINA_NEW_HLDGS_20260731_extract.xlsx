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0"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08125_CHINA_NEW_HLDGS_20260731.pdf</t>
        </is>
      </c>
    </row>
    <row r="5">
      <c r="A5" s="3" t="inlineStr">
        <is>
          <t>產生時間 Generated</t>
        </is>
      </c>
      <c r="B5" s="4" t="inlineStr">
        <is>
          <t>2026-08-30 22:16</t>
        </is>
      </c>
    </row>
    <row r="6">
      <c r="A6" s="4" t="inlineStr"/>
      <c r="B6" s="4" t="inlineStr"/>
    </row>
    <row r="7">
      <c r="A7" s="3" t="inlineStr">
        <is>
          <t>總頁數 Total pages</t>
        </is>
      </c>
      <c r="B7" s="4" t="n">
        <v>214</v>
      </c>
    </row>
    <row r="8">
      <c r="A8" s="3" t="inlineStr">
        <is>
          <t>已擷取字元 Characters extracted</t>
        </is>
      </c>
      <c r="B8" s="4" t="n">
        <v>410713</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0</v>
      </c>
    </row>
    <row r="13">
      <c r="A13" s="3" t="inlineStr">
        <is>
          <t>財務科目擷取筆數 Financial line items</t>
        </is>
      </c>
      <c r="B13" s="4" t="n">
        <v>15</v>
      </c>
    </row>
    <row r="14">
      <c r="A14" s="3" t="inlineStr">
        <is>
          <t>主題段落擷取筆數 Topic extracts</t>
        </is>
      </c>
      <c r="B14" s="4" t="n">
        <v>113</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79,933 − 19,321 = 60,612</t>
        </is>
      </c>
    </row>
    <row r="20">
      <c r="A20" s="6" t="inlineStr">
        <is>
          <t>✓ 收入 − 銷售成本 = 毛利</t>
        </is>
      </c>
      <c r="B20" s="4" t="inlineStr">
        <is>
          <t>111,917 − 107,682 = 4,235 vs 毛利 4,235</t>
        </is>
      </c>
    </row>
    <row r="21">
      <c r="A21" s="6" t="inlineStr">
        <is>
          <t>✓ 三大報表應相鄰</t>
        </is>
      </c>
      <c r="B21" s="4" t="inlineStr">
        <is>
          <t>Income Statement: p.105、Balance Sheet: p.106、Cash Flow: p.109(相距 4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2025 / 2026;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9" t="n">
        <v>111917</v>
      </c>
      <c r="D5" s="10" t="n">
        <v>155904</v>
      </c>
      <c r="E5" s="11">
        <f>IF(ISERROR((C5-D5)/ABS(D5)),"",(C5-D5)/ABS(D5))</f>
        <v>-0.28214157430213466</v>
      </c>
      <c r="F5" s="12" t="inlineStr">
        <is>
          <t>PDF p.105 (印刷頁 104)</t>
        </is>
      </c>
      <c r="G5" s="12" t="inlineStr">
        <is>
          <t>Revenue 7 111,917 155,904</t>
        </is>
      </c>
    </row>
    <row r="6">
      <c r="A6" s="8" t="inlineStr">
        <is>
          <t>Income Statement</t>
        </is>
      </c>
      <c r="B6" s="8" t="inlineStr">
        <is>
          <t>Cost of Sales</t>
        </is>
      </c>
      <c r="C6" s="9" t="n">
        <v>-107682</v>
      </c>
      <c r="D6" s="10" t="n">
        <v>-151260</v>
      </c>
      <c r="E6" s="11">
        <f>IF(ISERROR((C6-D6)/ABS(D6)),"",(C6-D6)/ABS(D6))</f>
        <v>0.2880999603332011</v>
      </c>
      <c r="F6" s="12" t="inlineStr">
        <is>
          <t>PDF p.105 (印刷頁 104)</t>
        </is>
      </c>
      <c r="G6" s="12" t="inlineStr">
        <is>
          <t>Cost of sales (107,682) (151,260)</t>
        </is>
      </c>
    </row>
    <row r="7">
      <c r="A7" s="8" t="inlineStr">
        <is>
          <t>Income Statement</t>
        </is>
      </c>
      <c r="B7" s="8" t="inlineStr">
        <is>
          <t>Gross Profit</t>
        </is>
      </c>
      <c r="C7" s="9" t="n">
        <v>4235</v>
      </c>
      <c r="D7" s="10" t="n">
        <v>4644</v>
      </c>
      <c r="E7" s="11">
        <f>IF(ISERROR((C7-D7)/ABS(D7)),"",(C7-D7)/ABS(D7))</f>
        <v>-0.08807062876830318</v>
      </c>
      <c r="F7" s="12" t="inlineStr">
        <is>
          <t>PDF p.105 (印刷頁 104)</t>
        </is>
      </c>
      <c r="G7" s="12" t="inlineStr">
        <is>
          <t>Gross profit 4,235 4,644</t>
        </is>
      </c>
    </row>
    <row r="8">
      <c r="A8" s="8" t="inlineStr">
        <is>
          <t>Income Statement</t>
        </is>
      </c>
      <c r="B8" s="8" t="inlineStr">
        <is>
          <t>Finance Costs</t>
        </is>
      </c>
      <c r="C8" s="9" t="n">
        <v>-4</v>
      </c>
      <c r="D8" s="10" t="n">
        <v>-48</v>
      </c>
      <c r="E8" s="11">
        <f>IF(ISERROR((C8-D8)/ABS(D8)),"",(C8-D8)/ABS(D8))</f>
        <v>0.9166666666666666</v>
      </c>
      <c r="F8" s="12" t="inlineStr">
        <is>
          <t>PDF p.105 (印刷頁 104)</t>
        </is>
      </c>
      <c r="G8" s="12" t="inlineStr">
        <is>
          <t>Finance costs 11 (4) (48)</t>
        </is>
      </c>
    </row>
    <row r="9">
      <c r="A9" s="8" t="inlineStr">
        <is>
          <t>Income Statement</t>
        </is>
      </c>
      <c r="B9" s="8" t="inlineStr">
        <is>
          <t>Income Tax</t>
        </is>
      </c>
      <c r="C9" s="9" t="n">
        <v>2</v>
      </c>
      <c r="D9" s="10" t="n">
        <v>22</v>
      </c>
      <c r="E9" s="11">
        <f>IF(ISERROR((C9-D9)/ABS(D9)),"",(C9-D9)/ABS(D9))</f>
        <v>-0.9090909090909091</v>
      </c>
      <c r="F9" s="12" t="inlineStr">
        <is>
          <t>PDF p.105 (印刷頁 104)</t>
        </is>
      </c>
      <c r="G9" s="12" t="inlineStr">
        <is>
          <t>Income tax credit 12 2 22</t>
        </is>
      </c>
    </row>
    <row r="10">
      <c r="A10" s="8" t="inlineStr">
        <is>
          <t>Income Statement</t>
        </is>
      </c>
      <c r="B10" s="8" t="inlineStr">
        <is>
          <t>Profit for the Year</t>
        </is>
      </c>
      <c r="C10" s="9" t="n">
        <v>-33874</v>
      </c>
      <c r="D10" s="10" t="n">
        <v>-21678</v>
      </c>
      <c r="E10" s="11">
        <f>IF(ISERROR((C10-D10)/ABS(D10)),"",(C10-D10)/ABS(D10))</f>
        <v>-0.5625980256481226</v>
      </c>
      <c r="F10" s="12" t="inlineStr">
        <is>
          <t>PDF p.105 (印刷頁 104)</t>
        </is>
      </c>
      <c r="G10" s="12" t="inlineStr">
        <is>
          <t>Loss for the year (33,874) (21,678)</t>
        </is>
      </c>
    </row>
    <row r="11">
      <c r="A11" s="8" t="inlineStr">
        <is>
          <t>Balance Sheet</t>
        </is>
      </c>
      <c r="B11" s="8" t="inlineStr">
        <is>
          <t>Property Plant and Equipment</t>
        </is>
      </c>
      <c r="C11" s="9" t="n">
        <v>4</v>
      </c>
      <c r="D11" s="10" t="n">
        <v>3703</v>
      </c>
      <c r="E11" s="11">
        <f>IF(ISERROR((C11-D11)/ABS(D11)),"",(C11-D11)/ABS(D11))</f>
        <v>-0.9989197947610046</v>
      </c>
      <c r="F11" s="12" t="inlineStr">
        <is>
          <t>PDF p.106 (印刷頁 105)</t>
        </is>
      </c>
      <c r="G11" s="12" t="inlineStr">
        <is>
          <t>Property, plant and equipment 18 4 3,703</t>
        </is>
      </c>
    </row>
    <row r="12">
      <c r="A12" s="8" t="inlineStr">
        <is>
          <t>Balance Sheet</t>
        </is>
      </c>
      <c r="B12" s="8" t="inlineStr">
        <is>
          <t>Goodwill</t>
        </is>
      </c>
      <c r="C12" s="9" t="n">
        <v>0</v>
      </c>
      <c r="D12" s="10" t="n">
        <v>0</v>
      </c>
      <c r="E12" s="11" t="str">
        <f>IF(ISERROR((C12-D12)/ABS(D12)),"",(C12-D12)/ABS(D12))</f>
        <v/>
      </c>
      <c r="F12" s="12" t="inlineStr">
        <is>
          <t>PDF p.106 (印刷頁 105)</t>
        </is>
      </c>
      <c r="G12" s="12" t="inlineStr">
        <is>
          <t>Goodwill 19 – –</t>
        </is>
      </c>
    </row>
    <row r="13">
      <c r="A13" s="8" t="inlineStr">
        <is>
          <t>Balance Sheet</t>
        </is>
      </c>
      <c r="B13" s="8" t="inlineStr">
        <is>
          <t>Intangible Assets</t>
        </is>
      </c>
      <c r="C13" s="9" t="n">
        <v>1640</v>
      </c>
      <c r="D13" s="10" t="n">
        <v>2250</v>
      </c>
      <c r="E13" s="11">
        <f>IF(ISERROR((C13-D13)/ABS(D13)),"",(C13-D13)/ABS(D13))</f>
        <v>-0.27111111111111114</v>
      </c>
      <c r="F13" s="12" t="inlineStr">
        <is>
          <t>PDF p.106 (印刷頁 105)</t>
        </is>
      </c>
      <c r="G13" s="12" t="inlineStr">
        <is>
          <t>Intangible assets 20 1,640 2,250</t>
        </is>
      </c>
    </row>
    <row r="14">
      <c r="A14" s="8" t="inlineStr">
        <is>
          <t>Balance Sheet</t>
        </is>
      </c>
      <c r="B14" s="8" t="inlineStr">
        <is>
          <t>Inventories</t>
        </is>
      </c>
      <c r="C14" s="9" t="n">
        <v>5259</v>
      </c>
      <c r="D14" s="10" t="n">
        <v>6102</v>
      </c>
      <c r="E14" s="11">
        <f>IF(ISERROR((C14-D14)/ABS(D14)),"",(C14-D14)/ABS(D14))</f>
        <v>-0.13815142576204523</v>
      </c>
      <c r="F14" s="12" t="inlineStr">
        <is>
          <t>PDF p.106 (印刷頁 105)</t>
        </is>
      </c>
      <c r="G14" s="12" t="inlineStr">
        <is>
          <t>Inventories 22 5,259 6,102</t>
        </is>
      </c>
    </row>
    <row r="15">
      <c r="A15" s="8" t="inlineStr">
        <is>
          <t>Balance Sheet</t>
        </is>
      </c>
      <c r="B15" s="8" t="inlineStr">
        <is>
          <t>Trade Receivables</t>
        </is>
      </c>
      <c r="C15" s="9" t="n">
        <v>50455</v>
      </c>
      <c r="D15" s="10" t="n">
        <v>41128</v>
      </c>
      <c r="E15" s="11">
        <f>IF(ISERROR((C15-D15)/ABS(D15)),"",(C15-D15)/ABS(D15))</f>
        <v>0.22677980937560785</v>
      </c>
      <c r="F15" s="12" t="inlineStr">
        <is>
          <t>PDF p.106 (印刷頁 105)</t>
        </is>
      </c>
      <c r="G15" s="12" t="inlineStr">
        <is>
          <t>Trade and other receivables 23 50,455 41,128</t>
        </is>
      </c>
    </row>
    <row r="16">
      <c r="A16" s="8" t="inlineStr">
        <is>
          <t>Balance Sheet</t>
        </is>
      </c>
      <c r="B16" s="8" t="inlineStr">
        <is>
          <t>Total Equity</t>
        </is>
      </c>
      <c r="C16" s="9" t="n">
        <v>61986</v>
      </c>
      <c r="D16" s="10" t="n">
        <v>59182</v>
      </c>
      <c r="E16" s="11">
        <f>IF(ISERROR((C16-D16)/ABS(D16)),"",(C16-D16)/ABS(D16))</f>
        <v>0.04737927072420668</v>
      </c>
      <c r="F16" s="12" t="inlineStr">
        <is>
          <t>PDF p.107 (印刷頁 106)</t>
        </is>
      </c>
      <c r="G16" s="12" t="inlineStr">
        <is>
          <t>TOTAL EQUITY 61,986 59,182</t>
        </is>
      </c>
    </row>
    <row r="17">
      <c r="A17" s="8" t="inlineStr">
        <is>
          <t>Balance Sheet</t>
        </is>
      </c>
      <c r="B17" s="8" t="inlineStr">
        <is>
          <t>Total Current Assets</t>
        </is>
      </c>
      <c r="C17" s="9" t="n">
        <v>79933</v>
      </c>
      <c r="D17" s="10" t="n">
        <v>105796</v>
      </c>
      <c r="E17" s="11">
        <f>IF(ISERROR((C17-D17)/ABS(D17)),"",(C17-D17)/ABS(D17))</f>
        <v>-0.24446103822450754</v>
      </c>
      <c r="F17" s="12" t="inlineStr">
        <is>
          <t>PDF p.106 (印刷頁 105)</t>
        </is>
      </c>
      <c r="G17" s="12" t="inlineStr">
        <is>
          <t>[current assets 區段小計] 79,933 105,796</t>
        </is>
      </c>
    </row>
    <row r="18">
      <c r="A18" s="8" t="inlineStr">
        <is>
          <t>Balance Sheet</t>
        </is>
      </c>
      <c r="B18" s="8" t="inlineStr">
        <is>
          <t>Total Current Liabilities</t>
        </is>
      </c>
      <c r="C18" s="9" t="n">
        <v>19321</v>
      </c>
      <c r="D18" s="10" t="n">
        <v>52295</v>
      </c>
      <c r="E18" s="11">
        <f>IF(ISERROR((C18-D18)/ABS(D18)),"",(C18-D18)/ABS(D18))</f>
        <v>-0.6305382923797687</v>
      </c>
      <c r="F18" s="12" t="inlineStr">
        <is>
          <t>PDF p.106 (印刷頁 105)</t>
        </is>
      </c>
      <c r="G18" s="12" t="inlineStr">
        <is>
          <t>[current liabilities 區段小計] 19,321 52,295</t>
        </is>
      </c>
    </row>
    <row r="19">
      <c r="A19" s="8" t="inlineStr">
        <is>
          <t>Cash Flow</t>
        </is>
      </c>
      <c r="B19" s="8" t="inlineStr">
        <is>
          <t>Financing Cash Flow</t>
        </is>
      </c>
      <c r="C19" s="9" t="n">
        <v>39677</v>
      </c>
      <c r="D19" s="10" t="n">
        <v>31151</v>
      </c>
      <c r="E19" s="11">
        <f>IF(ISERROR((C19-D19)/ABS(D19)),"",(C19-D19)/ABS(D19))</f>
        <v>0.27369907868126225</v>
      </c>
      <c r="F19" s="12" t="inlineStr">
        <is>
          <t>PDF p.110 (印刷頁 109)</t>
        </is>
      </c>
      <c r="G19" s="12" t="inlineStr">
        <is>
          <t>Net cash from financing activities 39,677 31,151</t>
        </is>
      </c>
    </row>
    <row r="21">
      <c r="A21"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3">
        <f>IF(ISERROR(INDEX('Financials 財務數據'!$C$5:$C$19,MATCH("Gross Profit",'Financials 財務數據'!$B$5:$B$19,0))/INDEX('Financials 財務數據'!$C$5:$C$19,MATCH("Revenue",'Financials 財務數據'!$B$5:$B$19,0))),"n/a",INDEX('Financials 財務數據'!$C$5:$C$19,MATCH("Gross Profit",'Financials 財務數據'!$B$5:$B$19,0))/INDEX('Financials 財務數據'!$C$5:$C$19,MATCH("Revenue",'Financials 財務數據'!$B$5:$B$19,0)))</f>
        <v>0.03784054254492168</v>
      </c>
      <c r="C5" s="13">
        <f>IF(ISERROR(INDEX('Financials 財務數據'!$D$5:$D$19,MATCH("Gross Profit",'Financials 財務數據'!$B$5:$B$19,0))/INDEX('Financials 財務數據'!$D$5:$D$19,MATCH("Revenue",'Financials 財務數據'!$B$5:$B$19,0))),"n/a",INDEX('Financials 財務數據'!$D$5:$D$19,MATCH("Gross Profit",'Financials 財務數據'!$B$5:$B$19,0))/INDEX('Financials 財務數據'!$D$5:$D$19,MATCH("Revenue",'Financials 財務數據'!$B$5:$B$19,0)))</f>
        <v>0.02978756157635468</v>
      </c>
      <c r="D5" s="2" t="inlineStr">
        <is>
          <t>毛利 ÷ 收入</t>
        </is>
      </c>
    </row>
    <row r="6">
      <c r="A6" s="4" t="inlineStr">
        <is>
          <t>Net Margin 淨利率</t>
        </is>
      </c>
      <c r="B6" s="13">
        <f>IF(ISERROR(INDEX('Financials 財務數據'!$C$5:$C$19,MATCH("Profit for the Year",'Financials 財務數據'!$B$5:$B$19,0))/INDEX('Financials 財務數據'!$C$5:$C$19,MATCH("Revenue",'Financials 財務數據'!$B$5:$B$19,0))),"n/a",INDEX('Financials 財務數據'!$C$5:$C$19,MATCH("Profit for the Year",'Financials 財務數據'!$B$5:$B$19,0))/INDEX('Financials 財務數據'!$C$5:$C$19,MATCH("Revenue",'Financials 財務數據'!$B$5:$B$19,0)))</f>
        <v>-0.3026707292011044</v>
      </c>
      <c r="C6" s="13">
        <f>IF(ISERROR(INDEX('Financials 財務數據'!$D$5:$D$19,MATCH("Profit for the Year",'Financials 財務數據'!$B$5:$B$19,0))/INDEX('Financials 財務數據'!$D$5:$D$19,MATCH("Revenue",'Financials 財務數據'!$B$5:$B$19,0))),"n/a",INDEX('Financials 財務數據'!$D$5:$D$19,MATCH("Profit for the Year",'Financials 財務數據'!$B$5:$B$19,0))/INDEX('Financials 財務數據'!$D$5:$D$19,MATCH("Revenue",'Financials 財務數據'!$B$5:$B$19,0)))</f>
        <v>-0.13904710591133004</v>
      </c>
      <c r="D6" s="2" t="inlineStr">
        <is>
          <t>年內溢利 ÷ 收入</t>
        </is>
      </c>
    </row>
    <row r="7">
      <c r="A7" s="4" t="inlineStr">
        <is>
          <t>Current Ratio 流動比率</t>
        </is>
      </c>
      <c r="B7" s="14">
        <f>IF(ISERROR(INDEX('Financials 財務數據'!$C$5:$C$19,MATCH("Total Current Assets",'Financials 財務數據'!$B$5:$B$19,0))/INDEX('Financials 財務數據'!$C$5:$C$19,MATCH("Total Current Liabilities",'Financials 財務數據'!$B$5:$B$19,0))),"n/a",INDEX('Financials 財務數據'!$C$5:$C$19,MATCH("Total Current Assets",'Financials 財務數據'!$B$5:$B$19,0))/INDEX('Financials 財務數據'!$C$5:$C$19,MATCH("Total Current Liabilities",'Financials 財務數據'!$B$5:$B$19,0)))</f>
        <v>4.137104704725428</v>
      </c>
      <c r="C7" s="14">
        <f>IF(ISERROR(INDEX('Financials 財務數據'!$D$5:$D$19,MATCH("Total Current Assets",'Financials 財務數據'!$B$5:$B$19,0))/INDEX('Financials 財務數據'!$D$5:$D$19,MATCH("Total Current Liabilities",'Financials 財務數據'!$B$5:$B$19,0))),"n/a",INDEX('Financials 財務數據'!$D$5:$D$19,MATCH("Total Current Assets",'Financials 財務數據'!$B$5:$B$19,0))/INDEX('Financials 財務數據'!$D$5:$D$19,MATCH("Total Current Liabilities",'Financials 財務數據'!$B$5:$B$19,0)))</f>
        <v>2.023061478152787</v>
      </c>
      <c r="D7" s="2" t="inlineStr">
        <is>
          <t>流動資產 ÷ 流動負債</t>
        </is>
      </c>
    </row>
    <row r="8">
      <c r="A8" s="4" t="inlineStr">
        <is>
          <t>Debt / Equity 負債權益比</t>
        </is>
      </c>
      <c r="B8" s="14" t="str">
        <f>IF(ISERROR(INDEX('Financials 財務數據'!$C$5:$C$19,MATCH("Total Liabilities",'Financials 財務數據'!$B$5:$B$19,0))/INDEX('Financials 財務數據'!$C$5:$C$19,MATCH("Total Equity",'Financials 財務數據'!$B$5:$B$19,0))),"n/a",INDEX('Financials 財務數據'!$C$5:$C$19,MATCH("Total Liabilities",'Financials 財務數據'!$B$5:$B$19,0))/INDEX('Financials 財務數據'!$C$5:$C$19,MATCH("Total Equity",'Financials 財務數據'!$B$5:$B$19,0)))</f>
        <v>n/a</v>
      </c>
      <c r="C8" s="14" t="str">
        <f>IF(ISERROR(INDEX('Financials 財務數據'!$D$5:$D$19,MATCH("Total Liabilities",'Financials 財務數據'!$B$5:$B$19,0))/INDEX('Financials 財務數據'!$D$5:$D$19,MATCH("Total Equity",'Financials 財務數據'!$B$5:$B$19,0))),"n/a",INDEX('Financials 財務數據'!$D$5:$D$19,MATCH("Total Liabilities",'Financials 財務數據'!$B$5:$B$19,0))/INDEX('Financials 財務數據'!$D$5:$D$19,MATCH("Total Equity",'Financials 財務數據'!$B$5:$B$19,0)))</f>
        <v>n/a</v>
      </c>
      <c r="D8" s="2" t="inlineStr">
        <is>
          <t>總負債 ÷ 總權益</t>
        </is>
      </c>
    </row>
    <row r="9">
      <c r="A9" s="4" t="inlineStr">
        <is>
          <t>Goodwill / Total Assets</t>
        </is>
      </c>
      <c r="B9" s="13" t="str">
        <f>IF(ISERROR(INDEX('Financials 財務數據'!$C$5:$C$19,MATCH("Goodwill",'Financials 財務數據'!$B$5:$B$19,0))/INDEX('Financials 財務數據'!$C$5:$C$19,MATCH("Total Assets",'Financials 財務數據'!$B$5:$B$19,0))),"n/a",INDEX('Financials 財務數據'!$C$5:$C$19,MATCH("Goodwill",'Financials 財務數據'!$B$5:$B$19,0))/INDEX('Financials 財務數據'!$C$5:$C$19,MATCH("Total Assets",'Financials 財務數據'!$B$5:$B$19,0)))</f>
        <v>n/a</v>
      </c>
      <c r="C9" s="13" t="str">
        <f>IF(ISERROR(INDEX('Financials 財務數據'!$D$5:$D$19,MATCH("Goodwill",'Financials 財務數據'!$B$5:$B$19,0))/INDEX('Financials 財務數據'!$D$5:$D$19,MATCH("Total Assets",'Financials 財務數據'!$B$5:$B$19,0))),"n/a",INDEX('Financials 財務數據'!$D$5:$D$19,MATCH("Goodwill",'Financials 財務數據'!$B$5:$B$19,0))/INDEX('Financials 財務數據'!$D$5:$D$19,MATCH("Total Assets",'Financials 財務數據'!$B$5:$B$19,0)))</f>
        <v>n/a</v>
      </c>
      <c r="D9" s="2" t="inlineStr">
        <is>
          <t>商譽佔總資產比重 — 減值風險指標</t>
        </is>
      </c>
    </row>
    <row r="10">
      <c r="A10" s="4" t="inlineStr">
        <is>
          <t>Intangibles / Total Assets</t>
        </is>
      </c>
      <c r="B10" s="13" t="str">
        <f>IF(ISERROR(INDEX('Financials 財務數據'!$C$5:$C$19,MATCH("Intangible Assets",'Financials 財務數據'!$B$5:$B$19,0))/INDEX('Financials 財務數據'!$C$5:$C$19,MATCH("Total Assets",'Financials 財務數據'!$B$5:$B$19,0))),"n/a",INDEX('Financials 財務數據'!$C$5:$C$19,MATCH("Intangible Assets",'Financials 財務數據'!$B$5:$B$19,0))/INDEX('Financials 財務數據'!$C$5:$C$19,MATCH("Total Assets",'Financials 財務數據'!$B$5:$B$19,0)))</f>
        <v>n/a</v>
      </c>
      <c r="C10" s="13" t="str">
        <f>IF(ISERROR(INDEX('Financials 財務數據'!$D$5:$D$19,MATCH("Intangible Assets",'Financials 財務數據'!$B$5:$B$19,0))/INDEX('Financials 財務數據'!$D$5:$D$19,MATCH("Total Assets",'Financials 財務數據'!$B$5:$B$19,0))),"n/a",INDEX('Financials 財務數據'!$D$5:$D$19,MATCH("Intangible Assets",'Financials 財務數據'!$B$5:$B$19,0))/INDEX('Financials 財務數據'!$D$5:$D$19,MATCH("Total Assets",'Financials 財務數據'!$B$5:$B$19,0)))</f>
        <v>n/a</v>
      </c>
      <c r="D10" s="2" t="inlineStr">
        <is>
          <t>無形資產佔比</t>
        </is>
      </c>
    </row>
    <row r="11">
      <c r="A11" s="4" t="inlineStr">
        <is>
          <t>ROE 股本回報率</t>
        </is>
      </c>
      <c r="B11" s="13">
        <f>IF(ISERROR(INDEX('Financials 財務數據'!$C$5:$C$19,MATCH("Profit for the Year",'Financials 財務數據'!$B$5:$B$19,0))/INDEX('Financials 財務數據'!$C$5:$C$19,MATCH("Total Equity",'Financials 財務數據'!$B$5:$B$19,0))),"n/a",INDEX('Financials 財務數據'!$C$5:$C$19,MATCH("Profit for the Year",'Financials 財務數據'!$B$5:$B$19,0))/INDEX('Financials 財務數據'!$C$5:$C$19,MATCH("Total Equity",'Financials 財務數據'!$B$5:$B$19,0)))</f>
        <v>-0.5464782370212629</v>
      </c>
      <c r="C11" s="13">
        <f>IF(ISERROR(INDEX('Financials 財務數據'!$D$5:$D$19,MATCH("Profit for the Year",'Financials 財務數據'!$B$5:$B$19,0))/INDEX('Financials 財務數據'!$D$5:$D$19,MATCH("Total Equity",'Financials 財務數據'!$B$5:$B$19,0))),"n/a",INDEX('Financials 財務數據'!$D$5:$D$19,MATCH("Profit for the Year",'Financials 財務數據'!$B$5:$B$19,0))/INDEX('Financials 財務數據'!$D$5:$D$19,MATCH("Total Equity",'Financials 財務數據'!$B$5:$B$19,0)))</f>
        <v>-0.3662938055489845</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5" t="inlineStr">
        <is>
          <t>Item</t>
        </is>
      </c>
      <c r="B4" s="15" t="inlineStr">
        <is>
          <t>Prior</t>
        </is>
      </c>
      <c r="C4" s="15" t="inlineStr">
        <is>
          <t>Current</t>
        </is>
      </c>
    </row>
    <row r="5">
      <c r="A5" s="4" t="inlineStr">
        <is>
          <t>Revenue</t>
        </is>
      </c>
      <c r="B5" s="16" t="n">
        <v>155904</v>
      </c>
      <c r="C5" s="16" t="n">
        <v>111917</v>
      </c>
    </row>
    <row r="6">
      <c r="A6" s="4" t="inlineStr">
        <is>
          <t>Gross Profit</t>
        </is>
      </c>
      <c r="B6" s="16" t="n">
        <v>4644</v>
      </c>
      <c r="C6" s="16" t="n">
        <v>4235</v>
      </c>
    </row>
    <row r="7">
      <c r="A7" s="4" t="inlineStr">
        <is>
          <t>Profit for the Year</t>
        </is>
      </c>
      <c r="B7" s="16" t="n">
        <v>-21678</v>
      </c>
      <c r="C7" s="16" t="n">
        <v>-33874</v>
      </c>
    </row>
    <row r="8">
      <c r="A8" s="4" t="inlineStr">
        <is>
          <t>Total Equity</t>
        </is>
      </c>
      <c r="B8" s="16" t="n">
        <v>59182</v>
      </c>
      <c r="C8" s="16" t="n">
        <v>61986</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16"/>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7" t="inlineStr">
        <is>
          <t>high</t>
        </is>
      </c>
      <c r="D4" s="12" t="inlineStr">
        <is>
          <t>cost approach</t>
        </is>
      </c>
      <c r="E4" s="12" t="inlineStr">
        <is>
          <t>PDF p.10 (印刷頁 9)</t>
        </is>
      </c>
      <c r="F4" s="12" t="inlineStr">
        <is>
          <t>的關鍵假設包括取得有關 used in estimating the fair value of Financial services business 牌照的估計成本及相關交易成本。按公平值減出 segment CGU under the replacement cost approach include the 售成本計算的金融服務業務分部現金產生單位 estimation of cost of obtaining such licenses and relevant transaction 的可收回金額約為1,640,000港元（二零二五年三 cost. The recoverable amount of Financial services business segment 月三十一日：約1,670,000港元）。因此，比較金融 CGU based on the fair value less costs of disposal was approximately 服務業務分部現金產生單位之賬面值，截至二 HK$1,640,000 (31 March 2025: approximately HK$1,670,000). 零二六年三月三十一日止</t>
        </is>
      </c>
    </row>
    <row r="5">
      <c r="A5" s="8" t="inlineStr">
        <is>
          <t>Fair Value Measurement</t>
        </is>
      </c>
      <c r="B5" s="8" t="inlineStr">
        <is>
          <t>公允價值計量</t>
        </is>
      </c>
      <c r="C5" s="17" t="inlineStr">
        <is>
          <t>high</t>
        </is>
      </c>
      <c r="D5" s="12" t="inlineStr">
        <is>
          <t>level 1</t>
        </is>
      </c>
      <c r="E5" s="12" t="inlineStr">
        <is>
          <t>PDF p.149 (印刷頁 148)</t>
        </is>
      </c>
      <c r="F5" s="12" t="inlineStr">
        <is>
          <t>ategorises the fair value measurements 三碍： into three levels, based on the characteristics of inputs, as follows: 第一級 － 同類資產或負債於活躍市場 Level 1 – Quoted (unadjusted) market prices in active 之報價（未經調整）。 markets for identical assets or liabilities. 第二級 － 估值技術（對公平值計量而 Level 2 – Valuation techniques for which the lowest 言屬重要之最低層級輸入數 level input that is significant to the fair value 據可直接或間接觀察）。 measurement is directly or indirectly observable. 第三級 － 估值技術（對公平值計量而 Level 3 – Valuation techniques for which the lowest 言屬重要之最低層級輸入數 level inpu</t>
        </is>
      </c>
    </row>
    <row r="6">
      <c r="A6" s="8" t="inlineStr">
        <is>
          <t>Fair Value Measurement</t>
        </is>
      </c>
      <c r="B6" s="8" t="inlineStr">
        <is>
          <t>公允價值計量</t>
        </is>
      </c>
      <c r="C6" s="17" t="inlineStr">
        <is>
          <t>high</t>
        </is>
      </c>
      <c r="D6" s="12" t="inlineStr">
        <is>
          <t>level 3</t>
        </is>
      </c>
      <c r="E6" s="12" t="inlineStr">
        <is>
          <t>PDF p.188 (印刷頁 187)</t>
        </is>
      </c>
      <c r="F6" s="12" t="inlineStr">
        <is>
          <t>本。估值被分類為 the estimation of cost of obtaining such licenses and relevant 第三級公平值計量。 transaction cost. The valuation was categorised as Level 3 fair value measurement. 按公平值減出售成本計算的證券及期貨條 The recoverable amount of the SFO Licences based on the fair 例牌照的可收回金額約1,640,000港元（二 value less costs of disposal was approximately HK$1,640,000 零二五年：1,670,000港元）。因此，經比較 (2025: HK$1,670,000). Accordingly, having compared with the 證券及期貨條例牌照之賬面值，已就證券 carrying amount of the SFO Licences, impairment loss of 及期貨條例牌照於二零二六年三月三十一 approximately HK$17,098,0</t>
        </is>
      </c>
    </row>
    <row r="7">
      <c r="A7" s="8" t="inlineStr">
        <is>
          <t>Impairment Testing</t>
        </is>
      </c>
      <c r="B7" s="8" t="inlineStr">
        <is>
          <t>減值測試</t>
        </is>
      </c>
      <c r="C7" s="17" t="inlineStr">
        <is>
          <t>high</t>
        </is>
      </c>
      <c r="D7" s="12" t="inlineStr">
        <is>
          <t>impairment loss</t>
        </is>
      </c>
      <c r="E7" s="12" t="inlineStr">
        <is>
          <t>PDF p.10 (印刷頁 9)</t>
        </is>
      </c>
      <c r="F7" s="12" t="inlineStr">
        <is>
          <t>確認減值虧損約 Accordingly, having compared with the carrying amount of Financial 30,000港元（二零二五年：約50,000港元）。 services business segment CGU, impairment loss of approximately HK$30,000 (2025: approximately HK$50,000) was recognised for the year ended 31 March 2026.</t>
        </is>
      </c>
    </row>
    <row r="8">
      <c r="A8" s="8" t="inlineStr">
        <is>
          <t>Impairment Testing</t>
        </is>
      </c>
      <c r="B8" s="8" t="inlineStr">
        <is>
          <t>減值測試</t>
        </is>
      </c>
      <c r="C8" s="17" t="inlineStr">
        <is>
          <t>high</t>
        </is>
      </c>
      <c r="D8" s="12" t="inlineStr">
        <is>
          <t>impairment test</t>
        </is>
      </c>
      <c r="E8" s="12" t="inlineStr">
        <is>
          <t>PDF p.118 (印刷頁 117)</t>
        </is>
      </c>
      <c r="F8" s="12" t="inlineStr">
        <is>
          <t>ed in the case of a bargain purchase, the difference is recognised directly in profit or loss. 為進行減⡭測試，因哅務合併產生之商譽 For the purpose of impairment testing, goodwill acquired 僎⮇配至預期㵩受惠亦合併的協同效應之 in a business combination is allocated to each of the cash- 各個或多組現金產生單位（「現金產生單 generating units (“CGUs”), or groups of CGUs, that is expected 位」）。獲⮇配商譽的各單位或各組單位代 to benefit from the synergies of the combination. Each unit or 表就內部管理目的而對商譽進行實냇內之 group of units to which the goodwill is allocated represents the 僅低㷼監㴕。商譽在經營⮇部㷼面受到監 lowest level wi</t>
        </is>
      </c>
    </row>
    <row r="9">
      <c r="A9" s="8" t="inlineStr">
        <is>
          <t>Impairment Testing</t>
        </is>
      </c>
      <c r="B9" s="8" t="inlineStr">
        <is>
          <t>減值測試</t>
        </is>
      </c>
      <c r="C9" s="17" t="inlineStr">
        <is>
          <t>high</t>
        </is>
      </c>
      <c r="D9" s="12" t="inlineStr">
        <is>
          <t>impairment loss</t>
        </is>
      </c>
      <c r="E9" s="12" t="inlineStr">
        <is>
          <t>PDF p.119 (印刷頁 118)</t>
        </is>
      </c>
      <c r="F9" s="12" t="inlineStr">
        <is>
          <t>on, which is 內，亦附屬⪝司之投鞳是按成本扣除減⡭ presented within these notes, investments in subsidiaries are 虧損䏳入賬。倘投鞳的賬面價⡭高亦可收 stated at cost less impairment losses. The carrying amount of 回金額，該投鞳的賬面價⡭按個別基準， the investment is reduced to its recoverable amount on an 減至其可回收金額。附屬⪝司之哅績由本 individual basis, if it is higher than the recoverable amount. The ⪝司按已收⹖應收股息基準入賬。 results of subsidiaries are accounted for by the Company on the basis of dividends received and receivable. 分部報告 Segment reporting 經營⮇部的呈報方式與向主要經營決策者 Operating segments are report</t>
        </is>
      </c>
    </row>
    <row r="10">
      <c r="A10" s="8" t="inlineStr">
        <is>
          <t>Impairment Testing</t>
        </is>
      </c>
      <c r="B10" s="8" t="inlineStr">
        <is>
          <t>減值測試</t>
        </is>
      </c>
      <c r="C10" s="17" t="inlineStr">
        <is>
          <t>high</t>
        </is>
      </c>
      <c r="D10" s="12" t="inlineStr">
        <is>
          <t>impairment loss</t>
        </is>
      </c>
      <c r="E10" s="12" t="inlineStr">
        <is>
          <t>PDF p.127 (印刷頁 126)</t>
        </is>
      </c>
      <c r="F10" s="12" t="inlineStr">
        <is>
          <t>e right-of-use asset is measured at cost ⹖任何累計減⡭虧損計量，並就租賃負債 less any accumulated depreciation and any accumulated 的任何重亏計量作出鐪整。亦租賃期⹖使 impairment losses and adjusted for any remeasurement of the 用權鞳產之估計可使用年期之較短者按泣 lease liability. Depreciation is provided on a straight-line basis 線法計提折舊（除非租賃亦租賃期結束⯥ over the shorter of the lease term and the estimated useful 㵩相關鞳產的所僗權轉移至本꥘團或倘使 lives of the right-of-use assets (unless the lease transfers 用權鞳產的成本⹛映本꥘團㵩行使購買鹢 ownership of the underlying asset to the Group by the end of 擇權－亦該䗯況下，㵩亦相關鞳產</t>
        </is>
      </c>
    </row>
    <row r="11">
      <c r="A11" s="8" t="inlineStr">
        <is>
          <t>Impairment Testing</t>
        </is>
      </c>
      <c r="B11" s="8" t="inlineStr">
        <is>
          <t>減值測試</t>
        </is>
      </c>
      <c r="C11" s="17" t="inlineStr">
        <is>
          <t>high</t>
        </is>
      </c>
      <c r="D11" s="12" t="inlineStr">
        <is>
          <t>impairment loss</t>
        </is>
      </c>
      <c r="E11" s="12" t="inlineStr">
        <is>
          <t>PDF p.134 (印刷頁 133)</t>
        </is>
      </c>
      <c r="F11" s="12" t="inlineStr">
        <is>
          <t>equipment 物哅、機器⹖設⤔按成本減累計折舊⹖累 Property, plant and equipment are stated at cost less 計減⡭虧損（如僗）列賬。物哅、機器⹖設⤔ accumulated depreciation and impairment losses, if any. The 項目之成本包括其購買價格⹖令鞳產達到 cost of an item of property, plant and equipment comprises its 其計劃使用之工作狀況⹖位糍之任何泣接 purchase price and any directly attributable costs of bringing 應佔成本。維修⹖⟊養在發生的當年計入 the asset to its working condition and location for its intended 損益。 use. Repairs and maintenance are charged to profit or loss during the year in which they are incurred.</t>
        </is>
      </c>
    </row>
    <row r="12">
      <c r="A12" s="8" t="inlineStr">
        <is>
          <t>Impairment Testing</t>
        </is>
      </c>
      <c r="B12" s="8" t="inlineStr">
        <is>
          <t>減值測試</t>
        </is>
      </c>
      <c r="C12" s="17" t="inlineStr">
        <is>
          <t>high</t>
        </is>
      </c>
      <c r="D12" s="12" t="inlineStr">
        <is>
          <t>impairment loss</t>
        </is>
      </c>
      <c r="E12" s="12" t="inlineStr">
        <is>
          <t>PDF p.136 (印刷頁 135)</t>
        </is>
      </c>
      <c r="F12" s="12" t="inlineStr">
        <is>
          <t>y the Group are stated （倘估計可使用年期為僗限者）⹖減⡭虧 at cost less accumulated amortisation (where the estimated 損列賬。 useful life is finite) and impairment losses. 如無形鞳產的可使用年期被評估為無確定 Intangible assets are not amortised while their useful lives 限期，則該璣無形鞳產不僎被攤ꊷ。僗關 are assessed to be indefinite. Any conclusion that the useful 無形鞳產的可使用年期為無確定限期的任 life of an intangible asset is indefinite is reviewed annually to 何結論，僎每年檢討以釐定事件⹖䗯況是 determine whether events and circumstances continue to 否繼箜支䧏該鞳產的無確定限期可使用年 support the indefinite useful life assessm</t>
        </is>
      </c>
    </row>
    <row r="13">
      <c r="A13" s="8" t="inlineStr">
        <is>
          <t>Impairment Testing</t>
        </is>
      </c>
      <c r="B13" s="8" t="inlineStr">
        <is>
          <t>減值測試</t>
        </is>
      </c>
      <c r="C13" s="17" t="inlineStr">
        <is>
          <t>high</t>
        </is>
      </c>
      <c r="D13" s="12" t="inlineStr">
        <is>
          <t>impairment loss</t>
        </is>
      </c>
      <c r="E13" s="12" t="inlineStr">
        <is>
          <t>PDF p.137 (印刷頁 136)</t>
        </is>
      </c>
      <c r="F13" s="12" t="inlineStr">
        <is>
          <t>amount, the carrying 之賬面⡭降至其可收回金額。減⡭虧損即 amount of the asset or cash-generating unit is reduced to its 侇亦損益確認為開支。 recoverable amount. Impairment losses are recognised as expense in profit or loss immediately. 減⡭虧損之撥回以過往年度未確認減⡭虧 A reversal of impairment loss is limited to the carrying amount 損侇原應釐定之鞳產或現金產生單位之賬 of the asset or cash-generating unit that would have been 面⡭為限。減⡭虧損之撥回即侇亦損益確 determined had no impairment loss been recognised in prior 認為收入。 years. Reversal of impairment loss is recognised as income in profit or loss imme</t>
        </is>
      </c>
    </row>
    <row r="14">
      <c r="A14" s="8" t="inlineStr">
        <is>
          <t>Impairment Testing</t>
        </is>
      </c>
      <c r="B14" s="8" t="inlineStr">
        <is>
          <t>減值測試</t>
        </is>
      </c>
      <c r="C14" s="17" t="inlineStr">
        <is>
          <t>high</t>
        </is>
      </c>
      <c r="D14" s="12" t="inlineStr">
        <is>
          <t>impairment loss</t>
        </is>
      </c>
      <c r="E14" s="12" t="inlineStr">
        <is>
          <t>PDF p.139 (印刷頁 138)</t>
        </is>
      </c>
      <c r="F14" s="12" t="inlineStr">
        <is>
          <t>fit or loss 呈列亦其他收益╱（虧損）。減⡭虧損 and presented in other gains/(losses) together with 亦禍合損益表中呈列為單獨列出的 foreign exchange gains and losses. Impairment losses 項目。 are presented as separate line item in the consolidated statement of profit or loss. 按⪝平⡭計入其他全面收益：就䧏 • Fair value through other comprehensive income: Assets • 作收回合約現金孲量⹖出售金融鞳 that are held for collection of contractual cash flows and 產的鞳產而言，倘僗關鞳產的現金孲 for selling the financial assets, where the assets’ cash 量純瞱為支付本金⹖利息，則按⪝平 flows represent solely payments of principal and inte</t>
        </is>
      </c>
    </row>
    <row r="15">
      <c r="A15" s="8" t="inlineStr">
        <is>
          <t>Impairment Testing</t>
        </is>
      </c>
      <c r="B15" s="8" t="inlineStr">
        <is>
          <t>減值測試</t>
        </is>
      </c>
      <c r="C15" s="17" t="inlineStr">
        <is>
          <t>high</t>
        </is>
      </c>
      <c r="D15" s="12" t="inlineStr">
        <is>
          <t>recoverable amount</t>
        </is>
      </c>
      <c r="E15" s="12" t="inlineStr">
        <is>
          <t>PDF p.153 (印刷頁 152)</t>
        </is>
      </c>
      <c r="F15" s="12" t="inlineStr">
        <is>
          <t>event affecting the 該璣饋象存在，則僎基亦使用價⡭與⪝平 asset value has not been in existence. If any such indication ⡭減出售成本之較高者釐定鞳產之可收回 exists, the recoverable amounts of the asset would be 金額，這涉⹖重大的判斷和估計。 determined based on the higher of the value in use and fair value less costs of disposal, which involve significant judgements and estimates.</t>
        </is>
      </c>
    </row>
    <row r="16">
      <c r="A16" s="8" t="inlineStr">
        <is>
          <t>Impairment Testing</t>
        </is>
      </c>
      <c r="B16" s="8" t="inlineStr">
        <is>
          <t>減值測試</t>
        </is>
      </c>
      <c r="C16" s="17" t="inlineStr">
        <is>
          <t>high</t>
        </is>
      </c>
      <c r="D16" s="12" t="inlineStr">
        <is>
          <t>recoverable amount</t>
        </is>
      </c>
      <c r="E16" s="12" t="inlineStr">
        <is>
          <t>PDF p.154 (印刷頁 153)</t>
        </is>
      </c>
      <c r="F16" s="12" t="inlineStr">
        <is>
          <t>鞳產之可收回金額已按⪝平⡭減出售成本 intangible assets may not be recoverable, in accordance with 與使用價⡭之較高者釐定。該璣計算需要 the stated accounting policy. The recoverable amounts of the 運用估計丩據⹖判斷。 intangible assets have been determined based on the higher of the fair value less cost of disposal and value in use. These calculations require the use of estimates and judgements. 鞳本管理 5. CAPITAL MANAGEMENT 5. 本꥘團管理其鞳本，以確⟊本꥘團實냇㵩 The Group manages its capital to ensure that entities in the 耉夠繼箜䧏箜經營，同侇透過⨣⴫債務⹖ Group will be able to continue as a going concern wh</t>
        </is>
      </c>
    </row>
    <row r="17">
      <c r="A17" s="8" t="inlineStr">
        <is>
          <t>Impairment Testing</t>
        </is>
      </c>
      <c r="B17" s="8" t="inlineStr">
        <is>
          <t>減值測試</t>
        </is>
      </c>
      <c r="C17" s="17" t="inlineStr">
        <is>
          <t>high</t>
        </is>
      </c>
      <c r="D17" s="12" t="inlineStr">
        <is>
          <t>impairment loss</t>
        </is>
      </c>
      <c r="E17" s="12" t="inlineStr">
        <is>
          <t>PDF p.157 (印刷頁 156)</t>
        </is>
      </c>
      <c r="F17" s="12" t="inlineStr">
        <is>
          <t>verability of each individual trade debt at 確⟊已就未耉收回之金額作出足夠 the end of the reporting period to ensure that adequate 減⡭虧損。就塝而言，本⪝司董事認 impairment losses are made for irrecoverable amounts. 為本꥘團之信貸風險已大幅減低。 In this regard, the directors of the Company consider that the Group’s credit risk is significantly reduced. 銀行結餘 Bank balances 由亦交易對手均為獲認可信貸評碍 The credit risk on bank balances is limited because 機構評為高信貸評碍之銀行，故銀行 the counterparties are banks with high credit ratings 結餘之信貸風險僗限。 assigned by authorised credit-rating agencies. 其他應收堑</t>
        </is>
      </c>
    </row>
    <row r="18">
      <c r="A18" s="8" t="inlineStr">
        <is>
          <t>Impairment Testing</t>
        </is>
      </c>
      <c r="B18" s="8" t="inlineStr">
        <is>
          <t>減值測試</t>
        </is>
      </c>
      <c r="C18" s="17" t="inlineStr">
        <is>
          <t>high</t>
        </is>
      </c>
      <c r="D18" s="12" t="inlineStr">
        <is>
          <t>impairment loss</t>
        </is>
      </c>
      <c r="E18" s="12" t="inlineStr">
        <is>
          <t>PDF p.185 (印刷頁 184)</t>
        </is>
      </c>
      <c r="F18" s="12" t="inlineStr">
        <is>
          <t>ril 2025 二零二五年四月一日 2,721 2,721 出售附屬公司 Disposal of subsidiaries (1,867) – 於二零二六年三月三十一日 At 31 March 2026 854 2,721 累計減值虧損： Accumulated impairment losses: 於二零二四年四月一日、 At 1 April 2024, 31 March 2025, 二零二五年三月三十一日、 1 April 2025 二零二五年四月一日 2,721 2,721 出售附屬公司 Disposal of subsidiaries (1,867) – 於二零二六年三月三十一日 At 31 March 2026 854 2,721 賬面值： Carrying amount: 於三月三十一日 At 31 March – – 產生商譽是由於就收購支付之代價實際包 Goodwill arose because the consideration paid for the 含未來市場發展及收購業務所集結勞動力 acquisitions effectively included amount in relation to the 所帶來利益之金額。</t>
        </is>
      </c>
    </row>
    <row r="19">
      <c r="A19" s="8" t="inlineStr">
        <is>
          <t>Impairment Testing</t>
        </is>
      </c>
      <c r="B19" s="8" t="inlineStr">
        <is>
          <t>減值測試</t>
        </is>
      </c>
      <c r="C19" s="17" t="inlineStr">
        <is>
          <t>high</t>
        </is>
      </c>
      <c r="D19" s="12" t="inlineStr">
        <is>
          <t>impairment loss</t>
        </is>
      </c>
      <c r="E19" s="12" t="inlineStr">
        <is>
          <t>PDF p.186 (印刷頁 185)</t>
        </is>
      </c>
      <c r="F19" s="12" t="inlineStr">
        <is>
          <t>分部 業務 止年度 現金產生 分部現金 出售 單位 產生單位 附屬公司 總計 HK$’000 HK$’000 HK$’000 HK$’000 千港元 千港元 千港元 千港元 總額 Gross amount 854 1,867 (1,867) 854 已確認減值虧損 Impairment loss recognised (854) (1,867) 1,867 (854) 於二零二五年 Carrying amount at 31 March 三月三十一日及 2025 and 31 March 2026 二零二六年 三月三十一日的賬面值 – – – –</t>
        </is>
      </c>
    </row>
    <row r="20">
      <c r="A20" s="8" t="inlineStr">
        <is>
          <t>Impairment Testing</t>
        </is>
      </c>
      <c r="B20" s="8" t="inlineStr">
        <is>
          <t>減值測試</t>
        </is>
      </c>
      <c r="C20" s="17" t="inlineStr">
        <is>
          <t>high</t>
        </is>
      </c>
      <c r="D20" s="12" t="inlineStr">
        <is>
          <t>impairment loss</t>
        </is>
      </c>
      <c r="E20" s="12" t="inlineStr">
        <is>
          <t>PDF p.187 (印刷頁 186)</t>
        </is>
      </c>
      <c r="F20" s="12" t="inlineStr">
        <is>
          <t>738 1,876 20,614 出售附屬公司 Disposal of subsidiaries – (1,876) (1,876) 於二零二六年三月三十一日 At 31 March 2026 18,738 – 18,738 累計減值虧損： Accumulated impairment losses: 於二零二四年四月一日 At 1 April 2024 17,018 1,136 18,154 已確認減值虧損（撥回減值虧損） Impairment loss (reversal of Impairment loss) recognised 50 160 210 於二零二五年三月三十一日及 At 31 March 2025 and 1 April 2025 二零二五年四月一日 17,068 1,296 18,364 出售附屬公司 Disposal of subsidiaries – (1,296) (1,296) 已確認減值虧損（撥回減值虧損） Impairment loss (reversal of Impairment loss) recognised 30 – 30 於二零二六年三月三十一日 At 31 March 2026 17,098 – 17</t>
        </is>
      </c>
    </row>
    <row r="21">
      <c r="A21" s="8" t="inlineStr">
        <is>
          <t>Impairment Testing</t>
        </is>
      </c>
      <c r="B21" s="8" t="inlineStr">
        <is>
          <t>減值測試</t>
        </is>
      </c>
      <c r="C21" s="17" t="inlineStr">
        <is>
          <t>high</t>
        </is>
      </c>
      <c r="D21" s="12" t="inlineStr">
        <is>
          <t>impairment loss</t>
        </is>
      </c>
      <c r="E21" s="12" t="inlineStr">
        <is>
          <t>PDF p.188 (印刷頁 187)</t>
        </is>
      </c>
      <c r="F21" s="12" t="inlineStr">
        <is>
          <t>70,000港元）。因此，經比較 (2025: HK$1,670,000). Accordingly, having compared with the 證券及期貨條例牌照之賬面值，已就證券 carrying amount of the SFO Licences, impairment loss of 及期貨條例牌照於二零二六年三月三十一 approximately HK$17,098,000 (2025: HK$17,068,000) has been 日計提減值虧損約17,098,000港元（二零 provided on SFO Licences as at 31 March 2026. 二五年：17,068,000港元）。</t>
        </is>
      </c>
    </row>
    <row r="22">
      <c r="A22" s="8" t="inlineStr">
        <is>
          <t>Impairment Testing</t>
        </is>
      </c>
      <c r="B22" s="8" t="inlineStr">
        <is>
          <t>減值測試</t>
        </is>
      </c>
      <c r="C22" s="17" t="inlineStr">
        <is>
          <t>high</t>
        </is>
      </c>
      <c r="D22" s="12" t="inlineStr">
        <is>
          <t>impairment loss</t>
        </is>
      </c>
      <c r="E22" s="12" t="inlineStr">
        <is>
          <t>PDF p.189 (印刷頁 188)</t>
        </is>
      </c>
      <c r="F22" s="12" t="inlineStr">
        <is>
          <t>牌照之賬面值，已就中港車輛牌照於 HK$580,000. Accordingly, having compared with the carrying 二零二五年三月三十一日計提減值虧損約 amount of the cross-boundary licence, impairment loss of 1,296,000港元。 approximately HK$1,296,000 has been provided on the crossboundary vehicle licence as at 31 March 2025. 應收貸款及利息 21. LOAN AND INTEREST RECEIVABLES 21. 2026 2025 二零二六年 二零二五年 HK$’000 HK$’000 千港元 千港元 應收貸款 Loan receivables 3,000 3,000 應收利息 Interest receivables 850 580 減：虧損撥備 Less: Loss allowance (1,059) (819) 2,791 2,761</t>
        </is>
      </c>
    </row>
    <row r="23">
      <c r="A23" s="8" t="inlineStr">
        <is>
          <t>Intangible Assets &amp; Goodwill</t>
        </is>
      </c>
      <c r="B23" s="8" t="inlineStr">
        <is>
          <t>無形資產及商譽</t>
        </is>
      </c>
      <c r="C23" s="17" t="inlineStr">
        <is>
          <t>high</t>
        </is>
      </c>
      <c r="D23" s="12" t="inlineStr">
        <is>
          <t>intangible asset</t>
        </is>
      </c>
      <c r="E23" s="12" t="inlineStr">
        <is>
          <t>PDF p.10 (印刷頁 9)</t>
        </is>
      </c>
      <c r="F23" s="12" t="inlineStr">
        <is>
          <t>r ECL reflects the 的不確定性。 deterioration in credit risk and the uncertainty of the construction industry. 持續經營業務的無形資產減值 Impairment of intangible assets from continuing operations 對於計入「無形資產」的證券及期貨條例牌照，本 For the SFO Licenses included in “intangible assets”, the Group has 集團已委聘獨立合資格專業估值師對證券及期 appointed independent qualified professional valuer to perform 貨條例牌照於二零二六年三月三十一日的可收 an appraisal of the recoverable amount of the SFO Licenses as at 回金額進行評估。與上一年度相同，金融服務業 31 March 2026. Same as the prior year, the recoverable amount of 務分部現金產生</t>
        </is>
      </c>
    </row>
    <row r="24">
      <c r="A24" s="8" t="inlineStr">
        <is>
          <t>Intangible Assets &amp; Goodwill</t>
        </is>
      </c>
      <c r="B24" s="8" t="inlineStr">
        <is>
          <t>無形資產及商譽</t>
        </is>
      </c>
      <c r="C24" s="17" t="inlineStr">
        <is>
          <t>high</t>
        </is>
      </c>
      <c r="D24" s="12" t="inlineStr">
        <is>
          <t>客戶關係</t>
        </is>
      </c>
      <c r="E24" s="12" t="inlineStr">
        <is>
          <t>PDF p.19 (印刷頁 18)</t>
        </is>
      </c>
      <c r="F24" s="12" t="inlineStr">
        <is>
          <t>reviews, and project-related operational 任南寧市第三運輸貨運分公司銷售總經理，主要 risks assessment. From March 2013 to April 2023, he served as 負責市場拓展、客戶關係維護及銷售團隊日常管 general sales manager of Nanning No.3 Transportation Freight Branch 理。 Company, mainly responsible for market development, customer relationship maintenance and daily management of the sales team.</t>
        </is>
      </c>
    </row>
    <row r="25">
      <c r="A25" s="8" t="inlineStr">
        <is>
          <t>Intangible Assets &amp; Goodwill</t>
        </is>
      </c>
      <c r="B25" s="8" t="inlineStr">
        <is>
          <t>無形資產及商譽</t>
        </is>
      </c>
      <c r="C25" s="17" t="inlineStr">
        <is>
          <t>high</t>
        </is>
      </c>
      <c r="D25" s="12" t="inlineStr">
        <is>
          <t>trademark</t>
        </is>
      </c>
      <c r="E25" s="12" t="inlineStr">
        <is>
          <t>PDF p.55 (印刷頁 54)</t>
        </is>
      </c>
      <c r="F25" s="12" t="inlineStr">
        <is>
          <t>ests （《中華人民共和國個人信息保護法》） • Personal Information Protection Law of the PRC （《中華人民共和國著作權法》） • Copyright Law of the PRC （《中華人民共和國商標法》） • Trademark Law of the PRC （《中華人民共和國專利法》） • Patent Law of the PRC</t>
        </is>
      </c>
    </row>
    <row r="26">
      <c r="A26" s="8" t="inlineStr">
        <is>
          <t>Intangible Assets &amp; Goodwill</t>
        </is>
      </c>
      <c r="B26" s="8" t="inlineStr">
        <is>
          <t>無形資產及商譽</t>
        </is>
      </c>
      <c r="C26" s="17" t="inlineStr">
        <is>
          <t>high</t>
        </is>
      </c>
      <c r="D26" s="12" t="inlineStr">
        <is>
          <t>intangible asset</t>
        </is>
      </c>
      <c r="E26" s="12" t="inlineStr">
        <is>
          <t>PDF p.105 (印刷頁 104)</t>
        </is>
      </c>
      <c r="F26" s="12" t="inlineStr">
        <is>
          <t>07,682) (151,260) 毛利 Gross profit 4,235 4,644 其他收入 Other income 9 710 75 其他收益，淨額 Other gains, net 10 – 152 無形資產減值，扣除撥回 Impairment of intangible assets, net of reversal 20 (30) (210) 應收貸款及利息預期信貸 (Allowance for)/reversal of allowance for 虧損（「預期信貸虧損」） expected credit loss (“ECL”) on loan and （撥備）╱撥備撥回 interest receivables 6(b) (240) 349 貿易應收款項預期信貸 Allowance for ECL on trade receivables 虧損撥備 6(b) (14,454) (854) 合約資產預期信貸虧損撥備 Allowance for ECL on contract assets 6(b) (1,352) (203) 行政開支 Administrative expenses (8,474) (16,671) 融資成本 Fi</t>
        </is>
      </c>
    </row>
    <row r="27">
      <c r="A27" s="8" t="inlineStr">
        <is>
          <t>Intangible Assets &amp; Goodwill</t>
        </is>
      </c>
      <c r="B27" s="8" t="inlineStr">
        <is>
          <t>無形資產及商譽</t>
        </is>
      </c>
      <c r="C27" s="17" t="inlineStr">
        <is>
          <t>high</t>
        </is>
      </c>
      <c r="D27" s="12" t="inlineStr">
        <is>
          <t>intangible asset</t>
        </is>
      </c>
      <c r="E27" s="12" t="inlineStr">
        <is>
          <t>PDF p.106 (印刷頁 105)</t>
        </is>
      </c>
      <c r="F27" s="12" t="inlineStr">
        <is>
          <t>Notes HK$’000 HK$’000 附註 千港元 千港元 非流動資產 Non-current assets 物業、機器及設備 Property, plant and equipment 18 4 3,703 商譽 Goodwill 19 – – 無形資產 Intangible assets 20 1,640 2,250 1,644 5,953 流動資產 Current assets 應收貸款及利息 Loan and interest receivables 21 2,791 2,761 存貨 Inventories 22 5,259 6,102 貿易及其他應收款項 Trade and other receivables 23 50,455 41,128 合約資產 Contract assets 24(a) 16,740 12,556 現金及銀行結餘 Cash and bank balances 25 4,688 43,249 79,933 105,796 流動負債 Current liabilities 貿易及其他應付款項 Trade and other payables 26 12,111 47,678 其他借貸 Other borrow</t>
        </is>
      </c>
    </row>
    <row r="28">
      <c r="A28" s="8" t="inlineStr">
        <is>
          <t>Intangible Assets &amp; Goodwill</t>
        </is>
      </c>
      <c r="B28" s="8" t="inlineStr">
        <is>
          <t>無形資產及商譽</t>
        </is>
      </c>
      <c r="C28" s="17" t="inlineStr">
        <is>
          <t>high</t>
        </is>
      </c>
      <c r="D28" s="12" t="inlineStr">
        <is>
          <t>intangible asset</t>
        </is>
      </c>
      <c r="E28" s="12" t="inlineStr">
        <is>
          <t>PDF p.109 (印刷頁 108)</t>
        </is>
      </c>
      <c r="F28" s="12" t="inlineStr">
        <is>
          <t>) 來自已終止經營業務之 Loss before tax from a discontinued 除稅前虧損 operation 38 (14,267) (8,934) 調整： Adjustments for: 無形資產減值（扣除擬回） Impairment of intangible assets, net of reversal 20 30 210 貿易應收款項預期 Allowance for ECL on trade receivables 信貸虧損撥備 6(b) 14,454 390 合約資產預期信貸 Allowance for ECL on contract assets 虧損撥備 6(b) 1,352 203 貸款及應收利息的預期 Allowance for/(reversal of) allowance for 信貸虧損撥備／撥備 ECL on loan and interest receivables （撥回） 6(b) 240 (349) 物業、機器及設備折舊 Depreciation of property, plant and equipment 18 2,732 5,122 使用權資產折舊 Depreciation of ri</t>
        </is>
      </c>
    </row>
    <row r="29">
      <c r="A29" s="8" t="inlineStr">
        <is>
          <t>Intangible Assets &amp; Goodwill</t>
        </is>
      </c>
      <c r="B29" s="8" t="inlineStr">
        <is>
          <t>無形資產及商譽</t>
        </is>
      </c>
      <c r="C29" s="17" t="inlineStr">
        <is>
          <t>high</t>
        </is>
      </c>
      <c r="D29" s="12" t="inlineStr">
        <is>
          <t>goodwill</t>
        </is>
      </c>
      <c r="E29" s="12" t="inlineStr">
        <is>
          <t>PDF p.116 (印刷頁 115)</t>
        </is>
      </c>
      <c r="F29" s="12" t="inlineStr">
        <is>
          <t>rmined at the date 制權當日附屬⪝司⹖任何非控股權益之鞳 when control is lost and (ii) the carrying amount of the assets 產（包括商譽）⹖負債之賬面⡭。先⯥亦其 (including goodwill), and liabilities of the subsidiary and any 他全面收益確認之僗關所出售附屬⪝司之 non-controlling interests at the date when control is lost. The 金額按與假設本⪝司泣接出售相關鞳產或 amounts previously recognised in other comprehensive income 負債所須之同一基準入賬。亦⯥附屬⪝司 in relation to the disposed subsidiary are accounted for on ⟊留之任何投鞳⹖⯥附屬⪝司結欠或應付 the same basis as would be required if the parent had directly ⯥附屬⪝司之任何金額自失去控制權當日 dispo</t>
        </is>
      </c>
    </row>
    <row r="30">
      <c r="A30" s="8" t="inlineStr">
        <is>
          <t>Intangible Assets &amp; Goodwill</t>
        </is>
      </c>
      <c r="B30" s="8" t="inlineStr">
        <is>
          <t>無形資產及商譽</t>
        </is>
      </c>
      <c r="C30" s="17" t="inlineStr">
        <is>
          <t>high</t>
        </is>
      </c>
      <c r="D30" s="12" t="inlineStr">
        <is>
          <t>goodwill</t>
        </is>
      </c>
      <c r="E30" s="12" t="inlineStr">
        <is>
          <t>PDF p.118 (印刷頁 117)</t>
        </is>
      </c>
      <c r="F30" s="12" t="inlineStr">
        <is>
          <t>ngent consideration that is classified as equity is not remeasured, and its subsequent settlement is accounted for within equity. 商譽 Goodwill 所轉讓代價、被收購方任何非控股權益金 The excess of the consideration transferred, the amount of any 額⹖任何先⯥亦被收購方的股權亦收購日 non-controlling interest in the acquiree and the fair value of 期的⪝平⡭高亦所收購可識別鞳產淨⡭的 any previous equity interest in the acquiree at the acquisition ⪝平⡭的部♷均入賬為商譽。就議價購買 date over the fair value of the identifiable net assets acquired 而言，如轉讓代價、已確認非控股權益⹖ is recorded as goodwill. If the total of</t>
        </is>
      </c>
    </row>
    <row r="31">
      <c r="A31" s="8" t="inlineStr">
        <is>
          <t>Intangible Assets &amp; Goodwill</t>
        </is>
      </c>
      <c r="B31" s="8" t="inlineStr">
        <is>
          <t>無形資產及商譽</t>
        </is>
      </c>
      <c r="C31" s="17" t="inlineStr">
        <is>
          <t>high</t>
        </is>
      </c>
      <c r="D31" s="12" t="inlineStr">
        <is>
          <t>useful life</t>
        </is>
      </c>
      <c r="E31" s="12" t="inlineStr">
        <is>
          <t>PDF p.127 (印刷頁 126)</t>
        </is>
      </c>
      <c r="F31" s="12" t="inlineStr">
        <is>
          <t>t reflects 可使用年期內計提折舊）如下： that the Group will exercise a purchase option – in which case depreciation is provided over the estimated useful life of the underlying asset) as follows: 辦⪝室物哅 3.3年 Office premises 3.3 years 倉庫 6年 Warehouse 6 years 租賃負債乃按亦合約開始日期尚未支付之 The lease liability is initially measured at the present value of 租賃付堑現⡭進行初始計量。 the lease payments that are not paid at the commencement date of the contract.</t>
        </is>
      </c>
    </row>
    <row r="32">
      <c r="A32" s="8" t="inlineStr">
        <is>
          <t>Intangible Assets &amp; Goodwill</t>
        </is>
      </c>
      <c r="B32" s="8" t="inlineStr">
        <is>
          <t>無形資產及商譽</t>
        </is>
      </c>
      <c r="C32" s="17" t="inlineStr">
        <is>
          <t>high</t>
        </is>
      </c>
      <c r="D32" s="12" t="inlineStr">
        <is>
          <t>goodwill</t>
        </is>
      </c>
      <c r="E32" s="12" t="inlineStr">
        <is>
          <t>PDF p.133 (印刷頁 132)</t>
        </is>
      </c>
      <c r="F32" s="12" t="inlineStr">
        <is>
          <t>lised. Such deferred 利或僎計溢利，則不僎確認該璣遞延爀項 tax assets and liabilities are not recognised if the temporary 鞳產⹖負債。 difference arises from goodwill or from the initial recognition (other than in a business combination) of other assets and liabilities in a transaction that affects neither the taxable profit nor the accounting profit. 除了當本꥘團耉夠控制其暫侇差額和㵩不 Deferred tax liabilities are recognised for taxable temporary 僎在可預見㵩來沖回暫侇差額外，遞延爀 differences associated with investments in subsidiaries and 項負債就投鞳附屬⪝司⹖聯營⪝司以⹖亦 associates, and interests</t>
        </is>
      </c>
    </row>
    <row r="33">
      <c r="A33" s="8" t="inlineStr">
        <is>
          <t>Intangible Assets &amp; Goodwill</t>
        </is>
      </c>
      <c r="B33" s="8" t="inlineStr">
        <is>
          <t>無形資產及商譽</t>
        </is>
      </c>
      <c r="C33" s="17" t="inlineStr">
        <is>
          <t>high</t>
        </is>
      </c>
      <c r="D33" s="12" t="inlineStr">
        <is>
          <t>可使用年期</t>
        </is>
      </c>
      <c r="E33" s="12" t="inlineStr">
        <is>
          <t>PDF p.135 (印刷頁 134)</t>
        </is>
      </c>
      <c r="F33" s="12" t="inlineStr">
        <is>
          <t>物業、機器及設備（續） Property, plant and equipment (Continued) 折舊乃採用泣線法按物哅、機器⹖設⤔之 Depreciation is recognised so as to write off the cost of 估計可使用年期或折舊率以撇ꊷ其成本至 property, plant and equipment to their residual value, if any, 其剩餘價⡭（如僗）予以確認如下： using the straight line method over their estimated useful lives or depreciation rates as follows: 租賃物業裝修 尚餘租期或3年 Leasehold improvements Unexpired lease term or useful 可使用期 life of 3 years 傢俱和固定裝置 3年 Furniture and fixtures 3 years 辦公室設備 3年 Office equipment 3 years 汽車 3年 Motor vehicles 3 years 建築設備 5年 C</t>
        </is>
      </c>
    </row>
    <row r="34">
      <c r="A34" s="8" t="inlineStr">
        <is>
          <t>Intangible Assets &amp; Goodwill</t>
        </is>
      </c>
      <c r="B34" s="8" t="inlineStr">
        <is>
          <t>無形資產及商譽</t>
        </is>
      </c>
      <c r="C34" s="17" t="inlineStr">
        <is>
          <t>high</t>
        </is>
      </c>
      <c r="D34" s="12" t="inlineStr">
        <is>
          <t>intangible asset</t>
        </is>
      </c>
      <c r="E34" s="12" t="inlineStr">
        <is>
          <t>PDF p.136 (印刷頁 135)</t>
        </is>
      </c>
      <c r="F34" s="12" t="inlineStr">
        <is>
          <t>al Statements 綜合財務報表附註 2026 截至二零二六年三月三十一日止年度 Year ended 31 March 重大僎計政策（箜） 3. MATERIAL ACCOUNTING POLICIES 3. (Continued) 無形資產（商譽除外） Intangible assets other than goodwill 本꥘團所購無形鞳產按成本減累計攤ꊷ Intangible assets that are acquired by the Group are stated （倘估計可使用年期為僗限者）⹖減⡭虧 at cost less accumulated amortisation (where the estimated 損列賬。 useful life is finite) and impairment losses. 如無形鞳產的可使用年期被評估為無確定 Intangible assets are not amortised while their useful lives 限期，則該璣無形鞳產不僎被攤ꊷ。僗關 are assessed to be indefinite. Any conclusion that the u</t>
        </is>
      </c>
    </row>
    <row r="35">
      <c r="A35" s="8" t="inlineStr">
        <is>
          <t>Intangible Assets &amp; Goodwill</t>
        </is>
      </c>
      <c r="B35" s="8" t="inlineStr">
        <is>
          <t>無形資產及商譽</t>
        </is>
      </c>
      <c r="C35" s="17" t="inlineStr">
        <is>
          <t>high</t>
        </is>
      </c>
      <c r="D35" s="12" t="inlineStr">
        <is>
          <t>goodwill</t>
        </is>
      </c>
      <c r="E35" s="12" t="inlineStr">
        <is>
          <t>PDF p.137 (印刷頁 136)</t>
        </is>
      </c>
      <c r="F35" s="12" t="inlineStr">
        <is>
          <t>31 March 重大僎計政策（箜） 3. MATERIAL ACCOUNTING POLICIES 3. (Continued) 非金融資產的減值（商譽除外） （續） Impairment of non-financial assets, other than goodwill (Continued) 倘鞳產或現金產生單位之可收回金額估計 If the recoverable amount of an asset or a cash-generating unit 㵩低亦其賬面⡭，則鞳產或現金產生單位 is estimated to be less than its carrying amount, the carrying 之賬面⡭降至其可收回金額。減⡭虧損即 amount of the asset or cash-generating unit is reduced to its 侇亦損益確認為開支。 recoverable amount. Impairment losses are recognised as expense in profit or loss immediately. 減⡭虧損之撥回以過往年度未確認減⡭虧 A revers</t>
        </is>
      </c>
    </row>
    <row r="36">
      <c r="A36" s="8" t="inlineStr">
        <is>
          <t>Intangible Assets &amp; Goodwill</t>
        </is>
      </c>
      <c r="B36" s="8" t="inlineStr">
        <is>
          <t>無形資產及商譽</t>
        </is>
      </c>
      <c r="C36" s="17" t="inlineStr">
        <is>
          <t>high</t>
        </is>
      </c>
      <c r="D36" s="12" t="inlineStr">
        <is>
          <t>可使用年期</t>
        </is>
      </c>
      <c r="E36" s="12" t="inlineStr">
        <is>
          <t>PDF p.153 (印刷頁 152)</t>
        </is>
      </c>
      <c r="F36" s="12" t="inlineStr">
        <is>
          <t>不確定性之主要來源（續） Key sources of estimation uncertainty (Continued) 物哅、機器⹖設⤔以⹖使用權鞳產之估計 Estimated useful lives and impairment of property, 可使用年期⹖減⡭ plant and equipment and right-of-use assets 本꥘團管理㷼就本꥘團的物哅、機器⹖設 The Group’s management determines the estimated useful ⤔⹖使用權鞳產釐定預計可使用年期，以 lives, and related depreciation charges for its property, plant ⹖相關的折舊費用。該估計以具僗類似性 and equipment and right-of-use assets. The estimates are 質⹖功耉之鞳產的實꤀可使用年期的歷史 based on the historical experience of the actual useful lives 經驗為基礎。當可使用年期小亦先⯥估計 of those asset</t>
        </is>
      </c>
    </row>
    <row r="37">
      <c r="A37" s="8" t="inlineStr">
        <is>
          <t>Intangible Assets &amp; Goodwill</t>
        </is>
      </c>
      <c r="B37" s="8" t="inlineStr">
        <is>
          <t>無形資產及商譽</t>
        </is>
      </c>
      <c r="C37" s="17" t="inlineStr">
        <is>
          <t>high</t>
        </is>
      </c>
      <c r="D37" s="12" t="inlineStr">
        <is>
          <t>intangible asset</t>
        </is>
      </c>
      <c r="E37" s="12" t="inlineStr">
        <is>
          <t>PDF p.154 (印刷頁 153)</t>
        </is>
      </c>
      <c r="F37" s="12" t="inlineStr">
        <is>
          <t>SOURCES OF ESTIMATION UNCERTAINTY (Continued) 估計不確定性之主要來源（續） Key sources of estimation uncertainty (Continued) 無形鞳產之減⡭ Impairment of intangible assets 根據上述僎計政策，按僅㵼每年的減⡭評 The Group evaluates whether intangible assets have 估⹖當僗事件或䗯況之轉變顯炐可耉無法 suffered any impairment based on impairment assessment 收回無形鞳產項目之賬面⡭侇，本꥘團僎 performed at least annually and whenever events or changes 評估該璣無形鞳產項目僗否減⡭。該無形 in circumstances indicate that the carrying amount of the 鞳產之可收回金額已按⪝平⡭減出售成本 intangible assets may not be recoverable, in accordance with 與使用</t>
        </is>
      </c>
    </row>
    <row r="38">
      <c r="A38" s="8" t="inlineStr">
        <is>
          <t>Intangible Assets &amp; Goodwill</t>
        </is>
      </c>
      <c r="B38" s="8" t="inlineStr">
        <is>
          <t>無形資產及商譽</t>
        </is>
      </c>
      <c r="C38" s="17" t="inlineStr">
        <is>
          <t>high</t>
        </is>
      </c>
      <c r="D38" s="12" t="inlineStr">
        <is>
          <t>攤銷</t>
        </is>
      </c>
      <c r="E38" s="12" t="inlineStr">
        <is>
          <t>PDF p.155 (印刷頁 154)</t>
        </is>
      </c>
      <c r="F38" s="12" t="inlineStr">
        <is>
          <t>金融工具 6. FINANCIAL INSTRUMENTS 6. 金融工具類別 6(a) Categories of financial instruments 6(a) 2026 2025 二零二六年 二零二五年 HK$’000 HK$’000 千港元 千港元 按攤銷成本列賬之金融資產 Financial assets at amortised cost 應收貸款及利息 Loan and interest receivables 2,791 2,761 計入貿易及其他應收款項之 Financial assets included in 金融資產 trade and other receivables 45,370 36,361 現金及銀行結餘 Cash and bank balances 4,688 43,249 52,849 82,371 按攤銷成本列賬之金融負債 Financial liabilities at amortised cost 計入貿易及其他應付款項之 Financial liabilities included in 金融負債 trade and other payables 11,920 47,191 11,920 47,19</t>
        </is>
      </c>
    </row>
    <row r="39">
      <c r="A39" s="8" t="inlineStr">
        <is>
          <t>Intangible Assets &amp; Goodwill</t>
        </is>
      </c>
      <c r="B39" s="8" t="inlineStr">
        <is>
          <t>無形資產及商譽</t>
        </is>
      </c>
      <c r="C39" s="17" t="inlineStr">
        <is>
          <t>high</t>
        </is>
      </c>
      <c r="D39" s="12" t="inlineStr">
        <is>
          <t>intangible asset</t>
        </is>
      </c>
      <c r="E39" s="12" t="inlineStr">
        <is>
          <t>PDF p.169 (印刷頁 168)</t>
        </is>
      </c>
      <c r="F39" s="12" t="inlineStr">
        <is>
          <t>千港元 千港元 分部收益 Segment revenue 111,647 – 270 111,917 分部營運虧損 Segment operating loss (11,675) (4) (2,580) (14,259) 無形資產減值 Impairment of intangible assets – – (30) (30) 分部虧損 Segment loss (11,675) (4) (2,610) (14,289) 未分配： Unallocated: 其他收入 Other income 1 公司行政開支 Corporate administrative expenses (5,317) 融資成本 Finance costs (4) 來自持續經營業務的 Loss before tax from continuing operations 除稅前虧損 (19,609) 截至二零二五年三月三十一日止年度 For the year ended 31 March 2025 Discontinued Continuing operations operation 已終止 持續經營業務 經營業務 Design, fitting out and Financi</t>
        </is>
      </c>
    </row>
    <row r="40">
      <c r="A40" s="8" t="inlineStr">
        <is>
          <t>Intangible Assets &amp; Goodwill</t>
        </is>
      </c>
      <c r="B40" s="8" t="inlineStr">
        <is>
          <t>無形資產及商譽</t>
        </is>
      </c>
      <c r="C40" s="17" t="inlineStr">
        <is>
          <t>high</t>
        </is>
      </c>
      <c r="D40" s="12" t="inlineStr">
        <is>
          <t>intangible asset</t>
        </is>
      </c>
      <c r="E40" s="12" t="inlineStr">
        <is>
          <t>PDF p.170 (印刷頁 169)</t>
        </is>
      </c>
      <c r="F40" s="12" t="inlineStr">
        <is>
          <t>000 HK$’000 HK$’000 千港元 千港元 千港元 千港元 分部資產 Segment assets 非流動資產 Non-current assets 物業、機器及設備 Property, plant and equipment 3 – – 3 無形資產 Intangible assets – – 1,640 1,640 3 – 1,640 1,643 流動資產 Current assets 65,596 5,259 2,889 73,744 分部資產 Segment assets 65,599 5,259 4,529 75,387 未分配： Unallocated: 現金及銀行結餘 Cash and bank balances 4,688 其他 Others 1,502 綜合財務狀況表資產總值 Total assets per consolidated statement of financial position 81,577 分部負債 Segment liabilities 非流動負債 Non-current liability 遞延稅項負債 Deferred tax liabilities – – 271 271 流動負債 Curr</t>
        </is>
      </c>
    </row>
    <row r="41">
      <c r="A41" s="8" t="inlineStr">
        <is>
          <t>Intangible Assets &amp; Goodwill</t>
        </is>
      </c>
      <c r="B41" s="8" t="inlineStr">
        <is>
          <t>無形資產及商譽</t>
        </is>
      </c>
      <c r="C41" s="17" t="inlineStr">
        <is>
          <t>high</t>
        </is>
      </c>
      <c r="D41" s="12" t="inlineStr">
        <is>
          <t>intangible asset</t>
        </is>
      </c>
      <c r="E41" s="12" t="inlineStr">
        <is>
          <t>PDF p.171 (印刷頁 170)</t>
        </is>
      </c>
      <c r="F41" s="12" t="inlineStr">
        <is>
          <t>元 HK$’000 千港元 HK$’000 千港元 分部資產 Segment assets 非流動資產 Non-current assets 物業、機器及設備 Property, plant and equipment 無形資產 4 – – 3,696 3,700 Intangible assets – – 1,670 – 1,670 4 – 1,670 3,696 5,370 流動資產 Current assets 42,971 5,259 3,013 8,972 60,215 分部資產 Segment assets 42,975 5,259 4,683 12,668 65,585 未分配： Unallocated: 現金及銀行結餘 Cash and bank balances 其他 43,249 Others 2,915 綜合財務狀況表資產總值 Total assets per consolidated statement of financial position 111,749 分部負債 Segment liabilities 非流動負債 Non-current liability 遞延稅項負債 Deferred tax liabilitie</t>
        </is>
      </c>
    </row>
    <row r="42">
      <c r="A42" s="8" t="inlineStr">
        <is>
          <t>Intangible Assets &amp; Goodwill</t>
        </is>
      </c>
      <c r="B42" s="8" t="inlineStr">
        <is>
          <t>無形資產及商譽</t>
        </is>
      </c>
      <c r="C42" s="17" t="inlineStr">
        <is>
          <t>high</t>
        </is>
      </c>
      <c r="D42" s="12" t="inlineStr">
        <is>
          <t>intangible asset</t>
        </is>
      </c>
      <c r="E42" s="12" t="inlineStr">
        <is>
          <t>PDF p.172 (印刷頁 171)</t>
        </is>
      </c>
      <c r="F42" s="12" t="inlineStr">
        <is>
          <t>ess Unallocated Total 工程服務 營銷美酒 金融服務業務 未分配 總計 HK$’000 千港元 HK$’000 千港元 HK$’000 千港元 HK$’000 千港元 HK$’000 千港元 無形資產減值（扣除擬回） Impairment of intangible assets, net of reversal 貿易及其他應收款項預期 – – 30 – 30 Allowance for ECL on trade and 信貸虧損撥備 other receivables 應收貸款及利息預期信貸虧損撥備擬回 14,454 – – – 14,454 Reversal of allowance for ECL on loan and interest receivables 合約資產預期信貸虧損撥備 – – 240 – 240 Allowance for ECL on contract assets 物業、機器及設備折舊 1,352 – – – 1,352 Depreciation of property, plant and equipment 銀行利息收入 1 – – 2 3 Bank interest income 融資成本 –</t>
        </is>
      </c>
    </row>
    <row r="43">
      <c r="A43" s="8" t="inlineStr">
        <is>
          <t>Intangible Assets &amp; Goodwill</t>
        </is>
      </c>
      <c r="B43" s="8" t="inlineStr">
        <is>
          <t>無形資產及商譽</t>
        </is>
      </c>
      <c r="C43" s="17" t="inlineStr">
        <is>
          <t>high</t>
        </is>
      </c>
      <c r="D43" s="12" t="inlineStr">
        <is>
          <t>intangible asset</t>
        </is>
      </c>
      <c r="E43" s="12" t="inlineStr">
        <is>
          <t>PDF p.173 (印刷頁 172)</t>
        </is>
      </c>
      <c r="F43" s="12" t="inlineStr">
        <is>
          <t>服務業務 小計 租賃建築設備 未分配 總計 HK$’000 千港元 HK$’000 千港元 HK$’000 千港元 HK$’000 千港元 HK$’000 千港元 HK$’000 千港元 HK$’000 千港元 無形資產減值（扣除擬回） Impairment of intangible assets, net of reversal 貿易及其他應收款項預期 – – 50 50 – 160 210 Allowance for ECL on trade and 信貸虧損撥備 other receivables 應收貸款及利息預期信貸虧損撥備 855 – – 855 (465) – 390 Reversal of allowance for ECL on loan and 擬回 interest receivables 合約資產預期信貸虧損撥備 – – (349) (349) – – (349) Allowance for ECL on contract assets 物業、機器及設備折舊 203 – – 203 – – 203 Depreciation of property, plant and equipment 使用權資產折舊 5 – – 5 5,</t>
        </is>
      </c>
    </row>
    <row r="44">
      <c r="A44" s="8" t="inlineStr">
        <is>
          <t>Intangible Assets &amp; Goodwill</t>
        </is>
      </c>
      <c r="B44" s="8" t="inlineStr">
        <is>
          <t>無形資產及商譽</t>
        </is>
      </c>
      <c r="C44" s="17" t="inlineStr">
        <is>
          <t>high</t>
        </is>
      </c>
      <c r="D44" s="12" t="inlineStr">
        <is>
          <t>goodwill</t>
        </is>
      </c>
      <c r="E44" s="12" t="inlineStr">
        <is>
          <t>PDF p.185 (印刷頁 184)</t>
        </is>
      </c>
      <c r="F44" s="12" t="inlineStr">
        <is>
          <t>W HOLDINGS LIMITED 中新控股有限公司 Notes to the Consolidated Financial Statements 綜合財務報表附註 2026 截至二零二六年三月三十一日止年度 Year ended 31 March 商譽 19. GOODWILL 19. 2026 2025 二零二六年 二零二五年 HK$’000 HK$’000 千港元 千港元 成本： Cost: 於二零二四年四月一日、 At 1 April 2024, 31 March 2025, 二零二五年三月三十一日、 1 April 2025 二零二五年四月一日 2,721 2,721 出售附屬公司 Disposal of subsidiaries (1,867) – 於二零二六年三月三十一日 At 31 March 2026 854 2,721 累計減值虧損： Accumulated impairment losses: 於二零二四年四月一日、 At 1 April 2024, 31 March 2025, 二零二五年三月三十一日、 1 April 2025 二零二五年四月一日 2,721 2,721 出售附屬公司 Disposal of subsidi</t>
        </is>
      </c>
    </row>
    <row r="45">
      <c r="A45" s="8" t="inlineStr">
        <is>
          <t>Intangible Assets &amp; Goodwill</t>
        </is>
      </c>
      <c r="B45" s="8" t="inlineStr">
        <is>
          <t>無形資產及商譽</t>
        </is>
      </c>
      <c r="C45" s="17" t="inlineStr">
        <is>
          <t>high</t>
        </is>
      </c>
      <c r="D45" s="12" t="inlineStr">
        <is>
          <t>goodwill</t>
        </is>
      </c>
      <c r="E45" s="12" t="inlineStr">
        <is>
          <t>PDF p.186 (印刷頁 185)</t>
        </is>
      </c>
      <c r="F45" s="12" t="inlineStr">
        <is>
          <t>/2026 185 二零二五年╱二零二六年度報告 Notes to the Consolidated Financial Statements 綜合財務報表附註 2026 截至二零二六年三月三十一日止年度 Year ended 31 March 商譽（續） 19. GOODWILL 19. (Continued) 透過業務合併收購之商譽金額已分配至金 Goodwill acquired through business combination has been 融服務業務分部現金產生單位（「現金產生 allocated to Financial services business segment cash 單位」）及設計、裝修及工程服務業務分部 generating unit (“CGU”) and Design, fitting out and engineering 現金產生單位（分部資料詳情載於綜合財 services business segment CGU (see note 8 to the consolidated 務報表附註8）。相關現金產生單位於二零 financial statements for details of segme</t>
        </is>
      </c>
    </row>
    <row r="46">
      <c r="A46" s="8" t="inlineStr">
        <is>
          <t>Intangible Assets &amp; Goodwill</t>
        </is>
      </c>
      <c r="B46" s="8" t="inlineStr">
        <is>
          <t>無形資產及商譽</t>
        </is>
      </c>
      <c r="C46" s="17" t="inlineStr">
        <is>
          <t>high</t>
        </is>
      </c>
      <c r="D46" s="12" t="inlineStr">
        <is>
          <t>intangible asset</t>
        </is>
      </c>
      <c r="E46" s="12" t="inlineStr">
        <is>
          <t>PDF p.187 (印刷頁 186)</t>
        </is>
      </c>
      <c r="F46" s="12" t="inlineStr">
        <is>
          <t>HOLDINGS LIMITED 中新控股有限公司 Notes to the Consolidated Financial Statements 綜合財務報表附註 2026 截至二零二六年三月三十一日止年度 Year ended 31 March 無形資產 20. INTANGIBLE ASSETS 20. Crossboundary SFO licences vehicle licence Total 證券及 期貨條例牌照 中港車輛牌照 總計 HK$’000 HK$’000 HK$’000 千港元 千港元 千港元 成本： Cost: 於二零二三年四月一日、 At 1 April 2023, 31 March 2024, 二零二四年三月三十一日、 1 April 2024, 31 March 2025 and 二零二四年四月一日、 1 April 2025 二零二五年三月三十一日及 二零二五年四月一日 18,738 1,876 20,614 出售附屬公司 Disposal of subsidiaries – (1,876) (1,876) 於二零二六年三月三十一日 At 31 March 2026 18,738 – 18,738 累計減值虧損：</t>
        </is>
      </c>
    </row>
    <row r="47">
      <c r="A47" s="8" t="inlineStr">
        <is>
          <t>Intangible Assets &amp; Goodwill</t>
        </is>
      </c>
      <c r="B47" s="8" t="inlineStr">
        <is>
          <t>無形資產及商譽</t>
        </is>
      </c>
      <c r="C47" s="17" t="inlineStr">
        <is>
          <t>high</t>
        </is>
      </c>
      <c r="D47" s="12" t="inlineStr">
        <is>
          <t>intangible asset</t>
        </is>
      </c>
      <c r="E47" s="12" t="inlineStr">
        <is>
          <t>PDF p.188 (印刷頁 187)</t>
        </is>
      </c>
      <c r="F47" s="12" t="inlineStr">
        <is>
          <t>026 187 二零二五年╱二零二六年度報告 Notes to the Consolidated Financial Statements 綜合財務報表附註 2026 截至二零二六年三月三十一日止年度 Year ended 31 March 無形資產（續） 20. INTANGIBLE ASSETS 20. (Continued) 證券及期貨條例牌照 SFO Licences 證券及期貨條例牌照指於截至二零一八年 The SFO Licences represent intangible assets acquired as a 三月三十一日止年度因業務合併獲得的無 result of a business combination during the year ended 31 形資產。證券及期貨條例牌照被視為可使 March 2018. The SFO Licences have been considered to have 用年期為無限，原因是預期該等牌照將無 indefinite useful lives because they are expected to contribute 限期地為本集團貢獻淨現金流且不予攤 to the net</t>
        </is>
      </c>
    </row>
    <row r="48">
      <c r="A48" s="8" t="inlineStr">
        <is>
          <t>Intangible Assets &amp; Goodwill</t>
        </is>
      </c>
      <c r="B48" s="8" t="inlineStr">
        <is>
          <t>無形資產及商譽</t>
        </is>
      </c>
      <c r="C48" s="17" t="inlineStr">
        <is>
          <t>high</t>
        </is>
      </c>
      <c r="D48" s="12" t="inlineStr">
        <is>
          <t>intangible asset</t>
        </is>
      </c>
      <c r="E48" s="12" t="inlineStr">
        <is>
          <t>PDF p.189 (印刷頁 188)</t>
        </is>
      </c>
      <c r="F48" s="12" t="inlineStr">
        <is>
          <t>DINGS LIMITED 中新控股有限公司 Notes to the Consolidated Financial Statements 綜合財務報表附註 2026 截至二零二六年三月三十一日止年度 Year ended 31 March 無形資產（續） 20. INTANGIBLE ASSETS 20. (Continued) 中港車輛牌照 The cross-boundary vehicle licence 中港車輛牌照估計沒有確定使用年限及以 The cross-boundary vehicle licence was estimated as having 成本模式計量。中港車輛牌照被視為可使 indefinite useful life and is measured using the cost model. The 用年期為無限，原因是預期該等牌照將無 cross-boundary vehicle licence has been considered to have 限期地為本集團貢獻淨現金流且不予攤 indefinite useful life because it is expected to contribute to the</t>
        </is>
      </c>
    </row>
    <row r="49">
      <c r="A49" s="8" t="inlineStr">
        <is>
          <t>Intangible Assets &amp; Goodwill</t>
        </is>
      </c>
      <c r="B49" s="8" t="inlineStr">
        <is>
          <t>無形資產及商譽</t>
        </is>
      </c>
      <c r="C49" s="17" t="inlineStr">
        <is>
          <t>high</t>
        </is>
      </c>
      <c r="D49" s="12" t="inlineStr">
        <is>
          <t>無形資產</t>
        </is>
      </c>
      <c r="E49" s="12" t="inlineStr">
        <is>
          <t>PDF p.197 (印刷頁 196)</t>
        </is>
      </c>
      <c r="F49" s="12" t="inlineStr">
        <is>
          <t>are as follows: 截至二零二六年三月三十一日止年度 Year ended 31 March 2026 Deferred tax liabilities 遞延稅項負債 Fair value adjustment on intangible assets 無形資產 公平值調整 HK$’000 千港元 於二零二五年四月一日 At 1 April 2025 272 出售附屬公司 Disposal of subsidiaries 3 計入損益 Credited to profit or loss (5) 於二零二六年三月三十一日 At 31 March 2026 270 截至二零二五年三月三十一日止年度 Year ended 31 March 2025 Deferred tax liabilities 遞延稅項負債 Fair value adjustment on intangible assets 無形資產 公平值調整 HK$’000 千港元 於二零二四年四月一日 At 1 April 2024 307 計入損益 Credited to profit or loss (35) 於二零二五年三月三十一日 At 31 March 2025 272</t>
        </is>
      </c>
    </row>
    <row r="50">
      <c r="A50" s="8" t="inlineStr">
        <is>
          <t>Intangible Assets &amp; Goodwill</t>
        </is>
      </c>
      <c r="B50" s="8" t="inlineStr">
        <is>
          <t>無形資產及商譽</t>
        </is>
      </c>
      <c r="C50" s="17" t="inlineStr">
        <is>
          <t>high</t>
        </is>
      </c>
      <c r="D50" s="12" t="inlineStr">
        <is>
          <t>intangible asset</t>
        </is>
      </c>
      <c r="E50" s="12" t="inlineStr">
        <is>
          <t>PDF p.207 (印刷頁 206)</t>
        </is>
      </c>
      <c r="F50" s="12" t="inlineStr">
        <is>
          <t>tment holding company and 附屬公司持有列於「無形資產」項下 its wholly owned subsidiary owns the cross-boundary 的跨境車輛牌照。 vehicle licence included in “intangible assets”. 保發於出售當日的淨資產如下： The net assets at the date of the disposal of Wealth Pool are as follows: HK$'000 千港元 無形資產 Intangible assets 580 出售收益 Gain on disposal – 已收現金代價 Cash consideration received 580</t>
        </is>
      </c>
    </row>
    <row r="51">
      <c r="A51" s="8" t="inlineStr">
        <is>
          <t>Investment Properties</t>
        </is>
      </c>
      <c r="B51" s="8" t="inlineStr">
        <is>
          <t>投資物業</t>
        </is>
      </c>
      <c r="C51" s="17" t="inlineStr">
        <is>
          <t>high</t>
        </is>
      </c>
      <c r="D51" s="12" t="inlineStr">
        <is>
          <t>investment property</t>
        </is>
      </c>
      <c r="E51" s="12" t="inlineStr">
        <is>
          <t>PDF p.115 (印刷頁 114)</t>
        </is>
      </c>
      <c r="F51" s="12" t="inlineStr">
        <is>
          <t>財務報表按歷史成本基準稵製（下文 The consolidated financial statements have been prepared on 所載的僎計政策中所述之以⪝平⡭計量之 the historical cost basis except for investment property that is 投鞳物哅除外）。 measured at fair value as explained in the accounting policies set out below. 本꥘團採納之主要僎計政策概要載列如 A summary of the principal accounting policies adopted by the 下。 Group is set out below. 綜合賬目基準 Basis of consolidation 禍合財務報表包括本⪝司⹖本⪝司所控制 The consolidated financial statements incorporate the financial 之實냇（即其附屬⪝司）之財務報表。倘若 statements of the Company and entities contro</t>
        </is>
      </c>
    </row>
    <row r="52">
      <c r="A52" s="8" t="inlineStr">
        <is>
          <t>Investment Properties</t>
        </is>
      </c>
      <c r="B52" s="8" t="inlineStr">
        <is>
          <t>投資物業</t>
        </is>
      </c>
      <c r="C52" s="17" t="inlineStr">
        <is>
          <t>high</t>
        </is>
      </c>
      <c r="D52" s="12" t="inlineStr">
        <is>
          <t>investment property</t>
        </is>
      </c>
      <c r="E52" s="12" t="inlineStr">
        <is>
          <t>PDF p.125 (印刷頁 124)</t>
        </is>
      </c>
      <c r="F52" s="12" t="inlineStr">
        <is>
          <t>the asset. 租金收入 Rental income 建疥設⤔和投鞳物哅之經營租賃的租金收 Rental income from operating leases of construction 入在出租鞳產侇以泣線法在租賃期內確 equipment and investment property is recognised when the 認。 assets are let out and on the straight-line basis over the lease term. 合約資產及合約負債 Contract assets and contract liabilities 倘本꥘團亦客戶支付代價或付堑到期⯥㵩 If the Group performs by transferring goods or services to a 鞁品或服務轉讓予客戶，則合約呈列為合 customer before the customer pays consideration or before 約鞳產，惟不包括呈列為應收堑項的任何 payment is due, the contract is presented as a contract</t>
        </is>
      </c>
    </row>
    <row r="53">
      <c r="A53" s="8" t="inlineStr">
        <is>
          <t>ESG Data</t>
        </is>
      </c>
      <c r="B53" s="8" t="inlineStr">
        <is>
          <t>環境社會及管治數據</t>
        </is>
      </c>
      <c r="C53" s="8" t="inlineStr">
        <is>
          <t>medium</t>
        </is>
      </c>
      <c r="D53" s="12" t="inlineStr">
        <is>
          <t>環境、社會及管治</t>
        </is>
      </c>
      <c r="E53" s="12" t="inlineStr">
        <is>
          <t>PDF p.3 (印刷頁 2)</t>
        </is>
      </c>
      <c r="F53" s="12" t="inlineStr">
        <is>
          <t>RS’ AND SENIOR MANAGEMENT PROFILE 16 董事及高級管理層履歷 CORPORATE GOVERNANCE REPORT 19 企業管治報告 ENVIRONMENTAL, SOCIAL AND GOVERNANCE REPORT 36 環境、社會及管治報告 REPORT OF THE DIRECTORS 82 董事會報告 INDEPENDENT AUDITOR’S REPORT 96 獨立核數師報告 CONSOLIDATED STATEMENT OF PROFIT OR LOSS AND OTHER COMPREHENSIVE INCOME 104 綜合損益及其他全面收益表 CONSOLIDATED STATEMENT OF FINANCIAL POSITION 105 綜合財務狀況表 CONSOLIDATED STATEMENT OF CHANGES IN EQUITY 107 綜合權益變動表 CONSOLIDATED STATEMENT OF CASH FLOWS 108 綜合現金流量表 NOTES TO THE CONSOLIDATED FINANCIAL STATEMENTS 110 綜合財務報表附註 FINAN</t>
        </is>
      </c>
    </row>
    <row r="54">
      <c r="A54" s="8" t="inlineStr">
        <is>
          <t>ESG Data</t>
        </is>
      </c>
      <c r="B54" s="8" t="inlineStr">
        <is>
          <t>環境社會及管治數據</t>
        </is>
      </c>
      <c r="C54" s="8" t="inlineStr">
        <is>
          <t>medium</t>
        </is>
      </c>
      <c r="D54" s="12" t="inlineStr">
        <is>
          <t>sustainability</t>
        </is>
      </c>
      <c r="E54" s="12" t="inlineStr">
        <is>
          <t>PDF p.11 (印刷頁 10)</t>
        </is>
      </c>
      <c r="F54" s="12" t="inlineStr">
        <is>
          <t>(s). The Group expects such exploration 務業務的收入來源及可持續性。 and development will further broaden and strengthen the income stream and the sustainability of the Group’s design, fitting out and engineering services business. 美酒營銷業務 Wine merchandising business 本集團將繼續與現有客戶洽談，以銷售美酒及尋 The Group would continue to negotiate with the existing customers 求潛在客戶。於二零二六年六月二日，本公司已 for the sale of fine and rare wines and seek for potential customers. 與嬋禮（上海）酒業有限公司（「嬋禮酒業」）訂立戰 On 2 June 2026, the Company entered into a strategic cooperation 略合作協議（「戰略合</t>
        </is>
      </c>
    </row>
    <row r="55">
      <c r="A55" s="8" t="inlineStr">
        <is>
          <t>ESG Data</t>
        </is>
      </c>
      <c r="B55" s="8" t="inlineStr">
        <is>
          <t>環境社會及管治數據</t>
        </is>
      </c>
      <c r="C55" s="8" t="inlineStr">
        <is>
          <t>medium</t>
        </is>
      </c>
      <c r="D55" s="12" t="inlineStr">
        <is>
          <t>環境、社會及管治</t>
        </is>
      </c>
      <c r="E55" s="12" t="inlineStr">
        <is>
          <t>PDF p.16 (印刷頁 15)</t>
        </is>
      </c>
      <c r="F55" s="12" t="inlineStr">
        <is>
          <t>have been implemented to encourage compliance 表現的進一步討論載於本年報第36頁至第81頁之 with environmental legislation and promote awareness towards 「環境、社會及管治報告」。 environmental protection to the employees. Further discussion of environmental policy and performance can be found in the Environmental, Social and Governance Report set out on pages 36 to 81 of this annual report. 本集團將定期審閱其環保慣例，並將考慮於本集 The Group will review its environmental practices periodically and will 團的業務營運中實施更多生態友好措施及慣例。 consider implementing further eco-friendly measures and</t>
        </is>
      </c>
    </row>
    <row r="56">
      <c r="A56" s="8" t="inlineStr">
        <is>
          <t>ESG Data</t>
        </is>
      </c>
      <c r="B56" s="8" t="inlineStr">
        <is>
          <t>環境社會及管治數據</t>
        </is>
      </c>
      <c r="C56" s="8" t="inlineStr">
        <is>
          <t>medium</t>
        </is>
      </c>
      <c r="D56" s="12" t="inlineStr">
        <is>
          <t>可持續</t>
        </is>
      </c>
      <c r="E56" s="12" t="inlineStr">
        <is>
          <t>PDF p.30 (印刷頁 29)</t>
        </is>
      </c>
      <c r="F56" s="12" t="inlineStr">
        <is>
          <t>the approach to achieve 成員多元化之方針，目的為提升董事會效率及企 diversity on the Board with the aims of enhancing Board effectiveness 業管治水平，實現本集團業務目標及可持續發 and corporate governance as well as achieving the Group’s business 展。本公司認同及接受董事會成員多元化對提 objectives and sustainable development. The Company recognises 升其表現質素的裨益。在制定董事會的組成時， and embraces the benefits of having a diverse Board to enhance the 提名委員會將會考慮多個方面，包括但不限於 quality of its performance. In designing the Board’s composition, the 性別、年齡、文化及教育背景、種族、專業經驗、 Nomination Committee will consider a numb</t>
        </is>
      </c>
    </row>
    <row r="57">
      <c r="A57" s="8" t="inlineStr">
        <is>
          <t>ESG Data</t>
        </is>
      </c>
      <c r="B57" s="8" t="inlineStr">
        <is>
          <t>環境社會及管治數據</t>
        </is>
      </c>
      <c r="C57" s="8" t="inlineStr">
        <is>
          <t>medium</t>
        </is>
      </c>
      <c r="D57" s="12" t="inlineStr">
        <is>
          <t>ESG</t>
        </is>
      </c>
      <c r="E57" s="12" t="inlineStr">
        <is>
          <t>PDF p.37 (印刷頁 36)</t>
        </is>
      </c>
      <c r="F57" s="12" t="inlineStr">
        <is>
          <t>“Company”) and its subsidiaries （統稱「本集團」或「我們」）欣然提呈我們的年度 (collectively known as the “Group” or “We”) are pleased to present 環境、社會及管治（「ESG」）報告（「本報告」）。本報 our annual Environmental, Social and Governance (“ESG”) Report (the 告以具透明度的方式披露了本集團在可持續發 “Report”). The Report discloses the Group’s management approach, 展事宜方面的管理方針、策略、政策及表現。我 strategies, policies and performance on various sustainability issues 們明瞭ESG價值之重要性，並承諾通過關注我們 in a transparent manner. We recognise the importance of ESG 的持份者的需要，為環境、員工、客戶及社區創 value and are dedicated to crea</t>
        </is>
      </c>
    </row>
    <row r="58">
      <c r="A58" s="8" t="inlineStr">
        <is>
          <t>ESG Data</t>
        </is>
      </c>
      <c r="B58" s="8" t="inlineStr">
        <is>
          <t>環境社會及管治數據</t>
        </is>
      </c>
      <c r="C58" s="8" t="inlineStr">
        <is>
          <t>medium</t>
        </is>
      </c>
      <c r="D58" s="12" t="inlineStr">
        <is>
          <t>ESG</t>
        </is>
      </c>
      <c r="E58" s="12" t="inlineStr">
        <is>
          <t>PDF p.38 (印刷頁 37)</t>
        </is>
      </c>
      <c r="F58" s="12" t="inlineStr">
        <is>
          <t>Annual Report 2025/2026 37 二零二五年╱二零二六年度報告 匯報原則 Reporting Principles 為確保本報告清楚呈現我們持份者所關注的ESG The Report has been prepared based on the reporting principles of 議題，本報告已遵照ESG報告指引所列明的匯報 materiality, quantitative, balance and consistency outlined in the ESG 原則：重要性、量化、平衡及一致性編製。 Reporting Guide to ensure that the Report clearly presents the ESG issues that are of concern to our stakeholders. Reporting Principles Our Application 匯報原則 我們的應用 The Report is structured based on the materiality of</t>
        </is>
      </c>
    </row>
    <row r="59">
      <c r="A59" s="8" t="inlineStr">
        <is>
          <t>ESG Data</t>
        </is>
      </c>
      <c r="B59" s="8" t="inlineStr">
        <is>
          <t>環境社會及管治數據</t>
        </is>
      </c>
      <c r="C59" s="8" t="inlineStr">
        <is>
          <t>medium</t>
        </is>
      </c>
      <c r="D59" s="12" t="inlineStr">
        <is>
          <t>環境、社會及管治</t>
        </is>
      </c>
      <c r="E59" s="12" t="inlineStr">
        <is>
          <t>PDF p.39 (印刷頁 38)</t>
        </is>
      </c>
      <c r="F59" s="12" t="inlineStr">
        <is>
          <t>38 CHINA NEW HOLDINGS LIMITED 中新控股有限公司 Environmental, Social and Governance Report 環境、社會及管治報告 關於本集團 ABOUT THE GROUP 本集團主要從事四個業務，包括： The Group is principally engaged in four business segments, including: 提供設計、裝修及工程服務及採購傢俱及 • Provision of design, fitting-out and engineering and • 相關產品服務； procurement of furnishings and related products services; 租賃建築設備及提供相關安裝服務； • Leasing of construction equipment and provision of related • installation services (discontinued operation); 美酒採購及營銷；</t>
        </is>
      </c>
    </row>
    <row r="60">
      <c r="A60" s="8" t="inlineStr">
        <is>
          <t>ESG Data</t>
        </is>
      </c>
      <c r="B60" s="8" t="inlineStr">
        <is>
          <t>環境社會及管治數據</t>
        </is>
      </c>
      <c r="C60" s="8" t="inlineStr">
        <is>
          <t>medium</t>
        </is>
      </c>
      <c r="D60" s="12" t="inlineStr">
        <is>
          <t>ESG</t>
        </is>
      </c>
      <c r="E60" s="12" t="inlineStr">
        <is>
          <t>PDF p.40 (印刷頁 39)</t>
        </is>
      </c>
      <c r="F60" s="12" t="inlineStr">
        <is>
          <t>26 39 二零二五年╱二零二六年度報告 Environmental, Social and Governance Report 環境、社會及管治報告 我們的可持續發展管理方針 OUR MANAGEMENT APPROACH TO SUSTAINABILITY ESG管理方針及策略 ESG Management Approach and Strategy 本集團致力於在所有業務以環境、社會和經濟負 The Group is committed to operating in an environmentally, socially 責任的方式運營。為了追求環境、員工、客戶和 and economically responsible manner across all segments of our 社區的可持續未來，本集團董事會（「董事會」）批 business. In pursuit of a sustainable future for the environment, 准ESG框架，其中包括四大可持續發展支柱：(1) employees, customers and community, the board of directors of</t>
        </is>
      </c>
    </row>
    <row r="61">
      <c r="A61" s="8" t="inlineStr">
        <is>
          <t>ESG Data</t>
        </is>
      </c>
      <c r="B61" s="8" t="inlineStr">
        <is>
          <t>環境社會及管治數據</t>
        </is>
      </c>
      <c r="C61" s="8" t="inlineStr">
        <is>
          <t>medium</t>
        </is>
      </c>
      <c r="D61" s="12" t="inlineStr">
        <is>
          <t>ESG</t>
        </is>
      </c>
      <c r="E61" s="12" t="inlineStr">
        <is>
          <t>PDF p.41 (印刷頁 40)</t>
        </is>
      </c>
      <c r="F61" s="12" t="inlineStr">
        <is>
          <t>40 CHINA NEW HOLDINGS LIMITED 中新控股有限公司 Environmental, Social and Governance Report 環境、社會及管治報告 ESG管治及董事會的監督 ESG Governance and Board’s Oversight 董事會對本集團的ESG策略和匯報承擔全部責 The Board has overall responsibility for the Group’s ESG strategy and 任。董事會對我們的ESG事宜進行監督，並為本 reporting. The Board provides oversight of our ESG issues and sets 集團的ESG管理方針及策略制定整體方向。ESG the overall direction for the Group’s ESG management approach 工作小組獲董事會授權，負責監督本集團的ESG and strategy. Delegated by the Board, the ESG Working Group</t>
        </is>
      </c>
    </row>
    <row r="62">
      <c r="A62" s="8" t="inlineStr">
        <is>
          <t>ESG Data</t>
        </is>
      </c>
      <c r="B62" s="8" t="inlineStr">
        <is>
          <t>環境社會及管治數據</t>
        </is>
      </c>
      <c r="C62" s="8" t="inlineStr">
        <is>
          <t>medium</t>
        </is>
      </c>
      <c r="D62" s="12" t="inlineStr">
        <is>
          <t>ESG</t>
        </is>
      </c>
      <c r="E62" s="12" t="inlineStr">
        <is>
          <t>PDF p.42 (印刷頁 41)</t>
        </is>
      </c>
      <c r="F62" s="12" t="inlineStr">
        <is>
          <t>Annual Report 2025/2026 41 二零二五年╱二零二六年度報告 Environmental, Social and Governance Report 環境、社會及管治報告 ESG Governance Structure ESG管治架構 The Board 董事會 ESG Working Group ESG工作小組 Finance and Administrative Sales and Administrative Human Resources Division Division 人力資源部門 Division 財務及行政部門 銷售及行政部門 ESG相關風險管理 ESG Risk Management 本集團認為ESG風險管理是可持續經營和健全企 The Group considers ESG risk management as an integral part of 業管治的重要組成部分。董事會對本集團的可持 sustainable operations and sound corporate governance. Being 續發展負責，承擔監督</t>
        </is>
      </c>
    </row>
    <row r="63">
      <c r="A63" s="8" t="inlineStr">
        <is>
          <t>ESG Data</t>
        </is>
      </c>
      <c r="B63" s="8" t="inlineStr">
        <is>
          <t>環境社會及管治數據</t>
        </is>
      </c>
      <c r="C63" s="8" t="inlineStr">
        <is>
          <t>medium</t>
        </is>
      </c>
      <c r="D63" s="12" t="inlineStr">
        <is>
          <t>環境、社會及管治</t>
        </is>
      </c>
      <c r="E63" s="12" t="inlineStr">
        <is>
          <t>PDF p.43 (印刷頁 42)</t>
        </is>
      </c>
      <c r="F63" s="12" t="inlineStr">
        <is>
          <t>42 CHINA NEW HOLDINGS LIMITED 中新控股有限公司 Environmental, Social and Governance Report 環境、社會及管治報告 我們在下表中總結了主要持份者組別及其溝通 We have summarised the key stakeholder groups and 渠道： communication channels in the following table: Key Stakeholders Communication Channels 主要持份者 溝通渠道 Customers • Customer meetings 客戶 客戶會議 • Meetings with sales representatives 銷售代表會議 • Customer hotline 客戶熱線 Shareholders and Investors • Shareholders’ and investors’ meetings 股東及投資者 股東及投資者會議 • Company website 公司網站 •</t>
        </is>
      </c>
    </row>
    <row r="64">
      <c r="A64" s="8" t="inlineStr">
        <is>
          <t>ESG Data</t>
        </is>
      </c>
      <c r="B64" s="8" t="inlineStr">
        <is>
          <t>環境社會及管治數據</t>
        </is>
      </c>
      <c r="C64" s="8" t="inlineStr">
        <is>
          <t>medium</t>
        </is>
      </c>
      <c r="D64" s="12" t="inlineStr">
        <is>
          <t>環境、社會及管治</t>
        </is>
      </c>
      <c r="E64" s="12" t="inlineStr">
        <is>
          <t>PDF p.44 (印刷頁 43)</t>
        </is>
      </c>
      <c r="F64" s="12" t="inlineStr">
        <is>
          <t>Annual Report 2025/2026 43 二零二五年╱二零二六年度報告 Environmental, Social and Governance Report 環境、社會及管治報告 Key Stakeholders Communication Channels 主要持份者 溝通渠道 Government and • Seminars, reports and circulars on regulations 關於法規的研討會、報告及通函 Regulatory Authorities 政府及監管機構 • Company website 公司網站 • Email 電子郵件 • Fax 傳真 • Enquiry hotline 查詢熱線 Financial Institutions • Physical and phone meetings 金融機構 實體及電話會議 • Financial report 財務報告 • Corporate announcement 公司公告 Media • Media meetings after sharehold</t>
        </is>
      </c>
    </row>
    <row r="65">
      <c r="A65" s="8" t="inlineStr">
        <is>
          <t>ESG Data</t>
        </is>
      </c>
      <c r="B65" s="8" t="inlineStr">
        <is>
          <t>環境社會及管治數據</t>
        </is>
      </c>
      <c r="C65" s="8" t="inlineStr">
        <is>
          <t>medium</t>
        </is>
      </c>
      <c r="D65" s="12" t="inlineStr">
        <is>
          <t>ESG</t>
        </is>
      </c>
      <c r="E65" s="12" t="inlineStr">
        <is>
          <t>PDF p.45 (印刷頁 44)</t>
        </is>
      </c>
      <c r="F65" s="12" t="inlineStr">
        <is>
          <t>EW HOLDINGS LIMITED 中新控股有限公司 Environmental, Social and Governance Report 環境、社會及管治報告 重要性評估 Materiality Assessment 本集團定期通過持份者參與活動，確定與ESG相 The Group identifies the materiality of ESG-related issues to both 關議題對本集團和持份者的重要性。在獨立可持 the Group and its stakeholders based on stakeholder engagement 續發展顧問的協助下，我們最近期的重要性評估 activities on a regular basis. Facilitated by an independent 於2025/26年度進行，通過線上問卷調查與內部 sustainability consultant, our most recent materiality assessment 及外部主要持份者組別進行溝通；該評估結果繼 was carried out in 2025/26, engaging both inter</t>
        </is>
      </c>
    </row>
    <row r="66">
      <c r="A66" s="8" t="inlineStr">
        <is>
          <t>ESG Data</t>
        </is>
      </c>
      <c r="B66" s="8" t="inlineStr">
        <is>
          <t>環境社會及管治數據</t>
        </is>
      </c>
      <c r="C66" s="8" t="inlineStr">
        <is>
          <t>medium</t>
        </is>
      </c>
      <c r="D66" s="12" t="inlineStr">
        <is>
          <t>greenhouse gas</t>
        </is>
      </c>
      <c r="E66" s="12" t="inlineStr">
        <is>
          <t>PDF p.46 (印刷頁 45)</t>
        </is>
      </c>
      <c r="F66" s="12" t="inlineStr">
        <is>
          <t>stomer service 廢棄物 綠色金融 顧客服務 3. Energy consumption 12. Staff welfare 20. Intellectual property rights 能源消耗 僱員福利 management 知識產權管理 4. Greenhouse gas emissions 13. Equal-opportunity, diversity, 溫室氣體排放 anti-discrimination 21. Marketing and advertising 平等機會、多元化、反歧視 市場推廣及廣告 5. Water consumption 水資源 14. Occupational health and 22. Anti-corruption 反貪污 6. Packaging material safety 職業健康及安全 consumption 23. Community investment 包裝物料使用 社區投資 15. Staff development and 7. Climate change risk training 24. Product design and innovation 氣候變化的風險</t>
        </is>
      </c>
    </row>
    <row r="67">
      <c r="A67" s="8" t="inlineStr">
        <is>
          <t>ESG Data</t>
        </is>
      </c>
      <c r="B67" s="8" t="inlineStr">
        <is>
          <t>環境社會及管治數據</t>
        </is>
      </c>
      <c r="C67" s="8" t="inlineStr">
        <is>
          <t>medium</t>
        </is>
      </c>
      <c r="D67" s="12" t="inlineStr">
        <is>
          <t>ESG</t>
        </is>
      </c>
      <c r="E67" s="12" t="inlineStr">
        <is>
          <t>PDF p.47 (印刷頁 46)</t>
        </is>
      </c>
      <c r="F67" s="12" t="inlineStr">
        <is>
          <t>46 CHINA NEW HOLDINGS LIMITED 中新控股有限公司 Environmental, Social and Governance Report 環境、社會及管治報告 以上重要性矩陣右上角位置的6項ESG議題被識 The 6 ESG issues at the top right quadrant of the above materiality 別為最重大的可持續發展議題，並將在本報告中 matrix indicate the most material sustainability issues identified and 進一步討論。 will be further discussed in the Report. Material ESG Issue Section 重大ESG議題 章節 7. Climate change risk Climate Change 氣候變化的風險 氣候變化 9. Environmental risk in supply chain Supply Chain Management 供應鏈中的環境風險 供應鏈管理 15. Staff develo</t>
        </is>
      </c>
    </row>
    <row r="68">
      <c r="A68" s="8" t="inlineStr">
        <is>
          <t>ESG Data</t>
        </is>
      </c>
      <c r="B68" s="8" t="inlineStr">
        <is>
          <t>環境社會及管治數據</t>
        </is>
      </c>
      <c r="C68" s="8" t="inlineStr">
        <is>
          <t>medium</t>
        </is>
      </c>
      <c r="D68" s="12" t="inlineStr">
        <is>
          <t>環境、社會及管治</t>
        </is>
      </c>
      <c r="E68" s="12" t="inlineStr">
        <is>
          <t>PDF p.48 (印刷頁 47)</t>
        </is>
      </c>
      <c r="F68" s="12" t="inlineStr">
        <is>
          <t>Annual Report 2025/2026 47 二零二五年╱二零二六年度報告 Environmental, Social and Governance Report 環境、社會及管治報告 為我們的員工創造價值 CREATING VALUE FOR OUR EMPLOYEES Our Goal: 我們的目標： • To build an inclusive and joyful work environment for our employees 為我們的員工建立一個包容和快樂的工作環境 Material Topic(s) Covered: 所涵蓋的重大議題： • Staff development and training 員工發展及培訓 本集團重視我們的員工，他們對本集團的長遠發 The Group values its employees, as they are of utmost importance to 展和成功至關重要。我們致力為員工構建一個安 the Group’s long-term development and success</t>
        </is>
      </c>
    </row>
    <row r="69">
      <c r="A69" s="8" t="inlineStr">
        <is>
          <t>ESG Data</t>
        </is>
      </c>
      <c r="B69" s="8" t="inlineStr">
        <is>
          <t>環境社會及管治數據</t>
        </is>
      </c>
      <c r="C69" s="8" t="inlineStr">
        <is>
          <t>medium</t>
        </is>
      </c>
      <c r="D69" s="12" t="inlineStr">
        <is>
          <t>環境、社會及管治</t>
        </is>
      </c>
      <c r="E69" s="12" t="inlineStr">
        <is>
          <t>PDF p.49 (印刷頁 48)</t>
        </is>
      </c>
      <c r="F69" s="12" t="inlineStr">
        <is>
          <t>48 CHINA NEW HOLDINGS LIMITED 中新控股有限公司 Environmental, Social and Governance Report 環境、社會及管治報告 員工分佈 Employee Distribution 截至二零二六年三月三十一日，本集團共有12名 As of 31 March 2026, the Group had a total of 12 full-time employees 全職員工（2024/25: 23名全職員工）。按性別、年 (2024/25: 23 full-time employees). The employee distribution by 齡組別、僱員類型及地區劃分的員工分佈如下： gender, age group, employment category and geographical region is as follows: By Gender By Age Group 按性別劃分 按年齡組別劃分 2024/25 2024/25 2025/26 9 2025/26 12 1</t>
        </is>
      </c>
    </row>
    <row r="70">
      <c r="A70" s="8" t="inlineStr">
        <is>
          <t>ESG Data</t>
        </is>
      </c>
      <c r="B70" s="8" t="inlineStr">
        <is>
          <t>環境社會及管治數據</t>
        </is>
      </c>
      <c r="C70" s="8" t="inlineStr">
        <is>
          <t>medium</t>
        </is>
      </c>
      <c r="D70" s="12" t="inlineStr">
        <is>
          <t>環境、社會及管治</t>
        </is>
      </c>
      <c r="E70" s="12" t="inlineStr">
        <is>
          <t>PDF p.50 (印刷頁 49)</t>
        </is>
      </c>
      <c r="F70" s="12" t="inlineStr">
        <is>
          <t>Annual Report 2025/2026 49 二零二五年╱二零二六年度報告 Environmental, Social and Governance Report 環境、社會及管治報告 員工權益 Employee Rights and Welfare 我們致力提高員工的福祉並保護他們的權利。 We aim to enhance the wellbeing of our employees and protect 我們秉持平等機會原則，對任何與種族、國籍、 their rights. We uphold the principle of equal opportunities and 族裔、宗教、性別或婚姻狀況相關的歧視採取零 adopt zero-tolerance towards any kind of discrimination related to 容忍態度。故此，我們的《員工手冊》明確列明我 race, nationality, ethnic origin, religion, sex, or marital status. In th</t>
        </is>
      </c>
    </row>
    <row r="71">
      <c r="A71" s="8" t="inlineStr">
        <is>
          <t>ESG Data</t>
        </is>
      </c>
      <c r="B71" s="8" t="inlineStr">
        <is>
          <t>環境社會及管治數據</t>
        </is>
      </c>
      <c r="C71" s="8" t="inlineStr">
        <is>
          <t>medium</t>
        </is>
      </c>
      <c r="D71" s="12" t="inlineStr">
        <is>
          <t>環境、社會及管治</t>
        </is>
      </c>
      <c r="E71" s="12" t="inlineStr">
        <is>
          <t>PDF p.51 (印刷頁 50)</t>
        </is>
      </c>
      <c r="F71" s="12" t="inlineStr">
        <is>
          <t>50 CHINA NEW HOLDINGS LIMITED 中新控股有限公司 Environmental, Social and Governance Report 環境、社會及管治報告 職業健康與安全 Occupational Health and Safety 本集團視安全為我們業務的首要一環，因我們有 The Group regards safety as the first priority in our business as we 責任在日常營運中保障員工、分包商及公眾（如 have the responsibility to safeguard the health and safety of our 適用）的健康和安全。因此，我們已為辦公室及建 people, subcontractors and the public, where appropriate, in the daily 築工地的員工實施各種職業健康及安全措施以 operations. As such, various occupational health and s</t>
        </is>
      </c>
    </row>
    <row r="72">
      <c r="A72" s="8" t="inlineStr">
        <is>
          <t>ESG Data</t>
        </is>
      </c>
      <c r="B72" s="8" t="inlineStr">
        <is>
          <t>環境社會及管治數據</t>
        </is>
      </c>
      <c r="C72" s="8" t="inlineStr">
        <is>
          <t>medium</t>
        </is>
      </c>
      <c r="D72" s="12" t="inlineStr">
        <is>
          <t>環境、社會及管治</t>
        </is>
      </c>
      <c r="E72" s="12" t="inlineStr">
        <is>
          <t>PDF p.52 (印刷頁 51)</t>
        </is>
      </c>
      <c r="F72" s="12" t="inlineStr">
        <is>
          <t>Annual Report 2025/2026 51 二零二五年╱二零二六年度報告 Environmental, Social and Governance Report 環境、社會及管治報告 為確保安全措施得以妥善執行，我們會定期在建 To ensure proper implementation of safety measures, safety 築工地進行安全檢查，並在適當時採取跟進行 inspections are conducted on a regular basis at our construction 動。我們制定了應急計劃，讓員工在發生安全事 sites with follow-up actions, when appropriate. We have in place an 故時能夠迅速、適當地採取行動。 emergency plan to allow workers to respond quickly and properly in the event of safety incidents. 我們通過各種推廣安全的項目和活動</t>
        </is>
      </c>
    </row>
    <row r="73">
      <c r="A73" s="8" t="inlineStr">
        <is>
          <t>ESG Data</t>
        </is>
      </c>
      <c r="B73" s="8" t="inlineStr">
        <is>
          <t>環境社會及管治數據</t>
        </is>
      </c>
      <c r="C73" s="8" t="inlineStr">
        <is>
          <t>medium</t>
        </is>
      </c>
      <c r="D73" s="12" t="inlineStr">
        <is>
          <t>sustainability</t>
        </is>
      </c>
      <c r="E73" s="12" t="inlineStr">
        <is>
          <t>PDF p.53 (印刷頁 52)</t>
        </is>
      </c>
      <c r="F73" s="12" t="inlineStr">
        <is>
          <t>員工成長和發展有利於本集團的長遠和可持續 Employees’ growth and development is beneficial to the Group’s 發展。為協助員工能與本集團共同成長，我們為 long-term development and sustainability. To help our staff grow 他們提供各種職業以及與工作相關的培訓，以幫 together with the Group, we provide them with various vocational and 助他們掌握其職位所需的技能和知識。為支持我 job-related trainings to help them equip with the skills and knowledge 們的員工獲得對其工作有幫助的專業資格和技 required for their positions. To support our employees in acquiring 能，我們贊助員工參加專業課程、研討會、工作 professional qualifications and skills beneficial to their work, w</t>
        </is>
      </c>
    </row>
    <row r="74">
      <c r="A74" s="8" t="inlineStr">
        <is>
          <t>ESG Data</t>
        </is>
      </c>
      <c r="B74" s="8" t="inlineStr">
        <is>
          <t>環境社會及管治數據</t>
        </is>
      </c>
      <c r="C74" s="8" t="inlineStr">
        <is>
          <t>medium</t>
        </is>
      </c>
      <c r="D74" s="12" t="inlineStr">
        <is>
          <t>環境、社會及管治</t>
        </is>
      </c>
      <c r="E74" s="12" t="inlineStr">
        <is>
          <t>PDF p.54 (印刷頁 53)</t>
        </is>
      </c>
      <c r="F74" s="12" t="inlineStr">
        <is>
          <t>Annual Report 2025/2026 53 二零二五年╱二零二六年度報告 Environmental, Social and Governance Report 環境、社會及管治報告 勞工準則 Labour Standards 本集團秉承勞工準則的高標準，並禁止童工或強 The Group upholds high labour standards, and prohibits child 制勞工，因為這違反了人權和國際勞工公約的議 or forced labour as it violates human rights and the protocol of 定書。我們確保嚴格遵守適用的法律法規，包括 international labour conventions. We ensure strict compliance with 但不限於香港《僱傭條例》以及《中華人民共和國 the applicable laws and regulations including but not limited to the 勞動法》和《中華人民共和國勞</t>
        </is>
      </c>
    </row>
    <row r="75">
      <c r="A75" s="8" t="inlineStr">
        <is>
          <t>ESG Data</t>
        </is>
      </c>
      <c r="B75" s="8" t="inlineStr">
        <is>
          <t>環境社會及管治數據</t>
        </is>
      </c>
      <c r="C75" s="8" t="inlineStr">
        <is>
          <t>medium</t>
        </is>
      </c>
      <c r="D75" s="12" t="inlineStr">
        <is>
          <t>環境、社會及管治</t>
        </is>
      </c>
      <c r="E75" s="12" t="inlineStr">
        <is>
          <t>PDF p.55 (印刷頁 54)</t>
        </is>
      </c>
      <c r="F75" s="12" t="inlineStr">
        <is>
          <t>54 CHINA NEW HOLDINGS LIMITED 中新控股有限公司 Environmental, Social and Governance Report 環境、社會及管治報告 為我們的客戶創造價值 CREATING VALUE FOR OUR CUSTOMERS Our Goal: 我們的目標： • To enhance customer experience with quality products and services for the benefit of customers 以優質的產品和服務提升客戶體驗，使客戶受惠 Material Topic(s) Covered: 所涵蓋的重大議題： • Anti-corruption 反貪污 • Product assurance and quality 產品保證與質量 • Product design and innovation 產品設計與創新 • Environmental risk in supply chain 供應鏈中的環境風險 本集團意識到以高質量標準提供產品和服務對</t>
        </is>
      </c>
    </row>
    <row r="76">
      <c r="A76" s="8" t="inlineStr">
        <is>
          <t>ESG Data</t>
        </is>
      </c>
      <c r="B76" s="8" t="inlineStr">
        <is>
          <t>環境社會及管治數據</t>
        </is>
      </c>
      <c r="C76" s="8" t="inlineStr">
        <is>
          <t>medium</t>
        </is>
      </c>
      <c r="D76" s="12" t="inlineStr">
        <is>
          <t>環境、社會及管治</t>
        </is>
      </c>
      <c r="E76" s="12" t="inlineStr">
        <is>
          <t>PDF p.56 (印刷頁 55)</t>
        </is>
      </c>
      <c r="F76" s="12" t="inlineStr">
        <is>
          <t>Annual Report 2025/2026 55 二零二五年╱二零二六年度報告 Environmental, Social and Governance Report 環境、社會及管治報告 於報告期間，本集團並不知悉在有關所提供產品 During the Reporting Period, the Group was not aware of any material 和服務之健康與安全、廣告、標籤和隱私事宜的 non-compliance of laws and regulations relating to health and safety, 相關法律及規例方面，有任何重大不合規的情 advertising, labelling and privacy matters relating to products and 況。 services provided. 產品及服務質素 Product and Service Quality 為確保我們裝修項目的質素，我們建立了完善的 To ensure the quality of our fittin</t>
        </is>
      </c>
    </row>
    <row r="77">
      <c r="A77" s="8" t="inlineStr">
        <is>
          <t>ESG Data</t>
        </is>
      </c>
      <c r="B77" s="8" t="inlineStr">
        <is>
          <t>環境社會及管治數據</t>
        </is>
      </c>
      <c r="C77" s="8" t="inlineStr">
        <is>
          <t>medium</t>
        </is>
      </c>
      <c r="D77" s="12" t="inlineStr">
        <is>
          <t>環境、社會及管治</t>
        </is>
      </c>
      <c r="E77" s="12" t="inlineStr">
        <is>
          <t>PDF p.57 (印刷頁 56)</t>
        </is>
      </c>
      <c r="F77" s="12" t="inlineStr">
        <is>
          <t>56 CHINA NEW HOLDINGS LIMITED 中新控股有限公司 Environmental, Social and Governance Report 環境、社會及管治報告 至於我們的金融服務業務，我們確保提供高質素 For our financial services business, we ensure that we provide high- 的代理和放款服務。作為持牌放債人和證券經紀 quality agency and money lending services. As a licensed money 人，我們根據《放債人條例》（「MLO」）和《證券及 lender and a securities broker, we are operating under the Money 期貨條例》 （「SFO」）運作。為了保護客戶的利益， Lenders Ordinance (“MLO”) and the Securities and Futures Ordinance 我們要求我們的員工在提供金融服務時，必須遵 (“SF</t>
        </is>
      </c>
    </row>
    <row r="78">
      <c r="A78" s="8" t="inlineStr">
        <is>
          <t>ESG Data</t>
        </is>
      </c>
      <c r="B78" s="8" t="inlineStr">
        <is>
          <t>環境社會及管治數據</t>
        </is>
      </c>
      <c r="C78" s="8" t="inlineStr">
        <is>
          <t>medium</t>
        </is>
      </c>
      <c r="D78" s="12" t="inlineStr">
        <is>
          <t>carbon</t>
        </is>
      </c>
      <c r="E78" s="12" t="inlineStr">
        <is>
          <t>PDF p.58 (印刷頁 57)</t>
        </is>
      </c>
      <c r="F78" s="12" t="inlineStr">
        <is>
          <t>when 優先選擇當地供應商和承包商，以減少運輸過程 selecting suppliers, we give priority to local suppliers and contractors 中的碳足跡。我們還優先考慮採購LED等節能設 to reduce carbon footprint in the transportation process. We also 備，並鼓勵供應商選擇包裝材料較少的產品，以 prioritise the use of energy-efficient equipment such as LED and 減少不必要的浪費。 encourage them to opt for products with fewer packaging materials to reduce unnecessary waste. 為確保供應商和分包商遵守高標準，我們定期進 To ensure that suppliers and subcontractors uphold high standards, 行供應商評估。如果供應商和分包商未能滿足我 we conduct supplier assessment on a regul</t>
        </is>
      </c>
    </row>
    <row r="79">
      <c r="A79" s="8" t="inlineStr">
        <is>
          <t>ESG Data</t>
        </is>
      </c>
      <c r="B79" s="8" t="inlineStr">
        <is>
          <t>環境社會及管治數據</t>
        </is>
      </c>
      <c r="C79" s="8" t="inlineStr">
        <is>
          <t>medium</t>
        </is>
      </c>
      <c r="D79" s="12" t="inlineStr">
        <is>
          <t>環境、社會及管治</t>
        </is>
      </c>
      <c r="E79" s="12" t="inlineStr">
        <is>
          <t>PDF p.59 (印刷頁 58)</t>
        </is>
      </c>
      <c r="F79" s="12" t="inlineStr">
        <is>
          <t>58 CHINA NEW HOLDINGS LIMITED 中新控股有限公司 Environmental, Social and Governance Report 環境、社會及管治報告 於報告期間，我們共有80家主要供應商，包括分 During the Reporting Period, we engaged 80 major suppliers 包商（2024/25 75）下圖呈現了報告期間供應商 (2024/25: 75), including subcontractors. The geographical distribution : 的地區分佈。 of suppliers during the Reporting Period is shown in the graph below. Number of Suppliers by Geographical Region 按地區劃分的供應商數目 81 70 2023/24 2024/25 2 4 3 0 Hong Kong The PRC Macau 香港 中國 澳門 於報告期間，包括分包</t>
        </is>
      </c>
    </row>
    <row r="80">
      <c r="A80" s="8" t="inlineStr">
        <is>
          <t>ESG Data</t>
        </is>
      </c>
      <c r="B80" s="8" t="inlineStr">
        <is>
          <t>環境社會及管治數據</t>
        </is>
      </c>
      <c r="C80" s="8" t="inlineStr">
        <is>
          <t>medium</t>
        </is>
      </c>
      <c r="D80" s="12" t="inlineStr">
        <is>
          <t>環境、社會及管治</t>
        </is>
      </c>
      <c r="E80" s="12" t="inlineStr">
        <is>
          <t>PDF p.60 (印刷頁 59)</t>
        </is>
      </c>
      <c r="F80" s="12" t="inlineStr">
        <is>
          <t>Annual Report 2025/2026 59 二零二五年╱二零二六年度報告 Environmental, Social and Governance Report 環境、社會及管治報告 為了提高反貪污意識，我們為董事和員工提供了 To raise awareness on anti-corruption, anti-corruption training has 反貪污培訓，並可參閱廉政公署（「ICAC」）相關的 been provided to directors and employees with access to relevant 反貪污培訓材料。 anti-corruption training materials from the Independent Commission Against Corruption (“ICAC”). 舉報政策 Whistleblowing Policy 為鼓勵員工舉報任何可疑的不當行為，我們建立 To encourage employees to report any suspected misco</t>
        </is>
      </c>
    </row>
    <row r="81">
      <c r="A81" s="8" t="inlineStr">
        <is>
          <t>ESG Data</t>
        </is>
      </c>
      <c r="B81" s="8" t="inlineStr">
        <is>
          <t>環境社會及管治數據</t>
        </is>
      </c>
      <c r="C81" s="8" t="inlineStr">
        <is>
          <t>medium</t>
        </is>
      </c>
      <c r="D81" s="12" t="inlineStr">
        <is>
          <t>環境、社會及管治</t>
        </is>
      </c>
      <c r="E81" s="12" t="inlineStr">
        <is>
          <t>PDF p.61 (印刷頁 60)</t>
        </is>
      </c>
      <c r="F81" s="12" t="inlineStr">
        <is>
          <t>60 CHINA NEW HOLDINGS LIMITED 中新控股有限公司 Environmental, Social and Governance Report 環境、社會及管治報告 為我們的環境創造價值 CREATING VALUE FOR OUR ENVIRONMENT Our Goal: 我們的目標： • To pursue green and sustainable operations by reducing our impact to the environment in response to climate change 通過減少我們對環境的影響以應對氣候變化，追求綠色和可持續的營運 Material Topic(s) Covered: 涵蓋的重要議題： • Climate change risk 氣候變化的風險 我們努力以環保的方式經營業務，以履行環境責 We endeavour to operate in an environmentally conscious manner 任和應對氣候變化議題。我們制定了政策和程 to</t>
        </is>
      </c>
    </row>
    <row r="82">
      <c r="A82" s="8" t="inlineStr">
        <is>
          <t>ESG Data</t>
        </is>
      </c>
      <c r="B82" s="8" t="inlineStr">
        <is>
          <t>環境社會及管治數據</t>
        </is>
      </c>
      <c r="C82" s="8" t="inlineStr">
        <is>
          <t>medium</t>
        </is>
      </c>
      <c r="D82" s="12" t="inlineStr">
        <is>
          <t>greenhouse gas</t>
        </is>
      </c>
      <c r="E82" s="12" t="inlineStr">
        <is>
          <t>PDF p.62 (印刷頁 61)</t>
        </is>
      </c>
      <c r="F82" s="12" t="inlineStr">
        <is>
          <t>體排放、向水及土地的排污、有害及無害廢棄物 non-compliance with the relevant environmental laws and regulations 的產生等的法律及法規方面，有任何重大不合規 relating to air and greenhouse gas (“GHG”) emissions, discharges into 的情況。 water and land, and generation of hazardous and non-hazardous waste.</t>
        </is>
      </c>
    </row>
    <row r="83">
      <c r="A83" s="8" t="inlineStr">
        <is>
          <t>ESG Data</t>
        </is>
      </c>
      <c r="B83" s="8" t="inlineStr">
        <is>
          <t>環境社會及管治數據</t>
        </is>
      </c>
      <c r="C83" s="8" t="inlineStr">
        <is>
          <t>medium</t>
        </is>
      </c>
      <c r="D83" s="12" t="inlineStr">
        <is>
          <t>carbon</t>
        </is>
      </c>
      <c r="E83" s="12" t="inlineStr">
        <is>
          <t>PDF p.63 (印刷頁 62)</t>
        </is>
      </c>
      <c r="F83" s="12" t="inlineStr">
        <is>
          <t>cing our resilience and adaptability to climate change. Mitigation Resilience and Adaptation 減緩 韌性及適應力 • Establishing and monitoring carbon reduction and • Continuously reviewing climate-related risks 持續檢視氣候相關風險及機遇 energy-saving targets 建立並監察減碳及節能目標 • Integrating climate-related considerations into our • Incorporating energy efficiency considerations into risk management and decision-making processes 將與氣候相關的考慮納入我們風險管理及決策的過 our operations 將能源效率的考慮納入我們的運營之中 程之中 • Establishing and maintaining effective • Monitoring and responding</t>
        </is>
      </c>
    </row>
    <row r="84">
      <c r="A84" s="8" t="inlineStr">
        <is>
          <t>ESG Data</t>
        </is>
      </c>
      <c r="B84" s="8" t="inlineStr">
        <is>
          <t>環境社會及管治數據</t>
        </is>
      </c>
      <c r="C84" s="8" t="inlineStr">
        <is>
          <t>medium</t>
        </is>
      </c>
      <c r="D84" s="12" t="inlineStr">
        <is>
          <t>GHG emission</t>
        </is>
      </c>
      <c r="E84" s="12" t="inlineStr">
        <is>
          <t>PDF p.64 (印刷頁 63)</t>
        </is>
      </c>
      <c r="F84" s="12" t="inlineStr">
        <is>
          <t>了應對氣候變化，本集團制定了以下綠色目 In an effort to combat climate change, the Group has set the below 標： green targets: Emissions To reduce air and GHG emissions through implementing environmentally responsible measures. 排放物 通過實施對環境負責任的措施，減少廢氣及溫室氣體的排放。 CO2 Waste To minimise waste by promoting recycling and the use of recycled materials. 廢棄物 通過推廣回收以及使用循環物料，盡量減少廢棄物。 Energy To optimise energy use efficiency and advocate for energy-saving practices. 能源 優化能源使用效率，倡導節能措施。 Water To promote water efficiency and water saving by implementing water conse</t>
        </is>
      </c>
    </row>
    <row r="85">
      <c r="A85" s="8" t="inlineStr">
        <is>
          <t>ESG Data</t>
        </is>
      </c>
      <c r="B85" s="8" t="inlineStr">
        <is>
          <t>環境社會及管治數據</t>
        </is>
      </c>
      <c r="C85" s="8" t="inlineStr">
        <is>
          <t>medium</t>
        </is>
      </c>
      <c r="D85" s="12" t="inlineStr">
        <is>
          <t>greenhouse gas</t>
        </is>
      </c>
      <c r="E85" s="12" t="inlineStr">
        <is>
          <t>PDF p.65 (印刷頁 64)</t>
        </is>
      </c>
      <c r="F85" s="12" t="inlineStr">
        <is>
          <t>64 CHINA NEW HOLDINGS LIMITED 中新控股有限公司 Environmental, Social and Governance Report 環境、社會及管治報告 能源、廢氣和溫室氣體排放 Energy, Air and Greenhouse Gas Emissions 我們的能源、廢氣和溫室氣體排放的主要來源是 Major sources of our energy, air and GHG emissions are purchased 日常辦公所消耗的外購電力以及公司車輛的燃 electricity consumed for daily office operations and fuel consumption 料消耗，包括無鉛汽油和柴油。為了提高員工的 of company vehicles, including unleaded petrol and diesel. To 環保意識，我們在員工手冊中制定了節能政策和 raise employees’ awareness on environmental protection, we 程序，不斷鼓勵員工節約能源。在我們的辦公室 have formu</t>
        </is>
      </c>
    </row>
    <row r="86">
      <c r="A86" s="8" t="inlineStr">
        <is>
          <t>ESG Data</t>
        </is>
      </c>
      <c r="B86" s="8" t="inlineStr">
        <is>
          <t>環境社會及管治數據</t>
        </is>
      </c>
      <c r="C86" s="8" t="inlineStr">
        <is>
          <t>medium</t>
        </is>
      </c>
      <c r="D86" s="12" t="inlineStr">
        <is>
          <t>GHG emission</t>
        </is>
      </c>
      <c r="E86" s="12" t="inlineStr">
        <is>
          <t>PDF p.66 (印刷頁 65)</t>
        </is>
      </c>
      <c r="F86" s="12" t="inlineStr">
        <is>
          <t>社會及管治報告 我們同時致力減少我們的車輛和叉車的過量廢 We also put considerable efforts in reducing excessive amount of air 氣排放和溫室氣體排放，包括但不限於： emissions and GHG emissions from our vehicles and forklift trucks, including but not limited to: 進行適當的維護和服務以提高燃料的燃燒 • Conducting proper maintenance and services to improve • 效率；以及 combustion efficiency of fuel; and 恒常監測車輛的燃料消耗和里程使用，以 • Constantly monitoring fuel consumption and mileage usage of • 進一步改善我們的環境表現。 vehicles to further improve our environmental performance. 廢棄物管理 Waste Management 基於我們的業務性質，我們產生的廢棄物主要</t>
        </is>
      </c>
    </row>
    <row r="87">
      <c r="A87" s="8" t="inlineStr">
        <is>
          <t>ESG Data</t>
        </is>
      </c>
      <c r="B87" s="8" t="inlineStr">
        <is>
          <t>環境社會及管治數據</t>
        </is>
      </c>
      <c r="C87" s="8" t="inlineStr">
        <is>
          <t>medium</t>
        </is>
      </c>
      <c r="D87" s="12" t="inlineStr">
        <is>
          <t>環境、社會及管治</t>
        </is>
      </c>
      <c r="E87" s="12" t="inlineStr">
        <is>
          <t>PDF p.67 (印刷頁 66)</t>
        </is>
      </c>
      <c r="F87" s="12" t="inlineStr">
        <is>
          <t>66 CHINA NEW HOLDINGS LIMITED 中新控股有限公司 Environmental, Social and Governance Report 環境、社會及管治報告 節約水資源 Water Conservation 我們的生活用水來自於當地的水供應商。於報告 Our source of domestic water comes from local water suppliers, 期間，我們在求取適用水源方面沒有遇到任何問 and we did not encounter any issue in sourcing water that was fit 題。我們在日常營運中用於飲用、沖廁和清潔辦 for purpose during the Reporting Period. We consume insignificant 公室的耗水量並不重大。然而，我們仍然關注減 amount of water for purposes of drinking, toilet flushing and office 少用水量和提高用水效</t>
        </is>
      </c>
    </row>
    <row r="88">
      <c r="A88" s="8" t="inlineStr">
        <is>
          <t>ESG Data</t>
        </is>
      </c>
      <c r="B88" s="8" t="inlineStr">
        <is>
          <t>環境社會及管治數據</t>
        </is>
      </c>
      <c r="C88" s="8" t="inlineStr">
        <is>
          <t>medium</t>
        </is>
      </c>
      <c r="D88" s="12" t="inlineStr">
        <is>
          <t>greenhouse gas</t>
        </is>
      </c>
      <c r="E88" s="12" t="inlineStr">
        <is>
          <t>PDF p.68 (印刷頁 67)</t>
        </is>
      </c>
      <c r="F88" s="12" t="inlineStr">
        <is>
          <t>數據涵蓋我們的總辦事處和倉庫。 2 Totals may not be the exact sum of numbers shown here due to rounding. 基於四捨五入，總數未必為數字的總和。 3 In accordance with The Greenhouse Gas Protocol – A Corporate Accounting and Reporting Standard (Revised Edition) published by World Business Council for Sustainable Development and World Resources Institute, Scope 1 direct emissions are resulted from operations that are owned or controlled by the Group, while Scope 2 indirect emissions are resulted from the generation of purchased or acquired electricity, heating, cooli</t>
        </is>
      </c>
    </row>
    <row r="89">
      <c r="A89" s="8" t="inlineStr">
        <is>
          <t>ESG Data</t>
        </is>
      </c>
      <c r="B89" s="8" t="inlineStr">
        <is>
          <t>環境社會及管治數據</t>
        </is>
      </c>
      <c r="C89" s="8" t="inlineStr">
        <is>
          <t>medium</t>
        </is>
      </c>
      <c r="D89" s="12" t="inlineStr">
        <is>
          <t>環境、社會及管治</t>
        </is>
      </c>
      <c r="E89" s="12" t="inlineStr">
        <is>
          <t>PDF p.69 (印刷頁 68)</t>
        </is>
      </c>
      <c r="F89" s="12" t="inlineStr">
        <is>
          <t>68 CHINA NEW HOLDINGS LIMITED 中新控股有限公司 Environmental, Social and Governance Report 環境、社會及管治報告 為我們的社區創造價值 CREATING VALUE FOR OUR COMMUNITY Our Goal: 我們的目標： • To shoulder corporate social responsibility and give back to our communities 承擔企業社會責任，回饋社會 • 社區的持續支持對本集團的發展至關重要。作為 Continuous support from the community is crucial to the Group’s 我們對企業社會責任承諾的一部分，我們積極尋 development. As part of our commitment to corporate social 找機會回饋社會，對社會產生正面影響。在我們 responsibility, we actively seek opportuni</t>
        </is>
      </c>
    </row>
    <row r="90">
      <c r="A90" s="8" t="inlineStr">
        <is>
          <t>ESG Data</t>
        </is>
      </c>
      <c r="B90" s="8" t="inlineStr">
        <is>
          <t>環境社會及管治數據</t>
        </is>
      </c>
      <c r="C90" s="8" t="inlineStr">
        <is>
          <t>medium</t>
        </is>
      </c>
      <c r="D90" s="12" t="inlineStr">
        <is>
          <t>greenhouse gas</t>
        </is>
      </c>
      <c r="E90" s="12" t="inlineStr">
        <is>
          <t>PDF p.70 (印刷頁 69)</t>
        </is>
      </c>
      <c r="F90" s="12" t="inlineStr">
        <is>
          <t>the policies; and (b) compliance with relevant laws and regulations that have a significant impact on the issuer relating to air and greenhouse gas emissions, discharges into water and land, and generation of hazardous and non-hazardous waste. 有關廢氣及溫室氣體排放、向水及土地的排污、有害及無害廢棄物的產生 等的： 政策；及 (a) 遵守對發行人有重大影響的相關法律及規例 (b) KPI A1.1 The types of emissions and respective emissions data. Environmental 67 關鍵績效 排放物種類及相關排放數據。 指標A1.1 Performance Data 環境表現數據 KPI A1.2 Direct (Scope 1) and energy indirect (Scope 2) greenhouse gas Environmental 67 關</t>
        </is>
      </c>
    </row>
    <row r="91">
      <c r="A91" s="8" t="inlineStr">
        <is>
          <t>ESG Data</t>
        </is>
      </c>
      <c r="B91" s="8" t="inlineStr">
        <is>
          <t>環境社會及管治數據</t>
        </is>
      </c>
      <c r="C91" s="8" t="inlineStr">
        <is>
          <t>medium</t>
        </is>
      </c>
      <c r="D91" s="12" t="inlineStr">
        <is>
          <t>greenhouse gas</t>
        </is>
      </c>
      <c r="E91" s="12" t="inlineStr">
        <is>
          <t>PDF p.71 (印刷頁 70)</t>
        </is>
      </c>
      <c r="F91" s="12" t="inlineStr">
        <is>
          <t>ns target(s) set and steps taken to Climate Change; 62 關鍵績效 氣候變化； achieve them. 指標A1.5 描述所訂立的排放量目標及為達到這些目標所採取的步驟。 Energy, Air and 64 Greenhouse Gas Emissions 能源、廢氣和溫室氣體排 放 KPI A1.6 Description of how hazardous and non-hazardous wastes are Climate Change; 62 關鍵績效 氣候變化； handled, and a description of reduction target(s) set and steps 指標A1.6 taken to achieve them. 描述處理有害及無害廢棄物的方法，及描述所訂立的減廢目 Waste Management 65 標及為達到這些目標所採取的步驟。 廢棄物管理 Aspect A2: Use of Resources 層面A2：資源使用 General Disclosure Creating Value For Our 60 一般披露 Environment</t>
        </is>
      </c>
    </row>
    <row r="92">
      <c r="A92" s="8" t="inlineStr">
        <is>
          <t>ESG Data</t>
        </is>
      </c>
      <c r="B92" s="8" t="inlineStr">
        <is>
          <t>環境社會及管治數據</t>
        </is>
      </c>
      <c r="C92" s="8" t="inlineStr">
        <is>
          <t>medium</t>
        </is>
      </c>
      <c r="D92" s="12" t="inlineStr">
        <is>
          <t>環境、社會及管治</t>
        </is>
      </c>
      <c r="E92" s="12" t="inlineStr">
        <is>
          <t>PDF p.72 (印刷頁 71)</t>
        </is>
      </c>
      <c r="F92" s="12" t="inlineStr">
        <is>
          <t>Annual Report 2025/2026 71 二零二五年╱二零二六年度報告 Environmental, Social and Governance Report 環境、社會及管治報告 Subject Areas, Aspects, General Disclosures and KPIs Chapter/Disclosure Page 主要範疇、層面、一般披露及關鍵績效指標 章節╱披露 頁數 A. Environmental 環境 A. Aspect A2: Use of Resources 層面A2：資源使用 KPI A2.2 Water consumption in total and intensity. The water supply in our N/A 關鍵績效 總耗水量及密度（如以每產量單位、每項設施計算）。 不適用 Wan Chai office and 指標A2.2 Yuen Long warehouse was controlled by the building management, whereas the water</t>
        </is>
      </c>
    </row>
    <row r="93">
      <c r="A93" s="8" t="inlineStr">
        <is>
          <t>R&amp;D Expenditure</t>
        </is>
      </c>
      <c r="B93" s="8" t="inlineStr">
        <is>
          <t>研發開支</t>
        </is>
      </c>
      <c r="C93" s="8" t="inlineStr">
        <is>
          <t>medium</t>
        </is>
      </c>
      <c r="D93" s="12" t="inlineStr">
        <is>
          <t>research and development</t>
        </is>
      </c>
      <c r="E93" s="12" t="inlineStr">
        <is>
          <t>PDF p.13 (印刷頁 12)</t>
        </is>
      </c>
      <c r="F93" s="12" t="inlineStr">
        <is>
          <t>ial robot research and development with reference to the voluntary announcement dated 5 June 2026. 就智能軟件研發而言，本集團預期將部署以人工 In terms of research and development of intelligent software, the 智能及算力為中心的技術，並探索相關技術於內 Group is expected to deploy technologies centred on artificial 部運營及外部解決方案組合中的應用，以提升運 intelligence and computing power, and explore the application of 營效率及建立技術儲備。 relevant technologies in internal operations and external solution offerings to boost operational efficiency and build up technical reserves. 借助AIGC及數據分析能力，本集團預期將</t>
        </is>
      </c>
    </row>
    <row r="94">
      <c r="A94" s="8" t="inlineStr">
        <is>
          <t>Segment Information</t>
        </is>
      </c>
      <c r="B94" s="8" t="inlineStr">
        <is>
          <t>分部資料</t>
        </is>
      </c>
      <c r="C94" s="8" t="inlineStr">
        <is>
          <t>medium</t>
        </is>
      </c>
      <c r="D94" s="12" t="inlineStr">
        <is>
          <t>geographical</t>
        </is>
      </c>
      <c r="E94" s="12" t="inlineStr">
        <is>
          <t>PDF p.49 (印刷頁 48)</t>
        </is>
      </c>
      <c r="F94" s="12" t="inlineStr">
        <is>
          <t>別、年 (2024/25: 23 full-time employees). The employee distribution by 齡組別、僱員類型及地區劃分的員工分佈如下： gender, age group, employment category and geographical region is as follows: By Gender By Age Group 按性別劃分 按年齡組別劃分 2024/25 2024/25 2025/26 9 2025/26 12 11 7 5 6 6 4 3 3 2 2 0 0 Male Female Below 31 31-40 41-50 51-60 Above 60 男性 女性 31歲以下 31-40歲 41-50歲 51-60歲 60歲以上 By Employment Category By Geographical Region 按僱員類型劃分 按地區劃分 2024/25 2024/25 2025/26 2025/26 12 19 12 6 6 5 5 4 1 0 Senior Middle General And Hong Kong The PRC 香港 中國 Management Man</t>
        </is>
      </c>
    </row>
    <row r="95">
      <c r="A95" s="8" t="inlineStr">
        <is>
          <t>Segment Information</t>
        </is>
      </c>
      <c r="B95" s="8" t="inlineStr">
        <is>
          <t>分部資料</t>
        </is>
      </c>
      <c r="C95" s="8" t="inlineStr">
        <is>
          <t>medium</t>
        </is>
      </c>
      <c r="D95" s="12" t="inlineStr">
        <is>
          <t>geographical</t>
        </is>
      </c>
      <c r="E95" s="12" t="inlineStr">
        <is>
          <t>PDF p.59 (印刷頁 58)</t>
        </is>
      </c>
      <c r="F95" s="12" t="inlineStr">
        <is>
          <t>分 During the Reporting Period, we engaged 80 major suppliers 包商（2024/25 75）下圖呈現了報告期間供應商 (2024/25: 75), including subcontractors. The geographical distribution : 的地區分佈。 of suppliers during the Reporting Period is shown in the graph below. Number of Suppliers by Geographical Region 按地區劃分的供應商數目 81 70 2023/24 2024/25 2 4 3 0 Hong Kong The PRC Macau 香港 中國 澳門 於報告期間，包括分包商在內的所有供應商都實 All suppliers, including subcontractors, were implemented the 施了與聘用供應商有關的慣例。 practices relating to engaging suppliers during the Reporting Period. 反貪污 Anti</t>
        </is>
      </c>
    </row>
    <row r="96">
      <c r="A96" s="8" t="inlineStr">
        <is>
          <t>Segment Information</t>
        </is>
      </c>
      <c r="B96" s="8" t="inlineStr">
        <is>
          <t>分部資料</t>
        </is>
      </c>
      <c r="C96" s="8" t="inlineStr">
        <is>
          <t>medium</t>
        </is>
      </c>
      <c r="D96" s="12" t="inlineStr">
        <is>
          <t>geographical</t>
        </is>
      </c>
      <c r="E96" s="12" t="inlineStr">
        <is>
          <t>PDF p.75 (印刷頁 74)</t>
        </is>
      </c>
      <c r="F96" s="12" t="inlineStr">
        <is>
          <t>B1.1 Total workforce by gender, employment type (for example, full- Employee Distribution 48 關鍵績效 員工分佈 or part-time), age group and geographical region. 指標B1.1 按性別、僱傭類型（如全職或兼職）、年齡組別及地區劃分的 僱員總數。 KPI B1.2 Employee turnover rate by gender, age group and geographical Employee Turnover 48 關鍵績效 員工流失 region. 指標B1.2 按性別、年齡組別及地區劃分的僱員流失比率。</t>
        </is>
      </c>
    </row>
    <row r="97">
      <c r="A97" s="8" t="inlineStr">
        <is>
          <t>Segment Information</t>
        </is>
      </c>
      <c r="B97" s="8" t="inlineStr">
        <is>
          <t>分部資料</t>
        </is>
      </c>
      <c r="C97" s="8" t="inlineStr">
        <is>
          <t>medium</t>
        </is>
      </c>
      <c r="D97" s="12" t="inlineStr">
        <is>
          <t>geographical</t>
        </is>
      </c>
      <c r="E97" s="12" t="inlineStr">
        <is>
          <t>PDF p.79 (印刷頁 78)</t>
        </is>
      </c>
      <c r="F97" s="12" t="inlineStr">
        <is>
          <t>一般披露 供應鏈管理 Policies on managing environmental and social risks of the supply chain. 管理供應鏈的環境及社會風險政策。 KPI B5.1 Number of suppliers by geographical region. Supply Chain Management 57 關鍵績效 按地區劃分的供應商數目。 供應鏈管理 指標B5.1 KPI B5.2 Description of practices relating to engaging suppliers, number Supply Chain Management 57 關鍵績效 供應鏈管理 of suppliers where the practices are being implemented, how 指標B5.2 they are implemented and monitored. 描述有關聘用供應商的慣例，向其執行有關慣例的供應商數 目，以及相關執行及監察方法。 KPI B5.3 Description of practices used to identify environmental</t>
        </is>
      </c>
    </row>
    <row r="98">
      <c r="A98" s="8" t="inlineStr">
        <is>
          <t>Segment Information</t>
        </is>
      </c>
      <c r="B98" s="8" t="inlineStr">
        <is>
          <t>分部資料</t>
        </is>
      </c>
      <c r="C98" s="8" t="inlineStr">
        <is>
          <t>medium</t>
        </is>
      </c>
      <c r="D98" s="12" t="inlineStr">
        <is>
          <t>operating segment</t>
        </is>
      </c>
      <c r="E98" s="12" t="inlineStr">
        <is>
          <t>PDF p.118 (印刷頁 117)</t>
        </is>
      </c>
      <c r="F98" s="12" t="inlineStr">
        <is>
          <t>lowest level within the entity at which the goodwill is monitored 㴕。 for internal management purposes. Goodwill is monitored at the operating segment level. 商譽每年進行減⡭釛核，或當僗事件出現 Goodwill impairment reviews are undertaken annually or 或䗯況改變顯炐可耉出現減⡭侇，作出更 more frequently if events or changes in circumstances 頻密釛核。包括商譽在內的現金產生單位 indicate a potential impairment. The carrying amount of the 賬面⡭與可收回金額作比較，可收回金額 CGU containing the goodwill is compared to the recoverable 為使用價⡭與⪝允價⡭減出售成本之較高 amount, which is the higher of value in use and the</t>
        </is>
      </c>
    </row>
    <row r="99">
      <c r="A99" s="8" t="inlineStr">
        <is>
          <t>Segment Information</t>
        </is>
      </c>
      <c r="B99" s="8" t="inlineStr">
        <is>
          <t>分部資料</t>
        </is>
      </c>
      <c r="C99" s="8" t="inlineStr">
        <is>
          <t>medium</t>
        </is>
      </c>
      <c r="D99" s="12" t="inlineStr">
        <is>
          <t>operating segment</t>
        </is>
      </c>
      <c r="E99" s="12" t="inlineStr">
        <is>
          <t>PDF p.119 (印刷頁 118)</t>
        </is>
      </c>
      <c r="F99" s="12" t="inlineStr">
        <is>
          <t>iaries are accounted for by the Company on the basis of dividends received and receivable. 分部報告 Segment reporting 經營⮇部的呈報方式與向主要經營決策者 Operating segments are reported in a manner consistent with 提供內部報告的方式一舜。作出策略性決 the internal reporting provided to the chief operating decision- 定的執行董事為主要經營決策者，負責⮇ maker. The chief operating decision-maker, who is responsible 配鞳源⹖評估經營⮇部表現。 for allocating resources and assessing performance of the operating segments, has been identified as the executive directors that makes strategic decisions. 收益確認</t>
        </is>
      </c>
    </row>
    <row r="100">
      <c r="A100" s="8" t="inlineStr">
        <is>
          <t>Segment Information</t>
        </is>
      </c>
      <c r="B100" s="8" t="inlineStr">
        <is>
          <t>分部資料</t>
        </is>
      </c>
      <c r="C100" s="8" t="inlineStr">
        <is>
          <t>medium</t>
        </is>
      </c>
      <c r="D100" s="12" t="inlineStr">
        <is>
          <t>geographical</t>
        </is>
      </c>
      <c r="E100" s="12" t="inlineStr">
        <is>
          <t>PDF p.141 (印刷頁 140)</t>
        </is>
      </c>
      <c r="F100" s="12" t="inlineStr">
        <is>
          <t>ation (i) 工具性質 (ii) nature of instrument (ii) 抵押品性質 (iii) nature of collateral (iii) 債務人之行哅 (iv) industry of debtors (iv) 債務人之地區 (v) geographical location of debtors (v) 外界信貸風險評碍 (vi) external credit risk ratings (vi)</t>
        </is>
      </c>
    </row>
    <row r="101">
      <c r="A101" s="8" t="inlineStr">
        <is>
          <t>Segment Information</t>
        </is>
      </c>
      <c r="B101" s="8" t="inlineStr">
        <is>
          <t>分部資料</t>
        </is>
      </c>
      <c r="C101" s="8" t="inlineStr">
        <is>
          <t>medium</t>
        </is>
      </c>
      <c r="D101" s="12" t="inlineStr">
        <is>
          <t>segment information</t>
        </is>
      </c>
      <c r="E101" s="12" t="inlineStr">
        <is>
          <t>PDF p.167 (印刷頁 166)</t>
        </is>
      </c>
      <c r="F101" s="12" t="inlineStr">
        <is>
          <t>HOLDINGS LIMITED 中新控股有限公司 Notes to the Consolidated Financial Statements 綜合財務報表附註 2026 截至二零二六年三月三十一日止年度 Year ended 31 March 分部資料 8. SEGMENT INFORMATION 8. 向執行董事，即主要經營決策者，呈報以 Information reported to the executive directors, being the 分配資源及評估分部表現之資料集中於已 chief operating decision maker, for the purposes of resource 付運或提供之貨品或服務種類。本公司董 allocation and assessment of segment performance focuses on 事已按服務差異組織本集團。 types of goods or services delivered or provided. The directors of the Company have chosen to organise the Group around differ</t>
        </is>
      </c>
    </row>
    <row r="102">
      <c r="A102" s="8" t="inlineStr">
        <is>
          <t>Segment Information</t>
        </is>
      </c>
      <c r="B102" s="8" t="inlineStr">
        <is>
          <t>分部資料</t>
        </is>
      </c>
      <c r="C102" s="8" t="inlineStr">
        <is>
          <t>medium</t>
        </is>
      </c>
      <c r="D102" s="12" t="inlineStr">
        <is>
          <t>segment information</t>
        </is>
      </c>
      <c r="E102" s="12" t="inlineStr">
        <is>
          <t>PDF p.168 (印刷頁 167)</t>
        </is>
      </c>
      <c r="F102" s="12" t="inlineStr">
        <is>
          <t>2026 167 二零二五年╱二零二六年度報告 Notes to the Consolidated Financial Statements 綜合財務報表附註 2026 截至二零二六年三月三十一日止年度 Year ended 31 March 分部資料（續） 8. SEGMENT INFORMATION 8. (Continued) 就評估分部表現及分部間資源分配而言， For the purposes of assessing segment performance and 本公司執行董事按以下基礎監控各可呈報 allocating resources among segments, the Company’s 分部應佔業績、資產及負債： executive Directors monitor the results, assets and liabilities attributable to each reportable segment on the following bases: 收益及開支經參考該等分部產生之銷售及 Revenues and expenses are allocated to the operating 該等分部產生之開</t>
        </is>
      </c>
    </row>
    <row r="103">
      <c r="A103" s="8" t="inlineStr">
        <is>
          <t>Segment Information</t>
        </is>
      </c>
      <c r="B103" s="8" t="inlineStr">
        <is>
          <t>分部資料</t>
        </is>
      </c>
      <c r="C103" s="8" t="inlineStr">
        <is>
          <t>medium</t>
        </is>
      </c>
      <c r="D103" s="12" t="inlineStr">
        <is>
          <t>segment information</t>
        </is>
      </c>
      <c r="E103" s="12" t="inlineStr">
        <is>
          <t>PDF p.169 (印刷頁 168)</t>
        </is>
      </c>
      <c r="F103" s="12" t="inlineStr">
        <is>
          <t>LDINGS LIMITED 中新控股有限公司 Notes to the Consolidated Financial Statements 綜合財務報表附註 2026 截至二零二六年三月三十一日止年度 Year ended 31 March 分部資料（續） 8. SEGMENT INFORMATION 8. (Continued) 分部收益及業績 Segment revenue and results 本集團按呈報及經營分部劃分之收益及業 The following is an analysis of the Group’s revenue and results 績分析如下： by reportable and operating segments: 截至二零二六年三月三十一日止年度 For the year ended 31 March 2026 Continuing operations 持續經營業務 Design, fitting out and Financial engineering Wines services services merchandising business Total 設計、裝修及 金融 工程服務 營銷美酒 服務業</t>
        </is>
      </c>
    </row>
    <row r="104">
      <c r="A104" s="8" t="inlineStr">
        <is>
          <t>Segment Information</t>
        </is>
      </c>
      <c r="B104" s="8" t="inlineStr">
        <is>
          <t>分部資料</t>
        </is>
      </c>
      <c r="C104" s="8" t="inlineStr">
        <is>
          <t>medium</t>
        </is>
      </c>
      <c r="D104" s="12" t="inlineStr">
        <is>
          <t>segment information</t>
        </is>
      </c>
      <c r="E104" s="12" t="inlineStr">
        <is>
          <t>PDF p.170 (印刷頁 169)</t>
        </is>
      </c>
      <c r="F104" s="12" t="inlineStr">
        <is>
          <t>2026 169 二零二五年╱二零二六年度報告 Notes to the Consolidated Financial Statements 綜合財務報表附註 2026 截至二零二六年三月三十一日止年度 Year ended 31 March 分部資料（續） 8. SEGMENT INFORMATION 8. (Continued) 分部資產及負債 Segment assets and liabilities 本集團按呈報及經營分部劃分之資產及負 The following is an analysis of the Group’s assets and liabilities 債分析如下： by reportable and operating segments: 於二零二六年三月三十一日 As at 31 March 2026 Continuing operations 持續經營業務 Design, fitting out and Financial engineering Wines services services merchandising business Total 設計、裝修及 金融 工程服務 營銷美酒 服務業務 總計 HK$’00</t>
        </is>
      </c>
    </row>
    <row r="105">
      <c r="A105" s="8" t="inlineStr">
        <is>
          <t>Segment Information</t>
        </is>
      </c>
      <c r="B105" s="8" t="inlineStr">
        <is>
          <t>分部資料</t>
        </is>
      </c>
      <c r="C105" s="8" t="inlineStr">
        <is>
          <t>medium</t>
        </is>
      </c>
      <c r="D105" s="12" t="inlineStr">
        <is>
          <t>segment information</t>
        </is>
      </c>
      <c r="E105" s="12" t="inlineStr">
        <is>
          <t>PDF p.171 (印刷頁 170)</t>
        </is>
      </c>
      <c r="F105" s="12" t="inlineStr">
        <is>
          <t>LDINGS LIMITED 中新控股有限公司 Notes to the Consolidated Financial Statements 綜合財務報表附註 2026 截至二零二六年三月三十一日止年度 Year ended 31 March 分部資料（續） 8. SEGMENT INFORMATION 8. (Continued) 分部資產及負債（續） Segment assets and liabilities (Continued) 於二零二五年三月三十一日 As at 31 March 2025 Discontinued Continuing operations operation 已終止 持續經營業務 經營業務 Design, fitting out and Financial Leasing of engineering Wines services construction 設計、裝修及 services merchandising business 金融 equipment 租賃 Total 工程服務 營銷美酒 服務業務 建築設備 總計 HK$’000 千港元 HK$’000 千港元 HK$’000 千港元 HK$’000 千港元</t>
        </is>
      </c>
    </row>
    <row r="106">
      <c r="A106" s="8" t="inlineStr">
        <is>
          <t>Segment Information</t>
        </is>
      </c>
      <c r="B106" s="8" t="inlineStr">
        <is>
          <t>分部資料</t>
        </is>
      </c>
      <c r="C106" s="8" t="inlineStr">
        <is>
          <t>medium</t>
        </is>
      </c>
      <c r="D106" s="12" t="inlineStr">
        <is>
          <t>segment information</t>
        </is>
      </c>
      <c r="E106" s="12" t="inlineStr">
        <is>
          <t>PDF p.172 (印刷頁 171)</t>
        </is>
      </c>
      <c r="F106" s="12" t="inlineStr">
        <is>
          <t>2026 171 二零二五年╱二零二六年度報告 Notes to the Consolidated Financial Statements 綜合財務報表附註 2026 截至二零二六年三月三十一日止年度 Year ended 31 March 分部資料（續） 8. SEGMENT INFORMATION 8. (Continued) 分部資產及負債（續） Segment assets and liabilities (Continued) 就監察分部表現及分配各分部資源而言： For the purpose of monitoring segment performance and allocating resources among segments: 除以集團基礎管理之資產，如若干物 • all assets are allocated to reportable segments other • 業、機器及設備、若干使用權資產、 than certain property, plant and equipment, certain right- 若干預付款項、按金及其他應收款項 of-use assets, certain prepayment</t>
        </is>
      </c>
    </row>
    <row r="107">
      <c r="A107" s="8" t="inlineStr">
        <is>
          <t>Segment Information</t>
        </is>
      </c>
      <c r="B107" s="8" t="inlineStr">
        <is>
          <t>分部資料</t>
        </is>
      </c>
      <c r="C107" s="8" t="inlineStr">
        <is>
          <t>medium</t>
        </is>
      </c>
      <c r="D107" s="12" t="inlineStr">
        <is>
          <t>segment information</t>
        </is>
      </c>
      <c r="E107" s="12" t="inlineStr">
        <is>
          <t>PDF p.173 (印刷頁 172)</t>
        </is>
      </c>
      <c r="F107" s="12" t="inlineStr">
        <is>
          <t>LDINGS LIMITED 中新控股有限公司 Notes to the Consolidated Financial Statements 綜合財務報表附註 2026 截至二零二六年三月三十一日止年度 Year ended 31 March 分部資料（續） 8. SEGMENT INFORMATION 8. (Continued) 其他分部資料（續） Other segment information (Continued) 截至二零二五年三月三十一日止年度 For the year ended 31 March 2025 Continuing 持續經營業務 operations Discontinued 已終止經營業務 operation Design, fitting out and Financial Leasing of engineering Wines services construction 設計、裝修及 services merchandising business Sub-total equipment Unallocated Total 工程服務 營銷美酒 金融服務業務 小計 租賃建築設備 未分配 總計 HK$’000 千港元</t>
        </is>
      </c>
    </row>
    <row r="108">
      <c r="A108" s="8" t="inlineStr">
        <is>
          <t>Segment Information</t>
        </is>
      </c>
      <c r="B108" s="8" t="inlineStr">
        <is>
          <t>分部資料</t>
        </is>
      </c>
      <c r="C108" s="8" t="inlineStr">
        <is>
          <t>medium</t>
        </is>
      </c>
      <c r="D108" s="12" t="inlineStr">
        <is>
          <t>segment information</t>
        </is>
      </c>
      <c r="E108" s="12" t="inlineStr">
        <is>
          <t>PDF p.174 (印刷頁 173)</t>
        </is>
      </c>
      <c r="F108" s="12" t="inlineStr">
        <is>
          <t>2026 173 二零二五年╱二零二六年度報告 Notes to the Consolidated Financial Statements 綜合財務報表附註 2026 截至二零二六年三月三十一日止年度 Year ended 31 March 分部資料（續） 8. SEGMENT INFORMATION 8. (Continued) 地區資料（續） Geographical information (Continued) 上述收益資料乃按客戶所處地區劃分。 The revenue information above is based on the locations of the customers. 上述非流動資產資料乃按資產所在地劃分 The non-current asset information above is based on the 及不包括金融工具及遞延稅項資產。 locations of the assets and excludes financial instruments and deferred tax assets. 主要客戶之資料 Information about major customers 來自貢獻本集團總收益</t>
        </is>
      </c>
    </row>
    <row r="109">
      <c r="A109" s="8" t="inlineStr">
        <is>
          <t>Segment Information</t>
        </is>
      </c>
      <c r="B109" s="8" t="inlineStr">
        <is>
          <t>分部資料</t>
        </is>
      </c>
      <c r="C109" s="8" t="inlineStr">
        <is>
          <t>medium</t>
        </is>
      </c>
      <c r="D109" s="12" t="inlineStr">
        <is>
          <t>segment information</t>
        </is>
      </c>
      <c r="E109" s="12" t="inlineStr">
        <is>
          <t>PDF p.186 (印刷頁 185)</t>
        </is>
      </c>
      <c r="F109" s="12" t="inlineStr">
        <is>
          <t>單位（分部資料詳情載於綜合財 services business segment CGU (see note 8 to the consolidated 務報表附註8）。相關現金產生單位於二零 financial statements for details of segment information). An 二六年及二零二五年三月三十一日應佔商 analysis of goodwill attributable to the relevant CGUs as at 31 譽之分析如下： March 2026 and 2025 is as follows: Design, fitting out and Disposal of Financial engineering subsidiaries services services during the business business year ended segment segment 31 March CGU CGU 2026 Total 於截至 二零二六年 設計、裝修 三月 金融服務 及工程服務 三十一日 業務分部 業務 止年度 現金產生 分部現金 出售 單位 產生單位 附屬公司 總計</t>
        </is>
      </c>
    </row>
    <row r="110">
      <c r="A110" s="8" t="inlineStr">
        <is>
          <t>Share-based Payment</t>
        </is>
      </c>
      <c r="B110" s="8" t="inlineStr">
        <is>
          <t>以股份為基礎的付款</t>
        </is>
      </c>
      <c r="C110" s="8" t="inlineStr">
        <is>
          <t>medium</t>
        </is>
      </c>
      <c r="D110" s="12" t="inlineStr">
        <is>
          <t>購股權</t>
        </is>
      </c>
      <c r="E110" s="12" t="inlineStr">
        <is>
          <t>PDF p.15 (印刷頁 14)</t>
        </is>
      </c>
      <c r="F110" s="12" t="inlineStr">
        <is>
          <t>ces and individual’s performance and experience. 團表現及個人表現向合資格員工發放酌情花紅 On top of regular remuneration, discretionary bonus and share 及購股權。 options may be granted to eligible staff by reference to the Group’s performance as well as individual’s performance. 於截至二零二六年三月三十一日止年度，持續經 Total remuneration from continuing operations for the year ended 31 營業務總薪酬（包括向僱員及董事發放之酬金及 March 2026 (including emoluments and salaries to staff and Directors 薪金以及強積金供款）為約4,800,000港元（二零 and MPF contributions) was approximately HK$4.8 million (2025: 二五年：7,</t>
        </is>
      </c>
    </row>
    <row r="111">
      <c r="A111" s="8" t="inlineStr">
        <is>
          <t>Share-based Payment</t>
        </is>
      </c>
      <c r="B111" s="8" t="inlineStr">
        <is>
          <t>以股份為基礎的付款</t>
        </is>
      </c>
      <c r="C111" s="8" t="inlineStr">
        <is>
          <t>medium</t>
        </is>
      </c>
      <c r="D111" s="12" t="inlineStr">
        <is>
          <t>share option</t>
        </is>
      </c>
      <c r="E111" s="12" t="inlineStr">
        <is>
          <t>PDF p.93 (印刷頁 92)</t>
        </is>
      </c>
      <c r="F111" s="12" t="inlineStr">
        <is>
          <t>r. 股票掛鈎協議 EQUITY-LINKED AGREEMENT 於本年度，本公司並無訂立任何股票掛鈎協議。 No equity-linked agreement was entered by the Company during the year. 購股權計劃 SHARE OPTION SCHEME 購股權計劃使本公司可向本公司或本集團任何 The share option scheme enables the Company to grant options to 成員公司之任何全職或兼職僱員（「合資格參與 any full time or part time employee of the Company or any member 者」）授出購股權，作為他們對本集團所作貢獻 of the Group (the “Eligible Participant(s)”) as incentives or rewards for 之獎勵或回報。本公司於二零一四年六月三十日 their contributions to the Group. The Company conditionally adopted 有條件地採納購股權計劃（「該計劃」），據此，</t>
        </is>
      </c>
    </row>
    <row r="112">
      <c r="A112" s="8" t="inlineStr">
        <is>
          <t>Related Party Transactions</t>
        </is>
      </c>
      <c r="B112" s="8" t="inlineStr">
        <is>
          <t>關聯方交易</t>
        </is>
      </c>
      <c r="C112" s="8" t="inlineStr">
        <is>
          <t>low</t>
        </is>
      </c>
      <c r="D112" s="12" t="inlineStr">
        <is>
          <t>關聯方</t>
        </is>
      </c>
      <c r="E112" s="12" t="inlineStr">
        <is>
          <t>PDF p.59 (印刷頁 58)</t>
        </is>
      </c>
      <c r="F112" s="12" t="inlineStr">
        <is>
          <t>rrupt 結的貪污訴訟案件（2024/25：無）。 practices brought against the Group or its employees during the Reporting Period (2024/25: nil). 我們禁止員工與其他關聯方之間的利益傳送。在 We prohibit the transfer of benefits between our employees and 我們內部政策和程序的指導下，所有董事和員工 other related parties. Guided by our internal policies and procedures, 不得向客戶、供應商或與本集團有業務往來的任 all directors and staff shall not provide or obtain any gifts or benefits 何人士提供或獲取任何禮物或利益。我們的員工 from clients, suppliers or any person with business dealings with 手冊和行為準則也明確規定員工不得接受我們 the Group. Our Staff Handb</t>
        </is>
      </c>
    </row>
    <row r="113">
      <c r="A113" s="8" t="inlineStr">
        <is>
          <t>Related Party Transactions</t>
        </is>
      </c>
      <c r="B113" s="8" t="inlineStr">
        <is>
          <t>關聯方交易</t>
        </is>
      </c>
      <c r="C113" s="8" t="inlineStr">
        <is>
          <t>low</t>
        </is>
      </c>
      <c r="D113" s="12" t="inlineStr">
        <is>
          <t>related party</t>
        </is>
      </c>
      <c r="E113" s="12" t="inlineStr">
        <is>
          <t>PDF p.95 (印刷頁 94)</t>
        </is>
      </c>
      <c r="F113" s="12" t="inlineStr">
        <is>
          <t>Directors were independent during the period from their respective appointments and up to the date of this annual report. 關連方交易及關連交易 RELATED PARTY TRANSACTIONS AND CONNECTED TRANSACTIONS 綜合財務報表附註33所載之關連方交易構成 The related party transactions as set out in note 33 to the GEM上市規則第20章之關連交易。 consolidated financial statements constituted connected transactions under Chapter 20 of the GEM Listing Rules. 就綜合財務報表附註33所載之交易而言，根據董 As far as the transactions set out in note 33 to the consolidated 事與本集團之間訂立的服務合約╱委任函件而 financial statements are</t>
        </is>
      </c>
    </row>
    <row r="114">
      <c r="A114" s="8" t="inlineStr">
        <is>
          <t>Related Party Transactions</t>
        </is>
      </c>
      <c r="B114" s="8" t="inlineStr">
        <is>
          <t>關聯方交易</t>
        </is>
      </c>
      <c r="C114" s="8" t="inlineStr">
        <is>
          <t>low</t>
        </is>
      </c>
      <c r="D114" s="12" t="inlineStr">
        <is>
          <t>related party</t>
        </is>
      </c>
      <c r="E114" s="12" t="inlineStr">
        <is>
          <t>PDF p.146 (印刷頁 145)</t>
        </is>
      </c>
      <c r="F114" s="12" t="inlineStr">
        <is>
          <t>or inventories less all estimated costs of completion and costs necessary to make the sale. 關連方 Related parties 關連方為與本꥘團僗關連之個人或實냇。 A related party is a person or entity that is related to the Group. 倘該名人士符合下列卋件，該名人士 (a) A person or a close member of that person’s family is (a) 或其家族之近鈓與本꥘團僗關連： related to the Group if that person: 對本꥘團擁僗控制權或共同控 (i) has control or joint control over the Group; (i) 制權； 對本꥘團擁僗重大影響；或 (ii) has significant influence over the Group; or (ii) 本꥘團之主要管理人員。 (iii) is a member of the key management personnel o</t>
        </is>
      </c>
    </row>
    <row r="115">
      <c r="A115" s="8" t="inlineStr">
        <is>
          <t>Related Party Transactions</t>
        </is>
      </c>
      <c r="B115" s="8" t="inlineStr">
        <is>
          <t>關聯方交易</t>
        </is>
      </c>
      <c r="C115" s="8" t="inlineStr">
        <is>
          <t>low</t>
        </is>
      </c>
      <c r="D115" s="12" t="inlineStr">
        <is>
          <t>related party</t>
        </is>
      </c>
      <c r="E115" s="12" t="inlineStr">
        <is>
          <t>PDF p.148 (印刷頁 147)</t>
        </is>
      </c>
      <c r="F115" s="12" t="inlineStr">
        <is>
          <t>或家庭伴侶之受 (c) dependants of that person or that person’s spouse or (c) 養人。 domestic partner. 關連方之定義中指明，聯營⪝司包括聯營 In the definition of a related party, an associate includes ⪝司之附屬⪝司，而合營⪝司包括合營⪝ subsidiaries of the associate and a joint venture includes 司之附屬⪝司。 subsidiaries of the joint venture. 公平值計量 Fair value measurement 就減⡭評估而言，倘市場參與者亦計量日 When measuring fair value for the purpose of impairment 期對鞳產定價侇考慮其攑徵，則本꥘團在 assessment, the Group takes into account the characteristics 計量⪝平⡭侇◱僎考慮該璣攑徵。 of the asset if market participants would</t>
        </is>
      </c>
    </row>
    <row r="116">
      <c r="A116" s="8" t="inlineStr">
        <is>
          <t>Related Party Transactions</t>
        </is>
      </c>
      <c r="B116" s="8" t="inlineStr">
        <is>
          <t>關聯方交易</t>
        </is>
      </c>
      <c r="C116" s="8" t="inlineStr">
        <is>
          <t>low</t>
        </is>
      </c>
      <c r="D116" s="12" t="inlineStr">
        <is>
          <t>related party</t>
        </is>
      </c>
      <c r="E116" s="12" t="inlineStr">
        <is>
          <t>PDF p.203 (印刷頁 202)</t>
        </is>
      </c>
      <c r="F116" s="12" t="inlineStr">
        <is>
          <t>he 期末，並無任何已沒收供款可供減少日後 reporting period, there were no forfeited contributions available 的責任。 to reduce future obligations. 關連方交易 33. RELATED PARTY TRANSACTIONS 33. 除於綜合財務報表其他部份披露之交易和 In addition to the transactions and balances disclosed 結餘外，本集團於本年內與關連方進行了 elsewhere in the consolidated financial statements, the Group 如下交易： entered into the following transactions with related parties during the year: 主要管理人員的酬金 (a) Compensation of key management (a) personnel 各年度內本集團主要管理人員的酬 The remuneration of key management personnel of the 金如下</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7"/>
  <sheetViews>
    <sheetView workbookViewId="0">
      <pane ySplit="26" topLeftCell="A27"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Profit Before Tax</t>
        </is>
      </c>
    </row>
    <row r="10">
      <c r="A10" s="8" t="inlineStr">
        <is>
          <t>Income Statement</t>
        </is>
      </c>
      <c r="B10" s="8" t="inlineStr">
        <is>
          <t>R&amp;D Expenses</t>
        </is>
      </c>
    </row>
    <row r="11">
      <c r="A11" s="8" t="inlineStr">
        <is>
          <t>Income Statement</t>
        </is>
      </c>
      <c r="B11" s="8" t="inlineStr">
        <is>
          <t>Depreciation</t>
        </is>
      </c>
    </row>
    <row r="12">
      <c r="A12" s="8" t="inlineStr">
        <is>
          <t>Income Statement</t>
        </is>
      </c>
      <c r="B12" s="8" t="inlineStr">
        <is>
          <t>Amortisation</t>
        </is>
      </c>
    </row>
    <row r="13">
      <c r="A13" s="8" t="inlineStr">
        <is>
          <t>Balance Sheet</t>
        </is>
      </c>
      <c r="B13" s="8" t="inlineStr">
        <is>
          <t>Total Assets</t>
        </is>
      </c>
    </row>
    <row r="14">
      <c r="A14" s="8" t="inlineStr">
        <is>
          <t>Balance Sheet</t>
        </is>
      </c>
      <c r="B14" s="8" t="inlineStr">
        <is>
          <t>Cash and Equivalents</t>
        </is>
      </c>
    </row>
    <row r="15">
      <c r="A15" s="8" t="inlineStr">
        <is>
          <t>Balance Sheet</t>
        </is>
      </c>
      <c r="B15" s="8" t="inlineStr">
        <is>
          <t>Investment Properties</t>
        </is>
      </c>
    </row>
    <row r="16">
      <c r="A16" s="8" t="inlineStr">
        <is>
          <t>Balance Sheet</t>
        </is>
      </c>
      <c r="B16" s="8" t="inlineStr">
        <is>
          <t>Total Liabilities</t>
        </is>
      </c>
    </row>
    <row r="17">
      <c r="A17" s="8" t="inlineStr">
        <is>
          <t>Balance Sheet</t>
        </is>
      </c>
      <c r="B17" s="8" t="inlineStr">
        <is>
          <t>Borrowings</t>
        </is>
      </c>
    </row>
    <row r="18">
      <c r="A18" s="8" t="inlineStr">
        <is>
          <t>Cash Flow</t>
        </is>
      </c>
      <c r="B18" s="8" t="inlineStr">
        <is>
          <t>Operating Cash Flow</t>
        </is>
      </c>
    </row>
    <row r="19">
      <c r="A19" s="8" t="inlineStr">
        <is>
          <t>Cash Flow</t>
        </is>
      </c>
      <c r="B19" s="8" t="inlineStr">
        <is>
          <t>Investing Cash Flow</t>
        </is>
      </c>
    </row>
    <row r="20">
      <c r="A20" s="8" t="inlineStr">
        <is>
          <t>Cash Flow</t>
        </is>
      </c>
      <c r="B20" s="8" t="inlineStr">
        <is>
          <t>Capital Expenditure</t>
        </is>
      </c>
    </row>
    <row r="23">
      <c r="A23" s="5" t="inlineStr">
        <is>
          <t>二、文字量過低的頁面(疑似掃描頁)</t>
        </is>
      </c>
    </row>
    <row r="24">
      <c r="A24" s="2" t="inlineStr">
        <is>
          <t>這些頁面幾乎抓不到文字,通常是掃描件或純圖表,建議人手翻閱或另行 OCR。</t>
        </is>
      </c>
    </row>
    <row r="26">
      <c r="A26" s="7" t="inlineStr">
        <is>
          <t>PDF 頁碼</t>
        </is>
      </c>
      <c r="B26" s="7" t="inlineStr">
        <is>
          <t>狀態</t>
        </is>
      </c>
    </row>
    <row r="27">
      <c r="A27" s="8" t="n">
        <v>214</v>
      </c>
      <c r="B27"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2026-08-30T14:16:43Z</dcterms:created>
  <dcterms:modified xsi:type="dcterms:W3CDTF">2026-08-30T14:16:43Z</dcterms:modified>
</cp:coreProperties>
</file>
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00736_CHINA_PPT_INV_20260731.pdf</t>
        </is>
      </c>
    </row>
    <row r="5">
      <c r="A5" s="3" t="inlineStr">
        <is>
          <t>產生時間 Generated</t>
        </is>
      </c>
      <c r="B5" s="4" t="inlineStr">
        <is>
          <t>2026-08-30 22:16</t>
        </is>
      </c>
    </row>
    <row r="6">
      <c r="A6" s="4" t="inlineStr"/>
      <c r="B6" s="4" t="inlineStr"/>
    </row>
    <row r="7">
      <c r="A7" s="3" t="inlineStr">
        <is>
          <t>總頁數 Total pages</t>
        </is>
      </c>
      <c r="B7" s="4" t="n">
        <v>149</v>
      </c>
    </row>
    <row r="8">
      <c r="A8" s="3" t="inlineStr">
        <is>
          <t>已擷取字元 Characters extracted</t>
        </is>
      </c>
      <c r="B8" s="4" t="n">
        <v>268961</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0</v>
      </c>
    </row>
    <row r="13">
      <c r="A13" s="3" t="inlineStr">
        <is>
          <t>財務科目擷取筆數 Financial line items</t>
        </is>
      </c>
      <c r="B13" s="4" t="n">
        <v>12</v>
      </c>
    </row>
    <row r="14">
      <c r="A14" s="3" t="inlineStr">
        <is>
          <t>主題段落擷取筆數 Topic extracts</t>
        </is>
      </c>
      <c r="B14" s="4" t="n">
        <v>61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198,372 − 76,857 = 121,515</t>
        </is>
      </c>
    </row>
    <row r="20">
      <c r="A20" s="6" t="inlineStr">
        <is>
          <t>✓ 除稅前溢利 ± 稅項 = 年內溢利</t>
        </is>
      </c>
      <c r="B20" s="4" t="inlineStr">
        <is>
          <t>-74,319 + 435 = -74,754 vs -74,754</t>
        </is>
      </c>
    </row>
    <row r="21">
      <c r="A21" s="6" t="inlineStr">
        <is>
          <t>✓ 三大報表應相鄰</t>
        </is>
      </c>
      <c r="B21" s="4" t="inlineStr">
        <is>
          <t>Income Statement: p.47、Balance Sheet: p.49、Cash Flow: p.52(相距 5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9" t="n">
        <v>63109</v>
      </c>
      <c r="D5" s="10" t="n">
        <v>53527</v>
      </c>
      <c r="E5" s="11">
        <f>IF(ISERROR((C5-D5)/ABS(D5)),"",(C5-D5)/ABS(D5))</f>
        <v>0.17901246100099016</v>
      </c>
      <c r="F5" s="12" t="inlineStr">
        <is>
          <t>PDF p.47 (印刷頁 46)</t>
        </is>
      </c>
      <c r="G5" s="12" t="inlineStr">
        <is>
          <t>Revenue 7 63,109 53,527</t>
        </is>
      </c>
    </row>
    <row r="6">
      <c r="A6" s="8" t="inlineStr">
        <is>
          <t>Income Statement</t>
        </is>
      </c>
      <c r="B6" s="8" t="inlineStr">
        <is>
          <t>Operating Profit</t>
        </is>
      </c>
      <c r="C6" s="9" t="n">
        <v>-67372</v>
      </c>
      <c r="D6" s="10" t="n">
        <v>-57330</v>
      </c>
      <c r="E6" s="11">
        <f>IF(ISERROR((C6-D6)/ABS(D6)),"",(C6-D6)/ABS(D6))</f>
        <v>-0.17516134658991803</v>
      </c>
      <c r="F6" s="12" t="inlineStr">
        <is>
          <t>PDF p.47 (印刷頁 46)</t>
        </is>
      </c>
      <c r="G6" s="12" t="inlineStr">
        <is>
          <t>Loss from operations (67,372) (57,330)</t>
        </is>
      </c>
    </row>
    <row r="7">
      <c r="A7" s="8" t="inlineStr">
        <is>
          <t>Income Statement</t>
        </is>
      </c>
      <c r="B7" s="8" t="inlineStr">
        <is>
          <t>Finance Costs</t>
        </is>
      </c>
      <c r="C7" s="9" t="n">
        <v>-6947</v>
      </c>
      <c r="D7" s="10" t="n">
        <v>-7314</v>
      </c>
      <c r="E7" s="11">
        <f>IF(ISERROR((C7-D7)/ABS(D7)),"",(C7-D7)/ABS(D7))</f>
        <v>0.05017774131802023</v>
      </c>
      <c r="F7" s="12" t="inlineStr">
        <is>
          <t>PDF p.47 (印刷頁 46)</t>
        </is>
      </c>
      <c r="G7" s="12" t="inlineStr">
        <is>
          <t>Finance costs 9(a) (6,947) (7,314)</t>
        </is>
      </c>
    </row>
    <row r="8">
      <c r="A8" s="8" t="inlineStr">
        <is>
          <t>Income Statement</t>
        </is>
      </c>
      <c r="B8" s="8" t="inlineStr">
        <is>
          <t>Profit Before Tax</t>
        </is>
      </c>
      <c r="C8" s="9" t="n">
        <v>-74319</v>
      </c>
      <c r="D8" s="10" t="n">
        <v>-64644</v>
      </c>
      <c r="E8" s="11">
        <f>IF(ISERROR((C8-D8)/ABS(D8)),"",(C8-D8)/ABS(D8))</f>
        <v>-0.1496658622609987</v>
      </c>
      <c r="F8" s="12" t="inlineStr">
        <is>
          <t>PDF p.47 (印刷頁 46)</t>
        </is>
      </c>
      <c r="G8" s="12" t="inlineStr">
        <is>
          <t>Loss before taxation 9 (74,319) (64,644)</t>
        </is>
      </c>
    </row>
    <row r="9">
      <c r="A9" s="8" t="inlineStr">
        <is>
          <t>Income Statement</t>
        </is>
      </c>
      <c r="B9" s="8" t="inlineStr">
        <is>
          <t>Income Tax</t>
        </is>
      </c>
      <c r="C9" s="9" t="n">
        <v>-435</v>
      </c>
      <c r="D9" s="10" t="n">
        <v>-1069</v>
      </c>
      <c r="E9" s="11">
        <f>IF(ISERROR((C9-D9)/ABS(D9)),"",(C9-D9)/ABS(D9))</f>
        <v>0.5930776426566885</v>
      </c>
      <c r="F9" s="12" t="inlineStr">
        <is>
          <t>PDF p.47 (印刷頁 46)</t>
        </is>
      </c>
      <c r="G9" s="12" t="inlineStr">
        <is>
          <t>Income tax 12 (435) (1,069)</t>
        </is>
      </c>
    </row>
    <row r="10">
      <c r="A10" s="8" t="inlineStr">
        <is>
          <t>Income Statement</t>
        </is>
      </c>
      <c r="B10" s="8" t="inlineStr">
        <is>
          <t>Profit for the Year</t>
        </is>
      </c>
      <c r="C10" s="9" t="n">
        <v>-74754</v>
      </c>
      <c r="D10" s="10" t="n">
        <v>-65713</v>
      </c>
      <c r="E10" s="11">
        <f>IF(ISERROR((C10-D10)/ABS(D10)),"",(C10-D10)/ABS(D10))</f>
        <v>-0.13758312662639052</v>
      </c>
      <c r="F10" s="12" t="inlineStr">
        <is>
          <t>PDF p.47 (印刷頁 46)</t>
        </is>
      </c>
      <c r="G10" s="12" t="inlineStr">
        <is>
          <t>Loss for the year (74,754) (65,713)</t>
        </is>
      </c>
    </row>
    <row r="11">
      <c r="A11" s="8" t="inlineStr">
        <is>
          <t>Balance Sheet</t>
        </is>
      </c>
      <c r="B11" s="8" t="inlineStr">
        <is>
          <t>Property Plant and Equipment</t>
        </is>
      </c>
      <c r="C11" s="9" t="n">
        <v>1830</v>
      </c>
      <c r="D11" s="10" t="n">
        <v>1849</v>
      </c>
      <c r="E11" s="11">
        <f>IF(ISERROR((C11-D11)/ABS(D11)),"",(C11-D11)/ABS(D11))</f>
        <v>-0.010275824770146024</v>
      </c>
      <c r="F11" s="12" t="inlineStr">
        <is>
          <t>PDF p.49 (印刷頁 48)</t>
        </is>
      </c>
      <c r="G11" s="12" t="inlineStr">
        <is>
          <t>Property, Plant and equipment 15 1,830 1,849</t>
        </is>
      </c>
    </row>
    <row r="12">
      <c r="A12" s="8" t="inlineStr">
        <is>
          <t>Balance Sheet</t>
        </is>
      </c>
      <c r="B12" s="8" t="inlineStr">
        <is>
          <t>Investment Properties</t>
        </is>
      </c>
      <c r="C12" s="9" t="n">
        <v>164593</v>
      </c>
      <c r="D12" s="10" t="n">
        <v>165980</v>
      </c>
      <c r="E12" s="11">
        <f>IF(ISERROR((C12-D12)/ABS(D12)),"",(C12-D12)/ABS(D12))</f>
        <v>-0.008356428485359682</v>
      </c>
      <c r="F12" s="12" t="inlineStr">
        <is>
          <t>PDF p.49 (印刷頁 48)</t>
        </is>
      </c>
      <c r="G12" s="12" t="inlineStr">
        <is>
          <t>Investment properties 17 164,593 165,980</t>
        </is>
      </c>
    </row>
    <row r="13">
      <c r="A13" s="8" t="inlineStr">
        <is>
          <t>Balance Sheet</t>
        </is>
      </c>
      <c r="B13" s="8" t="inlineStr">
        <is>
          <t>Trade Receivables</t>
        </is>
      </c>
      <c r="C13" s="9" t="n">
        <v>46203</v>
      </c>
      <c r="D13" s="10" t="n">
        <v>22047</v>
      </c>
      <c r="E13" s="11">
        <f>IF(ISERROR((C13-D13)/ABS(D13)),"",(C13-D13)/ABS(D13))</f>
        <v>1.0956592733705266</v>
      </c>
      <c r="F13" s="12" t="inlineStr">
        <is>
          <t>PDF p.49 (印刷頁 48)</t>
        </is>
      </c>
      <c r="G13" s="12" t="inlineStr">
        <is>
          <t>Trade and other receivables 20 46,203 22,047</t>
        </is>
      </c>
    </row>
    <row r="14">
      <c r="A14" s="8" t="inlineStr">
        <is>
          <t>Balance Sheet</t>
        </is>
      </c>
      <c r="B14" s="8" t="inlineStr">
        <is>
          <t>Total Equity</t>
        </is>
      </c>
      <c r="C14" s="9" t="n">
        <v>412045</v>
      </c>
      <c r="D14" s="10" t="n">
        <v>441621</v>
      </c>
      <c r="E14" s="11">
        <f>IF(ISERROR((C14-D14)/ABS(D14)),"",(C14-D14)/ABS(D14))</f>
        <v>-0.06697145289739392</v>
      </c>
      <c r="F14" s="12" t="inlineStr">
        <is>
          <t>PDF p.50 (印刷頁 49)</t>
        </is>
      </c>
      <c r="G14" s="12" t="inlineStr">
        <is>
          <t>TOTAL EQUITY 412,045 441,621</t>
        </is>
      </c>
    </row>
    <row r="15">
      <c r="A15" s="8" t="inlineStr">
        <is>
          <t>Balance Sheet</t>
        </is>
      </c>
      <c r="B15" s="8" t="inlineStr">
        <is>
          <t>Total Current Assets</t>
        </is>
      </c>
      <c r="C15" s="9" t="n">
        <v>198372</v>
      </c>
      <c r="D15" s="10" t="n">
        <v>98823</v>
      </c>
      <c r="E15" s="11">
        <f>IF(ISERROR((C15-D15)/ABS(D15)),"",(C15-D15)/ABS(D15))</f>
        <v>1.0073464679275068</v>
      </c>
      <c r="F15" s="12" t="inlineStr">
        <is>
          <t>PDF p.49 (印刷頁 48)</t>
        </is>
      </c>
      <c r="G15" s="12" t="inlineStr">
        <is>
          <t>[current assets 區段小計] 198,372 98,823</t>
        </is>
      </c>
    </row>
    <row r="16">
      <c r="A16" s="8" t="inlineStr">
        <is>
          <t>Balance Sheet</t>
        </is>
      </c>
      <c r="B16" s="8" t="inlineStr">
        <is>
          <t>Total Current Liabilities</t>
        </is>
      </c>
      <c r="C16" s="9" t="n">
        <v>76857</v>
      </c>
      <c r="D16" s="10" t="n">
        <v>82635</v>
      </c>
      <c r="E16" s="11">
        <f>IF(ISERROR((C16-D16)/ABS(D16)),"",(C16-D16)/ABS(D16))</f>
        <v>-0.06992194590669813</v>
      </c>
      <c r="F16" s="12" t="inlineStr">
        <is>
          <t>PDF p.49 (印刷頁 48)</t>
        </is>
      </c>
      <c r="G16" s="12" t="inlineStr">
        <is>
          <t>[current liabilities 區段小計] 76,857 82,635</t>
        </is>
      </c>
    </row>
    <row r="18">
      <c r="A18"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t="str">
        <f>IF(ISERROR(INDEX('Financials 財務數據'!$C$5:$C$16,MATCH("Gross Profit",'Financials 財務數據'!$B$5:$B$16,0))/INDEX('Financials 財務數據'!$C$5:$C$16,MATCH("Revenue",'Financials 財務數據'!$B$5:$B$16,0))),"n/a",INDEX('Financials 財務數據'!$C$5:$C$16,MATCH("Gross Profit",'Financials 財務數據'!$B$5:$B$16,0))/INDEX('Financials 財務數據'!$C$5:$C$16,MATCH("Revenue",'Financials 財務數據'!$B$5:$B$16,0)))</f>
        <v>n/a</v>
      </c>
      <c r="C5" s="13" t="str">
        <f>IF(ISERROR(INDEX('Financials 財務數據'!$D$5:$D$16,MATCH("Gross Profit",'Financials 財務數據'!$B$5:$B$16,0))/INDEX('Financials 財務數據'!$D$5:$D$16,MATCH("Revenue",'Financials 財務數據'!$B$5:$B$16,0))),"n/a",INDEX('Financials 財務數據'!$D$5:$D$16,MATCH("Gross Profit",'Financials 財務數據'!$B$5:$B$16,0))/INDEX('Financials 財務數據'!$D$5:$D$16,MATCH("Revenue",'Financials 財務數據'!$B$5:$B$16,0)))</f>
        <v>n/a</v>
      </c>
      <c r="D5" s="2" t="inlineStr">
        <is>
          <t>毛利 ÷ 收入</t>
        </is>
      </c>
    </row>
    <row r="6">
      <c r="A6" s="4" t="inlineStr">
        <is>
          <t>Net Margin 淨利率</t>
        </is>
      </c>
      <c r="B6" s="13">
        <f>IF(ISERROR(INDEX('Financials 財務數據'!$C$5:$C$16,MATCH("Profit for the Year",'Financials 財務數據'!$B$5:$B$16,0))/INDEX('Financials 財務數據'!$C$5:$C$16,MATCH("Revenue",'Financials 財務數據'!$B$5:$B$16,0))),"n/a",INDEX('Financials 財務數據'!$C$5:$C$16,MATCH("Profit for the Year",'Financials 財務數據'!$B$5:$B$16,0))/INDEX('Financials 財務數據'!$C$5:$C$16,MATCH("Revenue",'Financials 財務數據'!$B$5:$B$16,0)))</f>
        <v>-1.1845220174618518</v>
      </c>
      <c r="C6" s="13">
        <f>IF(ISERROR(INDEX('Financials 財務數據'!$D$5:$D$16,MATCH("Profit for the Year",'Financials 財務數據'!$B$5:$B$16,0))/INDEX('Financials 財務數據'!$D$5:$D$16,MATCH("Revenue",'Financials 財務數據'!$B$5:$B$16,0))),"n/a",INDEX('Financials 財務數據'!$D$5:$D$16,MATCH("Profit for the Year",'Financials 財務數據'!$B$5:$B$16,0))/INDEX('Financials 財務數據'!$D$5:$D$16,MATCH("Revenue",'Financials 財務數據'!$B$5:$B$16,0)))</f>
        <v>-1.2276608066956862</v>
      </c>
      <c r="D6" s="2" t="inlineStr">
        <is>
          <t>年內溢利 ÷ 收入</t>
        </is>
      </c>
    </row>
    <row r="7">
      <c r="A7" s="4" t="inlineStr">
        <is>
          <t>Current Ratio 流動比率</t>
        </is>
      </c>
      <c r="B7" s="14">
        <f>IF(ISERROR(INDEX('Financials 財務數據'!$C$5:$C$16,MATCH("Total Current Assets",'Financials 財務數據'!$B$5:$B$16,0))/INDEX('Financials 財務數據'!$C$5:$C$16,MATCH("Total Current Liabilities",'Financials 財務數據'!$B$5:$B$16,0))),"n/a",INDEX('Financials 財務數據'!$C$5:$C$16,MATCH("Total Current Assets",'Financials 財務數據'!$B$5:$B$16,0))/INDEX('Financials 財務數據'!$C$5:$C$16,MATCH("Total Current Liabilities",'Financials 財務數據'!$B$5:$B$16,0)))</f>
        <v>2.5810531246340607</v>
      </c>
      <c r="C7" s="14">
        <f>IF(ISERROR(INDEX('Financials 財務數據'!$D$5:$D$16,MATCH("Total Current Assets",'Financials 財務數據'!$B$5:$B$16,0))/INDEX('Financials 財務數據'!$D$5:$D$16,MATCH("Total Current Liabilities",'Financials 財務數據'!$B$5:$B$16,0))),"n/a",INDEX('Financials 財務數據'!$D$5:$D$16,MATCH("Total Current Assets",'Financials 財務數據'!$B$5:$B$16,0))/INDEX('Financials 財務數據'!$D$5:$D$16,MATCH("Total Current Liabilities",'Financials 財務數據'!$B$5:$B$16,0)))</f>
        <v>1.1958976220729716</v>
      </c>
      <c r="D7" s="2" t="inlineStr">
        <is>
          <t>流動資產 ÷ 流動負債</t>
        </is>
      </c>
    </row>
    <row r="8">
      <c r="A8" s="4" t="inlineStr">
        <is>
          <t>Debt / Equity 負債權益比</t>
        </is>
      </c>
      <c r="B8" s="14" t="str">
        <f>IF(ISERROR(INDEX('Financials 財務數據'!$C$5:$C$16,MATCH("Total Liabilities",'Financials 財務數據'!$B$5:$B$16,0))/INDEX('Financials 財務數據'!$C$5:$C$16,MATCH("Total Equity",'Financials 財務數據'!$B$5:$B$16,0))),"n/a",INDEX('Financials 財務數據'!$C$5:$C$16,MATCH("Total Liabilities",'Financials 財務數據'!$B$5:$B$16,0))/INDEX('Financials 財務數據'!$C$5:$C$16,MATCH("Total Equity",'Financials 財務數據'!$B$5:$B$16,0)))</f>
        <v>n/a</v>
      </c>
      <c r="C8" s="14" t="str">
        <f>IF(ISERROR(INDEX('Financials 財務數據'!$D$5:$D$16,MATCH("Total Liabilities",'Financials 財務數據'!$B$5:$B$16,0))/INDEX('Financials 財務數據'!$D$5:$D$16,MATCH("Total Equity",'Financials 財務數據'!$B$5:$B$16,0))),"n/a",INDEX('Financials 財務數據'!$D$5:$D$16,MATCH("Total Liabilities",'Financials 財務數據'!$B$5:$B$16,0))/INDEX('Financials 財務數據'!$D$5:$D$16,MATCH("Total Equity",'Financials 財務數據'!$B$5:$B$16,0)))</f>
        <v>n/a</v>
      </c>
      <c r="D8" s="2" t="inlineStr">
        <is>
          <t>總負債 ÷ 總權益</t>
        </is>
      </c>
    </row>
    <row r="9">
      <c r="A9" s="4" t="inlineStr">
        <is>
          <t>Goodwill / Total Assets</t>
        </is>
      </c>
      <c r="B9" s="13" t="str">
        <f>IF(ISERROR(INDEX('Financials 財務數據'!$C$5:$C$16,MATCH("Goodwill",'Financials 財務數據'!$B$5:$B$16,0))/INDEX('Financials 財務數據'!$C$5:$C$16,MATCH("Total Assets",'Financials 財務數據'!$B$5:$B$16,0))),"n/a",INDEX('Financials 財務數據'!$C$5:$C$16,MATCH("Goodwill",'Financials 財務數據'!$B$5:$B$16,0))/INDEX('Financials 財務數據'!$C$5:$C$16,MATCH("Total Assets",'Financials 財務數據'!$B$5:$B$16,0)))</f>
        <v>n/a</v>
      </c>
      <c r="C9" s="13" t="str">
        <f>IF(ISERROR(INDEX('Financials 財務數據'!$D$5:$D$16,MATCH("Goodwill",'Financials 財務數據'!$B$5:$B$16,0))/INDEX('Financials 財務數據'!$D$5:$D$16,MATCH("Total Assets",'Financials 財務數據'!$B$5:$B$16,0))),"n/a",INDEX('Financials 財務數據'!$D$5:$D$16,MATCH("Goodwill",'Financials 財務數據'!$B$5:$B$16,0))/INDEX('Financials 財務數據'!$D$5:$D$16,MATCH("Total Assets",'Financials 財務數據'!$B$5:$B$16,0)))</f>
        <v>n/a</v>
      </c>
      <c r="D9" s="2" t="inlineStr">
        <is>
          <t>商譽佔總資產比重 — 減值風險指標</t>
        </is>
      </c>
    </row>
    <row r="10">
      <c r="A10" s="4" t="inlineStr">
        <is>
          <t>Intangibles / Total Assets</t>
        </is>
      </c>
      <c r="B10" s="13" t="str">
        <f>IF(ISERROR(INDEX('Financials 財務數據'!$C$5:$C$16,MATCH("Intangible Assets",'Financials 財務數據'!$B$5:$B$16,0))/INDEX('Financials 財務數據'!$C$5:$C$16,MATCH("Total Assets",'Financials 財務數據'!$B$5:$B$16,0))),"n/a",INDEX('Financials 財務數據'!$C$5:$C$16,MATCH("Intangible Assets",'Financials 財務數據'!$B$5:$B$16,0))/INDEX('Financials 財務數據'!$C$5:$C$16,MATCH("Total Assets",'Financials 財務數據'!$B$5:$B$16,0)))</f>
        <v>n/a</v>
      </c>
      <c r="C10" s="13" t="str">
        <f>IF(ISERROR(INDEX('Financials 財務數據'!$D$5:$D$16,MATCH("Intangible Assets",'Financials 財務數據'!$B$5:$B$16,0))/INDEX('Financials 財務數據'!$D$5:$D$16,MATCH("Total Assets",'Financials 財務數據'!$B$5:$B$16,0))),"n/a",INDEX('Financials 財務數據'!$D$5:$D$16,MATCH("Intangible Assets",'Financials 財務數據'!$B$5:$B$16,0))/INDEX('Financials 財務數據'!$D$5:$D$16,MATCH("Total Assets",'Financials 財務數據'!$B$5:$B$16,0)))</f>
        <v>n/a</v>
      </c>
      <c r="D10" s="2" t="inlineStr">
        <is>
          <t>無形資產佔比</t>
        </is>
      </c>
    </row>
    <row r="11">
      <c r="A11" s="4" t="inlineStr">
        <is>
          <t>ROE 股本回報率</t>
        </is>
      </c>
      <c r="B11" s="13">
        <f>IF(ISERROR(INDEX('Financials 財務數據'!$C$5:$C$16,MATCH("Profit for the Year",'Financials 財務數據'!$B$5:$B$16,0))/INDEX('Financials 財務數據'!$C$5:$C$16,MATCH("Total Equity",'Financials 財務數據'!$B$5:$B$16,0))),"n/a",INDEX('Financials 財務數據'!$C$5:$C$16,MATCH("Profit for the Year",'Financials 財務數據'!$B$5:$B$16,0))/INDEX('Financials 財務數據'!$C$5:$C$16,MATCH("Total Equity",'Financials 財務數據'!$B$5:$B$16,0)))</f>
        <v>-0.1814219320705263</v>
      </c>
      <c r="C11" s="13">
        <f>IF(ISERROR(INDEX('Financials 財務數據'!$D$5:$D$16,MATCH("Profit for the Year",'Financials 財務數據'!$B$5:$B$16,0))/INDEX('Financials 財務數據'!$D$5:$D$16,MATCH("Total Equity",'Financials 財務數據'!$B$5:$B$16,0))),"n/a",INDEX('Financials 財務數據'!$D$5:$D$16,MATCH("Profit for the Year",'Financials 財務數據'!$B$5:$B$16,0))/INDEX('Financials 財務數據'!$D$5:$D$16,MATCH("Total Equity",'Financials 財務數據'!$B$5:$B$16,0)))</f>
        <v>-0.1487995362539372</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Revenue</t>
        </is>
      </c>
      <c r="B5" s="16" t="n">
        <v>53527</v>
      </c>
      <c r="C5" s="16" t="n">
        <v>63109</v>
      </c>
    </row>
    <row r="6">
      <c r="A6" s="4" t="inlineStr">
        <is>
          <t>Profit Before Tax</t>
        </is>
      </c>
      <c r="B6" s="16" t="n">
        <v>-64644</v>
      </c>
      <c r="C6" s="16" t="n">
        <v>-74319</v>
      </c>
    </row>
    <row r="7">
      <c r="A7" s="4" t="inlineStr">
        <is>
          <t>Profit for the Year</t>
        </is>
      </c>
      <c r="B7" s="16" t="n">
        <v>-65713</v>
      </c>
      <c r="C7" s="16" t="n">
        <v>-74754</v>
      </c>
    </row>
    <row r="8">
      <c r="A8" s="4" t="inlineStr">
        <is>
          <t>Total Equity</t>
        </is>
      </c>
      <c r="B8" s="16" t="n">
        <v>441621</v>
      </c>
      <c r="C8" s="16" t="n">
        <v>412045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independent valuer</t>
        </is>
      </c>
      <c r="E4" s="12" t="inlineStr">
        <is>
          <t>PDF p.6 (印刷頁 5)</t>
        </is>
      </c>
      <c r="F4" s="12" t="inlineStr">
        <is>
          <t>onduct a name screening to confirm whether there is any connected person relationship as ascribed under the Listing Rules and engage independent valuer(s) to evaluate the value of assets/collaterals proposed by the potential clients or guarantor (if any). CHINA PROPERTIES INVESTMENT HOLDINGS LIMITED 5 ANNUAL REPORT 2026</t>
        </is>
      </c>
    </row>
    <row r="5">
      <c r="A5" s="8" t="inlineStr">
        <is>
          <t>Fair Value Measurement</t>
        </is>
      </c>
      <c r="B5" s="8" t="inlineStr">
        <is>
          <t>公允價值計量</t>
        </is>
      </c>
      <c r="C5" s="17" t="inlineStr">
        <is>
          <t>high</t>
        </is>
      </c>
      <c r="D5" s="12" t="inlineStr">
        <is>
          <t>independent valuer</t>
        </is>
      </c>
      <c r="E5" s="12" t="inlineStr">
        <is>
          <t>PDF p.43 (印刷頁 42)</t>
        </is>
      </c>
      <c r="F5" s="12" t="inlineStr">
        <is>
          <t>d using an income capitalisation approach based over the Group’s valuation of investment properties; on valuations carried out by an independent valuer and management of the Company. • Evaluating the outcome of prior period valuation of investment properties to assess the effectiveness of The inherent risk in relation to the valuation of investment management’s estimation process; properties is considered significant as the valuations are dependent on certain key assumptions and inputs, including • Evaluating the competence, ca</t>
        </is>
      </c>
    </row>
    <row r="6">
      <c r="A6" s="8" t="inlineStr">
        <is>
          <t>Fair Value Measurement</t>
        </is>
      </c>
      <c r="B6" s="8" t="inlineStr">
        <is>
          <t>公允價值計量</t>
        </is>
      </c>
      <c r="C6" s="17" t="inlineStr">
        <is>
          <t>high</t>
        </is>
      </c>
      <c r="D6" s="12" t="inlineStr">
        <is>
          <t>fair value hierarchy</t>
        </is>
      </c>
      <c r="E6" s="12" t="inlineStr">
        <is>
          <t>PDF p.96 (印刷頁 95)</t>
        </is>
      </c>
      <c r="F6" s="12" t="inlineStr">
        <is>
          <t>IR VALUES OF FINANCIAL INSTRUMENTS (Continued) vi) FAIR VALUE MEASUREMENT a) Financial assets and liabilities measured at fair value Fair value hierarchy The following table presents the fair value of the Group’s financial instruments measured at the end of the reporting period on a recurring basis, categorized into the three-level fair value hierarchy as defined in HKFRS 13 “Fair Value Measurement”. The level into which a fair value measurement is classified is determined with reference to the observability and significance of</t>
        </is>
      </c>
    </row>
    <row r="7">
      <c r="A7" s="8" t="inlineStr">
        <is>
          <t>Fair Value Measurement</t>
        </is>
      </c>
      <c r="B7" s="8" t="inlineStr">
        <is>
          <t>公允價值計量</t>
        </is>
      </c>
      <c r="C7" s="17" t="inlineStr">
        <is>
          <t>high</t>
        </is>
      </c>
      <c r="D7" s="12" t="inlineStr">
        <is>
          <t>fair value hierarchy</t>
        </is>
      </c>
      <c r="E7" s="12" t="inlineStr">
        <is>
          <t>PDF p.97 (印刷頁 96)</t>
        </is>
      </c>
      <c r="F7" s="12" t="inlineStr">
        <is>
          <t>ers between Level 1 and Level 2, or transfers into or out of Level 3. The Group’s policy is to recognise transfers between levels of fair value hierarchy as at the end of the reporting period in which they occur. b) Fair value of financial assets and liabilities carried at other than fair value The directors consider that the carrying amounts of financial assets and financial liabilities recorded at amortised cost in the consolidated financial statements approximate to their fair values. The fair value is estimated at the prese</t>
        </is>
      </c>
    </row>
    <row r="8">
      <c r="A8" s="8" t="inlineStr">
        <is>
          <t>Fair Value Measurement</t>
        </is>
      </c>
      <c r="B8" s="8" t="inlineStr">
        <is>
          <t>公允價值計量</t>
        </is>
      </c>
      <c r="C8" s="17" t="inlineStr">
        <is>
          <t>high</t>
        </is>
      </c>
      <c r="D8" s="12" t="inlineStr">
        <is>
          <t>valuation technique</t>
        </is>
      </c>
      <c r="E8" s="12" t="inlineStr">
        <is>
          <t>PDF p.98 (印刷頁 97)</t>
        </is>
      </c>
      <c r="F8" s="12" t="inlineStr">
        <is>
          <t>was based on a valuation on these properties conducted by an independent firm of professional valuers and management using property valuation techniques which involve certain assumptions of market conditions. Favourable or unfavourable changes to these assumptions would result in changes in the fair value of the Group’s investment properties and corresponding adjustments to the amount of gain or loss reported in the consolidated statement of profit or loss. The carrying amount of investment properties as at 31 March 2026 was a</t>
        </is>
      </c>
    </row>
    <row r="9">
      <c r="A9" s="8" t="inlineStr">
        <is>
          <t>Fair Value Measurement</t>
        </is>
      </c>
      <c r="B9" s="8" t="inlineStr">
        <is>
          <t>公允價值計量</t>
        </is>
      </c>
      <c r="C9" s="17" t="inlineStr">
        <is>
          <t>high</t>
        </is>
      </c>
      <c r="D9" s="12" t="inlineStr">
        <is>
          <t>fair value hierarchy</t>
        </is>
      </c>
      <c r="E9" s="12" t="inlineStr">
        <is>
          <t>PDF p.115 (印刷頁 114)</t>
        </is>
      </c>
      <c r="F9" s="12" t="inlineStr">
        <is>
          <t>each reporting period. All of the fair value measurements of the Group’s investment properties were categorised into Level 3 of the fair value hierarchy. On 1 June 2020, a wholly owned subsidiary of the Company (the “Lessee I”) entered into a lease arrangement with an independent third party to the Group (the “Lessor I”), whereby the Lessee I agrees to rent and the Lessor I agrees to lease the whole building at No.1888, Songze Boulevard, Xujing Town, Qingpu District, Shanghai, the PRC, with an aggregate gross floor area of app</t>
        </is>
      </c>
    </row>
    <row r="10">
      <c r="A10" s="8" t="inlineStr">
        <is>
          <t>Fair Value Measurement</t>
        </is>
      </c>
      <c r="B10" s="8" t="inlineStr">
        <is>
          <t>公允價值計量</t>
        </is>
      </c>
      <c r="C10" s="17" t="inlineStr">
        <is>
          <t>high</t>
        </is>
      </c>
      <c r="D10" s="12" t="inlineStr">
        <is>
          <t>fair value hierarchy</t>
        </is>
      </c>
      <c r="E10" s="12" t="inlineStr">
        <is>
          <t>PDF p.117 (印刷頁 116)</t>
        </is>
      </c>
      <c r="F10" s="12" t="inlineStr">
        <is>
          <t>STATEMENTS For the year ended 31 March 2026 17. INVESTMENT PROPERTIES (Continued) FAIR VALUE MEASUREMENT OF INVESTMENT PROPERTIES i) Fair value hierarchy Fair value measurements as at Fair value measurements as at 31 March 2026 categorised into 31 March 2025 categorised into Fair value Fair value at 31 at 31 March March 2026 Level 1 Level 2 Level 3 2025 Level 1 Level 2 Level 3 HK$’000 HK$’000 HK$’000 HK$’000 HK$’000 HK$’000 HK$’000 HK$’000 Recurring fair value measurement Investment properties: – Commercial – the PRC 164,593</t>
        </is>
      </c>
    </row>
    <row r="11">
      <c r="A11" s="8" t="inlineStr">
        <is>
          <t>Fair Value Measurement</t>
        </is>
      </c>
      <c r="B11" s="8" t="inlineStr">
        <is>
          <t>公允價值計量</t>
        </is>
      </c>
      <c r="C11" s="17" t="inlineStr">
        <is>
          <t>high</t>
        </is>
      </c>
      <c r="D11" s="12" t="inlineStr">
        <is>
          <t>level 3</t>
        </is>
      </c>
      <c r="E11" s="12" t="inlineStr">
        <is>
          <t>PDF p.118 (印刷頁 117)</t>
        </is>
      </c>
      <c r="F11" s="12" t="inlineStr">
        <is>
          <t>1 March 2026 17. INVESTMENT PROPERTIES (Continued) FAIR VALUE MEASUREMENT OF INVESTMENT PROPERTIES (Continued) ii) Information about Level 3 fair value measurements The following table shows the valuation techniques used in the determination of fair values for investment properties and key unobservable inputs used in the valuation models: Valuation techniques Unobservable input Range Investment properties II Income capitalisation Estimated rental value RMB106 – RMB131 Commercial - the PRC approach (per square metre and pe</t>
        </is>
      </c>
    </row>
    <row r="12">
      <c r="A12" s="8" t="inlineStr">
        <is>
          <t>Impairment Testing</t>
        </is>
      </c>
      <c r="B12" s="8" t="inlineStr">
        <is>
          <t>減值測試</t>
        </is>
      </c>
      <c r="C12" s="17" t="inlineStr">
        <is>
          <t>high</t>
        </is>
      </c>
      <c r="D12" s="12" t="inlineStr">
        <is>
          <t>recoverable amount</t>
        </is>
      </c>
      <c r="E12" s="12" t="inlineStr">
        <is>
          <t>PDF p.42 (印刷頁 41)</t>
        </is>
      </c>
      <c r="F12" s="12" t="inlineStr">
        <is>
          <t>were adequate and appropriate against the ageing of the receivables balances, borrower’s current available information, such as the recoverable amount creditworthiness, the past collection history and the of collaterals, past collection history of borrowers, realisable value of collaterals from borrowers and their the Group’s actual loss experience and subsequent guarantors. repayment of monies or additional collateral received from clients or their guarantors; • assessing the appropriateness of management’s estimate of loss a</t>
        </is>
      </c>
    </row>
    <row r="13">
      <c r="A13" s="8" t="inlineStr">
        <is>
          <t>Impairment Testing</t>
        </is>
      </c>
      <c r="B13" s="8" t="inlineStr">
        <is>
          <t>減值測試</t>
        </is>
      </c>
      <c r="C13" s="17" t="inlineStr">
        <is>
          <t>high</t>
        </is>
      </c>
      <c r="D13" s="12" t="inlineStr">
        <is>
          <t>impairment loss</t>
        </is>
      </c>
      <c r="E13" s="12" t="inlineStr">
        <is>
          <t>PDF p.47 (印刷頁 46)</t>
        </is>
      </c>
      <c r="F13" s="12" t="inlineStr">
        <is>
          <t>53,527 Fair value changes on investment properties 17 (12,528) (9,135) Unrealised (loss)/gain on trading securities 19 (2,336) 4,436 Impairment loss on Intangible assets-Crypto BNB (71) – Allowance of expected credit losses on loan and interest receivables from money lending business, trade receivables and other receivables, net 9(c) (108,392) (93,411) Other income 8(a) 345 73 Other gains and losses, net 8(b) 20,068 2,564 Loss on disposal of subsidiaries 37 (10,747) Administrative expenses (16,820) (15,384) Loss from operations</t>
        </is>
      </c>
    </row>
    <row r="14">
      <c r="A14" s="8" t="inlineStr">
        <is>
          <t>Impairment Testing</t>
        </is>
      </c>
      <c r="B14" s="8" t="inlineStr">
        <is>
          <t>減值測試</t>
        </is>
      </c>
      <c r="C14" s="17" t="inlineStr">
        <is>
          <t>high</t>
        </is>
      </c>
      <c r="D14" s="12" t="inlineStr">
        <is>
          <t>impairment loss</t>
        </is>
      </c>
      <c r="E14" s="12" t="inlineStr">
        <is>
          <t>PDF p.52 (印刷頁 51)</t>
        </is>
      </c>
      <c r="F14" s="12" t="inlineStr">
        <is>
          <t>properties 17 12,528 9,135 Loss on disposal of subsidiaries 10,747 – Loss/(gain) on trading securities 19 2,336 (4,436) Impairment loss on intangible assets – Crypto BNB 22 71 – Allowance of expected credit loss on loan and interest receivables from money lending business, Rental receivable net 9(c) 108,392 93,411 (Gain)/loss on disposal of property, plant and equipment (195) 23 Exchange Fluctuation (20,068) Changes in working capital 47,359 43,187 Decrease/(increase) in trade and other receivables (5</t>
        </is>
      </c>
    </row>
    <row r="15">
      <c r="A15" s="8" t="inlineStr">
        <is>
          <t>Impairment Testing</t>
        </is>
      </c>
      <c r="B15" s="8" t="inlineStr">
        <is>
          <t>減值測試</t>
        </is>
      </c>
      <c r="C15" s="17" t="inlineStr">
        <is>
          <t>high</t>
        </is>
      </c>
      <c r="D15" s="12" t="inlineStr">
        <is>
          <t>impairment loss</t>
        </is>
      </c>
      <c r="E15" s="12" t="inlineStr">
        <is>
          <t>PDF p.57 (印刷頁 56)</t>
        </is>
      </c>
      <c r="F15" s="12" t="inlineStr">
        <is>
          <t>any directly attributable transaction costs. After initial recognition, cryptocurrency holdings are carried at cost less accumulated impairment losses. The Group’s cryptocurrency holdings are assessed as having indefinite useful lives where, based on the nature of the cryptocurrency and management’s intended holding period, there is no foreseeable limit to the period over which the holdings are expected to generate net cash inflows for the Group. Accordingly, no amortisation is provided. The assessment of the indefinite useful</t>
        </is>
      </c>
    </row>
    <row r="16">
      <c r="A16" s="8" t="inlineStr">
        <is>
          <t>Impairment Testing</t>
        </is>
      </c>
      <c r="B16" s="8" t="inlineStr">
        <is>
          <t>減值測試</t>
        </is>
      </c>
      <c r="C16" s="17" t="inlineStr">
        <is>
          <t>high</t>
        </is>
      </c>
      <c r="D16" s="12" t="inlineStr">
        <is>
          <t>impairment loss</t>
        </is>
      </c>
      <c r="E16" s="12" t="inlineStr">
        <is>
          <t>PDF p.58 (印刷頁 57)</t>
        </is>
      </c>
      <c r="F16" s="12" t="inlineStr">
        <is>
          <t>on in progress, are stated in the consolidated statement of financial position at cost less accumulated depreciation and accumulated impairment losses (see note 2(i)). The following items of property, plant and equipment are stated at cost less accumulated depreciation and impairment losses (see note 2(i)): – right-of-use assets arising from leases over freehold or leasehold properties where the Group is not the registered owner of the property interest; and – items of property, plant and equipment, including right-of-use asset</t>
        </is>
      </c>
    </row>
    <row r="17">
      <c r="A17" s="8" t="inlineStr">
        <is>
          <t>Impairment Testing</t>
        </is>
      </c>
      <c r="B17" s="8" t="inlineStr">
        <is>
          <t>減值測試</t>
        </is>
      </c>
      <c r="C17" s="17" t="inlineStr">
        <is>
          <t>high</t>
        </is>
      </c>
      <c r="D17" s="12" t="inlineStr">
        <is>
          <t>recoverable amount</t>
        </is>
      </c>
      <c r="E17" s="12" t="inlineStr">
        <is>
          <t>PDF p.59 (印刷頁 58)</t>
        </is>
      </c>
      <c r="F17" s="12" t="inlineStr">
        <is>
          <t>profit or loss during the reporting period in which they are incurred. An asset’s carrying amount is written down immediately to its recoverable amount if the asset’s carrying amount is greater than its estimated recoverable amount. Gains or losses arising from the retirement or disposal of an item of property, plant and equipment are determined as the difference between the net proceeds on disposal and the carrying amount of the item and are recognised in profit or loss on the date of retirement or disposal. g) INVESTMENT PROP</t>
        </is>
      </c>
    </row>
    <row r="18">
      <c r="A18" s="8" t="inlineStr">
        <is>
          <t>Impairment Testing</t>
        </is>
      </c>
      <c r="B18" s="8" t="inlineStr">
        <is>
          <t>減值測試</t>
        </is>
      </c>
      <c r="C18" s="17" t="inlineStr">
        <is>
          <t>high</t>
        </is>
      </c>
      <c r="D18" s="12" t="inlineStr">
        <is>
          <t>impairment loss</t>
        </is>
      </c>
      <c r="E18" s="12" t="inlineStr">
        <is>
          <t>PDF p.61 (印刷頁 60)</t>
        </is>
      </c>
      <c r="F18" s="12" t="inlineStr">
        <is>
          <t>the date the underlying asset is available for use).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is depreciated from commencement date to the end of the useful life. Otherwise, right-of-use assets are depreciated on a straight-line basis over the shorter of its estimated useful</t>
        </is>
      </c>
    </row>
    <row r="19">
      <c r="A19" s="8" t="inlineStr">
        <is>
          <t>Impairment Testing</t>
        </is>
      </c>
      <c r="B19" s="8" t="inlineStr">
        <is>
          <t>減值測試</t>
        </is>
      </c>
      <c r="C19" s="17" t="inlineStr">
        <is>
          <t>high</t>
        </is>
      </c>
      <c r="D19" s="12" t="inlineStr">
        <is>
          <t>impairment loss</t>
        </is>
      </c>
      <c r="E19" s="12" t="inlineStr">
        <is>
          <t>PDF p.68 (印刷頁 67)</t>
        </is>
      </c>
      <c r="F19" s="12" t="inlineStr">
        <is>
          <t>nformation are reviewed at the end of each reporting period to identify indications that the following assets may be impaired or, an impairment loss previously recognised no longer exists or may have decreased: – property, plant and equipment; – intangible assets; – right-of-use assets; and – investments in subsidiaries in the Company’s statement of financial position. If any such indication exists, the asset’s recoverable amount is estimated. In addition, for goodwill, intangible assets that are not yet available for use and i</t>
        </is>
      </c>
    </row>
    <row r="20">
      <c r="A20" s="8" t="inlineStr">
        <is>
          <t>Impairment Testing</t>
        </is>
      </c>
      <c r="B20" s="8" t="inlineStr">
        <is>
          <t>減值測試</t>
        </is>
      </c>
      <c r="C20" s="17" t="inlineStr">
        <is>
          <t>high</t>
        </is>
      </c>
      <c r="D20" s="12" t="inlineStr">
        <is>
          <t>impairment test</t>
        </is>
      </c>
      <c r="E20" s="12" t="inlineStr">
        <is>
          <t>PDF p.69 (印刷頁 68)</t>
        </is>
      </c>
      <c r="F20" s="12" t="inlineStr">
        <is>
          <t>al Reporting, in respect of the first six months of the financial year. At the end of the interim period, the Group applies the same impairment testing, recognition, and reversal criteria as it would at the end of the financial year. Impairment losses recognised in an interim period in respect of goodwill are not reversed in a subsequent period. This is the case even if no loss, or a smaller loss, would have been recognised had the impairment been assessed only at the end of the financial year to which the interim period relate</t>
        </is>
      </c>
    </row>
    <row r="21">
      <c r="A21" s="8" t="inlineStr">
        <is>
          <t>Impairment Testing</t>
        </is>
      </c>
      <c r="B21" s="8" t="inlineStr">
        <is>
          <t>減值測試</t>
        </is>
      </c>
      <c r="C21" s="17" t="inlineStr">
        <is>
          <t>high</t>
        </is>
      </c>
      <c r="D21" s="12" t="inlineStr">
        <is>
          <t>impairment loss</t>
        </is>
      </c>
      <c r="E21" s="12" t="inlineStr">
        <is>
          <t>PDF p.82 (印刷頁 81)</t>
        </is>
      </c>
      <c r="F21" s="12" t="inlineStr">
        <is>
          <t>ed on an ongoing basis, management reviews the recoverable amount of loan receivables at each reporting date to ensure that adequate impairment losses are made for irrecoverable amounts. In this regard, management considers that the Group’s credit risk is significantly reduced. Interest income are usually billed on quarterly basis. The Group had other receivable amounting to HK$10,547,000 (2025: HK$6,541,000) as at year ended 31 March 2026. In order to reduce the credit risk, the management of the Company has assessed the credi</t>
        </is>
      </c>
    </row>
    <row r="22">
      <c r="A22" s="8" t="inlineStr">
        <is>
          <t>Impairment Testing</t>
        </is>
      </c>
      <c r="B22" s="8" t="inlineStr">
        <is>
          <t>減值測試</t>
        </is>
      </c>
      <c r="C22" s="17" t="inlineStr">
        <is>
          <t>high</t>
        </is>
      </c>
      <c r="D22" s="12" t="inlineStr">
        <is>
          <t>impairment loss</t>
        </is>
      </c>
      <c r="E22" s="12" t="inlineStr">
        <is>
          <t>PDF p.98 (印刷頁 97)</t>
        </is>
      </c>
      <c r="F22" s="12" t="inlineStr">
        <is>
          <t>the effective interest rate computed at initial recognition). Where the actual future cash flows are less than expected, a material impairment loss may arise. As at 31 March 2026, the carrying amount of trade receivables, interest receivables from money lending business and loan receivables are HK$8,637,000, net of loss allowance of HK$1,593,000 (2025: carrying amount of HK$19,454,000, net of loss allowance of HK$11,227,000), HK$36,233,000, net of loss allowance of HK$14,767,000 (2025: carrying amount of HK$150,000, net of los</t>
        </is>
      </c>
    </row>
    <row r="23">
      <c r="A23" s="8" t="inlineStr">
        <is>
          <t>Impairment Testing</t>
        </is>
      </c>
      <c r="B23" s="8" t="inlineStr">
        <is>
          <t>減值測試</t>
        </is>
      </c>
      <c r="C23" s="17" t="inlineStr">
        <is>
          <t>high</t>
        </is>
      </c>
      <c r="D23" s="12" t="inlineStr">
        <is>
          <t>impairment loss</t>
        </is>
      </c>
      <c r="E23" s="12" t="inlineStr">
        <is>
          <t>PDF p.128 (印刷頁 127)</t>
        </is>
      </c>
      <c r="F23" s="12" t="inlineStr">
        <is>
          <t>1 March 2026 22. INTANGIBLE ASSET — CRYPTO BNB BNB HK$’000 Cost At 1 April 2025 – Additions 2,000 At 31 March 2026 2,000 Accumulated impairment losses At 1 April 2025 – Impairment loss recognised during the year 71 At 31 March 2026 71 Carrying amount At 31 March 2026 1,929 At 31 March 2025 – During the year ended 31 March 2026, the Group acquired 402.91 units of Binance Coin (“BNB”) through its account with the online digital asset trading platform HashKey Exchange for an aggregate cost of HK$2,000,000. The BNB is held as part</t>
        </is>
      </c>
    </row>
    <row r="24">
      <c r="A24" s="8" t="inlineStr">
        <is>
          <t>Intangible Assets &amp; Goodwill</t>
        </is>
      </c>
      <c r="B24" s="8" t="inlineStr">
        <is>
          <t>無形資產及商譽</t>
        </is>
      </c>
      <c r="C24" s="17" t="inlineStr">
        <is>
          <t>high</t>
        </is>
      </c>
      <c r="D24" s="12" t="inlineStr">
        <is>
          <t>licence</t>
        </is>
      </c>
      <c r="E24" s="12" t="inlineStr">
        <is>
          <t>PDF p.5 (印刷頁 4)</t>
        </is>
      </c>
      <c r="F24" s="12" t="inlineStr">
        <is>
          <t>ning with Hong Kong’s vision: “Transform Hong Kong into a global digital assets hub.” BUSINESS MODEL The Group holds a money lenders licence in Hong Kong pursuant to the Money Lenders Ordinance (Chapter 163 of the Laws of Hong Kong) and provides loan facilities to prospective clients including enterprises and individuals. The Group earns interest income from the provision of such loan facilities through a wholly owned subsidiary of the Company, Triple Glory Holdings Limited (“TGHL”). KEY INTERNAL CONTROLS The Group has adopted</t>
        </is>
      </c>
    </row>
    <row r="25">
      <c r="A25" s="8" t="inlineStr">
        <is>
          <t>Intangible Assets &amp; Goodwill</t>
        </is>
      </c>
      <c r="B25" s="8" t="inlineStr">
        <is>
          <t>無形資產及商譽</t>
        </is>
      </c>
      <c r="C25" s="17" t="inlineStr">
        <is>
          <t>high</t>
        </is>
      </c>
      <c r="D25" s="12" t="inlineStr">
        <is>
          <t>licence</t>
        </is>
      </c>
      <c r="E25" s="12" t="inlineStr">
        <is>
          <t>PDF p.10 (印刷頁 9)</t>
        </is>
      </c>
      <c r="F25" s="12" t="inlineStr">
        <is>
          <t>duction of and coordination with professional parties. In this stage, the Board considers that the Company is not required to obtain licence to perform such preliminary works. Subject to the formal plan and structure of the RWA Project and the identification as well as location of the underlying assets, the Company and the dedicated team will assess the relevant regulatory and licence requirement as and when appropriate. Services Fee generated from the provision of services under the RWA Services Agreement will be reported as o</t>
        </is>
      </c>
    </row>
    <row r="26">
      <c r="A26" s="8" t="inlineStr">
        <is>
          <t>Intangible Assets &amp; Goodwill</t>
        </is>
      </c>
      <c r="B26" s="8" t="inlineStr">
        <is>
          <t>無形資產及商譽</t>
        </is>
      </c>
      <c r="C26" s="17" t="inlineStr">
        <is>
          <t>high</t>
        </is>
      </c>
      <c r="D26" s="12" t="inlineStr">
        <is>
          <t>intangible asset</t>
        </is>
      </c>
      <c r="E26" s="12" t="inlineStr">
        <is>
          <t>PDF p.47 (印刷頁 46)</t>
        </is>
      </c>
      <c r="F26" s="12" t="inlineStr">
        <is>
          <t>hanges on investment properties 17 (12,528) (9,135) Unrealised (loss)/gain on trading securities 19 (2,336) 4,436 Impairment loss on Intangible assets-Crypto BNB (71) – Allowance of expected credit losses on loan and interest receivables from money lending business, trade receivables and other receivables, net 9(c) (108,392) (93,411) Other income 8(a) 345 73 Other gains and losses, net 8(b) 20,068 2,564 Loss on disposal of subsidiaries 37 (10,747) Administrative expenses (16,820) (15,384) Loss from operations (67,372) (57,330)</t>
        </is>
      </c>
    </row>
    <row r="27">
      <c r="A27" s="8" t="inlineStr">
        <is>
          <t>Intangible Assets &amp; Goodwill</t>
        </is>
      </c>
      <c r="B27" s="8" t="inlineStr">
        <is>
          <t>無形資產及商譽</t>
        </is>
      </c>
      <c r="C27" s="17" t="inlineStr">
        <is>
          <t>high</t>
        </is>
      </c>
      <c r="D27" s="12" t="inlineStr">
        <is>
          <t>intangible asset</t>
        </is>
      </c>
      <c r="E27" s="12" t="inlineStr">
        <is>
          <t>PDF p.49 (印刷頁 48)</t>
        </is>
      </c>
      <c r="F27" s="12" t="inlineStr">
        <is>
          <t>nt 15 1,830 1,849 Right-of-use assets 16 853 65 Investment properties 17 164,593 165,980 Loan receivables 21 241,980 357,481 Intangible asset-Crypto BNB 22 1,929 411,185 525,375 Current assets Trade and other receivables 20 46,203 22,047 Loan receivables 21 135,241 47,883 Financial assets at fair value through profit or loss 19 8,861 26,636 Cash and bank balances 23(a) 8,067 2,257 198,372 98,823 Current liabilities Other payables 24 55,386 54,431 Other borrowings 25(b) – 12,291 Interest-bearing borrowings</t>
        </is>
      </c>
    </row>
    <row r="28">
      <c r="A28" s="8" t="inlineStr">
        <is>
          <t>Intangible Assets &amp; Goodwill</t>
        </is>
      </c>
      <c r="B28" s="8" t="inlineStr">
        <is>
          <t>無形資產及商譽</t>
        </is>
      </c>
      <c r="C28" s="17" t="inlineStr">
        <is>
          <t>high</t>
        </is>
      </c>
      <c r="D28" s="12" t="inlineStr">
        <is>
          <t>intangible asset</t>
        </is>
      </c>
      <c r="E28" s="12" t="inlineStr">
        <is>
          <t>PDF p.52 (印刷頁 51)</t>
        </is>
      </c>
      <c r="F28" s="12" t="inlineStr">
        <is>
          <t>28 9,135 Loss on disposal of subsidiaries 10,747 – Loss/(gain) on trading securities 19 2,336 (4,436) Impairment loss on intangible assets – Crypto BNB 22 71 – Allowance of expected credit loss on loan and interest receivables from money lending business, Rental receivable net 9(c) 108,392 93,411 (Gain)/loss on disposal of property, plant and equipment (195) 23 Exchange Fluctuation (20,068) Changes in working capital 47,359 43,187 Decrease/(increase) in trade and other receivables (51,218) 25,657 (In</t>
        </is>
      </c>
    </row>
    <row r="29">
      <c r="A29" s="8" t="inlineStr">
        <is>
          <t>Intangible Assets &amp; Goodwill</t>
        </is>
      </c>
      <c r="B29" s="8" t="inlineStr">
        <is>
          <t>無形資產及商譽</t>
        </is>
      </c>
      <c r="C29" s="17" t="inlineStr">
        <is>
          <t>high</t>
        </is>
      </c>
      <c r="D29" s="12" t="inlineStr">
        <is>
          <t>intangible asset</t>
        </is>
      </c>
      <c r="E29" s="12" t="inlineStr">
        <is>
          <t>PDF p.57 (印刷頁 56)</t>
        </is>
      </c>
      <c r="F29" s="12" t="inlineStr">
        <is>
          <t>TO THE CONSOLIDATED FINANCIAL STATEMENTS For the year ended 31 March 2026 2. MATERIAL ACCOUNTING POLICIES INFORMATION (Continued) d) INTANGIBLE ASSETS — CRYPTOCURRENCY Cryptocurrency holdings that are not held for sale in the ordinary course of business and do not meet the definition of a financial asset are accounted for as intangible assets. Cryptocurrency holdings are initially measured at cost, comprising the purchase price and any directly attributable transaction costs. After initial recognition, cryptocurrency holdings a</t>
        </is>
      </c>
    </row>
    <row r="30">
      <c r="A30" s="8" t="inlineStr">
        <is>
          <t>Intangible Assets &amp; Goodwill</t>
        </is>
      </c>
      <c r="B30" s="8" t="inlineStr">
        <is>
          <t>無形資產及商譽</t>
        </is>
      </c>
      <c r="C30" s="17" t="inlineStr">
        <is>
          <t>high</t>
        </is>
      </c>
      <c r="D30" s="12" t="inlineStr">
        <is>
          <t>useful life</t>
        </is>
      </c>
      <c r="E30" s="12" t="inlineStr">
        <is>
          <t>PDF p.61 (印刷頁 60)</t>
        </is>
      </c>
      <c r="F30" s="12" t="inlineStr">
        <is>
          <t>btain ownership of the underlying leased assets at the end of the lease term is depreciated from commencement date to the end of the useful life. Otherwise, right-of-use assets are depreciated on a straight-line basis over the shorter of its estimated useful life and the lease term. The Group presents right-of-use assets that do not meet the definition of investment property as a separate line item on the consolidated statement of financial position. Right-of-use assets that meet the definition of investment property and invent</t>
        </is>
      </c>
    </row>
    <row r="31">
      <c r="A31" s="8" t="inlineStr">
        <is>
          <t>Intangible Assets &amp; Goodwill</t>
        </is>
      </c>
      <c r="B31" s="8" t="inlineStr">
        <is>
          <t>無形資產及商譽</t>
        </is>
      </c>
      <c r="C31" s="17" t="inlineStr">
        <is>
          <t>high</t>
        </is>
      </c>
      <c r="D31" s="12" t="inlineStr">
        <is>
          <t>intangible asset</t>
        </is>
      </c>
      <c r="E31" s="12" t="inlineStr">
        <is>
          <t>PDF p.68 (印刷頁 67)</t>
        </is>
      </c>
      <c r="F31" s="12" t="inlineStr">
        <is>
          <t>be impaired or, an impairment loss previously recognised no longer exists or may have decreased: – property, plant and equipment; – intangible assets; – right-of-use assets; and – investments in subsidiaries in the Company’s statement of financial position. If any such indication exists, the asset’s recoverable amount is estimated. In addition, for goodwill, intangible assets that are not yet available for use and intangible assets that have indefinite useful lives, the recoverable amount is estimated annually whether or not t</t>
        </is>
      </c>
    </row>
    <row r="32">
      <c r="A32" s="8" t="inlineStr">
        <is>
          <t>Intangible Assets &amp; Goodwill</t>
        </is>
      </c>
      <c r="B32" s="8" t="inlineStr">
        <is>
          <t>無形資產及商譽</t>
        </is>
      </c>
      <c r="C32" s="17" t="inlineStr">
        <is>
          <t>high</t>
        </is>
      </c>
      <c r="D32" s="12" t="inlineStr">
        <is>
          <t>goodwill</t>
        </is>
      </c>
      <c r="E32" s="12" t="inlineStr">
        <is>
          <t>PDF p.69 (印刷頁 68)</t>
        </is>
      </c>
      <c r="F32" s="12" t="inlineStr">
        <is>
          <t>ETS (Continued) (ii) Impairment of non-financial assets (Continued) – Reversals of impairment losses In respect of assets other than goodwill, an impairment loss is reversed if there has been a favourable change in the estimates used to determine the recoverable amount. An impairment loss in respect of goodwill is not reversed. A reversal of an impairment loss is limited to the asset’s carrying amount that would have been determined had no impairment loss been recognised in prior years. Reversals of impairment losses are credit</t>
        </is>
      </c>
    </row>
    <row r="33">
      <c r="A33" s="8" t="inlineStr">
        <is>
          <t>Intangible Assets &amp; Goodwill</t>
        </is>
      </c>
      <c r="B33" s="8" t="inlineStr">
        <is>
          <t>無形資產及商譽</t>
        </is>
      </c>
      <c r="C33" s="17" t="inlineStr">
        <is>
          <t>high</t>
        </is>
      </c>
      <c r="D33" s="12" t="inlineStr">
        <is>
          <t>goodwill</t>
        </is>
      </c>
      <c r="E33" s="12" t="inlineStr">
        <is>
          <t>PDF p.73 (印刷頁 72)</t>
        </is>
      </c>
      <c r="F33" s="12" t="inlineStr">
        <is>
          <t>utilised. The limited exceptions to recognition of deferred tax assets and liabilities are those temporary differences arising from goodwill not deductible for tax purposes, the initial recognition of assets or liabilities that affect neither accounting nor taxable profit (provided they are not part of a business combination), and temporary differences relating to investments in subsidiaries to the extent that, in the case of taxable differences, the Group controls the timing of the reversal and it is probable that the differe</t>
        </is>
      </c>
    </row>
    <row r="34">
      <c r="A34" s="8" t="inlineStr">
        <is>
          <t>Intangible Assets &amp; Goodwill</t>
        </is>
      </c>
      <c r="B34" s="8" t="inlineStr">
        <is>
          <t>無形資產及商譽</t>
        </is>
      </c>
      <c r="C34" s="17" t="inlineStr">
        <is>
          <t>high</t>
        </is>
      </c>
      <c r="D34" s="12" t="inlineStr">
        <is>
          <t>amortisation</t>
        </is>
      </c>
      <c r="E34" s="12" t="inlineStr">
        <is>
          <t>PDF p.101 (印刷頁 100)</t>
        </is>
      </c>
      <c r="F34" s="12" t="inlineStr">
        <is>
          <t>e to sales generated by those segments and the expenses incurred by those segments or which otherwise arise from the depreciation or amortisation of assets attributable to those segments. The revenue from external parties reported to the CODM is measured in a manner consistent with that in the consolidated statement of profit or loss. 100 CHINA PROPERTIES INVESTMENT HOLDINGS LIMITED ANNUAL REPORT 2026</t>
        </is>
      </c>
    </row>
    <row r="35">
      <c r="A35" s="8" t="inlineStr">
        <is>
          <t>Intangible Assets &amp; Goodwill</t>
        </is>
      </c>
      <c r="B35" s="8" t="inlineStr">
        <is>
          <t>無形資產及商譽</t>
        </is>
      </c>
      <c r="C35" s="17" t="inlineStr">
        <is>
          <t>high</t>
        </is>
      </c>
      <c r="D35" s="12" t="inlineStr">
        <is>
          <t>amortisation</t>
        </is>
      </c>
      <c r="E35" s="12" t="inlineStr">
        <is>
          <t>PDF p.102 (印刷頁 101)</t>
        </is>
      </c>
      <c r="F35" s="12" t="inlineStr">
        <is>
          <t>53,527 Reportable segment loss before taxation, including: (15,573) (44,524) (60,097) (33,431) (20,571) (54,002) Depreciation and amortisation – Property, plant and equipment – – – (65) – (65) – Right-of-use assets (67) (853) (920) (2,319) – (2,319) Fair value changes on investment properties (12,528) – (12,528) (9,135) – (9,135) Allowance of expected credit loss on loan and interest receivables and other receivables (including the financial assets at amortised cost), net (5,129) (103,263) (108,392) (25,381) (6</t>
        </is>
      </c>
    </row>
    <row r="36">
      <c r="A36" s="8" t="inlineStr">
        <is>
          <t>Intangible Assets &amp; Goodwill</t>
        </is>
      </c>
      <c r="B36" s="8" t="inlineStr">
        <is>
          <t>無形資產及商譽</t>
        </is>
      </c>
      <c r="C36" s="17" t="inlineStr">
        <is>
          <t>high</t>
        </is>
      </c>
      <c r="D36" s="12" t="inlineStr">
        <is>
          <t>intangible asset</t>
        </is>
      </c>
      <c r="E36" s="12" t="inlineStr">
        <is>
          <t>PDF p.105 (印刷頁 104)</t>
        </is>
      </c>
      <c r="F36" s="12" t="inlineStr">
        <is>
          <t>ent assets (other than financial instruments) include property, plant and equipment, right-of-use assets, investment properties, and intangible assets. The geographical location of property, plant and equipment, right-of-use assets and investment properties are based on the physical location of the asset. In the case of intangible assets and goodwill, they are based on the location of operation to which they are allocated. Revenue from external customers Non-current assets 2026 2025 2026 2025 HK$’000 HK$’000 HK$’000 HK$’000 Hon</t>
        </is>
      </c>
    </row>
    <row r="37">
      <c r="A37" s="8" t="inlineStr">
        <is>
          <t>Intangible Assets &amp; Goodwill</t>
        </is>
      </c>
      <c r="B37" s="8" t="inlineStr">
        <is>
          <t>無形資產及商譽</t>
        </is>
      </c>
      <c r="C37" s="17" t="inlineStr">
        <is>
          <t>high</t>
        </is>
      </c>
      <c r="D37" s="12" t="inlineStr">
        <is>
          <t>intangible asset</t>
        </is>
      </c>
      <c r="E37" s="12" t="inlineStr">
        <is>
          <t>PDF p.128 (印刷頁 127)</t>
        </is>
      </c>
      <c r="F37" s="12" t="inlineStr">
        <is>
          <t>NOTES TO THE CONSOLIDATED FINANCIAL STATEMENTS For the year ended 31 March 2026 22. INTANGIBLE ASSET — CRYPTO BNB BNB HK$’000 Cost At 1 April 2025 – Additions 2,000 At 31 March 2026 2,000 Accumulated impairment losses At 1 April 2025 – Impairment loss recognised during the year 71 At 31 March 2026 71 Carrying amount At 31 March 2026 1,929 At 31 March 2025 – During the year ended 31 March 2026, the Group acquired 402.91 units of Binance Coin (“BNB”) through its account with the on</t>
        </is>
      </c>
    </row>
    <row r="38">
      <c r="A38" s="8" t="inlineStr">
        <is>
          <t>Investment Properties</t>
        </is>
      </c>
      <c r="B38" s="8" t="inlineStr">
        <is>
          <t>投資物業</t>
        </is>
      </c>
      <c r="C38" s="17" t="inlineStr">
        <is>
          <t>high</t>
        </is>
      </c>
      <c r="D38" s="12" t="inlineStr">
        <is>
          <t>gross floor area</t>
        </is>
      </c>
      <c r="E38" s="12" t="inlineStr">
        <is>
          <t>PDF p.4 (印刷頁 3)</t>
        </is>
      </c>
      <c r="F38" s="12" t="inlineStr">
        <is>
          <t>of the Group included the properties investment and money lending. For the properties investment, as at 31 March 2026, the aggregate gross floor area of the investment properties being held by the Group was approximately 7,004 square meters, 100% of which was leased to third parties under operating leases with lease terms ranging up to twelve years. For the year ended 31 March 2026, approximately 2,819 square meters of the gross floor area of the leased property were sub-leased to third parties under operating leases with lease</t>
        </is>
      </c>
    </row>
    <row r="39">
      <c r="A39" s="8" t="inlineStr">
        <is>
          <t>Investment Properties</t>
        </is>
      </c>
      <c r="B39" s="8" t="inlineStr">
        <is>
          <t>投資物業</t>
        </is>
      </c>
      <c r="C39" s="17" t="inlineStr">
        <is>
          <t>high</t>
        </is>
      </c>
      <c r="D39" s="12" t="inlineStr">
        <is>
          <t>investment property</t>
        </is>
      </c>
      <c r="E39" s="12" t="inlineStr">
        <is>
          <t>PDF p.59 (印刷頁 58)</t>
        </is>
      </c>
      <c r="F39" s="12" t="inlineStr">
        <is>
          <t>hese include land held for a currently undetermined future use and property that is being constructed or developed for future use as investment property. Investment properties are stated at fair value, unless they are still in the course of construction or development at the end of the reporting period and their fair value cannot be reliably measured at that time. Any gain or loss arising from a change in fair value or from the retirement or disposal of an investment property is recognised in profit or loss. Rental income from</t>
        </is>
      </c>
    </row>
    <row r="40">
      <c r="A40" s="8" t="inlineStr">
        <is>
          <t>Investment Properties</t>
        </is>
      </c>
      <c r="B40" s="8" t="inlineStr">
        <is>
          <t>投資物業</t>
        </is>
      </c>
      <c r="C40" s="17" t="inlineStr">
        <is>
          <t>high</t>
        </is>
      </c>
      <c r="D40" s="12" t="inlineStr">
        <is>
          <t>investment property</t>
        </is>
      </c>
      <c r="E40" s="12" t="inlineStr">
        <is>
          <t>PDF p.61 (印刷頁 60)</t>
        </is>
      </c>
      <c r="F40" s="12" t="inlineStr">
        <is>
          <t>e shorter of its estimated useful life and the lease term. The Group presents right-of-use assets that do not meet the definition of investment property as a separate line item on the consolidated statement of financial position. Right-of-use assets that meet the definition of investment property and inventory are presented within “investment properties”. Refundable rental deposits Refundable rental deposits paid are accounted under HKFRS 9 and initially measured at fair value. Adjustments to fair value at initial recognition a</t>
        </is>
      </c>
    </row>
    <row r="41">
      <c r="A41" s="8" t="inlineStr">
        <is>
          <t>Investment Properties</t>
        </is>
      </c>
      <c r="B41" s="8" t="inlineStr">
        <is>
          <t>投資物業</t>
        </is>
      </c>
      <c r="C41" s="17" t="inlineStr">
        <is>
          <t>high</t>
        </is>
      </c>
      <c r="D41" s="12" t="inlineStr">
        <is>
          <t>market rent</t>
        </is>
      </c>
      <c r="E41" s="12" t="inlineStr">
        <is>
          <t>PDF p.62 (印刷頁 61)</t>
        </is>
      </c>
      <c r="F41" s="12" t="inlineStr">
        <is>
          <t>the revised lease payments using a revised discount rate at the date of reassessment. – the lease payments change due to changes in market rental rates following a market rent review/ expected payment under a guaranteed residual value, in which cases the related lease liability is remeasured by discounting the revised lease payments using the initial discount rate. The Group presents lease liabilities as a separate line item on the consolidated statement of financial position. CHINA PROPERTIES INVESTMENT HOLDINGS LIMITED 61 AN</t>
        </is>
      </c>
    </row>
    <row r="42">
      <c r="A42" s="8" t="inlineStr">
        <is>
          <t>Investment Properties</t>
        </is>
      </c>
      <c r="B42" s="8" t="inlineStr">
        <is>
          <t>投資物業</t>
        </is>
      </c>
      <c r="C42" s="17" t="inlineStr">
        <is>
          <t>high</t>
        </is>
      </c>
      <c r="D42" s="12" t="inlineStr">
        <is>
          <t>investment property</t>
        </is>
      </c>
      <c r="E42" s="12" t="inlineStr">
        <is>
          <t>PDF p.99 (印刷頁 98)</t>
        </is>
      </c>
      <c r="F42" s="12"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ii) Classification of leases The Group has entered into certain leases whereby the Group has determined that it has transferred substantially all the risks and rewards incidental to o</t>
        </is>
      </c>
    </row>
    <row r="43">
      <c r="A43" s="8" t="inlineStr">
        <is>
          <t>Investment Properties</t>
        </is>
      </c>
      <c r="B43" s="8" t="inlineStr">
        <is>
          <t>投資物業</t>
        </is>
      </c>
      <c r="C43" s="17" t="inlineStr">
        <is>
          <t>high</t>
        </is>
      </c>
      <c r="D43" s="12" t="inlineStr">
        <is>
          <t>reversionary</t>
        </is>
      </c>
      <c r="E43" s="12" t="inlineStr">
        <is>
          <t>PDF p.115 (印刷頁 114)</t>
        </is>
      </c>
      <c r="F43" s="12" t="inlineStr">
        <is>
          <t>was derived using the income capitalisation approach based on the income derived from existing tenancies with due provision for any reversionary income potential of the properties and discounted at the market yield. The Group’s chief financial officer has discussion with the valuers on the valuation assumptions and valuation results when the valuation is performed at the end of each reporting period. All of the fair value measurements of the Group’s investment properties were categorised into Level 3 of the fair value hierarch</t>
        </is>
      </c>
    </row>
    <row r="44">
      <c r="A44" s="8" t="inlineStr">
        <is>
          <t>Investment Properties</t>
        </is>
      </c>
      <c r="B44" s="8" t="inlineStr">
        <is>
          <t>投資物業</t>
        </is>
      </c>
      <c r="C44" s="17" t="inlineStr">
        <is>
          <t>high</t>
        </is>
      </c>
      <c r="D44" s="12" t="inlineStr">
        <is>
          <t>investment property</t>
        </is>
      </c>
      <c r="E44" s="12" t="inlineStr">
        <is>
          <t>PDF p.116 (印刷頁 115)</t>
        </is>
      </c>
      <c r="F44" s="12" t="inlineStr">
        <is>
          <t>lly leased out the Leased Property I and Leased Property II. The Leased Property I and Leased Property II meets the definition of an investment property as defined under HKAS 40 Investment Properties where the Leased Property I and Leased Property II is a building held by the Lessee as a right-of-use asset to earn rentals, rather than for use in the production or supply of goods or services or for administrative purposes or sale in the ordinary course of business. Accordingly, management of the Group considers it appropriate to</t>
        </is>
      </c>
    </row>
    <row r="45">
      <c r="A45" s="8" t="inlineStr">
        <is>
          <t>ESG Data</t>
        </is>
      </c>
      <c r="B45" s="8" t="inlineStr">
        <is>
          <t>環境社會及管治數據</t>
        </is>
      </c>
      <c r="C45" s="8" t="inlineStr">
        <is>
          <t>medium</t>
        </is>
      </c>
      <c r="D45" s="12" t="inlineStr">
        <is>
          <t>sustainability</t>
        </is>
      </c>
      <c r="E45" s="12" t="inlineStr">
        <is>
          <t>PDF p.23 (印刷頁 22)</t>
        </is>
      </c>
      <c r="F45" s="12" t="inlineStr">
        <is>
          <t>tive director and member of audit committee of the Company in July 2017. Mr. Liang holds a master of science degree in transport and sustainability from Imperial College London and University College London and a bachelor of engineering degree in mechatronics from King’s College London, University of London. Mr. Liang is currently working as an enterprise and training manager of Bootstrap Company and is also a board member and social enterprise consultant of Greenwich Social Enterprise Partnership. Mr. Liang has extensive exper</t>
        </is>
      </c>
    </row>
    <row r="46">
      <c r="A46" s="8" t="inlineStr">
        <is>
          <t>Segment Information</t>
        </is>
      </c>
      <c r="B46" s="8" t="inlineStr">
        <is>
          <t>分部資料</t>
        </is>
      </c>
      <c r="C46" s="8" t="inlineStr">
        <is>
          <t>medium</t>
        </is>
      </c>
      <c r="D46" s="12" t="inlineStr">
        <is>
          <t>operating segment</t>
        </is>
      </c>
      <c r="E46" s="12" t="inlineStr">
        <is>
          <t>PDF p.10 (印刷頁 9)</t>
        </is>
      </c>
      <c r="F46" s="12" t="inlineStr">
        <is>
          <t>ee generated from the provision of services under the RWA Services Agreement will be reported as other income, or revenue from a new operating segment when the services fee generated become significant. Details of the RWA Service Agreement were set out in the announcement of the Company dated 30 September 2025. CHINA PROPERTIES INVESTMENT HOLDINGS LIMITED 9 ANNUAL REPORT 2026</t>
        </is>
      </c>
    </row>
    <row r="47">
      <c r="A47" s="8" t="inlineStr">
        <is>
          <t>Segment Information</t>
        </is>
      </c>
      <c r="B47" s="8" t="inlineStr">
        <is>
          <t>分部資料</t>
        </is>
      </c>
      <c r="C47" s="8" t="inlineStr">
        <is>
          <t>medium</t>
        </is>
      </c>
      <c r="D47" s="12" t="inlineStr">
        <is>
          <t>operating segment</t>
        </is>
      </c>
      <c r="E47" s="12" t="inlineStr">
        <is>
          <t>PDF p.78 (印刷頁 77)</t>
        </is>
      </c>
      <c r="F47" s="12" t="inlineStr">
        <is>
          <t>fer of those benefits and when it recognises restructuring costs involving the payment of termination benefits. w) SEGMENT REPORTING Operating segments, and the amounts of each segment item reported in the financial statements, are identified from the financial information provided regularly to the board of directors, which is the chief operating decision maker (“CODM”) for the purposes of allocating resources to, and assessing the performance, the Group’s various lines of business and geographical locations. Individually mater</t>
        </is>
      </c>
    </row>
    <row r="48">
      <c r="A48" s="8" t="inlineStr">
        <is>
          <t>Segment Information</t>
        </is>
      </c>
      <c r="B48" s="8" t="inlineStr">
        <is>
          <t>分部資料</t>
        </is>
      </c>
      <c r="C48" s="8" t="inlineStr">
        <is>
          <t>medium</t>
        </is>
      </c>
      <c r="D48" s="12" t="inlineStr">
        <is>
          <t>reportable segment</t>
        </is>
      </c>
      <c r="E48" s="12" t="inlineStr">
        <is>
          <t>PDF p.100 (印刷頁 99)</t>
        </is>
      </c>
      <c r="F48" s="12" t="inlineStr">
        <is>
          <t>ting segment derives its revenue primarily from leasing of investment properties. MONEY LENDING BUSINESS: The money lending business reportable segment derives its revenue primarily from lending out loans and receive interest. No reportable operating segment has been aggregated. CHINA PROPERTIES INVESTMENT HOLDINGS LIMITED 99 ANNUAL REPORT 2026</t>
        </is>
      </c>
    </row>
    <row r="49">
      <c r="A49" s="8" t="inlineStr">
        <is>
          <t>Segment Information</t>
        </is>
      </c>
      <c r="B49" s="8" t="inlineStr">
        <is>
          <t>分部資料</t>
        </is>
      </c>
      <c r="C49" s="8" t="inlineStr">
        <is>
          <t>medium</t>
        </is>
      </c>
      <c r="D49" s="12" t="inlineStr">
        <is>
          <t>reportable segment</t>
        </is>
      </c>
      <c r="E49" s="12" t="inlineStr">
        <is>
          <t>PDF p.101 (印刷頁 100)</t>
        </is>
      </c>
      <c r="F49" s="12" t="inlineStr">
        <is>
          <t>rmance and allocating resources between segments, the Group’s CODM monitors the results, assets and liabilities attributable to each reportable segment on the following bases: The accounting policies of the reportable segments are the same as the Group’s accounting policies. Segment profit/(loss) represents the profit earned by/(loss) from each segment without allocation of central administration costs such as directors’ salaries, unallocated finance costs, corporate income, depreciation, interest income, fair value change of t</t>
        </is>
      </c>
    </row>
    <row r="50">
      <c r="A50" s="8" t="inlineStr">
        <is>
          <t>Segment Information</t>
        </is>
      </c>
      <c r="B50" s="8" t="inlineStr">
        <is>
          <t>分部資料</t>
        </is>
      </c>
      <c r="C50" s="8" t="inlineStr">
        <is>
          <t>medium</t>
        </is>
      </c>
      <c r="D50" s="12" t="inlineStr">
        <is>
          <t>reportable segment</t>
        </is>
      </c>
      <c r="E50" s="12" t="inlineStr">
        <is>
          <t>PDF p.102 (印刷頁 101)</t>
        </is>
      </c>
      <c r="F50" s="12" t="inlineStr">
        <is>
          <t>ed 31 March 2026 6. SEGMENT REPORTING (Continued) a) SEGMENT RESULTS, ASSETS AND LIABILITIES (Continued) All assets are allocated to reportable segments other than financial assets at fair value through profit or loss, property under development and corporate assets. All liabilities are allocated to reportable segments other than deferred tax liabilities, tax payables, unconvertible bonds and corporate liabilities. Information regarding the Group’s reportable segments as provided to the Group’s CODM for the purposes of resource</t>
        </is>
      </c>
    </row>
    <row r="51">
      <c r="A51" s="8" t="inlineStr">
        <is>
          <t>Segment Information</t>
        </is>
      </c>
      <c r="B51" s="8" t="inlineStr">
        <is>
          <t>分部資料</t>
        </is>
      </c>
      <c r="C51" s="8" t="inlineStr">
        <is>
          <t>medium</t>
        </is>
      </c>
      <c r="D51" s="12" t="inlineStr">
        <is>
          <t>reportable segment</t>
        </is>
      </c>
      <c r="E51" s="12" t="inlineStr">
        <is>
          <t>PDF p.103 (印刷頁 102)</t>
        </is>
      </c>
      <c r="F51" s="12" t="inlineStr">
        <is>
          <t>TES TO THE CONSOLIDATED FINANCIAL STATEMENTS For the year ended 31 March 2026 6. SEGMENT REPORTING (Continued) b) RECONCILIATIONS OF REPORTABLE SEGMENT REVENUES, PROFIT OR LOSS, ASSETS AND LIABILITIES AND OTHER ITEMS: 2026 2025 HK$’000 HK$’000 (i) Revenue Total reportable segment revenue 63,109 53,527 Consolidated revenue 63,109 53,527 (ii) Gain/(Loss) Total reportable segment loss (60,097) (54,002) Unallocated corporate income 20,413 4,509 Unallocated corporate expenses (34,635) (15,154) Consolidated loss before taxation (74,3</t>
        </is>
      </c>
    </row>
    <row r="52">
      <c r="A52" s="8" t="inlineStr">
        <is>
          <t>Segment Information</t>
        </is>
      </c>
      <c r="B52" s="8" t="inlineStr">
        <is>
          <t>分部資料</t>
        </is>
      </c>
      <c r="C52" s="8" t="inlineStr">
        <is>
          <t>medium</t>
        </is>
      </c>
      <c r="D52" s="12" t="inlineStr">
        <is>
          <t>reportable segment</t>
        </is>
      </c>
      <c r="E52" s="12" t="inlineStr">
        <is>
          <t>PDF p.104 (印刷頁 103)</t>
        </is>
      </c>
      <c r="F52" s="12" t="inlineStr">
        <is>
          <t>TES TO THE CONSOLIDATED FINANCIAL STATEMENTS For the year ended 31 March 2026 6. SEGMENT REPORTING (Continued) b) RECONCILIATIONS OF REPORTABLE SEGMENT REVENUES, PROFIT OR LOSS, ASSETS AND LIABILITIES AND OTHER ITEMS: (Continued) (v) Other items 2026 Money Properties lending investment business Unallocated Total HK$’000 HK$’000 HK$’000 HK$’000 Depreciation (67) (853) – (920) Finance cost (5,795) (1,152) – (6,947) 2025 Money Properties lending investment business Unallocated Total HK$’000 HK$’000 HK$’000 HK$’000 Depreciation (28</t>
        </is>
      </c>
    </row>
    <row r="53">
      <c r="A53" s="8" t="inlineStr">
        <is>
          <t>Segment Information</t>
        </is>
      </c>
      <c r="B53" s="8" t="inlineStr">
        <is>
          <t>分部資料</t>
        </is>
      </c>
      <c r="C53" s="8" t="inlineStr">
        <is>
          <t>medium</t>
        </is>
      </c>
      <c r="D53" s="12" t="inlineStr">
        <is>
          <t>geographical</t>
        </is>
      </c>
      <c r="E53" s="12" t="inlineStr">
        <is>
          <t>PDF p.105 (印刷頁 104)</t>
        </is>
      </c>
      <c r="F53" s="12" t="inlineStr">
        <is>
          <t>NOTES TO THE CONSOLIDATED FINANCIAL STATEMENTS For the year ended 31 March 2026 6. SEGMENT REPORTING (Continued) c) GEOGRAPHICAL INFORMATION The following is an analysis of geographical location of (i) the Group’s revenue from operation external customers and (ii) the Group’s non-current assets. The geographical location of customers refers to the location at which the services were provided or the goods delivered. The Group’s non-current assets (other than financial instruments) include property, plant and equ</t>
        </is>
      </c>
    </row>
    <row r="54">
      <c r="A54" s="8" t="inlineStr">
        <is>
          <t>Share-based Payment</t>
        </is>
      </c>
      <c r="B54" s="8" t="inlineStr">
        <is>
          <t>以股份為基礎的付款</t>
        </is>
      </c>
      <c r="C54" s="8" t="inlineStr">
        <is>
          <t>medium</t>
        </is>
      </c>
      <c r="D54" s="12" t="inlineStr">
        <is>
          <t>share option</t>
        </is>
      </c>
      <c r="E54" s="12" t="inlineStr">
        <is>
          <t>PDF p.21 (印刷頁 20)</t>
        </is>
      </c>
      <c r="F54" s="12" t="inlineStr">
        <is>
          <t>ification and experience of individual employees. The Group provides mandatory provident fund and insurance scheme to the employees. Share option scheme and incentive schemes are adopted to encourage personal commitment of employees. APPRECIATION Management and I would like to take this opportunity to express my heartfelt gratitude to our esteemed shareholders, customers, business partners and bankers for your steadfast support and confidence in the Group. I am also deeply grateful to my fellow board member for their invaluable</t>
        </is>
      </c>
    </row>
    <row r="55">
      <c r="A55" s="8" t="inlineStr">
        <is>
          <t>Share-based Payment</t>
        </is>
      </c>
      <c r="B55" s="8" t="inlineStr">
        <is>
          <t>以股份為基礎的付款</t>
        </is>
      </c>
      <c r="C55" s="8" t="inlineStr">
        <is>
          <t>medium</t>
        </is>
      </c>
      <c r="D55" s="12" t="inlineStr">
        <is>
          <t>share option</t>
        </is>
      </c>
      <c r="E55" s="12" t="inlineStr">
        <is>
          <t>PDF p.25 (印刷頁 24)</t>
        </is>
      </c>
      <c r="F55" s="12" t="inlineStr">
        <is>
          <t>and investment properties of the Group during the year are set out in notes 15 and 17 to the financial statements. SHARE CAPITAL AND SHARE OPTIONS Details of movements in the Company’s share capital and share options during the year, together with the reasons therefor, are set out in notes 28 and 29 to the financial statements. EQUITY-LINKED AGREEMENTS No equity-linked agreements were entered into by the Company during the year ended 31 March 2026. PRE-EMPTIVE RIGHTS There are no provisions for pre-emptive rights under the Comp</t>
        </is>
      </c>
    </row>
    <row r="56">
      <c r="A56" s="8" t="inlineStr">
        <is>
          <t>Share-based Payment</t>
        </is>
      </c>
      <c r="B56" s="8" t="inlineStr">
        <is>
          <t>以股份為基礎的付款</t>
        </is>
      </c>
      <c r="C56" s="8" t="inlineStr">
        <is>
          <t>medium</t>
        </is>
      </c>
      <c r="D56" s="12" t="inlineStr">
        <is>
          <t>share option</t>
        </is>
      </c>
      <c r="E56" s="12" t="inlineStr">
        <is>
          <t>PDF p.135 (印刷頁 134)</t>
        </is>
      </c>
      <c r="F56" s="12" t="inlineStr">
        <is>
          <t>THE CONSOLIDATED FINANCIAL STATEMENTS For the year ended 31 March 2026 29. EQUITY SETTLED SHARE-BASED TRANSACTIONS The Company has a share option scheme (the “Scheme”) which was adopted on 2 September 2021. The principal terms of the share option scheme as follow: 1. PURPOSE OF THE NEW SHARE OPTION SCHEME The purpose of the New Share Option Scheme is to provide incentives or rewards to the Participants thereunder for their contribution to the Group. 2. PARTICIPANTS: The Directors may, at their absolute discretion, invite any pe</t>
        </is>
      </c>
    </row>
    <row r="57">
      <c r="A57" s="8" t="inlineStr">
        <is>
          <t>Share-based Payment</t>
        </is>
      </c>
      <c r="B57" s="8" t="inlineStr">
        <is>
          <t>以股份為基礎的付款</t>
        </is>
      </c>
      <c r="C57" s="8" t="inlineStr">
        <is>
          <t>medium</t>
        </is>
      </c>
      <c r="D57" s="12" t="inlineStr">
        <is>
          <t>share option</t>
        </is>
      </c>
      <c r="E57" s="12" t="inlineStr">
        <is>
          <t>PDF p.136 (印刷頁 135)</t>
        </is>
      </c>
      <c r="F57" s="12" t="inlineStr">
        <is>
          <t>3.1 The maximum number of Shares to be issued upon exercise of all outstanding Options granted and yet to be exercised under the New Share Option Scheme and any other share option schemes of the Company must not in aggregate exceed 30% of the issued share capital of the Company from time to time. The issued share capital of the Company at 320,599,606 Shares as at the date of 31 March, 2026. The number of share available for issue under the Share Option Scheme to the Participants to subscribe for is 13,358,330 represent 5% of th</t>
        </is>
      </c>
    </row>
    <row r="58">
      <c r="A58" s="8" t="inlineStr">
        <is>
          <t>Share-based Payment</t>
        </is>
      </c>
      <c r="B58" s="8" t="inlineStr">
        <is>
          <t>以股份為基礎的付款</t>
        </is>
      </c>
      <c r="C58" s="8" t="inlineStr">
        <is>
          <t>medium</t>
        </is>
      </c>
      <c r="D58" s="12" t="inlineStr">
        <is>
          <t>share option</t>
        </is>
      </c>
      <c r="E58" s="12" t="inlineStr">
        <is>
          <t>PDF p.137 (印刷頁 136)</t>
        </is>
      </c>
      <c r="F58" s="12" t="inlineStr">
        <is>
          <t>ACH PARTICIPANT The total number of Shares issued and which may fall to be issued upon exercise of the Options granted under the New Share Option Scheme and any other share option schemes of the Company (including both exercised and outstanding Options) to each Participant in any 12- month period must not exceed 1% of the issued share capital of the Company for the time being (the “Individual Limit”). Any further grant of Options to a Participant in excess of the Individual Limit (including exercised, cancelled and outstanding</t>
        </is>
      </c>
    </row>
    <row r="59">
      <c r="A59" s="8" t="inlineStr">
        <is>
          <t>Share-based Payment</t>
        </is>
      </c>
      <c r="B59" s="8" t="inlineStr">
        <is>
          <t>以股份為基礎的付款</t>
        </is>
      </c>
      <c r="C59" s="8" t="inlineStr">
        <is>
          <t>medium</t>
        </is>
      </c>
      <c r="D59" s="12" t="inlineStr">
        <is>
          <t>share option</t>
        </is>
      </c>
      <c r="E59" s="12" t="inlineStr">
        <is>
          <t>PDF p.139 (印刷頁 138)</t>
        </is>
      </c>
      <c r="F59" s="12" t="inlineStr">
        <is>
          <t>serve The equity settled share-based compensation reserve represents the fair value of the actual or estimated number of unexercised share options granted to employees of the Company and others providing similar services recognised in accordance with the accounting policy adopted for sharebased payments in note 2(x)(ii). iv) Exchange fluctuation reserve The exchange fluctuation reserve comprises all foreign exchange differences arising from the translation of the financial statements of group entities whose functional currenc</t>
        </is>
      </c>
    </row>
    <row r="60">
      <c r="A60" s="8" t="inlineStr">
        <is>
          <t>Related Party Transactions</t>
        </is>
      </c>
      <c r="B60" s="8" t="inlineStr">
        <is>
          <t>關聯方交易</t>
        </is>
      </c>
      <c r="C60" s="8" t="inlineStr">
        <is>
          <t>low</t>
        </is>
      </c>
      <c r="D60" s="12" t="inlineStr">
        <is>
          <t>related party</t>
        </is>
      </c>
      <c r="E60" s="12" t="inlineStr">
        <is>
          <t>PDF p.29 (印刷頁 28)</t>
        </is>
      </c>
      <c r="F60" s="12" t="inlineStr">
        <is>
          <t>r review, the Company did not enter into any non-exempted connected transaction within the meaning of the Listing Rules. Significant related party transactions entered into by the Group during the year ended 31 March 2026, which do not constitute connected transactions under the Listing Rules, are disclosed in note 32 to the financial statements. NON-ADJUSTING EVENTS AFTER THE REPORTING PERIOD The Group had no material event after reporting period. PUBLIC FLOAT Based on information that is publicly available to the Company and</t>
        </is>
      </c>
    </row>
    <row r="61">
      <c r="A61" s="8" t="inlineStr">
        <is>
          <t>Related Party Transactions</t>
        </is>
      </c>
      <c r="B61" s="8" t="inlineStr">
        <is>
          <t>關聯方交易</t>
        </is>
      </c>
      <c r="C61" s="8" t="inlineStr">
        <is>
          <t>low</t>
        </is>
      </c>
      <c r="D61" s="12" t="inlineStr">
        <is>
          <t>connected transaction</t>
        </is>
      </c>
      <c r="E61" s="12" t="inlineStr">
        <is>
          <t>PDF p.36 (印刷頁 35)</t>
        </is>
      </c>
      <c r="F61" s="12" t="inlineStr">
        <is>
          <t>review, evaluate and approve any investment project or financial investment activities other than very substantial transactions and connected transactions as defined by the Hong Kong Listing Rules (“Investments”); II. analyses, consider, and determine whether any proposed investment project is in the best interests of the Company and its shareholders as a whole; III. review the Company’s investing capital and financing strategy from time to time; IV. monitor significant transactions and/or investment plans which might cause si</t>
        </is>
      </c>
    </row>
    <row r="62">
      <c r="A62" s="8" t="inlineStr">
        <is>
          <t>Related Party Transactions</t>
        </is>
      </c>
      <c r="B62" s="8" t="inlineStr">
        <is>
          <t>關聯方交易</t>
        </is>
      </c>
      <c r="C62" s="8" t="inlineStr">
        <is>
          <t>low</t>
        </is>
      </c>
      <c r="D62" s="12" t="inlineStr">
        <is>
          <t>related party</t>
        </is>
      </c>
      <c r="E62" s="12" t="inlineStr">
        <is>
          <t>PDF p.132 (印刷頁 131)</t>
        </is>
      </c>
      <c r="F62" s="12" t="inlineStr">
        <is>
          <t>hin 1 year or on demand – 12,291 At 31 March 2026, other borrowings included an amount of HK$Nil (2025: HK$12,291,000) advanced from related party. The borrowing carries no interest rate and repayable on demand. 26. LEASE LIABILITIES The consolidated statement of financial position shows the following amounts relating to leases: 2026 2025 HK$’000 HK$’000 Opening net book amount as at 1 April 9,015 12,960 Additions 1,707 – Repayment (2,817) (4,414) Interest expenses 607 584 Early termination of lease – – Exchange alignment 574 (</t>
        </is>
      </c>
    </row>
    <row r="63">
      <c r="A63" s="8" t="inlineStr">
        <is>
          <t>Related Party Transactions</t>
        </is>
      </c>
      <c r="B63" s="8" t="inlineStr">
        <is>
          <t>關聯方交易</t>
        </is>
      </c>
      <c r="C63" s="8" t="inlineStr">
        <is>
          <t>low</t>
        </is>
      </c>
      <c r="D63" s="12" t="inlineStr">
        <is>
          <t>related party</t>
        </is>
      </c>
      <c r="E63" s="12" t="inlineStr">
        <is>
          <t>PDF p.142 (印刷頁 141)</t>
        </is>
      </c>
      <c r="F63" s="12" t="inlineStr">
        <is>
          <t>NOTES TO THE CONSOLIDATED FINANCIAL STATEMENTS For the year ended 31 March 2026 32. MATERIAL RELATED PARTY TRANSACTIONS a) KEY MANAGEMENT PERSONNEL EMOLUMENTS Emoluments for key management personnel, including amounts paid to the Company’s directors as disclosed in note 10 and certain of the highest paid employees as disclosed in note 11 are as follows: 2026 2025 HK$’000 HK$’000 Short-term employee benefits 2,697 2,697 Post-employment benefits 72 72 2,769 2,769 Total emoluments is include</t>
        </is>
      </c>
    </row>
    <row r="64">
      <c r="A64" s="8" t="inlineStr">
        <is>
          <t>Related Party Transactions</t>
        </is>
      </c>
      <c r="B64" s="8" t="inlineStr">
        <is>
          <t>關聯方交易</t>
        </is>
      </c>
      <c r="C64" s="8" t="inlineStr">
        <is>
          <t>low</t>
        </is>
      </c>
      <c r="D64" s="12" t="inlineStr">
        <is>
          <t>related party</t>
        </is>
      </c>
      <c r="E64" s="12" t="inlineStr">
        <is>
          <t>PDF p.145 (印刷頁 144)</t>
        </is>
      </c>
      <c r="F64" s="12" t="inlineStr">
        <is>
          <t>equivalents 87 33 759,030 522,189 Current liabilities Trade and other payables 10,961 10,007 Unconvertible bonds – – Amount due to a related party 2,150 2,150 Tax payable 8,168 8,168 Lease liabilities – – 21,279 20,325 Net current asset 737,751 501,864 Total assets less current liabilities 755,464 518,724 Non-current liabilities Interest-bearing borrowings 2,000 2,000 Lease liabilities 895 – NET ASSETS 752,569 516,724 EQUITY Equity attributable to owners of the Company Share capital 28 3,206 106,867 Reserves 30 749,363 409,857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9" topLeftCell="A30"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Inventories</t>
        </is>
      </c>
    </row>
    <row r="16">
      <c r="A16" s="8" t="inlineStr">
        <is>
          <t>Balance Sheet</t>
        </is>
      </c>
      <c r="B16" s="8" t="inlineStr">
        <is>
          <t>Goodwill</t>
        </is>
      </c>
    </row>
    <row r="17">
      <c r="A17" s="8" t="inlineStr">
        <is>
          <t>Balance Sheet</t>
        </is>
      </c>
      <c r="B17" s="8" t="inlineStr">
        <is>
          <t>Intangible Assets</t>
        </is>
      </c>
    </row>
    <row r="18">
      <c r="A18" s="8" t="inlineStr">
        <is>
          <t>Balance Sheet</t>
        </is>
      </c>
      <c r="B18" s="8" t="inlineStr">
        <is>
          <t>Total Liabilities</t>
        </is>
      </c>
    </row>
    <row r="19">
      <c r="A19" s="8" t="inlineStr">
        <is>
          <t>Balance Sheet</t>
        </is>
      </c>
      <c r="B19" s="8" t="inlineStr">
        <is>
          <t>Borrowings</t>
        </is>
      </c>
    </row>
    <row r="20">
      <c r="A20" s="8" t="inlineStr">
        <is>
          <t>Cash Flow</t>
        </is>
      </c>
      <c r="B20" s="8" t="inlineStr">
        <is>
          <t>Operating Cash Flow</t>
        </is>
      </c>
    </row>
    <row r="21">
      <c r="A21" s="8" t="inlineStr">
        <is>
          <t>Cash Flow</t>
        </is>
      </c>
      <c r="B21" s="8" t="inlineStr">
        <is>
          <t>Investing Cash Flow</t>
        </is>
      </c>
    </row>
    <row r="22">
      <c r="A22" s="8" t="inlineStr">
        <is>
          <t>Cash Flow</t>
        </is>
      </c>
      <c r="B22" s="8" t="inlineStr">
        <is>
          <t>Financing Cash Flow</t>
        </is>
      </c>
    </row>
    <row r="23">
      <c r="A23" s="8" t="inlineStr">
        <is>
          <t>Cash Flow</t>
        </is>
      </c>
      <c r="B23" s="8" t="inlineStr">
        <is>
          <t>Capital Expenditure</t>
        </is>
      </c>
    </row>
    <row r="26">
      <c r="A26" s="5" t="inlineStr">
        <is>
          <t>二、文字量過低的頁面(疑似掃描頁)</t>
        </is>
      </c>
    </row>
    <row r="27">
      <c r="A27" s="2" t="inlineStr">
        <is>
          <t>這些頁面幾乎抓不到文字,通常是掃描件或純圖表,建議人手翻閱或另行 OCR。</t>
        </is>
      </c>
    </row>
    <row r="29">
      <c r="A29" s="7" t="inlineStr">
        <is>
          <t>PDF 頁碼</t>
        </is>
      </c>
      <c r="B29" s="7" t="inlineStr">
        <is>
          <t>狀態</t>
        </is>
      </c>
    </row>
    <row r="30">
      <c r="A30" s="8" t="n">
        <v>1</v>
      </c>
      <c r="B30"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2026-08-30T14:16:48Z</dcterms:created>
  <dcterms:modified xsi:type="dcterms:W3CDTF">2026-08-30T14:16:48Z</dcterms:modified>
</cp:coreProperties>
</file>
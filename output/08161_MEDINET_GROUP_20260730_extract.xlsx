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f>
            </numRef>
          </cat>
          <val>
            <numRef>
              <f>'Chart 趨勢圖'!$B$5</f>
            </numRef>
          </val>
        </ser>
        <ser>
          <idx val="1"/>
          <order val="1"/>
          <tx>
            <strRef>
              <f>'Chart 趨勢圖'!C4</f>
            </strRef>
          </tx>
          <spPr>
            <a:ln>
              <a:prstDash val="solid"/>
            </a:ln>
          </spPr>
          <cat>
            <numRef>
              <f>'Chart 趨勢圖'!$A$5</f>
            </numRef>
          </cat>
          <val>
            <numRef>
              <f>'Chart 趨勢圖'!$C$5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08161_MEDINET_GROUP_20260730.pdf</t>
        </is>
      </c>
    </row>
    <row r="5">
      <c r="A5" s="3" t="inlineStr">
        <is>
          <t>產生時間 Generated</t>
        </is>
      </c>
      <c r="B5" s="4" t="inlineStr">
        <is>
          <t>2026-08-30 22:15</t>
        </is>
      </c>
    </row>
    <row r="6">
      <c r="A6" s="4" t="inlineStr"/>
      <c r="B6" s="4" t="inlineStr"/>
    </row>
    <row r="7">
      <c r="A7" s="3" t="inlineStr">
        <is>
          <t>總頁數 Total pages</t>
        </is>
      </c>
      <c r="B7" s="4" t="n">
        <v>114</v>
      </c>
    </row>
    <row r="8">
      <c r="A8" s="3" t="inlineStr">
        <is>
          <t>已擷取字元 Characters extracted</t>
        </is>
      </c>
      <c r="B8" s="4" t="n">
        <v>257114</v>
      </c>
    </row>
    <row r="9">
      <c r="A9" s="3" t="inlineStr">
        <is>
          <t>含表格頁數 Pages with tables</t>
        </is>
      </c>
      <c r="B9" s="4" t="n">
        <v>0</v>
      </c>
    </row>
    <row r="10">
      <c r="A10" s="3" t="inlineStr">
        <is>
          <t>需人手/OCR 頁數 Pages needing OCR</t>
        </is>
      </c>
      <c r="B10" s="4" t="n">
        <v>2</v>
      </c>
    </row>
    <row r="11">
      <c r="A11" s="4" t="inlineStr"/>
      <c r="B11" s="4" t="inlineStr"/>
    </row>
    <row r="12">
      <c r="A12" s="3" t="inlineStr">
        <is>
          <t>估值參數擷取筆數 Valuation parameters</t>
        </is>
      </c>
      <c r="B12" s="4" t="n">
        <v>2</v>
      </c>
    </row>
    <row r="13">
      <c r="A13" s="3" t="inlineStr">
        <is>
          <t>財務科目擷取筆數 Financial line items</t>
        </is>
      </c>
      <c r="B13" s="4" t="n">
        <v>13</v>
      </c>
    </row>
    <row r="14">
      <c r="A14" s="3" t="inlineStr">
        <is>
          <t>主題段落擷取筆數 Topic extracts</t>
        </is>
      </c>
      <c r="B14" s="4" t="n">
        <v>53</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23,038 − 27,995 = -4,957</t>
        </is>
      </c>
    </row>
    <row r="20">
      <c r="A20" s="6" t="inlineStr">
        <is>
          <t>✓ 三大報表應相鄰</t>
        </is>
      </c>
      <c r="B20" s="4" t="inlineStr">
        <is>
          <t>Income Statement: p.45、Balance Sheet: p.46、Cash Flow: p.49(相距 4 頁)</t>
        </is>
      </c>
    </row>
    <row r="22">
      <c r="A22" s="5" t="inlineStr">
        <is>
          <t>方法論 Methodology</t>
        </is>
      </c>
    </row>
    <row r="23">
      <c r="A23" s="4" t="inlineStr">
        <is>
          <t>1. 逐頁擷取文字,全程保留 PDF 頁碼與年報印刷頁碼(可追溯性)。</t>
        </is>
      </c>
    </row>
    <row r="24">
      <c r="A24" s="4" t="inlineStr">
        <is>
          <t>2. 規則層(正則/關鍵字)先把全份文件縮減為少數相關頁面 —— 解決「文件太大」。</t>
        </is>
      </c>
    </row>
    <row r="25">
      <c r="A25" s="4" t="inlineStr">
        <is>
          <t>3. 數字由正則精確擷取並做合理性檢查,不由語言模型生成 —— 解決「準確度」。</t>
        </is>
      </c>
    </row>
    <row r="26">
      <c r="A26" s="4" t="inlineStr">
        <is>
          <t>4. AI 僅在縮減後的頁面上做語意判斷,且輸出頁碼須通過驗證才保留。</t>
        </is>
      </c>
    </row>
    <row r="27">
      <c r="A27" s="4" t="inlineStr">
        <is>
          <t>5. 所有結果附來源頁碼與原文行,供估值師覆核。信心度為 Low 者建議人手確認。</t>
        </is>
      </c>
    </row>
    <row r="28">
      <c r="A28"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12.6</v>
      </c>
      <c r="D5" s="10" t="n">
        <v>17.3</v>
      </c>
      <c r="E5" s="11" t="inlineStr">
        <is>
          <t>12.6% to 17.3%</t>
        </is>
      </c>
      <c r="F5" s="11" t="inlineStr">
        <is>
          <t>High</t>
        </is>
      </c>
      <c r="G5" s="11" t="inlineStr">
        <is>
          <t>PDF p.87 (印刷頁 86)</t>
        </is>
      </c>
      <c r="H5" s="11" t="inlineStr">
        <is>
          <t>ment of the respective subsidiary covering the following 5 years with a pre-tax discount rate is 12.6% to 17.3% (2025: 11.5% to 24.4%) as at 31 March 2026, respectively. The annual growth rate used is 1% to 5% (2025: 1% to 5%), which is based on the hum</t>
        </is>
      </c>
    </row>
    <row r="6">
      <c r="A6" s="8" t="inlineStr">
        <is>
          <t>Discount Rate</t>
        </is>
      </c>
      <c r="B6" s="8" t="inlineStr">
        <is>
          <t>折現率</t>
        </is>
      </c>
      <c r="C6" s="9" t="n">
        <v>3.8</v>
      </c>
      <c r="D6" s="10" t="n">
        <v>3.8</v>
      </c>
      <c r="E6" s="11" t="inlineStr">
        <is>
          <t>3.80%</t>
        </is>
      </c>
      <c r="F6" s="11" t="inlineStr">
        <is>
          <t>High</t>
        </is>
      </c>
      <c r="G6" s="11" t="inlineStr">
        <is>
          <t>PDF p.101 (印刷頁 100)</t>
        </is>
      </c>
      <c r="H6" s="11" t="inlineStr">
        <is>
          <t>period over which the management has projected the projection is 42 months, the discount rate used is 3.80%. Based on the discounted cash flow projection, the fair value of consideration receivable is approximately of HK$13,429,000 and recognised in “ot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83397</v>
      </c>
      <c r="D5" s="13" t="n">
        <v>106390</v>
      </c>
      <c r="E5" s="14">
        <f>IF(ISERROR((C5-D5)/ABS(D5)),"",(C5-D5)/ABS(D5))</f>
        <v>-0.21611993608421845</v>
      </c>
      <c r="F5" s="11" t="inlineStr">
        <is>
          <t>PDF p.45 (印刷頁 44)</t>
        </is>
      </c>
      <c r="G5" s="11" t="inlineStr">
        <is>
          <t>Revenue 5 83,397 106,390</t>
        </is>
      </c>
    </row>
    <row r="6">
      <c r="A6" s="8" t="inlineStr">
        <is>
          <t>Income Statement</t>
        </is>
      </c>
      <c r="B6" s="8" t="inlineStr">
        <is>
          <t>Depreciation</t>
        </is>
      </c>
      <c r="C6" s="12" t="n">
        <v>-803</v>
      </c>
      <c r="D6" s="13" t="n">
        <v>-1255</v>
      </c>
      <c r="E6" s="14">
        <f>IF(ISERROR((C6-D6)/ABS(D6)),"",(C6-D6)/ABS(D6))</f>
        <v>0.3601593625498008</v>
      </c>
      <c r="F6" s="11" t="inlineStr">
        <is>
          <t>PDF p.45 (印刷頁 44)</t>
        </is>
      </c>
      <c r="G6" s="11" t="inlineStr">
        <is>
          <t>Depreciation of property, plant and equipment 9 (803) (1,255)</t>
        </is>
      </c>
    </row>
    <row r="7">
      <c r="A7" s="8" t="inlineStr">
        <is>
          <t>Income Statement</t>
        </is>
      </c>
      <c r="B7" s="8" t="inlineStr">
        <is>
          <t>Finance Costs</t>
        </is>
      </c>
      <c r="C7" s="12" t="n">
        <v>-482</v>
      </c>
      <c r="D7" s="13" t="n">
        <v>-655</v>
      </c>
      <c r="E7" s="14">
        <f>IF(ISERROR((C7-D7)/ABS(D7)),"",(C7-D7)/ABS(D7))</f>
        <v>0.2641221374045801</v>
      </c>
      <c r="F7" s="11" t="inlineStr">
        <is>
          <t>PDF p.45 (印刷頁 44)</t>
        </is>
      </c>
      <c r="G7" s="11" t="inlineStr">
        <is>
          <t>Finance costs 8 (482) (655)</t>
        </is>
      </c>
    </row>
    <row r="8">
      <c r="A8" s="8" t="inlineStr">
        <is>
          <t>Income Statement</t>
        </is>
      </c>
      <c r="B8" s="8" t="inlineStr">
        <is>
          <t>Income Tax</t>
        </is>
      </c>
      <c r="C8" s="12" t="n">
        <v>-8</v>
      </c>
      <c r="D8" s="13" t="n">
        <v>-33</v>
      </c>
      <c r="E8" s="14">
        <f>IF(ISERROR((C8-D8)/ABS(D8)),"",(C8-D8)/ABS(D8))</f>
        <v>0.7575757575757576</v>
      </c>
      <c r="F8" s="11" t="inlineStr">
        <is>
          <t>PDF p.45 (印刷頁 44)</t>
        </is>
      </c>
      <c r="G8" s="11" t="inlineStr">
        <is>
          <t>Income tax expense 10 (8) (33)</t>
        </is>
      </c>
    </row>
    <row r="9">
      <c r="A9" s="8" t="inlineStr">
        <is>
          <t>Balance Sheet</t>
        </is>
      </c>
      <c r="B9" s="8" t="inlineStr">
        <is>
          <t>Property Plant and Equipment</t>
        </is>
      </c>
      <c r="C9" s="12" t="n">
        <v>1586</v>
      </c>
      <c r="D9" s="13" t="n">
        <v>2136</v>
      </c>
      <c r="E9" s="14">
        <f>IF(ISERROR((C9-D9)/ABS(D9)),"",(C9-D9)/ABS(D9))</f>
        <v>-0.25749063670411987</v>
      </c>
      <c r="F9" s="11" t="inlineStr">
        <is>
          <t>PDF p.46 (印刷頁 45)</t>
        </is>
      </c>
      <c r="G9" s="11" t="inlineStr">
        <is>
          <t>Property, plant and equipment 14 1,586 2,136</t>
        </is>
      </c>
    </row>
    <row r="10">
      <c r="A10" s="8" t="inlineStr">
        <is>
          <t>Balance Sheet</t>
        </is>
      </c>
      <c r="B10" s="8" t="inlineStr">
        <is>
          <t>Goodwill</t>
        </is>
      </c>
      <c r="C10" s="12" t="n">
        <v>0</v>
      </c>
      <c r="D10" s="13" t="n">
        <v>0</v>
      </c>
      <c r="E10" s="14" t="str">
        <f>IF(ISERROR((C10-D10)/ABS(D10)),"",(C10-D10)/ABS(D10))</f>
        <v/>
      </c>
      <c r="F10" s="11" t="inlineStr">
        <is>
          <t>PDF p.46 (印刷頁 45)</t>
        </is>
      </c>
      <c r="G10" s="11" t="inlineStr">
        <is>
          <t>Goodwill 16 – –</t>
        </is>
      </c>
    </row>
    <row r="11">
      <c r="A11" s="8" t="inlineStr">
        <is>
          <t>Balance Sheet</t>
        </is>
      </c>
      <c r="B11" s="8" t="inlineStr">
        <is>
          <t>Inventories</t>
        </is>
      </c>
      <c r="C11" s="12" t="n">
        <v>514</v>
      </c>
      <c r="D11" s="13" t="n">
        <v>620</v>
      </c>
      <c r="E11" s="14">
        <f>IF(ISERROR((C11-D11)/ABS(D11)),"",(C11-D11)/ABS(D11))</f>
        <v>-0.17096774193548386</v>
      </c>
      <c r="F11" s="11" t="inlineStr">
        <is>
          <t>PDF p.46 (印刷頁 45)</t>
        </is>
      </c>
      <c r="G11" s="11" t="inlineStr">
        <is>
          <t>Inventories 18 514 620</t>
        </is>
      </c>
    </row>
    <row r="12">
      <c r="A12" s="8" t="inlineStr">
        <is>
          <t>Balance Sheet</t>
        </is>
      </c>
      <c r="B12" s="8" t="inlineStr">
        <is>
          <t>Total Current Assets</t>
        </is>
      </c>
      <c r="C12" s="12" t="n">
        <v>23038</v>
      </c>
      <c r="D12" s="13" t="n">
        <v>26900</v>
      </c>
      <c r="E12" s="14">
        <f>IF(ISERROR((C12-D12)/ABS(D12)),"",(C12-D12)/ABS(D12))</f>
        <v>-0.14356877323420075</v>
      </c>
      <c r="F12" s="11" t="inlineStr">
        <is>
          <t>PDF p.46 (印刷頁 45)</t>
        </is>
      </c>
      <c r="G12" s="11" t="inlineStr">
        <is>
          <t>[current assets 區段小計] 23,038 26,900</t>
        </is>
      </c>
    </row>
    <row r="13">
      <c r="A13" s="8" t="inlineStr">
        <is>
          <t>Balance Sheet</t>
        </is>
      </c>
      <c r="B13" s="8" t="inlineStr">
        <is>
          <t>Total Current Liabilities</t>
        </is>
      </c>
      <c r="C13" s="12" t="n">
        <v>27995</v>
      </c>
      <c r="D13" s="13" t="n">
        <v>36529</v>
      </c>
      <c r="E13" s="14">
        <f>IF(ISERROR((C13-D13)/ABS(D13)),"",(C13-D13)/ABS(D13))</f>
        <v>-0.23362260122094775</v>
      </c>
      <c r="F13" s="11" t="inlineStr">
        <is>
          <t>PDF p.46 (印刷頁 45)</t>
        </is>
      </c>
      <c r="G13" s="11" t="inlineStr">
        <is>
          <t>[current liabilities 區段小計] 27,995 36,529</t>
        </is>
      </c>
    </row>
    <row r="14">
      <c r="A14" s="8" t="inlineStr">
        <is>
          <t>Cash Flow</t>
        </is>
      </c>
      <c r="B14" s="8" t="inlineStr">
        <is>
          <t>Operating Cash Flow</t>
        </is>
      </c>
      <c r="C14" s="12" t="n">
        <v>1118</v>
      </c>
      <c r="D14" s="13" t="n">
        <v>5114</v>
      </c>
      <c r="E14" s="14">
        <f>IF(ISERROR((C14-D14)/ABS(D14)),"",(C14-D14)/ABS(D14))</f>
        <v>-0.7813844348846304</v>
      </c>
      <c r="F14" s="11" t="inlineStr">
        <is>
          <t>PDF p.49 (印刷頁 48)</t>
        </is>
      </c>
      <c r="G14" s="11" t="inlineStr">
        <is>
          <t>NET CASH GENERATED FROM OPERATING ACTIVITIES 1,118 5,114</t>
        </is>
      </c>
    </row>
    <row r="15">
      <c r="A15" s="8" t="inlineStr">
        <is>
          <t>Cash Flow</t>
        </is>
      </c>
      <c r="B15" s="8" t="inlineStr">
        <is>
          <t>Capital Expenditure</t>
        </is>
      </c>
      <c r="C15" s="12" t="n">
        <v>-253</v>
      </c>
      <c r="D15" s="13" t="n">
        <v>-292</v>
      </c>
      <c r="E15" s="14">
        <f>IF(ISERROR((C15-D15)/ABS(D15)),"",(C15-D15)/ABS(D15))</f>
        <v>0.13356164383561644</v>
      </c>
      <c r="F15" s="11" t="inlineStr">
        <is>
          <t>PDF p.49 (印刷頁 48)</t>
        </is>
      </c>
      <c r="G15" s="11" t="inlineStr">
        <is>
          <t>Purchase of property, plant and equipment (253) (292)</t>
        </is>
      </c>
    </row>
    <row r="16">
      <c r="A16" s="8" t="inlineStr">
        <is>
          <t>Cash Flow</t>
        </is>
      </c>
      <c r="B16" s="8" t="inlineStr">
        <is>
          <t>Investing Cash Flow</t>
        </is>
      </c>
      <c r="C16" s="12" t="n">
        <v>3785</v>
      </c>
      <c r="D16" s="13" t="n">
        <v>184</v>
      </c>
      <c r="E16" s="14">
        <f>IF(ISERROR((C16-D16)/ABS(D16)),"",(C16-D16)/ABS(D16))</f>
        <v>19.570652173913043</v>
      </c>
      <c r="F16" s="11" t="inlineStr">
        <is>
          <t>PDF p.49 (印刷頁 48)</t>
        </is>
      </c>
      <c r="G16" s="11" t="inlineStr">
        <is>
          <t>NET CASH GENERATED FROM INVESTING ACTIVITIES 3,785 184</t>
        </is>
      </c>
    </row>
    <row r="17">
      <c r="A17" s="8" t="inlineStr">
        <is>
          <t>Cash Flow</t>
        </is>
      </c>
      <c r="B17" s="8" t="inlineStr">
        <is>
          <t>Financing Cash Flow</t>
        </is>
      </c>
      <c r="C17" s="12" t="n">
        <v>-8609</v>
      </c>
      <c r="D17" s="13" t="n">
        <v>-8666</v>
      </c>
      <c r="E17" s="14">
        <f>IF(ISERROR((C17-D17)/ABS(D17)),"",(C17-D17)/ABS(D17))</f>
        <v>0.006577429033002538</v>
      </c>
      <c r="F17" s="11" t="inlineStr">
        <is>
          <t>PDF p.49 (印刷頁 48)</t>
        </is>
      </c>
      <c r="G17" s="11" t="inlineStr">
        <is>
          <t>NET CASH USED IN FINANCING ACTIVITIES (8,609) (8,666)</t>
        </is>
      </c>
    </row>
    <row r="19">
      <c r="A19"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t="str">
        <f>IF(ISERROR(INDEX('Financials 財務數據'!$C$5:$C$17,MATCH("Gross Profit",'Financials 財務數據'!$B$5:$B$17,0))/INDEX('Financials 財務數據'!$C$5:$C$17,MATCH("Revenue",'Financials 財務數據'!$B$5:$B$17,0))),"n/a",INDEX('Financials 財務數據'!$C$5:$C$17,MATCH("Gross Profit",'Financials 財務數據'!$B$5:$B$17,0))/INDEX('Financials 財務數據'!$C$5:$C$17,MATCH("Revenue",'Financials 財務數據'!$B$5:$B$17,0)))</f>
        <v>n/a</v>
      </c>
      <c r="C5" s="15" t="str">
        <f>IF(ISERROR(INDEX('Financials 財務數據'!$D$5:$D$17,MATCH("Gross Profit",'Financials 財務數據'!$B$5:$B$17,0))/INDEX('Financials 財務數據'!$D$5:$D$17,MATCH("Revenue",'Financials 財務數據'!$B$5:$B$17,0))),"n/a",INDEX('Financials 財務數據'!$D$5:$D$17,MATCH("Gross Profit",'Financials 財務數據'!$B$5:$B$17,0))/INDEX('Financials 財務數據'!$D$5:$D$17,MATCH("Revenue",'Financials 財務數據'!$B$5:$B$17,0)))</f>
        <v>n/a</v>
      </c>
      <c r="D5" s="2" t="inlineStr">
        <is>
          <t>毛利 ÷ 收入</t>
        </is>
      </c>
    </row>
    <row r="6">
      <c r="A6" s="4" t="inlineStr">
        <is>
          <t>Net Margin 淨利率</t>
        </is>
      </c>
      <c r="B6" s="15" t="str">
        <f>IF(ISERROR(INDEX('Financials 財務數據'!$C$5:$C$17,MATCH("Profit for the Year",'Financials 財務數據'!$B$5:$B$17,0))/INDEX('Financials 財務數據'!$C$5:$C$17,MATCH("Revenue",'Financials 財務數據'!$B$5:$B$17,0))),"n/a",INDEX('Financials 財務數據'!$C$5:$C$17,MATCH("Profit for the Year",'Financials 財務數據'!$B$5:$B$17,0))/INDEX('Financials 財務數據'!$C$5:$C$17,MATCH("Revenue",'Financials 財務數據'!$B$5:$B$17,0)))</f>
        <v>n/a</v>
      </c>
      <c r="C6" s="15" t="str">
        <f>IF(ISERROR(INDEX('Financials 財務數據'!$D$5:$D$17,MATCH("Profit for the Year",'Financials 財務數據'!$B$5:$B$17,0))/INDEX('Financials 財務數據'!$D$5:$D$17,MATCH("Revenue",'Financials 財務數據'!$B$5:$B$17,0))),"n/a",INDEX('Financials 財務數據'!$D$5:$D$17,MATCH("Profit for the Year",'Financials 財務數據'!$B$5:$B$17,0))/INDEX('Financials 財務數據'!$D$5:$D$17,MATCH("Revenue",'Financials 財務數據'!$B$5:$B$17,0)))</f>
        <v>n/a</v>
      </c>
      <c r="D6" s="2" t="inlineStr">
        <is>
          <t>年內溢利 ÷ 收入</t>
        </is>
      </c>
    </row>
    <row r="7">
      <c r="A7" s="4" t="inlineStr">
        <is>
          <t>Current Ratio 流動比率</t>
        </is>
      </c>
      <c r="B7" s="16">
        <f>IF(ISERROR(INDEX('Financials 財務數據'!$C$5:$C$17,MATCH("Total Current Assets",'Financials 財務數據'!$B$5:$B$17,0))/INDEX('Financials 財務數據'!$C$5:$C$17,MATCH("Total Current Liabilities",'Financials 財務數據'!$B$5:$B$17,0))),"n/a",INDEX('Financials 財務數據'!$C$5:$C$17,MATCH("Total Current Assets",'Financials 財務數據'!$B$5:$B$17,0))/INDEX('Financials 財務數據'!$C$5:$C$17,MATCH("Total Current Liabilities",'Financials 財務數據'!$B$5:$B$17,0)))</f>
        <v>0.8229326665475978</v>
      </c>
      <c r="C7" s="16">
        <f>IF(ISERROR(INDEX('Financials 財務數據'!$D$5:$D$17,MATCH("Total Current Assets",'Financials 財務數據'!$B$5:$B$17,0))/INDEX('Financials 財務數據'!$D$5:$D$17,MATCH("Total Current Liabilities",'Financials 財務數據'!$B$5:$B$17,0))),"n/a",INDEX('Financials 財務數據'!$D$5:$D$17,MATCH("Total Current Assets",'Financials 財務數據'!$B$5:$B$17,0))/INDEX('Financials 財務數據'!$D$5:$D$17,MATCH("Total Current Liabilities",'Financials 財務數據'!$B$5:$B$17,0)))</f>
        <v>0.7364012154726381</v>
      </c>
      <c r="D7" s="2" t="inlineStr">
        <is>
          <t>流動資產 ÷ 流動負債</t>
        </is>
      </c>
    </row>
    <row r="8">
      <c r="A8" s="4" t="inlineStr">
        <is>
          <t>Debt / Equity 負債權益比</t>
        </is>
      </c>
      <c r="B8" s="16" t="str">
        <f>IF(ISERROR(INDEX('Financials 財務數據'!$C$5:$C$17,MATCH("Total Liabilities",'Financials 財務數據'!$B$5:$B$17,0))/INDEX('Financials 財務數據'!$C$5:$C$17,MATCH("Total Equity",'Financials 財務數據'!$B$5:$B$17,0))),"n/a",INDEX('Financials 財務數據'!$C$5:$C$17,MATCH("Total Liabilities",'Financials 財務數據'!$B$5:$B$17,0))/INDEX('Financials 財務數據'!$C$5:$C$17,MATCH("Total Equity",'Financials 財務數據'!$B$5:$B$17,0)))</f>
        <v>n/a</v>
      </c>
      <c r="C8" s="16" t="str">
        <f>IF(ISERROR(INDEX('Financials 財務數據'!$D$5:$D$17,MATCH("Total Liabilities",'Financials 財務數據'!$B$5:$B$17,0))/INDEX('Financials 財務數據'!$D$5:$D$17,MATCH("Total Equity",'Financials 財務數據'!$B$5:$B$17,0))),"n/a",INDEX('Financials 財務數據'!$D$5:$D$17,MATCH("Total Liabilities",'Financials 財務數據'!$B$5:$B$17,0))/INDEX('Financials 財務數據'!$D$5:$D$17,MATCH("Total Equity",'Financials 財務數據'!$B$5:$B$17,0)))</f>
        <v>n/a</v>
      </c>
      <c r="D8" s="2" t="inlineStr">
        <is>
          <t>總負債 ÷ 總權益</t>
        </is>
      </c>
    </row>
    <row r="9">
      <c r="A9" s="4" t="inlineStr">
        <is>
          <t>Goodwill / Total Assets</t>
        </is>
      </c>
      <c r="B9" s="15" t="str">
        <f>IF(ISERROR(INDEX('Financials 財務數據'!$C$5:$C$17,MATCH("Goodwill",'Financials 財務數據'!$B$5:$B$17,0))/INDEX('Financials 財務數據'!$C$5:$C$17,MATCH("Total Assets",'Financials 財務數據'!$B$5:$B$17,0))),"n/a",INDEX('Financials 財務數據'!$C$5:$C$17,MATCH("Goodwill",'Financials 財務數據'!$B$5:$B$17,0))/INDEX('Financials 財務數據'!$C$5:$C$17,MATCH("Total Assets",'Financials 財務數據'!$B$5:$B$17,0)))</f>
        <v>n/a</v>
      </c>
      <c r="C9" s="15" t="str">
        <f>IF(ISERROR(INDEX('Financials 財務數據'!$D$5:$D$17,MATCH("Goodwill",'Financials 財務數據'!$B$5:$B$17,0))/INDEX('Financials 財務數據'!$D$5:$D$17,MATCH("Total Assets",'Financials 財務數據'!$B$5:$B$17,0))),"n/a",INDEX('Financials 財務數據'!$D$5:$D$17,MATCH("Goodwill",'Financials 財務數據'!$B$5:$B$17,0))/INDEX('Financials 財務數據'!$D$5:$D$17,MATCH("Total Assets",'Financials 財務數據'!$B$5:$B$17,0)))</f>
        <v>n/a</v>
      </c>
      <c r="D9" s="2" t="inlineStr">
        <is>
          <t>商譽佔總資產比重 — 減值風險指標</t>
        </is>
      </c>
    </row>
    <row r="10">
      <c r="A10" s="4" t="inlineStr">
        <is>
          <t>Intangibles / Total Assets</t>
        </is>
      </c>
      <c r="B10" s="15" t="str">
        <f>IF(ISERROR(INDEX('Financials 財務數據'!$C$5:$C$17,MATCH("Intangible Assets",'Financials 財務數據'!$B$5:$B$17,0))/INDEX('Financials 財務數據'!$C$5:$C$17,MATCH("Total Assets",'Financials 財務數據'!$B$5:$B$17,0))),"n/a",INDEX('Financials 財務數據'!$C$5:$C$17,MATCH("Intangible Assets",'Financials 財務數據'!$B$5:$B$17,0))/INDEX('Financials 財務數據'!$C$5:$C$17,MATCH("Total Assets",'Financials 財務數據'!$B$5:$B$17,0)))</f>
        <v>n/a</v>
      </c>
      <c r="C10" s="15" t="str">
        <f>IF(ISERROR(INDEX('Financials 財務數據'!$D$5:$D$17,MATCH("Intangible Assets",'Financials 財務數據'!$B$5:$B$17,0))/INDEX('Financials 財務數據'!$D$5:$D$17,MATCH("Total Assets",'Financials 財務數據'!$B$5:$B$17,0))),"n/a",INDEX('Financials 財務數據'!$D$5:$D$17,MATCH("Intangible Assets",'Financials 財務數據'!$B$5:$B$17,0))/INDEX('Financials 財務數據'!$D$5:$D$17,MATCH("Total Assets",'Financials 財務數據'!$B$5:$B$17,0)))</f>
        <v>n/a</v>
      </c>
      <c r="D10" s="2" t="inlineStr">
        <is>
          <t>無形資產佔比</t>
        </is>
      </c>
    </row>
    <row r="11">
      <c r="A11" s="4" t="inlineStr">
        <is>
          <t>ROE 股本回報率</t>
        </is>
      </c>
      <c r="B11" s="15" t="str">
        <f>IF(ISERROR(INDEX('Financials 財務數據'!$C$5:$C$17,MATCH("Profit for the Year",'Financials 財務數據'!$B$5:$B$17,0))/INDEX('Financials 財務數據'!$C$5:$C$17,MATCH("Total Equity",'Financials 財務數據'!$B$5:$B$17,0))),"n/a",INDEX('Financials 財務數據'!$C$5:$C$17,MATCH("Profit for the Year",'Financials 財務數據'!$B$5:$B$17,0))/INDEX('Financials 財務數據'!$C$5:$C$17,MATCH("Total Equity",'Financials 財務數據'!$B$5:$B$17,0)))</f>
        <v>n/a</v>
      </c>
      <c r="C11" s="15" t="str">
        <f>IF(ISERROR(INDEX('Financials 財務數據'!$D$5:$D$17,MATCH("Profit for the Year",'Financials 財務數據'!$B$5:$B$17,0))/INDEX('Financials 財務數據'!$D$5:$D$17,MATCH("Total Equity",'Financials 財務數據'!$B$5:$B$17,0))),"n/a",INDEX('Financials 財務數據'!$D$5:$D$17,MATCH("Profit for the Year",'Financials 財務數據'!$B$5:$B$17,0))/INDEX('Financials 財務數據'!$D$5:$D$17,MATCH("Total Equity",'Financials 財務數據'!$B$5:$B$17,0)))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106390</v>
      </c>
      <c r="C5" s="18" t="n">
        <v>83397</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56"/>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level 1</t>
        </is>
      </c>
      <c r="E4" s="11" t="inlineStr">
        <is>
          <t>PDF p.31 (印刷頁 30)</t>
        </is>
      </c>
      <c r="F4" s="11" t="inlineStr">
        <is>
          <t>lodged for registration with the Company’s Hong Kong branch share registrar and transfer office, Tricor Investor Services Limited at Level 17, Far East Finance Centre, 16 Harcourt Road, Hong Kong not later than 4:30 p.m. on 27 August 2026. CONTINGENT LIABILITIES, LEGAL AND POTENTIAL PROCEEDINGS As at 31 March 2026, the Group did not have any material contingent liabilities, legal proceedings or potential proceedings. GOING CONCERN Based on the current financial position and financing facilities available, the Group has sufficie</t>
        </is>
      </c>
    </row>
    <row r="5">
      <c r="A5" s="8" t="inlineStr">
        <is>
          <t>Impairment Testing</t>
        </is>
      </c>
      <c r="B5" s="8" t="inlineStr">
        <is>
          <t>減值測試</t>
        </is>
      </c>
      <c r="C5" s="19" t="inlineStr">
        <is>
          <t>high</t>
        </is>
      </c>
      <c r="D5" s="11" t="inlineStr">
        <is>
          <t>impairment loss</t>
        </is>
      </c>
      <c r="E5" s="11" t="inlineStr">
        <is>
          <t>PDF p.41 (印刷頁 40)</t>
        </is>
      </c>
      <c r="F5" s="11" t="inlineStr">
        <is>
          <t>equired to write down these assets to their recoverable amounts. As disclosed in note 7 to the consolidated financial statements, no impairment loss was provided for property, plant and equipment (2025: nil) and right-of-use assets for the year ended 31 March 2026 (2025: nil). 40 MediNet Group Limited / Annual Report 2026</t>
        </is>
      </c>
    </row>
    <row r="6">
      <c r="A6" s="8" t="inlineStr">
        <is>
          <t>Impairment Testing</t>
        </is>
      </c>
      <c r="B6" s="8" t="inlineStr">
        <is>
          <t>減值測試</t>
        </is>
      </c>
      <c r="C6" s="19" t="inlineStr">
        <is>
          <t>high</t>
        </is>
      </c>
      <c r="D6" s="11" t="inlineStr">
        <is>
          <t>impairment loss</t>
        </is>
      </c>
      <c r="E6" s="11" t="inlineStr">
        <is>
          <t>PDF p.49 (印刷頁 48)</t>
        </is>
      </c>
      <c r="F6" s="11" t="inlineStr">
        <is>
          <t>7,533 Interests on lease liabilities 271 380 Interests on bank borrowing 211 275 Gain on disposal of a subsidiary – (12,754) Impairment losses reversed arising from Expected Credit Losses (“ECL”) on account receivables, net (14) (20) Impairment losses recognised arising from ECL on consideration receivables 35 189 Provision for legal claims – 34 Provision for long service payment 66 160 Bad debts written off – 985 Operating cash flows before movements in working capital 4,843 6,023 Decrease (increase) in inv</t>
        </is>
      </c>
    </row>
    <row r="7">
      <c r="A7" s="8" t="inlineStr">
        <is>
          <t>Impairment Testing</t>
        </is>
      </c>
      <c r="B7" s="8" t="inlineStr">
        <is>
          <t>減值測試</t>
        </is>
      </c>
      <c r="C7" s="19" t="inlineStr">
        <is>
          <t>high</t>
        </is>
      </c>
      <c r="D7" s="11" t="inlineStr">
        <is>
          <t>recoverable amount</t>
        </is>
      </c>
      <c r="E7" s="11" t="inlineStr">
        <is>
          <t>PDF p.52 (印刷頁 51)</t>
        </is>
      </c>
      <c r="F7" s="11" t="inlineStr">
        <is>
          <t>ncern, adjustments would have to be made to the consolidated financial statements to adjust the value of the Group’s assets to their recoverable amounts, to provide for any further liabilities which might arise and to reclassify non-current assets as current assets. The effects of these potential adjustments have not been reflected in the consolidated financial statements. The consolidated financial statements have been prepared in accordance with HKFRS Accounting Standards as issued by the HKICPA. In addition, the consolidated</t>
        </is>
      </c>
    </row>
    <row r="8">
      <c r="A8" s="8" t="inlineStr">
        <is>
          <t>Impairment Testing</t>
        </is>
      </c>
      <c r="B8" s="8" t="inlineStr">
        <is>
          <t>減值測試</t>
        </is>
      </c>
      <c r="C8" s="19" t="inlineStr">
        <is>
          <t>high</t>
        </is>
      </c>
      <c r="D8" s="11" t="inlineStr">
        <is>
          <t>impairment test</t>
        </is>
      </c>
      <c r="E8" s="11" t="inlineStr">
        <is>
          <t>PDF p.54 (印刷頁 53)</t>
        </is>
      </c>
      <c r="F8" s="11" t="inlineStr">
        <is>
          <t>ate of acquisition of the business (see the accounting policy above) less accumulated impairment losses, if any. For the purposes of impairment testing, goodwill is allocated to each of the Group’s cash generating units (“CGUs”) (or group of CGUs) that is expected to benefit from the synergies of the combination, which represent the lowest level at which the goodwill is monitored for internal management purposes and not larger than an operating segment. A CGU (or group of CGUs) to which goodwill has been allocated is tested for</t>
        </is>
      </c>
    </row>
    <row r="9">
      <c r="A9" s="8" t="inlineStr">
        <is>
          <t>Impairment Testing</t>
        </is>
      </c>
      <c r="B9" s="8" t="inlineStr">
        <is>
          <t>減值測試</t>
        </is>
      </c>
      <c r="C9" s="19" t="inlineStr">
        <is>
          <t>high</t>
        </is>
      </c>
      <c r="D9" s="11" t="inlineStr">
        <is>
          <t>impairment loss</t>
        </is>
      </c>
      <c r="E9" s="11" t="inlineStr">
        <is>
          <t>PDF p.55 (印刷頁 54)</t>
        </is>
      </c>
      <c r="F9" s="11" t="inlineStr">
        <is>
          <t>oses are stated in the consolidated statement of financial position at cost less subsequent accumulated depreciation and accumulated impairment losses, if any. Depreciation of property, plant and equipment is recognised so as to write off the cost less their residual values over their estimated useful lives, using the straight-line method. The estimated useful lives, residual values and depreciation method are reviewed at the end of each reporting period, with the effect of any changes in estimate accounted for on a prospective</t>
        </is>
      </c>
    </row>
    <row r="10">
      <c r="A10" s="8" t="inlineStr">
        <is>
          <t>Impairment Testing</t>
        </is>
      </c>
      <c r="B10" s="8" t="inlineStr">
        <is>
          <t>減值測試</t>
        </is>
      </c>
      <c r="C10" s="19" t="inlineStr">
        <is>
          <t>high</t>
        </is>
      </c>
      <c r="D10" s="11" t="inlineStr">
        <is>
          <t>impairment loss</t>
        </is>
      </c>
      <c r="E10" s="11" t="inlineStr">
        <is>
          <t>PDF p.56 (印刷頁 55)</t>
        </is>
      </c>
      <c r="F10" s="11" t="inlineStr">
        <is>
          <t>n required by the terms and conditions of the lease. Right-of-use assets are measured at cost, less any accumulated depreciation and impairment loss, and adjusted for any measurement at lease liabilities. Right-of-use assets in which the Group is reasonably certain to obtain ownership of the underlying leased assets at the end of the lease term are depreciated from commencement date to the end of the useful life. Otherwise, right-of-use assets are depreciated on a straight-line basis over the shorter of its estimated useful lif</t>
        </is>
      </c>
    </row>
    <row r="11">
      <c r="A11" s="8" t="inlineStr">
        <is>
          <t>Impairment Testing</t>
        </is>
      </c>
      <c r="B11" s="8" t="inlineStr">
        <is>
          <t>減值測試</t>
        </is>
      </c>
      <c r="C11" s="19" t="inlineStr">
        <is>
          <t>high</t>
        </is>
      </c>
      <c r="D11" s="11" t="inlineStr">
        <is>
          <t>impairment loss</t>
        </is>
      </c>
      <c r="E11" s="11" t="inlineStr">
        <is>
          <t>PDF p.64 (印刷頁 63)</t>
        </is>
      </c>
      <c r="F11" s="11" t="inlineStr">
        <is>
          <t>ssets and intangible assets with finite useful lives to determine whether there is any indication that these assets have suffered an impairment loss. If any such indication exists, the recoverable amount of the relevant asset is estimated in order to determine the extent of the impairment loss, if any. Intangible assets with indefinite useful lives and intangible assets and not yet available for use are tested for impairment at least annually, and whenever there is an indication that they may be impaired. The recoverable amount</t>
        </is>
      </c>
    </row>
    <row r="12">
      <c r="A12" s="8" t="inlineStr">
        <is>
          <t>Impairment Testing</t>
        </is>
      </c>
      <c r="B12" s="8" t="inlineStr">
        <is>
          <t>減值測試</t>
        </is>
      </c>
      <c r="C12" s="19" t="inlineStr">
        <is>
          <t>high</t>
        </is>
      </c>
      <c r="D12" s="11" t="inlineStr">
        <is>
          <t>impairment loss</t>
        </is>
      </c>
      <c r="E12" s="11" t="inlineStr">
        <is>
          <t>PDF p.72 (印刷頁 71)</t>
        </is>
      </c>
      <c r="F12" s="11" t="inlineStr">
        <is>
          <t>projections, could materially affect the recoverable amounts. Where the actual future cash flows are less than expected, a material impairment loss may arise. The fair value less costs of disposal of certain assets have been determined from market available information. As at 31 March 2026, the carrying amount of property, plant and equipment was HK$1,586,000 (2025: HK$2,136,000), and the carrying amount of right-of-use assets was HK$4,494,000 (2025: HK$10,113,000). No impairment loss in respect of property, plant and equipmen</t>
        </is>
      </c>
    </row>
    <row r="13">
      <c r="A13" s="8" t="inlineStr">
        <is>
          <t>Impairment Testing</t>
        </is>
      </c>
      <c r="B13" s="8" t="inlineStr">
        <is>
          <t>減值測試</t>
        </is>
      </c>
      <c r="C13" s="19" t="inlineStr">
        <is>
          <t>high</t>
        </is>
      </c>
      <c r="D13" s="11" t="inlineStr">
        <is>
          <t>impairment loss</t>
        </is>
      </c>
      <c r="E13" s="11" t="inlineStr">
        <is>
          <t>PDF p.77 (印刷頁 76)</t>
        </is>
      </c>
      <c r="F13" s="11" t="inlineStr">
        <is>
          <t>equipment 60 193 253 Depreciation of property, plant and equipment 521 282 803 Depreciation of right-of-use assets 3,292 3,854 7,146 Impairment losses reversed arising from ECL on account receivables, net – (14) (14) Impairment losses recognised arising from ECL on consideration receivables 35 – 35 76 MediNet Group Limited / Annual Report 2026</t>
        </is>
      </c>
    </row>
    <row r="14">
      <c r="A14" s="8" t="inlineStr">
        <is>
          <t>Impairment Testing</t>
        </is>
      </c>
      <c r="B14" s="8" t="inlineStr">
        <is>
          <t>減值測試</t>
        </is>
      </c>
      <c r="C14" s="19" t="inlineStr">
        <is>
          <t>high</t>
        </is>
      </c>
      <c r="D14" s="11" t="inlineStr">
        <is>
          <t>impairment loss</t>
        </is>
      </c>
      <c r="E14" s="11" t="inlineStr">
        <is>
          <t>PDF p.78 (印刷頁 77)</t>
        </is>
      </c>
      <c r="F14" s="11" t="inlineStr">
        <is>
          <t>d equipment 533 722 1,255 Depreciation of right-of-use assets 3,373 4,160 7,533 Gain on disposal of a subsidiary (12,754) – (12,754) Impairment losses reversed arising from ECL on account receivables, net (4) (16) (20) Impairment losses recognised arising from ECL on consideration receivables 189 – 189 Bad debt written off – 985 985 Segment (loss)/profit represents the loss incurred/profit earned by each segment without allocation of unallocated expenses, income and loss mainly including general office expenses, other incom</t>
        </is>
      </c>
    </row>
    <row r="15">
      <c r="A15" s="8" t="inlineStr">
        <is>
          <t>Impairment Testing</t>
        </is>
      </c>
      <c r="B15" s="8" t="inlineStr">
        <is>
          <t>減值測試</t>
        </is>
      </c>
      <c r="C15" s="19" t="inlineStr">
        <is>
          <t>high</t>
        </is>
      </c>
      <c r="D15" s="11" t="inlineStr">
        <is>
          <t>impairment loss</t>
        </is>
      </c>
      <c r="E15" s="11" t="inlineStr">
        <is>
          <t>PDF p.80 (印刷頁 79)</t>
        </is>
      </c>
      <c r="F15" s="11" t="inlineStr">
        <is>
          <t>d by the Hong Kong Government. 7. OTHER LOSSES, NET 2026 2025 HK$’000 HK$’000 Exchange gain, net (6) –* Bad debt written off – (985) Impairment losses reversed arising from ECL on account receivables, net 14 20 Impairment losses recognised arising from ECL on consideration receivables (35) (189) (27) (1,154) * Value below HK$1,000 MediNet Group Limited / Annual Report 2026 79</t>
        </is>
      </c>
    </row>
    <row r="16">
      <c r="A16" s="8" t="inlineStr">
        <is>
          <t>Impairment Testing</t>
        </is>
      </c>
      <c r="B16" s="8" t="inlineStr">
        <is>
          <t>減值測試</t>
        </is>
      </c>
      <c r="C16" s="19" t="inlineStr">
        <is>
          <t>high</t>
        </is>
      </c>
      <c r="D16" s="11" t="inlineStr">
        <is>
          <t>impairment loss</t>
        </is>
      </c>
      <c r="E16" s="11" t="inlineStr">
        <is>
          <t>PDF p.87 (印刷頁 86)</t>
        </is>
      </c>
      <c r="F16" s="11" t="inlineStr">
        <is>
          <t>determined that the recoverable amounts of some CGU are lower than their carrying amounts. Based on the value-in-use calculation, no impairment loss has been recognised against the carrying amounts of property, plant and equipment for the year ended 31 March 2026 (2025: nil). 15. RIGHT-OF-USE ASSETS Offices and clinics HK$’000 As at 1 April 2025 Carrying amount 10,113 As at 31 March 2026 Carrying amount 4,494 For the year ended 31 March 2026 Depreciation charge 7,146 For the year ended 31 March 2025 Depreciation charge 7,533 Ye</t>
        </is>
      </c>
    </row>
    <row r="17">
      <c r="A17" s="8" t="inlineStr">
        <is>
          <t>Impairment Testing</t>
        </is>
      </c>
      <c r="B17" s="8" t="inlineStr">
        <is>
          <t>減值測試</t>
        </is>
      </c>
      <c r="C17" s="19" t="inlineStr">
        <is>
          <t>high</t>
        </is>
      </c>
      <c r="D17" s="11" t="inlineStr">
        <is>
          <t>impairment loss</t>
        </is>
      </c>
      <c r="E17" s="11" t="inlineStr">
        <is>
          <t>PDF p.88 (印刷頁 87)</t>
        </is>
      </c>
      <c r="F17" s="11" t="inlineStr">
        <is>
          <t>determined that the recoverable amounts of some CGU are lower than their carrying amounts. Based on the value-in-use calculation, no impairment loss has been recognised against the carrying amounts of right-of-use assets for the year ended 31 March 2026 (2025: nil). MediNet Group Limited / Annual Report 2026 87</t>
        </is>
      </c>
    </row>
    <row r="18">
      <c r="A18" s="8" t="inlineStr">
        <is>
          <t>Impairment Testing</t>
        </is>
      </c>
      <c r="B18" s="8" t="inlineStr">
        <is>
          <t>減值測試</t>
        </is>
      </c>
      <c r="C18" s="19" t="inlineStr">
        <is>
          <t>high</t>
        </is>
      </c>
      <c r="D18" s="11" t="inlineStr">
        <is>
          <t>impairment loss</t>
        </is>
      </c>
      <c r="E18" s="11" t="inlineStr">
        <is>
          <t>PDF p.104</t>
        </is>
      </c>
      <c r="F18" s="11" t="inlineStr">
        <is>
          <t>considered to be low. For the year ended 31 March 2026, the Group provided impairment on consideration receivables based on 12m ECL, impairment losses of approximately HK$35,000 (2025: HK$189,000) is recognised during the year. Details of the quantitative disclosures are set out below in this note. Bank balances The Group considered the credit risk on bank balances is limited since they are placed with banks with high external credit ratings. Accordingly, no loss allowance is made for bank balances as the amount of ECL with res</t>
        </is>
      </c>
    </row>
    <row r="19">
      <c r="A19" s="8" t="inlineStr">
        <is>
          <t>Intangible Assets &amp; Goodwill</t>
        </is>
      </c>
      <c r="B19" s="8" t="inlineStr">
        <is>
          <t>無形資產及商譽</t>
        </is>
      </c>
      <c r="C19" s="19" t="inlineStr">
        <is>
          <t>high</t>
        </is>
      </c>
      <c r="D19" s="11" t="inlineStr">
        <is>
          <t>customer relationship</t>
        </is>
      </c>
      <c r="E19" s="11" t="inlineStr">
        <is>
          <t>PDF p.12 (印刷頁 11)</t>
        </is>
      </c>
      <c r="F19" s="11" t="inlineStr">
        <is>
          <t>GEMENT PROFILE Ms. JIANG Jie (姜洁), aged 44, is an executive Director and is principally responsible for our business development and customer relationship management. Ms. Jiang was appointed as a Director on 20 August 2015 and was re-designated as our executive Director on 19 May 2016. She is also a director of all of the subsidiaries of the Company, except for Well Being Dental Services Limited. Ms. Jiang attended Shandong Province Qingdao The 16th Secondary School (山東省青島第十六中學) in the PRC from September 1994 to July 1997 and o</t>
        </is>
      </c>
    </row>
    <row r="20">
      <c r="A20" s="8" t="inlineStr">
        <is>
          <t>Intangible Assets &amp; Goodwill</t>
        </is>
      </c>
      <c r="B20" s="8" t="inlineStr">
        <is>
          <t>無形資產及商譽</t>
        </is>
      </c>
      <c r="C20" s="19" t="inlineStr">
        <is>
          <t>high</t>
        </is>
      </c>
      <c r="D20" s="11" t="inlineStr">
        <is>
          <t>licence</t>
        </is>
      </c>
      <c r="E20" s="11" t="inlineStr">
        <is>
          <t>PDF p.15 (印刷頁 14)</t>
        </is>
      </c>
      <c r="F20" s="11" t="inlineStr">
        <is>
          <t>hareholder of Tripital Corporate Services Limited, a company incorporated in Hong Kong and holds a trust or company service provider licence pursuant to the Anti-Money Laundering and Counter-Terrorist Financing Ordinance (Chapter 615 of the Laws of Hong Kong). He is also currently the company secretary and an authorised representative of Mansion International Holdings Limited, a company whose shares are listed on GEM of the Stock Exchange (Stock Code: 8456) since April 2022. Mr. Tse was previously an executive director, the com</t>
        </is>
      </c>
    </row>
    <row r="21">
      <c r="A21" s="8" t="inlineStr">
        <is>
          <t>Intangible Assets &amp; Goodwill</t>
        </is>
      </c>
      <c r="B21" s="8" t="inlineStr">
        <is>
          <t>無形資產及商譽</t>
        </is>
      </c>
      <c r="C21" s="19" t="inlineStr">
        <is>
          <t>high</t>
        </is>
      </c>
      <c r="D21" s="11" t="inlineStr">
        <is>
          <t>intangible asset</t>
        </is>
      </c>
      <c r="E21" s="11" t="inlineStr">
        <is>
          <t>PDF p.46 (印刷頁 45)</t>
        </is>
      </c>
      <c r="F21" s="11" t="inlineStr">
        <is>
          <t>OTES HK$’000 HK$’000 Non-current assets Property, plant and equipment 14 1,586 2,136 Right-of-use assets 15 4,494 10,113 Other intangible assets 17 – – Goodwill 16 – – Rental deposits 19 174 1,733 Consideration receivables 19 6,276 9,552 Deferred tax assets 24 1,211 1,218 13,741 24,752 Current assets Inventories 18 514 620 Accounts and other receivables 19 12,334 11,558 Amount due from a related party 20 2 855 Tax recoverable 16 – Bank balances and cash 21 10,172 13,867 23,038 26,900 Current liabilities</t>
        </is>
      </c>
    </row>
    <row r="22">
      <c r="A22" s="8" t="inlineStr">
        <is>
          <t>Intangible Assets &amp; Goodwill</t>
        </is>
      </c>
      <c r="B22" s="8" t="inlineStr">
        <is>
          <t>無形資產及商譽</t>
        </is>
      </c>
      <c r="C22" s="19" t="inlineStr">
        <is>
          <t>high</t>
        </is>
      </c>
      <c r="D22" s="11" t="inlineStr">
        <is>
          <t>intangible asset</t>
        </is>
      </c>
      <c r="E22" s="11" t="inlineStr">
        <is>
          <t>PDF p.54 (印刷頁 53)</t>
        </is>
      </c>
      <c r="F22" s="11" t="inlineStr">
        <is>
          <t>e basis of the relative values of the operation (or the CGU) disposed of and the portion of the CGU (or the group of CGUs) retained. Intangible assets Intangible assets acquired in a business combination are recognised separately from goodwill and are initially recognised at their fair value at the acquisition date (which is regarded as their cost). Subsequent to initial recognition, intangible assets acquired in a business combination with finite useful lives are reported at costs less accumulated amortisation and any accumula</t>
        </is>
      </c>
    </row>
    <row r="23">
      <c r="A23" s="8" t="inlineStr">
        <is>
          <t>Intangible Assets &amp; Goodwill</t>
        </is>
      </c>
      <c r="B23" s="8" t="inlineStr">
        <is>
          <t>無形資產及商譽</t>
        </is>
      </c>
      <c r="C23" s="19" t="inlineStr">
        <is>
          <t>high</t>
        </is>
      </c>
      <c r="D23" s="11" t="inlineStr">
        <is>
          <t>useful life</t>
        </is>
      </c>
      <c r="E23" s="11" t="inlineStr">
        <is>
          <t>PDF p.56 (印刷頁 55)</t>
        </is>
      </c>
      <c r="F23" s="11" t="inlineStr">
        <is>
          <t>tain ownership of the underlying leased assets at the end of the lease term are depreciated from commencement date to the end of the useful life. Otherwise, right-of-use assets are depreciated on a straight-line basis over the shorter of its estimated useful life and the lease term. The Group presents right-of-use as a separate line item on the consolidated statement of financial position. Refundable rental deposits Refundable rental deposits paid are accounted under HKFRS 9 Financial Instruments (“HKFRS 9”) and initially measu</t>
        </is>
      </c>
    </row>
    <row r="24">
      <c r="A24" s="8" t="inlineStr">
        <is>
          <t>Intangible Assets &amp; Goodwill</t>
        </is>
      </c>
      <c r="B24" s="8" t="inlineStr">
        <is>
          <t>無形資產及商譽</t>
        </is>
      </c>
      <c r="C24" s="19" t="inlineStr">
        <is>
          <t>high</t>
        </is>
      </c>
      <c r="D24" s="11" t="inlineStr">
        <is>
          <t>intangible asset</t>
        </is>
      </c>
      <c r="E24" s="11" t="inlineStr">
        <is>
          <t>PDF p.64 (印刷頁 63)</t>
        </is>
      </c>
      <c r="F24" s="11" t="inlineStr">
        <is>
          <t>PREPARATION OF CONSOLIDATED FINANCIAL STATEMENTS AND MATERIAL ACCOUNTING POLICIES INFORMATION (Continued) Impairment on tangible and intangible assets other than goodwill At the end of each reporting period, the Group reviews the carrying amounts of its property, plant and equipment, rightof-use assets and intangible assets with finite useful lives to determine whether there is any indication that these assets have suffered an impairment loss. If any such indication exists, the recoverable amount of the relevant asset is esti</t>
        </is>
      </c>
    </row>
    <row r="25">
      <c r="A25" s="8" t="inlineStr">
        <is>
          <t>Intangible Assets &amp; Goodwill</t>
        </is>
      </c>
      <c r="B25" s="8" t="inlineStr">
        <is>
          <t>無形資產及商譽</t>
        </is>
      </c>
      <c r="C25" s="19" t="inlineStr">
        <is>
          <t>high</t>
        </is>
      </c>
      <c r="D25" s="11" t="inlineStr">
        <is>
          <t>goodwill</t>
        </is>
      </c>
      <c r="E25" s="11" t="inlineStr">
        <is>
          <t>PDF p.68 (印刷頁 67)</t>
        </is>
      </c>
      <c r="F25" s="11" t="inlineStr">
        <is>
          <t>erences. In addition, deferred tax liabilities are not recognised if the temporary difference arises from the initial recognition of goodwill. Deferred tax liabilities are recognised for taxable temporary differences associated with investments in subsidiaries, except where the Group is able to control the reversal of the temporary difference and it is probable that the temporary difference will not reverse in the foreseeable future. Deferred tax assets arising from deductible temporary differences associated with such investme</t>
        </is>
      </c>
    </row>
    <row r="26">
      <c r="A26" s="8" t="inlineStr">
        <is>
          <t>Intangible Assets &amp; Goodwill</t>
        </is>
      </c>
      <c r="B26" s="8" t="inlineStr">
        <is>
          <t>無形資產及商譽</t>
        </is>
      </c>
      <c r="C26" s="19" t="inlineStr">
        <is>
          <t>high</t>
        </is>
      </c>
      <c r="D26" s="11" t="inlineStr">
        <is>
          <t>useful life</t>
        </is>
      </c>
      <c r="E26" s="11" t="inlineStr">
        <is>
          <t>PDF p.88 (印刷頁 87)</t>
        </is>
      </c>
      <c r="F26" s="11" t="inlineStr">
        <is>
          <t>btain ownership of the underlying leased assets at the end of the lease term is depreciated from commencement date to the end of the useful life. The remaining right-of-use assets are depreciated on a straight-line basis over the terms of the leases. As at 31 March 2026, the Group regularly entered into short-term leases for clinics. The short-term lease expense incurred during the year amounted to HK$7,000 (2025: HK$803,000). As at 31 March 2026 and 2025, the Group had no lease with variable lease payment. The lease agreements</t>
        </is>
      </c>
    </row>
    <row r="27">
      <c r="A27" s="8" t="inlineStr">
        <is>
          <t>Intangible Assets &amp; Goodwill</t>
        </is>
      </c>
      <c r="B27" s="8" t="inlineStr">
        <is>
          <t>無形資產及商譽</t>
        </is>
      </c>
      <c r="C27" s="19" t="inlineStr">
        <is>
          <t>high</t>
        </is>
      </c>
      <c r="D27" s="11" t="inlineStr">
        <is>
          <t>goodwill</t>
        </is>
      </c>
      <c r="E27" s="11" t="inlineStr">
        <is>
          <t>PDF p.89 (印刷頁 88)</t>
        </is>
      </c>
      <c r="F27" s="11" t="inlineStr">
        <is>
          <t>NOTES TO THE CONSOLIDATED FINANCIAL STATEMENTS For the year ended 31 March 2026 16. GOODWILL HK$’000 COST At 1 April 2024 19,483 Disposal of a subsidiary (19,483) At 31 March 2025 and 2026 – IMPAIRMENT At 1 April 2024 19,483 Disposal of a subsidiary (19,483) At 31 March 2025 and 2026 – CARRYING VALUES At 31 March 2026 – At 31 March 2025 – The Group disposed the subsidiary, Master Clever Limited, on 9 January 2025. The details of disposal of subsidiary are set out in the note 31.</t>
        </is>
      </c>
    </row>
    <row r="28">
      <c r="A28" s="8" t="inlineStr">
        <is>
          <t>Intangible Assets &amp; Goodwill</t>
        </is>
      </c>
      <c r="B28" s="8" t="inlineStr">
        <is>
          <t>無形資產及商譽</t>
        </is>
      </c>
      <c r="C28" s="19" t="inlineStr">
        <is>
          <t>high</t>
        </is>
      </c>
      <c r="D28" s="11" t="inlineStr">
        <is>
          <t>intangible asset</t>
        </is>
      </c>
      <c r="E28" s="11" t="inlineStr">
        <is>
          <t>PDF p.90 (印刷頁 89)</t>
        </is>
      </c>
      <c r="F28" s="11" t="inlineStr">
        <is>
          <t>NOTES TO THE CONSOLIDATED FINANCIAL STATEMENTS For the year ended 31 March 2026 17. OTHER INTANGIBLE ASSETS Right to use Customer trade names relationship Total HK$’000 HK$’000 HK$’000 COST At 1 April 2024 4,291 3,175 7,466 Disposal of a subsidiary (4,291) (3,175) (7,466) At 31 March 2025 and 2026 – – – AMORTISATION At 1 April 2024 4,291 3,175 7,466 Disposal of a subsidiary (4,291) (3,175) (7,466) At 31 March 2025 and 2026 – – – CARRYING VALUES At 31 March 2026 – – – At 31 March 2025 –</t>
        </is>
      </c>
    </row>
    <row r="29">
      <c r="A29" s="8" t="inlineStr">
        <is>
          <t>Intangible Assets &amp; Goodwill</t>
        </is>
      </c>
      <c r="B29" s="8" t="inlineStr">
        <is>
          <t>無形資產及商譽</t>
        </is>
      </c>
      <c r="C29" s="19" t="inlineStr">
        <is>
          <t>high</t>
        </is>
      </c>
      <c r="D29" s="11" t="inlineStr">
        <is>
          <t>intangible asset</t>
        </is>
      </c>
      <c r="E29" s="11" t="inlineStr">
        <is>
          <t>PDF p.100 (印刷頁 99)</t>
        </is>
      </c>
      <c r="F29" s="11" t="inlineStr">
        <is>
          <t>is of assets and liabilities over which control was lost: 19 February 2025 HK$’000 Property, plant and equipment 20 Goodwill – Other intangible assets – Deferred tax assets 95 Trade and other receivables 603 Bank and cash 230 Trade and other payables (230) Provision for reinstatement costs (43) Net assets disposed of 675 Consideration receivables: HK$’000 Fair value of consideration (Note) 13,429 Gain on disposal of a subsidiary: HK$’000 Fair value of consideration (Note) 13,429 Net assets disposed of (675) Gain on disposal of</t>
        </is>
      </c>
    </row>
    <row r="30">
      <c r="A30" s="8" t="inlineStr">
        <is>
          <t>Investment Properties</t>
        </is>
      </c>
      <c r="B30" s="8" t="inlineStr">
        <is>
          <t>投資物業</t>
        </is>
      </c>
      <c r="C30" s="19" t="inlineStr">
        <is>
          <t>high</t>
        </is>
      </c>
      <c r="D30" s="11" t="inlineStr">
        <is>
          <t>market rent</t>
        </is>
      </c>
      <c r="E30" s="11" t="inlineStr">
        <is>
          <t>PDF p.57 (印刷頁 56)</t>
        </is>
      </c>
      <c r="F30" s="11" t="inlineStr">
        <is>
          <t>the revised lease payments using a revised discount rate at the date of reassessment. • the lease payments change due to changes in market rental rates following a market rent review in which cases the related lease liability is remeasured by discounting the revised lease payments using the initial discount rate. • a lease contract is modified and the lease modification is not accounted for as a separate lease (see below for the accounting policy for “lease modifications”). The Group presents lease liabilities as a separate li</t>
        </is>
      </c>
    </row>
    <row r="31">
      <c r="A31" s="8" t="inlineStr">
        <is>
          <t>ESG Data</t>
        </is>
      </c>
      <c r="B31" s="8" t="inlineStr">
        <is>
          <t>環境社會及管治數據</t>
        </is>
      </c>
      <c r="C31" s="8" t="inlineStr">
        <is>
          <t>medium</t>
        </is>
      </c>
      <c r="D31" s="11" t="inlineStr">
        <is>
          <t>sustainability</t>
        </is>
      </c>
      <c r="E31" s="11" t="inlineStr">
        <is>
          <t>PDF p.5 (印刷頁 4)</t>
        </is>
      </c>
      <c r="F31" s="11" t="inlineStr">
        <is>
          <t>y exploring opportunities to broaden our scope of services. These efforts are aimed at driving revenue growth and ensuring long-term sustainability. Simultaneously, the management team is dedicated to enhancing operational efficiency and maintaining cost-effectiveness. By optimizing resource allocation, streamlining operations, and leveraging strategic advantages, we aim to deliver greater value to patients and stakeholders. As we navigate this competitive landscape, our commitment to excellence, sustainability, and community h</t>
        </is>
      </c>
    </row>
    <row r="32">
      <c r="A32" s="8" t="inlineStr">
        <is>
          <t>Segment Information</t>
        </is>
      </c>
      <c r="B32" s="8" t="inlineStr">
        <is>
          <t>分部資料</t>
        </is>
      </c>
      <c r="C32" s="8" t="inlineStr">
        <is>
          <t>medium</t>
        </is>
      </c>
      <c r="D32" s="11" t="inlineStr">
        <is>
          <t>segment information</t>
        </is>
      </c>
      <c r="E32" s="11" t="inlineStr">
        <is>
          <t>PDF p.9 (印刷頁 8)</t>
        </is>
      </c>
      <c r="F32" s="11" t="inlineStr">
        <is>
          <t>the number of its ordinary shares was 41,600,000 of HK$0.25 each. The Company did not have any treasury shares as at 31 March 2026. Segment information Segmental information is presented for the Group as disclosed in note 3 to the consolidated financial statements in this report. Significant investments held, future plans for material investments and capital assets The Group did not have other significant investment held, future plans for material investment and capital assets as at 31 March 2026. Material acquisitions and dis</t>
        </is>
      </c>
    </row>
    <row r="33">
      <c r="A33" s="8" t="inlineStr">
        <is>
          <t>Segment Information</t>
        </is>
      </c>
      <c r="B33" s="8" t="inlineStr">
        <is>
          <t>分部資料</t>
        </is>
      </c>
      <c r="C33" s="8" t="inlineStr">
        <is>
          <t>medium</t>
        </is>
      </c>
      <c r="D33" s="11" t="inlineStr">
        <is>
          <t>geographical</t>
        </is>
      </c>
      <c r="E33" s="11" t="inlineStr">
        <is>
          <t>PDF p.18 (印刷頁 17)</t>
        </is>
      </c>
      <c r="F33" s="11" t="inlineStr">
        <is>
          <t>very three years. The Nomination Committee took into consideration criteria such as difference in skills, experience and background, geographical and industry experience, ethnicity, gender, knowledge and length of service and other qualities of the members of the Board when considering the appointment of new Directors. Currently, all Directors are appointed for a specific term of three years. Pursuant to Article 83(3) of the Articles of Association, the Board shall have power from time to time and at any time to appoint any per</t>
        </is>
      </c>
    </row>
    <row r="34">
      <c r="A34" s="8" t="inlineStr">
        <is>
          <t>Segment Information</t>
        </is>
      </c>
      <c r="B34" s="8" t="inlineStr">
        <is>
          <t>分部資料</t>
        </is>
      </c>
      <c r="C34" s="8" t="inlineStr">
        <is>
          <t>medium</t>
        </is>
      </c>
      <c r="D34" s="11" t="inlineStr">
        <is>
          <t>operating segment</t>
        </is>
      </c>
      <c r="E34" s="11" t="inlineStr">
        <is>
          <t>PDF p.54 (印刷頁 53)</t>
        </is>
      </c>
      <c r="F34" s="11" t="inlineStr">
        <is>
          <t>ination, which represent the lowest level at which the goodwill is monitored for internal management purposes and not larger than an operating segment. A CGU (or group of CGUs) to which goodwill has been allocated is tested for impairment annually or more frequently when there is indication that the unit may be impaired. For goodwill arising on an acquisition in a reporting period, the CGU (or group of CGUs) to which goodwill has been allocated is tested for impairment before the end of that reporting period. If the recoverable</t>
        </is>
      </c>
    </row>
    <row r="35">
      <c r="A35" s="8" t="inlineStr">
        <is>
          <t>Segment Information</t>
        </is>
      </c>
      <c r="B35" s="8" t="inlineStr">
        <is>
          <t>分部資料</t>
        </is>
      </c>
      <c r="C35" s="8" t="inlineStr">
        <is>
          <t>medium</t>
        </is>
      </c>
      <c r="D35" s="11" t="inlineStr">
        <is>
          <t>segment information</t>
        </is>
      </c>
      <c r="E35" s="11" t="inlineStr">
        <is>
          <t>PDF p.73 (印刷頁 72)</t>
        </is>
      </c>
      <c r="F35" s="11" t="inlineStr">
        <is>
          <t>NOTES TO THE CONSOLIDATED FINANCIAL STATEMENTS For the year ended 31 March 2026 5. REVENUE AND SEGMENT INFORMATION (i) Disaggregation of revenue from contracts with customers For the year ended 31 March 2026 Dental Medical Segments business business Total HK$’000 HK$’000 HK$’000 Types of service Dental business Solutions 3,999 – 3,999 Services 20,333 – 20,333 Sub-total 24,332 – 24,332 Medical business Solutions to insurance companies – 25,330 25,330 Solutions to corporations – 11,37</t>
        </is>
      </c>
    </row>
    <row r="36">
      <c r="A36" s="8" t="inlineStr">
        <is>
          <t>Segment Information</t>
        </is>
      </c>
      <c r="B36" s="8" t="inlineStr">
        <is>
          <t>分部資料</t>
        </is>
      </c>
      <c r="C36" s="8" t="inlineStr">
        <is>
          <t>medium</t>
        </is>
      </c>
      <c r="D36" s="11" t="inlineStr">
        <is>
          <t>segment information</t>
        </is>
      </c>
      <c r="E36" s="11" t="inlineStr">
        <is>
          <t>PDF p.74 (印刷頁 73)</t>
        </is>
      </c>
      <c r="F36" s="11" t="inlineStr">
        <is>
          <t>NOTES TO THE CONSOLIDATED FINANCIAL STATEMENTS For the year ended 31 March 2026 5. REVENUE AND SEGMENT INFORMATION (Continued) (i) Disaggregation of revenue from contracts with customers (Continued) For the year ended 31 March 2025 Dental Medical Segments business business Total HK$’000 HK$’000 HK$’000 Types of service Dental business Solutions 4,521 – 4,521 Services 36,355 – 36,355 Sub-total 40,876 – 40,876 Medical business Solutions to insurance companies – 30,134 30,134 Solutions</t>
        </is>
      </c>
    </row>
    <row r="37">
      <c r="A37" s="8" t="inlineStr">
        <is>
          <t>Segment Information</t>
        </is>
      </c>
      <c r="B37" s="8" t="inlineStr">
        <is>
          <t>分部資料</t>
        </is>
      </c>
      <c r="C37" s="8" t="inlineStr">
        <is>
          <t>medium</t>
        </is>
      </c>
      <c r="D37" s="11" t="inlineStr">
        <is>
          <t>segment information</t>
        </is>
      </c>
      <c r="E37" s="11" t="inlineStr">
        <is>
          <t>PDF p.75 (印刷頁 74)</t>
        </is>
      </c>
      <c r="F37" s="11" t="inlineStr">
        <is>
          <t>NOTES TO THE CONSOLIDATED FINANCIAL STATEMENTS For the year ended 31 March 2026 5. REVENUE AND SEGMENT INFORMATION (Continued) (ii) Performance obligations for contracts with customers Dental solutions The Group’s dental solutions services represent annual retainer fee derived from annual retainer contracts (“Annual Retainer Contracts”) entered with corporations, insurance companies and individual customers. The customers would generally pay a fixed amount of annual fee per plan member and</t>
        </is>
      </c>
    </row>
    <row r="38">
      <c r="A38" s="8" t="inlineStr">
        <is>
          <t>Segment Information</t>
        </is>
      </c>
      <c r="B38" s="8" t="inlineStr">
        <is>
          <t>分部資料</t>
        </is>
      </c>
      <c r="C38" s="8" t="inlineStr">
        <is>
          <t>medium</t>
        </is>
      </c>
      <c r="D38" s="11" t="inlineStr">
        <is>
          <t>segment information</t>
        </is>
      </c>
      <c r="E38" s="11" t="inlineStr">
        <is>
          <t>PDF p.76 (印刷頁 75)</t>
        </is>
      </c>
      <c r="F38" s="11" t="inlineStr">
        <is>
          <t>NOTES TO THE CONSOLIDATED FINANCIAL STATEMENTS For the year ended 31 March 2026 5. REVENUE AND SEGMENT INFORMATION (Continued) (ii) Performance obligations for contracts with customers (Continued) Medical solutions The Group’s medical solutions represent annual retainer fee derived from Annual Retainer Contracts entered with corporations. The customers would generally pay a fixed amount of annual fee per plan member and each plan member would generally be entitled to certain medical service</t>
        </is>
      </c>
    </row>
    <row r="39">
      <c r="A39" s="8" t="inlineStr">
        <is>
          <t>Segment Information</t>
        </is>
      </c>
      <c r="B39" s="8" t="inlineStr">
        <is>
          <t>分部資料</t>
        </is>
      </c>
      <c r="C39" s="8" t="inlineStr">
        <is>
          <t>medium</t>
        </is>
      </c>
      <c r="D39" s="11" t="inlineStr">
        <is>
          <t>segment information</t>
        </is>
      </c>
      <c r="E39" s="11" t="inlineStr">
        <is>
          <t>PDF p.77 (印刷頁 76)</t>
        </is>
      </c>
      <c r="F39" s="11" t="inlineStr">
        <is>
          <t>NOTES TO THE CONSOLIDATED FINANCIAL STATEMENTS For the year ended 31 March 2026 5. REVENUE AND SEGMENT INFORMATION (Continued) (iv) Segment information (Continued) Segment revenue and results The following is an analysis of the Group’s revenue and results by operating segments: Year ended 31 March 2026 Dental Medical Segment business business total Eliminations Total HK$’000 HK$’000 HK$’000 HK$’000 HK$’000 SEGMENT REVENUE External revenue 24,332 59,065 83,397 – 83,397 Inter-company revenue</t>
        </is>
      </c>
    </row>
    <row r="40">
      <c r="A40" s="8" t="inlineStr">
        <is>
          <t>Segment Information</t>
        </is>
      </c>
      <c r="B40" s="8" t="inlineStr">
        <is>
          <t>分部資料</t>
        </is>
      </c>
      <c r="C40" s="8" t="inlineStr">
        <is>
          <t>medium</t>
        </is>
      </c>
      <c r="D40" s="11" t="inlineStr">
        <is>
          <t>segment information</t>
        </is>
      </c>
      <c r="E40" s="11" t="inlineStr">
        <is>
          <t>PDF p.78 (印刷頁 77)</t>
        </is>
      </c>
      <c r="F40" s="11" t="inlineStr">
        <is>
          <t>NOTES TO THE CONSOLIDATED FINANCIAL STATEMENTS For the year ended 31 March 2026 5. REVENUE AND SEGMENT INFORMATION (Continued) (iv) Segment information (Continued) Segment revenue and results (Continued) Year ended 31 March 2025 Dental Medical Segment business business total Eliminations Total HK$’000 HK$’000 HK$’000 HK$’000 HK$’000 SEGMENT REVENUE External revenue 40,876 65,514 106,390 – 106,390 Inter-company revenue 777 7,420 8,197 (8,197) – Segment revenue 41,653 72,934 114,587 (8,197) 1</t>
        </is>
      </c>
    </row>
    <row r="41">
      <c r="A41" s="8" t="inlineStr">
        <is>
          <t>Segment Information</t>
        </is>
      </c>
      <c r="B41" s="8" t="inlineStr">
        <is>
          <t>分部資料</t>
        </is>
      </c>
      <c r="C41" s="8" t="inlineStr">
        <is>
          <t>medium</t>
        </is>
      </c>
      <c r="D41" s="11" t="inlineStr">
        <is>
          <t>segment information</t>
        </is>
      </c>
      <c r="E41" s="11" t="inlineStr">
        <is>
          <t>PDF p.79 (印刷頁 78)</t>
        </is>
      </c>
      <c r="F41" s="11" t="inlineStr">
        <is>
          <t>NOTES TO THE CONSOLIDATED FINANCIAL STATEMENTS For the year ended 31 March 2026 5. REVENUE AND SEGMENT INFORMATION (Continued) (iv) Segment information (Continued) Segment assets and liabilities No analysis of segment assets or segment liabilities is presented as it is not regularly provided to the CODM of the Group. Information about major customers Revenue from major customers which accounted for 10% or more of the Group’s revenue is set out below: For the year ended 2026 2025 HK$’000 HK$</t>
        </is>
      </c>
    </row>
    <row r="42">
      <c r="A42" s="8" t="inlineStr">
        <is>
          <t>Related Party Transactions</t>
        </is>
      </c>
      <c r="B42" s="8" t="inlineStr">
        <is>
          <t>關聯方交易</t>
        </is>
      </c>
      <c r="C42" s="8" t="inlineStr">
        <is>
          <t>low</t>
        </is>
      </c>
      <c r="D42" s="11" t="inlineStr">
        <is>
          <t>connected transaction</t>
        </is>
      </c>
      <c r="E42" s="11" t="inlineStr">
        <is>
          <t>PDF p.17 (印刷頁 16)</t>
        </is>
      </c>
      <c r="F42" s="11" t="inlineStr">
        <is>
          <t>ajor matters relating to policy matters, strategies and budgets, internal control and risk management, discloseable transactions and connected transactions, nomination of Directors and Company Secretary (or joint company secretaries) and other material financial and operation matters. All Directors contributed precious business experience, knowledges and professional expertise to keep the Company functioning with high efficiency. All Directors can obtain comprehensive relevant materials and receive from the Company Secretary (o</t>
        </is>
      </c>
    </row>
    <row r="43">
      <c r="A43" s="8" t="inlineStr">
        <is>
          <t>Related Party Transactions</t>
        </is>
      </c>
      <c r="B43" s="8" t="inlineStr">
        <is>
          <t>關聯方交易</t>
        </is>
      </c>
      <c r="C43" s="8" t="inlineStr">
        <is>
          <t>low</t>
        </is>
      </c>
      <c r="D43" s="11" t="inlineStr">
        <is>
          <t>connected transaction</t>
        </is>
      </c>
      <c r="E43" s="11" t="inlineStr">
        <is>
          <t>PDF p.28 (印刷頁 27)</t>
        </is>
      </c>
      <c r="F43" s="11" t="inlineStr">
        <is>
          <t>hairman of the independent board committee (if any) should also be available to answer questions at any general meeting to approve a connected transaction or any other transaction that is subject to independent Shareholders’ approval. MediNet Group Limited / Annual Report 2026 27</t>
        </is>
      </c>
    </row>
    <row r="44">
      <c r="A44" s="8" t="inlineStr">
        <is>
          <t>Related Party Transactions</t>
        </is>
      </c>
      <c r="B44" s="8" t="inlineStr">
        <is>
          <t>關聯方交易</t>
        </is>
      </c>
      <c r="C44" s="8" t="inlineStr">
        <is>
          <t>low</t>
        </is>
      </c>
      <c r="D44" s="11" t="inlineStr">
        <is>
          <t>related party</t>
        </is>
      </c>
      <c r="E44" s="11" t="inlineStr">
        <is>
          <t>PDF p.34 (印刷頁 33)</t>
        </is>
      </c>
      <c r="F44" s="11" t="inlineStr">
        <is>
          <t>INTERESTS IN TRANSACTIONS, ARRANGEMENT AND CONTRACT OF SIGNIFICANCE During the year, the Group has carried out transactions with its related party as detailed in note 29(i) to the consolidated financial statements. Save for as disclosed above, no other transaction, arrangement or contract of significance to which the Company or any of its subsidiaries, its holding companies or a subsidiary of its holding companies was a party or were parties and in which a Director had a material interest, whether directly or indirectly, subsis</t>
        </is>
      </c>
    </row>
    <row r="45">
      <c r="A45" s="8" t="inlineStr">
        <is>
          <t>Related Party Transactions</t>
        </is>
      </c>
      <c r="B45" s="8" t="inlineStr">
        <is>
          <t>關聯方交易</t>
        </is>
      </c>
      <c r="C45" s="8" t="inlineStr">
        <is>
          <t>low</t>
        </is>
      </c>
      <c r="D45" s="11" t="inlineStr">
        <is>
          <t>related party</t>
        </is>
      </c>
      <c r="E45" s="11" t="inlineStr">
        <is>
          <t>PDF p.38 (印刷頁 37)</t>
        </is>
      </c>
      <c r="F45" s="11" t="inlineStr">
        <is>
          <t>REPORT OF THE DIRECTORS TRANSACTIONS DISCLOSED IN ACCORDANCE WITH THE GEM LISTING RULES Details of the related party transactions undertaken in the normal course of business are provided under note 29(i) to the consolidated financial statements, and none of which constitutes a connected transaction or continuing connected transaction as defined under Chapter 20 of the GEM Listing Rules that are not exempt from annual reporting requirement in Chapter 20 of the GEM Listing Rules. PURCHASE, SALE OR RE</t>
        </is>
      </c>
    </row>
    <row r="46">
      <c r="A46" s="8" t="inlineStr">
        <is>
          <t>Related Party Transactions</t>
        </is>
      </c>
      <c r="B46" s="8" t="inlineStr">
        <is>
          <t>關聯方交易</t>
        </is>
      </c>
      <c r="C46" s="8" t="inlineStr">
        <is>
          <t>low</t>
        </is>
      </c>
      <c r="D46" s="11" t="inlineStr">
        <is>
          <t>related party</t>
        </is>
      </c>
      <c r="E46" s="11" t="inlineStr">
        <is>
          <t>PDF p.46 (印刷頁 45)</t>
        </is>
      </c>
      <c r="F46" s="11" t="inlineStr">
        <is>
          <t>11 1,218 13,741 24,752 Current assets Inventories 18 514 620 Accounts and other receivables 19 12,334 11,558 Amount due from a related party 20 2 855 Tax recoverable 16 – Bank balances and cash 21 10,172 13,867 23,038 26,900 Current liabilities Accounts and other payables 22 10,999 13,052 Contract liabilities 22 5,560 6,572 Lease liabilities 23 4,011 6,962 Bank borrowing 26 6,812 7,644 Provisions 25 613 286 Amount due to a related party 20 – 1,833 Tax payable – 180 27,995 36,529 Net current liabilities (</t>
        </is>
      </c>
    </row>
    <row r="47">
      <c r="A47" s="8" t="inlineStr">
        <is>
          <t>Related Party Transactions</t>
        </is>
      </c>
      <c r="B47" s="8" t="inlineStr">
        <is>
          <t>關聯方交易</t>
        </is>
      </c>
      <c r="C47" s="8" t="inlineStr">
        <is>
          <t>low</t>
        </is>
      </c>
      <c r="D47" s="11" t="inlineStr">
        <is>
          <t>related party</t>
        </is>
      </c>
      <c r="E47" s="11" t="inlineStr">
        <is>
          <t>PDF p.49 (印刷頁 48)</t>
        </is>
      </c>
      <c r="F47" s="11" t="inlineStr">
        <is>
          <t>se) in inventories 106 (39) Decrease (increase) in accounts and other receivables 449 (236) Decrease (increase) in amount due from a related party 853 (204) Decrease in accounts and other payables (2,053) (957) Decrease in provisions (38) – (Decrease) increase in contract liabilities (1,012) 166 (Decrease) increase in amount due to a related party (1,833) 348 Cash generated from operations 1,315 5,101 Hong Kong Profits Tax (paid) refunded (197) 13 NET CASH GENERATED FROM OPERATING ACTIVITIES 1,118 5,114 INVESTING ACTIVITIES Con</t>
        </is>
      </c>
    </row>
    <row r="48">
      <c r="A48" s="8" t="inlineStr">
        <is>
          <t>Related Party Transactions</t>
        </is>
      </c>
      <c r="B48" s="8" t="inlineStr">
        <is>
          <t>關聯方交易</t>
        </is>
      </c>
      <c r="C48" s="8" t="inlineStr">
        <is>
          <t>low</t>
        </is>
      </c>
      <c r="D48" s="11" t="inlineStr">
        <is>
          <t>related party</t>
        </is>
      </c>
      <c r="E48" s="11" t="inlineStr">
        <is>
          <t>PDF p.61 (印刷頁 60)</t>
        </is>
      </c>
      <c r="F48" s="11" t="inlineStr">
        <is>
          <t>t assessment under expected credit loss (“ECL”) model on financial assets (including account and other receivables, amounts due from related party and bank balance and cash) which are subject to impairment under HKFRS 9. The amount of ECL is updated at each reporting date to reflect changes in credit risk since initial recognition. Lifetime ECL represents the ECL that will result from all possible default events over the expected life of the relevant instrument. In contrast, 12-month ECL (“12m ECL”) represents the portion of li</t>
        </is>
      </c>
    </row>
    <row r="49">
      <c r="A49" s="8" t="inlineStr">
        <is>
          <t>Related Party Transactions</t>
        </is>
      </c>
      <c r="B49" s="8" t="inlineStr">
        <is>
          <t>關聯方交易</t>
        </is>
      </c>
      <c r="C49" s="8" t="inlineStr">
        <is>
          <t>low</t>
        </is>
      </c>
      <c r="D49" s="11" t="inlineStr">
        <is>
          <t>related party</t>
        </is>
      </c>
      <c r="E49" s="11" t="inlineStr">
        <is>
          <t>PDF p.63 (印刷頁 62)</t>
        </is>
      </c>
      <c r="F49" s="11" t="inlineStr">
        <is>
          <t>hat the Group expects to receive, discounted at the effective interest rate determined at initial recognition. For amount due from a related party of trade nature, the cash flows used for determining the ECL is consistent with the cash flows used in measuring the lease receivable in accordance with HKFRS 16. Interest income is calculated based on the gross carrying amount of the financial asset unless the financial asset is credit impaired, in which case interest income is calculated based on amortised cost of the financial ass</t>
        </is>
      </c>
    </row>
    <row r="50">
      <c r="A50" s="8" t="inlineStr">
        <is>
          <t>Related Party Transactions</t>
        </is>
      </c>
      <c r="B50" s="8" t="inlineStr">
        <is>
          <t>關聯方交易</t>
        </is>
      </c>
      <c r="C50" s="8" t="inlineStr">
        <is>
          <t>low</t>
        </is>
      </c>
      <c r="D50" s="11" t="inlineStr">
        <is>
          <t>related party</t>
        </is>
      </c>
      <c r="E50" s="11" t="inlineStr">
        <is>
          <t>PDF p.70 (印刷頁 69)</t>
        </is>
      </c>
      <c r="F50" s="11" t="inlineStr">
        <is>
          <t>BASIS OF PREPARATION OF CONSOLIDATED FINANCIAL STATEMENTS AND MATERIAL ACCOUNTING POLICIES INFORMATION (Continued) Related parties A related party is a person or entity that is related to the Group. (A) A person or a close member of that person’s family is related to the Group if that person: (i) has control or joint control over the Group; (ii) has significant influence over the Group; or (iii) is a member of the key management personnel of the Group or of a parent of the Group. (B) An entity is related to the Group if any of</t>
        </is>
      </c>
    </row>
    <row r="51">
      <c r="A51" s="8" t="inlineStr">
        <is>
          <t>Related Party Transactions</t>
        </is>
      </c>
      <c r="B51" s="8" t="inlineStr">
        <is>
          <t>關聯方交易</t>
        </is>
      </c>
      <c r="C51" s="8" t="inlineStr">
        <is>
          <t>low</t>
        </is>
      </c>
      <c r="D51" s="11" t="inlineStr">
        <is>
          <t>related party</t>
        </is>
      </c>
      <c r="E51" s="11" t="inlineStr">
        <is>
          <t>PDF p.93 (印刷頁 92)</t>
        </is>
      </c>
      <c r="F51" s="11" t="inlineStr">
        <is>
          <t>NOTES TO THE CONSOLIDATED FINANCIAL STATEMENTS For the year ended 31 March 2026 20. AMOUNTS DUE FROM (TO) A RELATED PARTY Amounts due from (to) related parties are as follows: Maximum balance outstanding during the year 2026 2025 2026 2025 HK$’000 HK$’000 HK$’000 HK$’000 Amounts due from (to) related parties Face Factor Limited (“Face Factor”)1, 2, 3 –* 855 855 855 Times Insurance Consultants Limited (“Times Insurance”)2, 3 2 (1,833) 2 – 2 (978) * Value below HK$1,000. 1. Mr. Chan is the director and</t>
        </is>
      </c>
    </row>
    <row r="52">
      <c r="A52" s="8" t="inlineStr">
        <is>
          <t>Related Party Transactions</t>
        </is>
      </c>
      <c r="B52" s="8" t="inlineStr">
        <is>
          <t>關聯方交易</t>
        </is>
      </c>
      <c r="C52" s="8" t="inlineStr">
        <is>
          <t>low</t>
        </is>
      </c>
      <c r="D52" s="11" t="inlineStr">
        <is>
          <t>related party</t>
        </is>
      </c>
      <c r="E52" s="11" t="inlineStr">
        <is>
          <t>PDF p.98 (印刷頁 97)</t>
        </is>
      </c>
      <c r="F52" s="11" t="inlineStr">
        <is>
          <t>NOTES TO THE CONSOLIDATED FINANCIAL STATEMENTS For the year ended 31 March 2026 29. RELATED PARTY DISCLOSURES (i) In addition to the balances and commitments disclosed elsewhere in the consolidated financial statements, the Group entered into the following related party transactions: Name of related companies/party Relationship Nature of transactions 2026 2025 HK$’000 HK$’000 Face Factor Related company Rental income 180 180 I-Teeth Related company Dental professional – 5,305 s</t>
        </is>
      </c>
    </row>
    <row r="53">
      <c r="A53" s="8" t="inlineStr">
        <is>
          <t>Related Party Transactions</t>
        </is>
      </c>
      <c r="B53" s="8" t="inlineStr">
        <is>
          <t>關聯方交易</t>
        </is>
      </c>
      <c r="C53" s="8" t="inlineStr">
        <is>
          <t>low</t>
        </is>
      </c>
      <c r="D53" s="11" t="inlineStr">
        <is>
          <t>related party</t>
        </is>
      </c>
      <c r="E53" s="11" t="inlineStr">
        <is>
          <t>PDF p.102</t>
        </is>
      </c>
      <c r="F53" s="11" t="inlineStr">
        <is>
          <t>ancial instruments include accounts and other receivables, consideration receivables, rental and utility deposits, amount due from a related party, bank balances and cash, accounts and other payables, amount due to a related party and bank borrowing. Details of these financial instruments are disclosed in respective notes. The risks associated with these financial instruments and the policies on how to mitigate these risks are set out below. The management manages and monitors these exposures to ensure appropriate measures are</t>
        </is>
      </c>
    </row>
    <row r="54">
      <c r="A54" s="8" t="inlineStr">
        <is>
          <t>Related Party Transactions</t>
        </is>
      </c>
      <c r="B54" s="8" t="inlineStr">
        <is>
          <t>關聯方交易</t>
        </is>
      </c>
      <c r="C54" s="8" t="inlineStr">
        <is>
          <t>low</t>
        </is>
      </c>
      <c r="D54" s="11" t="inlineStr">
        <is>
          <t>related party</t>
        </is>
      </c>
      <c r="E54" s="11" t="inlineStr">
        <is>
          <t>PDF p.103 (印刷頁 102)</t>
        </is>
      </c>
      <c r="F54" s="11" t="inlineStr">
        <is>
          <t>up’s credit risk exposures are primarily attributable to account and other receivables, consideration receivables, amount due from a related party and bank balances. The Group does not hold any collateral or other credit enhancements to cover its credit risks associated with its financial assets. Accounts receivables The estimated loss rates are estimated based on historical observed default rates over the expected life of the debtors and are adjusted for forward-looking information that is available without undue cost or effor</t>
        </is>
      </c>
    </row>
    <row r="55">
      <c r="A55" s="8" t="inlineStr">
        <is>
          <t>Related Party Transactions</t>
        </is>
      </c>
      <c r="B55" s="8" t="inlineStr">
        <is>
          <t>關聯方交易</t>
        </is>
      </c>
      <c r="C55" s="8" t="inlineStr">
        <is>
          <t>low</t>
        </is>
      </c>
      <c r="D55" s="11" t="inlineStr">
        <is>
          <t>related party</t>
        </is>
      </c>
      <c r="E55" s="11" t="inlineStr">
        <is>
          <t>PDF p.104</t>
        </is>
      </c>
      <c r="F55" s="11" t="inlineStr">
        <is>
          <t>gement objectives and policies (Continued) Credit risk and impairment assessment (Continued) Other receivables and amount due from a related party The Group considered the credit risk on the other receivables and amount due from a related party at the end of the reporting period using the past due information and concluded that there has been no significant increase in credit risk since initial recognition. Accordingly, no loss allowance is made for other receivables and amount due from a related party as the amount of ECL with</t>
        </is>
      </c>
    </row>
    <row r="56">
      <c r="A56" s="8" t="inlineStr">
        <is>
          <t>Related Party Transactions</t>
        </is>
      </c>
      <c r="B56" s="8" t="inlineStr">
        <is>
          <t>關聯方交易</t>
        </is>
      </c>
      <c r="C56" s="8" t="inlineStr">
        <is>
          <t>low</t>
        </is>
      </c>
      <c r="D56" s="11" t="inlineStr">
        <is>
          <t>related party</t>
        </is>
      </c>
      <c r="E56" s="11" t="inlineStr">
        <is>
          <t>PDF p.106</t>
        </is>
      </c>
      <c r="F56" s="11" t="inlineStr">
        <is>
          <t>tion receivables 19 Note (ii) 12m ECL 9,695 12,868 Deposits and other receivables 19 Note (ii) 12m ECL 2,028 2,109 Amount due from a related party 20 Note (ii) Lifetime ECL 2 855 Bank balances 21 N/A 12m ECL 10,149 13,841 Note (iii) Notes: (i) For accounts receivables, the Group has applied the simplified approach in HKFRS 9 to measure the loss allowance at lifetime ECL. (ii) For the purposes of internal credit risk management, the Group uses past due information to assess whether credit risk has increased significantly since i</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0"/>
  <sheetViews>
    <sheetView workbookViewId="0">
      <pane ySplit="28" topLeftCell="A29"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Cost of Sales</t>
        </is>
      </c>
    </row>
    <row r="9">
      <c r="A9" s="8" t="inlineStr">
        <is>
          <t>Income Statement</t>
        </is>
      </c>
      <c r="B9" s="8" t="inlineStr">
        <is>
          <t>Gross Profit</t>
        </is>
      </c>
    </row>
    <row r="10">
      <c r="A10" s="8" t="inlineStr">
        <is>
          <t>Income Statement</t>
        </is>
      </c>
      <c r="B10" s="8" t="inlineStr">
        <is>
          <t>Operating Profit</t>
        </is>
      </c>
    </row>
    <row r="11">
      <c r="A11" s="8" t="inlineStr">
        <is>
          <t>Income Statement</t>
        </is>
      </c>
      <c r="B11" s="8" t="inlineStr">
        <is>
          <t>Profit Before Tax</t>
        </is>
      </c>
    </row>
    <row r="12">
      <c r="A12" s="8" t="inlineStr">
        <is>
          <t>Income Statement</t>
        </is>
      </c>
      <c r="B12" s="8" t="inlineStr">
        <is>
          <t>Profit for the Year</t>
        </is>
      </c>
    </row>
    <row r="13">
      <c r="A13" s="8" t="inlineStr">
        <is>
          <t>Income Statement</t>
        </is>
      </c>
      <c r="B13" s="8" t="inlineStr">
        <is>
          <t>R&amp;D Expenses</t>
        </is>
      </c>
    </row>
    <row r="14">
      <c r="A14" s="8" t="inlineStr">
        <is>
          <t>Income Statement</t>
        </is>
      </c>
      <c r="B14" s="8" t="inlineStr">
        <is>
          <t>Amortisation</t>
        </is>
      </c>
    </row>
    <row r="15">
      <c r="A15" s="8" t="inlineStr">
        <is>
          <t>Balance Sheet</t>
        </is>
      </c>
      <c r="B15" s="8" t="inlineStr">
        <is>
          <t>Total Assets</t>
        </is>
      </c>
    </row>
    <row r="16">
      <c r="A16" s="8" t="inlineStr">
        <is>
          <t>Balance Sheet</t>
        </is>
      </c>
      <c r="B16" s="8" t="inlineStr">
        <is>
          <t>Cash and Equivalents</t>
        </is>
      </c>
    </row>
    <row r="17">
      <c r="A17" s="8" t="inlineStr">
        <is>
          <t>Balance Sheet</t>
        </is>
      </c>
      <c r="B17" s="8" t="inlineStr">
        <is>
          <t>Trade Receivables</t>
        </is>
      </c>
    </row>
    <row r="18">
      <c r="A18" s="8" t="inlineStr">
        <is>
          <t>Balance Sheet</t>
        </is>
      </c>
      <c r="B18" s="8" t="inlineStr">
        <is>
          <t>Intangible Assets</t>
        </is>
      </c>
    </row>
    <row r="19">
      <c r="A19" s="8" t="inlineStr">
        <is>
          <t>Balance Sheet</t>
        </is>
      </c>
      <c r="B19" s="8" t="inlineStr">
        <is>
          <t>Investment Properties</t>
        </is>
      </c>
    </row>
    <row r="20">
      <c r="A20" s="8" t="inlineStr">
        <is>
          <t>Balance Sheet</t>
        </is>
      </c>
      <c r="B20" s="8" t="inlineStr">
        <is>
          <t>Total Liabilities</t>
        </is>
      </c>
    </row>
    <row r="21">
      <c r="A21" s="8" t="inlineStr">
        <is>
          <t>Balance Sheet</t>
        </is>
      </c>
      <c r="B21" s="8" t="inlineStr">
        <is>
          <t>Borrowings</t>
        </is>
      </c>
    </row>
    <row r="22">
      <c r="A22" s="8" t="inlineStr">
        <is>
          <t>Balance Sheet</t>
        </is>
      </c>
      <c r="B22" s="8" t="inlineStr">
        <is>
          <t>Total Equity</t>
        </is>
      </c>
    </row>
    <row r="25">
      <c r="A25" s="5" t="inlineStr">
        <is>
          <t>二、文字量過低的頁面(疑似掃描頁)</t>
        </is>
      </c>
    </row>
    <row r="26">
      <c r="A26" s="2" t="inlineStr">
        <is>
          <t>這些頁面幾乎抓不到文字,通常是掃描件或純圖表,建議人手翻閱或另行 OCR。</t>
        </is>
      </c>
    </row>
    <row r="28">
      <c r="A28" s="7" t="inlineStr">
        <is>
          <t>PDF 頁碼</t>
        </is>
      </c>
      <c r="B28" s="7" t="inlineStr">
        <is>
          <t>狀態</t>
        </is>
      </c>
    </row>
    <row r="29">
      <c r="A29" s="8" t="n">
        <v>1</v>
      </c>
      <c r="B29" s="8" t="inlineStr">
        <is>
          <t>文字量過低 — 可能為掃描頁/圖表頁</t>
        </is>
      </c>
    </row>
    <row r="30">
      <c r="A30" s="8" t="n">
        <v>114</v>
      </c>
      <c r="B30"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2026-08-30T14:15:46Z</dcterms:created>
  <dcterms:modified xsi:type="dcterms:W3CDTF">2026-08-30T14:15:46Z</dcterms:modified>
</cp:coreProperties>
</file>
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00417_TSE_SUI_LUEN_20260729.pdf</t>
        </is>
      </c>
    </row>
    <row r="5">
      <c r="A5" s="3" t="inlineStr">
        <is>
          <t>產生時間 Generated</t>
        </is>
      </c>
      <c r="B5" s="4" t="inlineStr">
        <is>
          <t>2026-08-30 22:16</t>
        </is>
      </c>
    </row>
    <row r="6">
      <c r="A6" s="4" t="inlineStr"/>
      <c r="B6" s="4" t="inlineStr"/>
    </row>
    <row r="7">
      <c r="A7" s="3" t="inlineStr">
        <is>
          <t>總頁數 Total pages</t>
        </is>
      </c>
      <c r="B7" s="4" t="n">
        <v>256</v>
      </c>
    </row>
    <row r="8">
      <c r="A8" s="3" t="inlineStr">
        <is>
          <t>已擷取字元 Characters extracted</t>
        </is>
      </c>
      <c r="B8" s="4" t="n">
        <v>415817</v>
      </c>
    </row>
    <row r="9">
      <c r="A9" s="3" t="inlineStr">
        <is>
          <t>含表格頁數 Pages with tables</t>
        </is>
      </c>
      <c r="B9" s="4" t="n">
        <v>0</v>
      </c>
    </row>
    <row r="10">
      <c r="A10" s="3" t="inlineStr">
        <is>
          <t>需人手/OCR 頁數 Pages needing OCR</t>
        </is>
      </c>
      <c r="B10" s="4" t="n">
        <v>8</v>
      </c>
    </row>
    <row r="11">
      <c r="A11" s="4" t="inlineStr"/>
      <c r="B11" s="4" t="inlineStr"/>
    </row>
    <row r="12">
      <c r="A12" s="3" t="inlineStr">
        <is>
          <t>估值參數擷取筆數 Valuation parameters</t>
        </is>
      </c>
      <c r="B12" s="4" t="n">
        <v>4</v>
      </c>
    </row>
    <row r="13">
      <c r="A13" s="3" t="inlineStr">
        <is>
          <t>財務科目擷取筆數 Financial line items</t>
        </is>
      </c>
      <c r="B13" s="4" t="n">
        <v>18</v>
      </c>
    </row>
    <row r="14">
      <c r="A14" s="3" t="inlineStr">
        <is>
          <t>主題段落擷取筆數 Topic extracts</t>
        </is>
      </c>
      <c r="B14" s="4" t="n">
        <v>139</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1,201,328 − -555,192 = 1,756,520</t>
        </is>
      </c>
    </row>
    <row r="20">
      <c r="A20" s="6" t="inlineStr">
        <is>
          <t>✓ 收入 − 銷售成本 = 毛利</t>
        </is>
      </c>
      <c r="B20" s="4" t="inlineStr">
        <is>
          <t>1,679,241 − 1,157,508 = 521,733 vs 毛利 521,733</t>
        </is>
      </c>
    </row>
    <row r="21">
      <c r="A21" s="6" t="inlineStr">
        <is>
          <t>✓ 除稅前溢利 ± 稅項 = 年內溢利</t>
        </is>
      </c>
      <c r="B21" s="4" t="inlineStr">
        <is>
          <t>127,939 + 13,603 = 114,336 vs 114,336</t>
        </is>
      </c>
    </row>
    <row r="22">
      <c r="A22" s="6" t="inlineStr">
        <is>
          <t>✓ 三大報表應相鄰</t>
        </is>
      </c>
      <c r="B22" s="4" t="inlineStr">
        <is>
          <t>Income Statement: p.95、Balance Sheet: p.97、Cash Flow: p.101(相距 6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9.9</v>
      </c>
      <c r="D5" s="10" t="n">
        <v>15.3</v>
      </c>
      <c r="E5" s="11" t="inlineStr">
        <is>
          <t>9.9%至15.3%</t>
        </is>
      </c>
      <c r="F5" s="11" t="inlineStr">
        <is>
          <t>High</t>
        </is>
      </c>
      <c r="G5" s="11" t="inlineStr">
        <is>
          <t>PDF p.186 (印刷頁 184)</t>
        </is>
      </c>
      <c r="H5" s="11" t="inlineStr">
        <is>
          <t>he respective 剩餘可使用年期為基礎的財務預算之現金流預測。 property, plant and equipment. The pre-tax discount rates applied for the 現金流預測所採用的稅前折現率介乎9.9%至15.3% cash flow projections ranged from 9.9% to 15.3% (2025: 9.3% to 14.7%). （2025年：9.3%至14.7%)。 184</t>
        </is>
      </c>
    </row>
    <row r="6">
      <c r="A6" s="8" t="inlineStr">
        <is>
          <t>Discount Rate</t>
        </is>
      </c>
      <c r="B6" s="8" t="inlineStr">
        <is>
          <t>折現率</t>
        </is>
      </c>
      <c r="C6" s="9" t="n">
        <v>9.9</v>
      </c>
      <c r="D6" s="10" t="n">
        <v>15.3</v>
      </c>
      <c r="E6" s="11" t="inlineStr">
        <is>
          <t>9.9%至15.3%</t>
        </is>
      </c>
      <c r="F6" s="11" t="inlineStr">
        <is>
          <t>High</t>
        </is>
      </c>
      <c r="G6" s="11" t="inlineStr">
        <is>
          <t>PDF p.194 (印刷頁 192)</t>
        </is>
      </c>
      <c r="H6" s="11" t="inlineStr">
        <is>
          <t>定。現金流量預測所 The pre-tax discount rates applied for the cash flow projections 採用的稅前折現率為9.9%至15.3%（2025年： ranged from 9.9% to 15.3% (2025: 9.3% to 14.7%). 9.3%至14.7%）。 An impairment loss of HK$800,000 was recognised in the 於過往年度，物業已確認減值虧損港幣800,000</t>
        </is>
      </c>
    </row>
    <row r="7">
      <c r="A7" s="8" t="inlineStr">
        <is>
          <t>Discount Rate</t>
        </is>
      </c>
      <c r="B7" s="8" t="inlineStr">
        <is>
          <t>折現率</t>
        </is>
      </c>
      <c r="C7" s="9" t="n">
        <v>2.6</v>
      </c>
      <c r="D7" s="10" t="n">
        <v>2.6</v>
      </c>
      <c r="E7" s="11" t="inlineStr">
        <is>
          <t>2.60%</t>
        </is>
      </c>
      <c r="F7" s="11" t="inlineStr">
        <is>
          <t>High</t>
        </is>
      </c>
      <c r="G7" s="11" t="inlineStr">
        <is>
          <t>PDF p.212 (印刷頁 210)</t>
        </is>
      </c>
      <c r="H7" s="11" t="inlineStr">
        <is>
          <t xml:space="preserve"> of the reporting 於報告期末主要採用以下精算假設： period are as follows: 2026 2025 2026年 2025年 Discount rate 貼現率 2.60% 3.25% Expected rate of salary increment (%) 預期薪金升幅(%) Year 2024 2024年 – 3.30% Year 2025 2025年 3.50% 3.30% Year 2026 and thereafter 2026年及以後 3.50% 3.3</t>
        </is>
      </c>
    </row>
    <row r="8">
      <c r="A8" s="8" t="inlineStr">
        <is>
          <t>Gross Margin</t>
        </is>
      </c>
      <c r="B8" s="8" t="inlineStr">
        <is>
          <t>毛利率</t>
        </is>
      </c>
      <c r="C8" s="9" t="n">
        <v>31.1</v>
      </c>
      <c r="D8" s="10" t="n">
        <v>31.1</v>
      </c>
      <c r="E8" s="11" t="inlineStr">
        <is>
          <t>31.1%</t>
        </is>
      </c>
      <c r="F8" s="11" t="inlineStr">
        <is>
          <t>High</t>
        </is>
      </c>
      <c r="G8" s="11" t="inlineStr">
        <is>
          <t>PDF p.14 (印刷頁 012)</t>
        </is>
      </c>
      <c r="H8" s="11" t="inlineStr">
        <is>
          <t>margin than that of gem-set 至31.1%。儘管毛利率有所下降，本集團仍深信，該策略重 jewellery, the overall gross profit margin dropped to 31.1% for the Year. Despite 點在推動銷量方面的方向正確，並將帶來可持續的長遠增 the decline in gross profit margin, the Group remains confident that the strategic 長，及於未來數年持續改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1679241</v>
      </c>
      <c r="D5" s="13" t="n">
        <v>1712297</v>
      </c>
      <c r="E5" s="14">
        <f>IF(ISERROR((C5-D5)/ABS(D5)),"",(C5-D5)/ABS(D5))</f>
        <v>-0.01930506214751296</v>
      </c>
      <c r="F5" s="11" t="inlineStr">
        <is>
          <t>PDF p.95 (印刷頁 093)</t>
        </is>
      </c>
      <c r="G5" s="11" t="inlineStr">
        <is>
          <t>Turnover 營業額 5 1,679,241 1,712,297</t>
        </is>
      </c>
    </row>
    <row r="6">
      <c r="A6" s="8" t="inlineStr">
        <is>
          <t>Income Statement</t>
        </is>
      </c>
      <c r="B6" s="8" t="inlineStr">
        <is>
          <t>Cost of Sales</t>
        </is>
      </c>
      <c r="C6" s="12" t="n">
        <v>-1157508</v>
      </c>
      <c r="D6" s="13" t="n">
        <v>-1128784</v>
      </c>
      <c r="E6" s="14">
        <f>IF(ISERROR((C6-D6)/ABS(D6)),"",(C6-D6)/ABS(D6))</f>
        <v>-0.025446852542204707</v>
      </c>
      <c r="F6" s="11" t="inlineStr">
        <is>
          <t>PDF p.95 (印刷頁 093)</t>
        </is>
      </c>
      <c r="G6" s="11" t="inlineStr">
        <is>
          <t>Cost of sales 銷售成本 (1,157,508) (1,128,784)</t>
        </is>
      </c>
    </row>
    <row r="7">
      <c r="A7" s="8" t="inlineStr">
        <is>
          <t>Income Statement</t>
        </is>
      </c>
      <c r="B7" s="8" t="inlineStr">
        <is>
          <t>Gross Profit</t>
        </is>
      </c>
      <c r="C7" s="12" t="n">
        <v>521733</v>
      </c>
      <c r="D7" s="13" t="n">
        <v>583513</v>
      </c>
      <c r="E7" s="14">
        <f>IF(ISERROR((C7-D7)/ABS(D7)),"",(C7-D7)/ABS(D7))</f>
        <v>-0.10587596163238865</v>
      </c>
      <c r="F7" s="11" t="inlineStr">
        <is>
          <t>PDF p.95 (印刷頁 093)</t>
        </is>
      </c>
      <c r="G7" s="11" t="inlineStr">
        <is>
          <t>Gross profit 毛利 521,733 583,513</t>
        </is>
      </c>
    </row>
    <row r="8">
      <c r="A8" s="8" t="inlineStr">
        <is>
          <t>Income Statement</t>
        </is>
      </c>
      <c r="B8" s="8" t="inlineStr">
        <is>
          <t>Operating Profit</t>
        </is>
      </c>
      <c r="C8" s="12" t="n">
        <v>168208</v>
      </c>
      <c r="D8" s="13" t="n">
        <v>-92224</v>
      </c>
      <c r="E8" s="14">
        <f>IF(ISERROR((C8-D8)/ABS(D8)),"",(C8-D8)/ABS(D8))</f>
        <v>2.823907009021513</v>
      </c>
      <c r="F8" s="11" t="inlineStr">
        <is>
          <t>PDF p.95 (印刷頁 093)</t>
        </is>
      </c>
      <c r="G8" s="11" t="inlineStr">
        <is>
          <t>PROFIT/(LOSS) FROM OPERATIONS 經營溢利╱（虧損） 168,208 (92,224)</t>
        </is>
      </c>
    </row>
    <row r="9">
      <c r="A9" s="8" t="inlineStr">
        <is>
          <t>Income Statement</t>
        </is>
      </c>
      <c r="B9" s="8" t="inlineStr">
        <is>
          <t>Finance Costs</t>
        </is>
      </c>
      <c r="C9" s="12" t="n">
        <v>-40269</v>
      </c>
      <c r="D9" s="13" t="n">
        <v>-73915</v>
      </c>
      <c r="E9" s="14">
        <f>IF(ISERROR((C9-D9)/ABS(D9)),"",(C9-D9)/ABS(D9))</f>
        <v>0.45519853886220657</v>
      </c>
      <c r="F9" s="11" t="inlineStr">
        <is>
          <t>PDF p.95 (印刷頁 093)</t>
        </is>
      </c>
      <c r="G9" s="11" t="inlineStr">
        <is>
          <t>Finance costs 財務費用 8 (40,269) (73,915)</t>
        </is>
      </c>
    </row>
    <row r="10">
      <c r="A10" s="8" t="inlineStr">
        <is>
          <t>Income Statement</t>
        </is>
      </c>
      <c r="B10" s="8" t="inlineStr">
        <is>
          <t>Profit Before Tax</t>
        </is>
      </c>
      <c r="C10" s="12" t="n">
        <v>127939</v>
      </c>
      <c r="D10" s="13" t="n">
        <v>-166139</v>
      </c>
      <c r="E10" s="14">
        <f>IF(ISERROR((C10-D10)/ABS(D10)),"",(C10-D10)/ABS(D10))</f>
        <v>1.7700720481042982</v>
      </c>
      <c r="F10" s="11" t="inlineStr">
        <is>
          <t>PDF p.95 (印刷頁 093)</t>
        </is>
      </c>
      <c r="G10" s="11" t="inlineStr">
        <is>
          <t>PROFIT/(LOSS) BEFORE TAX 除稅前溢利╱（虧損） 7 127,939 (166,139)</t>
        </is>
      </c>
    </row>
    <row r="11">
      <c r="A11" s="8" t="inlineStr">
        <is>
          <t>Income Statement</t>
        </is>
      </c>
      <c r="B11" s="8" t="inlineStr">
        <is>
          <t>Income Tax</t>
        </is>
      </c>
      <c r="C11" s="12" t="n">
        <v>-13603</v>
      </c>
      <c r="D11" s="13" t="n">
        <v>-31660</v>
      </c>
      <c r="E11" s="14">
        <f>IF(ISERROR((C11-D11)/ABS(D11)),"",(C11-D11)/ABS(D11))</f>
        <v>0.570341124447252</v>
      </c>
      <c r="F11" s="11" t="inlineStr">
        <is>
          <t>PDF p.95 (印刷頁 093)</t>
        </is>
      </c>
      <c r="G11" s="11" t="inlineStr">
        <is>
          <t>Income tax expense 所得稅費用 11 (13,603) (31,660)</t>
        </is>
      </c>
    </row>
    <row r="12">
      <c r="A12" s="8" t="inlineStr">
        <is>
          <t>Income Statement</t>
        </is>
      </c>
      <c r="B12" s="8" t="inlineStr">
        <is>
          <t>Profit for the Year</t>
        </is>
      </c>
      <c r="C12" s="12" t="n">
        <v>114336</v>
      </c>
      <c r="D12" s="13" t="n">
        <v>-197799</v>
      </c>
      <c r="E12" s="14">
        <f>IF(ISERROR((C12-D12)/ABS(D12)),"",(C12-D12)/ABS(D12))</f>
        <v>1.578041345001744</v>
      </c>
      <c r="F12" s="11" t="inlineStr">
        <is>
          <t>PDF p.95 (印刷頁 093)</t>
        </is>
      </c>
      <c r="G12" s="11" t="inlineStr">
        <is>
          <t>PROFIT/(LOSS) FOR THE YEAR 本年度溢利╱（虧損） 114,336 (197,799)</t>
        </is>
      </c>
    </row>
    <row r="13">
      <c r="A13" s="8" t="inlineStr">
        <is>
          <t>Balance Sheet</t>
        </is>
      </c>
      <c r="B13" s="8" t="inlineStr">
        <is>
          <t>Property Plant and Equipment</t>
        </is>
      </c>
      <c r="C13" s="12" t="n">
        <v>129849</v>
      </c>
      <c r="D13" s="13" t="n">
        <v>112959</v>
      </c>
      <c r="E13" s="14">
        <f>IF(ISERROR((C13-D13)/ABS(D13)),"",(C13-D13)/ABS(D13))</f>
        <v>0.14952327835763418</v>
      </c>
      <c r="F13" s="11" t="inlineStr">
        <is>
          <t>PDF p.97 (印刷頁 095)</t>
        </is>
      </c>
      <c r="G13" s="11" t="inlineStr">
        <is>
          <t>Property, plant and equipment 物業、廠房及設備 14 129,849 112,959</t>
        </is>
      </c>
    </row>
    <row r="14">
      <c r="A14" s="8" t="inlineStr">
        <is>
          <t>Balance Sheet</t>
        </is>
      </c>
      <c r="B14" s="8" t="inlineStr">
        <is>
          <t>Investment Properties</t>
        </is>
      </c>
      <c r="C14" s="12" t="n">
        <v>161669</v>
      </c>
      <c r="D14" s="13" t="n">
        <v>140117</v>
      </c>
      <c r="E14" s="14">
        <f>IF(ISERROR((C14-D14)/ABS(D14)),"",(C14-D14)/ABS(D14))</f>
        <v>0.15381431232470008</v>
      </c>
      <c r="F14" s="11" t="inlineStr">
        <is>
          <t>PDF p.97 (印刷頁 095)</t>
        </is>
      </c>
      <c r="G14" s="11" t="inlineStr">
        <is>
          <t>Investment properties 投資物業 15 161,669 140,117</t>
        </is>
      </c>
    </row>
    <row r="15">
      <c r="A15" s="8" t="inlineStr">
        <is>
          <t>Balance Sheet</t>
        </is>
      </c>
      <c r="B15" s="8" t="inlineStr">
        <is>
          <t>Intangible Assets</t>
        </is>
      </c>
      <c r="C15" s="12" t="n">
        <v>99</v>
      </c>
      <c r="D15" s="13" t="n">
        <v>99</v>
      </c>
      <c r="E15" s="14">
        <f>IF(ISERROR((C15-D15)/ABS(D15)),"",(C15-D15)/ABS(D15))</f>
        <v>0.0</v>
      </c>
      <c r="F15" s="11" t="inlineStr">
        <is>
          <t>PDF p.97 (印刷頁 095)</t>
        </is>
      </c>
      <c r="G15" s="11" t="inlineStr">
        <is>
          <t>Intangible assets 無形資產 17 99 99</t>
        </is>
      </c>
    </row>
    <row r="16">
      <c r="A16" s="8" t="inlineStr">
        <is>
          <t>Balance Sheet</t>
        </is>
      </c>
      <c r="B16" s="8" t="inlineStr">
        <is>
          <t>Inventories</t>
        </is>
      </c>
      <c r="C16" s="12" t="n">
        <v>1050966</v>
      </c>
      <c r="D16" s="13" t="n">
        <v>1044023</v>
      </c>
      <c r="E16" s="14">
        <f>IF(ISERROR((C16-D16)/ABS(D16)),"",(C16-D16)/ABS(D16))</f>
        <v>0.006650236632717862</v>
      </c>
      <c r="F16" s="11" t="inlineStr">
        <is>
          <t>PDF p.97 (印刷頁 095)</t>
        </is>
      </c>
      <c r="G16" s="11" t="inlineStr">
        <is>
          <t>Inventories 存貨 19 1,050,966 1,044,023</t>
        </is>
      </c>
    </row>
    <row r="17">
      <c r="A17" s="8" t="inlineStr">
        <is>
          <t>Balance Sheet</t>
        </is>
      </c>
      <c r="B17" s="8" t="inlineStr">
        <is>
          <t>Trade Receivables</t>
        </is>
      </c>
      <c r="C17" s="12" t="n">
        <v>26650</v>
      </c>
      <c r="D17" s="13" t="n">
        <v>38188</v>
      </c>
      <c r="E17" s="14">
        <f>IF(ISERROR((C17-D17)/ABS(D17)),"",(C17-D17)/ABS(D17))</f>
        <v>-0.3021367968995496</v>
      </c>
      <c r="F17" s="11" t="inlineStr">
        <is>
          <t>PDF p.97 (印刷頁 095)</t>
        </is>
      </c>
      <c r="G17" s="11" t="inlineStr">
        <is>
          <t>Trade receivables 應收賬款 20 26,650 38,188</t>
        </is>
      </c>
    </row>
    <row r="18">
      <c r="A18" s="8" t="inlineStr">
        <is>
          <t>Balance Sheet</t>
        </is>
      </c>
      <c r="B18" s="8" t="inlineStr">
        <is>
          <t>Cash and Equivalents</t>
        </is>
      </c>
      <c r="C18" s="12" t="n">
        <v>83192</v>
      </c>
      <c r="D18" s="13" t="n">
        <v>129378</v>
      </c>
      <c r="E18" s="14">
        <f>IF(ISERROR((C18-D18)/ABS(D18)),"",(C18-D18)/ABS(D18))</f>
        <v>-0.35698495880288766</v>
      </c>
      <c r="F18" s="11" t="inlineStr">
        <is>
          <t>PDF p.97 (印刷頁 095)</t>
        </is>
      </c>
      <c r="G18" s="11" t="inlineStr">
        <is>
          <t>Cash and cash equivalents 現金及現金等價物 22 83,192 129,378</t>
        </is>
      </c>
    </row>
    <row r="19">
      <c r="A19" s="8" t="inlineStr">
        <is>
          <t>Balance Sheet</t>
        </is>
      </c>
      <c r="B19" s="8" t="inlineStr">
        <is>
          <t>Total Equity</t>
        </is>
      </c>
      <c r="C19" s="12" t="n">
        <v>-512576</v>
      </c>
      <c r="D19" s="13" t="n">
        <v>-353222</v>
      </c>
      <c r="E19" s="14">
        <f>IF(ISERROR((C19-D19)/ABS(D19)),"",(C19-D19)/ABS(D19))</f>
        <v>-0.4511440397257249</v>
      </c>
      <c r="F19" s="11" t="inlineStr">
        <is>
          <t>PDF p.98 (印刷頁 096)</t>
        </is>
      </c>
      <c r="G19" s="11" t="inlineStr">
        <is>
          <t>TOTAL EQUITY 權益總額 (512,576) (353,222)</t>
        </is>
      </c>
    </row>
    <row r="20">
      <c r="A20" s="8" t="inlineStr">
        <is>
          <t>Balance Sheet</t>
        </is>
      </c>
      <c r="B20" s="8" t="inlineStr">
        <is>
          <t>Total Current Assets</t>
        </is>
      </c>
      <c r="C20" s="12" t="n">
        <v>1201328</v>
      </c>
      <c r="D20" s="13" t="n">
        <v>1314972</v>
      </c>
      <c r="E20" s="14">
        <f>IF(ISERROR((C20-D20)/ABS(D20)),"",(C20-D20)/ABS(D20))</f>
        <v>-0.0864231329640479</v>
      </c>
      <c r="F20" s="11" t="inlineStr">
        <is>
          <t>PDF p.97 (印刷頁 095)</t>
        </is>
      </c>
      <c r="G20" s="11" t="inlineStr">
        <is>
          <t>[current assets 區段小計] 1,201,328 1,314,972</t>
        </is>
      </c>
    </row>
    <row r="21">
      <c r="A21" s="8" t="inlineStr">
        <is>
          <t>Balance Sheet</t>
        </is>
      </c>
      <c r="B21" s="8" t="inlineStr">
        <is>
          <t>Total Current Liabilities</t>
        </is>
      </c>
      <c r="C21" s="12" t="n">
        <v>-555192</v>
      </c>
      <c r="D21" s="13" t="n">
        <v>-1236304</v>
      </c>
      <c r="E21" s="14">
        <f>IF(ISERROR((C21-D21)/ABS(D21)),"",(C21-D21)/ABS(D21))</f>
        <v>0.55092598584167</v>
      </c>
      <c r="F21" s="11" t="inlineStr">
        <is>
          <t>PDF p.97 (印刷頁 095)</t>
        </is>
      </c>
      <c r="G21" s="11" t="inlineStr">
        <is>
          <t>[current liabilities 區段小計] (555,192) (1,236,304)</t>
        </is>
      </c>
    </row>
    <row r="22">
      <c r="A22" s="8" t="inlineStr">
        <is>
          <t>Cash Flow</t>
        </is>
      </c>
      <c r="B22" s="8" t="inlineStr">
        <is>
          <t>Operating Cash Flow</t>
        </is>
      </c>
      <c r="C22" s="12" t="n">
        <v>105668</v>
      </c>
      <c r="D22" s="13" t="n">
        <v>236684</v>
      </c>
      <c r="E22" s="14">
        <f>IF(ISERROR((C22-D22)/ABS(D22)),"",(C22-D22)/ABS(D22))</f>
        <v>-0.5535481908367275</v>
      </c>
      <c r="F22" s="11" t="inlineStr">
        <is>
          <t>PDF p.102 (印刷頁 100)</t>
        </is>
      </c>
      <c r="G22" s="11" t="inlineStr">
        <is>
          <t>Net cash flows from operating activities 經營業務產生之現金流量淨額 105,668 236,684</t>
        </is>
      </c>
    </row>
    <row r="24">
      <c r="A2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財務數據'!$C$5:$C$22,MATCH("Gross Profit",'Financials 財務數據'!$B$5:$B$22,0))/INDEX('Financials 財務數據'!$C$5:$C$22,MATCH("Revenue",'Financials 財務數據'!$B$5:$B$22,0))),"n/a",INDEX('Financials 財務數據'!$C$5:$C$22,MATCH("Gross Profit",'Financials 財務數據'!$B$5:$B$22,0))/INDEX('Financials 財務數據'!$C$5:$C$22,MATCH("Revenue",'Financials 財務數據'!$B$5:$B$22,0)))</f>
        <v>0.31069572503291665</v>
      </c>
      <c r="C5" s="15">
        <f>IF(ISERROR(INDEX('Financials 財務數據'!$D$5:$D$22,MATCH("Gross Profit",'Financials 財務數據'!$B$5:$B$22,0))/INDEX('Financials 財務數據'!$D$5:$D$22,MATCH("Revenue",'Financials 財務數據'!$B$5:$B$22,0))),"n/a",INDEX('Financials 財務數據'!$D$5:$D$22,MATCH("Gross Profit",'Financials 財務數據'!$B$5:$B$22,0))/INDEX('Financials 財務數據'!$D$5:$D$22,MATCH("Revenue",'Financials 財務數據'!$B$5:$B$22,0)))</f>
        <v>0.3407779141118626</v>
      </c>
      <c r="D5" s="2" t="inlineStr">
        <is>
          <t>毛利 ÷ 收入</t>
        </is>
      </c>
    </row>
    <row r="6">
      <c r="A6" s="4" t="inlineStr">
        <is>
          <t>Net Margin 淨利率</t>
        </is>
      </c>
      <c r="B6" s="15">
        <f>IF(ISERROR(INDEX('Financials 財務數據'!$C$5:$C$22,MATCH("Profit for the Year",'Financials 財務數據'!$B$5:$B$22,0))/INDEX('Financials 財務數據'!$C$5:$C$22,MATCH("Revenue",'Financials 財務數據'!$B$5:$B$22,0))),"n/a",INDEX('Financials 財務數據'!$C$5:$C$22,MATCH("Profit for the Year",'Financials 財務數據'!$B$5:$B$22,0))/INDEX('Financials 財務數據'!$C$5:$C$22,MATCH("Revenue",'Financials 財務數據'!$B$5:$B$22,0)))</f>
        <v>0.06808790399948549</v>
      </c>
      <c r="C6" s="15">
        <f>IF(ISERROR(INDEX('Financials 財務數據'!$D$5:$D$22,MATCH("Profit for the Year",'Financials 財務數據'!$B$5:$B$22,0))/INDEX('Financials 財務數據'!$D$5:$D$22,MATCH("Revenue",'Financials 財務數據'!$B$5:$B$22,0))),"n/a",INDEX('Financials 財務數據'!$D$5:$D$22,MATCH("Profit for the Year",'Financials 財務數據'!$B$5:$B$22,0))/INDEX('Financials 財務數據'!$D$5:$D$22,MATCH("Revenue",'Financials 財務數據'!$B$5:$B$22,0)))</f>
        <v>-0.1155167590669142</v>
      </c>
      <c r="D6" s="2" t="inlineStr">
        <is>
          <t>年內溢利 ÷ 收入</t>
        </is>
      </c>
    </row>
    <row r="7">
      <c r="A7" s="4" t="inlineStr">
        <is>
          <t>Current Ratio 流動比率</t>
        </is>
      </c>
      <c r="B7" s="16">
        <f>IF(ISERROR(INDEX('Financials 財務數據'!$C$5:$C$22,MATCH("Total Current Assets",'Financials 財務數據'!$B$5:$B$22,0))/INDEX('Financials 財務數據'!$C$5:$C$22,MATCH("Total Current Liabilities",'Financials 財務數據'!$B$5:$B$22,0))),"n/a",INDEX('Financials 財務數據'!$C$5:$C$22,MATCH("Total Current Assets",'Financials 財務數據'!$B$5:$B$22,0))/INDEX('Financials 財務數據'!$C$5:$C$22,MATCH("Total Current Liabilities",'Financials 財務數據'!$B$5:$B$22,0)))</f>
        <v>-2.163806394904826</v>
      </c>
      <c r="C7" s="16">
        <f>IF(ISERROR(INDEX('Financials 財務數據'!$D$5:$D$22,MATCH("Total Current Assets",'Financials 財務數據'!$B$5:$B$22,0))/INDEX('Financials 財務數據'!$D$5:$D$22,MATCH("Total Current Liabilities",'Financials 財務數據'!$B$5:$B$22,0))),"n/a",INDEX('Financials 財務數據'!$D$5:$D$22,MATCH("Total Current Assets",'Financials 財務數據'!$B$5:$B$22,0))/INDEX('Financials 財務數據'!$D$5:$D$22,MATCH("Total Current Liabilities",'Financials 財務數據'!$B$5:$B$22,0)))</f>
        <v>-1.0636315987006433</v>
      </c>
      <c r="D7" s="2" t="inlineStr">
        <is>
          <t>流動資產 ÷ 流動負債</t>
        </is>
      </c>
    </row>
    <row r="8">
      <c r="A8" s="4" t="inlineStr">
        <is>
          <t>Debt / Equity 負債權益比</t>
        </is>
      </c>
      <c r="B8" s="16" t="str">
        <f>IF(ISERROR(INDEX('Financials 財務數據'!$C$5:$C$22,MATCH("Total Liabilities",'Financials 財務數據'!$B$5:$B$22,0))/INDEX('Financials 財務數據'!$C$5:$C$22,MATCH("Total Equity",'Financials 財務數據'!$B$5:$B$22,0))),"n/a",INDEX('Financials 財務數據'!$C$5:$C$22,MATCH("Total Liabilities",'Financials 財務數據'!$B$5:$B$22,0))/INDEX('Financials 財務數據'!$C$5:$C$22,MATCH("Total Equity",'Financials 財務數據'!$B$5:$B$22,0)))</f>
        <v>n/a</v>
      </c>
      <c r="C8" s="16" t="str">
        <f>IF(ISERROR(INDEX('Financials 財務數據'!$D$5:$D$22,MATCH("Total Liabilities",'Financials 財務數據'!$B$5:$B$22,0))/INDEX('Financials 財務數據'!$D$5:$D$22,MATCH("Total Equity",'Financials 財務數據'!$B$5:$B$22,0))),"n/a",INDEX('Financials 財務數據'!$D$5:$D$22,MATCH("Total Liabilities",'Financials 財務數據'!$B$5:$B$22,0))/INDEX('Financials 財務數據'!$D$5:$D$22,MATCH("Total Equity",'Financials 財務數據'!$B$5:$B$22,0)))</f>
        <v>n/a</v>
      </c>
      <c r="D8" s="2" t="inlineStr">
        <is>
          <t>總負債 ÷ 總權益</t>
        </is>
      </c>
    </row>
    <row r="9">
      <c r="A9" s="4" t="inlineStr">
        <is>
          <t>Goodwill / Total Assets</t>
        </is>
      </c>
      <c r="B9" s="15" t="str">
        <f>IF(ISERROR(INDEX('Financials 財務數據'!$C$5:$C$22,MATCH("Goodwill",'Financials 財務數據'!$B$5:$B$22,0))/INDEX('Financials 財務數據'!$C$5:$C$22,MATCH("Total Assets",'Financials 財務數據'!$B$5:$B$22,0))),"n/a",INDEX('Financials 財務數據'!$C$5:$C$22,MATCH("Goodwill",'Financials 財務數據'!$B$5:$B$22,0))/INDEX('Financials 財務數據'!$C$5:$C$22,MATCH("Total Assets",'Financials 財務數據'!$B$5:$B$22,0)))</f>
        <v>n/a</v>
      </c>
      <c r="C9" s="15" t="str">
        <f>IF(ISERROR(INDEX('Financials 財務數據'!$D$5:$D$22,MATCH("Goodwill",'Financials 財務數據'!$B$5:$B$22,0))/INDEX('Financials 財務數據'!$D$5:$D$22,MATCH("Total Assets",'Financials 財務數據'!$B$5:$B$22,0))),"n/a",INDEX('Financials 財務數據'!$D$5:$D$22,MATCH("Goodwill",'Financials 財務數據'!$B$5:$B$22,0))/INDEX('Financials 財務數據'!$D$5:$D$22,MATCH("Total Assets",'Financials 財務數據'!$B$5:$B$22,0)))</f>
        <v>n/a</v>
      </c>
      <c r="D9" s="2" t="inlineStr">
        <is>
          <t>商譽佔總資產比重 — 減值風險指標</t>
        </is>
      </c>
    </row>
    <row r="10">
      <c r="A10" s="4" t="inlineStr">
        <is>
          <t>Intangibles / Total Assets</t>
        </is>
      </c>
      <c r="B10" s="15" t="str">
        <f>IF(ISERROR(INDEX('Financials 財務數據'!$C$5:$C$22,MATCH("Intangible Assets",'Financials 財務數據'!$B$5:$B$22,0))/INDEX('Financials 財務數據'!$C$5:$C$22,MATCH("Total Assets",'Financials 財務數據'!$B$5:$B$22,0))),"n/a",INDEX('Financials 財務數據'!$C$5:$C$22,MATCH("Intangible Assets",'Financials 財務數據'!$B$5:$B$22,0))/INDEX('Financials 財務數據'!$C$5:$C$22,MATCH("Total Assets",'Financials 財務數據'!$B$5:$B$22,0)))</f>
        <v>n/a</v>
      </c>
      <c r="C10" s="15" t="str">
        <f>IF(ISERROR(INDEX('Financials 財務數據'!$D$5:$D$22,MATCH("Intangible Assets",'Financials 財務數據'!$B$5:$B$22,0))/INDEX('Financials 財務數據'!$D$5:$D$22,MATCH("Total Assets",'Financials 財務數據'!$B$5:$B$22,0))),"n/a",INDEX('Financials 財務數據'!$D$5:$D$22,MATCH("Intangible Assets",'Financials 財務數據'!$B$5:$B$22,0))/INDEX('Financials 財務數據'!$D$5:$D$22,MATCH("Total Assets",'Financials 財務數據'!$B$5:$B$22,0)))</f>
        <v>n/a</v>
      </c>
      <c r="D10" s="2" t="inlineStr">
        <is>
          <t>無形資產佔比</t>
        </is>
      </c>
    </row>
    <row r="11">
      <c r="A11" s="4" t="inlineStr">
        <is>
          <t>ROE 股本回報率</t>
        </is>
      </c>
      <c r="B11" s="15">
        <f>IF(ISERROR(INDEX('Financials 財務數據'!$C$5:$C$22,MATCH("Profit for the Year",'Financials 財務數據'!$B$5:$B$22,0))/INDEX('Financials 財務數據'!$C$5:$C$22,MATCH("Total Equity",'Financials 財務數據'!$B$5:$B$22,0))),"n/a",INDEX('Financials 財務數據'!$C$5:$C$22,MATCH("Profit for the Year",'Financials 財務數據'!$B$5:$B$22,0))/INDEX('Financials 財務數據'!$C$5:$C$22,MATCH("Total Equity",'Financials 財務數據'!$B$5:$B$22,0)))</f>
        <v>-0.2230615557497815</v>
      </c>
      <c r="C11" s="15">
        <f>IF(ISERROR(INDEX('Financials 財務數據'!$D$5:$D$22,MATCH("Profit for the Year",'Financials 財務數據'!$B$5:$B$22,0))/INDEX('Financials 財務數據'!$D$5:$D$22,MATCH("Total Equity",'Financials 財務數據'!$B$5:$B$22,0))),"n/a",INDEX('Financials 財務數據'!$D$5:$D$22,MATCH("Profit for the Year",'Financials 財務數據'!$B$5:$B$22,0))/INDEX('Financials 財務數據'!$D$5:$D$22,MATCH("Total Equity",'Financials 財務數據'!$B$5:$B$22,0)))</f>
        <v>0.5599849386504804</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1712297</v>
      </c>
      <c r="C5" s="18" t="n">
        <v>1679241</v>
      </c>
    </row>
    <row r="6">
      <c r="A6" s="4" t="inlineStr">
        <is>
          <t>Gross Profit</t>
        </is>
      </c>
      <c r="B6" s="18" t="n">
        <v>583513</v>
      </c>
      <c r="C6" s="18" t="n">
        <v>521733</v>
      </c>
    </row>
    <row r="7">
      <c r="A7" s="4" t="inlineStr">
        <is>
          <t>Profit Before Tax</t>
        </is>
      </c>
      <c r="B7" s="18" t="n">
        <v>-166139</v>
      </c>
      <c r="C7" s="18" t="n">
        <v>127939</v>
      </c>
    </row>
    <row r="8">
      <c r="A8" s="4" t="inlineStr">
        <is>
          <t>Profit for the Year</t>
        </is>
      </c>
      <c r="B8" s="18" t="n">
        <v>-197799</v>
      </c>
      <c r="C8" s="18" t="n">
        <v>114336</v>
      </c>
    </row>
    <row r="9">
      <c r="A9" s="4" t="inlineStr">
        <is>
          <t>Total Equity</t>
        </is>
      </c>
      <c r="B9" s="18" t="n">
        <v>-353222</v>
      </c>
      <c r="C9" s="18" t="n">
        <v>-512576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42"/>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公允價值</t>
        </is>
      </c>
      <c r="E4" s="11" t="inlineStr">
        <is>
          <t>PDF p.89 (印刷頁 087)</t>
        </is>
      </c>
      <c r="F4" s="11" t="inlineStr">
        <is>
          <t>現金流預測之重大判斷，及比較市場數據來分析增長 港幣130,000,000元及港幣115,000,000元。管理層已針對具有減值及減值回撥 率。此外，我們內部估值專家亦有協助我們分析若干物 跡象的個別現金產生單位及資產進行評估， 貴集團於本年度分別確認物業、廠 業的公允價值減出售成本，及評估釐定物業、廠房及設 房及設備減值港幣2,000,000元，以及使用權資產減值回撥港幣9,000,000元， 備及使用權資產之可收回款額之方法及貼現率。我們亦 以將該等資產之賬面值調整至可收回款額。可收回款額乃根據公允價值減出售 會用 貴集團歷史數據來比較現金流預測。 成本與使用價值計算中的較高者釐定。管理層在獨立專業估價師的協助下估計 了若干物業的公允價值減出售成本。就使用價值計算而言，確定使用價值需要 重大判斷，如根據資產或現金產生單位所產生之預計將來現金流。估計過程受 預期未來市場和經濟條件之假設高度影響。 The accounting policies and disclosures for the impairment and reversal of impairment of property, plant and equipment and right</t>
        </is>
      </c>
    </row>
    <row r="5">
      <c r="A5" s="8" t="inlineStr">
        <is>
          <t>Fair Value Measurement</t>
        </is>
      </c>
      <c r="B5" s="8" t="inlineStr">
        <is>
          <t>公允價值計量</t>
        </is>
      </c>
      <c r="C5" s="19" t="inlineStr">
        <is>
          <t>high</t>
        </is>
      </c>
      <c r="D5" s="11" t="inlineStr">
        <is>
          <t>公允價值</t>
        </is>
      </c>
      <c r="E5" s="11" t="inlineStr">
        <is>
          <t>PDF p.101 (印刷頁 099)</t>
        </is>
      </c>
      <c r="F5" s="11" t="inlineStr">
        <is>
          <t>,651 (Reversal of impairment)/impairment 使用權資產（減值回撥）╱減值 of right-of-use assets 7 (9,161) 42,549 Fair value losses on investment 投資物業的公允價值虧損 properties 6 14,848 11,793 Impairment/(reversal of impairment) 存貨減值╱（減值回撥），淨額 of inventories, net 7 5,966 (13,661) Fair value losses on gold loan and 黃金貸款及以黃金商品結算 trade payables settled in gold 之應付賬款的公允價值虧損 commodities 6 21,146 1,737 Gain on inventory monetarisation 存貨變現收益 6 (65,426) – 159,294 39,678 099</t>
        </is>
      </c>
    </row>
    <row r="6">
      <c r="A6" s="8" t="inlineStr">
        <is>
          <t>Fair Value Measurement</t>
        </is>
      </c>
      <c r="B6" s="8" t="inlineStr">
        <is>
          <t>公允價值計量</t>
        </is>
      </c>
      <c r="C6" s="19" t="inlineStr">
        <is>
          <t>high</t>
        </is>
      </c>
      <c r="D6" s="11" t="inlineStr">
        <is>
          <t>公允價值</t>
        </is>
      </c>
      <c r="E6" s="11" t="inlineStr">
        <is>
          <t>PDF p.111 (印刷頁 109)</t>
        </is>
      </c>
      <c r="F6" s="11" t="inlineStr">
        <is>
          <t>ong Kong Accounting Standards 報告準則、香港會計準則及詮釋）及香港公司 (“HKASs”) and Interpretations) as issued by the Hong Kong Institute 條例披露要求規定而編製。除以公允價值計量 of Certified Public Accountants (“HKICPA”) and the disclosure 之投資物業、黃金貸款及以黃金商品結算之應 requirements of the Hong Kong Companies Ordinance. They have 付賬款外，此等財務報表皆按歷史成本常規法 been prepared under the historical cost convention, except for 編製。此等財務報表以港元呈報，除特別說 investment properties, gold loan and trade payables settled in 明，所有價值均調整至最接近的千位數。 gold commodities, which have been measured at fair value. These</t>
        </is>
      </c>
    </row>
    <row r="7">
      <c r="A7" s="8" t="inlineStr">
        <is>
          <t>Fair Value Measurement</t>
        </is>
      </c>
      <c r="B7" s="8" t="inlineStr">
        <is>
          <t>公允價值計量</t>
        </is>
      </c>
      <c r="C7" s="19" t="inlineStr">
        <is>
          <t>high</t>
        </is>
      </c>
      <c r="D7" s="11" t="inlineStr">
        <is>
          <t>公允價值</t>
        </is>
      </c>
      <c r="E7" s="11" t="inlineStr">
        <is>
          <t>PDF p.123 (印刷頁 121)</t>
        </is>
      </c>
      <c r="F7" s="11" t="inlineStr">
        <is>
          <t>用。預期該等修訂本不會對本 consolidated financial statements. 集團之綜合財務報表產生任何影響。 2.4 MATERIAL ACCOUNTING POLICIES 2.4 重大會計政策 Fair value measurement 公允價值計量 The Group measures its investment properties, gold loan and 本集團於各報告期末以公允值計量投資物業， trade payables settled in gold commodities at fair value at the 黃金貸款及以黃金商品結算之應付賬款。公允 end of each reporting period. Fair value is the price that would be 價值為市場參與者間於計量日期進行之有序交 received to sell an asset or paid to transfer a liability in an orderly 易中，出售資產所收取或轉讓負債所支付之價 transaction between market participants at th</t>
        </is>
      </c>
    </row>
    <row r="8">
      <c r="A8" s="8" t="inlineStr">
        <is>
          <t>Fair Value Measurement</t>
        </is>
      </c>
      <c r="B8" s="8" t="inlineStr">
        <is>
          <t>公允價值計量</t>
        </is>
      </c>
      <c r="C8" s="19" t="inlineStr">
        <is>
          <t>high</t>
        </is>
      </c>
      <c r="D8" s="11" t="inlineStr">
        <is>
          <t>level 1</t>
        </is>
      </c>
      <c r="E8" s="11" t="inlineStr">
        <is>
          <t>PDF p.124 (印刷頁 122)</t>
        </is>
      </c>
      <c r="F8" s="11" t="inlineStr">
        <is>
          <t>cribed as follows, based on the lowest level input that 之最低層數據分類至下述之公允價值等級： is significant to the fair value measurement as a whole: Level 1 – based on quoted prices (unadjusted) in active markets 級別1 －按相同資產或負債在活躍市場報價 for identical assets or liabilities （未經調整）計量 Level 2 – based on valuation techniques for which the 級別2 －估值技術計量，而該技術採用對公 lowest level input that is significant to the fair 允價值計量具重大影響之最低層數 value measurement is observable, either directly or 據可直接或間接觀察得出 indirectly Level 3 – based on valuation techniques for which the</t>
        </is>
      </c>
    </row>
    <row r="9">
      <c r="A9" s="8" t="inlineStr">
        <is>
          <t>Fair Value Measurement</t>
        </is>
      </c>
      <c r="B9" s="8" t="inlineStr">
        <is>
          <t>公允價值計量</t>
        </is>
      </c>
      <c r="C9" s="19" t="inlineStr">
        <is>
          <t>high</t>
        </is>
      </c>
      <c r="D9" s="11" t="inlineStr">
        <is>
          <t>公允價值</t>
        </is>
      </c>
      <c r="E9" s="11" t="inlineStr">
        <is>
          <t>PDF p.129 (印刷頁 127)</t>
        </is>
      </c>
      <c r="F9" s="11" t="inlineStr">
        <is>
          <t>期末市況的公允值列賬。 conditions at the end of the reporting period. Gains or losses arising from changes in the fair values of investment 投資物業公允價值變動所產生之盈虧計入產生 properties are included in the statement of profit or loss in the year 年度之綜合損益表。 in which they arise. Any gains or losses on the retirement or disposal of an investment 任何棄用或出售投資物業之盈虧在棄用或出售 property are recognised in the statement of profit or loss in the 當年之綜合損益表中確認。 year of the retirement or disposal. 127</t>
        </is>
      </c>
    </row>
    <row r="10">
      <c r="A10" s="8" t="inlineStr">
        <is>
          <t>Fair Value Measurement</t>
        </is>
      </c>
      <c r="B10" s="8" t="inlineStr">
        <is>
          <t>公允價值計量</t>
        </is>
      </c>
      <c r="C10" s="19" t="inlineStr">
        <is>
          <t>high</t>
        </is>
      </c>
      <c r="D10" s="11" t="inlineStr">
        <is>
          <t>公允價值</t>
        </is>
      </c>
      <c r="E10" s="11" t="inlineStr">
        <is>
          <t>PDF p.134 (印刷頁 132)</t>
        </is>
      </c>
      <c r="F10" s="11" t="inlineStr">
        <is>
          <t>e classified, at initial recognition, as 財務資產於初次確認時分類為其後按攤銷成 subsequently measured at amortised cost, fair value through other 本、指定為按公允價值計入其他全面收益及按 comprehensive income, and fair value through profit or loss. 公允價值計入損益計量。 The classification of financial assets at initial recognition depends 財務資產於初次確認時之分類取決於財務資產 on the financial asset’s contractual cash flow characteristics and 之合約現金流量特點及本集團管理該等財務資 the Group’s business model for managing them. With the exception 產之業務模式。除不含重大融資成分或本集團 of trade receivables that do not contain a sign</t>
        </is>
      </c>
    </row>
    <row r="11">
      <c r="A11" s="8" t="inlineStr">
        <is>
          <t>Fair Value Measurement</t>
        </is>
      </c>
      <c r="B11" s="8" t="inlineStr">
        <is>
          <t>公允價值計量</t>
        </is>
      </c>
      <c r="C11" s="19" t="inlineStr">
        <is>
          <t>high</t>
        </is>
      </c>
      <c r="D11" s="11" t="inlineStr">
        <is>
          <t>公允價值</t>
        </is>
      </c>
      <c r="E11" s="11" t="inlineStr">
        <is>
          <t>PDF p.135 (印刷頁 133)</t>
        </is>
      </c>
      <c r="F11" s="11" t="inlineStr">
        <is>
          <t>llect contractual cash flows, while 持有以收取合約現金流量及出售財務資產之業 financial assets classified and measured at fair value through 務模式中持有之財務資產，按公允價值計入其 other comprehensive income are held within a business model 他全面收益分類及計量。並非於上述業務模式 with the objective of both holding to collect contractual cash 中持有之財務資產，乃按公允價值計入損益分 flows and selling. Financial assets which are not held within the 類及計量。 aforementioned business models are classified and measured at fair value through profit or loss. Purchases or sales of financial assets that require delive</t>
        </is>
      </c>
    </row>
    <row r="12">
      <c r="A12" s="8" t="inlineStr">
        <is>
          <t>Fair Value Measurement</t>
        </is>
      </c>
      <c r="B12" s="8" t="inlineStr">
        <is>
          <t>公允價值計量</t>
        </is>
      </c>
      <c r="C12" s="19" t="inlineStr">
        <is>
          <t>high</t>
        </is>
      </c>
      <c r="D12" s="11" t="inlineStr">
        <is>
          <t>公允價值</t>
        </is>
      </c>
      <c r="E12" s="11" t="inlineStr">
        <is>
          <t>PDF p.137 (印刷頁 135)</t>
        </is>
      </c>
      <c r="F12" s="11" t="inlineStr">
        <is>
          <t>continued) 2.4 重大會計政策（續） Impairment of financial assets 財務資產減值 The Group recognises an allowance for expected credit losses 本集團就所有並非按公允價值計入損益持有之 (“ECLs”) for all debt instruments not held at fair value through 債務工具確認預期信貸虧損撥備。預期信貸虧 profit or loss. ECLs are based on the difference between the 損乃基於根據合約應付的合約現金流量與本集 contractual cash flows due in accordance with the contract and all 團預期收取並按原有實際利率的相若利率貼現 the cash flows that the Group expects to receive, discounted at an 的所有現金流量之間的差額計算。預期現金流 approximation of the original effective inte</t>
        </is>
      </c>
    </row>
    <row r="13">
      <c r="A13" s="8" t="inlineStr">
        <is>
          <t>Fair Value Measurement</t>
        </is>
      </c>
      <c r="B13" s="8" t="inlineStr">
        <is>
          <t>公允價值計量</t>
        </is>
      </c>
      <c r="C13" s="19" t="inlineStr">
        <is>
          <t>high</t>
        </is>
      </c>
      <c r="D13" s="11" t="inlineStr">
        <is>
          <t>公允價值</t>
        </is>
      </c>
      <c r="E13" s="11" t="inlineStr">
        <is>
          <t>PDF p.139 (印刷頁 137)</t>
        </is>
      </c>
      <c r="F13" s="11" t="inlineStr">
        <is>
          <t>為一有效對沖作對沖工具的衍生工具。 effective hedge, as appropriate. All financial liabilities are recognised initially at fair value and, in 所有財務負債初次按公允價值確認，如屬借貸 the case of loans and borrowings and payables, net of directly 及貸款，則扣除直接應佔交易成本。 attributable transaction costs. The Group’s financial liabilities include trade payables, gold loan, 本集團的財務負債包括應付賬款、黃金貸款、 other payables and accruals, interest-bearing bank borrowings and 其他應付款及應計費用，計息銀行借款及租賃 lease liabilities. 負債。 137</t>
        </is>
      </c>
    </row>
    <row r="14">
      <c r="A14" s="8" t="inlineStr">
        <is>
          <t>Fair Value Measurement</t>
        </is>
      </c>
      <c r="B14" s="8" t="inlineStr">
        <is>
          <t>公允價值計量</t>
        </is>
      </c>
      <c r="C14" s="19" t="inlineStr">
        <is>
          <t>high</t>
        </is>
      </c>
      <c r="D14" s="11" t="inlineStr">
        <is>
          <t>公允價值</t>
        </is>
      </c>
      <c r="E14" s="11" t="inlineStr">
        <is>
          <t>PDF p.140 (印刷頁 138)</t>
        </is>
      </c>
      <c r="F14" s="11" t="inlineStr">
        <is>
          <t>ties depends on 財務負債之其後計量根據其分類進行，方式如 their classification as follows: 下： Financial liabilities at fair value through profit or loss 以公允價值計量且其變動計入損益表的金融負 債 Financial liabilities at fair value through profit or loss include 以公允價值計量且其變動計入損益表的金融負 financial liabilities held for trading and financial liabilities designated 債包括交易性金融負債及初始確認時指定為以 upon initial recognition as at fair value through profit or loss. 公允價值計量且其變動計入損益表的金融負 債。 Financial liabilities designated upon initial recognition as at fair 於初始確認時指定為以公允價值計入損益表的 value through</t>
        </is>
      </c>
    </row>
    <row r="15">
      <c r="A15" s="8" t="inlineStr">
        <is>
          <t>Fair Value Measurement</t>
        </is>
      </c>
      <c r="B15" s="8" t="inlineStr">
        <is>
          <t>公允價值計量</t>
        </is>
      </c>
      <c r="C15" s="19" t="inlineStr">
        <is>
          <t>high</t>
        </is>
      </c>
      <c r="D15" s="11" t="inlineStr">
        <is>
          <t>公允價值</t>
        </is>
      </c>
      <c r="E15" s="11" t="inlineStr">
        <is>
          <t>PDF p.150 (印刷頁 148)</t>
        </is>
      </c>
      <c r="F15" s="11" t="inlineStr">
        <is>
          <t>truments (“equity-settled transactions”). 易」）。與僱員進行權益結算交易的成本以授予 The cost of equity-settled transactions with employees is measured 日的公允價值計量。公允價值由外部估價師使 by reference to the fair value at the date at which they are granted. 用二項式模型決定，進一步詳情請參閱財務報 The fair value is determined by an external valuer using a binomial 表附註30。 model, further details of which are given in note 30 to the financial statements. 148</t>
        </is>
      </c>
    </row>
    <row r="16">
      <c r="A16" s="8" t="inlineStr">
        <is>
          <t>Fair Value Measurement</t>
        </is>
      </c>
      <c r="B16" s="8" t="inlineStr">
        <is>
          <t>公允價值計量</t>
        </is>
      </c>
      <c r="C16" s="19" t="inlineStr">
        <is>
          <t>high</t>
        </is>
      </c>
      <c r="D16" s="11" t="inlineStr">
        <is>
          <t>公允價值</t>
        </is>
      </c>
      <c r="E16" s="11" t="inlineStr">
        <is>
          <t>PDF p.151 (印刷頁 149)</t>
        </is>
      </c>
      <c r="F16" s="11" t="inlineStr">
        <is>
          <t>f the number of equity instruments that 之最佳估計一部分。市場績效條件已反映於授 will ultimately vest. Market performance conditions are reflected 出權利當日之公允價值。任何與獎勵相關之其 within the grant date fair value. Any other conditions attached 他條件，但不屬於相關服務必要條件，均考慮 to an award, but without an associated service requirement, are 作非歸屬條件。除非附帶服務及╱或績效條 considered to be non-vesting conditions. Non-vesting conditions 件，非歸屬條件已反映於獎勵之公允價值而該 are reflected in the fair value of an award and lead to an immediate 獎勵立即計入開支內。 expensing of an award unless there are also service</t>
        </is>
      </c>
    </row>
    <row r="17">
      <c r="A17" s="8" t="inlineStr">
        <is>
          <t>Fair Value Measurement</t>
        </is>
      </c>
      <c r="B17" s="8" t="inlineStr">
        <is>
          <t>公允價值計量</t>
        </is>
      </c>
      <c r="C17" s="19" t="inlineStr">
        <is>
          <t>high</t>
        </is>
      </c>
      <c r="D17" s="11" t="inlineStr">
        <is>
          <t>公允價值</t>
        </is>
      </c>
      <c r="E17" s="11" t="inlineStr">
        <is>
          <t>PDF p.152 (印刷頁 150)</t>
        </is>
      </c>
      <c r="F17" s="11" t="inlineStr">
        <is>
          <t>of the award are met. In addition, an 有關條款時所產生的開支。此外，倘修訂導致 expense is recognised for any modification that increases the total 股本償付之總公允價值增加，或對僱員帶來其 fair value of the share-based payments, or is otherwise beneficial 他利益，均會按修訂當日之計量確認開支。倘 to the employee as measured at the date of modification. Where 股權結算獎勵註銷時，將被視作報酬於註銷當 an equity-settled award is cancelled, it is treated as if it had vested 日已經歸屬，而尚未確認報酬的任何支出會即 on the date of cancellation, and any expense not yet recognised for 時確認。 the award is recognised immediately. The diluti</t>
        </is>
      </c>
    </row>
    <row r="18">
      <c r="A18" s="8" t="inlineStr">
        <is>
          <t>Fair Value Measurement</t>
        </is>
      </c>
      <c r="B18" s="8" t="inlineStr">
        <is>
          <t>公允價值計量</t>
        </is>
      </c>
      <c r="C18" s="19" t="inlineStr">
        <is>
          <t>high</t>
        </is>
      </c>
      <c r="D18" s="11" t="inlineStr">
        <is>
          <t>公允價值</t>
        </is>
      </c>
      <c r="E18" s="11" t="inlineStr">
        <is>
          <t>PDF p.156 (印刷頁 154)</t>
        </is>
      </c>
      <c r="F18" s="11" t="inlineStr">
        <is>
          <t>red in terms of historical cost 以外幣歷史成本計算之非貨幣項目按初次交易 in a foreign currency are translated using the exchange rates at the 當日之匯率換算。以外幣公允價值計算之非貨 dates of the initial transactions. Non-monetary items measured at 幣項目按計量公允價值當日之匯率換算。換算 fair value in a foreign currency are translated using the exchange 以公允價值計量之非貨幣項目而產生之收益或 rates at the date when the fair value was measured. The gain or loss 虧損，按確認該項目之公允價值變動之收益或 arising on translation of a non-monetary item measured at fair value 虧損一致之方法處理（即公允價值盈虧於其他 is treated in line with the recogni</t>
        </is>
      </c>
    </row>
    <row r="19">
      <c r="A19" s="8" t="inlineStr">
        <is>
          <t>Fair Value Measurement</t>
        </is>
      </c>
      <c r="B19" s="8" t="inlineStr">
        <is>
          <t>公允價值計量</t>
        </is>
      </c>
      <c r="C19" s="19" t="inlineStr">
        <is>
          <t>high</t>
        </is>
      </c>
      <c r="D19" s="11" t="inlineStr">
        <is>
          <t>公允價值</t>
        </is>
      </c>
      <c r="E19" s="11" t="inlineStr">
        <is>
          <t>PDF p.157 (印刷頁 155)</t>
        </is>
      </c>
      <c r="F19" s="11" t="inlineStr">
        <is>
          <t>n is recognised in the statement of profit or loss. Any goodwill arising on the acquisition of a foreign operation and 任何收購海外業務產生之商譽及公允價值調整 any fair value adjustments to the carrying amounts of assets and 整賬面值乃視為該海外業務之資產及負債處 liabilities arising on acquisition are treated as assets and liabilities 理，並按收市匯率換算。 of the foreign operation and translated at the closing rate. For the purpose of the consolidated statement of cash flows, the 就合併現金流量表而言，海外附屬公司的現金 cash flows of overseas subsidiaries are translated into Hong Kong 流量以現金流量日期的</t>
        </is>
      </c>
    </row>
    <row r="20">
      <c r="A20" s="8" t="inlineStr">
        <is>
          <t>Fair Value Measurement</t>
        </is>
      </c>
      <c r="B20" s="8" t="inlineStr">
        <is>
          <t>公允價值計量</t>
        </is>
      </c>
      <c r="C20" s="19" t="inlineStr">
        <is>
          <t>high</t>
        </is>
      </c>
      <c r="D20" s="11" t="inlineStr">
        <is>
          <t>公允價值</t>
        </is>
      </c>
      <c r="E20" s="11" t="inlineStr">
        <is>
          <t>PDF p.161 (印刷頁 159)</t>
        </is>
      </c>
      <c r="F20" s="11" t="inlineStr">
        <is>
          <t>here are indicators that the 產之賬面值可能不能收回時釐定減值。倘此等資產 carrying amounts may not be recoverable. An impairment exists when 之賬面值超其可收回金額（為其公允價值減出售成 the carrying values of these assets exceed their recoverable amounts, 本與其使用價值之較高者），即存在減值。本集團亦 which is the higher of their fair value less costs of disposal and their 於各報告期末評估是否有任何跡象顯示先前確認的 value in use. The Group also assesses at each reporting date whether 減值虧損可能已不再存在或可能已減少。若存在任 there is any indication that a previously recognised impairment loss may 何此等跡象，本集團將重新計算該資產的可收回金 no longer exi</t>
        </is>
      </c>
    </row>
    <row r="21">
      <c r="A21" s="8" t="inlineStr">
        <is>
          <t>Fair Value Measurement</t>
        </is>
      </c>
      <c r="B21" s="8" t="inlineStr">
        <is>
          <t>公允價值計量</t>
        </is>
      </c>
      <c r="C21" s="19" t="inlineStr">
        <is>
          <t>high</t>
        </is>
      </c>
      <c r="D21" s="11" t="inlineStr">
        <is>
          <t>公允價值</t>
        </is>
      </c>
      <c r="E21" s="11" t="inlineStr">
        <is>
          <t>PDF p.165 (印刷頁 163)</t>
        </is>
      </c>
      <c r="F21" s="11" t="inlineStr">
        <is>
          <t>oss) before tax except that 計算方式一致，惟未分配支出、黃金貸款及以黃金 unallocated expenses, fair value losses on gold loan and trade payables 商品結算之應付賬款之公允價值虧損、存貨變現收 settled in gold commodities, gain on inventories monetarisation, fair value 益、投資物業公允值變動之虧損、及與租賃無關的 losses on investment properties and non-lease-related finance costs are 財務費用則不包括在其計算當中。 excluded from such measurement. Segment assets exclude deferred tax assets and tax recoverable as these 分部資產不包括遞延稅項資產及可收回稅項，該等 assets are managed on a group basis. 資產均由本集團統一管理。 Segment liabilities exc</t>
        </is>
      </c>
    </row>
    <row r="22">
      <c r="A22" s="8" t="inlineStr">
        <is>
          <t>Fair Value Measurement</t>
        </is>
      </c>
      <c r="B22" s="8" t="inlineStr">
        <is>
          <t>公允價值計量</t>
        </is>
      </c>
      <c r="C22" s="19" t="inlineStr">
        <is>
          <t>high</t>
        </is>
      </c>
      <c r="D22" s="11" t="inlineStr">
        <is>
          <t>公允價值</t>
        </is>
      </c>
      <c r="E22" s="11" t="inlineStr">
        <is>
          <t>PDF p.166 (印刷頁 164)</t>
        </is>
      </c>
      <c r="F22" s="11" t="inlineStr">
        <is>
          <t>績 108,105 98,795 29,341 (1,569) 234,672 Reconciliation: 調節： Unallocated expenses 未分配支出 (99,634) Fair value losses on investment 投資物業的公允價值虧損 properties (14,848) Fair value losses on trade payables 以黃金商品結算 settled in gold commodities 之應付賬款之公允價值虧損 (21,146) Gain on inventory monetarisation 存貨變現收益 65,426 Finance costs (other than interest 財務費用（不包括租賃負債的 on lease liabilities) 利息） (36,531) Profit before tax 除稅前溢利 127,939 Income tax expense 所得稅費用 (13,603) Profit for the year 本年度溢利 114,336 Segment assets 分部資產 1,537,450 30,890 52,063 1,75</t>
        </is>
      </c>
    </row>
    <row r="23">
      <c r="A23" s="8" t="inlineStr">
        <is>
          <t>Fair Value Measurement</t>
        </is>
      </c>
      <c r="B23" s="8" t="inlineStr">
        <is>
          <t>公允價值計量</t>
        </is>
      </c>
      <c r="C23" s="19" t="inlineStr">
        <is>
          <t>high</t>
        </is>
      </c>
      <c r="D23" s="11" t="inlineStr">
        <is>
          <t>公允價值</t>
        </is>
      </c>
      <c r="E23" s="11" t="inlineStr">
        <is>
          <t>PDF p.168 (印刷頁 166)</t>
        </is>
      </c>
      <c r="F23" s="11" t="inlineStr">
        <is>
          <t>(70,644) 65,064 (4,039) (2,100) (11,719) Reconciliation: 調節： Unallocated expenses 未分配支出 (73,413) Fair value losses on gold loan 黃金貸款的公允價值虧損 (1,737) Fair value losses on investment 投資物業的公允價值虧損 properties (11,793) Finance costs (other than interest 財務費用（不包括租賃負債的 on lease liabilities) 利息） (67,477) Loss before tax 除稅前虧損 (166,139) Income tax expense 所得稅費用 (31,660) Loss for the year 本年度虧損 (197,799) Segment assets 分部資產 1,591,211 22,738 53,884 1,063 1,668,896 Reconciliation: 調節： Deferred tax assets 遞延稅項資產 10,702 Tax recoverable 可收回稅項 2</t>
        </is>
      </c>
    </row>
    <row r="24">
      <c r="A24" s="8" t="inlineStr">
        <is>
          <t>Fair Value Measurement</t>
        </is>
      </c>
      <c r="B24" s="8" t="inlineStr">
        <is>
          <t>公允價值計量</t>
        </is>
      </c>
      <c r="C24" s="19" t="inlineStr">
        <is>
          <t>high</t>
        </is>
      </c>
      <c r="D24" s="11" t="inlineStr">
        <is>
          <t>公允價值</t>
        </is>
      </c>
      <c r="E24" s="11" t="inlineStr">
        <is>
          <t>PDF p.174 (印刷頁 172)</t>
        </is>
      </c>
      <c r="F24" s="11" t="inlineStr">
        <is>
          <t>tory monetarisation 存貨變現收益 65,426 – Fair value losses on gold loan and trade 黃金貸款及以黃金商品結算 payables settled in gold commodities 之應付賬款之公允價值虧損 (21,146) (1,737) Fair value losses on investment 投資物業的公允價值虧損（附註15） properties (note 15) (14,848) (11,793) Repair service income 維修服務收入 587 726 Rental income 租金收入 4,763 4,296 Gain on lease modification 修訂租約收益 1,378 9,537 Others 其他 11,703 6,338 44,829 2,137 * The government grants represented subsidies from municipal * 此乃指由中國內地市政府及中華人民共和國香港 governments in the Chinese Mainland and the Governme</t>
        </is>
      </c>
    </row>
    <row r="25">
      <c r="A25" s="8" t="inlineStr">
        <is>
          <t>Fair Value Measurement</t>
        </is>
      </c>
      <c r="B25" s="8" t="inlineStr">
        <is>
          <t>公允價值計量</t>
        </is>
      </c>
      <c r="C25" s="19" t="inlineStr">
        <is>
          <t>high</t>
        </is>
      </c>
      <c r="D25" s="11" t="inlineStr">
        <is>
          <t>fair value hierarchy</t>
        </is>
      </c>
      <c r="E25" s="11" t="inlineStr">
        <is>
          <t>PDF p.187 (印刷頁 185)</t>
        </is>
      </c>
      <c r="F25" s="11" t="inlineStr">
        <is>
          <t>2,400,000 with impairment 部分的可收回金額為港幣2,400,000元，此乃根據公 indicator was determined based on fair value less cost of disposal. 允值減出售成本釐定。 Fair value hierarchy 公允價值等級 The following table illustrates the fair value measurement hierarchy of the 下表說明了本集團於往年以公允價值減出售成本計 Group’s assets for which the recoverable amount was determined based 算可收回金額的資產的公允價值等級： on fair value less cost of disposal in the prior year: 31 March 2025 2025年3月31日 Fair value measurements as at 31 March 2025 using 於2025年3月31日使用下列項目進行的公允值計量 Quoted prices in Significant S</t>
        </is>
      </c>
    </row>
    <row r="26">
      <c r="A26" s="8" t="inlineStr">
        <is>
          <t>Fair Value Measurement</t>
        </is>
      </c>
      <c r="B26" s="8" t="inlineStr">
        <is>
          <t>公允價值計量</t>
        </is>
      </c>
      <c r="C26" s="19" t="inlineStr">
        <is>
          <t>high</t>
        </is>
      </c>
      <c r="D26" s="11" t="inlineStr">
        <is>
          <t>fair value hierarchy</t>
        </is>
      </c>
      <c r="E26" s="11" t="inlineStr">
        <is>
          <t>PDF p.188 (印刷頁 186)</t>
        </is>
      </c>
      <c r="F26" s="11" t="inlineStr">
        <is>
          <t>NOTES TO THE FINANCIAL STATEMENTS (CONTINUED) 財務報表附註（續） 14. PROPERTY, PLANT AND EQUIPMENT 14. 物業、廠房及設備（續） (CONTINUED) Fair value hierarchy (continued) 公允價值等級（續） Below is a summary of the valuation techniques used and the key inputs 下文為住宅物業估值所用的估值技術及主要輸入數 to the valuation of the residential property: 據的概要： Valuation techniques Significant unobservable inputs Range 估值技術 重大不可觀察的輸入數據 範圍 2025 2025年 Residential property Direct comparison approach Price per sq.ft. (HK$) 15,185 to 20,911 住宅物業 直接比較法 每平方呎價（港幣） 15,185至20,91</t>
        </is>
      </c>
    </row>
    <row r="27">
      <c r="A27" s="8" t="inlineStr">
        <is>
          <t>Fair Value Measurement</t>
        </is>
      </c>
      <c r="B27" s="8" t="inlineStr">
        <is>
          <t>公允價值計量</t>
        </is>
      </c>
      <c r="C27" s="19" t="inlineStr">
        <is>
          <t>high</t>
        </is>
      </c>
      <c r="D27" s="11" t="inlineStr">
        <is>
          <t>公允價值</t>
        </is>
      </c>
      <c r="E27" s="11" t="inlineStr">
        <is>
          <t>PDF p.189 (印刷頁 187)</t>
        </is>
      </c>
      <c r="F27" s="11" t="inlineStr">
        <is>
          <t>m property, plant and equipment 轉撥自物業、廠房及設備 9,400 – Transfer from right-of-use assets 轉撥自使用權資產 27,000 – Net losses from a fair value 公允價值調整所產生的 adjustment (note 6) 淨虧損（附註6） (14,848) (11,793) Carrying amount at end of year 年末之賬面值 161,669 140,117 The Group’s investment properties consist of industrial properties in 本集團之投資物業包括在香港工業用物業。於2026 Hong Kong. The investment properties were revalued on 31 March 2026 年3 月31 日，本集團之投資物業根據由獨立專業 based on valuations performed by CBRE Advisory Hong Kong Limited, 合資格估值師世邦魏理仕進行之估值重估為港幣 independent</t>
        </is>
      </c>
    </row>
    <row r="28">
      <c r="A28" s="8" t="inlineStr">
        <is>
          <t>Fair Value Measurement</t>
        </is>
      </c>
      <c r="B28" s="8" t="inlineStr">
        <is>
          <t>公允價值計量</t>
        </is>
      </c>
      <c r="C28" s="19" t="inlineStr">
        <is>
          <t>high</t>
        </is>
      </c>
      <c r="D28" s="11" t="inlineStr">
        <is>
          <t>fair value hierarchy</t>
        </is>
      </c>
      <c r="E28" s="11" t="inlineStr">
        <is>
          <t>PDF p.190 (印刷頁 188)</t>
        </is>
      </c>
      <c r="F28" s="11" t="inlineStr">
        <is>
          <t>NOTES TO THE FINANCIAL STATEMENTS (CONTINUED) 財務報表附註（續） 15. INVESTMENT PROPERTIES 15. 投資物業（續） (CONTINUED) Fair value hierarchy 公允價值等級 The following table illustrates the fair value measurement hierarchy of the 下表說明本集團投資物業的公允值計量層級 Group’s investment properties: 31 March 2026 2026年3月31日 Fair value measurements as at 31 March 2026 using 於2026年3月31日的公允價值計量分類 Quoted prices in Significant Significant active observable unobservable markets inputs inputs (Level 1) (Level 2) (Level 3) Total 於活躍市場 重大可觀察 重大不可觀察</t>
        </is>
      </c>
    </row>
    <row r="29">
      <c r="A29" s="8" t="inlineStr">
        <is>
          <t>Fair Value Measurement</t>
        </is>
      </c>
      <c r="B29" s="8" t="inlineStr">
        <is>
          <t>公允價值計量</t>
        </is>
      </c>
      <c r="C29" s="19" t="inlineStr">
        <is>
          <t>high</t>
        </is>
      </c>
      <c r="D29" s="11" t="inlineStr">
        <is>
          <t>fair value hierarchy</t>
        </is>
      </c>
      <c r="E29" s="11" t="inlineStr">
        <is>
          <t>PDF p.191 (印刷頁 189)</t>
        </is>
      </c>
      <c r="F29" s="11" t="inlineStr">
        <is>
          <t>NOTES TO THE FINANCIAL STATEMENTS (CONTINUED) 財務報表附註（續） 15. INVESTMENT PROPERTIES 15. 投資物業（續） (CONTINUED) Fair value hierarchy (continued) 公允價值等級（續） Reconciliation of fair value measurements categorised within Level 3 of 分類為公允值第三層級之公允值計量之調節如下： the fair value hierarchy: Industrial properties 工業用物業 HK$’000 港幣千元 Carrying amount at 1 April 2024 於2024年4月1日賬面值 151,910 Net losses from a fair value adjustment 公允值調整之淨虧損 (11,793) Carrying amount at 31 March 2025 and 1 April 2025 於2025年3月31日及2025年4月1日賬面值 140,117</t>
        </is>
      </c>
    </row>
    <row r="30">
      <c r="A30" s="8" t="inlineStr">
        <is>
          <t>Fair Value Measurement</t>
        </is>
      </c>
      <c r="B30" s="8" t="inlineStr">
        <is>
          <t>公允價值計量</t>
        </is>
      </c>
      <c r="C30" s="19" t="inlineStr">
        <is>
          <t>high</t>
        </is>
      </c>
      <c r="D30" s="11" t="inlineStr">
        <is>
          <t>fair value hierarchy</t>
        </is>
      </c>
      <c r="E30" s="11" t="inlineStr">
        <is>
          <t>PDF p.192 (印刷頁 190)</t>
        </is>
      </c>
      <c r="F30" s="11" t="inlineStr">
        <is>
          <t>NOTES TO THE FINANCIAL STATEMENTS (CONTINUED) 財務報表附註（續） 15. INVESTMENT PROPERTIES 15. 投資物業（續） (CONTINUED) Fair value hierarchy (continued) 公允價值等級（續） Below is a summary of the valuation techniques used and the key inputs 下文為投資物業估值所用的估值技術及主要輸入數 to the valuation of investment properties: 據的概要： Valuation techniques Significant unobservable inputs Range 估值技術 重大不可觀察輸入據 範圍 2026 2025 2026年 2025年 Industrial properties Direct comparison approach Price per sq.ft. (HK$) 4,276 to 9,470 4,141 to 13,547 工業用物業 直接比較法</t>
        </is>
      </c>
    </row>
    <row r="31">
      <c r="A31" s="8" t="inlineStr">
        <is>
          <t>Fair Value Measurement</t>
        </is>
      </c>
      <c r="B31" s="8" t="inlineStr">
        <is>
          <t>公允價值計量</t>
        </is>
      </c>
      <c r="C31" s="19" t="inlineStr">
        <is>
          <t>high</t>
        </is>
      </c>
      <c r="D31" s="11" t="inlineStr">
        <is>
          <t>公允價值</t>
        </is>
      </c>
      <c r="E31" s="11" t="inlineStr">
        <is>
          <t>PDF p.208 (印刷頁 206)</t>
        </is>
      </c>
      <c r="F31" s="11" t="inlineStr">
        <is>
          <t>al liability at fair value 會計處理之條件。鑒於黃金貸款乃根據既定風險管 through profit or loss as it is managed and its performance is evaluated on 理及投資策略按公允價值基準管理及評估表現，故 a fair value basis, in accordance with a documented risk management and 獲指定為按公允價值訂定盈虧之財務負債，而有關 investment strategy, and information about the gold loan is provided on 該等黃金貸款之資料乃按同一基準提供予本集團之 that basis to the Group’s top management. The gold loan was unsecured 高層管理人員。黃金貸款無抵押及免息，且原始到 and interest-free, with an original maturity within 1 year. 期日為一年內。 206</t>
        </is>
      </c>
    </row>
    <row r="32">
      <c r="A32" s="8" t="inlineStr">
        <is>
          <t>Fair Value Measurement</t>
        </is>
      </c>
      <c r="B32" s="8" t="inlineStr">
        <is>
          <t>公允價值計量</t>
        </is>
      </c>
      <c r="C32" s="19" t="inlineStr">
        <is>
          <t>high</t>
        </is>
      </c>
      <c r="D32" s="11" t="inlineStr">
        <is>
          <t>公允價值</t>
        </is>
      </c>
      <c r="E32" s="11" t="inlineStr">
        <is>
          <t>PDF p.215 (印刷頁 213)</t>
        </is>
      </c>
      <c r="F32" s="11" t="inlineStr">
        <is>
          <t>INUED) Long service payments (continued) 長期服務金（續） The movements in the defined benefit obligations and the fair value of 界定福利義務及計劃資產的公允價值之變動如下： plan assets are as follows: 2026 2026年 Cost charged to profit or loss Remeasurement losses/(gains) in other comprehensive income 計入損益表之成本 計入綜合全面收益之精算虧損╱（收益） Actuarial Actuarial Actuarial changes changes changes Sub-total arising from arising from arising from Sub-total Net included changes in changes changes in in other At At 1 April Service interest in profit Benefits demographic in fi</t>
        </is>
      </c>
    </row>
    <row r="33">
      <c r="A33" s="8" t="inlineStr">
        <is>
          <t>Fair Value Measurement</t>
        </is>
      </c>
      <c r="B33" s="8" t="inlineStr">
        <is>
          <t>公允價值計量</t>
        </is>
      </c>
      <c r="C33" s="19" t="inlineStr">
        <is>
          <t>high</t>
        </is>
      </c>
      <c r="D33" s="11" t="inlineStr">
        <is>
          <t>公允價值</t>
        </is>
      </c>
      <c r="E33" s="11" t="inlineStr">
        <is>
          <t>PDF p.225 (印刷頁 223)</t>
        </is>
      </c>
      <c r="F33" s="11" t="inlineStr">
        <is>
          <t>日 16,185 1,060,209 116,927 Changes from financing cash flows 融資現金流量變動 (6,959) (339,538) (87,033) Fair value losses on gold loan 黃金貸款的公允價值虧損 1,737 – – New leases 新租賃 – – 3,755 Modification 修改 – – 40,318 Exchange realignment 外匯變動 – – 450 Interest expenses 利息開支 – – 6,438 Interest paid classified as 分類為經營現金流量的 operating cash flows 已付利息 – – (6,438) At 31 March 2025 於2025年3月31日 10,963 720,671 74,417 223</t>
        </is>
      </c>
    </row>
    <row r="34">
      <c r="A34" s="8" t="inlineStr">
        <is>
          <t>Fair Value Measurement</t>
        </is>
      </c>
      <c r="B34" s="8" t="inlineStr">
        <is>
          <t>公允價值計量</t>
        </is>
      </c>
      <c r="C34" s="19" t="inlineStr">
        <is>
          <t>high</t>
        </is>
      </c>
      <c r="D34" s="11" t="inlineStr">
        <is>
          <t>fair value hierarchy</t>
        </is>
      </c>
      <c r="E34" s="11" t="inlineStr">
        <is>
          <t>PDF p.234 (印刷頁 232)</t>
        </is>
      </c>
      <c r="F34" s="11" t="inlineStr">
        <is>
          <t>NOTES TO THE FINANCIAL STATEMENTS (CONTINUED) 財務報表附註（續） 37. FAIR VALUE AND FAIR VALUE HIERARCHY OF 37. 金融工具之公允價值及公允價值等級 FINANCIAL INSTRUMENTS The carrying amounts and fair values of the Group’s financial instruments, 除若干賬面值合理地與公允價值相若之財務工具 other than those with carrying amounts that reasonably approximate to 外，本集團的財務工具之賬面值與其公允價值如下： fair values, are as follows: Carrying amounts Fair values 賬面值 公允價值 2026 2025 2026 2025 2026年 2025年 2026年 2025年 HK$’000 HK$’000 HK$’000 HK$’000</t>
        </is>
      </c>
    </row>
    <row r="35">
      <c r="A35" s="8" t="inlineStr">
        <is>
          <t>Fair Value Measurement</t>
        </is>
      </c>
      <c r="B35" s="8" t="inlineStr">
        <is>
          <t>公允價值計量</t>
        </is>
      </c>
      <c r="C35" s="19" t="inlineStr">
        <is>
          <t>high</t>
        </is>
      </c>
      <c r="D35" s="11" t="inlineStr">
        <is>
          <t>fair value hierarchy</t>
        </is>
      </c>
      <c r="E35" s="11" t="inlineStr">
        <is>
          <t>PDF p.235 (印刷頁 233)</t>
        </is>
      </c>
      <c r="F35" s="11" t="inlineStr">
        <is>
          <t>NOTES TO THE FINANCIAL STATEMENTS (CONTINUED) 財務報表附註（續） 37. FAIR VALUE AND FAIR VALUE HIERARCHY OF 37. 金融工具之公允價值及公允價值等級（續） FINANCIAL INSTRUMENTS (CONTINUED) Fair value hierarchy: 公允價值等級： The following tables illustrate the fair value measurement hierarchy of the 下表呈列本集團的金融工具之公允價值計量等級： Group’s financial instruments: Liabilities for which fair values are measured: 按公允價值計量之負債： As at 31 March 2026 於2026年3月31日 Fair value measurement using 公允價值計量分類 Quoted prices Significant Si</t>
        </is>
      </c>
    </row>
    <row r="36">
      <c r="A36" s="8" t="inlineStr">
        <is>
          <t>Fair Value Measurement</t>
        </is>
      </c>
      <c r="B36" s="8" t="inlineStr">
        <is>
          <t>公允價值計量</t>
        </is>
      </c>
      <c r="C36" s="19" t="inlineStr">
        <is>
          <t>high</t>
        </is>
      </c>
      <c r="D36" s="11" t="inlineStr">
        <is>
          <t>fair value hierarchy</t>
        </is>
      </c>
      <c r="E36" s="11" t="inlineStr">
        <is>
          <t>PDF p.236 (印刷頁 234)</t>
        </is>
      </c>
      <c r="F36" s="11" t="inlineStr">
        <is>
          <t>NOTES TO THE FINANCIAL STATEMENTS (CONTINUED) 財務報表附註（續） 37. FAIR VALUE AND FAIR VALUE HIERARCHY OF 37. 金融工具之公允價值及公允價值等級（續） FINANCIAL INSTRUMENTS (CONTINUED) Fair value hierarchy: (continued) 公允價值等級：（續） Liabilities for which fair values are measured: (continued) 按公允價值計量之負債：（續） As at 31 March 2025 於2025年3月31日 Fair value measurement using 公允價值計量分類 Quoted prices Significant Significant in active observable unobservable markets inputs inputs Total 活躍 重大可 重大難以 市場報價 觀察數據 觀察數據 總</t>
        </is>
      </c>
    </row>
    <row r="37">
      <c r="A37" s="8" t="inlineStr">
        <is>
          <t>Fair Value Measurement</t>
        </is>
      </c>
      <c r="B37" s="8" t="inlineStr">
        <is>
          <t>公允價值計量</t>
        </is>
      </c>
      <c r="C37" s="19" t="inlineStr">
        <is>
          <t>high</t>
        </is>
      </c>
      <c r="D37" s="11" t="inlineStr">
        <is>
          <t>fair value hierarchy</t>
        </is>
      </c>
      <c r="E37" s="11" t="inlineStr">
        <is>
          <t>PDF p.237 (印刷頁 235)</t>
        </is>
      </c>
      <c r="F37" s="11" t="inlineStr">
        <is>
          <t>NOTES TO THE FINANCIAL STATEMENTS (CONTINUED) 財務報表附註（續） 37. FAIR VALUE AND FAIR VALUE HIERARCHY OF 37. 金融工具之公允價值及公允價值等級（續） FINANCIAL INSTRUMENTS (CONTINUED) Fair value hierarchy: (continued) 公允價值等級：（續） Liabilities for which fair values are disclosed: 按公允價值披露之負債： As at 31 March 2026 於2026年3月31日 Fair value measurement using 公允價值計量分類 Quoted prices Significant Significant in active observable unobservable markets inputs inputs Total 活躍 重大可 重大難以 市場報價 觀察數據 觀察數據 總額 (Level 1) (L</t>
        </is>
      </c>
    </row>
    <row r="38">
      <c r="A38" s="8" t="inlineStr">
        <is>
          <t>Fair Value Measurement</t>
        </is>
      </c>
      <c r="B38" s="8" t="inlineStr">
        <is>
          <t>公允價值計量</t>
        </is>
      </c>
      <c r="C38" s="19" t="inlineStr">
        <is>
          <t>high</t>
        </is>
      </c>
      <c r="D38" s="11" t="inlineStr">
        <is>
          <t>fair value hierarchy</t>
        </is>
      </c>
      <c r="E38" s="11" t="inlineStr">
        <is>
          <t>PDF p.238 (印刷頁 236)</t>
        </is>
      </c>
      <c r="F38" s="11" t="inlineStr">
        <is>
          <t>NOTES TO THE FINANCIAL STATEMENTS (CONTINUED) 財務報表附註（續） 37. FAIR VALUE AND FAIR VALUE HIERARCHY OF 37. 金融工具之公允價值及公允價值等級（續） FINANCIAL INSTRUMENTS (CONTINUED) Fair value hierarchy: (continued) 公允價值等級：（續） Liabilities for which fair values are disclosed: (continued) 按公允價值披露之負債：（續） As at 31 March 2025 於2025年3月31日 Fair value measurement using 公允價值計量分類 Quoted prices Significant Significant in active observable unobservable markets inputs inputs Total 活躍 重大可 重大難以 市場報價 觀察數據 觀察數據</t>
        </is>
      </c>
    </row>
    <row r="39">
      <c r="A39" s="8" t="inlineStr">
        <is>
          <t>Fair Value Measurement</t>
        </is>
      </c>
      <c r="B39" s="8" t="inlineStr">
        <is>
          <t>公允價值計量</t>
        </is>
      </c>
      <c r="C39" s="19" t="inlineStr">
        <is>
          <t>high</t>
        </is>
      </c>
      <c r="D39" s="11" t="inlineStr">
        <is>
          <t>fair value hierarchy</t>
        </is>
      </c>
      <c r="E39" s="11" t="inlineStr">
        <is>
          <t>PDF p.239 (印刷頁 237)</t>
        </is>
      </c>
      <c r="F39" s="11" t="inlineStr">
        <is>
          <t>NOTES TO THE FINANCIAL STATEMENTS (CONTINUED) 財務報表附註（續） 37. FAIR VALUE AND FAIR VALUE HIERARCHY OF 37. 金融工具之公允價值及公允價值等級（續） FINANCIAL INSTRUMENTS (CONTINUED) The Group’s finance department headed by the Financial Controller is 由本集團的財務總監帶領的財務團隊負責釐定金融 responsible for determining the policies and procedures for their fair value 工具的公允價值計量之政策和程序。財務團隊直接 measurement of financial instruments. The finance department reports 向財務總監彙報。在每次報告期末，財務團隊分析 directly to the Financial Controll</t>
        </is>
      </c>
    </row>
    <row r="40">
      <c r="A40" s="8" t="inlineStr">
        <is>
          <t>Fair Value Measurement</t>
        </is>
      </c>
      <c r="B40" s="8" t="inlineStr">
        <is>
          <t>公允價值計量</t>
        </is>
      </c>
      <c r="C40" s="19" t="inlineStr">
        <is>
          <t>high</t>
        </is>
      </c>
      <c r="D40" s="11" t="inlineStr">
        <is>
          <t>公允價值</t>
        </is>
      </c>
      <c r="E40" s="11" t="inlineStr">
        <is>
          <t>PDF p.249 (印刷頁 247)</t>
        </is>
      </c>
      <c r="F40" s="11" t="inlineStr">
        <is>
          <t>f the financial statements of foreign operations. 註2.4所載重大會計政策處理。自用物 Exchange fluctuation reserve is dealt with in accordance 業更改為用途以公允價值計量之投資物 with the material accounting policies set out in note 2.4 to 業，因而產生資產重估儲備。 the financial statements. The asset revaluation reserve arose from the changes in use from owner-occupied properties to investment properties. 40. APPROVAL OF THE FINANCIAL STATEMENTS 40. 財務報表之批核 The financial statements were approved and authorised for issue by the 本財務報表於2026年6月29日經董事會批核及授權 board of directors on</t>
        </is>
      </c>
    </row>
    <row r="41">
      <c r="A41" s="8" t="inlineStr">
        <is>
          <t>Fair Value Measurement</t>
        </is>
      </c>
      <c r="B41" s="8" t="inlineStr">
        <is>
          <t>公允價值計量</t>
        </is>
      </c>
      <c r="C41" s="19" t="inlineStr">
        <is>
          <t>high</t>
        </is>
      </c>
      <c r="D41" s="11" t="inlineStr">
        <is>
          <t>level 1</t>
        </is>
      </c>
      <c r="E41" s="11" t="inlineStr">
        <is>
          <t>PDF p.253 (印刷頁 251)</t>
        </is>
      </c>
      <c r="F41" s="11" t="inlineStr">
        <is>
          <t>期的分類 種類 4 No.248 Fuyong Village, Shawan Town, Own use Panyu District, Guangzhou 自用 377,748 100% M F 廣州市番禺區沙灣鎮福涌村福龍路248號 5 Unit A1 on Level 1 and 2, Block 2, Heng Chang Garden, Own use Beijing, PRC 自用 1,654 100% M R 中國北京市恆昌花園2座一至二樓A1單位 6 Flat 01, 23rd Floor, Block F, Beijing Rome Garden, Own use Cao Hui Road, Chaoyang District, Beijing, PRC 自用 1,735 100% M R 中國北京市朝陽區曹慧路羅馬花園F座二十三樓1號室 Investment Properties 投資物業 Gross Floor Percentage Area interest in Address Lot number Use (Square Feet) property Tenure Type 建築面積 地址 地段編號 用途 （平方尺） 物</t>
        </is>
      </c>
    </row>
    <row r="42">
      <c r="A42" s="8" t="inlineStr">
        <is>
          <t>Impairment Testing</t>
        </is>
      </c>
      <c r="B42" s="8" t="inlineStr">
        <is>
          <t>減值測試</t>
        </is>
      </c>
      <c r="C42" s="19" t="inlineStr">
        <is>
          <t>high</t>
        </is>
      </c>
      <c r="D42" s="11" t="inlineStr">
        <is>
          <t>recoverable amount</t>
        </is>
      </c>
      <c r="E42" s="11" t="inlineStr">
        <is>
          <t>PDF p.89 (印刷頁 087)</t>
        </is>
      </c>
      <c r="F42" s="11" t="inlineStr">
        <is>
          <t>y, during the year, and adjusted to market data. In addition, we involved our internal the carrying amounts of these assets to their recoverable amounts. The valuation specialists to assist us in assessing the fair recoverable amounts were determined based on the higher of fair value less value less cost of disposal of certain properties, and cost of disposal and value in use calculation. Management has estimated assessing the methodology and the discount rates used the fair value less cost of disposal of certain properties wit</t>
        </is>
      </c>
    </row>
    <row r="43">
      <c r="A43" s="8" t="inlineStr">
        <is>
          <t>Impairment Testing</t>
        </is>
      </c>
      <c r="B43" s="8" t="inlineStr">
        <is>
          <t>減值測試</t>
        </is>
      </c>
      <c r="C43" s="19" t="inlineStr">
        <is>
          <t>high</t>
        </is>
      </c>
      <c r="D43" s="11" t="inlineStr">
        <is>
          <t>impairment test</t>
        </is>
      </c>
      <c r="E43" s="11" t="inlineStr">
        <is>
          <t>PDF p.125 (印刷頁 123)</t>
        </is>
      </c>
      <c r="F43" s="11" t="inlineStr">
        <is>
          <t>.4 重大會計政策（續） Impairment of non-financial assets 非財務資產減值 Where an indication of impairment exists, or when annual 倘若有跡象顯示出現減值或須就資產進行年 impairment testing for an asset is required (other than inventories, 度減值測試（不包括存貨、遞延稅項資產、 deferred tax assets, financial assets and investment properties), 財務資產及投資物業），則估計資產之可收 the asset’s recoverable amount is estimated. An asset’s recoverable 回金額。資產之可收回金額按資產或現金產 amount is the higher of the asset’s or cash-generating unit’s value 生單位之使用價值及其公允值減出售成本 in use and its fair value less costs of disposal,</t>
        </is>
      </c>
    </row>
    <row r="44">
      <c r="A44" s="8" t="inlineStr">
        <is>
          <t>Impairment Testing</t>
        </is>
      </c>
      <c r="B44" s="8" t="inlineStr">
        <is>
          <t>減值測試</t>
        </is>
      </c>
      <c r="C44" s="19" t="inlineStr">
        <is>
          <t>high</t>
        </is>
      </c>
      <c r="D44" s="11" t="inlineStr">
        <is>
          <t>impairment loss</t>
        </is>
      </c>
      <c r="E44" s="11" t="inlineStr">
        <is>
          <t>PDF p.126 (印刷頁 124)</t>
        </is>
      </c>
      <c r="F44" s="11" t="inlineStr">
        <is>
          <t>d of each reporting period as 於每個報告期末，均會評估是否有跡象顯示過 to whether there is an indication that previously recognised 往年度確認之減值虧損不再存在或可能已經減 impairment losses may no longer exist or may have decreased. 少。倘存有任何該等跡象，便估計可收回金 If such an indication exists, the recoverable amount is estimated. 額。除商譽外，僅於釐定該資產之可收回金額 A previously recognised impairment loss of an asset other than 之估計出現變動時，於先前已確認之減值虧損 goodwill is reversed only if there has been a change in the 方可撥回，惟倘若於以往年度該資產並無確認 estimates used to determine the recoverable amount of that asset,</t>
        </is>
      </c>
    </row>
    <row r="45">
      <c r="A45" s="8" t="inlineStr">
        <is>
          <t>Impairment Testing</t>
        </is>
      </c>
      <c r="B45" s="8" t="inlineStr">
        <is>
          <t>減值測試</t>
        </is>
      </c>
      <c r="C45" s="19" t="inlineStr">
        <is>
          <t>high</t>
        </is>
      </c>
      <c r="D45" s="11" t="inlineStr">
        <is>
          <t>impairment loss</t>
        </is>
      </c>
      <c r="E45" s="11" t="inlineStr">
        <is>
          <t>PDF p.128 (印刷頁 126)</t>
        </is>
      </c>
      <c r="F45" s="11" t="inlineStr">
        <is>
          <t>er than construction in 除在建工程外，物業、廠房及設備按成本減累 progress, are stated at cost less accumulated depreciation and 計折舊及任何減值虧損後列賬。物業、廠房及 any impairment losses. The cost of an item of property, plant 設備項目成本包括購入價及使資產處於擬定用 and equipment comprises its purchase price and any directly 途之運作狀況及地點之任何直接應佔成本。 attributable costs of bringing the asset to its working condition and location for its intended use. Expenditure incurred after items of property, plant and equipment 物業、廠房及設備項目投入運作後所產生之支 have been put into operation, such as repairs and mai</t>
        </is>
      </c>
    </row>
    <row r="46">
      <c r="A46" s="8" t="inlineStr">
        <is>
          <t>Impairment Testing</t>
        </is>
      </c>
      <c r="B46" s="8" t="inlineStr">
        <is>
          <t>減值測試</t>
        </is>
      </c>
      <c r="C46" s="19" t="inlineStr">
        <is>
          <t>high</t>
        </is>
      </c>
      <c r="D46" s="11" t="inlineStr">
        <is>
          <t>減值虧損</t>
        </is>
      </c>
      <c r="E46" s="11" t="inlineStr">
        <is>
          <t>PDF p.129 (印刷頁 127)</t>
        </is>
      </c>
      <c r="F46" s="11" t="inlineStr">
        <is>
          <t>eds and the carrying amount 在損益表內確認。 of the relevant asset. Construction in progress is stated at cost less any impairment 在建工程按成本減任何減值虧損列賬，且不予 losses, and is not depreciated. It is reclassified to the appropriate 折舊，並可供使用時重新分類至物業、廠房及 category of property, plant and equipment when completed and 設備之適當類別內。 ready for use. Investment properties 投資物業 Investment properties are interests in land and buildings (including 投資物業指以獲得租金收入及╱或資本增值 right-of-use assets) held to earn rental income and/or for capital 為目的而持有的土地及樓宇（包括使用權資 appreciat</t>
        </is>
      </c>
    </row>
    <row r="47">
      <c r="A47" s="8" t="inlineStr">
        <is>
          <t>Impairment Testing</t>
        </is>
      </c>
      <c r="B47" s="8" t="inlineStr">
        <is>
          <t>減值測試</t>
        </is>
      </c>
      <c r="C47" s="19" t="inlineStr">
        <is>
          <t>high</t>
        </is>
      </c>
      <c r="D47" s="11" t="inlineStr">
        <is>
          <t>impairment loss</t>
        </is>
      </c>
      <c r="E47" s="11" t="inlineStr">
        <is>
          <t>PDF p.131 (印刷頁 129)</t>
        </is>
      </c>
      <c r="F47" s="11" t="inlineStr">
        <is>
          <t>使用當日）確認。使用權資產按 available for use). Right-of-use assets are measured at cost, 成本減任何累計折舊及任何減值虧損計 less accumulated depreciation and any impairment losses, 量，並就任何重新計量的租賃負債作出 and adjusted for any remeasurement of lease liabilities. The 調整。使用權資產的成本包括已確認租 cost of right-of-use assets includes the amount of lease 賃負債金額、已發生初始直接成本及於 liabilities recognised, initial direct costs incurred, and lease 開始日期或之前支付的租賃款項減已收 payments made at or before the commencement date 取的任何租賃優惠。在適用情況下，使 less any lease incentives received. Right-of-use assets are</t>
        </is>
      </c>
    </row>
    <row r="48">
      <c r="A48" s="8" t="inlineStr">
        <is>
          <t>Impairment Testing</t>
        </is>
      </c>
      <c r="B48" s="8" t="inlineStr">
        <is>
          <t>減值測試</t>
        </is>
      </c>
      <c r="C48" s="19" t="inlineStr">
        <is>
          <t>high</t>
        </is>
      </c>
      <c r="D48" s="11" t="inlineStr">
        <is>
          <t>impairment loss</t>
        </is>
      </c>
      <c r="E48" s="11" t="inlineStr">
        <is>
          <t>PDF p.161 (印刷頁 159)</t>
        </is>
      </c>
      <c r="F48" s="11" t="inlineStr">
        <is>
          <t>. The Group also assesses at each reporting date whether 減值虧損可能已不再存在或可能已減少。若存在任 there is any indication that a previously recognised impairment loss may 何此等跡象，本集團將重新計算該資產的可收回金 no longer exist or may have decreased. If any such indication exists, the 額。公允價值減去出售成本乃按類似資產以公平原 Group recalculates the recoverable amount of the asset. The calculation 則交易中具約束力之銷售交易所得數據或可觀察市 of the fair values less costs of disposal is based on available data from 價扣除出售資產之遞增成本計算。當計算使用價值 binding sales transactions in an arm’s length transaction of similar</t>
        </is>
      </c>
    </row>
    <row r="49">
      <c r="A49" s="8" t="inlineStr">
        <is>
          <t>Impairment Testing</t>
        </is>
      </c>
      <c r="B49" s="8" t="inlineStr">
        <is>
          <t>減值測試</t>
        </is>
      </c>
      <c r="C49" s="19" t="inlineStr">
        <is>
          <t>high</t>
        </is>
      </c>
      <c r="D49" s="11" t="inlineStr">
        <is>
          <t>impairment loss</t>
        </is>
      </c>
      <c r="E49" s="11" t="inlineStr">
        <is>
          <t>PDF p.186 (印刷頁 184)</t>
        </is>
      </c>
      <c r="F49" s="11" t="inlineStr">
        <is>
          <t>ounts of the cash-generating units based on the higher of fair value 中的較高者釐定。 less cost of disposal and value in use calculation. An impairment loss of HK$1,742,000 (2025: HK$14,751,000) was 本年度內已確認減值虧損為港幣1,742,000元（2025 recognised during the year to write down the carrying amounts of certain 年：港幣14,751,000元），以將若干物業、廠房及設 property, plant and equipment to their aggregate estimated recoverable 備項目的賬面值，撇減至其於2026年3月31日的估計 amounts of HK$320,000 (2025: Nil) as at 31 March 2026. The recoverable 總可收回金額港幣320,000元（2025年：無）。零售 amounts of t</t>
        </is>
      </c>
    </row>
    <row r="50">
      <c r="A50" s="8" t="inlineStr">
        <is>
          <t>Impairment Testing</t>
        </is>
      </c>
      <c r="B50" s="8" t="inlineStr">
        <is>
          <t>減值測試</t>
        </is>
      </c>
      <c r="C50" s="19" t="inlineStr">
        <is>
          <t>high</t>
        </is>
      </c>
      <c r="D50" s="11" t="inlineStr">
        <is>
          <t>impairment loss</t>
        </is>
      </c>
      <c r="E50" s="11" t="inlineStr">
        <is>
          <t>PDF p.187 (印刷頁 185)</t>
        </is>
      </c>
      <c r="F50" s="11" t="inlineStr">
        <is>
          <t>O THE FINANCIAL STATEMENTS (CONTINUED) 財務報表附註（續） 14. PROPERTY, PLANT AND EQUIPMENT 14. 物業、廠房及設備（續） (CONTINUED) In the prior year, an impairment loss of HK$1,900,000 was recognised to 於過往年度，該物業已確認減值虧損港幣1,900,000 write down the carrying amount of the property. The recoverable amount 元以撇減該物業的賬面值。有減值跡象的物業建築 of the building portion of the property of HK$2,400,000 with impairment 部分的可收回金額為港幣2,400,000元，此乃根據公 indicator was determined based on fair value less cost of disposal. 允值減出售成本釐定。 Fair value hierarchy 公允價值等級 The following table i</t>
        </is>
      </c>
    </row>
    <row r="51">
      <c r="A51" s="8" t="inlineStr">
        <is>
          <t>Impairment Testing</t>
        </is>
      </c>
      <c r="B51" s="8" t="inlineStr">
        <is>
          <t>減值測試</t>
        </is>
      </c>
      <c r="C51" s="19" t="inlineStr">
        <is>
          <t>high</t>
        </is>
      </c>
      <c r="D51" s="11" t="inlineStr">
        <is>
          <t>impairment loss</t>
        </is>
      </c>
      <c r="E51" s="11" t="inlineStr">
        <is>
          <t>PDF p.194 (印刷頁 192)</t>
        </is>
      </c>
      <c r="F51" s="11" t="inlineStr">
        <is>
          <t>計相關現金產生單 recoverable amounts of the respective cash-generating units based 位的相應可收回金額。 on value in use calculation. A net reversal of impairment loss of HK$9,161,000 (2025: net 就若干使用權資產而言，已確認減值虧損回 impairment loss of HK$41,749,000) was recognised in respect of 撥淨額港幣9,161,000元（2025年：減值虧損 certain right-of-use assets. The totalled estimated recoverable 港幣41,749,000 元）。於2026年3月31日， amounts of these cash-generating units totalled HK$17,494,000 該等現金產生單位的估計可收回總額為港幣 (2025: Nil) as at 31 March 2026. The recoverable amounts of 17,494,000元（</t>
        </is>
      </c>
    </row>
    <row r="52">
      <c r="A52" s="8" t="inlineStr">
        <is>
          <t>Impairment Testing</t>
        </is>
      </c>
      <c r="B52" s="8" t="inlineStr">
        <is>
          <t>減值測試</t>
        </is>
      </c>
      <c r="C52" s="19" t="inlineStr">
        <is>
          <t>high</t>
        </is>
      </c>
      <c r="D52" s="11" t="inlineStr">
        <is>
          <t>impairment loss</t>
        </is>
      </c>
      <c r="E52" s="11" t="inlineStr">
        <is>
          <t>PDF p.198 (印刷頁 196)</t>
        </is>
      </c>
      <c r="F52" s="11" t="inlineStr">
        <is>
          <t>embership for a seat at The Chinese 其他資產指金銀業貿易場會籍成本，乃按成本減去 Gold and Silver Exchange Society which is stated at cost less any 減值損失列賬。 impairment losses. 196</t>
        </is>
      </c>
    </row>
    <row r="53">
      <c r="A53" s="8" t="inlineStr">
        <is>
          <t>Impairment Testing</t>
        </is>
      </c>
      <c r="B53" s="8" t="inlineStr">
        <is>
          <t>減值測試</t>
        </is>
      </c>
      <c r="C53" s="19" t="inlineStr">
        <is>
          <t>high</t>
        </is>
      </c>
      <c r="D53" s="11" t="inlineStr">
        <is>
          <t>impairment loss</t>
        </is>
      </c>
      <c r="E53" s="11" t="inlineStr">
        <is>
          <t>PDF p.201 (印刷頁 199)</t>
        </is>
      </c>
      <c r="F53" s="11" t="inlineStr">
        <is>
          <t>es are 應收賬款之減值虧損變動如下： as follows: 2026 2025 2026年 2025年 HK$’000 HK$’000 港幣千元 港幣千元 At beginning of year 於年初 10,742 11,831 Reversal of impairment losses, net 減值回撥，淨額 (3) (971) Exchange realignment 匯兌調整 485 (118) At end of year 於年末 11,224 10,742 An impairment analysis is performed at each reporting date using a 本集團於各報告日期使用撥備矩陣進行減值分析， provision matrix to measure expected credit losses. The provision rates 以計量預期信貸虧損。撥備率乃基於具有類似損失 are based on days past due for groupings of various customer segments 情況（例如按地區、客戶類型及評級）之各個客戶分 with simila</t>
        </is>
      </c>
    </row>
    <row r="54">
      <c r="A54" s="8" t="inlineStr">
        <is>
          <t>Impairment Testing</t>
        </is>
      </c>
      <c r="B54" s="8" t="inlineStr">
        <is>
          <t>減值測試</t>
        </is>
      </c>
      <c r="C54" s="19" t="inlineStr">
        <is>
          <t>high</t>
        </is>
      </c>
      <c r="D54" s="11" t="inlineStr">
        <is>
          <t>impairment loss</t>
        </is>
      </c>
      <c r="E54" s="11" t="inlineStr">
        <is>
          <t>PDF p.241 (印刷頁 239)</t>
        </is>
      </c>
      <c r="F54" s="11" t="inlineStr">
        <is>
          <t>ectively, 各年結日個別及共同檢討個別應收款是否可收回， periodically and at the end of each reporting period to ensure that 確保已就不可收回金額作出足夠減值虧損。就此， adequate impairment loss is made for irrecoverable amounts. In this 本集團管理層認為，本集團之信貸風險已大大減 regard, the management of the Group considers that the Group’s credit 低。本集團信貸風險並無重大集中，所承受之風險 risk is significantly reduced. The Group has no significant concentration 分散於多個交易對手及客戶。 of credit risk, with exposure spread over a number of counterparties and customers. 239</t>
        </is>
      </c>
    </row>
    <row r="55">
      <c r="A55" s="8" t="inlineStr">
        <is>
          <t>Intangible Assets &amp; Goodwill</t>
        </is>
      </c>
      <c r="B55" s="8" t="inlineStr">
        <is>
          <t>無形資產及商譽</t>
        </is>
      </c>
      <c r="C55" s="19" t="inlineStr">
        <is>
          <t>high</t>
        </is>
      </c>
      <c r="D55" s="11" t="inlineStr">
        <is>
          <t>intangible asset</t>
        </is>
      </c>
      <c r="E55" s="11" t="inlineStr">
        <is>
          <t>PDF p.97 (印刷頁 095)</t>
        </is>
      </c>
      <c r="F55" s="11" t="inlineStr">
        <is>
          <t>d equipment 物業、廠房及設備 14 129,849 112,959 Investment properties 投資物業 15 161,669 140,117 Right-of-use assets 使用權資產 16(a) 114,554 92,491 Intangible assets 無形資產 17 99 99 Other asset 其他資產 18 500 500 Prepayments and deposits 預付款及按金 21 14,220 10,357 Deferred tax assets 遞延稅項資產 28 13,613 10,702 434,504 367,225 CURRENT ASSETS 流動資產 Inventories 存貨 19 1,050,966 1,044,023 Trade receivables 應收賬款 20 26,650 38,188 Prepayments, other receivables 預付款、其他應收款及其他資產 and other assets 21 40,461 42,475 Tax recoverable 可收回稅項 59 2,599 Pledged time deposits</t>
        </is>
      </c>
    </row>
    <row r="56">
      <c r="A56" s="8" t="inlineStr">
        <is>
          <t>Intangible Assets &amp; Goodwill</t>
        </is>
      </c>
      <c r="B56" s="8" t="inlineStr">
        <is>
          <t>無形資產及商譽</t>
        </is>
      </c>
      <c r="C56" s="19" t="inlineStr">
        <is>
          <t>high</t>
        </is>
      </c>
      <c r="D56" s="11" t="inlineStr">
        <is>
          <t>trademark</t>
        </is>
      </c>
      <c r="E56" s="11" t="inlineStr">
        <is>
          <t>PDF p.105 (印刷頁 103)</t>
        </is>
      </c>
      <c r="F56" s="11" t="inlineStr">
        <is>
          <t>ies Name 名稱成立╱註冊 已發行普通╱ 本公司所佔股權 名稱 及營業地點 註冊股本 百分比 主要業務 Direct Indirect 直接 間接 Concepts Management (H.K.) Limited Hong Kong HK$1 – 100 Trademarks holding 創念管理（香港）有限公司 香港 港幣1元 and investment in trademarks 持有商標及投資商標 Edwine Jewellery Company Limited Hong Kong HK$1,000 – 100 Investment holding and 艾維珠寶有限公司 香港 港幣1,000元 provision of advisory services 投資控股及提供諮詢服 務 Excellent Ford Development Limited Hong Kong HK$10,000 – 100 Jewellery trading 福銳發展有限公司 香港 港幣10,000元 珠寶貿易 Gold Fast Investment Limited Hong Kong HK$1 – 100 Investment holding</t>
        </is>
      </c>
    </row>
    <row r="57">
      <c r="A57" s="8" t="inlineStr">
        <is>
          <t>Intangible Assets &amp; Goodwill</t>
        </is>
      </c>
      <c r="B57" s="8" t="inlineStr">
        <is>
          <t>無形資產及商譽</t>
        </is>
      </c>
      <c r="C57" s="19" t="inlineStr">
        <is>
          <t>high</t>
        </is>
      </c>
      <c r="D57" s="11" t="inlineStr">
        <is>
          <t>trademark</t>
        </is>
      </c>
      <c r="E57" s="11" t="inlineStr">
        <is>
          <t>PDF p.108 (印刷頁 106)</t>
        </is>
      </c>
      <c r="F57" s="11" t="inlineStr">
        <is>
          <t>澳門幣100,000元 珠寶零售 TSL Jewellery (H.K.) Co. Limited Hong Kong HK$42,000,390 – 100 Jewellery retailing, 謝瑞麟珠寶（香港）有限公司 香港 港幣42,000,390元 trademarks holding, investment in trademarks and management and administrative services 珠寶零售、商標持有、 商標投資及管理及 行政服務 TSL Management Services Limited Hong Kong HK$2 – 100 Management and 謝瑞麟管理服務有限公司 香港 港幣2元 administrative services 管理及行政服務 106</t>
        </is>
      </c>
    </row>
    <row r="58">
      <c r="A58" s="8" t="inlineStr">
        <is>
          <t>Intangible Assets &amp; Goodwill</t>
        </is>
      </c>
      <c r="B58" s="8" t="inlineStr">
        <is>
          <t>無形資產及商譽</t>
        </is>
      </c>
      <c r="C58" s="19" t="inlineStr">
        <is>
          <t>high</t>
        </is>
      </c>
      <c r="D58" s="11" t="inlineStr">
        <is>
          <t>goodwill</t>
        </is>
      </c>
      <c r="E58" s="11" t="inlineStr">
        <is>
          <t>PDF p.115 (印刷頁 113)</t>
        </is>
      </c>
      <c r="F58" s="11" t="inlineStr">
        <is>
          <t>(continued) 綜合基準（續） If the Group loses control over a subsidiary, it derecognises the 倘本集團失去對一間附屬公司之控制權，則其 related assets (including goodwill), liabilities, any non-controlling 終止確認相關資產（包括商譽）、負債、任何 interest and the exchange fluctuation reserve; and recognises the 非控股權益及匯兌波動儲備；以及確認所保留 fair value of any investment retained and any resulting surplus or 任何投資之公允值及損益中任何因此產生之盈 deficit in profit or loss. The Group’s share of components previously 餘或虧絀。先前於其他全面收益表內確認之本 recognised in other comprehensive income is reclassified to profit 集團</t>
        </is>
      </c>
    </row>
    <row r="59">
      <c r="A59" s="8" t="inlineStr">
        <is>
          <t>Intangible Assets &amp; Goodwill</t>
        </is>
      </c>
      <c r="B59" s="8" t="inlineStr">
        <is>
          <t>無形資產及商譽</t>
        </is>
      </c>
      <c r="C59" s="19" t="inlineStr">
        <is>
          <t>high</t>
        </is>
      </c>
      <c r="D59" s="11" t="inlineStr">
        <is>
          <t>goodwill</t>
        </is>
      </c>
      <c r="E59" s="11" t="inlineStr">
        <is>
          <t>PDF p.126 (印刷頁 124)</t>
        </is>
      </c>
      <c r="F59" s="11" t="inlineStr">
        <is>
          <t>erable amount is estimated. 額。除商譽外，僅於釐定該資產之可收回金額 A previously recognised impairment loss of an asset other than 之估計出現變動時，於先前已確認之減值虧損 goodwill is reversed only if there has been a change in the 方可撥回，惟倘若於以往年度該資產並無確認 estimates used to determine the recoverable amount of that asset, 任何減值虧損，則對比經折舊╱攤銷之賬面 but not to an amount higher than the carrying amount that would 值，高出金額不得撥回。任何減值虧損之撥回 have been determined (net of any depreciation/amortisation) had 於產生當期計入損益表內。 no impairment loss been recognised for the asset in prior years. A reve</t>
        </is>
      </c>
    </row>
    <row r="60">
      <c r="A60" s="8" t="inlineStr">
        <is>
          <t>Intangible Assets &amp; Goodwill</t>
        </is>
      </c>
      <c r="B60" s="8" t="inlineStr">
        <is>
          <t>無形資產及商譽</t>
        </is>
      </c>
      <c r="C60" s="19" t="inlineStr">
        <is>
          <t>high</t>
        </is>
      </c>
      <c r="D60" s="11" t="inlineStr">
        <is>
          <t>useful life</t>
        </is>
      </c>
      <c r="E60" s="11" t="inlineStr">
        <is>
          <t>PDF p.128 (印刷頁 126)</t>
        </is>
      </c>
      <c r="F60" s="11" t="inlineStr">
        <is>
          <t>舊以直線法計算，按每項物業、廠房及設備 cost of each item of property, plant and equipment to its residual 項目之估計可使用年期撇銷其成本或估值至其 value over its estimated useful life. The principal annual rates or 剩餘價值。就此而言，所使用之主要年度折舊 estimated useful lives used for this purpose are as follows: 率或可使用年期如下： Buildings Over the shorter of the lease 樓宇 按租賃年期與2%至5% terms and 2% to 5% 兩者較低者 Plant and machinery 3 to 7 years 廠房及機器 3至7年 Furniture, fixtures and equipment 1 to 10 years 傢俱、裝置及設備 1至10年 Motor vehicles 4 to 10 years 汽車 4至10年 Where parts of an item of property, pla</t>
        </is>
      </c>
    </row>
    <row r="61">
      <c r="A61" s="8" t="inlineStr">
        <is>
          <t>Intangible Assets &amp; Goodwill</t>
        </is>
      </c>
      <c r="B61" s="8" t="inlineStr">
        <is>
          <t>無形資產及商譽</t>
        </is>
      </c>
      <c r="C61" s="19" t="inlineStr">
        <is>
          <t>high</t>
        </is>
      </c>
      <c r="D61" s="11" t="inlineStr">
        <is>
          <t>useful life</t>
        </is>
      </c>
      <c r="E61" s="11" t="inlineStr">
        <is>
          <t>PDF p.131 (印刷頁 129)</t>
        </is>
      </c>
      <c r="F61" s="11" t="inlineStr">
        <is>
          <t>e cost reflects the exercise 至本集團或成本反映購買權之行使情 of a purchase option, depreciation is calculated using the 況，則使用該資產之估計可使用年期計 estimated useful life of the asset. 算折舊。 129</t>
        </is>
      </c>
    </row>
    <row r="62">
      <c r="A62" s="8" t="inlineStr">
        <is>
          <t>Intangible Assets &amp; Goodwill</t>
        </is>
      </c>
      <c r="B62" s="8" t="inlineStr">
        <is>
          <t>無形資產及商譽</t>
        </is>
      </c>
      <c r="C62" s="19" t="inlineStr">
        <is>
          <t>high</t>
        </is>
      </c>
      <c r="D62" s="11" t="inlineStr">
        <is>
          <t>攤銷</t>
        </is>
      </c>
      <c r="E62" s="11" t="inlineStr">
        <is>
          <t>PDF p.134 (印刷頁 132)</t>
        </is>
      </c>
      <c r="F62" s="11" t="inlineStr">
        <is>
          <t>ts 投資及其他財務資產 Initial recognition and measurement 初次確認及計量 Financial assets are classified, at initial recognition, as 財務資產於初次確認時分類為其後按攤銷成 subsequently measured at amortised cost, fair value through other 本、指定為按公允價值計入其他全面收益及按 comprehensive income, and fair value through profit or loss. 公允價值計入損益計量。 The classification of financial assets at initial recognition depends 財務資產於初次確認時之分類取決於財務資產 on the financial asset’s contractual cash flow characteristics and 之合約現金流量特點及本集團管理該等財務資 the Group’s business model for managing them. With the ex</t>
        </is>
      </c>
    </row>
    <row r="63">
      <c r="A63" s="8" t="inlineStr">
        <is>
          <t>Intangible Assets &amp; Goodwill</t>
        </is>
      </c>
      <c r="B63" s="8" t="inlineStr">
        <is>
          <t>無形資產及商譽</t>
        </is>
      </c>
      <c r="C63" s="19" t="inlineStr">
        <is>
          <t>high</t>
        </is>
      </c>
      <c r="D63" s="11" t="inlineStr">
        <is>
          <t>攤銷</t>
        </is>
      </c>
      <c r="E63" s="11" t="inlineStr">
        <is>
          <t>PDF p.135 (印刷頁 133)</t>
        </is>
      </c>
      <c r="F63" s="11" t="inlineStr">
        <is>
          <t>ts classified and measured at amortised 務資產以收取合約現金流量的業務模式中持有 cost are held within a business model with the objective to hold 之財務資產，按攤銷成本分類及計量；於旨在 financial assets in order to collect contractual cash flows, while 持有以收取合約現金流量及出售財務資產之業 financial assets classified and measured at fair value through 務模式中持有之財務資產，按公允價值計入其 other comprehensive income are held within a business model 他全面收益分類及計量。並非於上述業務模式 with the objective of both holding to collect contractual cash 中持有之財務資產，乃按公允價值計入損益分 flows and selling. Financial assets which are not</t>
        </is>
      </c>
    </row>
    <row r="64">
      <c r="A64" s="8" t="inlineStr">
        <is>
          <t>Intangible Assets &amp; Goodwill</t>
        </is>
      </c>
      <c r="B64" s="8" t="inlineStr">
        <is>
          <t>無形資產及商譽</t>
        </is>
      </c>
      <c r="C64" s="19" t="inlineStr">
        <is>
          <t>high</t>
        </is>
      </c>
      <c r="D64" s="11" t="inlineStr">
        <is>
          <t>攤銷</t>
        </is>
      </c>
      <c r="E64" s="11" t="inlineStr">
        <is>
          <t>PDF p.138 (印刷頁 136)</t>
        </is>
      </c>
      <c r="F64" s="11" t="inlineStr">
        <is>
          <t>reasonable expectation of recovering the contractual cash flows. Financial assets at amortised cost are subject to impairment under 按攤銷成本入賬之財務資產根據一般方法減值 the general approach and they are classified within the following 及除應收賬款使用下文詳述的簡化法外，其在 stages for measurement of ECLs except for trade receivables which 以下階段分類用於預期信貸虧損計量。 apply the simplified approach as detailed below. Stage 1 – Financial instruments for which credit risk has not 第一階段－信貸風險自初次確認後並無大 increased significantly since initial recognition and for 幅增加的金融工具，其虧損撥 which t</t>
        </is>
      </c>
    </row>
    <row r="65">
      <c r="A65" s="8" t="inlineStr">
        <is>
          <t>Intangible Assets &amp; Goodwill</t>
        </is>
      </c>
      <c r="B65" s="8" t="inlineStr">
        <is>
          <t>無形資產及商譽</t>
        </is>
      </c>
      <c r="C65" s="19" t="inlineStr">
        <is>
          <t>high</t>
        </is>
      </c>
      <c r="D65" s="11" t="inlineStr">
        <is>
          <t>amortisation</t>
        </is>
      </c>
      <c r="E65" s="11" t="inlineStr">
        <is>
          <t>PDF p.141 (印刷頁 139)</t>
        </is>
      </c>
      <c r="F65" s="11" t="inlineStr">
        <is>
          <t>the statement of profit or loss when 過程之收益及虧損於損益表確認。 the liabilities are derecognised as well as through the effective interest rate amortisation process. Amortised cost is calculated by taking into account any discount or 攤銷成本之計算包括收購產生之任何折價或溢 premium on acquisition and fees or costs that are an integral part 價以及屬於實質利率組成部分之費用或成本。 of the effective interest rate. The effective interest rate amortisation 按實質利率法計量之攤銷包括在損益表之財務 is included in finance costs in the statement of profit or loss. 費用內。 Derecognition of financial liabilitie</t>
        </is>
      </c>
    </row>
    <row r="66">
      <c r="A66" s="8" t="inlineStr">
        <is>
          <t>Intangible Assets &amp; Goodwill</t>
        </is>
      </c>
      <c r="B66" s="8" t="inlineStr">
        <is>
          <t>無形資產及商譽</t>
        </is>
      </c>
      <c r="C66" s="19" t="inlineStr">
        <is>
          <t>high</t>
        </is>
      </c>
      <c r="D66" s="11" t="inlineStr">
        <is>
          <t>goodwill</t>
        </is>
      </c>
      <c r="E66" s="11" t="inlineStr">
        <is>
          <t>PDF p.144 (印刷頁 142)</t>
        </is>
      </c>
      <c r="F66" s="11" t="inlineStr">
        <is>
          <t>稅暫時性差異均確認為遞 differences, except: 延稅項負債： • when the deferred tax liability arises from the initial • 倘若由於一項非商業合併交易之中初次 recognition of goodwill or an asset or liability in a transaction 確認商譽或資產或負債所產生之遞延稅 that is not a business combination and, at the time of the 項負債，而在交易時對會計溢利或應課 transaction, affects neither the accounting profit nor taxable 稅溢利或虧損均無影響及不產生等於應 profit or loss and does not give rise to equal taxable and 稅和可抵扣的暫時性差異；及 deductible temporary differences; and • in respect of taxable temporary differences associated with</t>
        </is>
      </c>
    </row>
    <row r="67">
      <c r="A67" s="8" t="inlineStr">
        <is>
          <t>Intangible Assets &amp; Goodwill</t>
        </is>
      </c>
      <c r="B67" s="8" t="inlineStr">
        <is>
          <t>無形資產及商譽</t>
        </is>
      </c>
      <c r="C67" s="19" t="inlineStr">
        <is>
          <t>high</t>
        </is>
      </c>
      <c r="D67" s="11" t="inlineStr">
        <is>
          <t>goodwill</t>
        </is>
      </c>
      <c r="E67" s="11" t="inlineStr">
        <is>
          <t>PDF p.157 (印刷頁 155)</t>
        </is>
      </c>
      <c r="F67" s="11" t="inlineStr">
        <is>
          <t>cumulative amount in the reserve relating to that particular foreign operation is recognised in the statement of profit or loss. Any goodwill arising on the acquisition of a foreign operation and 任何收購海外業務產生之商譽及公允價值調整 any fair value adjustments to the carrying amounts of assets and 整賬面值乃視為該海外業務之資產及負債處 liabilities arising on acquisition are treated as assets and liabilities 理，並按收市匯率換算。 of the foreign operation and translated at the closing rate. For the purpose of the consolidated statement of cash flows, the 就合併現金流量表而言，海外附屬公司的現金</t>
        </is>
      </c>
    </row>
    <row r="68">
      <c r="A68" s="8" t="inlineStr">
        <is>
          <t>Intangible Assets &amp; Goodwill</t>
        </is>
      </c>
      <c r="B68" s="8" t="inlineStr">
        <is>
          <t>無形資產及商譽</t>
        </is>
      </c>
      <c r="C68" s="19" t="inlineStr">
        <is>
          <t>high</t>
        </is>
      </c>
      <c r="D68" s="11" t="inlineStr">
        <is>
          <t>可使用年期</t>
        </is>
      </c>
      <c r="E68" s="11" t="inlineStr">
        <is>
          <t>PDF p.161 (印刷頁 159)</t>
        </is>
      </c>
      <c r="F68" s="11" t="inlineStr">
        <is>
          <t>ES (CONTINUED) Estimation uncertainty (continued) 估計不明朗因素（續） Useful lives and depreciation of property, plant and equipment 物業、廠房及設備的可使用年期及折舊 The Group determines the estimated useful lives and related depreciation 本集團估計物業、廠房及設備的可使用年期以及相 charges of its property, plant and equipment. These estimates are based 關折舊開支。該等估計乃根據性質及功能相近的 on the historical experience of the actual useful lives of property, plant 物業、廠房及設備實際可使用年期的過往經驗而作 and equipment of similar nature and functions. The Group will increase 出。倘可使用年期較先前所估計為短，則本集團將 the depre</t>
        </is>
      </c>
    </row>
    <row r="69">
      <c r="A69" s="8" t="inlineStr">
        <is>
          <t>Intangible Assets &amp; Goodwill</t>
        </is>
      </c>
      <c r="B69" s="8" t="inlineStr">
        <is>
          <t>無形資產及商譽</t>
        </is>
      </c>
      <c r="C69" s="19" t="inlineStr">
        <is>
          <t>high</t>
        </is>
      </c>
      <c r="D69" s="11" t="inlineStr">
        <is>
          <t>trademark</t>
        </is>
      </c>
      <c r="E69" s="11" t="inlineStr">
        <is>
          <t>PDF p.164 (印刷頁 162)</t>
        </is>
      </c>
      <c r="F69" s="11" t="inlineStr">
        <is>
          <t>direct retail sales of jewellery products to end 零售業務包括經由附有TSL |謝瑞麟、DUO by TSL及 consumers through the physical outlets carrying the trademarks of TSL | TSL TOSI商標之實體店舖直接零售銷售予消費者之 謝瑞麟; DUO by TSL and TSL TOSI. It also includes the service fee income 珠寶產品，當中亦包括提供零售管理服務予其他零 received from the provision of retail management services to other 售商所收取之服務收入。 retailers. Wholesale Business includes wholesale sales of jewellery products to 批發業務包括批發珠寶產品予客戶，包括加盟商。 customers, including franchisees. E-Business includes sales of jewellery produ</t>
        </is>
      </c>
    </row>
    <row r="70">
      <c r="A70" s="8" t="inlineStr">
        <is>
          <t>Intangible Assets &amp; Goodwill</t>
        </is>
      </c>
      <c r="B70" s="8" t="inlineStr">
        <is>
          <t>無形資產及商譽</t>
        </is>
      </c>
      <c r="C70" s="19" t="inlineStr">
        <is>
          <t>high</t>
        </is>
      </c>
      <c r="D70" s="11" t="inlineStr">
        <is>
          <t>amortisation</t>
        </is>
      </c>
      <c r="E70" s="11" t="inlineStr">
        <is>
          <t>PDF p.184 (印刷頁 182)</t>
        </is>
      </c>
      <c r="F70" s="11" t="inlineStr">
        <is>
          <t>– (5,241) Impairment during the year 年內減值 – – (1,742) – – (1,742) Exchange realignment 匯兌調整 – 98 425 – 4,847 5,370 Capitalisation of amortisation 預付土地租賃攤銷資 of prepaid land lease to 本化為興建工程 construction in progress – – – – 601 601 Surplus on revaluation 重估盈餘 8,340 – – – – 8,340 Transfer to investment 轉至投資物業 properties (9,400) – – – – (9,400) At 31 March 2026, net of 於2026年3月31日， accumulated depreciation 扣除累計折舊及 and impairment 減值 11,175 2,487 4,642 78 111,467 129,849 At 31 March 2026: 於2026年3月31日： Cost 成本 26,567 7,908 266,298 2,4</t>
        </is>
      </c>
    </row>
    <row r="71">
      <c r="A71" s="8" t="inlineStr">
        <is>
          <t>Intangible Assets &amp; Goodwill</t>
        </is>
      </c>
      <c r="B71" s="8" t="inlineStr">
        <is>
          <t>無形資產及商譽</t>
        </is>
      </c>
      <c r="C71" s="19" t="inlineStr">
        <is>
          <t>high</t>
        </is>
      </c>
      <c r="D71" s="11" t="inlineStr">
        <is>
          <t>amortisation</t>
        </is>
      </c>
      <c r="E71" s="11" t="inlineStr">
        <is>
          <t>PDF p.185 (印刷頁 183)</t>
        </is>
      </c>
      <c r="F71" s="11" t="inlineStr">
        <is>
          <t>airment during the year 年內減值 (1,900) – (14,751) – – (16,651) Exchange realignment 匯兌調整 – (4) (233) – (967) (1,204) Capitalisation of amortisation 預付土地租賃攤銷 of prepaid land lease to 資本化為興建工程 construction in progress – – – – 595 595 At 31 March 2025, net of 於2025年3月31日， accumulated depreciation 扣除累計折舊 and impairment 及減值 12,765 4,770 4,421 78 90,925 112,959 At 31 March 2025: 於2025年3月31日： Cost 成本 27,799 23,604 429,536 6,307 90,925 578,171 Accumulated depreciation and 累計折舊及減值 impairment (15,034) (18,834) (425,115) (6,229) – (465,212)</t>
        </is>
      </c>
    </row>
    <row r="72">
      <c r="A72" s="8" t="inlineStr">
        <is>
          <t>Intangible Assets &amp; Goodwill</t>
        </is>
      </c>
      <c r="B72" s="8" t="inlineStr">
        <is>
          <t>無形資產及商譽</t>
        </is>
      </c>
      <c r="C72" s="19" t="inlineStr">
        <is>
          <t>high</t>
        </is>
      </c>
      <c r="D72" s="11" t="inlineStr">
        <is>
          <t>可使用年期</t>
        </is>
      </c>
      <c r="E72" s="11" t="inlineStr">
        <is>
          <t>PDF p.186 (印刷頁 184)</t>
        </is>
      </c>
      <c r="F72" s="11" t="inlineStr">
        <is>
          <t>sing cash flow projections based on 釐定，而該計算採用了以相關物業、廠房及設備的 financial budgets covering the remaining useful lives of the respective 剩餘可使用年期為基礎的財務預算之現金流預測。 property, plant and equipment. The pre-tax discount rates applied for the 現金流預測所採用的稅前折現率介乎9.9%至15.3% cash flow projections ranged from 9.9% to 15.3% (2025: 9.3% to 14.7%). （2025年：9.3%至14.7%)。 184</t>
        </is>
      </c>
    </row>
    <row r="73">
      <c r="A73" s="8" t="inlineStr">
        <is>
          <t>Intangible Assets &amp; Goodwill</t>
        </is>
      </c>
      <c r="B73" s="8" t="inlineStr">
        <is>
          <t>無形資產及商譽</t>
        </is>
      </c>
      <c r="C73" s="19" t="inlineStr">
        <is>
          <t>high</t>
        </is>
      </c>
      <c r="D73" s="11" t="inlineStr">
        <is>
          <t>amortisation</t>
        </is>
      </c>
      <c r="E73" s="11" t="inlineStr">
        <is>
          <t>PDF p.193 (印刷頁 191)</t>
        </is>
      </c>
      <c r="F73" s="11" t="inlineStr">
        <is>
          <t>添置 – 3,755 – 3,755 Modification 修改 – 49,855 – 49,855 Depreciation (note 7) 折舊（附註7） (2,522) (51,180) (96) (53,798) Capitalisation of amortisation of prepaid 預付土地租賃攤銷資 land lease to construction in progress 本化為在建工程 (595) – – (595) Impairment (note 7) 減值（附註7） (800) (41,749) – (42,549) Exchange realignment 匯兌調整 (298) 1,091 – 793 As at 31 March 2025 and 1 April 2025 於2025年3月31日及 2025年4月1日 83,032 9,388 71 92,491 Additions 添置 – 67 – 67 Modification 修改 – 52,064 – 52,064 Depreciation (note 7) 折舊（附註7） (1,935) (13,527) (71) (15,533) Capi</t>
        </is>
      </c>
    </row>
    <row r="74">
      <c r="A74" s="8" t="inlineStr">
        <is>
          <t>Intangible Assets &amp; Goodwill</t>
        </is>
      </c>
      <c r="B74" s="8" t="inlineStr">
        <is>
          <t>無形資產及商譽</t>
        </is>
      </c>
      <c r="C74" s="19" t="inlineStr">
        <is>
          <t>high</t>
        </is>
      </c>
      <c r="D74" s="11" t="inlineStr">
        <is>
          <t>intangible asset</t>
        </is>
      </c>
      <c r="E74" s="11" t="inlineStr">
        <is>
          <t>PDF p.198 (印刷頁 196)</t>
        </is>
      </c>
      <c r="F74" s="11" t="inlineStr">
        <is>
          <t>2,558 After one year but within two years 一年以上但兩年以內 881 769 After two years but within three years 兩年以上但三年以內 432 55 3,747 3,382 17. INTANGIBLE ASSETS 17. 無形資產 The balance represents the Group’s trademarks which are assessed as 該款項指本集團之商標。由於本集團可以於無需支 having indefinite useful lives because the Group is able to renew the legal 付重大成本下無限期延續其使用權，故被評為有無 right of the trademarks at insignificant cost indefinitely. 限使用年期。 18. OTHER ASSET 18. 其他資產 Other asset represents the cost of membership for a seat at The Chinese 其他資產指金銀業貿易場會籍成本，乃按成</t>
        </is>
      </c>
    </row>
    <row r="75">
      <c r="A75" s="8" t="inlineStr">
        <is>
          <t>Intangible Assets &amp; Goodwill</t>
        </is>
      </c>
      <c r="B75" s="8" t="inlineStr">
        <is>
          <t>無形資產及商譽</t>
        </is>
      </c>
      <c r="C75" s="19" t="inlineStr">
        <is>
          <t>high</t>
        </is>
      </c>
      <c r="D75" s="11" t="inlineStr">
        <is>
          <t>攤銷</t>
        </is>
      </c>
      <c r="E75" s="11" t="inlineStr">
        <is>
          <t>PDF p.206 (印刷頁 204)</t>
        </is>
      </c>
      <c r="F75" s="11" t="inlineStr">
        <is>
          <t>267 Over 3 months 超過3個月 80,791 166,485 220,618 307,866 The trade payables are generally non-interest-bearing, measured at 應付賬款一般不計息，按攤銷成本計量以及一般 amortised cost and are normally settled on terms of 30 to 120 days, 為30至120日償付期，惟金額為港幣40,706,000元 except for an amount of HK$40,706,000 (31 March 2025: Nil) which is （2025年3月31日：無）之結餘計息且由於該等項目 interest-bearing and measured at fair value through profit or loss as they 以黃金商品結算按公允值計入損益除外。 are settled in gold commodities. The carrying amounts of the Group’s trade payables are denominated in</t>
        </is>
      </c>
    </row>
    <row r="76">
      <c r="A76" s="8" t="inlineStr">
        <is>
          <t>Intangible Assets &amp; Goodwill</t>
        </is>
      </c>
      <c r="B76" s="8" t="inlineStr">
        <is>
          <t>無形資產及商譽</t>
        </is>
      </c>
      <c r="C76" s="19" t="inlineStr">
        <is>
          <t>high</t>
        </is>
      </c>
      <c r="D76" s="11" t="inlineStr">
        <is>
          <t>攤銷</t>
        </is>
      </c>
      <c r="E76" s="11" t="inlineStr">
        <is>
          <t>PDF p.210 (印刷頁 208)</t>
        </is>
      </c>
      <c r="F76" s="11" t="inlineStr">
        <is>
          <t>ngs, including the bank loans repayable 計息銀行貸款，包括按要求償還之銀行貸款，乃按 on demand, are carried at amortised cost. None of the portions of the 攤銷成本列賬。預計概無於1年後到期償還且包含按 bank loans due for repayment after one year contains a repayment on 要求償還條款，因此分類為流動負債。作此評估時 demand clause, and as a result, the bank loans would be classified as 已考慮以下各項：本集團於本財務報表核准日之財 current liabilities. This evaluation was made considering the financial 務狀況，本集團持續遵守貸款條款，沒有違約事件 position of the Group at the date of approval of the financial statements, 及本集團過往準時還款之實況。 the Gro</t>
        </is>
      </c>
    </row>
    <row r="77">
      <c r="A77" s="8" t="inlineStr">
        <is>
          <t>Intangible Assets &amp; Goodwill</t>
        </is>
      </c>
      <c r="B77" s="8" t="inlineStr">
        <is>
          <t>無形資產及商譽</t>
        </is>
      </c>
      <c r="C77" s="19" t="inlineStr">
        <is>
          <t>high</t>
        </is>
      </c>
      <c r="D77" s="11" t="inlineStr">
        <is>
          <t>攤銷</t>
        </is>
      </c>
      <c r="E77" s="11" t="inlineStr">
        <is>
          <t>PDF p.232 (印刷頁 230)</t>
        </is>
      </c>
      <c r="F77" s="11" t="inlineStr">
        <is>
          <t>別之金融工具賬面值如下： at the end of the reporting period are as follows: 2026 2026年 Financial assets 財務資產 Financial assets at amortised cost 按攤銷成本入賬 之財務資產 HK$’000 港幣千元 Trade receivables 應收賬款 26,650 Financial assets included in prepayments, 包含在預付款、其他應收賬款及 other receivables and other assets 其他資產之財務資產 44,714 Cash and cash equivalents 現金及現金等價物 83,192 154,556 Financial liabilities 財務負債 Financial liabilities at fair value through Financial liabilities profit or loss at amortised cost Total 按公允值計入 按攤銷成本 損益的金融負債 入賬之財務負債 總額 HK$’000 HK$’000 HK$’0</t>
        </is>
      </c>
    </row>
    <row r="78">
      <c r="A78" s="8" t="inlineStr">
        <is>
          <t>Intangible Assets &amp; Goodwill</t>
        </is>
      </c>
      <c r="B78" s="8" t="inlineStr">
        <is>
          <t>無形資產及商譽</t>
        </is>
      </c>
      <c r="C78" s="19" t="inlineStr">
        <is>
          <t>high</t>
        </is>
      </c>
      <c r="D78" s="11" t="inlineStr">
        <is>
          <t>攤銷</t>
        </is>
      </c>
      <c r="E78" s="11" t="inlineStr">
        <is>
          <t>PDF p.233 (印刷頁 231)</t>
        </is>
      </c>
      <c r="F78" s="11" t="inlineStr">
        <is>
          <t>at the end of the reporting period are as follows: (continued) 2025 2025年 Financial assets 財務資產 Financial assets at amortised cost 按攤銷成本入賬 之財務資產 HK$’000 港幣千元 Trade receivables 應收賬款 38,188 Financial assets included in prepayments, 包含在預付款、其他應收賬款及 other receivables and other assets 其他資產之財務資產 42,930 Pledged time deposits 已抵押定期存款 58,309 Cash and cash equivalents 現金及現金等價物 129,378 268,805 Financial liabilities 財務負債 Financial liabilities at fair value through Financial liabilities profit or loss at amortised cost Total 按公允值計入 按攤銷成本 損益</t>
        </is>
      </c>
    </row>
    <row r="79">
      <c r="A79" s="8" t="inlineStr">
        <is>
          <t>Investment Properties</t>
        </is>
      </c>
      <c r="B79" s="8" t="inlineStr">
        <is>
          <t>投資物業</t>
        </is>
      </c>
      <c r="C79" s="19" t="inlineStr">
        <is>
          <t>high</t>
        </is>
      </c>
      <c r="D79" s="11" t="inlineStr">
        <is>
          <t>投資物業</t>
        </is>
      </c>
      <c r="E79" s="11" t="inlineStr">
        <is>
          <t>PDF p.44 (印刷頁 042)</t>
        </is>
      </c>
      <c r="F79" s="11" t="inlineStr">
        <is>
          <t>0元，包括現金及實物 both cash and in-kind contributions (2024/25: Nil). 捐贈（2024/25：無）。 PROPERTY, PLANT AND EQUIPMENT AND INVESTMENT 物業、廠房及設備以及投資物業 PROPERTIES Details of the movements in property, plant and equipment as well as 本集團的物業、廠房及設備以及投資物業於本年度內之變 investment properties of the Group during the Year are set out in notes 14 and 動詳情載列於綜合財務報表附註14及15。 15 to the consolidated financial statements. Particulars of the major properties of the Group are shown on pages 250 to 252 本集團的主要物業詳情載於本年報第250至252頁。 of this annual report. DISTRIBUTABLE RE</t>
        </is>
      </c>
    </row>
    <row r="80">
      <c r="A80" s="8" t="inlineStr">
        <is>
          <t>Investment Properties</t>
        </is>
      </c>
      <c r="B80" s="8" t="inlineStr">
        <is>
          <t>投資物業</t>
        </is>
      </c>
      <c r="C80" s="19" t="inlineStr">
        <is>
          <t>high</t>
        </is>
      </c>
      <c r="D80" s="11" t="inlineStr">
        <is>
          <t>投資物業</t>
        </is>
      </c>
      <c r="E80" s="11" t="inlineStr">
        <is>
          <t>PDF p.97 (印刷頁 095)</t>
        </is>
      </c>
      <c r="F80" s="11" t="inlineStr">
        <is>
          <t>00 於2026年3月31日 附註 港幣千元 港幣千元 NON-CURRENT ASSETS 非流動資產 Property, plant and equipment 物業、廠房及設備 14 129,849 112,959 Investment properties 投資物業 15 161,669 140,117 Right-of-use assets 使用權資產 16(a) 114,554 92,491 Intangible assets 無形資產 17 99 99 Other asset 其他資產 18 500 500 Prepayments and deposits 預付款及按金 21 14,220 10,357 Deferred tax assets 遞延稅項資產 28 13,613 10,702 434,504 367,225 CURRENT ASSETS 流動資產 Inventories 存貨 19 1,050,966 1,044,023 Trade receivables 應收賬款 20 26,650 38,188 Prepayments, other receivables 預付款、其他應收款及其他資產 and other assets</t>
        </is>
      </c>
    </row>
    <row r="81">
      <c r="A81" s="8" t="inlineStr">
        <is>
          <t>Investment Properties</t>
        </is>
      </c>
      <c r="B81" s="8" t="inlineStr">
        <is>
          <t>投資物業</t>
        </is>
      </c>
      <c r="C81" s="19" t="inlineStr">
        <is>
          <t>high</t>
        </is>
      </c>
      <c r="D81" s="11" t="inlineStr">
        <is>
          <t>投資物業</t>
        </is>
      </c>
      <c r="E81" s="11" t="inlineStr">
        <is>
          <t>PDF p.101 (印刷頁 099)</t>
        </is>
      </c>
      <c r="F81" s="11" t="inlineStr">
        <is>
          <t>42 16,651 (Reversal of impairment)/impairment 使用權資產（減值回撥）╱減值 of right-of-use assets 7 (9,161) 42,549 Fair value losses on investment 投資物業的公允價值虧損 properties 6 14,848 11,793 Impairment/(reversal of impairment) 存貨減值╱（減值回撥），淨額 of inventories, net 7 5,966 (13,661) Fair value losses on gold loan and 黃金貸款及以黃金商品結算 trade payables settled in gold 之應付賬款的公允價值虧損 commodities 6 21,146 1,737 Gain on inventory monetarisation 存貨變現收益 6 (65,426) – 159,294 39,678 099</t>
        </is>
      </c>
    </row>
    <row r="82">
      <c r="A82" s="8" t="inlineStr">
        <is>
          <t>Investment Properties</t>
        </is>
      </c>
      <c r="B82" s="8" t="inlineStr">
        <is>
          <t>投資物業</t>
        </is>
      </c>
      <c r="C82" s="19" t="inlineStr">
        <is>
          <t>high</t>
        </is>
      </c>
      <c r="D82" s="11" t="inlineStr">
        <is>
          <t>投資物業</t>
        </is>
      </c>
      <c r="E82" s="11" t="inlineStr">
        <is>
          <t>PDF p.111 (印刷頁 109)</t>
        </is>
      </c>
      <c r="F82" s="11" t="inlineStr">
        <is>
          <t>pretations) as issued by the Hong Kong Institute 條例披露要求規定而編製。除以公允價值計量 of Certified Public Accountants (“HKICPA”) and the disclosure 之投資物業、黃金貸款及以黃金商品結算之應 requirements of the Hong Kong Companies Ordinance. They have 付賬款外，此等財務報表皆按歷史成本常規法 been prepared under the historical cost convention, except for 編製。此等財務報表以港元呈報，除特別說 investment properties, gold loan and trade payables settled in 明，所有價值均調整至最接近的千位數。 gold commodities, which have been measured at fair value. These financial statements are presented in Hong Kong dollars (“HK$”) and a</t>
        </is>
      </c>
    </row>
    <row r="83">
      <c r="A83" s="8" t="inlineStr">
        <is>
          <t>Investment Properties</t>
        </is>
      </c>
      <c r="B83" s="8" t="inlineStr">
        <is>
          <t>投資物業</t>
        </is>
      </c>
      <c r="C83" s="19" t="inlineStr">
        <is>
          <t>high</t>
        </is>
      </c>
      <c r="D83" s="11" t="inlineStr">
        <is>
          <t>投資物業</t>
        </is>
      </c>
      <c r="E83" s="11" t="inlineStr">
        <is>
          <t>PDF p.123 (印刷頁 121)</t>
        </is>
      </c>
      <c r="F83" s="11" t="inlineStr">
        <is>
          <t>OUNTING POLICIES 2.4 重大會計政策 Fair value measurement 公允價值計量 The Group measures its investment properties, gold loan and 本集團於各報告期末以公允值計量投資物業， trade payables settled in gold commodities at fair value at the 黃金貸款及以黃金商品結算之應付賬款。公允 end of each reporting period. Fair value is the price that would be 價值為市場參與者間於計量日期進行之有序交 received to sell an asset or paid to transfer a liability in an orderly 易中，出售資產所收取或轉讓負債所支付之價 transaction between market participants at the measurement date. 格。公允價值計量假設出售資產或轉讓負債之 The fair value measurement is based on th</t>
        </is>
      </c>
    </row>
    <row r="84">
      <c r="A84" s="8" t="inlineStr">
        <is>
          <t>Investment Properties</t>
        </is>
      </c>
      <c r="B84" s="8" t="inlineStr">
        <is>
          <t>投資物業</t>
        </is>
      </c>
      <c r="C84" s="19" t="inlineStr">
        <is>
          <t>high</t>
        </is>
      </c>
      <c r="D84" s="11" t="inlineStr">
        <is>
          <t>投資物業</t>
        </is>
      </c>
      <c r="E84" s="11" t="inlineStr">
        <is>
          <t>PDF p.125 (印刷頁 123)</t>
        </is>
      </c>
      <c r="F84" s="11" t="inlineStr">
        <is>
          <t>sset is required (other than inventories, 度減值測試（不包括存貨、遞延稅項資產、 deferred tax assets, financial assets and investment properties), 財務資產及投資物業），則估計資產之可收 the asset’s recoverable amount is estimated. An asset’s recoverable 回金額。資產之可收回金額按資產或現金產 amount is the higher of the asset’s or cash-generating unit’s value 生單位之使用價值及其公允值減出售成本 in use and its fair value less costs of disposal, and is determined for （以較高者為準）計算，並就個別資產釐定， an individual asset, unless the asset does not generate cash inflows 惟倘資產不可產生大致獨立於其他資產或資 that are largely independent</t>
        </is>
      </c>
    </row>
    <row r="85">
      <c r="A85" s="8" t="inlineStr">
        <is>
          <t>Investment Properties</t>
        </is>
      </c>
      <c r="B85" s="8" t="inlineStr">
        <is>
          <t>投資物業</t>
        </is>
      </c>
      <c r="C85" s="19" t="inlineStr">
        <is>
          <t>high</t>
        </is>
      </c>
      <c r="D85" s="11" t="inlineStr">
        <is>
          <t>投資物業</t>
        </is>
      </c>
      <c r="E85" s="11" t="inlineStr">
        <is>
          <t>PDF p.129 (印刷頁 127)</t>
        </is>
      </c>
      <c r="F85" s="11" t="inlineStr">
        <is>
          <t>ate 折舊，並可供使用時重新分類至物業、廠房及 category of property, plant and equipment when completed and 設備之適當類別內。 ready for use. Investment properties 投資物業 Investment properties are interests in land and buildings (including 投資物業指以獲得租金收入及╱或資本增值 right-of-use assets) held to earn rental income and/or for capital 為目的而持有的土地及樓宇（包括使用權資 appreciation. Such properties are measured initially at cost, 產）的權益。該等物業初步以包括交易成本在 including transaction costs. Subsequent to initial recognition, 內的成本計量。於初始確認後，投資物業按反 investment properties are stated at fair value, whi</t>
        </is>
      </c>
    </row>
    <row r="86">
      <c r="A86" s="8" t="inlineStr">
        <is>
          <t>Investment Properties</t>
        </is>
      </c>
      <c r="B86" s="8" t="inlineStr">
        <is>
          <t>投資物業</t>
        </is>
      </c>
      <c r="C86" s="19" t="inlineStr">
        <is>
          <t>high</t>
        </is>
      </c>
      <c r="D86" s="11" t="inlineStr">
        <is>
          <t>investment property</t>
        </is>
      </c>
      <c r="E86" s="11" t="inlineStr">
        <is>
          <t>PDF p.130 (印刷頁 128)</t>
        </is>
      </c>
      <c r="F86" s="11" t="inlineStr">
        <is>
          <t>ment properties (continued) 投資物業（續） If a property occupied by the Group as an owner-occupied property 倘本集團作為自置物業佔用的物業成為投資 becomes an investment property, the Group accounts for such 物業，則本集團根據「物業、廠房及設備與折 property in accordance with the policy stated under “Property, 舊」項下所述政策將該物業入賬為自有物業 plant and equipment and depreciation” for owned property and/ 及╱或根據「使用權資產」項下所述政策將該 or accounts for such property in accordance with the policy stated 物業入賬為持作使用權資產的物業，直至改變 under “Right-of-use assets” for property held as a right-of-use asset 用途當日為止</t>
        </is>
      </c>
    </row>
    <row r="87">
      <c r="A87" s="8" t="inlineStr">
        <is>
          <t>Investment Properties</t>
        </is>
      </c>
      <c r="B87" s="8" t="inlineStr">
        <is>
          <t>投資物業</t>
        </is>
      </c>
      <c r="C87" s="19" t="inlineStr">
        <is>
          <t>high</t>
        </is>
      </c>
      <c r="D87" s="11" t="inlineStr">
        <is>
          <t>investment property</t>
        </is>
      </c>
      <c r="E87" s="11" t="inlineStr">
        <is>
          <t>PDF p.159 (印刷頁 157)</t>
        </is>
      </c>
      <c r="F87" s="11" t="inlineStr">
        <is>
          <t>lifies as an investment 本集團須判斷物業是否屬於投資物業，並就有關判 property, and has developed criteria in making that judgement. 斷制訂準則。投資物業乃持作收取租金或獲取資本 Investment property is a property held to earn rentals or for capital 升值或兩者之物業。因此，本集團考慮一物業是否 appreciation or both. Therefore, the Group considers whether a property 大致獨立於本集團所持其他資產帶來現金流量。某 generates cash flows largely independently of the other assets held 些物業一部分持作賺取租金或獲取資本升值，另一 by the Group. Some properties comprise a portion that is held to earn 部分用作生產或供應貨品或服務或作行政用途。倘 rentals or for capital appre</t>
        </is>
      </c>
    </row>
    <row r="88">
      <c r="A88" s="8" t="inlineStr">
        <is>
          <t>Investment Properties</t>
        </is>
      </c>
      <c r="B88" s="8" t="inlineStr">
        <is>
          <t>投資物業</t>
        </is>
      </c>
      <c r="C88" s="19" t="inlineStr">
        <is>
          <t>high</t>
        </is>
      </c>
      <c r="D88" s="11" t="inlineStr">
        <is>
          <t>投資物業</t>
        </is>
      </c>
      <c r="E88" s="11" t="inlineStr">
        <is>
          <t>PDF p.165 (印刷頁 163)</t>
        </is>
      </c>
      <c r="F88" s="11" t="inlineStr">
        <is>
          <t>on gold loan and trade payables 商品結算之應付賬款之公允價值虧損、存貨變現收 settled in gold commodities, gain on inventories monetarisation, fair value 益、投資物業公允值變動之虧損、及與租賃無關的 losses on investment properties and non-lease-related finance costs are 財務費用則不包括在其計算當中。 excluded from such measurement. Segment assets exclude deferred tax assets and tax recoverable as these 分部資產不包括遞延稅項資產及可收回稅項，該等 assets are managed on a group basis. 資產均由本集團統一管理。 Segment liabilities exclude gold loan, interest-bearing bank borrowings, 分部負債不包括黃金貸款、計息銀行貸款，應付稅 tax payable, defer</t>
        </is>
      </c>
    </row>
    <row r="89">
      <c r="A89" s="8" t="inlineStr">
        <is>
          <t>Investment Properties</t>
        </is>
      </c>
      <c r="B89" s="8" t="inlineStr">
        <is>
          <t>投資物業</t>
        </is>
      </c>
      <c r="C89" s="19" t="inlineStr">
        <is>
          <t>high</t>
        </is>
      </c>
      <c r="D89" s="11" t="inlineStr">
        <is>
          <t>投資物業</t>
        </is>
      </c>
      <c r="E89" s="11" t="inlineStr">
        <is>
          <t>PDF p.166 (印刷頁 164)</t>
        </is>
      </c>
      <c r="F89" s="11" t="inlineStr">
        <is>
          <t>s 分部業績 108,105 98,795 29,341 (1,569) 234,672 Reconciliation: 調節： Unallocated expenses 未分配支出 (99,634) Fair value losses on investment 投資物業的公允價值虧損 properties (14,848) Fair value losses on trade payables 以黃金商品結算 settled in gold commodities 之應付賬款之公允價值虧損 (21,146) Gain on inventory monetarisation 存貨變現收益 65,426 Finance costs (other than interest 財務費用（不包括租賃負債的 on lease liabilities) 利息） (36,531) Profit before tax 除稅前溢利 127,939 Income tax expense 所得稅費用 (13,603) Profit for the year 本年度溢利 114,336 Segment assets 分部資產 1,537,450 30,890 52,063</t>
        </is>
      </c>
    </row>
    <row r="90">
      <c r="A90" s="8" t="inlineStr">
        <is>
          <t>Investment Properties</t>
        </is>
      </c>
      <c r="B90" s="8" t="inlineStr">
        <is>
          <t>投資物業</t>
        </is>
      </c>
      <c r="C90" s="19" t="inlineStr">
        <is>
          <t>high</t>
        </is>
      </c>
      <c r="D90" s="11" t="inlineStr">
        <is>
          <t>投資物業</t>
        </is>
      </c>
      <c r="E90" s="11" t="inlineStr">
        <is>
          <t>PDF p.168 (印刷頁 166)</t>
        </is>
      </c>
      <c r="F90" s="11" t="inlineStr">
        <is>
          <t>iliation: 調節： Unallocated expenses 未分配支出 (73,413) Fair value losses on gold loan 黃金貸款的公允價值虧損 (1,737) Fair value losses on investment 投資物業的公允價值虧損 properties (11,793) Finance costs (other than interest 財務費用（不包括租賃負債的 on lease liabilities) 利息） (67,477) Loss before tax 除稅前虧損 (166,139) Income tax expense 所得稅費用 (31,660) Loss for the year 本年度虧損 (197,799) Segment assets 分部資產 1,591,211 22,738 53,884 1,063 1,668,896 Reconciliation: 調節： Deferred tax assets 遞延稅項資產 10,702 Tax recoverable 可收回稅項 2,599 Total assets 總資產 1,682,197 Segment liabili</t>
        </is>
      </c>
    </row>
    <row r="91">
      <c r="A91" s="8" t="inlineStr">
        <is>
          <t>Investment Properties</t>
        </is>
      </c>
      <c r="B91" s="8" t="inlineStr">
        <is>
          <t>投資物業</t>
        </is>
      </c>
      <c r="C91" s="19" t="inlineStr">
        <is>
          <t>high</t>
        </is>
      </c>
      <c r="D91" s="11" t="inlineStr">
        <is>
          <t>投資物業</t>
        </is>
      </c>
      <c r="E91" s="11" t="inlineStr">
        <is>
          <t>PDF p.174 (印刷頁 172)</t>
        </is>
      </c>
      <c r="F91" s="11" t="inlineStr">
        <is>
          <t>gold loan and trade 黃金貸款及以黃金商品結算 payables settled in gold commodities 之應付賬款之公允價值虧損 (21,146) (1,737) Fair value losses on investment 投資物業的公允價值虧損（附註15） properties (note 15) (14,848) (11,793) Repair service income 維修服務收入 587 726 Rental income 租金收入 4,763 4,296 Gain on lease modification 修訂租約收益 1,378 9,537 Others 其他 11,703 6,338 44,829 2,137 * The government grants represented subsidies from municipal * 此乃指由中國內地市政府及中華人民共和國香港 governments in the Chinese Mainland and the Government of the Hong 特別行政區政府提供的補貼。該等補貼無任何未 Kong Special Admini</t>
        </is>
      </c>
    </row>
    <row r="92">
      <c r="A92" s="8" t="inlineStr">
        <is>
          <t>Investment Properties</t>
        </is>
      </c>
      <c r="B92" s="8" t="inlineStr">
        <is>
          <t>投資物業</t>
        </is>
      </c>
      <c r="C92" s="19" t="inlineStr">
        <is>
          <t>high</t>
        </is>
      </c>
      <c r="D92" s="11" t="inlineStr">
        <is>
          <t>投資物業</t>
        </is>
      </c>
      <c r="E92" s="11" t="inlineStr">
        <is>
          <t>PDF p.184 (印刷頁 182)</t>
        </is>
      </c>
      <c r="F92" s="11" t="inlineStr">
        <is>
          <t>d lease to 本化為興建工程 construction in progress – – – – 601 601 Surplus on revaluation 重估盈餘 8,340 – – – – 8,340 Transfer to investment 轉至投資物業 properties (9,400) – – – – (9,400) At 31 March 2026, net of 於2026年3月31日， accumulated depreciation 扣除累計折舊及 and impairment 減值 11,175 2,487 4,642 78 111,467 129,849 At 31 March 2026: 於2026年3月31日： Cost 成本 26,567 7,908 266,298 2,445 111,467 414,685 Accumulated depreciation and 累計折舊及減值 impairment (15,392) (5,421) (261,656) (2,367) – (284,836) Net carrying amount 賬面淨值 11,175 2,487 4,642 78 111,467 1</t>
        </is>
      </c>
    </row>
    <row r="93">
      <c r="A93" s="8" t="inlineStr">
        <is>
          <t>Investment Properties</t>
        </is>
      </c>
      <c r="B93" s="8" t="inlineStr">
        <is>
          <t>投資物業</t>
        </is>
      </c>
      <c r="C93" s="19" t="inlineStr">
        <is>
          <t>high</t>
        </is>
      </c>
      <c r="D93" s="11" t="inlineStr">
        <is>
          <t>投資物業</t>
        </is>
      </c>
      <c r="E93" s="11" t="inlineStr">
        <is>
          <t>PDF p.189 (印刷頁 187)</t>
        </is>
      </c>
      <c r="F93" s="11" t="inlineStr">
        <is>
          <t>NOTES TO THE FINANCIAL STATEMENTS (CONTINUED) 財務報表附註（續） 15. INVESTMENT PROPERTIES 15. 投資物業 2026 2025 2026年 2025年 HK$’000 HK$’000 港幣千元 港幣千元 Carrying amount at beginning of year 年初之賬面值 140,117 151,910 Transfer from property, plant and equipment 轉撥自物業、廠房及設備 9,400 – Transfer from right-of-use assets 轉撥自使用權資產 27,000 – Net losses from a fair value 公允價值調整所產生的 adjustment (note 6) 淨虧損（附註6） (14,848) (11,793) Carrying amount at end of year 年末之賬面值 161,669 140,117 The Group’s investment propert</t>
        </is>
      </c>
    </row>
    <row r="94">
      <c r="A94" s="8" t="inlineStr">
        <is>
          <t>Investment Properties</t>
        </is>
      </c>
      <c r="B94" s="8" t="inlineStr">
        <is>
          <t>投資物業</t>
        </is>
      </c>
      <c r="C94" s="19" t="inlineStr">
        <is>
          <t>high</t>
        </is>
      </c>
      <c r="D94" s="11" t="inlineStr">
        <is>
          <t>投資物業</t>
        </is>
      </c>
      <c r="E94" s="11" t="inlineStr">
        <is>
          <t>PDF p.190 (印刷頁 188)</t>
        </is>
      </c>
      <c r="F94" s="11" t="inlineStr">
        <is>
          <t>NOTES TO THE FINANCIAL STATEMENTS (CONTINUED) 財務報表附註（續） 15. INVESTMENT PROPERTIES 15. 投資物業（續） (CONTINUED) Fair value hierarchy 公允價值等級 The following table illustrates the fair value measurement hierarchy of the 下表說明本集團投資物業的公允值計量層級 Group’s investment properties: 31 March 2026 2026年3月31日 Fair value measurements as at 31 March 2026 using 於2026年3月31日的公允價值計量分類 Quoted prices in Significant Significant active observable unobservable markets inputs inputs (Level 1) (Level 2) (Level 3) Total</t>
        </is>
      </c>
    </row>
    <row r="95">
      <c r="A95" s="8" t="inlineStr">
        <is>
          <t>Investment Properties</t>
        </is>
      </c>
      <c r="B95" s="8" t="inlineStr">
        <is>
          <t>投資物業</t>
        </is>
      </c>
      <c r="C95" s="19" t="inlineStr">
        <is>
          <t>high</t>
        </is>
      </c>
      <c r="D95" s="11" t="inlineStr">
        <is>
          <t>投資物業</t>
        </is>
      </c>
      <c r="E95" s="11" t="inlineStr">
        <is>
          <t>PDF p.191 (印刷頁 189)</t>
        </is>
      </c>
      <c r="F95" s="11" t="inlineStr">
        <is>
          <t>NOTES TO THE FINANCIAL STATEMENTS (CONTINUED) 財務報表附註（續） 15. INVESTMENT PROPERTIES 15. 投資物業（續） (CONTINUED) Fair value hierarchy (continued) 公允價值等級（續） Reconciliation of fair value measurements categorised within Level 3 of 分類為公允值第三層級之公允值計量之調節如下： the fair value hierarchy: Industrial properties 工業用物業 HK$’000 港幣千元 Carrying amount at 1 April 2024 於2024年4月1日賬面值 151,910 Net losses from a fair value adjustment 公允值調整之淨虧損 (11,793) Carrying amount at 31 March 2025 and 1 April 2025 於2025年3月31日及</t>
        </is>
      </c>
    </row>
    <row r="96">
      <c r="A96" s="8" t="inlineStr">
        <is>
          <t>Investment Properties</t>
        </is>
      </c>
      <c r="B96" s="8" t="inlineStr">
        <is>
          <t>投資物業</t>
        </is>
      </c>
      <c r="C96" s="19" t="inlineStr">
        <is>
          <t>high</t>
        </is>
      </c>
      <c r="D96" s="11" t="inlineStr">
        <is>
          <t>投資物業</t>
        </is>
      </c>
      <c r="E96" s="11" t="inlineStr">
        <is>
          <t>PDF p.192 (印刷頁 190)</t>
        </is>
      </c>
      <c r="F96" s="11" t="inlineStr">
        <is>
          <t>NOTES TO THE FINANCIAL STATEMENTS (CONTINUED) 財務報表附註（續） 15. INVESTMENT PROPERTIES 15. 投資物業（續） (CONTINUED) Fair value hierarchy (continued) 公允價值等級（續） Below is a summary of the valuation techniques used and the key inputs 下文為投資物業估值所用的估值技術及主要輸入數 to the valuation of investment properties: 據的概要： Valuation techniques Significant unobservable inputs Range 估值技術 重大不可觀察輸入據 範圍 2026 2025 2026年 2025年 Industrial properties Direct comparison approach Price per sq.ft. (HK$) 4,276 to 9,470 4,141 to</t>
        </is>
      </c>
    </row>
    <row r="97">
      <c r="A97" s="8" t="inlineStr">
        <is>
          <t>Investment Properties</t>
        </is>
      </c>
      <c r="B97" s="8" t="inlineStr">
        <is>
          <t>投資物業</t>
        </is>
      </c>
      <c r="C97" s="19" t="inlineStr">
        <is>
          <t>high</t>
        </is>
      </c>
      <c r="D97" s="11" t="inlineStr">
        <is>
          <t>投資物業</t>
        </is>
      </c>
      <c r="E97" s="11" t="inlineStr">
        <is>
          <t>PDF p.193 (印刷頁 191)</t>
        </is>
      </c>
      <c r="F97" s="11" t="inlineStr">
        <is>
          <t>sal of impairment (note 7) 減值回撥（附註7） – 9,161 – 9,161 Surplus on revaluation 重估盈餘 2,577 – – 2,577 Transfer to investment properties 轉至投資物業 (27,000) – – (27,000) Exchange realignment 匯兌調整 1,181 147 – 1,328 As at 31 March 2026 於2026年3月31日 57,254 57,300 – 114,554 191</t>
        </is>
      </c>
    </row>
    <row r="98">
      <c r="A98" s="8" t="inlineStr">
        <is>
          <t>Investment Properties</t>
        </is>
      </c>
      <c r="B98" s="8" t="inlineStr">
        <is>
          <t>投資物業</t>
        </is>
      </c>
      <c r="C98" s="19" t="inlineStr">
        <is>
          <t>high</t>
        </is>
      </c>
      <c r="D98" s="11" t="inlineStr">
        <is>
          <t>投資物業</t>
        </is>
      </c>
      <c r="E98" s="11" t="inlineStr">
        <is>
          <t>PDF p.227 (印刷頁 225)</t>
        </is>
      </c>
      <c r="F98" s="11" t="inlineStr">
        <is>
          <t>way of a first 元（於2025年3月31日：港幣140,117,000元）在 legal charge, as securities for, inter alia, all obligations and liabilities, 香港的土地及樓宇和投資物業作抵押，以作為 actual or contingent, from time to time owing by the Group to （其中包括）本集團不時結欠該等銀行之所有 those banks. 實際或或有負債及債務之抵押品。 225</t>
        </is>
      </c>
    </row>
    <row r="99">
      <c r="A99" s="8" t="inlineStr">
        <is>
          <t>Investment Properties</t>
        </is>
      </c>
      <c r="B99" s="8" t="inlineStr">
        <is>
          <t>投資物業</t>
        </is>
      </c>
      <c r="C99" s="19" t="inlineStr">
        <is>
          <t>high</t>
        </is>
      </c>
      <c r="D99" s="11" t="inlineStr">
        <is>
          <t>建築面積</t>
        </is>
      </c>
      <c r="E99" s="11" t="inlineStr">
        <is>
          <t>PDF p.252 (印刷頁 250)</t>
        </is>
      </c>
      <c r="F99" s="11" t="inlineStr">
        <is>
          <t>ROPERTIES 物業摘要 Owner-occupied Properties 自用物業 Gross Floor Percentage Area interest in Address Use (Square Feet) property Tenure Type 建築面積 地址 用途 （平方尺） 物業權益比率 年期的分類 種類 1 Private Car Parking Space Nos. 43-50 and 73, Basement, and Lorry Car Parking Space Nos. 1 – 6, 11 and 14, 1st Floor Summit Building, Own use 30 Man Yue Street, Hung Hom, Kowloon, Hong Kong 自用 N/A 100% M C 香港九龍紅磡民裕街30號興業工商大廈地庫43-50號及 73號私家車泊車位及一樓1-6號、11及14號貨車泊車位 2 Units A1 – A7, B, Front and Rear Portion, Storeroom No.3 and 5, Ground Floor; Units B, 1st Floor; Uni</t>
        </is>
      </c>
    </row>
    <row r="100">
      <c r="A100" s="8" t="inlineStr">
        <is>
          <t>Investment Properties</t>
        </is>
      </c>
      <c r="B100" s="8" t="inlineStr">
        <is>
          <t>投資物業</t>
        </is>
      </c>
      <c r="C100" s="19" t="inlineStr">
        <is>
          <t>high</t>
        </is>
      </c>
      <c r="D100" s="11" t="inlineStr">
        <is>
          <t>投資物業</t>
        </is>
      </c>
      <c r="E100" s="11" t="inlineStr">
        <is>
          <t>PDF p.253 (印刷頁 251)</t>
        </is>
      </c>
      <c r="F100" s="11" t="inlineStr">
        <is>
          <t>Rome Garden, Own use Cao Hui Road, Chaoyang District, Beijing, PRC 自用 1,735 100% M R 中國北京市朝陽區曹慧路羅馬花園F座二十三樓1號室 Investment Properties 投資物業 Gross Floor Percentage Area interest in Address Lot number Use (Square Feet) property Tenure Type 建築面積 地址 地段編號 用途 （平方尺） 物業權益比率 年期的分類 種類 1 Unit A1 – A3, C, 1st Floor, and Units A – E, 3rd Floor Summit Building, 30 Man Yue Street, Hung Hom, Rental Kowloon, Hong Kong Kowloon Marine Lot No. 40 出租 19,353 100% M I 香港九龍紅磡民裕街30號興業工商大廈一樓A1 – A3、 C單位及三樓A – E單位 251</t>
        </is>
      </c>
    </row>
    <row r="101">
      <c r="A101" s="8" t="inlineStr">
        <is>
          <t>Investment Properties</t>
        </is>
      </c>
      <c r="B101" s="8" t="inlineStr">
        <is>
          <t>投資物業</t>
        </is>
      </c>
      <c r="C101" s="19" t="inlineStr">
        <is>
          <t>high</t>
        </is>
      </c>
      <c r="D101" s="11" t="inlineStr">
        <is>
          <t>建築面積</t>
        </is>
      </c>
      <c r="E101" s="11" t="inlineStr">
        <is>
          <t>PDF p.254 (印刷頁 252)</t>
        </is>
      </c>
      <c r="F101" s="11" t="inlineStr">
        <is>
          <t>OF PROPERTIES (CONTINUED) 物業摘要（續） Gross Floor Percentage Area interest in Address Lot number Use (Square Feet) property Tenure Type 建築面積 地址 地段編號 用途 （平方尺） 物業權益比率 年期的分類 種類 2 Units A and B, 1st Floor, Shui Ki Industrial Building, No. ABERDEEN INLAND Rental 18, Wong Chuk Hang Road, Aberdeen, Hong Kong LOT NO. 343 出租 10,716 100% L I 香港香港仔黃竹坑道18號瑞琪工業大廈一樓A至B單位 L: Long term lease L: 長期租賃契約 M: Medium term lease M: 中期租賃契約 C: Carpark C: 泊車位 I: Industrial unit I: 工業用 R: Residential R: 住宅用 N/A: Not applicable N/A: 不適用 F: Factory F: 廠房 252</t>
        </is>
      </c>
    </row>
    <row r="102">
      <c r="A102" s="8" t="inlineStr">
        <is>
          <t>ESG Data</t>
        </is>
      </c>
      <c r="B102" s="8" t="inlineStr">
        <is>
          <t>環境社會及管治數據</t>
        </is>
      </c>
      <c r="C102" s="8" t="inlineStr">
        <is>
          <t>medium</t>
        </is>
      </c>
      <c r="D102" s="11" t="inlineStr">
        <is>
          <t>可持續</t>
        </is>
      </c>
      <c r="E102" s="11" t="inlineStr">
        <is>
          <t>PDF p.14 (印刷頁 012)</t>
        </is>
      </c>
      <c r="F102" s="11" t="inlineStr">
        <is>
          <t>set 至31.1%。儘管毛利率有所下降，本集團仍深信，該策略重 jewellery, the overall gross profit margin dropped to 31.1% for the Year. Despite 點在推動銷量方面的方向正確，並將帶來可持續的長遠增 the decline in gross profit margin, the Group remains confident that the strategic 長，及於未來數年持續改善盈利能力。 focus has been in the right direction in driving up the sales volume, and will generate sustainable long-term growth and continue to improve profitability in years to come. 012</t>
        </is>
      </c>
    </row>
    <row r="103">
      <c r="A103" s="8" t="inlineStr">
        <is>
          <t>ESG Data</t>
        </is>
      </c>
      <c r="B103" s="8" t="inlineStr">
        <is>
          <t>環境社會及管治數據</t>
        </is>
      </c>
      <c r="C103" s="8" t="inlineStr">
        <is>
          <t>medium</t>
        </is>
      </c>
      <c r="D103" s="11" t="inlineStr">
        <is>
          <t>可持續</t>
        </is>
      </c>
      <c r="E103" s="11" t="inlineStr">
        <is>
          <t>PDF p.15 (印刷頁 013)</t>
        </is>
      </c>
      <c r="F103" s="11" t="inlineStr">
        <is>
          <t>el. Moreover, the progress 肯定了本集團的轉型策略正沿著正確方向推進，並展現具 affirms that the Group’s transformation strategy is on the right track, which 體及可持續的增長。整體而言，本集團繼續堅定不移地落 demonstrates tangible and sustainable growth. Overall speaking, the Group 實轉型計劃，並深信有關舉措將持續為股東創造長遠價值。 remains steadfast in its commitment to diligently executing its transformation plan, confident that these efforts will continue to create long-term value for shareholders. The Group prioritized rigorous cost-saving initiatives to enhance operational 本集團將嚴謹的成本節約措施列為優先重點，以提升營運</t>
        </is>
      </c>
    </row>
    <row r="104">
      <c r="A104" s="8" t="inlineStr">
        <is>
          <t>ESG Data</t>
        </is>
      </c>
      <c r="B104" s="8" t="inlineStr">
        <is>
          <t>環境社會及管治數據</t>
        </is>
      </c>
      <c r="C104" s="8" t="inlineStr">
        <is>
          <t>medium</t>
        </is>
      </c>
      <c r="D104" s="11" t="inlineStr">
        <is>
          <t>可持續</t>
        </is>
      </c>
      <c r="E104" s="11" t="inlineStr">
        <is>
          <t>PDF p.17 (印刷頁 015)</t>
        </is>
      </c>
      <c r="F104" s="11" t="inlineStr">
        <is>
          <t>land remained strong and 澳門方面，來自中國內地的旅客人數維持強勁且穩定，為 stable, providing a consistent and favourable environment for the Group’s 本集團在該地區的可持續增長提供一致且有利的環境。在 sustainable growth in the region. Strategically, the Group has shifted its focus 策略上，本集團已將重心轉向購物商場內的零售店，以專 toward the retail stores in shopping malls to focus on capturing consumers with 注吸納消費能力相對較高的顧客群。 relatively higher spending power. Over the past year, the Group has implemented substantial enhancements to its 過去一年，本集團大幅增加產品種類，以配合向「以黃金產 product assortment, aligning with the b</t>
        </is>
      </c>
    </row>
    <row r="105">
      <c r="A105" s="8" t="inlineStr">
        <is>
          <t>ESG Data</t>
        </is>
      </c>
      <c r="B105" s="8" t="inlineStr">
        <is>
          <t>環境社會及管治數據</t>
        </is>
      </c>
      <c r="C105" s="8" t="inlineStr">
        <is>
          <t>medium</t>
        </is>
      </c>
      <c r="D105" s="11" t="inlineStr">
        <is>
          <t>可持續</t>
        </is>
      </c>
      <c r="E105" s="11" t="inlineStr">
        <is>
          <t>PDF p.21 (印刷頁 019)</t>
        </is>
      </c>
      <c r="F105" s="11" t="inlineStr">
        <is>
          <t>th steadfast 的財務及庫務管理方法。我們堅定不移地致力優化其策 commitment, we are determined to refine its strategies to transform the whole 略，使整個組織轉型，為實現中長期的可持續增長作好準 organization to get well prepared for achieving sustainable growth in mid to 備。 long term. FINANCIAL STRUCTURE 財務結構 As at 31 March 2026, the Group’s total outstanding interest-bearing bank 於2026年3月31日，本集團未償還計息銀行貸款總額為港 borrowings amounted to HK$623.7 million (31 March 2025: interest-bearing 幣623,700,000元（2025年3月31日：銀行貸款及黃金貸 bank borrowings and gold loan amounted to HK$731.6 million), which</t>
        </is>
      </c>
    </row>
    <row r="106">
      <c r="A106" s="8" t="inlineStr">
        <is>
          <t>ESG Data</t>
        </is>
      </c>
      <c r="B106" s="8" t="inlineStr">
        <is>
          <t>環境社會及管治數據</t>
        </is>
      </c>
      <c r="C106" s="8" t="inlineStr">
        <is>
          <t>medium</t>
        </is>
      </c>
      <c r="D106" s="11" t="inlineStr">
        <is>
          <t>carbon</t>
        </is>
      </c>
      <c r="E106" s="11" t="inlineStr">
        <is>
          <t>PDF p.28 (印刷頁 026)</t>
        </is>
      </c>
      <c r="F106" s="11" t="inlineStr">
        <is>
          <t>ed as a 府碳中和及可持續發展委員會委員，以及香港特別行政區 member of the Tourism Strategy Committee and a member of the Council for 工業貿易諮詢委員會委員。在推動培訓及教育方面，謝太 Carbon Neutrality and Sustainable Development and a member of the Trade 擔任僱員再培訓局零售業行業諮詢網絡召集人，香港教育 and Industry Advisory Board of the HKSAR Government. In contribution to training and education, Mrs. Tse serves as the convenor of the Retail Industry 大學創業與產業協作諮詢小組成員、以及珠寶業行業培訓 Consultative Networks of the Employees Retraining Board, a member of 諮詢委員會成員。此外，其區域貢獻包括獲委任為中國人 the advisory group on Entrepre</t>
        </is>
      </c>
    </row>
    <row r="107">
      <c r="A107" s="8" t="inlineStr">
        <is>
          <t>ESG Data</t>
        </is>
      </c>
      <c r="B107" s="8" t="inlineStr">
        <is>
          <t>環境社會及管治數據</t>
        </is>
      </c>
      <c r="C107" s="8" t="inlineStr">
        <is>
          <t>medium</t>
        </is>
      </c>
      <c r="D107" s="11" t="inlineStr">
        <is>
          <t>sustainability</t>
        </is>
      </c>
      <c r="E107" s="11" t="inlineStr">
        <is>
          <t>PDF p.35 (印刷頁 033)</t>
        </is>
      </c>
      <c r="F107" s="11" t="inlineStr">
        <is>
          <t>」）成立原意為保留傳統珠 Group to preserve the heritage of the traditional jewellery making techniques 寶製造工藝技術，以推動珠寶行業的可持續發展。謝瑞麟 so as to create sustainability of jewellery industry. TSLF later expands its 基金擴大其支持至培育不同的人才，為香港創意產業的發 support to cultivate variety of talents to bring more inspiration and muse to 展帶來更多的靈感和啟發。音樂是人類文化的基本元素。 the development of creative industries in Hong Kong. Music is a fundamental 謝瑞麟基金積極促進粵語流行曲文化。此外，謝瑞麟基金 element of every human culture. TSLF has been actively contributing to the 一直致力於華人社會的天文學，教育大眾於專業和業餘天 “Canto</t>
        </is>
      </c>
    </row>
    <row r="108">
      <c r="A108" s="8" t="inlineStr">
        <is>
          <t>ESG Data</t>
        </is>
      </c>
      <c r="B108" s="8" t="inlineStr">
        <is>
          <t>環境社會及管治數據</t>
        </is>
      </c>
      <c r="C108" s="8" t="inlineStr">
        <is>
          <t>medium</t>
        </is>
      </c>
      <c r="D108" s="11" t="inlineStr">
        <is>
          <t>ESG</t>
        </is>
      </c>
      <c r="E108" s="11" t="inlineStr">
        <is>
          <t>PDF p.42 (印刷頁 040)</t>
        </is>
      </c>
      <c r="F108" s="11" t="inlineStr">
        <is>
          <t>rporate Governance Report” of this annual report, and in a 環境、社會及管治報告內。環境、社會及管治報告將按香 separate Environmental, Social and Governance (“ESG”) Report. The ESG Report 港聯合交易所有限公司（「聯交所」）證券上市規則（「上市 will be published under the sub-section “ESG Reports” of “Investors” section on 規則」）的規定刊登於本公司網站 ir.tslj.com 「投資者」中「環 the Company’s website at ir.tslj.com and the website of The Stock Exchange of 境、社會及管治報告」一節及聯交所網站。 Hong Kong Limited (the “Stock Exchange”) in compliance with the stipulations under the Rules Governing the Listing of Securities</t>
        </is>
      </c>
    </row>
    <row r="109">
      <c r="A109" s="8" t="inlineStr">
        <is>
          <t>ESG Data</t>
        </is>
      </c>
      <c r="B109" s="8" t="inlineStr">
        <is>
          <t>環境社會及管治數據</t>
        </is>
      </c>
      <c r="C109" s="8" t="inlineStr">
        <is>
          <t>medium</t>
        </is>
      </c>
      <c r="D109" s="11" t="inlineStr">
        <is>
          <t>可持續</t>
        </is>
      </c>
      <c r="E109" s="11" t="inlineStr">
        <is>
          <t>PDF p.65 (印刷頁 063)</t>
        </is>
      </c>
      <c r="F109" s="11" t="inlineStr">
        <is>
          <t>vernance which is 健康的企業文化是實現良好企業管治的重要條件，而良好 essential for the sustainable success of the Group in the long term. The Board 企業管治對本集團實現可持續的長期成功至關重要。為了 plays a leading role in aligning the corporate culture with the Company’s vision, 更好地將企業文化與本公司的願景、使命和價值相互結 mission, and values, guiding employees’ behaviors, business practices, and 合，董事會發揮主導作用指引員工的操守和行為，以及業 strategies. 務運作和策略。 Through setting the tone and molding the Company’s corporate culture based 董事會確定並塑造了本公司的企業文化，以集團各個層面 on core values embraced at all organizational levels, t</t>
        </is>
      </c>
    </row>
    <row r="110">
      <c r="A110" s="8" t="inlineStr">
        <is>
          <t>ESG Data</t>
        </is>
      </c>
      <c r="B110" s="8" t="inlineStr">
        <is>
          <t>環境社會及管治數據</t>
        </is>
      </c>
      <c r="C110" s="8" t="inlineStr">
        <is>
          <t>medium</t>
        </is>
      </c>
      <c r="D110" s="11" t="inlineStr">
        <is>
          <t>ESG</t>
        </is>
      </c>
      <c r="E110" s="11" t="inlineStr">
        <is>
          <t>PDF p.66 (印刷頁 064)</t>
        </is>
      </c>
      <c r="F110" s="11" t="inlineStr">
        <is>
          <t>及分析」兩節 “Letter to Shareholders” and “Management Discussion and Analysis” of this 以及單獨刊發的環境、社會及管治報告內。 annual report and in a separate ESG Report. 064</t>
        </is>
      </c>
    </row>
    <row r="111">
      <c r="A111" s="8" t="inlineStr">
        <is>
          <t>ESG Data</t>
        </is>
      </c>
      <c r="B111" s="8" t="inlineStr">
        <is>
          <t>環境社會及管治數據</t>
        </is>
      </c>
      <c r="C111" s="8" t="inlineStr">
        <is>
          <t>medium</t>
        </is>
      </c>
      <c r="D111" s="11" t="inlineStr">
        <is>
          <t>ESG</t>
        </is>
      </c>
      <c r="E111" s="11" t="inlineStr">
        <is>
          <t>PDF p.78 (印刷頁 076)</t>
        </is>
      </c>
      <c r="F111" s="11" t="inlineStr">
        <is>
          <t>force is required. 別多元化。有關本集團僱員性別比例的詳情載於環境、社 Further details on the gender ratio in the Group’s workforce are set out in the 會及管治報告。 ESG Report. Corporate Governance Functions 企業管治職能 The Board is responsible for performing the functions set out in the code 董事會負責履行企業管治守則之守則條文第A.2.1條所載的 provision A.2.1 of the CG Code. 職能。 During the Year, the Board reviewed the Company’s corporate governance 於本年度內，董事會已審閱本公司的企業管治政策及常 policies and practices, the training and continuous professional development 規、董事及高級管理人員的培訓及持續專業進修、本公司 of Directors</t>
        </is>
      </c>
    </row>
    <row r="112">
      <c r="A112" s="8" t="inlineStr">
        <is>
          <t>ESG Data</t>
        </is>
      </c>
      <c r="B112" s="8" t="inlineStr">
        <is>
          <t>環境社會及管治數據</t>
        </is>
      </c>
      <c r="C112" s="8" t="inlineStr">
        <is>
          <t>medium</t>
        </is>
      </c>
      <c r="D112" s="11" t="inlineStr">
        <is>
          <t>ESG</t>
        </is>
      </c>
      <c r="E112" s="11" t="inlineStr">
        <is>
          <t>PDF p.81 (印刷頁 079)</t>
        </is>
      </c>
      <c r="F112" s="11" t="inlineStr">
        <is>
          <t>e been delegated the responsibility of identifying and 風險（包括環境、社會及管治風險），以及設計、運行及監 evaluating the risks faced by the Group (including ESG risks) and of designing, 察一套有效的內部監控系統，其涵蓋管治、合規、風險管 operating and monitoring an effective internal control system that covers 理、財務及經營監控。 governance, compliance, risk management, financial as well as operational control. The risk management process includes risk identification, risk evaluation, 風險管理過程包括風險識別、風險評估、風險管理措施以 risk management measures and risk control and review. The management is 及風險監</t>
        </is>
      </c>
    </row>
    <row r="113">
      <c r="A113" s="8" t="inlineStr">
        <is>
          <t>ESG Data</t>
        </is>
      </c>
      <c r="B113" s="8" t="inlineStr">
        <is>
          <t>環境社會及管治數據</t>
        </is>
      </c>
      <c r="C113" s="8" t="inlineStr">
        <is>
          <t>medium</t>
        </is>
      </c>
      <c r="D113" s="11" t="inlineStr">
        <is>
          <t>ESG</t>
        </is>
      </c>
      <c r="E113" s="11" t="inlineStr">
        <is>
          <t>PDF p.83 (印刷頁 081)</t>
        </is>
      </c>
      <c r="F113" s="11" t="inlineStr">
        <is>
          <t>監控系統的成效作年度檢討，其涵蓋所有重大財務、經營 the Year, covering all material financial, operational and compliance controls, 及合規監控，環境、社會及管治表現及報告，並認為本集 ESG performance and reporting and considered the Group’s risk management 團的風險管理及內部監控系統有效及完善。於本年度內， and internal control systems to be effective and adequate. There were no 並無發現可能對股東造成影響的涉嫌重大違規情況或重大 suspected material irregularities found or significant areas of concern identified 關注事項。 during the Year that might affect the Shareholders. The Group has established a whistleblowing policy and system</t>
        </is>
      </c>
    </row>
    <row r="114">
      <c r="A114" s="8" t="inlineStr">
        <is>
          <t>Segment Information</t>
        </is>
      </c>
      <c r="B114" s="8" t="inlineStr">
        <is>
          <t>分部資料</t>
        </is>
      </c>
      <c r="C114" s="8" t="inlineStr">
        <is>
          <t>medium</t>
        </is>
      </c>
      <c r="D114" s="11" t="inlineStr">
        <is>
          <t>geographical</t>
        </is>
      </c>
      <c r="E114" s="11" t="inlineStr">
        <is>
          <t>PDF p.160 (印刷頁 158)</t>
        </is>
      </c>
      <c r="F114" s="11" t="inlineStr">
        <is>
          <t>e based on days past due for groupings of various 損。撥備比率乃基於具有類似虧損模式之多個客戶 customer segments that have similar loss patterns (i.e., by geographical 分部組別之逾期日數釐定（即地理位置及客戶類別）。 location and customer type). The provision matrix is initially based on the Group’s historical observed 撥備矩陣初始基於本集團之歷史觀察違約率。本集 default rates. The Group calibrates the matrix to adjust the historical 團校正矩陣以透過前瞻性資料調整歷史信貸虧損經 credit loss experience with forward-looking information. For instance, if 驗。例如，倘預期經濟環境（如本地生產總值）將在 forecast economic conditions (i.e., gross</t>
        </is>
      </c>
    </row>
    <row r="115">
      <c r="A115" s="8" t="inlineStr">
        <is>
          <t>Segment Information</t>
        </is>
      </c>
      <c r="B115" s="8" t="inlineStr">
        <is>
          <t>分部資料</t>
        </is>
      </c>
      <c r="C115" s="8" t="inlineStr">
        <is>
          <t>medium</t>
        </is>
      </c>
      <c r="D115" s="11" t="inlineStr">
        <is>
          <t>segment information</t>
        </is>
      </c>
      <c r="E115" s="11" t="inlineStr">
        <is>
          <t>PDF p.164 (印刷頁 162)</t>
        </is>
      </c>
      <c r="F115" s="11" t="inlineStr">
        <is>
          <t>NOTES TO THE FINANCIAL STATEMENTS (CONTINUED) 財務報表附註（續） 4. OPERATING SEGMENT INFORMATION 4. 經營分部資料 For management purposes, the Group is organised into business units 就管理而言，本集團乃按業務性質劃分業務單位， based on business nature and has four reportable operating segments as 並有四個可呈報經營分部如下： follows: (a) Retail Business (including Hong Kong, Macau, the Chinese Mainland (a) 零售業務（包括香港、澳門、中國內地及馬來 and Malaysia); 西亞）; (b) Wholesale Business; (b) 批發業務； (c) E-Business; and (c) 電子商貿業務；及 (d</t>
        </is>
      </c>
    </row>
    <row r="116">
      <c r="A116" s="8" t="inlineStr">
        <is>
          <t>Segment Information</t>
        </is>
      </c>
      <c r="B116" s="8" t="inlineStr">
        <is>
          <t>分部資料</t>
        </is>
      </c>
      <c r="C116" s="8" t="inlineStr">
        <is>
          <t>medium</t>
        </is>
      </c>
      <c r="D116" s="11" t="inlineStr">
        <is>
          <t>segment information</t>
        </is>
      </c>
      <c r="E116" s="11" t="inlineStr">
        <is>
          <t>PDF p.165 (印刷頁 163)</t>
        </is>
      </c>
      <c r="F116" s="11" t="inlineStr">
        <is>
          <t>NOTES TO THE FINANCIAL STATEMENTS (CONTINUED) 財務報表附註（續） 4. OPERATING SEGMENT INFORMATION 4. 經營分部資料（續） (CONTINUED) Management monitors the results of the Group’s operating segments 管理層按本集團經營分部之個別業績作出監督，以 separately for the purpose of making decisions about resource allocation 作出資源分配及評估表現之決策。分部表現乃按可 and performance assessment. Segment performance is evaluated based 呈報分部溢利╱（虧損）進行評估，即計算經調整後 on reportable segment profit/(loss), which is a measure of adjusted 之除稅前溢利╱（虧損）</t>
        </is>
      </c>
    </row>
    <row r="117">
      <c r="A117" s="8" t="inlineStr">
        <is>
          <t>Segment Information</t>
        </is>
      </c>
      <c r="B117" s="8" t="inlineStr">
        <is>
          <t>分部資料</t>
        </is>
      </c>
      <c r="C117" s="8" t="inlineStr">
        <is>
          <t>medium</t>
        </is>
      </c>
      <c r="D117" s="11" t="inlineStr">
        <is>
          <t>segment information</t>
        </is>
      </c>
      <c r="E117" s="11" t="inlineStr">
        <is>
          <t>PDF p.166 (印刷頁 164)</t>
        </is>
      </c>
      <c r="F117" s="11" t="inlineStr">
        <is>
          <t>NOTES TO THE FINANCIAL STATEMENTS (CONTINUED) 財務報表附註（續） 4. OPERATING SEGMENT INFORMATION 4. 經營分部資料（續） (CONTINUED) Other Retail Business Wholesale Business E-Business Businesses Total 零售業務 批發業務 電子商貿業務 其他業務 總計 Year ended 31 March 2026 截至2026年3月31日止年度 HK$’000 HK$’000 HK$’000 HK$’000 HK$’000 港幣千元 港幣千元 港幣千元 港幣千元 港幣千元 Segment revenue (note 5) 分部營業額（附註5） Sales to external customers 銷售予對外客戶 1,070,800 254,538 193,206 24,742 1,543,286 Service income from external customers 對</t>
        </is>
      </c>
    </row>
    <row r="118">
      <c r="A118" s="8" t="inlineStr">
        <is>
          <t>Segment Information</t>
        </is>
      </c>
      <c r="B118" s="8" t="inlineStr">
        <is>
          <t>分部資料</t>
        </is>
      </c>
      <c r="C118" s="8" t="inlineStr">
        <is>
          <t>medium</t>
        </is>
      </c>
      <c r="D118" s="11" t="inlineStr">
        <is>
          <t>segment information</t>
        </is>
      </c>
      <c r="E118" s="11" t="inlineStr">
        <is>
          <t>PDF p.167 (印刷頁 165)</t>
        </is>
      </c>
      <c r="F118" s="11" t="inlineStr">
        <is>
          <t>NOTES TO THE FINANCIAL STATEMENTS (CONTINUED) 財務報表附註（續） 4. OPERATING SEGMENT INFORMATION 4. 經營分部資料（續） (CONTINUED) Other Retail Business Wholesale Business E-Business Businesses Total 零售業務 批發業務 電子商貿業務 其他業務 總計 Year ended 31 March 2026 (continued) 截至2026年3月31日止年度（續） HK$’000 HK$’000 HK$’000 HK$’000 HK$’000 港幣千元 港幣千元 港幣千元 港幣千元 港幣千元 Other segment information 其他分部資料 Depreciation of: 折舊： Property, plant and equipment 物業、廠房及設備 1,350 768 155 2,968 5,241 Right-of-use assets 使</t>
        </is>
      </c>
    </row>
    <row r="119">
      <c r="A119" s="8" t="inlineStr">
        <is>
          <t>Segment Information</t>
        </is>
      </c>
      <c r="B119" s="8" t="inlineStr">
        <is>
          <t>分部資料</t>
        </is>
      </c>
      <c r="C119" s="8" t="inlineStr">
        <is>
          <t>medium</t>
        </is>
      </c>
      <c r="D119" s="11" t="inlineStr">
        <is>
          <t>segment information</t>
        </is>
      </c>
      <c r="E119" s="11" t="inlineStr">
        <is>
          <t>PDF p.168 (印刷頁 166)</t>
        </is>
      </c>
      <c r="F119" s="11" t="inlineStr">
        <is>
          <t>NOTES TO THE FINANCIAL STATEMENTS (CONTINUED) 財務報表附註（續） 4. OPERATING SEGMENT INFORMATION 4. 經營分部資料（續） (CONTINUED) Other Retail Business Wholesale Business E-Business Businesses Total 零售業務 批發業務 電子商貿業務 其他業務 總計 Year ended 31 March 2025 截至2025年3月31日止年度 HK$’000 HK$’000 HK$’000 HK$’000 HK$’000 港幣千元 港幣千元 港幣千元 港幣千元 港幣千元 Segment revenue (note 5) 分部營業額（附註5） Sales to external customers 銷售予對外客戶 1,098,455 180,513 285,713 39,638 1,604,319 Service income from external customers 對</t>
        </is>
      </c>
    </row>
    <row r="120">
      <c r="A120" s="8" t="inlineStr">
        <is>
          <t>Segment Information</t>
        </is>
      </c>
      <c r="B120" s="8" t="inlineStr">
        <is>
          <t>分部資料</t>
        </is>
      </c>
      <c r="C120" s="8" t="inlineStr">
        <is>
          <t>medium</t>
        </is>
      </c>
      <c r="D120" s="11" t="inlineStr">
        <is>
          <t>segment information</t>
        </is>
      </c>
      <c r="E120" s="11" t="inlineStr">
        <is>
          <t>PDF p.169 (印刷頁 167)</t>
        </is>
      </c>
      <c r="F120" s="11" t="inlineStr">
        <is>
          <t>NOTES TO THE FINANCIAL STATEMENTS (CONTINUED) 財務報表附註（續） 4. OPERATING SEGMENT INFORMATION 4. 經營分部資料（續） (CONTINUED) Other Retail Business Wholesale Business E-Business Businesses Total 零售業務 批發業務 電子商貿業務 其他業務 總計 Year ended 31 March 2025 (continued) 截至2025年3月31日 HK$’000 HK$’000 HK$’000 HK$’000 HK$’000 止年度（續） 港幣千元 港幣千元 港幣千元 港幣千元 港幣千元 Other segment information 其他分部資料 Depreciation of: 折舊： Property, plant and equipment 物業、廠房及設備 20,492 – 2,047 6,086 28,625 Right-of-use asset</t>
        </is>
      </c>
    </row>
    <row r="121">
      <c r="A121" s="8" t="inlineStr">
        <is>
          <t>Segment Information</t>
        </is>
      </c>
      <c r="B121" s="8" t="inlineStr">
        <is>
          <t>分部資料</t>
        </is>
      </c>
      <c r="C121" s="8" t="inlineStr">
        <is>
          <t>medium</t>
        </is>
      </c>
      <c r="D121" s="11" t="inlineStr">
        <is>
          <t>segment information</t>
        </is>
      </c>
      <c r="E121" s="11" t="inlineStr">
        <is>
          <t>PDF p.170 (印刷頁 168)</t>
        </is>
      </c>
      <c r="F121" s="11" t="inlineStr">
        <is>
          <t>NOTES TO THE FINANCIAL STATEMENTS (CONTINUED) 財務報表附註（續） 4. OPERATING SEGMENT INFORMATION 4. 經營分部資料（續） (CONTINUED) (a) Geographical information (a) 地區資料 Revenue from external customers 對外客戶之收入 2026 2025 2026年 2025年 HK$’000 HK$’000 港幣千元 港幣千元 Hong Kong and Macau 香港及澳門 563,230 485,698 The Chinese Mainland 中國內地 934,295 1,064,620 Other countries 其他國家 181,716 161,979 1,679,241 1,712,297 The revenue information above is based on the geographical 上述營業額資料乃按客戶所在地理位置劃分。 locati</t>
        </is>
      </c>
    </row>
    <row r="122">
      <c r="A122" s="8" t="inlineStr">
        <is>
          <t>Segment Information</t>
        </is>
      </c>
      <c r="B122" s="8" t="inlineStr">
        <is>
          <t>分部資料</t>
        </is>
      </c>
      <c r="C122" s="8" t="inlineStr">
        <is>
          <t>medium</t>
        </is>
      </c>
      <c r="D122" s="11" t="inlineStr">
        <is>
          <t>geographical</t>
        </is>
      </c>
      <c r="E122" s="11" t="inlineStr">
        <is>
          <t>PDF p.171 (印刷頁 169)</t>
        </is>
      </c>
      <c r="F122" s="11" t="inlineStr">
        <is>
          <t>0,800 254,538 193,206 24,742 1,543,286 Service income 服務收入 135,955 – – – 135,955 Total 總計 1,206,755 254,538 193,206 24,742 1,679,241 Geographical markets 地區市場 Hong Kong and Macau 香港及澳門 537,392 – 1,781 24,057 563,230 The Chinese Mainland 中國內地 488,332 254,538 191,425 – 934,295 Other countries 其他國家 181,031 – – 685 181,716 Total 總計 1,206,755 254,538 193,206 24,742 1,679,241 Timing of revenue recognition 收益確認時間 Goods transferred at a point in time 在貨品轉讓時 1,070,800 254,538 193,206 24,742 1,543,286 Services transferred over time 服務轉讓之</t>
        </is>
      </c>
    </row>
    <row r="123">
      <c r="A123" s="8" t="inlineStr">
        <is>
          <t>Segment Information</t>
        </is>
      </c>
      <c r="B123" s="8" t="inlineStr">
        <is>
          <t>分部資料</t>
        </is>
      </c>
      <c r="C123" s="8" t="inlineStr">
        <is>
          <t>medium</t>
        </is>
      </c>
      <c r="D123" s="11" t="inlineStr">
        <is>
          <t>geographical</t>
        </is>
      </c>
      <c r="E123" s="11" t="inlineStr">
        <is>
          <t>PDF p.172 (印刷頁 170)</t>
        </is>
      </c>
      <c r="F123" s="11" t="inlineStr">
        <is>
          <t>8,455 180,513 285,713 39,638 1,604,319 Service income 服務收入 107,978 – – – 107,978 Total 總計 1,206,433 180,513 285,713 39,638 1,712,297 Geographical markets 地區市場 Hong Kong and Macau 香港及澳門 445,300 – 2,279 38,119 485,698 The Chinese Mainland 中國內地 600,673 180,513 283,434 – 1,064,620 Other countries 其他國家 160,460 – – 1,519 161,979 Total 總計 1,206,433 180,513 285,713 39,638 1,712,297 Timing of revenue recognition 收益確認時間 Goods transferred at a point in time 在貨品轉讓時 1,098,455 180,513 285,713 39,638 1,604,319 Services transferred over time 服</t>
        </is>
      </c>
    </row>
    <row r="124">
      <c r="A124" s="8" t="inlineStr">
        <is>
          <t>Segment Information</t>
        </is>
      </c>
      <c r="B124" s="8" t="inlineStr">
        <is>
          <t>分部資料</t>
        </is>
      </c>
      <c r="C124" s="8" t="inlineStr">
        <is>
          <t>medium</t>
        </is>
      </c>
      <c r="D124" s="11" t="inlineStr">
        <is>
          <t>geographical</t>
        </is>
      </c>
      <c r="E124" s="11" t="inlineStr">
        <is>
          <t>PDF p.201 (印刷頁 199)</t>
        </is>
      </c>
      <c r="F124" s="11" t="inlineStr">
        <is>
          <t>失 are based on days past due for groupings of various customer segments 情況（例如按地區、客戶類型及評級）之各個客戶分 with similar loss patterns (i.e., by geographical region and customer type 類組別之逾期天數釐定。相關計算反映可能性加權 and rating). The calculation reflects the probability-weighted outcome, 結果、貨幣之時間價值以及於報告日期可獲得有關 the time value of money and reasonable and supportable information that 過往事件之合理及可支持資料、當前狀況以及未來 is available at the reporting date about past events, current conditions 經濟狀況預測。一般而言，逾期超過一年及無須受 and forecasts of future economic conditions. Generall</t>
        </is>
      </c>
    </row>
    <row r="125">
      <c r="A125" s="8" t="inlineStr">
        <is>
          <t>Share-based Payment</t>
        </is>
      </c>
      <c r="B125" s="8" t="inlineStr">
        <is>
          <t>以股份為基礎的付款</t>
        </is>
      </c>
      <c r="C125" s="8" t="inlineStr">
        <is>
          <t>medium</t>
        </is>
      </c>
      <c r="D125" s="11" t="inlineStr">
        <is>
          <t>購股權</t>
        </is>
      </c>
      <c r="E125" s="11" t="inlineStr">
        <is>
          <t>PDF p.43 (印刷頁 041)</t>
        </is>
      </c>
      <c r="F125" s="11" t="inlineStr">
        <is>
          <t>SHARE CAPITAL 股本 There were no movements in the share capital of the Company during the Year. 本公司於本年度內並無任何股本變動。 PRE-EMPTIVE RIGHTS 優先購股權 There are no provisions for pre-emptive rights under the Bye-laws or the laws 公司細則或百慕達法例並無優先購股權之條款，規定本公 in Bermuda, which would oblige the Company to offer new shares on a pro-rata 司須向現有股東按持股比率發售新股。 basis to existing Shareholders. 041</t>
        </is>
      </c>
    </row>
    <row r="126">
      <c r="A126" s="8" t="inlineStr">
        <is>
          <t>Share-based Payment</t>
        </is>
      </c>
      <c r="B126" s="8" t="inlineStr">
        <is>
          <t>以股份為基礎的付款</t>
        </is>
      </c>
      <c r="C126" s="8" t="inlineStr">
        <is>
          <t>medium</t>
        </is>
      </c>
      <c r="D126" s="11" t="inlineStr">
        <is>
          <t>share option</t>
        </is>
      </c>
      <c r="E126" s="11" t="inlineStr">
        <is>
          <t>PDF p.44 (印刷頁 042)</t>
        </is>
      </c>
      <c r="F126" s="11" t="inlineStr">
        <is>
          <t>REPORT OF THE DIRECTORS (CONTINUED) 董事會報告（續） EQUITY-LINKED AGREEMENTS 股票掛鈎協議 Save for the share option scheme of the Company as disclosed in the section 除披露於本董事會報告中「購股權計劃」一節及綜合財務報 headed “Share Option Scheme” of this report of the Directors and in note 30 表附註30內的本公司購股權計劃外，本集團於本年度內或 to the consolidated financial statements, no equity-linked agreements were 本年度末，並無訂立任何股票掛鈎協議。 entered into by the Group during the Year or subsisted at the end of the Year. DONATIONS 捐款 During the Year, the</t>
        </is>
      </c>
    </row>
    <row r="127">
      <c r="A127" s="8" t="inlineStr">
        <is>
          <t>Share-based Payment</t>
        </is>
      </c>
      <c r="B127" s="8" t="inlineStr">
        <is>
          <t>以股份為基礎的付款</t>
        </is>
      </c>
      <c r="C127" s="8" t="inlineStr">
        <is>
          <t>medium</t>
        </is>
      </c>
      <c r="D127" s="11" t="inlineStr">
        <is>
          <t>購股權</t>
        </is>
      </c>
      <c r="E127" s="11" t="inlineStr">
        <is>
          <t>PDF p.47 (印刷頁 045)</t>
        </is>
      </c>
      <c r="F127" s="11" t="inlineStr">
        <is>
          <t>time commitment and responsibilities. 釐定。 The emoluments of the Directors and employees of the Group include a share 本集團董事及僱員的酬金包括一項購股權計劃，詳情於本 option scheme, details of which are disclosed in the section headed “Share 董事報告「購股權計劃」一節中披露。 Option Scheme” of this report of the Directors. Details of the five highest paid employees of the Group are set out in note 10 to 本集團五名最高薪酬僱員之詳情載於綜合財務報表附註10 the consolidated financial statements. 中。 045</t>
        </is>
      </c>
    </row>
    <row r="128">
      <c r="A128" s="8" t="inlineStr">
        <is>
          <t>Share-based Payment</t>
        </is>
      </c>
      <c r="B128" s="8" t="inlineStr">
        <is>
          <t>以股份為基礎的付款</t>
        </is>
      </c>
      <c r="C128" s="8" t="inlineStr">
        <is>
          <t>medium</t>
        </is>
      </c>
      <c r="D128" s="11" t="inlineStr">
        <is>
          <t>share option</t>
        </is>
      </c>
      <c r="E128" s="11" t="inlineStr">
        <is>
          <t>PDF p.48 (印刷頁 046)</t>
        </is>
      </c>
      <c r="F128" s="11" t="inlineStr">
        <is>
          <t>roximate Derivative percentage of Personal Family Corporate interest Other total issued Name of Director interest interest interest (share options) interest share capital* 佔已發行 衍生工具權益 股本總數 董事姓名 個人權益 家族權益 公司權益 （購股權） 其他權益 概約百分比* Annie Yau Tse, JP 130,553 180,691,775 – – – 72.57% 謝邱安儀（太平紳士） (Note 附註) 5,219 (Note 附註) * The percentage was calculated based on 249,182,030 ordinary shares of the * 百分比是按於2026年3月31日本公司已發行249,182,030 Company in issue as at 31 March 2026. 股普通股計算。 046</t>
        </is>
      </c>
    </row>
    <row r="129">
      <c r="A129" s="8" t="inlineStr">
        <is>
          <t>Share-based Payment</t>
        </is>
      </c>
      <c r="B129" s="8" t="inlineStr">
        <is>
          <t>以股份為基礎的付款</t>
        </is>
      </c>
      <c r="C129" s="8" t="inlineStr">
        <is>
          <t>medium</t>
        </is>
      </c>
      <c r="D129" s="11" t="inlineStr">
        <is>
          <t>share option</t>
        </is>
      </c>
      <c r="E129" s="11" t="inlineStr">
        <is>
          <t>PDF p.52 (印刷頁 050)</t>
        </is>
      </c>
      <c r="F129" s="11" t="inlineStr">
        <is>
          <t>2026; and an Executive Committee member of Diamond 及自2025年8月起獲委任為中國香港鑽石總會執行委員會 Federation of Hong Kong, China since August 2025. 委員。 SHARE OPTION SCHEME 購股權計劃 The Company has adopted a share option scheme at its annual general meeting 本公司於2016年7月21日舉行的股東週年大會通過採納購股 held on 21 July 2016 (the “2016 Share Option Scheme”). The following is a 權計劃（「2016年購股權計劃」）。2016年購股權計劃的主要 summary of the principal terms of the 2016 Share Option Scheme: 條款總結如下： 1. Purpose: 1. 目的： The purpose of the 2016 Share Option Scheme is to provide incentives 20</t>
        </is>
      </c>
    </row>
    <row r="130">
      <c r="A130" s="8" t="inlineStr">
        <is>
          <t>Share-based Payment</t>
        </is>
      </c>
      <c r="B130" s="8" t="inlineStr">
        <is>
          <t>以股份為基礎的付款</t>
        </is>
      </c>
      <c r="C130" s="8" t="inlineStr">
        <is>
          <t>medium</t>
        </is>
      </c>
      <c r="D130" s="11" t="inlineStr">
        <is>
          <t>share option</t>
        </is>
      </c>
      <c r="E130" s="11" t="inlineStr">
        <is>
          <t>PDF p.54 (印刷頁 052)</t>
        </is>
      </c>
      <c r="F130" s="11" t="inlineStr">
        <is>
          <t>. 可予發行的股份總數以及其於本年報日期 percentage of issued shares as at the date of this annual 佔已發行股份的百分比： report: Pursuant to the terms of the 2016 Share Option Scheme, the total number 根據2016年購股權計劃的條款，於2016年購股權計 of ordinary shares which may be issued upon exercise of all options to 劃項下及本公司任何其他購股權計劃項下所授出之 be granted under the 2016 Share Option Scheme and any other share 所有購股權獲行使時，可予發行之普通股股份總數 option schemes of the Company must not in aggregate exceed 10% of 不得超過2016年7月21日（「採納日期」）之已發行股 the total number of shares in issue on 21 July 2016 (the “</t>
        </is>
      </c>
    </row>
    <row r="131">
      <c r="A131" s="8" t="inlineStr">
        <is>
          <t>Share-based Payment</t>
        </is>
      </c>
      <c r="B131" s="8" t="inlineStr">
        <is>
          <t>以股份為基礎的付款</t>
        </is>
      </c>
      <c r="C131" s="8" t="inlineStr">
        <is>
          <t>medium</t>
        </is>
      </c>
      <c r="D131" s="11" t="inlineStr">
        <is>
          <t>share option</t>
        </is>
      </c>
      <c r="E131" s="11" t="inlineStr">
        <is>
          <t>PDF p.55 (印刷頁 053)</t>
        </is>
      </c>
      <c r="F131" s="11" t="inlineStr">
        <is>
          <t>28 days from the date of offer 股權計劃被終止後，承授人不可再接納要約。 provided that no offer shall be open for acceptance after the expiry of the 2016 Share Option Scheme or after the 2016 Share Option Scheme has been terminated. 8. Basis of determining the exercise price of options granted: 8. 授予購股權行使價的釐定基準： The exercise price of the option shall be determined by the Board and 董事會可釐定購股權的行使價，而購股權的行使價 such price must be at least the higher of (i) the closing price of the shares 須至少為三者中的最高值(i)本公司股份於要約授予 of the Company as stated in the Stock Exchan</t>
        </is>
      </c>
    </row>
    <row r="132">
      <c r="A132" s="8" t="inlineStr">
        <is>
          <t>Share-based Payment</t>
        </is>
      </c>
      <c r="B132" s="8" t="inlineStr">
        <is>
          <t>以股份為基礎的付款</t>
        </is>
      </c>
      <c r="C132" s="8" t="inlineStr">
        <is>
          <t>medium</t>
        </is>
      </c>
      <c r="D132" s="11" t="inlineStr">
        <is>
          <t>share option</t>
        </is>
      </c>
      <c r="E132" s="11" t="inlineStr">
        <is>
          <t>PDF p.56 (印刷頁 054)</t>
        </is>
      </c>
      <c r="F132" s="11" t="inlineStr">
        <is>
          <t>REPORT OF THE DIRECTORS (CONTINUED) 董事會報告（續） 9. Remaining life: 9. 尚餘的有效期： The 2016 Share Option Scheme is valid and effective for a period of 10 2016年購股權計劃有效期為10年，並將於2026年7 years, which will expire on 21 July 2026. 月21日屆滿。 As at the beginning and the end of the Year, the number of options available 於本年度開始日及結束日，可根據2016年購股權計劃授出 for grant under the 2016 Share Option Scheme is 21,033,622, representing 的購股權數目為21,033,622，佔於本年報日期本公司已發行 approximately 8.44% of the total number of issued</t>
        </is>
      </c>
    </row>
    <row r="133">
      <c r="A133" s="8" t="inlineStr">
        <is>
          <t>Share-based Payment</t>
        </is>
      </c>
      <c r="B133" s="8" t="inlineStr">
        <is>
          <t>以股份為基礎的付款</t>
        </is>
      </c>
      <c r="C133" s="8" t="inlineStr">
        <is>
          <t>medium</t>
        </is>
      </c>
      <c r="D133" s="11" t="inlineStr">
        <is>
          <t>share-based payment</t>
        </is>
      </c>
      <c r="E133" s="11" t="inlineStr">
        <is>
          <t>PDF p.150 (印刷頁 148)</t>
        </is>
      </c>
      <c r="F133" s="11" t="inlineStr">
        <is>
          <t>款負債之估計（及交易價格的相應 refund liabilities (and the corresponding change in the transaction 變動）。 price) at the end of each reporting period. Share-based payments 股份付款交易 The Company operates a share option scheme. Employees 本集團實施認購股權計劃。本集團僱員（包括 (including directors) of the Group receive remuneration in the form 董事）收取以股份支付的形式作為酬金，並 of share-based payments, whereby employees render services in 提供服務作為權益工具的代價（「股權結算交 exchange for equity instruments (“equity-settled transactions”). 易」）。與僱員進行權益結算交易的成本以授予 The cost of equity-settled transactions</t>
        </is>
      </c>
    </row>
    <row r="134">
      <c r="A134" s="8" t="inlineStr">
        <is>
          <t>Share-based Payment</t>
        </is>
      </c>
      <c r="B134" s="8" t="inlineStr">
        <is>
          <t>以股份為基礎的付款</t>
        </is>
      </c>
      <c r="C134" s="8" t="inlineStr">
        <is>
          <t>medium</t>
        </is>
      </c>
      <c r="D134" s="11" t="inlineStr">
        <is>
          <t>share-based payment</t>
        </is>
      </c>
      <c r="E134" s="11" t="inlineStr">
        <is>
          <t>PDF p.151 (印刷頁 149)</t>
        </is>
      </c>
      <c r="F134" s="11" t="inlineStr">
        <is>
          <t>MENTS (CONTINUED) 財務報表附註（續） 2. ACCOUNTING POLICIES 2. 會計政策（續） (CONTINUED) 2.4 MATERIAL ACCOUNTING POLICIES (continued) 2.4 重大會計政策（續） Share-based payments (continued) 股份付款交易（續） The cost of equity-settled transactions is recognised in employee 在履行表現和╱或服務條件的期間，以權益 benefit expense, together with a corresponding increase in equity, 結算的交易成本連同相應的權益增加一起計入 over the period in which the performance and/or service conditions 僱員福利費用。各報告期末至可行權日為止以 are fulfilled. The cumulative expense recognised for equity-settled 權益結算的交易確認的累計費用反映了可行權 transa</t>
        </is>
      </c>
    </row>
    <row r="135">
      <c r="A135" s="8" t="inlineStr">
        <is>
          <t>Share-based Payment</t>
        </is>
      </c>
      <c r="B135" s="8" t="inlineStr">
        <is>
          <t>以股份為基礎的付款</t>
        </is>
      </c>
      <c r="C135" s="8" t="inlineStr">
        <is>
          <t>medium</t>
        </is>
      </c>
      <c r="D135" s="11" t="inlineStr">
        <is>
          <t>share-based payment</t>
        </is>
      </c>
      <c r="E135" s="11" t="inlineStr">
        <is>
          <t>PDF p.152 (印刷頁 150)</t>
        </is>
      </c>
      <c r="F135" s="11" t="inlineStr">
        <is>
          <t>MENTS (CONTINUED) 財務報表附註（續） 2. ACCOUNTING POLICIES 2. 會計政策（續） (CONTINUED) 2.4 MATERIAL ACCOUNTING POLICIES (continued) 2.4 重大會計政策（續） Share-based payments (continued) 股份付款交易（續） Where the terms of an equity-settled award are modified, as a 在股權結算獎勵原有條款經已履行之情況下， minimum an expense is recognised as if the terms had not been 倘若修訂獎勵條款，則最少確認假設並無修訂 modified, if the original terms of the award are met. In addition, an 有關條款時所產生的開支。此外，倘修訂導致 expense is recognised for any modification that increases the total 股本償付之總公允價值增加，或對僱員帶來其 fair value</t>
        </is>
      </c>
    </row>
    <row r="136">
      <c r="A136" s="8" t="inlineStr">
        <is>
          <t>Share-based Payment</t>
        </is>
      </c>
      <c r="B136" s="8" t="inlineStr">
        <is>
          <t>以股份為基礎的付款</t>
        </is>
      </c>
      <c r="C136" s="8" t="inlineStr">
        <is>
          <t>medium</t>
        </is>
      </c>
      <c r="D136" s="11" t="inlineStr">
        <is>
          <t>share option</t>
        </is>
      </c>
      <c r="E136" s="11" t="inlineStr">
        <is>
          <t>PDF p.222 (印刷頁 220)</t>
        </is>
      </c>
      <c r="F136" s="11" t="inlineStr">
        <is>
          <t>NOTES TO THE FINANCIAL STATEMENTS (CONTINUED) 財務報表附註（續） 30. SHARE OPTION SCHEME 30. 購股權計劃 The Company’s share option scheme was adopted by shareholders of 本公司之購股權計劃於2016年7月21日由本公司股 the Company on 21 July 2016 (“2016 share option scheme”). The purpose 東採納（「2016年購股權計劃」）。2016年購股權計劃 of the 2016 share option scheme is to provide incentives or rewards to 的目的是為了獎勵或獎償計劃項下的參與者對本集 participants thereunder for their contributions to the Group and/or to 團的貢獻及╱或為讓本集團得以招</t>
        </is>
      </c>
    </row>
    <row r="137">
      <c r="A137" s="8" t="inlineStr">
        <is>
          <t>Share-based Payment</t>
        </is>
      </c>
      <c r="B137" s="8" t="inlineStr">
        <is>
          <t>以股份為基礎的付款</t>
        </is>
      </c>
      <c r="C137" s="8" t="inlineStr">
        <is>
          <t>medium</t>
        </is>
      </c>
      <c r="D137" s="11" t="inlineStr">
        <is>
          <t>share option</t>
        </is>
      </c>
      <c r="E137" s="11" t="inlineStr">
        <is>
          <t>PDF p.223 (印刷頁 221)</t>
        </is>
      </c>
      <c r="F137" s="11" t="inlineStr">
        <is>
          <t>NOTES TO THE FINANCIAL STATEMENTS (CONTINUED) 財務報表附註（續） 30. SHARE OPTION SCHEME 30. 購股權計劃（續） (CONTINUED) – any adviser (professional or otherwise) or consultant to any area of － 本集團任何成員公司或任何被投資實體之任何 business or business development of any member of the Group or 業務或業務發展範疇之任何顧問（專業或其他 any Invested Entity; and 方面）或專家顧問；及 – any other group or classes of participants who have contributed or － 透過合營企業、業務聯盟或其他業務及╱或 may contribute by way of joint venture, business a</t>
        </is>
      </c>
    </row>
    <row r="138">
      <c r="A138" s="8" t="inlineStr">
        <is>
          <t>Related Party Transactions</t>
        </is>
      </c>
      <c r="B138" s="8" t="inlineStr">
        <is>
          <t>關聯方交易</t>
        </is>
      </c>
      <c r="C138" s="8" t="inlineStr">
        <is>
          <t>low</t>
        </is>
      </c>
      <c r="D138" s="11" t="inlineStr">
        <is>
          <t>connected transaction</t>
        </is>
      </c>
      <c r="E138" s="11" t="inlineStr">
        <is>
          <t>PDF p.57 (印刷頁 055)</t>
        </is>
      </c>
      <c r="F138" s="11" t="inlineStr">
        <is>
          <t>ails are disclosed in the announcement dated 22 June 2012. Both Tommy Tse Employment and Tse Senior Employment constitute continuing connected transactions as defined in Chapter 14A of the Listing Rules. During the Year, the amounts in respect of Tse Senior Employment was below 於本年度內，根據上市規則第14A.76(1)條，謝瑞麟之聘任 de minimis threshold for the purposes of Rule 14A.76(1) of the Listing Rules, Tse 的金額符合最低豁免水平，因此謝瑞麟之聘任可獲全面豁 Senior Employment is fully exempt from Shareholders’ approval, annual review 免遵守上市規則的股東批准、年度審閱及所有披露規定。 and all disc</t>
        </is>
      </c>
    </row>
    <row r="139">
      <c r="A139" s="8" t="inlineStr">
        <is>
          <t>Related Party Transactions</t>
        </is>
      </c>
      <c r="B139" s="8" t="inlineStr">
        <is>
          <t>關聯方交易</t>
        </is>
      </c>
      <c r="C139" s="8" t="inlineStr">
        <is>
          <t>low</t>
        </is>
      </c>
      <c r="D139" s="11" t="inlineStr">
        <is>
          <t>related party</t>
        </is>
      </c>
      <c r="E139" s="11" t="inlineStr">
        <is>
          <t>PDF p.59 (印刷頁 057)</t>
        </is>
      </c>
      <c r="F139" s="11" t="inlineStr">
        <is>
          <t>eholder or its subsidiaries, 大合同。 subsisted at the end of the Year or at any time during the Year and up to the date of this report. RELATED PARTY TRANSACTIONS 關聯方交易 Certain significant related party transactions entered into by the Group 若干本集團於本年度內訂立的重大關聯方交易並不構成上 during the Year, which do not constitute connected transactions or continuing 市規則下之關連交易或持續關連交易，詳情載於綜合財務 connected transactions under the Listing Rules, are disclosed in note 35 to the 報表附註35。 consolidated financial statements. MANAGEMENT CONTRACTS 管理合約 No contracts co</t>
        </is>
      </c>
    </row>
    <row r="140">
      <c r="A140" s="8" t="inlineStr">
        <is>
          <t>Related Party Transactions</t>
        </is>
      </c>
      <c r="B140" s="8" t="inlineStr">
        <is>
          <t>關聯方交易</t>
        </is>
      </c>
      <c r="C140" s="8" t="inlineStr">
        <is>
          <t>low</t>
        </is>
      </c>
      <c r="D140" s="11" t="inlineStr">
        <is>
          <t>related party</t>
        </is>
      </c>
      <c r="E140" s="11" t="inlineStr">
        <is>
          <t>PDF p.229 (印刷頁 227)</t>
        </is>
      </c>
      <c r="F140" s="11" t="inlineStr">
        <is>
          <t>元（2025年：港幣1,588,000元）及第二至第 HK$75,000) due in the second to fifth years, inclusive. 五年到期的港幣2,031,000元（2025年：港幣 75,000元） （包括首尾兩年）。 35. RELATED PARTY TRANSACTIONS 35. 關連人士交易 (a) In addition to the transactions detailed elsewhere in these financial (a) 除已於本財務報表其他部分詳載之交易外，本 statements, the Group had the following transactions with related 集團於截至2026年3月31日止年度與關連人士 parties during the year ended 31 March 2026: 進行以下交易： 2026 2025 2026年 2025年 HK$’000 HK$’000 港幣千元 港幣千元 (i) Purchases from related companies (i) 從關連公司購貨 19,416 18,478 (ii) Sale</t>
        </is>
      </c>
    </row>
    <row r="141">
      <c r="A141" s="8" t="inlineStr">
        <is>
          <t>Related Party Transactions</t>
        </is>
      </c>
      <c r="B141" s="8" t="inlineStr">
        <is>
          <t>關聯方交易</t>
        </is>
      </c>
      <c r="C141" s="8" t="inlineStr">
        <is>
          <t>low</t>
        </is>
      </c>
      <c r="D141" s="11" t="inlineStr">
        <is>
          <t>related party</t>
        </is>
      </c>
      <c r="E141" s="11" t="inlineStr">
        <is>
          <t>PDF p.230 (印刷頁 228)</t>
        </is>
      </c>
      <c r="F141" s="11" t="inlineStr">
        <is>
          <t>NOTES TO THE FINANCIAL STATEMENTS (CONTINUED) 財務報表附註（續） 35. RELATED PARTY TRANSACTIONS 35. 關連人士交易（續） (CONTINUED) (a) (continued) (a) （續） These related companies are fellow subsidiaries of Rosy Blue 以上關連公司均為R o s y B l u e O v e r s e a s Overseas Holdings Limited, a preference shareholder of Partner Holdings Limited（其為Partner Logistics Logistics Limited (“Partner Logistics”), whose board of directors Limited（「Partner Logistics」）的優先股股東） is controlled by Mr.</t>
        </is>
      </c>
    </row>
    <row r="142">
      <c r="A142" s="8" t="inlineStr">
        <is>
          <t>Related Party Transactions</t>
        </is>
      </c>
      <c r="B142" s="8" t="inlineStr">
        <is>
          <t>關聯方交易</t>
        </is>
      </c>
      <c r="C142" s="8" t="inlineStr">
        <is>
          <t>low</t>
        </is>
      </c>
      <c r="D142" s="11" t="inlineStr">
        <is>
          <t>related party</t>
        </is>
      </c>
      <c r="E142" s="11" t="inlineStr">
        <is>
          <t>PDF p.231 (印刷頁 229)</t>
        </is>
      </c>
      <c r="F142" s="11" t="inlineStr">
        <is>
          <t>NOTES TO THE FINANCIAL STATEMENTS (CONTINUED) 財務報表附註（續） 35. RELATED PARTY TRANSACTIONS 35. 關連人士交易（續） (CONTINUED) (b) Compensation of key management personnel of the Group: b) 本集團主要管理人員酬金： 2026 2025 2026年 2025年 HK$’000 HK$’000 港幣千元 港幣千元 Short term employee benefits 短期僱員福利 7,251 7,582 Post-employment benefits 僱用後福利 36 36 7,287 7,618 Further details of directors’ and chief executive’s emoluments are 董事及主要行政人員之酬金進一步詳情載於財 included in note 9 to the financial sta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1"/>
  <sheetViews>
    <sheetView workbookViewId="0">
      <pane ySplit="23" topLeftCell="A24"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Goodwill</t>
        </is>
      </c>
    </row>
    <row r="13">
      <c r="A13" s="8" t="inlineStr">
        <is>
          <t>Balance Sheet</t>
        </is>
      </c>
      <c r="B13" s="8" t="inlineStr">
        <is>
          <t>Total Liabilities</t>
        </is>
      </c>
    </row>
    <row r="14">
      <c r="A14" s="8" t="inlineStr">
        <is>
          <t>Balance Sheet</t>
        </is>
      </c>
      <c r="B14" s="8" t="inlineStr">
        <is>
          <t>Borrowings</t>
        </is>
      </c>
    </row>
    <row r="15">
      <c r="A15" s="8" t="inlineStr">
        <is>
          <t>Cash Flow</t>
        </is>
      </c>
      <c r="B15" s="8" t="inlineStr">
        <is>
          <t>Investing Cash Flow</t>
        </is>
      </c>
    </row>
    <row r="16">
      <c r="A16" s="8" t="inlineStr">
        <is>
          <t>Cash Flow</t>
        </is>
      </c>
      <c r="B16" s="8" t="inlineStr">
        <is>
          <t>Financing Cash Flow</t>
        </is>
      </c>
    </row>
    <row r="17">
      <c r="A17" s="8" t="inlineStr">
        <is>
          <t>Cash Flow</t>
        </is>
      </c>
      <c r="B17" s="8" t="inlineStr">
        <is>
          <t>Capital Expenditure</t>
        </is>
      </c>
    </row>
    <row r="20">
      <c r="A20" s="5" t="inlineStr">
        <is>
          <t>二、文字量過低的頁面(疑似掃描頁)</t>
        </is>
      </c>
    </row>
    <row r="21">
      <c r="A21" s="2" t="inlineStr">
        <is>
          <t>這些頁面幾乎抓不到文字,通常是掃描件或純圖表,建議人手翻閱或另行 OCR。</t>
        </is>
      </c>
    </row>
    <row r="23">
      <c r="A23" s="7" t="inlineStr">
        <is>
          <t>PDF 頁碼</t>
        </is>
      </c>
      <c r="B23" s="7" t="inlineStr">
        <is>
          <t>狀態</t>
        </is>
      </c>
    </row>
    <row r="24">
      <c r="A24" s="8" t="n">
        <v>1</v>
      </c>
      <c r="B24" s="8" t="inlineStr">
        <is>
          <t>文字量過低 — 可能為掃描頁/圖表頁</t>
        </is>
      </c>
    </row>
    <row r="25">
      <c r="A25" s="8" t="n">
        <v>2</v>
      </c>
      <c r="B25" s="8" t="inlineStr">
        <is>
          <t>文字量過低 — 可能為掃描頁/圖表頁</t>
        </is>
      </c>
    </row>
    <row r="26">
      <c r="A26" s="8" t="n">
        <v>7</v>
      </c>
      <c r="B26" s="8" t="inlineStr">
        <is>
          <t>文字量過低 — 可能為掃描頁/圖表頁</t>
        </is>
      </c>
    </row>
    <row r="27">
      <c r="A27" s="8" t="n">
        <v>10</v>
      </c>
      <c r="B27" s="8" t="inlineStr">
        <is>
          <t>文字量過低 — 可能為掃描頁/圖表頁</t>
        </is>
      </c>
    </row>
    <row r="28">
      <c r="A28" s="8" t="n">
        <v>25</v>
      </c>
      <c r="B28" s="8" t="inlineStr">
        <is>
          <t>文字量過低 — 可能為掃描頁/圖表頁</t>
        </is>
      </c>
    </row>
    <row r="29">
      <c r="A29" s="8" t="n">
        <v>32</v>
      </c>
      <c r="B29" s="8" t="inlineStr">
        <is>
          <t>文字量過低 — 可能為掃描頁/圖表頁</t>
        </is>
      </c>
    </row>
    <row r="30">
      <c r="A30" s="8" t="n">
        <v>255</v>
      </c>
      <c r="B30" s="8" t="inlineStr">
        <is>
          <t>文字量過低 — 可能為掃描頁/圖表頁</t>
        </is>
      </c>
    </row>
    <row r="31">
      <c r="A31" s="8" t="n">
        <v>256</v>
      </c>
      <c r="B31"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2026-08-30T14:16:36Z</dcterms:created>
  <dcterms:modified xsi:type="dcterms:W3CDTF">2026-08-30T14:16:36Z</dcterms:modified>
</cp:coreProperties>
</file>
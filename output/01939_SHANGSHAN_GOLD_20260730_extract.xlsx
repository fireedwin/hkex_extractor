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趨勢圖'!$A$5:$A$10</f>
            </numRef>
          </cat>
          <val>
            <numRef>
              <f>'Chart 趨勢圖'!$B$5:$B$10</f>
            </numRef>
          </val>
        </ser>
        <ser>
          <idx val="1"/>
          <order val="1"/>
          <tx>
            <strRef>
              <f>'Chart 趨勢圖'!C4</f>
            </strRef>
          </tx>
          <spPr>
            <a:ln>
              <a:prstDash val="solid"/>
            </a:ln>
          </spPr>
          <cat>
            <numRef>
              <f>'Chart 趨勢圖'!$A$5:$A$10</f>
            </numRef>
          </cat>
          <val>
            <numRef>
              <f>'Chart 趨勢圖'!$C$5:$C$10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01939_SHANGSHAN_GOLD_20260730.pdf</t>
        </is>
      </c>
    </row>
    <row r="5">
      <c r="A5" s="3" t="inlineStr">
        <is>
          <t>產生時間 Generated</t>
        </is>
      </c>
      <c r="B5" s="4" t="inlineStr">
        <is>
          <t>2026-08-30 22:16</t>
        </is>
      </c>
    </row>
    <row r="6">
      <c r="A6" s="4" t="inlineStr"/>
      <c r="B6" s="4" t="inlineStr"/>
    </row>
    <row r="7">
      <c r="A7" s="3" t="inlineStr">
        <is>
          <t>總頁數 Total pages</t>
        </is>
      </c>
      <c r="B7" s="4" t="n">
        <v>254</v>
      </c>
    </row>
    <row r="8">
      <c r="A8" s="3" t="inlineStr">
        <is>
          <t>已擷取字元 Characters extracted</t>
        </is>
      </c>
      <c r="B8" s="4" t="n">
        <v>456228</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13</v>
      </c>
    </row>
    <row r="13">
      <c r="A13" s="3" t="inlineStr">
        <is>
          <t>財務科目擷取筆數 Financial line items</t>
        </is>
      </c>
      <c r="B13" s="4" t="n">
        <v>18</v>
      </c>
    </row>
    <row r="14">
      <c r="A14" s="3" t="inlineStr">
        <is>
          <t>主題段落擷取筆數 Topic extracts</t>
        </is>
      </c>
      <c r="B14" s="4" t="n">
        <v>126</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436,738 − 139,972 = 296,766</t>
        </is>
      </c>
    </row>
    <row r="20">
      <c r="A20" s="6" t="inlineStr">
        <is>
          <t>✓ 總資產 = 總負債 + 總權益</t>
        </is>
      </c>
      <c r="B20" s="4" t="inlineStr">
        <is>
          <t>449,775 vs 159,585 + 290,190 = 449,775</t>
        </is>
      </c>
    </row>
    <row r="21">
      <c r="A21" s="6" t="inlineStr">
        <is>
          <t>✓ 除稅前溢利 ± 稅項 = 年內溢利</t>
        </is>
      </c>
      <c r="B21" s="4" t="inlineStr">
        <is>
          <t>-21,002 + 716 = -21,718 vs -21,718</t>
        </is>
      </c>
    </row>
    <row r="22">
      <c r="A22" s="6" t="inlineStr">
        <is>
          <t>✓ 三大報表應相鄰</t>
        </is>
      </c>
      <c r="B22" s="4" t="inlineStr">
        <is>
          <t>Income Statement: p.129、Balance Sheet: p.131、Cash Flow: p.134(相距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13.24</v>
      </c>
      <c r="D5" s="10" t="n">
        <v>13.24</v>
      </c>
      <c r="E5" s="11" t="inlineStr">
        <is>
          <t>13.24%</t>
        </is>
      </c>
      <c r="F5" s="11" t="inlineStr">
        <is>
          <t>High</t>
        </is>
      </c>
      <c r="G5" s="11" t="inlineStr">
        <is>
          <t>PDF p.193 (印刷頁 192)</t>
        </is>
      </c>
      <c r="H5" s="11" t="inlineStr">
        <is>
          <t>rate for +1% 118 the fair value of –1% (142) underlying assets: 13.24% 相關資產的 公平值貼現率： 13.24% 192 SHANGSHAN GOLD INTERNATIONAL HOLDINGS LIMITED Annual Report 2026</t>
        </is>
      </c>
    </row>
    <row r="6">
      <c r="A6" s="8" t="inlineStr">
        <is>
          <t>Discount Rate</t>
        </is>
      </c>
      <c r="B6" s="8" t="inlineStr">
        <is>
          <t>折現率</t>
        </is>
      </c>
      <c r="C6" s="9" t="n">
        <v>13.5</v>
      </c>
      <c r="D6" s="10" t="n">
        <v>13.5</v>
      </c>
      <c r="E6" s="11" t="inlineStr">
        <is>
          <t>13.5%</t>
        </is>
      </c>
      <c r="F6" s="11" t="inlineStr">
        <is>
          <t>High</t>
        </is>
      </c>
      <c r="G6" s="11" t="inlineStr">
        <is>
          <t>PDF p.211 (印刷頁 210)</t>
        </is>
      </c>
      <c r="H6" s="11" t="inlineStr">
        <is>
          <t>關之特定風險。 growth rate of 2.5% (2025: 2.5%). The cash flows are discounted using a discount rate of 13.5% (2025: 12.5%). The discount rate used is pre-tax and reflects specific risks relating to the auction and related segment. Based on the value in use ca</t>
        </is>
      </c>
    </row>
    <row r="7">
      <c r="A7" s="8" t="inlineStr">
        <is>
          <t>Discount Rate</t>
        </is>
      </c>
      <c r="B7" s="8" t="inlineStr">
        <is>
          <t>折現率</t>
        </is>
      </c>
      <c r="C7" s="9" t="n">
        <v>12.5</v>
      </c>
      <c r="D7" s="10" t="n">
        <v>12.5</v>
      </c>
      <c r="E7" s="11" t="inlineStr">
        <is>
          <t>12.5%</t>
        </is>
      </c>
      <c r="F7" s="11" t="inlineStr">
        <is>
          <t>Medium</t>
        </is>
      </c>
      <c r="G7" s="11" t="inlineStr">
        <is>
          <t>PDF p.211 (印刷頁 210)</t>
        </is>
      </c>
      <c r="H7" s="11" t="inlineStr">
        <is>
          <t>The cash flows are discounted using a discount rate of 13.5% (2025: 12.5%). The discount rate used is pre-tax and reflects specific risks relating to the auction and related segment. Based on the value in use calculation and the allocation, 根據使用價值計算及分配，</t>
        </is>
      </c>
    </row>
    <row r="8">
      <c r="A8" s="8" t="inlineStr">
        <is>
          <t>Discount Rate</t>
        </is>
      </c>
      <c r="B8" s="8" t="inlineStr">
        <is>
          <t>折現率</t>
        </is>
      </c>
      <c r="C8" s="9" t="n">
        <v>2.5</v>
      </c>
      <c r="D8" s="10" t="n">
        <v>2.5</v>
      </c>
      <c r="E8" s="11" t="inlineStr">
        <is>
          <t>2.5%</t>
        </is>
      </c>
      <c r="F8" s="12" t="inlineStr">
        <is>
          <t>Low</t>
        </is>
      </c>
      <c r="G8" s="11" t="inlineStr">
        <is>
          <t>PDF p.211 (印刷頁 210)</t>
        </is>
      </c>
      <c r="H8" s="11" t="inlineStr">
        <is>
          <t>.5%（2025年：12.5%） Group in respect of the relevant identifiable CGU. Cash 貼現。所採用的貼現率為除稅前，並反映 flows beyond the five-year period are extrapolated using 與拍賣及相關分部有關之特定風險。 growth rate of 2.5% (2025: 2.5%). The cash flows are discounted using a disco</t>
        </is>
      </c>
    </row>
    <row r="9">
      <c r="A9" s="8" t="inlineStr">
        <is>
          <t>Discount Rate</t>
        </is>
      </c>
      <c r="B9" s="8" t="inlineStr">
        <is>
          <t>折現率</t>
        </is>
      </c>
      <c r="C9" s="9" t="n">
        <v>13.24</v>
      </c>
      <c r="D9" s="10" t="n">
        <v>13.24</v>
      </c>
      <c r="E9" s="11" t="inlineStr">
        <is>
          <t>13.24%</t>
        </is>
      </c>
      <c r="F9" s="11" t="inlineStr">
        <is>
          <t>High</t>
        </is>
      </c>
      <c r="G9" s="11" t="inlineStr">
        <is>
          <t>PDF p.220 (印刷頁 219)</t>
        </is>
      </c>
      <c r="H9" s="11" t="inlineStr">
        <is>
          <t>he Group and valued by the professional valuer and 及每年13.24%的除稅前貼現率。超出五 pre-tax discount rate of 13.24% per annum. Cash flows 年期的現金流量已採用1.5%的穩定增長 beyond that five-year period have been extrapolated using 率推算。此增長率並無高於市場長期平 a steady 1.5% growth rate. This</t>
        </is>
      </c>
    </row>
    <row r="10">
      <c r="A10" s="8" t="inlineStr">
        <is>
          <t>Expected Volatility</t>
        </is>
      </c>
      <c r="B10" s="8" t="inlineStr">
        <is>
          <t>預期波幅</t>
        </is>
      </c>
      <c r="C10" s="9" t="n">
        <v>60.87</v>
      </c>
      <c r="D10" s="10" t="n">
        <v>60.87</v>
      </c>
      <c r="E10" s="11" t="inlineStr">
        <is>
          <t>(%) 60.87</t>
        </is>
      </c>
      <c r="F10" s="11" t="inlineStr">
        <is>
          <t>Medium</t>
        </is>
      </c>
      <c r="G10" s="11" t="inlineStr">
        <is>
          <t>PDF p.243 (印刷頁 242)</t>
        </is>
      </c>
      <c r="H10" s="11" t="inlineStr">
        <is>
          <t>on (HK$ per share option) 購股權行使價 （每份購股權港元） 0.8 Dividend yield (%) 股息率(%) 1.3158 Expected volatility (%) 預期波幅(%) 60.874 Risk-free interest rate (%) 無風險利率(%) 3.172 Expected life of options (years) 購股權預期年期（年） 6.0 Weighted average share price (HK$ per share) 加權平均</t>
        </is>
      </c>
    </row>
    <row r="11">
      <c r="A11" s="8" t="inlineStr">
        <is>
          <t>Gross Margin</t>
        </is>
      </c>
      <c r="B11" s="8" t="inlineStr">
        <is>
          <t>毛利率</t>
        </is>
      </c>
      <c r="C11" s="9" t="n">
        <v>13.7</v>
      </c>
      <c r="D11" s="10" t="n">
        <v>13.7</v>
      </c>
      <c r="E11" s="11" t="inlineStr">
        <is>
          <t>13.7%</t>
        </is>
      </c>
      <c r="F11" s="11" t="inlineStr">
        <is>
          <t>High</t>
        </is>
      </c>
      <c r="G11" s="11" t="inlineStr">
        <is>
          <t>PDF p.12 (印刷頁 11)</t>
        </is>
      </c>
      <c r="H11" s="11" t="inlineStr">
        <is>
          <t xml:space="preserve">ase in revenue from artwork 術品銷售的毛損率約為29.2%（2025年：毛利 sales with low or negative gross profit margin for the Reporting 率為13.7%）以及黃金及黃金相關業務的毛利 Period. The gross profit margins were approximately 91.2% 率約為5.1%（2025年：無）。 (2025: 90.3%) for art auction and related </t>
        </is>
      </c>
    </row>
    <row r="12">
      <c r="A12" s="8" t="inlineStr">
        <is>
          <t>Gross Margin</t>
        </is>
      </c>
      <c r="B12" s="8" t="inlineStr">
        <is>
          <t>毛利率</t>
        </is>
      </c>
      <c r="C12" s="9" t="n">
        <v>91.2</v>
      </c>
      <c r="D12" s="10" t="n">
        <v>91.2</v>
      </c>
      <c r="E12" s="11" t="inlineStr">
        <is>
          <t>91.2%</t>
        </is>
      </c>
      <c r="F12" s="11" t="inlineStr">
        <is>
          <t>High</t>
        </is>
      </c>
      <c r="G12" s="11" t="inlineStr">
        <is>
          <t>PDF p.12 (印刷頁 11)</t>
        </is>
      </c>
      <c r="H12" s="11" t="inlineStr">
        <is>
          <t>gative gross profit margin for the Reporting 率為13.7%）以及黃金及黃金相關業務的毛利 Period. The gross profit margins were approximately 91.2% 率約為5.1%（2025年：無）。 (2025: 90.3%) for art auction and related business, gross loss margins were approximately 29.2% (2025: the gross pr</t>
        </is>
      </c>
    </row>
    <row r="13">
      <c r="A13" s="8" t="inlineStr">
        <is>
          <t>Gross Margin</t>
        </is>
      </c>
      <c r="B13" s="8" t="inlineStr">
        <is>
          <t>毛利率</t>
        </is>
      </c>
      <c r="C13" s="9" t="n">
        <v>5.1</v>
      </c>
      <c r="D13" s="10" t="n">
        <v>5.1</v>
      </c>
      <c r="E13" s="11" t="inlineStr">
        <is>
          <t>5.1%</t>
        </is>
      </c>
      <c r="F13" s="11" t="inlineStr">
        <is>
          <t>High</t>
        </is>
      </c>
      <c r="G13" s="11" t="inlineStr">
        <is>
          <t>PDF p.12 (印刷頁 11)</t>
        </is>
      </c>
      <c r="H13" s="11" t="inlineStr">
        <is>
          <t>imately 29.2% (2025: the gross profit margins were 13.7%) for artwork sales and gross profit margins were approximately 5.1% for gold and gold related business (2025: Nil), respectively. 二零二六年年度報告 上善黃金國際控股有限公司 11</t>
        </is>
      </c>
    </row>
    <row r="14">
      <c r="A14" s="8" t="inlineStr">
        <is>
          <t>Gross Margin</t>
        </is>
      </c>
      <c r="B14" s="8" t="inlineStr">
        <is>
          <t>毛利率</t>
        </is>
      </c>
      <c r="C14" s="9" t="n">
        <v>40</v>
      </c>
      <c r="D14" s="10" t="n">
        <v>40</v>
      </c>
      <c r="E14" s="11" t="inlineStr">
        <is>
          <t>40.0%</t>
        </is>
      </c>
      <c r="F14" s="11" t="inlineStr">
        <is>
          <t>High</t>
        </is>
      </c>
      <c r="G14" s="11" t="inlineStr">
        <is>
          <t>PDF p.12 (印刷頁 11)</t>
        </is>
      </c>
      <c r="H14" s="11" t="inlineStr">
        <is>
          <t>下跌至報告期間約40.0%，乃 Period. Meanwhile, the gross profit margin decreased to 主要由於報告期間毛利率較低或為負值的藝 approximately 40.0% for the Reporting Period from 術品銷售收益增加所致。藝術品拍賣及相關業 approximately 78.1% recorded for the same period in 2025, 務的毛利率約為91.2%（2025年：90.</t>
        </is>
      </c>
    </row>
    <row r="15">
      <c r="A15" s="8" t="inlineStr">
        <is>
          <t>Gross Margin</t>
        </is>
      </c>
      <c r="B15" s="8" t="inlineStr">
        <is>
          <t>毛利率</t>
        </is>
      </c>
      <c r="C15" s="9" t="n">
        <v>78.09999999999999</v>
      </c>
      <c r="D15" s="10" t="n">
        <v>78.09999999999999</v>
      </c>
      <c r="E15" s="11" t="inlineStr">
        <is>
          <t>78.1%</t>
        </is>
      </c>
      <c r="F15" s="11" t="inlineStr">
        <is>
          <t>Medium</t>
        </is>
      </c>
      <c r="G15" s="11" t="inlineStr">
        <is>
          <t>PDF p.12 (印刷頁 11)</t>
        </is>
      </c>
      <c r="H15" s="11" t="inlineStr">
        <is>
          <t>已計入貨品 mainly due to increase in write-down of inventories recognised 銷售成本內所致。同時，毛利率由2025年同期 and is included in cost of sales of goods for the Reporting 所錄得約78.1%下跌至報告期間約40.0%，乃 Period. Meanwhile, the gross profit margin decreased to 主要由於報告期間毛利</t>
        </is>
      </c>
    </row>
    <row r="16">
      <c r="A16" s="8" t="inlineStr">
        <is>
          <t>Risk-free Rate</t>
        </is>
      </c>
      <c r="B16" s="8" t="inlineStr">
        <is>
          <t>無風險利率</t>
        </is>
      </c>
      <c r="C16" s="9" t="n">
        <v>1.37</v>
      </c>
      <c r="D16" s="10" t="n">
        <v>1.37</v>
      </c>
      <c r="E16" s="11" t="inlineStr">
        <is>
          <t>1.37%</t>
        </is>
      </c>
      <c r="F16" s="11" t="inlineStr">
        <is>
          <t>High</t>
        </is>
      </c>
      <c r="G16" s="11" t="inlineStr">
        <is>
          <t>PDF p.193 (印刷頁 192)</t>
        </is>
      </c>
      <c r="H16" s="11" t="inlineStr">
        <is>
          <t>62 Black-Scholes Risk-free interest +1% (39) 認沽期權 model rate: 1.37% –1% 39 布萊克－ 無風險利率： 舒爾斯模型 1.37% Discount rate for +1% 118 the fair value of –1% (142) underlying assets: 13.24% 相關資產的 公平值貼現率： 13.24% 192 SHANGSHAN GOLD INTERNATIONAL HOLDINGS LIM</t>
        </is>
      </c>
    </row>
    <row r="17">
      <c r="A17" s="8" t="inlineStr">
        <is>
          <t>Risk-free Rate</t>
        </is>
      </c>
      <c r="B17" s="8" t="inlineStr">
        <is>
          <t>無風險利率</t>
        </is>
      </c>
      <c r="C17" s="9" t="n">
        <v>3.17</v>
      </c>
      <c r="D17" s="10" t="n">
        <v>3.17</v>
      </c>
      <c r="E17" s="11" t="inlineStr">
        <is>
          <t>(%) 3.17</t>
        </is>
      </c>
      <c r="F17" s="11" t="inlineStr">
        <is>
          <t>Medium</t>
        </is>
      </c>
      <c r="G17" s="11" t="inlineStr">
        <is>
          <t>PDF p.243 (印刷頁 242)</t>
        </is>
      </c>
      <c r="H17" s="11" t="inlineStr">
        <is>
          <t xml:space="preserve">息率(%) 1.3158 Expected volatility (%) 預期波幅(%) 60.874 Risk-free interest rate (%) 無風險利率(%) 3.172 Expected life of options (years) 購股權預期年期（年） 6.0 Weighted average share price (HK$ per share) 加權平均股份價格 （每股港元） 0.76 Fair value of share option (HK$ per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3" t="n">
        <v>107445</v>
      </c>
      <c r="D5" s="14" t="n">
        <v>62051</v>
      </c>
      <c r="E5" s="15">
        <f>IF(ISERROR((C5-D5)/ABS(D5)),"",(C5-D5)/ABS(D5))</f>
        <v>0.7315595236176693</v>
      </c>
      <c r="F5" s="11" t="inlineStr">
        <is>
          <t>PDF p.129 (印刷頁 128)</t>
        </is>
      </c>
      <c r="G5" s="11" t="inlineStr">
        <is>
          <t>Revenue 收益 6 107,445 62,051</t>
        </is>
      </c>
    </row>
    <row r="6">
      <c r="A6" s="8" t="inlineStr">
        <is>
          <t>Income Statement</t>
        </is>
      </c>
      <c r="B6" s="8" t="inlineStr">
        <is>
          <t>Gross Profit</t>
        </is>
      </c>
      <c r="C6" s="13" t="n">
        <v>43023</v>
      </c>
      <c r="D6" s="14" t="n">
        <v>48484</v>
      </c>
      <c r="E6" s="15">
        <f>IF(ISERROR((C6-D6)/ABS(D6)),"",(C6-D6)/ABS(D6))</f>
        <v>-0.112635096114182</v>
      </c>
      <c r="F6" s="11" t="inlineStr">
        <is>
          <t>PDF p.129 (印刷頁 128)</t>
        </is>
      </c>
      <c r="G6" s="11" t="inlineStr">
        <is>
          <t>Gross profit 毛利 43,023 48,484</t>
        </is>
      </c>
    </row>
    <row r="7">
      <c r="A7" s="8" t="inlineStr">
        <is>
          <t>Income Statement</t>
        </is>
      </c>
      <c r="B7" s="8" t="inlineStr">
        <is>
          <t>Operating Profit</t>
        </is>
      </c>
      <c r="C7" s="13" t="n">
        <v>-19966</v>
      </c>
      <c r="D7" s="14" t="n">
        <v>-15225</v>
      </c>
      <c r="E7" s="15">
        <f>IF(ISERROR((C7-D7)/ABS(D7)),"",(C7-D7)/ABS(D7))</f>
        <v>-0.3113957307060755</v>
      </c>
      <c r="F7" s="11" t="inlineStr">
        <is>
          <t>PDF p.129 (印刷頁 128)</t>
        </is>
      </c>
      <c r="G7" s="11" t="inlineStr">
        <is>
          <t>Operating loss 經營虧損 (19,966) (15,225)</t>
        </is>
      </c>
    </row>
    <row r="8">
      <c r="A8" s="8" t="inlineStr">
        <is>
          <t>Income Statement</t>
        </is>
      </c>
      <c r="B8" s="8" t="inlineStr">
        <is>
          <t>Finance Costs</t>
        </is>
      </c>
      <c r="C8" s="13" t="n">
        <v>-630</v>
      </c>
      <c r="D8" s="14" t="n">
        <v>-1762</v>
      </c>
      <c r="E8" s="15">
        <f>IF(ISERROR((C8-D8)/ABS(D8)),"",(C8-D8)/ABS(D8))</f>
        <v>0.6424517593643587</v>
      </c>
      <c r="F8" s="11" t="inlineStr">
        <is>
          <t>PDF p.129 (印刷頁 128)</t>
        </is>
      </c>
      <c r="G8" s="11" t="inlineStr">
        <is>
          <t>Finance costs 財務成本 10 (630) (1,762)</t>
        </is>
      </c>
    </row>
    <row r="9">
      <c r="A9" s="8" t="inlineStr">
        <is>
          <t>Income Statement</t>
        </is>
      </c>
      <c r="B9" s="8" t="inlineStr">
        <is>
          <t>Profit Before Tax</t>
        </is>
      </c>
      <c r="C9" s="13" t="n">
        <v>-21002</v>
      </c>
      <c r="D9" s="14" t="n">
        <v>-20362</v>
      </c>
      <c r="E9" s="15">
        <f>IF(ISERROR((C9-D9)/ABS(D9)),"",(C9-D9)/ABS(D9))</f>
        <v>-0.0314310971417346</v>
      </c>
      <c r="F9" s="11" t="inlineStr">
        <is>
          <t>PDF p.129 (印刷頁 128)</t>
        </is>
      </c>
      <c r="G9" s="11" t="inlineStr">
        <is>
          <t>Loss before income tax 除所得稅前虧損 9 (21,002) (20,362)</t>
        </is>
      </c>
    </row>
    <row r="10">
      <c r="A10" s="8" t="inlineStr">
        <is>
          <t>Income Statement</t>
        </is>
      </c>
      <c r="B10" s="8" t="inlineStr">
        <is>
          <t>Income Tax</t>
        </is>
      </c>
      <c r="C10" s="13" t="n">
        <v>-716</v>
      </c>
      <c r="D10" s="14" t="n">
        <v>868</v>
      </c>
      <c r="E10" s="15">
        <f>IF(ISERROR((C10-D10)/ABS(D10)),"",(C10-D10)/ABS(D10))</f>
        <v>-1.8248847926267282</v>
      </c>
      <c r="F10" s="11" t="inlineStr">
        <is>
          <t>PDF p.129 (印刷頁 128)</t>
        </is>
      </c>
      <c r="G10" s="11" t="inlineStr">
        <is>
          <t>Income tax (expense)/credit 所得稅（開支）╱抵免 11 (716) 868</t>
        </is>
      </c>
    </row>
    <row r="11">
      <c r="A11" s="8" t="inlineStr">
        <is>
          <t>Income Statement</t>
        </is>
      </c>
      <c r="B11" s="8" t="inlineStr">
        <is>
          <t>Profit for the Year</t>
        </is>
      </c>
      <c r="C11" s="13" t="n">
        <v>-21718</v>
      </c>
      <c r="D11" s="14" t="n">
        <v>-19494</v>
      </c>
      <c r="E11" s="15">
        <f>IF(ISERROR((C11-D11)/ABS(D11)),"",(C11-D11)/ABS(D11))</f>
        <v>-0.1140863855545296</v>
      </c>
      <c r="F11" s="11" t="inlineStr">
        <is>
          <t>PDF p.129 (印刷頁 128)</t>
        </is>
      </c>
      <c r="G11" s="11" t="inlineStr">
        <is>
          <t>Loss for the year 年度虧損 (21,718) (19,494)</t>
        </is>
      </c>
    </row>
    <row r="12">
      <c r="A12" s="8" t="inlineStr">
        <is>
          <t>Balance Sheet</t>
        </is>
      </c>
      <c r="B12" s="8" t="inlineStr">
        <is>
          <t>Property Plant and Equipment</t>
        </is>
      </c>
      <c r="C12" s="13" t="n">
        <v>4297</v>
      </c>
      <c r="D12" s="14" t="n">
        <v>4548</v>
      </c>
      <c r="E12" s="15">
        <f>IF(ISERROR((C12-D12)/ABS(D12)),"",(C12-D12)/ABS(D12))</f>
        <v>-0.05518909410729991</v>
      </c>
      <c r="F12" s="11" t="inlineStr">
        <is>
          <t>PDF p.131 (印刷頁 130)</t>
        </is>
      </c>
      <c r="G12" s="11" t="inlineStr">
        <is>
          <t>Property, plant and equipment 物業、廠房及設備 15 4,297 4,548</t>
        </is>
      </c>
    </row>
    <row r="13">
      <c r="A13" s="8" t="inlineStr">
        <is>
          <t>Balance Sheet</t>
        </is>
      </c>
      <c r="B13" s="8" t="inlineStr">
        <is>
          <t>Intangible Assets</t>
        </is>
      </c>
      <c r="C13" s="13" t="n">
        <v>468</v>
      </c>
      <c r="D13" s="14" t="n">
        <v>1248</v>
      </c>
      <c r="E13" s="15">
        <f>IF(ISERROR((C13-D13)/ABS(D13)),"",(C13-D13)/ABS(D13))</f>
        <v>-0.625</v>
      </c>
      <c r="F13" s="11" t="inlineStr">
        <is>
          <t>PDF p.131 (印刷頁 130)</t>
        </is>
      </c>
      <c r="G13" s="11" t="inlineStr">
        <is>
          <t>Intangible assets 無形資產 17 468 1,248</t>
        </is>
      </c>
    </row>
    <row r="14">
      <c r="A14" s="8" t="inlineStr">
        <is>
          <t>Balance Sheet</t>
        </is>
      </c>
      <c r="B14" s="8" t="inlineStr">
        <is>
          <t>Inventories</t>
        </is>
      </c>
      <c r="C14" s="13" t="n">
        <v>132449</v>
      </c>
      <c r="D14" s="14" t="n">
        <v>132347</v>
      </c>
      <c r="E14" s="15">
        <f>IF(ISERROR((C14-D14)/ABS(D14)),"",(C14-D14)/ABS(D14))</f>
        <v>0.0007707012625900096</v>
      </c>
      <c r="F14" s="11" t="inlineStr">
        <is>
          <t>PDF p.131 (印刷頁 130)</t>
        </is>
      </c>
      <c r="G14" s="11" t="inlineStr">
        <is>
          <t>Inventories 存貨 22 132,449 132,347</t>
        </is>
      </c>
    </row>
    <row r="15">
      <c r="A15" s="8" t="inlineStr">
        <is>
          <t>Balance Sheet</t>
        </is>
      </c>
      <c r="B15" s="8" t="inlineStr">
        <is>
          <t>Trade Receivables</t>
        </is>
      </c>
      <c r="C15" s="13" t="n">
        <v>164649</v>
      </c>
      <c r="D15" s="14" t="n">
        <v>145435</v>
      </c>
      <c r="E15" s="15">
        <f>IF(ISERROR((C15-D15)/ABS(D15)),"",(C15-D15)/ABS(D15))</f>
        <v>0.13211400281912883</v>
      </c>
      <c r="F15" s="11" t="inlineStr">
        <is>
          <t>PDF p.131 (印刷頁 130)</t>
        </is>
      </c>
      <c r="G15" s="11" t="inlineStr">
        <is>
          <t>Trade and other receivables 貿易及其他應收款項 23 164,649 145,435</t>
        </is>
      </c>
    </row>
    <row r="16">
      <c r="A16" s="8" t="inlineStr">
        <is>
          <t>Balance Sheet</t>
        </is>
      </c>
      <c r="B16" s="8" t="inlineStr">
        <is>
          <t>Cash and Equivalents</t>
        </is>
      </c>
      <c r="C16" s="13" t="n">
        <v>96257</v>
      </c>
      <c r="D16" s="14" t="n">
        <v>76457</v>
      </c>
      <c r="E16" s="15">
        <f>IF(ISERROR((C16-D16)/ABS(D16)),"",(C16-D16)/ABS(D16))</f>
        <v>0.2589690937389644</v>
      </c>
      <c r="F16" s="11" t="inlineStr">
        <is>
          <t>PDF p.131 (印刷頁 130)</t>
        </is>
      </c>
      <c r="G16" s="11" t="inlineStr">
        <is>
          <t>Cash and cash equivalents 現金及現金等價物 25 96,257 76,457</t>
        </is>
      </c>
    </row>
    <row r="17">
      <c r="A17" s="8" t="inlineStr">
        <is>
          <t>Balance Sheet</t>
        </is>
      </c>
      <c r="B17" s="8" t="inlineStr">
        <is>
          <t>Total Assets</t>
        </is>
      </c>
      <c r="C17" s="13" t="n">
        <v>449775</v>
      </c>
      <c r="D17" s="14" t="n">
        <v>394962</v>
      </c>
      <c r="E17" s="15">
        <f>IF(ISERROR((C17-D17)/ABS(D17)),"",(C17-D17)/ABS(D17))</f>
        <v>0.1387804396372309</v>
      </c>
      <c r="F17" s="11" t="inlineStr">
        <is>
          <t>PDF p.131 (印刷頁 130)</t>
        </is>
      </c>
      <c r="G17" s="11" t="inlineStr">
        <is>
          <t>Total assets 總資產 449,775 394,962</t>
        </is>
      </c>
    </row>
    <row r="18">
      <c r="A18" s="8" t="inlineStr">
        <is>
          <t>Balance Sheet</t>
        </is>
      </c>
      <c r="B18" s="8" t="inlineStr">
        <is>
          <t>Total Equity</t>
        </is>
      </c>
      <c r="C18" s="13" t="n">
        <v>290190</v>
      </c>
      <c r="D18" s="14" t="n">
        <v>224586</v>
      </c>
      <c r="E18" s="15">
        <f>IF(ISERROR((C18-D18)/ABS(D18)),"",(C18-D18)/ABS(D18))</f>
        <v>0.2921108172370495</v>
      </c>
      <c r="F18" s="11" t="inlineStr">
        <is>
          <t>PDF p.131 (印刷頁 130)</t>
        </is>
      </c>
      <c r="G18" s="11" t="inlineStr">
        <is>
          <t>Total equity 總權益 290,190 224,586</t>
        </is>
      </c>
    </row>
    <row r="19">
      <c r="A19" s="8" t="inlineStr">
        <is>
          <t>Balance Sheet</t>
        </is>
      </c>
      <c r="B19" s="8" t="inlineStr">
        <is>
          <t>Borrowings</t>
        </is>
      </c>
      <c r="C19" s="13" t="n">
        <v>14974</v>
      </c>
      <c r="D19" s="14" t="n">
        <v>22807</v>
      </c>
      <c r="E19" s="15">
        <f>IF(ISERROR((C19-D19)/ABS(D19)),"",(C19-D19)/ABS(D19))</f>
        <v>-0.34344718726706713</v>
      </c>
      <c r="F19" s="11" t="inlineStr">
        <is>
          <t>PDF p.132 (印刷頁 131)</t>
        </is>
      </c>
      <c r="G19" s="11" t="inlineStr">
        <is>
          <t>Borrowings 借款 28 14,974 22,807</t>
        </is>
      </c>
    </row>
    <row r="20">
      <c r="A20" s="8" t="inlineStr">
        <is>
          <t>Balance Sheet</t>
        </is>
      </c>
      <c r="B20" s="8" t="inlineStr">
        <is>
          <t>Total Liabilities</t>
        </is>
      </c>
      <c r="C20" s="13" t="n">
        <v>159585</v>
      </c>
      <c r="D20" s="14" t="n">
        <v>170376</v>
      </c>
      <c r="E20" s="15">
        <f>IF(ISERROR((C20-D20)/ABS(D20)),"",(C20-D20)/ABS(D20))</f>
        <v>-0.06333638540639527</v>
      </c>
      <c r="F20" s="11" t="inlineStr">
        <is>
          <t>PDF p.132 (印刷頁 131)</t>
        </is>
      </c>
      <c r="G20" s="11" t="inlineStr">
        <is>
          <t>Total liabilities 負債總額 159,585 170,376</t>
        </is>
      </c>
    </row>
    <row r="21">
      <c r="A21" s="8" t="inlineStr">
        <is>
          <t>Balance Sheet</t>
        </is>
      </c>
      <c r="B21" s="8" t="inlineStr">
        <is>
          <t>Total Current Assets</t>
        </is>
      </c>
      <c r="C21" s="13" t="n">
        <v>436738</v>
      </c>
      <c r="D21" s="14" t="n">
        <v>381391</v>
      </c>
      <c r="E21" s="15">
        <f>IF(ISERROR((C21-D21)/ABS(D21)),"",(C21-D21)/ABS(D21))</f>
        <v>0.14511878885448268</v>
      </c>
      <c r="F21" s="11" t="inlineStr">
        <is>
          <t>PDF p.131 (印刷頁 130)</t>
        </is>
      </c>
      <c r="G21" s="11" t="inlineStr">
        <is>
          <t>[current assets 區段小計] 436,738 381,391</t>
        </is>
      </c>
    </row>
    <row r="22">
      <c r="A22" s="8" t="inlineStr">
        <is>
          <t>Balance Sheet</t>
        </is>
      </c>
      <c r="B22" s="8" t="inlineStr">
        <is>
          <t>Total Current Liabilities</t>
        </is>
      </c>
      <c r="C22" s="13" t="n">
        <v>139972</v>
      </c>
      <c r="D22" s="14" t="n">
        <v>141837</v>
      </c>
      <c r="E22" s="15">
        <f>IF(ISERROR((C22-D22)/ABS(D22)),"",(C22-D22)/ABS(D22))</f>
        <v>-0.013148896268251584</v>
      </c>
      <c r="F22" s="11" t="inlineStr">
        <is>
          <t>PDF p.132 (印刷頁 131)</t>
        </is>
      </c>
      <c r="G22" s="11" t="inlineStr">
        <is>
          <t>[current liabilities 區段小計] 139,972 141,837</t>
        </is>
      </c>
    </row>
    <row r="24">
      <c r="A24"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6">
        <f>IF(ISERROR(INDEX('Financials 財務數據'!$C$5:$C$22,MATCH("Gross Profit",'Financials 財務數據'!$B$5:$B$22,0))/INDEX('Financials 財務數據'!$C$5:$C$22,MATCH("Revenue",'Financials 財務數據'!$B$5:$B$22,0))),"n/a",INDEX('Financials 財務數據'!$C$5:$C$22,MATCH("Gross Profit",'Financials 財務數據'!$B$5:$B$22,0))/INDEX('Financials 財務數據'!$C$5:$C$22,MATCH("Revenue",'Financials 財務數據'!$B$5:$B$22,0)))</f>
        <v>0.40041881893061565</v>
      </c>
      <c r="C5" s="16">
        <f>IF(ISERROR(INDEX('Financials 財務數據'!$D$5:$D$22,MATCH("Gross Profit",'Financials 財務數據'!$B$5:$B$22,0))/INDEX('Financials 財務數據'!$D$5:$D$22,MATCH("Revenue",'Financials 財務數據'!$B$5:$B$22,0))),"n/a",INDEX('Financials 財務數據'!$D$5:$D$22,MATCH("Gross Profit",'Financials 財務數據'!$B$5:$B$22,0))/INDEX('Financials 財務數據'!$D$5:$D$22,MATCH("Revenue",'Financials 財務數據'!$B$5:$B$22,0)))</f>
        <v>0.7813572706322219</v>
      </c>
      <c r="D5" s="2" t="inlineStr">
        <is>
          <t>毛利 ÷ 收入</t>
        </is>
      </c>
    </row>
    <row r="6">
      <c r="A6" s="4" t="inlineStr">
        <is>
          <t>Net Margin 淨利率</t>
        </is>
      </c>
      <c r="B6" s="16">
        <f>IF(ISERROR(INDEX('Financials 財務數據'!$C$5:$C$22,MATCH("Profit for the Year",'Financials 財務數據'!$B$5:$B$22,0))/INDEX('Financials 財務數據'!$C$5:$C$22,MATCH("Revenue",'Financials 財務數據'!$B$5:$B$22,0))),"n/a",INDEX('Financials 財務數據'!$C$5:$C$22,MATCH("Profit for the Year",'Financials 財務數據'!$B$5:$B$22,0))/INDEX('Financials 財務數據'!$C$5:$C$22,MATCH("Revenue",'Financials 財務數據'!$B$5:$B$22,0)))</f>
        <v>-0.2021313230024664</v>
      </c>
      <c r="C6" s="16">
        <f>IF(ISERROR(INDEX('Financials 財務數據'!$D$5:$D$22,MATCH("Profit for the Year",'Financials 財務數據'!$B$5:$B$22,0))/INDEX('Financials 財務數據'!$D$5:$D$22,MATCH("Revenue",'Financials 財務數據'!$B$5:$B$22,0))),"n/a",INDEX('Financials 財務數據'!$D$5:$D$22,MATCH("Profit for the Year",'Financials 財務數據'!$B$5:$B$22,0))/INDEX('Financials 財務數據'!$D$5:$D$22,MATCH("Revenue",'Financials 財務數據'!$B$5:$B$22,0)))</f>
        <v>-0.3141609321364684</v>
      </c>
      <c r="D6" s="2" t="inlineStr">
        <is>
          <t>年內溢利 ÷ 收入</t>
        </is>
      </c>
    </row>
    <row r="7">
      <c r="A7" s="4" t="inlineStr">
        <is>
          <t>Current Ratio 流動比率</t>
        </is>
      </c>
      <c r="B7" s="17">
        <f>IF(ISERROR(INDEX('Financials 財務數據'!$C$5:$C$22,MATCH("Total Current Assets",'Financials 財務數據'!$B$5:$B$22,0))/INDEX('Financials 財務數據'!$C$5:$C$22,MATCH("Total Current Liabilities",'Financials 財務數據'!$B$5:$B$22,0))),"n/a",INDEX('Financials 財務數據'!$C$5:$C$22,MATCH("Total Current Assets",'Financials 財務數據'!$B$5:$B$22,0))/INDEX('Financials 財務數據'!$C$5:$C$22,MATCH("Total Current Liabilities",'Financials 財務數據'!$B$5:$B$22,0)))</f>
        <v>3.1201811790929614</v>
      </c>
      <c r="C7" s="17">
        <f>IF(ISERROR(INDEX('Financials 財務數據'!$D$5:$D$22,MATCH("Total Current Assets",'Financials 財務數據'!$B$5:$B$22,0))/INDEX('Financials 財務數據'!$D$5:$D$22,MATCH("Total Current Liabilities",'Financials 財務數據'!$B$5:$B$22,0))),"n/a",INDEX('Financials 財務數據'!$D$5:$D$22,MATCH("Total Current Assets",'Financials 財務數據'!$B$5:$B$22,0))/INDEX('Financials 財務數據'!$D$5:$D$22,MATCH("Total Current Liabilities",'Financials 財務數據'!$B$5:$B$22,0)))</f>
        <v>2.6889387113376624</v>
      </c>
      <c r="D7" s="2" t="inlineStr">
        <is>
          <t>流動資產 ÷ 流動負債</t>
        </is>
      </c>
    </row>
    <row r="8">
      <c r="A8" s="4" t="inlineStr">
        <is>
          <t>Debt / Equity 負債權益比</t>
        </is>
      </c>
      <c r="B8" s="17">
        <f>IF(ISERROR(INDEX('Financials 財務數據'!$C$5:$C$22,MATCH("Total Liabilities",'Financials 財務數據'!$B$5:$B$22,0))/INDEX('Financials 財務數據'!$C$5:$C$22,MATCH("Total Equity",'Financials 財務數據'!$B$5:$B$22,0))),"n/a",INDEX('Financials 財務數據'!$C$5:$C$22,MATCH("Total Liabilities",'Financials 財務數據'!$B$5:$B$22,0))/INDEX('Financials 財務數據'!$C$5:$C$22,MATCH("Total Equity",'Financials 財務數據'!$B$5:$B$22,0)))</f>
        <v>0.5499328026465419</v>
      </c>
      <c r="C8" s="17">
        <f>IF(ISERROR(INDEX('Financials 財務數據'!$D$5:$D$22,MATCH("Total Liabilities",'Financials 財務數據'!$B$5:$B$22,0))/INDEX('Financials 財務數據'!$D$5:$D$22,MATCH("Total Equity",'Financials 財務數據'!$B$5:$B$22,0))),"n/a",INDEX('Financials 財務數據'!$D$5:$D$22,MATCH("Total Liabilities",'Financials 財務數據'!$B$5:$B$22,0))/INDEX('Financials 財務數據'!$D$5:$D$22,MATCH("Total Equity",'Financials 財務數據'!$B$5:$B$22,0)))</f>
        <v>0.7586225321257781</v>
      </c>
      <c r="D8" s="2" t="inlineStr">
        <is>
          <t>總負債 ÷ 總權益</t>
        </is>
      </c>
    </row>
    <row r="9">
      <c r="A9" s="4" t="inlineStr">
        <is>
          <t>Goodwill / Total Assets</t>
        </is>
      </c>
      <c r="B9" s="16" t="str">
        <f>IF(ISERROR(INDEX('Financials 財務數據'!$C$5:$C$22,MATCH("Goodwill",'Financials 財務數據'!$B$5:$B$22,0))/INDEX('Financials 財務數據'!$C$5:$C$22,MATCH("Total Assets",'Financials 財務數據'!$B$5:$B$22,0))),"n/a",INDEX('Financials 財務數據'!$C$5:$C$22,MATCH("Goodwill",'Financials 財務數據'!$B$5:$B$22,0))/INDEX('Financials 財務數據'!$C$5:$C$22,MATCH("Total Assets",'Financials 財務數據'!$B$5:$B$22,0)))</f>
        <v>n/a</v>
      </c>
      <c r="C9" s="16" t="str">
        <f>IF(ISERROR(INDEX('Financials 財務數據'!$D$5:$D$22,MATCH("Goodwill",'Financials 財務數據'!$B$5:$B$22,0))/INDEX('Financials 財務數據'!$D$5:$D$22,MATCH("Total Assets",'Financials 財務數據'!$B$5:$B$22,0))),"n/a",INDEX('Financials 財務數據'!$D$5:$D$22,MATCH("Goodwill",'Financials 財務數據'!$B$5:$B$22,0))/INDEX('Financials 財務數據'!$D$5:$D$22,MATCH("Total Assets",'Financials 財務數據'!$B$5:$B$22,0)))</f>
        <v>n/a</v>
      </c>
      <c r="D9" s="2" t="inlineStr">
        <is>
          <t>商譽佔總資產比重 — 減值風險指標</t>
        </is>
      </c>
    </row>
    <row r="10">
      <c r="A10" s="4" t="inlineStr">
        <is>
          <t>Intangibles / Total Assets</t>
        </is>
      </c>
      <c r="B10" s="16">
        <f>IF(ISERROR(INDEX('Financials 財務數據'!$C$5:$C$22,MATCH("Intangible Assets",'Financials 財務數據'!$B$5:$B$22,0))/INDEX('Financials 財務數據'!$C$5:$C$22,MATCH("Total Assets",'Financials 財務數據'!$B$5:$B$22,0))),"n/a",INDEX('Financials 財務數據'!$C$5:$C$22,MATCH("Intangible Assets",'Financials 財務數據'!$B$5:$B$22,0))/INDEX('Financials 財務數據'!$C$5:$C$22,MATCH("Total Assets",'Financials 財務數據'!$B$5:$B$22,0)))</f>
        <v>0.0010405202601300651</v>
      </c>
      <c r="C10" s="16">
        <f>IF(ISERROR(INDEX('Financials 財務數據'!$D$5:$D$22,MATCH("Intangible Assets",'Financials 財務數據'!$B$5:$B$22,0))/INDEX('Financials 財務數據'!$D$5:$D$22,MATCH("Total Assets",'Financials 財務數據'!$B$5:$B$22,0))),"n/a",INDEX('Financials 財務數據'!$D$5:$D$22,MATCH("Intangible Assets",'Financials 財務數據'!$B$5:$B$22,0))/INDEX('Financials 財務數據'!$D$5:$D$22,MATCH("Total Assets",'Financials 財務數據'!$B$5:$B$22,0)))</f>
        <v>0.0031597976514196303</v>
      </c>
      <c r="D10" s="2" t="inlineStr">
        <is>
          <t>無形資產佔比</t>
        </is>
      </c>
    </row>
    <row r="11">
      <c r="A11" s="4" t="inlineStr">
        <is>
          <t>ROE 股本回報率</t>
        </is>
      </c>
      <c r="B11" s="16">
        <f>IF(ISERROR(INDEX('Financials 財務數據'!$C$5:$C$22,MATCH("Profit for the Year",'Financials 財務數據'!$B$5:$B$22,0))/INDEX('Financials 財務數據'!$C$5:$C$22,MATCH("Total Equity",'Financials 財務數據'!$B$5:$B$22,0))),"n/a",INDEX('Financials 財務數據'!$C$5:$C$22,MATCH("Profit for the Year",'Financials 財務數據'!$B$5:$B$22,0))/INDEX('Financials 財務數據'!$C$5:$C$22,MATCH("Total Equity",'Financials 財務數據'!$B$5:$B$22,0)))</f>
        <v>-0.07484062166166994</v>
      </c>
      <c r="C11" s="16">
        <f>IF(ISERROR(INDEX('Financials 財務數據'!$D$5:$D$22,MATCH("Profit for the Year",'Financials 財務數據'!$B$5:$B$22,0))/INDEX('Financials 財務數據'!$D$5:$D$22,MATCH("Total Equity",'Financials 財務數據'!$B$5:$B$22,0))),"n/a",INDEX('Financials 財務數據'!$D$5:$D$22,MATCH("Profit for the Year",'Financials 財務數據'!$B$5:$B$22,0))/INDEX('Financials 財務數據'!$D$5:$D$22,MATCH("Total Equity",'Financials 財務數據'!$B$5:$B$22,0)))</f>
        <v>-0.08679971146910315</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62051</v>
      </c>
      <c r="C5" s="19" t="n">
        <v>107445</v>
      </c>
    </row>
    <row r="6">
      <c r="A6" s="4" t="inlineStr">
        <is>
          <t>Gross Profit</t>
        </is>
      </c>
      <c r="B6" s="19" t="n">
        <v>48484</v>
      </c>
      <c r="C6" s="19" t="n">
        <v>43023</v>
      </c>
    </row>
    <row r="7">
      <c r="A7" s="4" t="inlineStr">
        <is>
          <t>Profit Before Tax</t>
        </is>
      </c>
      <c r="B7" s="19" t="n">
        <v>-20362</v>
      </c>
      <c r="C7" s="19" t="n">
        <v>-21002</v>
      </c>
    </row>
    <row r="8">
      <c r="A8" s="4" t="inlineStr">
        <is>
          <t>Profit for the Year</t>
        </is>
      </c>
      <c r="B8" s="19" t="n">
        <v>-19494</v>
      </c>
      <c r="C8" s="19" t="n">
        <v>-21718</v>
      </c>
    </row>
    <row r="9">
      <c r="A9" s="4" t="inlineStr">
        <is>
          <t>Total Assets</t>
        </is>
      </c>
      <c r="B9" s="19" t="n">
        <v>394962</v>
      </c>
      <c r="C9" s="19" t="n">
        <v>449775</v>
      </c>
    </row>
    <row r="10">
      <c r="A10" s="4" t="inlineStr">
        <is>
          <t>Total Equity</t>
        </is>
      </c>
      <c r="B10" s="19" t="n">
        <v>224586</v>
      </c>
      <c r="C10" s="19" t="n">
        <v>290190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29"/>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20" t="inlineStr">
        <is>
          <t>high</t>
        </is>
      </c>
      <c r="D4" s="11" t="inlineStr">
        <is>
          <t>fair value hierarchy</t>
        </is>
      </c>
      <c r="E4" s="11" t="inlineStr">
        <is>
          <t>PDF p.190 (印刷頁 189)</t>
        </is>
      </c>
      <c r="F4" s="11" t="inlineStr">
        <is>
          <t>AL RISK MANAGEMENT (Continued) 3. 財務風險管理（續） 3.5 Fair value estimation 3.5 公平值估計 (a) Financial assets and liabilities (a) 金融資產及負債 (i) Fair value hierarchy (i) 公平值層級架構 This section explains the judgements and 本節闡述釐定金融工具 estimates made in determining the fair 公平值所作出的判斷及 values of the financial instruments that 估計，該等金融工具於 are recognised and measured at fair value 財務報表中按公平值確 in the financial statements. To provide an 認並計量。為得出釐定 indication about the reliability of the 公平值所用輸入數據的 inputs used in determining fair value, the 可信程度指標，本集團 G</t>
        </is>
      </c>
    </row>
    <row r="5">
      <c r="A5" s="8" t="inlineStr">
        <is>
          <t>Fair Value Measurement</t>
        </is>
      </c>
      <c r="B5" s="8" t="inlineStr">
        <is>
          <t>公允價值計量</t>
        </is>
      </c>
      <c r="C5" s="20" t="inlineStr">
        <is>
          <t>high</t>
        </is>
      </c>
      <c r="D5" s="11" t="inlineStr">
        <is>
          <t>fair value hierarchy</t>
        </is>
      </c>
      <c r="E5" s="11" t="inlineStr">
        <is>
          <t>PDF p.191 (印刷頁 190)</t>
        </is>
      </c>
      <c r="F5" s="11" t="inlineStr">
        <is>
          <t>3. 財務風險管理（續） 3.5 Fair value estimation (Continued) 3.5 公平值估計（續） (a) Financial assets and liabilities (Continued) (a) 金融資產及負債（續） (i) Fair value hierarchy (Continued) (i) 公平值層級架構（續） For assets and liabilities that are 就經常於財務報表確認 recognised in the financial statements on 的資產及負債而言，本 a recurring basis, the Group determines 集團於各報告期末根據 whether transfers have occurred between 與整體公平值計量而言 levels in the hierarchy by reassessing 屬重大的最低層輸入數 categorisation (based on the lowest level 據重新評估分類，釐定 input that is significant to the fair value 是否存</t>
        </is>
      </c>
    </row>
    <row r="6">
      <c r="A6" s="8" t="inlineStr">
        <is>
          <t>Fair Value Measurement</t>
        </is>
      </c>
      <c r="B6" s="8" t="inlineStr">
        <is>
          <t>公允價值計量</t>
        </is>
      </c>
      <c r="C6" s="20" t="inlineStr">
        <is>
          <t>high</t>
        </is>
      </c>
      <c r="D6" s="11" t="inlineStr">
        <is>
          <t>fair value hierarchy</t>
        </is>
      </c>
      <c r="E6" s="11" t="inlineStr">
        <is>
          <t>PDF p.192 (印刷頁 191)</t>
        </is>
      </c>
      <c r="F6" s="11" t="inlineStr">
        <is>
          <t>3. 財務風險管理（續） 3.5 Fair value estimation (Continued) 3.5 公平值估計（續） (a) Financial assets and liabilities (Continued) (a) 金融資產及負債（續） (i) Fair value hierarchy (Continued) (i) 公平值層級架構（續） Specific valuation techniques used to 用以估值金融工具的特 value financial instrument include: 定估值技術包括： As at 31 March 2025, the fair value of 於2025年3月31日，認沽 the put option is calculated by Black- 期權的公平值乃使用布 S c h o l e s M o d e l . T h e s i g n i f i c a n t 萊克－舒爾斯模型計 unobservable inputs include risk-free 算。重大不可觀察輸入 interest rate and discount rate for the f</t>
        </is>
      </c>
    </row>
    <row r="7">
      <c r="A7" s="8" t="inlineStr">
        <is>
          <t>Fair Value Measurement</t>
        </is>
      </c>
      <c r="B7" s="8" t="inlineStr">
        <is>
          <t>公允價值計量</t>
        </is>
      </c>
      <c r="C7" s="20" t="inlineStr">
        <is>
          <t>high</t>
        </is>
      </c>
      <c r="D7" s="11" t="inlineStr">
        <is>
          <t>fair value hierarchy</t>
        </is>
      </c>
      <c r="E7" s="11" t="inlineStr">
        <is>
          <t>PDF p.193 (印刷頁 192)</t>
        </is>
      </c>
      <c r="F7" s="11" t="inlineStr">
        <is>
          <t>3. 財務風險管理（續） 3.5 Fair value estimation (Continued) 3.5 公平值估計（續） (a) Financial assets and liabilities (Continued) (a) 金融資產及負債（續） (i) Fair value hierarchy (Continued) (i) 公平值層級架構（續） Sensitivity analysis of observable and 可觀察及不可觀察輸入 unobservable inputs 數據敏感度分析 As described, the fair values of financial 如上文所述，分類為第3 asset that is classified in level 3 of the fair 層公平值層級之金融資 value hierarchy are determined using 產公平值乃使用並非依 valuation techniques that make use of 據可觀察市場數據之重 significant inputs that are not based on 大輸入數據之估值法釐 observable</t>
        </is>
      </c>
    </row>
    <row r="8">
      <c r="A8" s="8" t="inlineStr">
        <is>
          <t>Impairment Testing</t>
        </is>
      </c>
      <c r="B8" s="8" t="inlineStr">
        <is>
          <t>減值測試</t>
        </is>
      </c>
      <c r="C8" s="20" t="inlineStr">
        <is>
          <t>high</t>
        </is>
      </c>
      <c r="D8" s="11" t="inlineStr">
        <is>
          <t>impairment loss</t>
        </is>
      </c>
      <c r="E8" s="11" t="inlineStr">
        <is>
          <t>PDF p.129 (印刷頁 128)</t>
        </is>
      </c>
      <c r="F8" s="11" t="inlineStr">
        <is>
          <t>ancial assets 654 (1,662) Selling and distribution expenses 銷售及分銷開支 (21,794) (23,572) Administrative expenses 行政開支 (39,985) (39,904) Impairment loss on non-financial assets 非金融資產減值虧損 (108) (4,265) Operating loss 經營虧損 (19,966) (15,225) Finance income 財務收入 10 157 700 Finance costs 財務成本 10 (630) (1,762) Finance costs, net 財務成本淨額 10 (473) (1,062) Share of result on 應佔使用權益會計法列 investment accounted for 賬之投資業績 using the equity method 19 (151) (953) Impairment loss on investment 使用權益會計法列賬之 accounted for using the equity 投資的減值虧損 method</t>
        </is>
      </c>
    </row>
    <row r="9">
      <c r="A9" s="8" t="inlineStr">
        <is>
          <t>Impairment Testing</t>
        </is>
      </c>
      <c r="B9" s="8" t="inlineStr">
        <is>
          <t>減值測試</t>
        </is>
      </c>
      <c r="C9" s="20" t="inlineStr">
        <is>
          <t>high</t>
        </is>
      </c>
      <c r="D9" s="11" t="inlineStr">
        <is>
          <t>impairment loss</t>
        </is>
      </c>
      <c r="E9" s="11" t="inlineStr">
        <is>
          <t>PDF p.142 (印刷頁 141)</t>
        </is>
      </c>
      <c r="F9" s="11" t="inlineStr">
        <is>
          <t>及公平值 amount (higher of value in use and fair value 減出售成本兩者之較高者）與 less costs of disposal) with its carrying amount. 其賬面值進行減值測試。任何 Any impairment loss recognised is not allocated 已確認減值虧損不會分配至構 to any asset, including goodwill, that forms 成投資賬面值一部分之任何資 part of the carrying amount of the investment. 產（包括商譽）。倘投資之可收 Any reversal of that impairment loss is 回金額其後增加，該減值虧損 recognised in accordance with HKAS 36 to the 之任何撥回會按照香港會計準 extent that the recoverable amount of the 則第36號確認。 investment subsequently increases. 二零二六年年度報告 上善黃金國際控股有限公司</t>
        </is>
      </c>
    </row>
    <row r="10">
      <c r="A10" s="8" t="inlineStr">
        <is>
          <t>Impairment Testing</t>
        </is>
      </c>
      <c r="B10" s="8" t="inlineStr">
        <is>
          <t>減值測試</t>
        </is>
      </c>
      <c r="C10" s="20" t="inlineStr">
        <is>
          <t>high</t>
        </is>
      </c>
      <c r="D10" s="11" t="inlineStr">
        <is>
          <t>impairment loss</t>
        </is>
      </c>
      <c r="E10" s="11" t="inlineStr">
        <is>
          <t>PDF p.147 (印刷頁 146)</t>
        </is>
      </c>
      <c r="F10" s="11" t="inlineStr">
        <is>
          <t>ment, other than freehold 物業、廠房及設備（永久業權土地除 land, are stated at historical cost less accumulated 外）是按歷史成本減累計折舊和任 depreciation and any impairment losses. Historical 何減值虧損列賬。歷史成本包括收 cost includes expenditure that is directly attributable 購項目直接引致的開支。 to the acquisition of the items. Subsequent costs are included in the asset’s carrying 僅當與項目相關的未來經濟利益很 amount or recognised as a separate asset, as 可能會流入本集團，且能夠可靠計 appropriate, only when it is probable that future 量項目的成本時，其後成本方會計 economic benefits associated with the item will flow 入資產</t>
        </is>
      </c>
    </row>
    <row r="11">
      <c r="A11" s="8" t="inlineStr">
        <is>
          <t>Impairment Testing</t>
        </is>
      </c>
      <c r="B11" s="8" t="inlineStr">
        <is>
          <t>減值測試</t>
        </is>
      </c>
      <c r="C11" s="20" t="inlineStr">
        <is>
          <t>high</t>
        </is>
      </c>
      <c r="D11" s="11" t="inlineStr">
        <is>
          <t>impairment test</t>
        </is>
      </c>
      <c r="E11" s="11" t="inlineStr">
        <is>
          <t>PDF p.148 (印刷頁 147)</t>
        </is>
      </c>
      <c r="F11" s="11" t="inlineStr">
        <is>
          <t>及減值虧損列賬。 2.8 Impairment of non-financial assets 2.8 非金融資產減值 Where an indication of impairment exists, or when 除存貨及金融資產外，當有減值跡 annual impairment testing for non-financial asset is 象或須對非金融資產進行年度減值 required (other than inventories and financial assets), 測試時，會估計資產之可收回金 the asset’s recoverable amount is estimated. An 額。資產之可收回金額指資產或現 asset’s recoverable amount is the higher of the 金產生單位之使用價值與其已扣除 asset’s or cash-generating unit’s value in use and its 出售成本之公平值兩者中之較高 fair value less costs of disposal, and is determined 者，並會為個別資產釐定，除非該</t>
        </is>
      </c>
    </row>
    <row r="12">
      <c r="A12" s="8" t="inlineStr">
        <is>
          <t>Impairment Testing</t>
        </is>
      </c>
      <c r="B12" s="8" t="inlineStr">
        <is>
          <t>減值測試</t>
        </is>
      </c>
      <c r="C12" s="20" t="inlineStr">
        <is>
          <t>high</t>
        </is>
      </c>
      <c r="D12" s="11" t="inlineStr">
        <is>
          <t>impairment loss</t>
        </is>
      </c>
      <c r="E12" s="11" t="inlineStr">
        <is>
          <t>PDF p.149 (印刷頁 148)</t>
        </is>
      </c>
      <c r="F12" s="11" t="inlineStr">
        <is>
          <t>配至個別現金產生單 on a reasonable and consistent basis or, otherwise, 位，否則分配至最小現金產生單位 to the smallest group of cash-generating units. 組別。 An impairment loss is recognised only if the carrying 僅當資產之賬面值超逾其可收回金 amount of an asset exceeds its recoverable amount. 額時方會確認減值虧損。評估使用 In assessing value in use, the estimated future cash 價值時，估計未來現金流量以反映 flows are discounted to their present value using a 當前市場評定之貨幣時間價值以及 pre-tax discount rate that reflects current market 資產特有風險之稅前貼現率貼現至 assessments of the time value of money and the 其現值。減值虧損於產生期間在合</t>
        </is>
      </c>
    </row>
    <row r="13">
      <c r="A13" s="8" t="inlineStr">
        <is>
          <t>Impairment Testing</t>
        </is>
      </c>
      <c r="B13" s="8" t="inlineStr">
        <is>
          <t>減值測試</t>
        </is>
      </c>
      <c r="C13" s="20" t="inlineStr">
        <is>
          <t>high</t>
        </is>
      </c>
      <c r="D13" s="11" t="inlineStr">
        <is>
          <t>impairment loss</t>
        </is>
      </c>
      <c r="E13" s="11" t="inlineStr">
        <is>
          <t>PDF p.175 (印刷頁 174)</t>
        </is>
      </c>
      <c r="F13" s="11" t="inlineStr">
        <is>
          <t>available for use). Right-of-use 使用權資產按成本減任何累計折舊 assets are measured at cost, less any accumulated 及減值虧損計量，並就任何重新計 depreciation and impairment losses, and adjusted for 量租賃負債作出調整。 any remeasurement of lease liabilities. Right-of-use assets in which the Group is reasonably 本集團合理確定能於租期屆滿時獲 certain to obtain ownership of the underlying leased 得相關租賃資產所有權的使用權資 assets at the end of the lease term is depreciated 產於開始日期至可使用年期屆滿期 from commencement date to the end of the useful 間折舊。否則，使用權資產根據估 life. Otherwise, right-of-use assets are dep</t>
        </is>
      </c>
    </row>
    <row r="14">
      <c r="A14" s="8" t="inlineStr">
        <is>
          <t>Impairment Testing</t>
        </is>
      </c>
      <c r="B14" s="8" t="inlineStr">
        <is>
          <t>減值測試</t>
        </is>
      </c>
      <c r="C14" s="20" t="inlineStr">
        <is>
          <t>high</t>
        </is>
      </c>
      <c r="D14" s="11" t="inlineStr">
        <is>
          <t>impairment loss</t>
        </is>
      </c>
      <c r="E14" s="11" t="inlineStr">
        <is>
          <t>PDF p.197 (印刷頁 196)</t>
        </is>
      </c>
      <c r="F14" s="11" t="inlineStr">
        <is>
          <t>on 撥備撥回╱（計提） financial assets 659 — (5) 654 Selling and distribution 銷售及分銷開支 expenses (21,794) Administrative expenses 行政開支 (39,985) Impairment loss on 非金融資產減值虧損 non-financial assets (108) Operating loss 經營虧損 (19,966) Finance costs, net 財務成本淨額 (473) Share of result on 應佔使用權益會計法 investment accounted 列賬之投資業績 for using the equity method (151) Impairment loss on 使用權益會計法列賬之 investment accounted 投資的減值虧損 for using the equity method (412) Loss before income tax 除所得稅前虧損 (21,002) Income tax expense 所得稅開支 (716) Loss for the year 年度虧損 (21,</t>
        </is>
      </c>
    </row>
    <row r="15">
      <c r="A15" s="8" t="inlineStr">
        <is>
          <t>Impairment Testing</t>
        </is>
      </c>
      <c r="B15" s="8" t="inlineStr">
        <is>
          <t>減值測試</t>
        </is>
      </c>
      <c r="C15" s="20" t="inlineStr">
        <is>
          <t>high</t>
        </is>
      </c>
      <c r="D15" s="11" t="inlineStr">
        <is>
          <t>impairment loss</t>
        </is>
      </c>
      <c r="E15" s="11" t="inlineStr">
        <is>
          <t>PDF p.198 (印刷頁 197)</t>
        </is>
      </c>
      <c r="F15" s="11" t="inlineStr">
        <is>
          <t>on financial assets 撥備計提 (1,662) — (1,662) Selling and distribution expenses 銷售及分銷開支 (23,572) Administrative expenses 行政開支 (39,904) Impairment loss on non-financial 非金融資產減值虧損 assets (4,265) Operating loss 經營虧損 (15,225) Finance costs, net 財務成本淨額 (1,062) Share of result on investment 應佔使用權益會計法列賬之 accounted for using the equity 投資業績 method (953) Impairment loss on investment 使用權益會計法列賬之 accounted for using the equity 投資的減值虧損 method (3,122) Loss before income tax 除所得稅前虧損 (20,362) Income tax credit 所得稅抵免 868 Loss for the year 年度虧損 (</t>
        </is>
      </c>
    </row>
    <row r="16">
      <c r="A16" s="8" t="inlineStr">
        <is>
          <t>Impairment Testing</t>
        </is>
      </c>
      <c r="B16" s="8" t="inlineStr">
        <is>
          <t>減值測試</t>
        </is>
      </c>
      <c r="C16" s="20" t="inlineStr">
        <is>
          <t>high</t>
        </is>
      </c>
      <c r="D16" s="11" t="inlineStr">
        <is>
          <t>impairment loss</t>
        </is>
      </c>
      <c r="E16" s="11" t="inlineStr">
        <is>
          <t>PDF p.202 (印刷頁 201)</t>
        </is>
      </c>
      <c r="F16" s="11" t="inlineStr">
        <is>
          <t>wance 金融資產預期信貸虧損 for ECL on financial assets 撥備（撥回）╱計提 — Trade receivables — 貿易應收款項 (682) 1,693 — Other receivables — 其他應收款項 28 (31) Impairment loss on non-financial assets 非金融資產減值虧損 — Property, plant and equipment — 物業、廠房及設備 — 2,011 — Right-of-use assets — 使用權資產 108 2,254 Write-down of inventories (note) 存貨撇減（附註） 4,806 — Auditor’s remuneration 核數師薪酬 — Audit services — 審計服務 1,400 1,400 — Non-audit services — 非審計服務 200 — note: 附註： The write-down of inventories is included in cost of sales of 存貨撇減已計入貨品銷售成本內。 goods. 二零二六年年度報告 上善黃金</t>
        </is>
      </c>
    </row>
    <row r="17">
      <c r="A17" s="8" t="inlineStr">
        <is>
          <t>Impairment Testing</t>
        </is>
      </c>
      <c r="B17" s="8" t="inlineStr">
        <is>
          <t>減值測試</t>
        </is>
      </c>
      <c r="C17" s="20" t="inlineStr">
        <is>
          <t>high</t>
        </is>
      </c>
      <c r="D17" s="11" t="inlineStr">
        <is>
          <t>impairment loss</t>
        </is>
      </c>
      <c r="E17" s="11" t="inlineStr">
        <is>
          <t>PDF p.210 (印刷頁 209)</t>
        </is>
      </c>
      <c r="F17" s="11" t="inlineStr">
        <is>
          <t>pairment At 1 April 2024 於2024年4月1日 — 1,611 7,455 2,305 1,774 13,145 Depreciation charge for the year 年度折舊支出 — 137 1,100 667 — 1,904 Impairment loss for the year 年度減值虧損 — — 1,300 711 — 2,011 Written-off 撇銷 — (23) (32) (47) — (102) Exchange realignment 匯兌調整 — 7 8 5 3 23 At 31 March 2025 and 於2025年3月31日及 1 April 2025 2025年4月1日 — 1,732 9,831 3,641 1,777 16,981 Depreciation charge for the year 年度折舊支出 — 180 129 117 — 426 Exchange realignment 匯兌調整 — (104) (118) (64) (54) (340) At 31 March 2026 於2026年3月31日 — 1,808 9,842 3,694 1,723 17</t>
        </is>
      </c>
    </row>
    <row r="18">
      <c r="A18" s="8" t="inlineStr">
        <is>
          <t>Impairment Testing</t>
        </is>
      </c>
      <c r="B18" s="8" t="inlineStr">
        <is>
          <t>減值測試</t>
        </is>
      </c>
      <c r="C18" s="20" t="inlineStr">
        <is>
          <t>high</t>
        </is>
      </c>
      <c r="D18" s="11" t="inlineStr">
        <is>
          <t>impairment loss</t>
        </is>
      </c>
      <c r="E18" s="11" t="inlineStr">
        <is>
          <t>PDF p.211 (印刷頁 210)</t>
        </is>
      </c>
      <c r="F18" s="11" t="inlineStr">
        <is>
          <t>risks relating to the auction and related segment. Based on the value in use calculation and the allocation, 根據使用價值計算及分配，截至2026年 an impairment loss of approximately HK$108,000 was 3月31日止年度，已就使用權資產確認減 recognised in right-of-use assets during the year ended 31 值虧損約108,000港元（2025年：分別就 March 2026 (2025: HK$2,011,000 and HK$2,284,000 was 物業、廠房及設備以及使用權資產確認 recognised in respect of property, plant and equipment 2,011,000港元及2,284,000港元）。 and right-of-use assets, respectively). 210 SHANGSHAN GOLD INTERNATIONAL HOLDINGS LIMITED Annual R</t>
        </is>
      </c>
    </row>
    <row r="19">
      <c r="A19" s="8" t="inlineStr">
        <is>
          <t>Impairment Testing</t>
        </is>
      </c>
      <c r="B19" s="8" t="inlineStr">
        <is>
          <t>減值測試</t>
        </is>
      </c>
      <c r="C19" s="20" t="inlineStr">
        <is>
          <t>high</t>
        </is>
      </c>
      <c r="D19" s="11" t="inlineStr">
        <is>
          <t>impairment loss</t>
        </is>
      </c>
      <c r="E19" s="11" t="inlineStr">
        <is>
          <t>PDF p.213 (印刷頁 212)</t>
        </is>
      </c>
      <c r="F19" s="11" t="inlineStr">
        <is>
          <t>preciation and 累計折舊及減值 impairment At 1 April 2024 於2024年4月1日 776 1,750 2,526 Depreciation charge for the year 年度折舊支出 261 3,758 4,019 Impairment loss for the year 年度減值虧損 — 2,254 2,254 Elimination 對銷 (448) — (448) Exchange realignment 匯兌調整 5 9 14 At 31 March 2025 and 於2025年3月31日及 1 April 2025 2025年4月1日 594 7,771 8,365 Depreciation charge for the year 年度折舊支出 264 4,812 5,076 Impairment loss for the year 年度減值虧損 — 108 108 Elimination 對銷 — (1,098) (1,098) Exchange realignment 匯兌調整 (47) (98) (145) At 31 March 2026 於2026年3月31日 811 11,49</t>
        </is>
      </c>
    </row>
    <row r="20">
      <c r="A20" s="8" t="inlineStr">
        <is>
          <t>Impairment Testing</t>
        </is>
      </c>
      <c r="B20" s="8" t="inlineStr">
        <is>
          <t>減值測試</t>
        </is>
      </c>
      <c r="C20" s="20" t="inlineStr">
        <is>
          <t>high</t>
        </is>
      </c>
      <c r="D20" s="11" t="inlineStr">
        <is>
          <t>CGU</t>
        </is>
      </c>
      <c r="E20" s="11" t="inlineStr">
        <is>
          <t>PDF p.216 (印刷頁 215)</t>
        </is>
      </c>
      <c r="F20" s="11" t="inlineStr">
        <is>
          <t>ion Taiwan Investment holding Paid-in capital of TWD1,000,000 100% — 100% — Company Limited 東京中央台灣拍賣股份有限公司 台灣 投資控股 實繳資本新台幣1,000,000元 CGU Enterprises Limited Hong Kong Provision of money lending Paid-in capital of HK$10,000 100% — 100% — 香港 提供放債 實繳資本10,000港元 Hong Kong Shangshan Hong Kong Operation of gold and gold related business Paid-in capital of USD10,000 100% — — — Technology Development Co., Limited 香港上善科技發展有限公司 香港 黃金及黃金相關業務經營 實繳資本10,000美元 Note: 附註： (i) These subsidiaries principally operate in their places of (i) 該等附屬公司主要</t>
        </is>
      </c>
    </row>
    <row r="21">
      <c r="A21" s="8" t="inlineStr">
        <is>
          <t>Impairment Testing</t>
        </is>
      </c>
      <c r="B21" s="8" t="inlineStr">
        <is>
          <t>減值測試</t>
        </is>
      </c>
      <c r="C21" s="20" t="inlineStr">
        <is>
          <t>high</t>
        </is>
      </c>
      <c r="D21" s="11" t="inlineStr">
        <is>
          <t>impairment loss</t>
        </is>
      </c>
      <c r="E21" s="11" t="inlineStr">
        <is>
          <t>PDF p.217 (印刷頁 216)</t>
        </is>
      </c>
      <c r="F21" s="11" t="inlineStr">
        <is>
          <t>年 2025年 HK$’000 HK$’000 千港元 千港元 At the beginning of the year 年初 575 5,010 Share of result from an associate 應佔一間聯營公司的 業績 (151) (953) Impairment loss 減值虧損 (412) (3,122) Exchange realignment 匯兌調整 (12) (360) At the end of the year 年末 — 575 Investment in an associate 於一間聯營公司的投資 On 1 April 2019, the Company entered into a non-legally 於2019年4月1日，本公司與獨立第三方 binding memorandum of understanding with an 訂立無法律約束力的諒解備忘錄，內容 independent third party in relation to the proposed 有關本集團擬收購一間台灣拍賣行沐春 acquisition by the Group of 34% of the entire iss</t>
        </is>
      </c>
    </row>
    <row r="22">
      <c r="A22" s="8" t="inlineStr">
        <is>
          <t>Impairment Testing</t>
        </is>
      </c>
      <c r="B22" s="8" t="inlineStr">
        <is>
          <t>減值測試</t>
        </is>
      </c>
      <c r="C22" s="20" t="inlineStr">
        <is>
          <t>high</t>
        </is>
      </c>
      <c r="D22" s="11" t="inlineStr">
        <is>
          <t>impairment loss</t>
        </is>
      </c>
      <c r="E22" s="11" t="inlineStr">
        <is>
          <t>PDF p.219 (印刷頁 218)</t>
        </is>
      </c>
      <c r="F22" s="11" t="inlineStr">
        <is>
          <t>nterest in associate (34%) 於聯營公司之 權益(34%) 1,387 1,428 Fair value adjustment upon acquisition, 收購後公平值調整 net of tax （扣除稅項） 4,431 4,224 Impairment loss 減值虧損 (5,752) (5,090) Exchange realignment 匯兌調整 (66) 13 Carrying value 賬面值 — 575 218 SHANGSHAN GOLD INTERNATIONAL HOLDINGS LIMITED Annual Report 2026</t>
        </is>
      </c>
    </row>
    <row r="23">
      <c r="A23" s="8" t="inlineStr">
        <is>
          <t>Impairment Testing</t>
        </is>
      </c>
      <c r="B23" s="8" t="inlineStr">
        <is>
          <t>減值測試</t>
        </is>
      </c>
      <c r="C23" s="20" t="inlineStr">
        <is>
          <t>high</t>
        </is>
      </c>
      <c r="D23" s="11" t="inlineStr">
        <is>
          <t>recoverable amount</t>
        </is>
      </c>
      <c r="E23" s="11" t="inlineStr">
        <is>
          <t>PDF p.220 (印刷頁 219)</t>
        </is>
      </c>
      <c r="F23" s="11" t="inlineStr">
        <is>
          <t>in the Group’s consolidated 司經營所在的市場的不利變動，因此於 statement of profit or loss on the basis of material decline 本集團的合併損益表內確認於一間聯營 in the recoverable amount which was below the carrying 公司的投資減值虧損約3,122,000港元。 amount and adverse changes in the market in which the associate operated. For the year ended 31 March 2025, the recoverable 截至2025年3月31日止年度，於一間聯營 amount of investment in an associate has been 公司的投資的可收回金額乃按使用價值 determined based on a value in use calculation which 計算釐定，有關計算運用基於獲本集團 uses cash flow projection based on financial bud</t>
        </is>
      </c>
    </row>
    <row r="24">
      <c r="A24" s="8" t="inlineStr">
        <is>
          <t>Impairment Testing</t>
        </is>
      </c>
      <c r="B24" s="8" t="inlineStr">
        <is>
          <t>減值測試</t>
        </is>
      </c>
      <c r="C24" s="20" t="inlineStr">
        <is>
          <t>high</t>
        </is>
      </c>
      <c r="D24" s="11" t="inlineStr">
        <is>
          <t>impairment loss</t>
        </is>
      </c>
      <c r="E24" s="11" t="inlineStr">
        <is>
          <t>PDF p.239 (印刷頁 238)</t>
        </is>
      </c>
      <c r="F24" s="11" t="inlineStr">
        <is>
          <t>expenses — 利息開支 630 1,762 — (Reversal of)/provision for — 金融資產預期信貸 allowance for 虧損撥備 ECL on financial assets （撥回）╱計提 (654) 1,662 — Impairment loss on investment — 使用權益會計法列賬 accounted for using the equity 之投資的減值虧損 method 412 3,122 — Impairment loss on non-financial — 非金融資產減值虧損 assets 108 4,265 — Equity-settled share-based — 以權益結算的股份 payment 基礎付款 2,744 5,351 — Write-down of inventories — 存貨撇銷 4,806 — Operating cash flows before 營運資金變動前之經營 movement on working capital 現金流量 (4,956) (2,492) Changes in working capital: 營運資金變動： — Inc</t>
        </is>
      </c>
    </row>
    <row r="25">
      <c r="A25" s="8" t="inlineStr">
        <is>
          <t>Intangible Assets &amp; Goodwill</t>
        </is>
      </c>
      <c r="B25" s="8" t="inlineStr">
        <is>
          <t>無形資產及商譽</t>
        </is>
      </c>
      <c r="C25" s="20" t="inlineStr">
        <is>
          <t>high</t>
        </is>
      </c>
      <c r="D25" s="11" t="inlineStr">
        <is>
          <t>brand name</t>
        </is>
      </c>
      <c r="E25" s="11" t="inlineStr">
        <is>
          <t>PDF p.6 (印刷頁 5)</t>
        </is>
      </c>
      <c r="F25" s="11" t="inlineStr">
        <is>
          <t>知名度及競爭力。作為一間能夠探索及推廣 have successfully gained recognition from our customers and 每件藝術品歷史文化意義及商業價值的拍賣 established our market position, brand name and 行，我們深感自豪。 competitiveness. We take pride in being an auction house with the ability to explore and introduce the historical and cultural significance as well as the commercial value of each artwork. 二零二六年年度報告 上善黃金國際控股有限公司 5</t>
        </is>
      </c>
    </row>
    <row r="26">
      <c r="A26" s="8" t="inlineStr">
        <is>
          <t>Intangible Assets &amp; Goodwill</t>
        </is>
      </c>
      <c r="B26" s="8" t="inlineStr">
        <is>
          <t>無形資產及商譽</t>
        </is>
      </c>
      <c r="C26" s="20" t="inlineStr">
        <is>
          <t>high</t>
        </is>
      </c>
      <c r="D26" s="11" t="inlineStr">
        <is>
          <t>intangible asset</t>
        </is>
      </c>
      <c r="E26" s="11" t="inlineStr">
        <is>
          <t>PDF p.131 (印刷頁 130)</t>
        </is>
      </c>
      <c r="F26" s="11" t="inlineStr">
        <is>
          <t>港元 Assets 資產 Non-current assets 非流動資產 Property, plant and equipment 物業、廠房及設備 15 4,297 4,548 Right-of-use assets 使用權資產 16 4,612 3,701 Intangible assets 無形資產 17 468 1,248 Investment accounted for 使用權益會計法列賬 using the equity method 之投資 19 — 575 Deferred income tax assets 遞延所得稅資產 21 1,876 1,911 Deposits and prepayments 按金及預付款項 24 1,784 1,588 13,037 13,571 Current assets 流動資產 Inventories 存貨 22 132,449 132,347 Trade and other receivables 貿易及其他應收款項 23 164,649 145,435 Deposits and prepayments 按金及預付款項 24 39,383 15,190 Financial asset at</t>
        </is>
      </c>
    </row>
    <row r="27">
      <c r="A27" s="8" t="inlineStr">
        <is>
          <t>Intangible Assets &amp; Goodwill</t>
        </is>
      </c>
      <c r="B27" s="8" t="inlineStr">
        <is>
          <t>無形資產及商譽</t>
        </is>
      </c>
      <c r="C27" s="20" t="inlineStr">
        <is>
          <t>high</t>
        </is>
      </c>
      <c r="D27" s="11" t="inlineStr">
        <is>
          <t>goodwill</t>
        </is>
      </c>
      <c r="E27" s="11" t="inlineStr">
        <is>
          <t>PDF p.142 (印刷頁 141)</t>
        </is>
      </c>
      <c r="F27" s="11" t="inlineStr">
        <is>
          <t>share of the net fair value of the 資產及負債之公平值淨額之任 identifiable assets and liabilities of the investee 何數額確認為商譽，並計入該 is recognised as goodwill, which is included 投資之賬面值。本集團應佔可 within the carrying amount of the investment. 識別資產及負債的公平值淨額 Any excess of the Group’s share of the net fair 超出投資成本之任何部分，在 value of the identifiable assets and liabilities 重新評估後，即時於收購投資 over the cost of the investment, after 期間於損益內確認。 reassessment, is recognised immediately in profit or loss in the period in which the investment is acquired. The Group asses</t>
        </is>
      </c>
    </row>
    <row r="28">
      <c r="A28" s="8" t="inlineStr">
        <is>
          <t>Intangible Assets &amp; Goodwill</t>
        </is>
      </c>
      <c r="B28" s="8" t="inlineStr">
        <is>
          <t>無形資產及商譽</t>
        </is>
      </c>
      <c r="C28" s="20" t="inlineStr">
        <is>
          <t>high</t>
        </is>
      </c>
      <c r="D28" s="11" t="inlineStr">
        <is>
          <t>goodwill</t>
        </is>
      </c>
      <c r="E28" s="11" t="inlineStr">
        <is>
          <t>PDF p.146 (印刷頁 145)</t>
        </is>
      </c>
      <c r="F28" s="11" t="inlineStr">
        <is>
          <t>sactions); and (iii) all resulting exchange differences are (iii) 所有因此而產生的匯兌 recognised in other comprehensive 差額於其他綜合收益確 income. 認。 Goodwill and fair value adjustments arising on 購入外國實體所產生的商譽及 the acquisition of a foreign entity are treated 公平值調整，乃作為該外國實 as assets and liabilities of the foreign entity and 體的資產及負債處理，並按收 translated at the closing rate. Exchange 盤匯率換算。所產生的匯兌差 differences arising are recognised in other 額於其他綜合收益中確認。 comprehensive income. 二零二六年年度報告 上善黃金國際控股有限公司 145</t>
        </is>
      </c>
    </row>
    <row r="29">
      <c r="A29" s="8" t="inlineStr">
        <is>
          <t>Intangible Assets &amp; Goodwill</t>
        </is>
      </c>
      <c r="B29" s="8" t="inlineStr">
        <is>
          <t>無形資產及商譽</t>
        </is>
      </c>
      <c r="C29" s="20" t="inlineStr">
        <is>
          <t>high</t>
        </is>
      </c>
      <c r="D29" s="11" t="inlineStr">
        <is>
          <t>useful life</t>
        </is>
      </c>
      <c r="E29" s="11" t="inlineStr">
        <is>
          <t>PDF p.147 (印刷頁 146)</t>
        </is>
      </c>
      <c r="F29" s="11" t="inlineStr">
        <is>
          <t>mated useful lives, as 價值，計算如下： follows: Buildings 2%–4% 樓宇 2%至4% Leasehold improvements Shorter of remaining period of the lease or useful life of 5 years 租賃物業裝修 租賃的餘下期限或5年的可使用年期 （以較短者為準） Furniture, fixtures and office equipment 20% 傢俬、固定裝置及辦公室設備 20% Motor vehicles 20% 汽車 20% The assets’ residual values and useful lives are 資產之剩餘價值及可使用年期於各 reviewed, and adjusted if appropriate, at the end of 報告期末進行檢討及調整（如適 each reporting period. 用）。 146 SHANGSHAN GOLD INTERNATIONAL HOLDINGS LIMITED Annual Report 2026</t>
        </is>
      </c>
    </row>
    <row r="30">
      <c r="A30" s="8" t="inlineStr">
        <is>
          <t>Intangible Assets &amp; Goodwill</t>
        </is>
      </c>
      <c r="B30" s="8" t="inlineStr">
        <is>
          <t>無形資產及商譽</t>
        </is>
      </c>
      <c r="C30" s="20" t="inlineStr">
        <is>
          <t>high</t>
        </is>
      </c>
      <c r="D30" s="11" t="inlineStr">
        <is>
          <t>intangible asset</t>
        </is>
      </c>
      <c r="E30" s="11" t="inlineStr">
        <is>
          <t>PDF p.148 (印刷頁 147)</t>
        </is>
      </c>
      <c r="F30" s="11" t="inlineStr">
        <is>
          <t>gains or losses, net” in the 及其他綜合收益表的「其他收益或 consolidated statements of profit or loss and other 虧損淨額」內確認。 comprehensive income. 2.7 Intangible assets 2.7 無形資產 (a) Computer software (a) 電腦軟件 Computer software purchased from vendors are 購自賣方的電腦軟件初步以歷 initially shown at historical cost and 史成本列示並隨後按其估計可 subsequently amortised over their estimated 使用年期攤銷，該年期不會超 useful lives, which does not exceed five years. 過五年。 (b) Club membership (b) 俱樂部會籍 Club membership is amortised over its useful 俱樂部會籍按其20年的可使用 life of 20 years and is state</t>
        </is>
      </c>
    </row>
    <row r="31">
      <c r="A31" s="8" t="inlineStr">
        <is>
          <t>Intangible Assets &amp; Goodwill</t>
        </is>
      </c>
      <c r="B31" s="8" t="inlineStr">
        <is>
          <t>無形資產及商譽</t>
        </is>
      </c>
      <c r="C31" s="20" t="inlineStr">
        <is>
          <t>high</t>
        </is>
      </c>
      <c r="D31" s="11" t="inlineStr">
        <is>
          <t>goodwill</t>
        </is>
      </c>
      <c r="E31" s="11" t="inlineStr">
        <is>
          <t>PDF p.149 (印刷頁 148)</t>
        </is>
      </c>
      <c r="F31" s="11" t="inlineStr">
        <is>
          <t>the recoverable amount is 估計方法改變時，方可撥回先前就 estimated. A previously recognised impairment loss 資產（商譽除外）確認之減值虧損， of an asset other than goodwill is reversed only if 惟撥回後之數額不得高於假設過往 there has been a change in the estimates used to 年度並無確認資產減值虧損而應予 determine the recoverable amount of that asset, but 釐定之賬面值（扣除任何折舊╱攤 not to an amount higher than the carrying amount 銷）。該減值虧損之撥回於產生期間 that would have been determined (net of any 計入合併損益及其他綜合收益表。 depreciation/amortisation) had no impairment loss been recognised for the asset in prior years.</t>
        </is>
      </c>
    </row>
    <row r="32">
      <c r="A32" s="8" t="inlineStr">
        <is>
          <t>Intangible Assets &amp; Goodwill</t>
        </is>
      </c>
      <c r="B32" s="8" t="inlineStr">
        <is>
          <t>無形資產及商譽</t>
        </is>
      </c>
      <c r="C32" s="20" t="inlineStr">
        <is>
          <t>high</t>
        </is>
      </c>
      <c r="D32" s="11" t="inlineStr">
        <is>
          <t>攤銷</t>
        </is>
      </c>
      <c r="E32" s="11" t="inlineStr">
        <is>
          <t>PDF p.150 (印刷頁 149)</t>
        </is>
      </c>
      <c r="F32" s="11" t="inlineStr">
        <is>
          <t>ofit or loss. The effective interest method is a method of 實際利率法乃計算金融資產或金融 calculating the amortised cost of a financial asset or 負債的攤銷成本及於相關期間分配 financial liability and of allocating interest income 利息收入及利息開支的方法。實際 and interest expense over the relevant period. The 利率乃按金融資產或金融負債的預 effective interest rate is the rate that exactly 期年期或較短期間（如適用），準確 discounts estimated future cash receipts and 貼現估計未來現金收款及付款（包 payments (including all fees and points paid or 括構成實際利率一部分的所有已付 received that form an integral part of the effective 或已收費用及</t>
        </is>
      </c>
    </row>
    <row r="33">
      <c r="A33" s="8" t="inlineStr">
        <is>
          <t>Intangible Assets &amp; Goodwill</t>
        </is>
      </c>
      <c r="B33" s="8" t="inlineStr">
        <is>
          <t>無形資產及商譽</t>
        </is>
      </c>
      <c r="C33" s="20" t="inlineStr">
        <is>
          <t>high</t>
        </is>
      </c>
      <c r="D33" s="11" t="inlineStr">
        <is>
          <t>攤銷</t>
        </is>
      </c>
      <c r="E33" s="11" t="inlineStr">
        <is>
          <t>PDF p.151 (印刷頁 150)</t>
        </is>
      </c>
      <c r="F33" s="11" t="inlineStr">
        <is>
          <t>nt of 金融資產的分類及其後計量 financial assets Financial assets that meet the following 符合下列條件的金融資產於其 conditions are subsequently measured at 後按攤銷成本計量： amortised cost: • the financial asset is held within a business • 金融資產於旨在收取合 model whose objective is to collect 約現金流量的業務模式 contractual cash flows; and 內持有；及 • the contractual terms give rise on specified • 合約條款令於特定日期 dates to cash flows that are solely 產生的現金流量僅為支 payments of principal and interest on the 付本金及未償還本金的 principal amount outstanding. 利息。 Financial assets that meet the following</t>
        </is>
      </c>
    </row>
    <row r="34">
      <c r="A34" s="8" t="inlineStr">
        <is>
          <t>Intangible Assets &amp; Goodwill</t>
        </is>
      </c>
      <c r="B34" s="8" t="inlineStr">
        <is>
          <t>無形資產及商譽</t>
        </is>
      </c>
      <c r="C34" s="20" t="inlineStr">
        <is>
          <t>high</t>
        </is>
      </c>
      <c r="D34" s="11" t="inlineStr">
        <is>
          <t>攤銷</t>
        </is>
      </c>
      <c r="E34" s="11" t="inlineStr">
        <is>
          <t>PDF p.152 (印刷頁 151)</t>
        </is>
      </c>
      <c r="F34" s="11" t="inlineStr">
        <is>
          <t>沖工具的衍生工具 instrument. 除外)。 In addition, the Group may irrevocably 此外，本集團可不可撤回地指 designate a financial asset that are required to 定一項須按攤銷成本或按公平 be measured at the amortised cost or FVTOCI 值計入其他綜合收益的金融資 as measured at FVTPL if doing so eliminates or 產按公平值計入損益計量，倘 significantly reduces an accounting mismatch. 有關指定可消除或大幅減少會 計錯配。 二零二六年年度報告 上善黃金國際控股有限公司 151</t>
        </is>
      </c>
    </row>
    <row r="35">
      <c r="A35" s="8" t="inlineStr">
        <is>
          <t>Intangible Assets &amp; Goodwill</t>
        </is>
      </c>
      <c r="B35" s="8" t="inlineStr">
        <is>
          <t>無形資產及商譽</t>
        </is>
      </c>
      <c r="C35" s="20" t="inlineStr">
        <is>
          <t>high</t>
        </is>
      </c>
      <c r="D35" s="11" t="inlineStr">
        <is>
          <t>攤銷</t>
        </is>
      </c>
      <c r="E35" s="11" t="inlineStr">
        <is>
          <t>PDF p.153 (印刷頁 152)</t>
        </is>
      </c>
      <c r="F35" s="11" t="inlineStr">
        <is>
          <t>TING POLICY INFORMATION （續） (Continued) 2.9 Financial instruments (Continued) 2.9 金融工具（續） (b) Amortised cost and interest income (b) 攤銷成本及利息收入 Interest income is recognised using the 就其後按攤銷成本計量的金融 effective interest method for financial assets 資產而言，利息收入乃使用實 measured subsequently at amortised cost. 際利率法進行確認。除其後發 Interest income is calculated by applying the 生信貸減值的金融資產外（見 effective interest rate to the gross carrying 下文），利息收入乃通過金融 amount of a financial asset, except for financial 資產的賬面總值應用實際利率 assets that have subsequently become</t>
        </is>
      </c>
    </row>
    <row r="36">
      <c r="A36" s="8" t="inlineStr">
        <is>
          <t>Intangible Assets &amp; Goodwill</t>
        </is>
      </c>
      <c r="B36" s="8" t="inlineStr">
        <is>
          <t>無形資產及商譽</t>
        </is>
      </c>
      <c r="C36" s="20" t="inlineStr">
        <is>
          <t>high</t>
        </is>
      </c>
      <c r="D36" s="11" t="inlineStr">
        <is>
          <t>攤銷</t>
        </is>
      </c>
      <c r="E36" s="11" t="inlineStr">
        <is>
          <t>PDF p.159 (印刷頁 158)</t>
        </is>
      </c>
      <c r="F36" s="11" t="inlineStr">
        <is>
          <t>值計算，除非該金融資產屬信 unless the financial asset is credit impaired, in 貸減值，在此情況下，利息收 which case interest income is calculated based 入按金融資產的攤銷成本計 on amortised cost of the financial asset. 算。 The Group recognises an impairment gain or 本集團透過調整所有金融工具 loss in profit or loss for all financial 的賬面值於損益確認其減值收 instruments by adjusting their carrying amount, 益或虧損，惟貿易應收款項及 with the exception of trade receivables and 其他應收款項除外，其透過虧 other receivables where the corresponding 損撥備賬確認相應調整。 adjustment is recognised through a loss allowance account. 158</t>
        </is>
      </c>
    </row>
    <row r="37">
      <c r="A37" s="8" t="inlineStr">
        <is>
          <t>Intangible Assets &amp; Goodwill</t>
        </is>
      </c>
      <c r="B37" s="8" t="inlineStr">
        <is>
          <t>無形資產及商譽</t>
        </is>
      </c>
      <c r="C37" s="20" t="inlineStr">
        <is>
          <t>high</t>
        </is>
      </c>
      <c r="D37" s="11" t="inlineStr">
        <is>
          <t>攤銷</t>
        </is>
      </c>
      <c r="E37" s="11" t="inlineStr">
        <is>
          <t>PDF p.160 (印刷頁 159)</t>
        </is>
      </c>
      <c r="F37" s="11" t="inlineStr">
        <is>
          <t>also recognises a 項確認有抵押借款。 collateralised borrowing for the proceeds received. On derecognition of a financial asset measured 終止確認按攤銷成本計量的金 at amortised cost, the difference between the 融資產時，該資產賬面值與已 asset’s carrying amount and the sum of the 收及應收代價總和的差額於損 consideration received and receivable is 益確認。 recognised in profit or loss. (h) Financial liabilities and equity instruments (h) 金融負債及權益工具 Classification as debt or equity 分類為債務或權益 Debt and equity instruments are classified as 債務及權益工具乃根據合約安 either financial liabilities or a</t>
        </is>
      </c>
    </row>
    <row r="38">
      <c r="A38" s="8" t="inlineStr">
        <is>
          <t>Intangible Assets &amp; Goodwill</t>
        </is>
      </c>
      <c r="B38" s="8" t="inlineStr">
        <is>
          <t>無形資產及商譽</t>
        </is>
      </c>
      <c r="C38" s="20" t="inlineStr">
        <is>
          <t>high</t>
        </is>
      </c>
      <c r="D38" s="11" t="inlineStr">
        <is>
          <t>攤銷</t>
        </is>
      </c>
      <c r="E38" s="11" t="inlineStr">
        <is>
          <t>PDF p.161 (印刷頁 160)</t>
        </is>
      </c>
      <c r="F38" s="11" t="inlineStr">
        <is>
          <t>) 2.9 金融工具（續） (h) Financial liabilities and equity instruments (h) 金融負債及權益工具（續） (Continued) Financial liabilities at amortised cost 按攤銷成本計量之金融負債 Financial liabilities (including other payables and 金融負債（包括其他應付款項 accruals, borrowings and lease liabilities) are 及應計費用、借款及租賃負 subsequently measured at amortised cost, using 債）其後按攤銷成本使用實際 the effective interest method. 利率法計量。 Derecognition of financial liabilities 終止確認金融負債 The Group derecognises financial liabilities 當且僅當本集團的義務已解 when, and only when, the Group’s obligations 除、取消或屆滿時，本集</t>
        </is>
      </c>
    </row>
    <row r="39">
      <c r="A39" s="8" t="inlineStr">
        <is>
          <t>Intangible Assets &amp; Goodwill</t>
        </is>
      </c>
      <c r="B39" s="8" t="inlineStr">
        <is>
          <t>無形資產及商譽</t>
        </is>
      </c>
      <c r="C39" s="20" t="inlineStr">
        <is>
          <t>high</t>
        </is>
      </c>
      <c r="D39" s="11" t="inlineStr">
        <is>
          <t>攤銷</t>
        </is>
      </c>
      <c r="E39" s="11" t="inlineStr">
        <is>
          <t>PDF p.162 (印刷頁 161)</t>
        </is>
      </c>
      <c r="F39" s="11" t="inlineStr">
        <is>
          <t>value plus transaction costs. All receivables are stated 款項均使用實際利率法扣除預期信 at amortised cost using the effective interest method 貸虧損撥備按攤銷成本列賬。 less allowance for ECL. Consignor advances are recognised initially at fair 委託人預付款項最初按公平值減預 value less allowance for ECL. It represents financing 期信貸虧損撥備確認。其指在藝術 provided to art collectors prior to their works of art 品被拍賣出前向藝術收藏家提供的 being auctioned off, secured by works of art. 融資，由藝術品作擔保。 Other receivables that are realised as part of the 變現為本集團正常營運週期的一部 Group’s normal operating cycle are</t>
        </is>
      </c>
    </row>
    <row r="40">
      <c r="A40" s="8" t="inlineStr">
        <is>
          <t>Intangible Assets &amp; Goodwill</t>
        </is>
      </c>
      <c r="B40" s="8" t="inlineStr">
        <is>
          <t>無形資產及商譽</t>
        </is>
      </c>
      <c r="C40" s="20" t="inlineStr">
        <is>
          <t>high</t>
        </is>
      </c>
      <c r="D40" s="11" t="inlineStr">
        <is>
          <t>攤銷</t>
        </is>
      </c>
      <c r="E40" s="11" t="inlineStr">
        <is>
          <t>PDF p.163 (印刷頁 162)</t>
        </is>
      </c>
      <c r="F40" s="11" t="inlineStr">
        <is>
          <t>應付款項初步按公平值 fair value. Subsequent to initial recognition, trade 確認。於初步確認後，貿易及其他 and other payables are stated at amortised cost 應付款項按攤銷成本列賬，除非貼 unless the effect of discounting would be 現的影響並不重大，而在該情況下 immaterial, in which case they are stated at invoice 則按發票金額列賬。 amounts. 162 SHANGSHAN GOLD INTERNATIONAL HOLDINGS LIMITED Annual Report 2026</t>
        </is>
      </c>
    </row>
    <row r="41">
      <c r="A41" s="8" t="inlineStr">
        <is>
          <t>Intangible Assets &amp; Goodwill</t>
        </is>
      </c>
      <c r="B41" s="8" t="inlineStr">
        <is>
          <t>無形資產及商譽</t>
        </is>
      </c>
      <c r="C41" s="20" t="inlineStr">
        <is>
          <t>high</t>
        </is>
      </c>
      <c r="D41" s="11" t="inlineStr">
        <is>
          <t>攤銷</t>
        </is>
      </c>
      <c r="E41" s="11" t="inlineStr">
        <is>
          <t>PDF p.164 (印刷頁 163)</t>
        </is>
      </c>
      <c r="F41" s="11" t="inlineStr">
        <is>
          <t>5 借款 Borrowings are initially recognised at fair value, net 借款初步按公平值扣除所產生的交 of transaction costs incurred. Borrowings are 易成本確認。借款其後按攤銷成本 subsequently measured at amortised cost. Any 計量。所得款項（扣除交易成本）與 difference between the proceeds (net of transaction 贖回金額之間的任何差額以實際利 costs) and the redemption amount is recognised in 率法於借款期間於損益中確認。 profit or loss over the period of the borrowings using the effective interest method. Fees paid on the establishment of loan facilities are 在融資很有可能部分或全部提取的 recognised as transaction costs of the loan</t>
        </is>
      </c>
    </row>
    <row r="42">
      <c r="A42" s="8" t="inlineStr">
        <is>
          <t>Intangible Assets &amp; Goodwill</t>
        </is>
      </c>
      <c r="B42" s="8" t="inlineStr">
        <is>
          <t>無形資產及商譽</t>
        </is>
      </c>
      <c r="C42" s="20" t="inlineStr">
        <is>
          <t>high</t>
        </is>
      </c>
      <c r="D42" s="11" t="inlineStr">
        <is>
          <t>goodwill</t>
        </is>
      </c>
      <c r="E42" s="11" t="inlineStr">
        <is>
          <t>PDF p.165 (印刷頁 164)</t>
        </is>
      </c>
      <c r="F42" s="11" t="inlineStr">
        <is>
          <t>erences. In addition, deferred tax liabilities are not recognised if the temporary difference arises from the initial recognition of goodwill. 164 SHANGSHAN GOLD INTERNATIONAL HOLDINGS LIMITED Annual Report 2026</t>
        </is>
      </c>
    </row>
    <row r="43">
      <c r="A43" s="8" t="inlineStr">
        <is>
          <t>Intangible Assets &amp; Goodwill</t>
        </is>
      </c>
      <c r="B43" s="8" t="inlineStr">
        <is>
          <t>無形資產及商譽</t>
        </is>
      </c>
      <c r="C43" s="20" t="inlineStr">
        <is>
          <t>high</t>
        </is>
      </c>
      <c r="D43" s="11" t="inlineStr">
        <is>
          <t>useful life</t>
        </is>
      </c>
      <c r="E43" s="11" t="inlineStr">
        <is>
          <t>PDF p.175 (印刷頁 174)</t>
        </is>
      </c>
      <c r="F43" s="11" t="inlineStr">
        <is>
          <t>Otherwise, right-of-use assets are depreciated 計其可使用年期與租期兩者中的較 on a straight-line basis over the shorter of its 短期間按直線法折舊。 estimated useful life and the lease term. The Group presents right-of-use assets as a separate 本集團於合併財務狀況表內將使用 line item on the consolidated statement of financial 權資產呈列為獨立項目。 position. Refundable rental deposits 可退還租賃按金 Refundable rental deposits paid are accounted under 已支付的可退還租賃按金根據香港 HKFRS 9 and initially measured at fair value. 財務報告準則第9號列賬，並初步按 Adjustments to fair value at initial recognition are 公平值計量</t>
        </is>
      </c>
    </row>
    <row r="44">
      <c r="A44" s="8" t="inlineStr">
        <is>
          <t>Intangible Assets &amp; Goodwill</t>
        </is>
      </c>
      <c r="B44" s="8" t="inlineStr">
        <is>
          <t>無形資產及商譽</t>
        </is>
      </c>
      <c r="C44" s="20" t="inlineStr">
        <is>
          <t>high</t>
        </is>
      </c>
      <c r="D44" s="11" t="inlineStr">
        <is>
          <t>攤銷</t>
        </is>
      </c>
      <c r="E44" s="11" t="inlineStr">
        <is>
          <t>PDF p.184 (印刷頁 183)</t>
        </is>
      </c>
      <c r="F44" s="11" t="inlineStr">
        <is>
          <t>of financial assets (b) 金融資產減值 The Group’s trade receivables and other 本集團的貿易應收款項及其他 financial assets carried at amortised cost are 按攤銷成本列賬的金融資產須 subject to the expected credit loss model. 應用預期信貸虧損模式。 Trade receivables 貿易應收款項 The Group applies the HKFRS 9 simplified 本集團應用香港財務報告準則 approach to measuring provision for allowance 第9號簡化法計量預期信貸虧 for ECL which uses a lifetime expected loss 損撥備計提，該方法就所有貿 allowance for all trade receivables. 易應收款項使用全期預期虧損 撥備。 To measure the provision for allowance for 為計量預期信貸虧損撥備計 ECL, trade receivables</t>
        </is>
      </c>
    </row>
    <row r="45">
      <c r="A45" s="8" t="inlineStr">
        <is>
          <t>Intangible Assets &amp; Goodwill</t>
        </is>
      </c>
      <c r="B45" s="8" t="inlineStr">
        <is>
          <t>無形資產及商譽</t>
        </is>
      </c>
      <c r="C45" s="20" t="inlineStr">
        <is>
          <t>high</t>
        </is>
      </c>
      <c r="D45" s="11" t="inlineStr">
        <is>
          <t>攤銷</t>
        </is>
      </c>
      <c r="E45" s="11" t="inlineStr">
        <is>
          <t>PDF p.186 (印刷頁 185)</t>
        </is>
      </c>
      <c r="F45" s="11" t="inlineStr">
        <is>
          <t>are 項於同一欄目入賬。 credited against the same line item. Other financial assets 其他金融資產 Other financial assets carried at amortised cost, 按攤銷成本列賬的其他金融資 including receivables from buyers in respect of 產（包括應收買家拍賣及相關 auction and related business, prepayments to 業務款項、就已拍賣藝術品向 sellers for auctioned artwork, consignor 賣家預付的款項、委託人預付 advance, consideration receivables and others, 款項、應收代價及其他）方 the management make periodic individual 面，管理層根據歷史結算記 assessment on the recoverability of other 錄、過往經驗、本集團持有的 financial assets based on historical settl</t>
        </is>
      </c>
    </row>
    <row r="46">
      <c r="A46" s="8" t="inlineStr">
        <is>
          <t>Intangible Assets &amp; Goodwill</t>
        </is>
      </c>
      <c r="B46" s="8" t="inlineStr">
        <is>
          <t>無形資產及商譽</t>
        </is>
      </c>
      <c r="C46" s="20" t="inlineStr">
        <is>
          <t>high</t>
        </is>
      </c>
      <c r="D46" s="11" t="inlineStr">
        <is>
          <t>intangible asset</t>
        </is>
      </c>
      <c r="E46" s="11" t="inlineStr">
        <is>
          <t>PDF p.202 (印刷頁 201)</t>
        </is>
      </c>
      <c r="F46" s="11" t="inlineStr">
        <is>
          <t>房及設備折舊 equipment (Note 15) （附註15） 426 1,904 Depreciation of right-of-use assets 使用權資產折舊 (Note 16) （附註16） 5,076 4,019 Amortisation of intangible assets 無形資產攤銷 (Note 17) （附註17） 742 994 (Reversal of)/provision for allowance 金融資產預期信貸虧損 for ECL on financial assets 撥備（撥回）╱計提 — Trade receivables — 貿易應收款項 (682) 1,693 — Other receivables — 其他應收款項 28 (31) Impairment loss on non-financial assets 非金融資產減值虧損 — Property, plant and equipment — 物業、廠房及設備 — 2,011 — Right-of-use assets — 使用權資產 108 2,254 Write-down of inventories (note) 存貨撇減（附註） 4,</t>
        </is>
      </c>
    </row>
    <row r="47">
      <c r="A47" s="8" t="inlineStr">
        <is>
          <t>Intangible Assets &amp; Goodwill</t>
        </is>
      </c>
      <c r="B47" s="8" t="inlineStr">
        <is>
          <t>無形資產及商譽</t>
        </is>
      </c>
      <c r="C47" s="20" t="inlineStr">
        <is>
          <t>high</t>
        </is>
      </c>
      <c r="D47" s="11" t="inlineStr">
        <is>
          <t>intangible asset</t>
        </is>
      </c>
      <c r="E47" s="11" t="inlineStr">
        <is>
          <t>PDF p.215 (印刷頁 214)</t>
        </is>
      </c>
      <c r="F47" s="11" t="inlineStr">
        <is>
          <t>Notes to the Consolidated Financial Statements 合併財務報表附註 17. INTANGIBLE ASSETS 17. 無形資產 Club Computer membership software Total 俱樂部會籍 電腦軟件 總計 HK$’000 HK$’000 HK$’000 千港元 千港元 千港元 Cost 成本 As 1 April 2024 於2024年4月1日 517 5,981 6,498 Written off 撇銷 — (386) (386) Exchange realignment 匯兌調整 2 15 17 As at 31 March 2025 and 於2025年3月31日及 1 April 2025 2025年4月1日 519 5,610 6,129 Exchange realignment 匯兌調整 (28) (300) (328) As at 31 March 2026 於2026年3月31日 491 5,310 5,801 Ac</t>
        </is>
      </c>
    </row>
    <row r="48">
      <c r="A48" s="8" t="inlineStr">
        <is>
          <t>Intangible Assets &amp; Goodwill</t>
        </is>
      </c>
      <c r="B48" s="8" t="inlineStr">
        <is>
          <t>無形資產及商譽</t>
        </is>
      </c>
      <c r="C48" s="20" t="inlineStr">
        <is>
          <t>high</t>
        </is>
      </c>
      <c r="D48" s="11" t="inlineStr">
        <is>
          <t>攤銷</t>
        </is>
      </c>
      <c r="E48" s="11" t="inlineStr">
        <is>
          <t>PDF p.238 (印刷頁 237)</t>
        </is>
      </c>
      <c r="F48" s="11" t="inlineStr">
        <is>
          <t>. FINANCIAL INSTRUMENTS BY CATEGORY 30. 按類別劃分的金融工具 2026 2025 2026年 2025年 HK$’000 HK$’000 千港元 千港元 Financial assets at amortised cost 按攤銷成本列賬的 金融資產 — Trade and other receivables — 貿易及其他應收款項 163,952 144,918 — Prepayments to sellers for — 就已拍賣藝術品向 賣家預付之款項 auctioned artwork 167 65 — Deposits — 按金 1,784 1,939 — Pledged bank deposits — 已抵押銀行存款 4,000 4,000 — Cash and cash equivalents — 現金及現金等價物 96,257 76,457 266,160 227,379 Financial assets at fair value through 按公平值計入損益的 金融資產 — profit or loss 7,962 Financial liabilities at amortised c</t>
        </is>
      </c>
    </row>
    <row r="49">
      <c r="A49" s="8" t="inlineStr">
        <is>
          <t>Intangible Assets &amp; Goodwill</t>
        </is>
      </c>
      <c r="B49" s="8" t="inlineStr">
        <is>
          <t>無形資產及商譽</t>
        </is>
      </c>
      <c r="C49" s="20" t="inlineStr">
        <is>
          <t>high</t>
        </is>
      </c>
      <c r="D49" s="11" t="inlineStr">
        <is>
          <t>intangible asset</t>
        </is>
      </c>
      <c r="E49" s="11" t="inlineStr">
        <is>
          <t>PDF p.239 (印刷頁 238)</t>
        </is>
      </c>
      <c r="F49" s="11" t="inlineStr">
        <is>
          <t>21,002) (20,362) Adjustments for: 就以下各項調整： — Depreciation of property, — 物業、廠房及設備 plant and equipment 折舊 426 1,904 — Amortisation of intangible assets — 無形資產攤銷 742 994 — Depreciation of right-of-use — 使用權資產折舊 assets 5,076 4,019 — Share of result of on investment — 應佔使用權益會計法 accounted using the equity 列賬之投資業績 method 151 953 — Change in fair value of financial — 按公平值計入損益 assets at fair value through 之金融資產公平值 profit or loss 變動 — (5,462) — Loss on put option — 認沽期權之虧損 1,762 — — Interest income — 利息收入 (157) (700) — Interest expenses</t>
        </is>
      </c>
    </row>
    <row r="50">
      <c r="A50" s="8" t="inlineStr">
        <is>
          <t>ESG Data</t>
        </is>
      </c>
      <c r="B50" s="8" t="inlineStr">
        <is>
          <t>環境社會及管治數據</t>
        </is>
      </c>
      <c r="C50" s="8" t="inlineStr">
        <is>
          <t>medium</t>
        </is>
      </c>
      <c r="D50" s="11" t="inlineStr">
        <is>
          <t>環境、社會及管治</t>
        </is>
      </c>
      <c r="E50" s="11" t="inlineStr">
        <is>
          <t>PDF p.2</t>
        </is>
      </c>
      <c r="F50" s="11" t="inlineStr">
        <is>
          <t>論及分析 10 Biographical Details of Directors 董事的履歷詳情 25 Corporate Governance Report 企業管治報告 29 Environment, Social and Governance Report 環境、社會及管治報告 50 Reports of Directors 董事會報告 96 Independent Auditor’s Report 獨立核數師報告 117 合併損益及其他綜合收益表 128 Consolidated Statement of Profit or Loss and Other Comprehensive Income Consolidated Statement of Financial Position 合併財務狀況表 130 Consolidated Statement of Changes in Equity 合併權益變動表 132 Consolidated Statement of Cash Flows 合併現金流量表 133 Notes to the Consolidated Financial Statements 合併財務報表附註 134 Five</t>
        </is>
      </c>
    </row>
    <row r="51">
      <c r="A51" s="8" t="inlineStr">
        <is>
          <t>ESG Data</t>
        </is>
      </c>
      <c r="B51" s="8" t="inlineStr">
        <is>
          <t>環境社會及管治數據</t>
        </is>
      </c>
      <c r="C51" s="8" t="inlineStr">
        <is>
          <t>medium</t>
        </is>
      </c>
      <c r="D51" s="11" t="inlineStr">
        <is>
          <t>可持續</t>
        </is>
      </c>
      <c r="E51" s="11" t="inlineStr">
        <is>
          <t>PDF p.7 (印刷頁 6)</t>
        </is>
      </c>
      <c r="F51" s="11" t="inlineStr">
        <is>
          <t>e field of contemporary artwork and 理人才及專家，並吸引、激勵及保留優質僱員 fine &amp; rare whisky and moutai; (iv) recruiting high calibre 以同時加強管理及營運團隊，以支持可持續發 managers and experts and attracting, motivating and retaining 展；及(v)以擴展業務足印至其他具潛質的市場 quality employees to strengthen both the management and 為目標，旨在於其他主要亞洲城市及全球市場 operating teams with a view to support sustainable growth; 建立及加強品牌形象及品牌影響力。 and (v) targeting to expand business footprint to other potential markets with an aim to establish and enhance brand image and brand influence in other major</t>
        </is>
      </c>
    </row>
    <row r="52">
      <c r="A52" s="8" t="inlineStr">
        <is>
          <t>ESG Data</t>
        </is>
      </c>
      <c r="B52" s="8" t="inlineStr">
        <is>
          <t>環境社會及管治數據</t>
        </is>
      </c>
      <c r="C52" s="8" t="inlineStr">
        <is>
          <t>medium</t>
        </is>
      </c>
      <c r="D52" s="11" t="inlineStr">
        <is>
          <t>可持續</t>
        </is>
      </c>
      <c r="E52" s="11" t="inlineStr">
        <is>
          <t>PDF p.24 (印刷頁 23)</t>
        </is>
      </c>
      <c r="F52" s="11" t="inlineStr">
        <is>
          <t>管理人員， middle to senior level management who has been 彼等於本集團工作超過4年，並直接為本 working for the Group for over four years and have 集團的整體業務表現、可持續發展及╱ contributed directly to the overall business performance, 或良好企業管治作出貢獻，及(ii)該等購 sustainable development and/or good corporate 股權須遵守2023年購股權計劃的條款， governance of the Group, and (ii) the options are subject 計劃已涵蓋在承授人不再為本集團僱員 to the terms of the 2023 Share Option Scheme, which 的情況下購股權將失效的情況，本公司 already covers situations where the share options will 薪酬委員會及董事會相信，在並無額外 lapse in the event that the</t>
        </is>
      </c>
    </row>
    <row r="53">
      <c r="A53" s="8" t="inlineStr">
        <is>
          <t>ESG Data</t>
        </is>
      </c>
      <c r="B53" s="8" t="inlineStr">
        <is>
          <t>環境社會及管治數據</t>
        </is>
      </c>
      <c r="C53" s="8" t="inlineStr">
        <is>
          <t>medium</t>
        </is>
      </c>
      <c r="D53" s="11" t="inlineStr">
        <is>
          <t>可持續</t>
        </is>
      </c>
      <c r="E53" s="11" t="inlineStr">
        <is>
          <t>PDF p.25 (印刷頁 24)</t>
        </is>
      </c>
      <c r="F53" s="11" t="inlineStr">
        <is>
          <t>e of the Company for the benefit of the 到：(a)承授人為計劃的合資格參與者，將直接 Company and its shareholders as a whole. In addition, the 為本集團的整體業務表現及可持續發展作出 Remuneration Committee also consider that: (a) the Grantees 貢獻；(b)向承授人授予購股權為肯定彼等過去 are eligible participants under the Scheme who would 對本集團的貢獻；及(c)購股權須遵守購股權計 contribute directly to the overall business performance and 劃的條款，計劃規定購股權可能失效的情況。 sustainable development of the Group; (b) the granting of share 除上文所披露者外，截至2025年及2026年3月 options to the Grantees is a recognition for their past 31日止年度，</t>
        </is>
      </c>
    </row>
    <row r="54">
      <c r="A54" s="8" t="inlineStr">
        <is>
          <t>ESG Data</t>
        </is>
      </c>
      <c r="B54" s="8" t="inlineStr">
        <is>
          <t>環境社會及管治數據</t>
        </is>
      </c>
      <c r="C54" s="8" t="inlineStr">
        <is>
          <t>medium</t>
        </is>
      </c>
      <c r="D54" s="11" t="inlineStr">
        <is>
          <t>ESG</t>
        </is>
      </c>
      <c r="E54" s="11" t="inlineStr">
        <is>
          <t>PDF p.51 (印刷頁 50)</t>
        </is>
      </c>
      <c r="F54" s="11" t="inlineStr">
        <is>
          <t>he Group’s 本報告概述多個主要範疇，包括本集團 business practices for the Environmental, Social and 在環境、社會及管治（簡稱「環境、社會 Governance (referred to as the “ESG Report” or “this 及管治報告」或「本報告」）的業務常規以 Report”) and its relevant implemented policies and 及有關本集團經營常規及環境保護的相 strategies in relation to the Group’s operational practices 關已實施政策及策略。 and environmental protection. The Report covers the period from 1 April 2025 to 本報告涵蓋自2025年4月1日起至2026年3 31 March 2026 (the “Reporting Period”). 月31日止期間（「報告期」）。 Reporting Framework 報告框架 The Report has been prepared with</t>
        </is>
      </c>
    </row>
    <row r="55">
      <c r="A55" s="8" t="inlineStr">
        <is>
          <t>ESG Data</t>
        </is>
      </c>
      <c r="B55" s="8" t="inlineStr">
        <is>
          <t>環境社會及管治數據</t>
        </is>
      </c>
      <c r="C55" s="8" t="inlineStr">
        <is>
          <t>medium</t>
        </is>
      </c>
      <c r="D55" s="11" t="inlineStr">
        <is>
          <t>ESG</t>
        </is>
      </c>
      <c r="E55" s="11" t="inlineStr">
        <is>
          <t>PDF p.52 (印刷頁 51)</t>
        </is>
      </c>
      <c r="F55" s="11" t="inlineStr">
        <is>
          <t>with the principle of 平衡：本報告遵循平衡原則，客觀呈現本 balance to present the current performance and 集團的環境、社會及管治表現及管理現 management of the Group in ESG in an objective 狀。 manner. Consistency: Unless otherwise stated, this Report applies 一致性：除另有說明外，本報告採用與上 the data statistics and calculation methods that are 一年度環境、社會及管治報告相一致的 consistent with those in last year ESG report to provide a 數據統計及計算方法，以便與往年數據 meaningful comparison with data over previous years. 進行有意義的比較。 This ESG Report has undergone the internal review 本環境、社會及管治報告已經過本集團 process of th</t>
        </is>
      </c>
    </row>
    <row r="56">
      <c r="A56" s="8" t="inlineStr">
        <is>
          <t>ESG Data</t>
        </is>
      </c>
      <c r="B56" s="8" t="inlineStr">
        <is>
          <t>環境社會及管治數據</t>
        </is>
      </c>
      <c r="C56" s="8" t="inlineStr">
        <is>
          <t>medium</t>
        </is>
      </c>
      <c r="D56" s="11" t="inlineStr">
        <is>
          <t>ESG</t>
        </is>
      </c>
      <c r="E56" s="11" t="inlineStr">
        <is>
          <t>PDF p.53 (印刷頁 52)</t>
        </is>
      </c>
      <c r="F56" s="11" t="inlineStr">
        <is>
          <t>part on valuable 本集團之發展有賴持份者提供寶貴意 comments from stakeholders. For any clarifications or 見。倘 閣下對本環境、社會及管治報告 advice as regarding this ESG Report, please forward your 之內容有任何疑問或意見，請將意見及 comments and suggestions to info@shangshan.com. 建議電郵至info@shangshan.com。 II. STAKEHOLDER ENGAGEMENT II. 持份者參與 The Group believes that identifying and addressing the 本集團相信，識別並處理其持份者的看 views of stakeholders lay a solid foundation to the 法能夠為本集團的長遠發展及成功奠定 long-term growth and success of the Group. The Group 堅實基礎。本集團擁有廣闊的持份者網 has a wide network of stak</t>
        </is>
      </c>
    </row>
    <row r="57">
      <c r="A57" s="8" t="inlineStr">
        <is>
          <t>ESG Data</t>
        </is>
      </c>
      <c r="B57" s="8" t="inlineStr">
        <is>
          <t>環境社會及管治數據</t>
        </is>
      </c>
      <c r="C57" s="8" t="inlineStr">
        <is>
          <t>medium</t>
        </is>
      </c>
      <c r="D57" s="11" t="inlineStr">
        <is>
          <t>ESG</t>
        </is>
      </c>
      <c r="E57" s="11" t="inlineStr">
        <is>
          <t>PDF p.54 (印刷頁 53)</t>
        </is>
      </c>
      <c r="F57" s="11" t="inlineStr">
        <is>
          <t>gs • Business strategies and sustainability • Regular corporate publications • Financial performance including financial reports and ESG • Corporate governance report • Circulars and announcements • Corporate website • Direct communication • Meetings and responses to phone and written enquiries 投資者 • 股東大會 • 業務策略及可持續性 • 定期公司刊物，包括財務報告及 • 財務表現 環境、社會及管治報告 • 企業管治 • 通函及公告 • 公司網站 • 直接溝通 • 會議及回應電話及書面查詢 Customers • Business meetings • Service quality and reliability • Corporate website • Client information security • Direct communicatio</t>
        </is>
      </c>
    </row>
    <row r="58">
      <c r="A58" s="8" t="inlineStr">
        <is>
          <t>ESG Data</t>
        </is>
      </c>
      <c r="B58" s="8" t="inlineStr">
        <is>
          <t>環境社會及管治數據</t>
        </is>
      </c>
      <c r="C58" s="8" t="inlineStr">
        <is>
          <t>medium</t>
        </is>
      </c>
      <c r="D58" s="11" t="inlineStr">
        <is>
          <t>環境、社會及管治</t>
        </is>
      </c>
      <c r="E58" s="11" t="inlineStr">
        <is>
          <t>PDF p.55 (印刷頁 54)</t>
        </is>
      </c>
      <c r="F58" s="11" t="inlineStr">
        <is>
          <t>Environment, Social and Governance Report 環境、社會及管治報告 Stakeholder Groups Engagement channels Topics of interest/concern 持份者組別 參與渠道 關注主題 Employees • Performance appraisals • Training and development • On-the-job coaching • Employee remuneration and welfare • Training sessions • Occupational health and safety • Internal memorandum • Equal opportunities • Human resources manual • Rights and benefits • Exit interview • Working hours 僱員 • 表現評核</t>
        </is>
      </c>
    </row>
    <row r="59">
      <c r="A59" s="8" t="inlineStr">
        <is>
          <t>ESG Data</t>
        </is>
      </c>
      <c r="B59" s="8" t="inlineStr">
        <is>
          <t>環境社會及管治數據</t>
        </is>
      </c>
      <c r="C59" s="8" t="inlineStr">
        <is>
          <t>medium</t>
        </is>
      </c>
      <c r="D59" s="11" t="inlineStr">
        <is>
          <t>ESG</t>
        </is>
      </c>
      <c r="E59" s="11" t="inlineStr">
        <is>
          <t>PDF p.56 (印刷頁 55)</t>
        </is>
      </c>
      <c r="F59" s="11" t="inlineStr">
        <is>
          <t>riality. (1) Identification (1) 識別 The Group identified all fundamental sustainability 根據環境、社會及管治報告指引， topics in accordance with the ESG Reporting Guide. 本集團識別所有基本的可持續發展 In the context of the latest sustainability landscape, 主題。基於最新的可持續發展形 the Group has determined the following 19 topics 勢，本集團確定以下十九項被視為 that are deemed to have impact on the environment 透過旗下營運對環境和社會產生影 and society through our operations. 響的主題。 二零二六年年度報告 上善黃金國際控股有限公司 55</t>
        </is>
      </c>
    </row>
    <row r="60">
      <c r="A60" s="8" t="inlineStr">
        <is>
          <t>ESG Data</t>
        </is>
      </c>
      <c r="B60" s="8" t="inlineStr">
        <is>
          <t>環境社會及管治數據</t>
        </is>
      </c>
      <c r="C60" s="8" t="inlineStr">
        <is>
          <t>medium</t>
        </is>
      </c>
      <c r="D60" s="11" t="inlineStr">
        <is>
          <t>greenhouse gas</t>
        </is>
      </c>
      <c r="E60" s="11" t="inlineStr">
        <is>
          <t>PDF p.57 (印刷頁 56)</t>
        </is>
      </c>
      <c r="F60" s="11" t="inlineStr">
        <is>
          <t>spects Material ESG issues for the Group 環境、社會及管治層面 對本集團屬重大的環境、社會及管治事宜 A. Environmental A1 Emissions 1. Air emissions 環境 排放物 廢氣排放 2. Greenhouse gas emissions 溫室氣體排放 3. Waste management 廢棄物管理 A2 Use of Resources 4. Energy consumption 資源使用 能源消耗 5. Water consumption 水資源消耗 6. Paper consumption 紙張消耗 A3 The Environment and 7. Environmental risk management Natural Resources 環境風險管理 環境及天然資源 A4 Climate Change 8. Climate change strategy 氣候變化 氣候變化策略 B. Social B1 Employment 9. Human resources practices 社會 僱傭 人力資源常規 10. Employment and remune</t>
        </is>
      </c>
    </row>
    <row r="61">
      <c r="A61" s="8" t="inlineStr">
        <is>
          <t>ESG Data</t>
        </is>
      </c>
      <c r="B61" s="8" t="inlineStr">
        <is>
          <t>環境社會及管治數據</t>
        </is>
      </c>
      <c r="C61" s="8" t="inlineStr">
        <is>
          <t>medium</t>
        </is>
      </c>
      <c r="D61" s="11" t="inlineStr">
        <is>
          <t>ESG</t>
        </is>
      </c>
      <c r="E61" s="11" t="inlineStr">
        <is>
          <t>PDF p.58 (印刷頁 57)</t>
        </is>
      </c>
      <c r="F61" s="11" t="inlineStr">
        <is>
          <t>Environment, Social and Governance Report 環境、社會及管治報告 (2) Prioritization (2) 編排優次 To determine the materiality of the selected ESG 為釐定所選環境、社會及管治主題 topics, the senior management, possess as a 的重要性，高級管理層對所有主題 high-level view of all the topics and have access to 的看法能做到俯瞰全局，兼能掌握 stakeholders’ feedback, was asked to score the 持份者的反饋，並已從持份者組別 significance of each ESG topic to stakeholder groups 及本集團的不同角度對每個環境、 and the Group in each of their perspective. The 社會及管治主題的重要性評分。由 following materiality matrix resulted, where the 此得出的以下</t>
        </is>
      </c>
    </row>
    <row r="62">
      <c r="A62" s="8" t="inlineStr">
        <is>
          <t>ESG Data</t>
        </is>
      </c>
      <c r="B62" s="8" t="inlineStr">
        <is>
          <t>環境社會及管治數據</t>
        </is>
      </c>
      <c r="C62" s="8" t="inlineStr">
        <is>
          <t>medium</t>
        </is>
      </c>
      <c r="D62" s="11" t="inlineStr">
        <is>
          <t>greenhouse gas</t>
        </is>
      </c>
      <c r="E62" s="11" t="inlineStr">
        <is>
          <t>PDF p.59 (印刷頁 58)</t>
        </is>
      </c>
      <c r="F62" s="11" t="inlineStr">
        <is>
          <t>and customer satisfaction 最高 服務質量及客戶滿意度 17 Protection of customers’ privacy 保障客戶私隱 12 Workplace health and safety 工作場所健康及安全 2, 4 ,5 Greenhouse gas emissions; Energy consumption; Water consumption 溫室氣體排放；能源消耗；水資源消耗 8 Climate change strategy 氣候變化策略 11 Equal opportunity 平等機會 14 Anti-child and forced labour practices 防止童工及強制勞工 7 Environmental risk management 環境風險管理 10, 13 Employment and remuneration policies; Employee development 僱傭及薪酬政策；僱員發展 9 Human resources practices 人力資源常規 Lowest 15 Supplier practices 最低 供應商常規 (3) Validation (</t>
        </is>
      </c>
    </row>
    <row r="63">
      <c r="A63" s="8" t="inlineStr">
        <is>
          <t>ESG Data</t>
        </is>
      </c>
      <c r="B63" s="8" t="inlineStr">
        <is>
          <t>環境社會及管治數據</t>
        </is>
      </c>
      <c r="C63" s="8" t="inlineStr">
        <is>
          <t>medium</t>
        </is>
      </c>
      <c r="D63" s="11" t="inlineStr">
        <is>
          <t>ESG</t>
        </is>
      </c>
      <c r="E63" s="11" t="inlineStr">
        <is>
          <t>PDF p.60 (印刷頁 59)</t>
        </is>
      </c>
      <c r="F63" s="11" t="inlineStr">
        <is>
          <t>munity during the Reporting Period. Board Statement 董事會聲明 The Board has the overall responsibility for the Group’s 董事會對本集團的環境、社會及管治策 ESG strategy and reporting, which include determination 略及報告負有全面責任，包括確定及評 and evaluation of ESG related risks, overseeing and 估環境、社會及管治相關風險，監督並確 ensuring the suitable and effective ESG risk management 保建立適當有效的環境、社會及管治風 and internal control systems. The Board is also responsible 險管理及內部控制系統。董事會亦負責 for ensuring the smooth operation of strategic plan and 確保各項策略計劃及願景以及環境、社 vision, as well as operationa</t>
        </is>
      </c>
    </row>
    <row r="64">
      <c r="A64" s="8" t="inlineStr">
        <is>
          <t>ESG Data</t>
        </is>
      </c>
      <c r="B64" s="8" t="inlineStr">
        <is>
          <t>環境社會及管治數據</t>
        </is>
      </c>
      <c r="C64" s="8" t="inlineStr">
        <is>
          <t>medium</t>
        </is>
      </c>
      <c r="D64" s="11" t="inlineStr">
        <is>
          <t>greenhouse gas</t>
        </is>
      </c>
      <c r="E64" s="11" t="inlineStr">
        <is>
          <t>PDF p.61 (印刷頁 60)</t>
        </is>
      </c>
      <c r="F64" s="11" t="inlineStr">
        <is>
          <t>inimize the environmental 展，尤其側重於減少溫室氣體排放物及 impacts of its operations, with a particular focus on the 節約使用資源。本集團制定若干政策及 reduction of greenhouse gas emissions and conservation 指引，力求管理影響及提升環保意識。 of resources. The Group sets out a number of policies and 本集團銳意實現可持續發展，遵循其環 guidelines for impact management and environmental 境責任推廣保護資源。 awareness. The Group strives to fulfill sustainable development and to promote preservation of resources with its environmental responsibility. 層面A1：排放物及廢棄物 Aspect A1: Emissions and waste 本集團實施強而有力的措施，確</t>
        </is>
      </c>
    </row>
    <row r="65">
      <c r="A65" s="8" t="inlineStr">
        <is>
          <t>ESG Data</t>
        </is>
      </c>
      <c r="B65" s="8" t="inlineStr">
        <is>
          <t>環境社會及管治數據</t>
        </is>
      </c>
      <c r="C65" s="8" t="inlineStr">
        <is>
          <t>medium</t>
        </is>
      </c>
      <c r="D65" s="11" t="inlineStr">
        <is>
          <t>環境、社會及管治</t>
        </is>
      </c>
      <c r="E65" s="11" t="inlineStr">
        <is>
          <t>PDF p.62 (印刷頁 61)</t>
        </is>
      </c>
      <c r="F65" s="11" t="inlineStr">
        <is>
          <t>Environment, Social and Governance Report 環境、社會及管治報告 Air emissions 廢氣排放 The Group’s air emissions are limited to the exhaust gas 本集團的廢氣排放僅限於使用車輛所產 from vehicle use, which includes the emission of nitrogen 生的廢氣，其中包括氮氧化物(NOx)、硫 oxides (NOX), sulphur oxides (SOX), and particulate matter 氧化物(SOx)及顆粒物(PM)的排放。本集 (PM). The Group aims to replace heavy-polluting vehicles 團旨在以更環保的車型替代會造成嚴重 with more environmentally-friendly models. In efforts to 污染</t>
        </is>
      </c>
    </row>
    <row r="66">
      <c r="A66" s="8" t="inlineStr">
        <is>
          <t>ESG Data</t>
        </is>
      </c>
      <c r="B66" s="8" t="inlineStr">
        <is>
          <t>環境社會及管治數據</t>
        </is>
      </c>
      <c r="C66" s="8" t="inlineStr">
        <is>
          <t>medium</t>
        </is>
      </c>
      <c r="D66" s="11" t="inlineStr">
        <is>
          <t>greenhouse gas</t>
        </is>
      </c>
      <c r="E66" s="11" t="inlineStr">
        <is>
          <t>PDF p.63 (印刷頁 62)</t>
        </is>
      </c>
      <c r="F66" s="11" t="inlineStr">
        <is>
          <t>Environment, Social and Governance Report 環境、社會及管治報告 Greenhouse gas emissions and climate change 溫室氣體排放及緩解氣候變化 mitigation Climate change adaptation and mitigation is no longer 適應及緩解氣候變化不再只屬於國際議 only a subject of international agenda, but highly relevant 程的主題，而是與社會所有成員息息相 to all members of society. The corporate sector is 關。公司部門越來越意識到氣候變化風 increasingly becoming aware of the potential types of 險對其營運造成的潛在影響類別。為實 impact climate change risks present to t</t>
        </is>
      </c>
    </row>
    <row r="67">
      <c r="A67" s="8" t="inlineStr">
        <is>
          <t>ESG Data</t>
        </is>
      </c>
      <c r="B67" s="8" t="inlineStr">
        <is>
          <t>環境社會及管治數據</t>
        </is>
      </c>
      <c r="C67" s="8" t="inlineStr">
        <is>
          <t>medium</t>
        </is>
      </c>
      <c r="D67" s="11" t="inlineStr">
        <is>
          <t>greenhouse gas</t>
        </is>
      </c>
      <c r="E67" s="11" t="inlineStr">
        <is>
          <t>PDF p.64 (印刷頁 63)</t>
        </is>
      </c>
      <c r="F67" s="11" t="inlineStr">
        <is>
          <t>Environment, Social and Governance Report 環境、社會及管治報告 Greenhouse gas emissions(1) Unit 2026 2025 YOY change 溫室氣體排放(1) 單位 2026年 2025年 同比變動 Scope I (Direct Emissions) tCO2e 14.68 12.43 18% 範圍一（直接排放） 二氧化碳當量 Mobile combustion tCO2e 14.68 12.43 18% 車用燃油 二氧化碳當量 Scope II (Indirect Emissions)(2) tCO2e 65.82 56.82 16% 範圍二（間接排放）(2) 二氧化碳當量 Electricity purchased tCO2e 65.82 56.82 16% 購電 二氧化碳當量 Scope III (Other Indirect Emissions)(4) tCO2e 7.66 5.45 41% 範圍三（其他間接排</t>
        </is>
      </c>
    </row>
    <row r="68">
      <c r="A68" s="8" t="inlineStr">
        <is>
          <t>ESG Data</t>
        </is>
      </c>
      <c r="B68" s="8" t="inlineStr">
        <is>
          <t>環境社會及管治數據</t>
        </is>
      </c>
      <c r="C68" s="8" t="inlineStr">
        <is>
          <t>medium</t>
        </is>
      </c>
      <c r="D68" s="11" t="inlineStr">
        <is>
          <t>greenhouse gas</t>
        </is>
      </c>
      <c r="E68" s="11" t="inlineStr">
        <is>
          <t>PDF p.65 (印刷頁 64)</t>
        </is>
      </c>
      <c r="F68" s="11" t="inlineStr">
        <is>
          <t>measuring GHG emissions. The method used for 運控制法。用於溫室氣體排放數 GHG emissions data is based on (but not limited to) 據的方法乃基於（但不限於）世界 the “Greenhouse Gas Inventory Protocol: Corporate 資源研究所及世界可持續發展工 Accounting and Reporting Standards” published by 商理事會刊發的《溫室氣體盤查議 the World Resources Institute and the World 定書：企業會計與報告標準》、香 Business Council for Sustainable Development, “How 港交易所刊發的《如何準備環境、 to prepare an ESG Report Appendix 2: Reporting 社會及管治報告附錄二：環境關 Guidance on Environmental KPIs” published by HKEX 鍵績效指標的匯報指引》及環境、 and the Department f</t>
        </is>
      </c>
    </row>
    <row r="69">
      <c r="A69" s="8" t="inlineStr">
        <is>
          <t>ESG Data</t>
        </is>
      </c>
      <c r="B69" s="8" t="inlineStr">
        <is>
          <t>環境社會及管治數據</t>
        </is>
      </c>
      <c r="C69" s="8" t="inlineStr">
        <is>
          <t>medium</t>
        </is>
      </c>
      <c r="D69" s="11" t="inlineStr">
        <is>
          <t>greenhouse gas</t>
        </is>
      </c>
      <c r="E69" s="11" t="inlineStr">
        <is>
          <t>PDF p.66 (印刷頁 65)</t>
        </is>
      </c>
      <c r="F69" s="11" t="inlineStr">
        <is>
          <t>d set emission targets 結束時將溫室氣體排放中範圍一及範圍 to maintain scope I and scope II discharge intensity (per 二的排放密度（每名僱員）維持在與2022 employee) of greenhouse gas emissions at the same level 年相同的水平。就本年度，範圍一及二的 of 2022 by the end of 2027. Regarding to the target 的目標進度而言，範圍一及二的排放密 progress of the scope I and II of the current year, the 度（每名僱員）目標已經達成。本集團將 target of scope I and II discharge intensity per employee 繼續檢討現有舉措的成效，並繼續採取 was achieved. The Group will continue to review the 以下措施以盡量減少有關排放： effectiveness of the existing initiatives and cont</t>
        </is>
      </c>
    </row>
    <row r="70">
      <c r="A70" s="8" t="inlineStr">
        <is>
          <t>ESG Data</t>
        </is>
      </c>
      <c r="B70" s="8" t="inlineStr">
        <is>
          <t>環境社會及管治數據</t>
        </is>
      </c>
      <c r="C70" s="8" t="inlineStr">
        <is>
          <t>medium</t>
        </is>
      </c>
      <c r="D70" s="11" t="inlineStr">
        <is>
          <t>環境、社會及管治</t>
        </is>
      </c>
      <c r="E70" s="11" t="inlineStr">
        <is>
          <t>PDF p.67 (印刷頁 66)</t>
        </is>
      </c>
      <c r="F70" s="11" t="inlineStr">
        <is>
          <t>Environment, Social and Governance Report 環境、社會及管治報告 Waste management 廢棄物管理 The typical waste generated in the Group’s office are 本集團辦公室所產生的典型廢棄物為紙 paper and general waste. The majority of waste is 張及一般廢棄物。大多數廢棄物均由合 disposed at the landfill by qualified contractors. The 資格承包商於堆填區處置。本集團透過 Group has established clear procedures for disposal and 在辦公室配置回收箱，建立處理及管理 management of office garbage and recyclable waste by 辦公室垃圾以及可回收廢棄物的明確程 allocati</t>
        </is>
      </c>
    </row>
    <row r="71">
      <c r="A71" s="8" t="inlineStr">
        <is>
          <t>ESG Data</t>
        </is>
      </c>
      <c r="B71" s="8" t="inlineStr">
        <is>
          <t>環境社會及管治數據</t>
        </is>
      </c>
      <c r="C71" s="8" t="inlineStr">
        <is>
          <t>medium</t>
        </is>
      </c>
      <c r="D71" s="11" t="inlineStr">
        <is>
          <t>energy consumption</t>
        </is>
      </c>
      <c r="E71" s="11" t="inlineStr">
        <is>
          <t>PDF p.68 (印刷頁 67)</t>
        </is>
      </c>
      <c r="F71" s="11" t="inlineStr">
        <is>
          <t>well as 可或缺的一部分，並遵守政府的相關政 complying with relevant government policies and 策及環保法規。 environmental legislations. Energy 能源 The Group’s energy consumption consists of vehicle fuel 本集團的能源消耗包括辦公室營運中使 and electricity use for office operations. Electricity 用的車用燃料及電力。購電約佔總能耗 purchased accounted for approximately 74% of total 的74%，而汽油的使用則佔剩餘的 energy consumption, and petrol use accounted for the 26%。我們繼續經營一個拍賣平台，以 remaining 26%. We continue to operate an auction 便我們的客戶可不受時空限制地參與拍 platform so that our customers can participate and bid in</t>
        </is>
      </c>
    </row>
    <row r="72">
      <c r="A72" s="8" t="inlineStr">
        <is>
          <t>ESG Data</t>
        </is>
      </c>
      <c r="B72" s="8" t="inlineStr">
        <is>
          <t>環境社會及管治數據</t>
        </is>
      </c>
      <c r="C72" s="8" t="inlineStr">
        <is>
          <t>medium</t>
        </is>
      </c>
      <c r="D72" s="11" t="inlineStr">
        <is>
          <t>energy consumption</t>
        </is>
      </c>
      <c r="E72" s="11" t="inlineStr">
        <is>
          <t>PDF p.69 (印刷頁 68)</t>
        </is>
      </c>
      <c r="F72" s="11" t="inlineStr">
        <is>
          <t>e number of employee of the Group in 2026 and 附註(2)： 本集團於2026年及2025年的僱員 2025 are 34 and 36 respectively. 人數分別為34名及36名。 The Group has energy consumption targets of maintaining 本集團設立能源消耗目標為於2027年結 the discharge intensity (per employee) at the same level of 束時將排放密度（每名僱員）維持在與 2022 by the end of 2027. Regarding to the target 2022年相同的水平。就本年度的目標進 progress of the current year, the target of discharge 度而言，能源消耗的排放密度（每名僱員） intensity (per employee) of the energy consumption is in 目標目前仍在進行中。本集團將繼續推 progress. The Group will continue to promo</t>
        </is>
      </c>
    </row>
    <row r="73">
      <c r="A73" s="8" t="inlineStr">
        <is>
          <t>ESG Data</t>
        </is>
      </c>
      <c r="B73" s="8" t="inlineStr">
        <is>
          <t>環境社會及管治數據</t>
        </is>
      </c>
      <c r="C73" s="8" t="inlineStr">
        <is>
          <t>medium</t>
        </is>
      </c>
      <c r="D73" s="11" t="inlineStr">
        <is>
          <t>環境、社會及管治</t>
        </is>
      </c>
      <c r="E73" s="11" t="inlineStr">
        <is>
          <t>PDF p.70 (印刷頁 69)</t>
        </is>
      </c>
      <c r="F73" s="11" t="inlineStr">
        <is>
          <t>Environment, Social and Governance Report 環境、社會及管治報告 Water resources 水資源 At the Group, the offices withdraw water from municipal 在本集團，辦公室從市政供水中取水。 water supplies. During the Reporting Period, it did not 於報告期內，我們在求取適用水源方面 encounter any problems in sourcing water fit for purpose. 並無遇到任何問題。然而，水資源不應視 However, water resources should not be taken for granted 為理所當然，應加以保護以確保未來的 and conserved to ensure a sustainable future. The Group 可持續發展。本集團已設定用</t>
        </is>
      </c>
    </row>
    <row r="74">
      <c r="A74" s="8" t="inlineStr">
        <is>
          <t>ESG Data</t>
        </is>
      </c>
      <c r="B74" s="8" t="inlineStr">
        <is>
          <t>環境社會及管治數據</t>
        </is>
      </c>
      <c r="C74" s="8" t="inlineStr">
        <is>
          <t>medium</t>
        </is>
      </c>
      <c r="D74" s="11" t="inlineStr">
        <is>
          <t>環境、社會及管治</t>
        </is>
      </c>
      <c r="E74" s="11" t="inlineStr">
        <is>
          <t>PDF p.71 (印刷頁 70)</t>
        </is>
      </c>
      <c r="F74" s="11" t="inlineStr">
        <is>
          <t>Environment, Social and Governance Report 環境、社會及管治報告 Due to the change in management company, the 由於管理公司變動，於報告期的用水量 consumption of water decreased to a total of 59 cubic 減少至合共59立方米，導致每名僱員的 metre during the Reporting Period, resulting in a water 用水密度為1.74立方米。 intensity of 1.74 cubic metre per employee. Water consumption(1) Unit 2026 2025 YOY change 用水量(1) 單位 2026年 2025年 同比變動 Total water consumption cubic metre 59 59 0% 總用水量 立方米 Water consu</t>
        </is>
      </c>
    </row>
    <row r="75">
      <c r="A75" s="8" t="inlineStr">
        <is>
          <t>ESG Data</t>
        </is>
      </c>
      <c r="B75" s="8" t="inlineStr">
        <is>
          <t>環境社會及管治數據</t>
        </is>
      </c>
      <c r="C75" s="8" t="inlineStr">
        <is>
          <t>medium</t>
        </is>
      </c>
      <c r="D75" s="11" t="inlineStr">
        <is>
          <t>carbon</t>
        </is>
      </c>
      <c r="E75" s="11" t="inlineStr">
        <is>
          <t>PDF p.72 (印刷頁 71)</t>
        </is>
      </c>
      <c r="F75" s="11" t="inlineStr">
        <is>
          <t>mate change risks present to 線構成的潛在影響類別，以及向私人領 their bottom line, as well as the opportunities to transit to 域提供低碳經濟轉型的機會。儘管仍處 a low-carbon economy offers to the private sphere. Albeit 於早期階段，本集團已開始將氣候變化 in the early stages, the Group has commenced the 風險及機遇納入我們的經營策略。本集 integration of climate change risks and opportunities 團將至少每年進行一次企業風險評估， within our business strategies. Our Group will conduct an 以評估本集團業務面臨的當前及潛在風 enterprise risk assessment at least once a year to assess 險，包括氣候變化影響帶來的潛在風險。 the current and potential risks faced</t>
        </is>
      </c>
    </row>
    <row r="76">
      <c r="A76" s="8" t="inlineStr">
        <is>
          <t>ESG Data</t>
        </is>
      </c>
      <c r="B76" s="8" t="inlineStr">
        <is>
          <t>環境社會及管治數據</t>
        </is>
      </c>
      <c r="C76" s="8" t="inlineStr">
        <is>
          <t>medium</t>
        </is>
      </c>
      <c r="D76" s="11" t="inlineStr">
        <is>
          <t>ESG</t>
        </is>
      </c>
      <c r="E76" s="11" t="inlineStr">
        <is>
          <t>PDF p.73 (印刷頁 72)</t>
        </is>
      </c>
      <c r="F76" s="11" t="inlineStr">
        <is>
          <t>all responsibility for overseeing the 董事會全面負責監督氣候相關風險及機 climate related risks and opportunities. It has formed the 遇。其已成立環境、社會及管治工作小 ESG working group to assist the management of the 組，以協助管理氣候相關風險及機遇。 climate related risks and opportunities. The Board 董事會聯同環境、社會及管治工作小組 together with the ESG working group review and address 審閱並處理氣候相關風險及機遇。 the climate related risks and opportunities. To further improve the capability of the Group in 為進一步提升本集團應對氣候相關風險 response to the climate related risks and opportunities, 及機遇的能力，本集團將向董事會及管 the</t>
        </is>
      </c>
    </row>
    <row r="77">
      <c r="A77" s="8" t="inlineStr">
        <is>
          <t>ESG Data</t>
        </is>
      </c>
      <c r="B77" s="8" t="inlineStr">
        <is>
          <t>環境社會及管治數據</t>
        </is>
      </c>
      <c r="C77" s="8" t="inlineStr">
        <is>
          <t>medium</t>
        </is>
      </c>
      <c r="D77" s="11" t="inlineStr">
        <is>
          <t>carbon</t>
        </is>
      </c>
      <c r="E77" s="11" t="inlineStr">
        <is>
          <t>PDF p.74 (印刷頁 73)</t>
        </is>
      </c>
      <c r="F77" s="11" t="inlineStr">
        <is>
          <t>al and Governance policy 本集團的環境、社會及管治政策強調， emphasize that the Group should apply three key 本集團應實施三項關鍵策略：加強碳排 strategies: enhance the carbon emission disclosure, 放披露，改善氣候變化風險管理，並將氣 improve climate change risk management, and include 候變化問題納入本集團未來的經營計 climate change concerns in the future business plan of the 劃。本集團潛在的氣候相關風險概述如 Group. The Group’s potential climate-related risks are 下： summarised as below: Potential impact on business models Potential Financial Risk Type and value chains Impact Mitigation Strategy Time horizon 對業務模式</t>
        </is>
      </c>
    </row>
    <row r="78">
      <c r="A78" s="8" t="inlineStr">
        <is>
          <t>ESG Data</t>
        </is>
      </c>
      <c r="B78" s="8" t="inlineStr">
        <is>
          <t>環境社會及管治數據</t>
        </is>
      </c>
      <c r="C78" s="8" t="inlineStr">
        <is>
          <t>medium</t>
        </is>
      </c>
      <c r="D78" s="11" t="inlineStr">
        <is>
          <t>環境、社會及管治</t>
        </is>
      </c>
      <c r="E78" s="11" t="inlineStr">
        <is>
          <t>PDF p.75 (印刷頁 74)</t>
        </is>
      </c>
      <c r="F78" s="11" t="inlineStr">
        <is>
          <t>Environment, Social and Governance Report 環境、社會及管治報告 Potential impact on business models Potential Financial Risk Type and value chains Impact Mitigation Strategy Time horizon 對業務模式及 風險類別 價值鏈的潛在影響 潛在財務影響 緩解策略 時間範疇 實體風險 • 電網及通訊基礎 • 業務中斷導致業 • 設立惡劣天氣政 • 短期至中 • 降雨模式變化、 設施損壞可能導 務收益減少 策及制定應急預 期 天氣模式極端變 致營運中斷 • 有關拍賣產品損 案 化及更嚴重的極 • 極端天氣可能導 壞的保險費用增 • 保險範圍涵蓋火 端天氣事件，例 致交通中斷並影 加，將導致經營 災、水災及颱風 如水災及颱風 響僱員上班，進 開支增加 對藝術品、裝置 而影響本集團的 及配件等損壞 營運 • 極端天氣可能在 藝術</t>
        </is>
      </c>
    </row>
    <row r="79">
      <c r="A79" s="8" t="inlineStr">
        <is>
          <t>ESG Data</t>
        </is>
      </c>
      <c r="B79" s="8" t="inlineStr">
        <is>
          <t>環境社會及管治數據</t>
        </is>
      </c>
      <c r="C79" s="8" t="inlineStr">
        <is>
          <t>medium</t>
        </is>
      </c>
      <c r="D79" s="11" t="inlineStr">
        <is>
          <t>carbon</t>
        </is>
      </c>
      <c r="E79" s="11" t="inlineStr">
        <is>
          <t>PDF p.76 (印刷頁 75)</t>
        </is>
      </c>
      <c r="F79" s="11" t="inlineStr">
        <is>
          <t>解策略 時間範疇 • Growing public • Fail to • Increase in the • To build trust and • Long term demand for demonstrate operating confidence decarbonization decarbonization expenses and among the efforts efforts may capital stakeholders by damage to the expenditures to maintaining Group’s meet the transparency on reputation expectation of the the ESG issues stakeholders • 公眾對減碳工作 • 未能展現減碳成 • 經營開支及資本 • 對環境、社會及 • 長期 的需求日益增加 效可能導致本集 開支增加，以滿 管治議題保持透 團聲譽受損 足持份者的期望 明度，建立持份 者信任和信心 Note 1: Owing to the uncertainty of the quantitative financial 附</t>
        </is>
      </c>
    </row>
    <row r="80">
      <c r="A80" s="8" t="inlineStr">
        <is>
          <t>ESG Data</t>
        </is>
      </c>
      <c r="B80" s="8" t="inlineStr">
        <is>
          <t>環境社會及管治數據</t>
        </is>
      </c>
      <c r="C80" s="8" t="inlineStr">
        <is>
          <t>medium</t>
        </is>
      </c>
      <c r="D80" s="11" t="inlineStr">
        <is>
          <t>ESG</t>
        </is>
      </c>
      <c r="E80" s="11" t="inlineStr">
        <is>
          <t>PDF p.77 (印刷頁 76)</t>
        </is>
      </c>
      <c r="F80" s="11" t="inlineStr">
        <is>
          <t>Environment, Social and Governance Report 環境、社會及管治報告 Risk management 風險管理 To assesses the risks, including ESG-related risks and 除環境、社會及管治工作小組外，本集團 opportunities, other than the ESG working group, the 亦已委任獨立內部監控審閱顧問（即「內 Group also has appointed an independent internal control 部監控顧問」），透過風險識別、評估、處 review advisor (i.e. the “Internal Control Advisor”), 理、監控及審閱程序評估風險（包括環 through the processes of risk identification, assessment, 境、社會及管治相關風險及機遇）。整體 treatment, monitoring and review. The result of the 環境、社會及管治相</t>
        </is>
      </c>
    </row>
    <row r="81">
      <c r="A81" s="8" t="inlineStr">
        <is>
          <t>ESG Data</t>
        </is>
      </c>
      <c r="B81" s="8" t="inlineStr">
        <is>
          <t>環境社會及管治數據</t>
        </is>
      </c>
      <c r="C81" s="8" t="inlineStr">
        <is>
          <t>medium</t>
        </is>
      </c>
      <c r="D81" s="11" t="inlineStr">
        <is>
          <t>GHG emission</t>
        </is>
      </c>
      <c r="E81" s="11" t="inlineStr">
        <is>
          <t>PDF p.78 (印刷頁 77)</t>
        </is>
      </c>
      <c r="F81" s="11" t="inlineStr">
        <is>
          <t>d report 體排放目標而言，該等目標並非採用行 to the Board regarding the progress and the need for the 業特定的減碳方法制定，且目前並無計 target revision. Regarding the GHG emission targets, they 劃利用碳信用抵銷溫室氣體排放以實現 are not derived using a sectoral decarbonization approach 溫室氣體排放目標。就跨行業指標而言， and currently has no plan to use carbon credits to offset 本集團已應用合理資料寬免，且於決策 GHG emissions to achieve the GHG emission targets. 過程中並未應用碳定價，亦未將氣候相 Regarding the cross-industry metrics, the reasonable 關考量納入薪酬政策。 information relief is applied and the Group does not apply a carbon p</t>
        </is>
      </c>
    </row>
    <row r="82">
      <c r="A82" s="8" t="inlineStr">
        <is>
          <t>ESG Data</t>
        </is>
      </c>
      <c r="B82" s="8" t="inlineStr">
        <is>
          <t>環境社會及管治數據</t>
        </is>
      </c>
      <c r="C82" s="8" t="inlineStr">
        <is>
          <t>medium</t>
        </is>
      </c>
      <c r="D82" s="11" t="inlineStr">
        <is>
          <t>環境、社會及管治</t>
        </is>
      </c>
      <c r="E82" s="11" t="inlineStr">
        <is>
          <t>PDF p.79 (印刷頁 78)</t>
        </is>
      </c>
      <c r="F82" s="11" t="inlineStr">
        <is>
          <t>Environment, Social and Governance Report 環境、社會及管治報告 VI. SOCIAL RESPONSIBILITY VI. 社會責任 The Group ingrains social responsibility into all aspects of 本集團將社會責任植根於其所有營運層 its operations. The Group strives to maintain honest and 面。本集團致力與員工維持誠實及真正 authentic dialogue with staff and seeks to address their 對話，並尋求應對其需要及觀點以確保 needs and views to ensure our conduct is responsible at 我們於所有時間均以負責任方式行事。 all times. The Group commits to offering a fair and</t>
        </is>
      </c>
    </row>
    <row r="83">
      <c r="A83" s="8" t="inlineStr">
        <is>
          <t>ESG Data</t>
        </is>
      </c>
      <c r="B83" s="8" t="inlineStr">
        <is>
          <t>環境社會及管治數據</t>
        </is>
      </c>
      <c r="C83" s="8" t="inlineStr">
        <is>
          <t>medium</t>
        </is>
      </c>
      <c r="D83" s="11" t="inlineStr">
        <is>
          <t>環境、社會及管治</t>
        </is>
      </c>
      <c r="E83" s="11" t="inlineStr">
        <is>
          <t>PDF p.80 (印刷頁 79)</t>
        </is>
      </c>
      <c r="F83" s="11" t="inlineStr">
        <is>
          <t>Environment, Social and Governance Report 環境、社會及管治報告 Employees(1) Unit 2026 2025 僱員(1) 單位 2026年 2025年 Group person 34 36 本集團 人數 By Gender 按性別 Male person 20 20 男性 人數 Female person 14 16 女性 人數 By Type 按僱傭類別 Full-Time person 31 33 全職 人數 Part-Time person 3 3 兼職 人數 By Category 按僱員類別 Executive person 6 6 行政 人數 Technical person 1 1 技術 人數 Administrative person 27 29 管理 人數 By Age 按年齡 Under 30 person 5 5 30歲以下 人數 30–39 person 12 16 30歲至39歲 人數 40–4</t>
        </is>
      </c>
    </row>
    <row r="84">
      <c r="A84" s="8" t="inlineStr">
        <is>
          <t>ESG Data</t>
        </is>
      </c>
      <c r="B84" s="8" t="inlineStr">
        <is>
          <t>環境社會及管治數據</t>
        </is>
      </c>
      <c r="C84" s="8" t="inlineStr">
        <is>
          <t>medium</t>
        </is>
      </c>
      <c r="D84" s="11" t="inlineStr">
        <is>
          <t>ESG</t>
        </is>
      </c>
      <c r="E84" s="11" t="inlineStr">
        <is>
          <t>PDF p.81 (印刷頁 80)</t>
        </is>
      </c>
      <c r="F84" s="11" t="inlineStr">
        <is>
          <t>olled by the Group. The above 數據的報告方法乃基於《如何準備 method of reporting employment data is based on 環境、社會及管治報告 — 附錄 the “How to prepare an ESG Report — Appendix 3: 三：社會關鍵績效指標匯報指 Reporting Guidance on Social KPIs”. 引》。 Based on the principles of fairness and equality, the 根據公平及平等原則，本集團的僱傭手 Group’s employment handbook stipulates concrete policies 冊規定有關相關勞工法律、規例及行業 relating to relevant labor laws, regulations and industry 慣例的具體政策，涵蓋多個範圍，例如補 practices, covering areas such as compensation, dismissal, 償、解僱、晉升、工作時數、招聘、休息 promotion, working</t>
        </is>
      </c>
    </row>
    <row r="85">
      <c r="A85" s="8" t="inlineStr">
        <is>
          <t>ESG Data</t>
        </is>
      </c>
      <c r="B85" s="8" t="inlineStr">
        <is>
          <t>環境社會及管治數據</t>
        </is>
      </c>
      <c r="C85" s="8" t="inlineStr">
        <is>
          <t>medium</t>
        </is>
      </c>
      <c r="D85" s="11" t="inlineStr">
        <is>
          <t>環境、社會及管治</t>
        </is>
      </c>
      <c r="E85" s="11" t="inlineStr">
        <is>
          <t>PDF p.82 (印刷頁 81)</t>
        </is>
      </c>
      <c r="F85" s="11" t="inlineStr">
        <is>
          <t>Environment, Social and Governance Report 環境、社會及管治報告 Remuneration policies 薪酬政策 Employees of the Group are remunerated at a competitive 本集團向僱員提供具競爭力的薪酬，並 level with reference to market terms and individual merits 經參考市場情況及個別僱員能力而定， and are rewarded according to their performance and 以及根據其表現及經驗給予獎勵。本集 experience. The promotion and remuneration of the 團僱員的晉升及薪酬乃視年度檢討而 Group’s employees are subject to annual review. 定。根據香港的《強制性公積金計劃條 Employee</t>
        </is>
      </c>
    </row>
    <row r="86">
      <c r="A86" s="8" t="inlineStr">
        <is>
          <t>ESG Data</t>
        </is>
      </c>
      <c r="B86" s="8" t="inlineStr">
        <is>
          <t>環境社會及管治數據</t>
        </is>
      </c>
      <c r="C86" s="8" t="inlineStr">
        <is>
          <t>medium</t>
        </is>
      </c>
      <c r="D86" s="11" t="inlineStr">
        <is>
          <t>環境、社會及管治</t>
        </is>
      </c>
      <c r="E86" s="11" t="inlineStr">
        <is>
          <t>PDF p.83 (印刷頁 82)</t>
        </is>
      </c>
      <c r="F86" s="11" t="inlineStr">
        <is>
          <t>Environment, Social and Governance Report 環境、社會及管治報告 During the Reporting Year under review, the Group’s 於回顧報告年度內，本集團的僱員流失 employee turnover rate decreased from 17% in 2025 to 率由2025年的17%持續減少至2026年的 3% in 2026. The charts below present the turnover rate 3%。下表載列按性別、年齡及地區劃分 by gender, age and region. 的流失率。 Turnover rate(1) Unit 2026 2025 流失率(1) 單位 2026年 2025年 Group % 3 17 本集團 By Gender 按性別 Male % 5 20 男性 Female % — 13 女性 By Age Group 按年齡組別</t>
        </is>
      </c>
    </row>
    <row r="87">
      <c r="A87" s="8" t="inlineStr">
        <is>
          <t>ESG Data</t>
        </is>
      </c>
      <c r="B87" s="8" t="inlineStr">
        <is>
          <t>環境社會及管治數據</t>
        </is>
      </c>
      <c r="C87" s="8" t="inlineStr">
        <is>
          <t>medium</t>
        </is>
      </c>
      <c r="D87" s="11" t="inlineStr">
        <is>
          <t>ESG</t>
        </is>
      </c>
      <c r="E87" s="11" t="inlineStr">
        <is>
          <t>PDF p.84 (印刷頁 83)</t>
        </is>
      </c>
      <c r="F87" s="11" t="inlineStr">
        <is>
          <t>the year. The reporting 告方法乃基於聯交所發佈的《如何 method used for the above turnover data is based 準備環境、社會及管治報告 — 附 on the “How to prepare an ESG Report — Appendix 錄三：社會關鍵績效指標匯報指 3: Reporting Guidance on Social KPIs” issued by the 引》。 Stock Exchange. Anti-discrimination and diversity 反歧視及多元化 The Group is an equal opportunity employer and does not 本集團為平等機會僱主，並不會基於年 discriminate on the basis of age, sex, marital status, 齡、性別、婚姻狀況、家庭狀況、種族、 family status, race, disability, nationality, religion, political 殘疾、國籍、宗教、政治聯繫及性傾向而 affiliation and</t>
        </is>
      </c>
    </row>
    <row r="88">
      <c r="A88" s="8" t="inlineStr">
        <is>
          <t>ESG Data</t>
        </is>
      </c>
      <c r="B88" s="8" t="inlineStr">
        <is>
          <t>環境社會及管治數據</t>
        </is>
      </c>
      <c r="C88" s="8" t="inlineStr">
        <is>
          <t>medium</t>
        </is>
      </c>
      <c r="D88" s="11" t="inlineStr">
        <is>
          <t>環境、社會及管治</t>
        </is>
      </c>
      <c r="E88" s="11" t="inlineStr">
        <is>
          <t>PDF p.85 (印刷頁 84)</t>
        </is>
      </c>
      <c r="F88" s="11" t="inlineStr">
        <is>
          <t>Environment, Social and Governance Report 環境、社會及管治報告 The Group spares no effort to safeguard the safety of our 本集團不遺餘力地保障我們僱員及工作 employees and workplace. During the Reporting Period, 場所的安全。於報告期內，本集團已透過 the Group has adopted the best practices through the 以下安全政策及程序採納最佳常規。 following safety policies and procedures. • Establishes safety guidelines and practices to ensure • 制定安全指引及常規以確保為僱員 healthy and safe working conditions for the 提供健康及安全的工作</t>
        </is>
      </c>
    </row>
    <row r="89">
      <c r="A89" s="8" t="inlineStr">
        <is>
          <t>ESG Data</t>
        </is>
      </c>
      <c r="B89" s="8" t="inlineStr">
        <is>
          <t>環境社會及管治數據</t>
        </is>
      </c>
      <c r="C89" s="8" t="inlineStr">
        <is>
          <t>medium</t>
        </is>
      </c>
      <c r="D89" s="11" t="inlineStr">
        <is>
          <t>環境、社會及管治</t>
        </is>
      </c>
      <c r="E89" s="11" t="inlineStr">
        <is>
          <t>PDF p.86 (印刷頁 85)</t>
        </is>
      </c>
      <c r="F89" s="11" t="inlineStr">
        <is>
          <t>Environment, Social and Governance Report 環境、社會及管治報告 During the past three years, there was no work-related 於過往三年內，概無工作相關致命事件。 fatalities. Furthermore, there were no lose days due to 此外，於報告期內，概無因工傷而引致損 work injuries in the Reporting Period. 失工作日數。 Aspect B3: Development and training 層面B3：發展及培訓 The Group regards our staff as the most valuable assets. 本集團視我們的員工為最寶貴的資產。 The Group dedicates significant resources to attract and 本集團投入大量資源以吸引及挽留</t>
        </is>
      </c>
    </row>
    <row r="90">
      <c r="A90" s="8" t="inlineStr">
        <is>
          <t>Segment Information</t>
        </is>
      </c>
      <c r="B90" s="8" t="inlineStr">
        <is>
          <t>分部資料</t>
        </is>
      </c>
      <c r="C90" s="8" t="inlineStr">
        <is>
          <t>medium</t>
        </is>
      </c>
      <c r="D90" s="11" t="inlineStr">
        <is>
          <t>geographical</t>
        </is>
      </c>
      <c r="E90" s="11" t="inlineStr">
        <is>
          <t>PDF p.89 (印刷頁 88)</t>
        </is>
      </c>
      <c r="F90" s="11" t="inlineStr">
        <is>
          <t>egulations at all operating regions. The major suppliers of the Group are located in Japan, 本集團的主要供應商位於日本、香港及 Hong Kong and PRC. The geographical distribution of the 中國。本集團供應商的地域分佈如下。 suppliers of the Group is as below. Distribution of suppliers Unit 2026 2025 供應商分佈 單位 2026年 2025年 By Region 按地區 Japan % 55 55 日本 Hong Kong % 25 25 香港 PRC % 15 15 中國 Other regions % 5 5 其他地區 The Group generally selects suppliers based on their scale 本集團一般以供應商的業務規模及聲譽 of business and reputation. The Group also supports and 挑選供應商。本集團亦支持及鼓勵供應 encourag</t>
        </is>
      </c>
    </row>
    <row r="91">
      <c r="A91" s="8" t="inlineStr">
        <is>
          <t>Segment Information</t>
        </is>
      </c>
      <c r="B91" s="8" t="inlineStr">
        <is>
          <t>分部資料</t>
        </is>
      </c>
      <c r="C91" s="8" t="inlineStr">
        <is>
          <t>medium</t>
        </is>
      </c>
      <c r="D91" s="11" t="inlineStr">
        <is>
          <t>operating segment</t>
        </is>
      </c>
      <c r="E91" s="11" t="inlineStr">
        <is>
          <t>PDF p.97 (印刷頁 96)</t>
        </is>
      </c>
      <c r="F91" s="11" t="inlineStr">
        <is>
          <t>rks and (ii) operation of gold and gold related business. An analysis of the Group’s performance for the year by 本集團在本年度之業績表現按營運分部進行 operating segment is set out in Note 5 to the consolidated 的分析載於合併財務報表附註5。 financial statements. BUSINESS REVIEW 業務審視 Part of the business review as required under Schedule 5 to the 部分根據公司條例附表5的業務審視載列於本 Companies Ordinance is included in the section headed 年報第10至24頁的「管理層討論及分析」一節 “Management Discussion and Analysis” in this annual report on 內，上述內容為本董事會報告一部分。 pages 10 to 24 and such contents form pa</t>
        </is>
      </c>
    </row>
    <row r="92">
      <c r="A92" s="8" t="inlineStr">
        <is>
          <t>Segment Information</t>
        </is>
      </c>
      <c r="B92" s="8" t="inlineStr">
        <is>
          <t>分部資料</t>
        </is>
      </c>
      <c r="C92" s="8" t="inlineStr">
        <is>
          <t>medium</t>
        </is>
      </c>
      <c r="D92" s="11" t="inlineStr">
        <is>
          <t>operating segment</t>
        </is>
      </c>
      <c r="E92" s="11" t="inlineStr">
        <is>
          <t>PDF p.145 (印刷頁 144)</t>
        </is>
      </c>
      <c r="F92" s="11" t="inlineStr">
        <is>
          <t>註 2. BASIS OF PREPARATION AND MATERIAL 2. 編製基準及重大會計政策資料 ACCOUNTING POLICY INFORMATION （續） (Continued) 2.4 Segment reporting 2.4 分部報告 Operating segments are reported in a manner 營運分部按照向主要營運決策者 consistent with the internal reporting provided to the （「主要營運決策者」）提供的內部報 chief operating decision-maker (the “CODM”). The 告方式呈報。主要營運決策者（負責 CODM, who is responsible for allocating resources 資源調配及評估各營運分部的表現） and assessing performance of the operating 已確認為作出策略決定的本集團執 segments, has been identified as executive directors 行董事。 of the Group that</t>
        </is>
      </c>
    </row>
    <row r="93">
      <c r="A93" s="8" t="inlineStr">
        <is>
          <t>Segment Information</t>
        </is>
      </c>
      <c r="B93" s="8" t="inlineStr">
        <is>
          <t>分部資料</t>
        </is>
      </c>
      <c r="C93" s="8" t="inlineStr">
        <is>
          <t>medium</t>
        </is>
      </c>
      <c r="D93" s="11" t="inlineStr">
        <is>
          <t>segment information</t>
        </is>
      </c>
      <c r="E93" s="11" t="inlineStr">
        <is>
          <t>PDF p.196 (印刷頁 195)</t>
        </is>
      </c>
      <c r="F93" s="11" t="inlineStr">
        <is>
          <t>ch reporting 輸入數據的詳情於附註3.2的表格披 period. Details of the key assumptions and inputs 露。 used are disclosed in the tables in note 3.2. 5. SEGMENT INFORMATION 5. 分部資料 The chief operating decision-maker (“CODM”) has been 本集團執行董事被視為作出策略決策的 identified as the executive directors of the Group that 主要經營決策者（「主要經營決策者」）。 make strategic decisions. The CODM assesses the 主要經營決策者根據毛利計量評估經營 performance of the operating segments based on a 分部的表現，以分配資源。 measure of gross profit for the purpose of allocating resources. The management has identified th</t>
        </is>
      </c>
    </row>
    <row r="94">
      <c r="A94" s="8" t="inlineStr">
        <is>
          <t>Segment Information</t>
        </is>
      </c>
      <c r="B94" s="8" t="inlineStr">
        <is>
          <t>分部資料</t>
        </is>
      </c>
      <c r="C94" s="8" t="inlineStr">
        <is>
          <t>medium</t>
        </is>
      </c>
      <c r="D94" s="11" t="inlineStr">
        <is>
          <t>segment information</t>
        </is>
      </c>
      <c r="E94" s="11" t="inlineStr">
        <is>
          <t>PDF p.197 (印刷頁 196)</t>
        </is>
      </c>
      <c r="F94" s="11" t="inlineStr">
        <is>
          <t>Notes to the Consolidated Financial Statements 合併財務報表附註 5. SEGMENT INFORMATION (Continued) 5. 分部資料（續） The segment information provided to the CODM for the 於截至2026年及2025年3月31日止年度， years ended 31 March 2026 and 2025 are as follows: 呈交主要經營決策者的分部資料如下： Operation of Operation of art auction gold and and related Artwork gold related business sales business Total 藝術品拍賣及 黃金及黃金 相關業務經營 藝術品銷售 相關業務經營 總計 HK$’000 HK$’000 HK$’000 HK$’000 千港元 千港元 千港元 千港元 Year ended 31 Mar</t>
        </is>
      </c>
    </row>
    <row r="95">
      <c r="A95" s="8" t="inlineStr">
        <is>
          <t>Segment Information</t>
        </is>
      </c>
      <c r="B95" s="8" t="inlineStr">
        <is>
          <t>分部資料</t>
        </is>
      </c>
      <c r="C95" s="8" t="inlineStr">
        <is>
          <t>medium</t>
        </is>
      </c>
      <c r="D95" s="11" t="inlineStr">
        <is>
          <t>segment information</t>
        </is>
      </c>
      <c r="E95" s="11" t="inlineStr">
        <is>
          <t>PDF p.198 (印刷頁 197)</t>
        </is>
      </c>
      <c r="F95" s="11" t="inlineStr">
        <is>
          <t>Notes to the Consolidated Financial Statements 合併財務報表附註 5. SEGMENT INFORMATION (Continued) 5. 分部資料（續） Operation of art auction and related Artwork business sales Total 藝術品拍賣及 相關業務經營 藝術品銷售 總計 HK$’000 HK$’000 HK$’000 千港元 千港元 千港元 Year ended 31 March 2025 截至2025年3月31日止年度 Segment revenue from external 來自外部客戶的分部收益 customers 52,194 9,857 62,051 Costs of services/sales 服務╱銷售成本 (5,058) (8,509) (13,567) Segment results 分部業績 47,136 1,348 48,484 Other gains, net 其他收益</t>
        </is>
      </c>
    </row>
    <row r="96">
      <c r="A96" s="8" t="inlineStr">
        <is>
          <t>Segment Information</t>
        </is>
      </c>
      <c r="B96" s="8" t="inlineStr">
        <is>
          <t>分部資料</t>
        </is>
      </c>
      <c r="C96" s="8" t="inlineStr">
        <is>
          <t>medium</t>
        </is>
      </c>
      <c r="D96" s="11" t="inlineStr">
        <is>
          <t>segment information</t>
        </is>
      </c>
      <c r="E96" s="11" t="inlineStr">
        <is>
          <t>PDF p.199 (印刷頁 198)</t>
        </is>
      </c>
      <c r="F96" s="11" t="inlineStr">
        <is>
          <t>Notes to the Consolidated Financial Statements 合併財務報表附註 5. SEGMENT INFORMATION (Continued) 5. 分部資料（續） Revenue from external customers, by geographical area, is 按地理區域劃分的來自外部客戶收益如 as follows: 下： 2026 2025 2026年 2025年 HK$’000 HK$’000 千港元 千港元 Hong Kong 香港 60,750 27,474 Japan 日本 46,695 34,577 107,445 62,051 Revenue from customers, contributing over 10% of the 截至2026年及2025年3月31日止年度，佔 total revenue of the Group during the years ended 31 本集團總收益10%以上的客戶收益如下： March</t>
        </is>
      </c>
    </row>
    <row r="97">
      <c r="A97" s="8" t="inlineStr">
        <is>
          <t>Segment Information</t>
        </is>
      </c>
      <c r="B97" s="8" t="inlineStr">
        <is>
          <t>分部資料</t>
        </is>
      </c>
      <c r="C97" s="8" t="inlineStr">
        <is>
          <t>medium</t>
        </is>
      </c>
      <c r="D97" s="11" t="inlineStr">
        <is>
          <t>segment information</t>
        </is>
      </c>
      <c r="E97" s="11" t="inlineStr">
        <is>
          <t>PDF p.200 (印刷頁 199)</t>
        </is>
      </c>
      <c r="F97" s="11" t="inlineStr">
        <is>
          <t>Notes to the Consolidated Financial Statements 合併財務報表附註 5. SEGMENT INFORMATION (Continued) 5. 分部資料（續） Information on segment assets and segment liabilities of 由於本集團的分部資產及分部負債資料 the Group are not reviewed by CODM for the purpose of 並未由主要經營決策者審閱以分配資源 resource allocation and performance assessment nor 及評核表現，亦未有定期呈交予主要經 otherwise regularly provided to the CODM. As a result, no 營決策者，故並無呈列分部資產及分部 analysis of segment assets and segment liabilities is 負債的分析。 pres</t>
        </is>
      </c>
    </row>
    <row r="98">
      <c r="A98" s="8" t="inlineStr">
        <is>
          <t>Share-based Payment</t>
        </is>
      </c>
      <c r="B98" s="8" t="inlineStr">
        <is>
          <t>以股份為基礎的付款</t>
        </is>
      </c>
      <c r="C98" s="8" t="inlineStr">
        <is>
          <t>medium</t>
        </is>
      </c>
      <c r="D98" s="11" t="inlineStr">
        <is>
          <t>share option</t>
        </is>
      </c>
      <c r="E98" s="11" t="inlineStr">
        <is>
          <t>PDF p.19 (印刷頁 18)</t>
        </is>
      </c>
      <c r="F98" s="11" t="inlineStr">
        <is>
          <t>討報酬及福利政策。本集團亦提供其他附 the individual performance of employees. Other fringe benefits, 加福利、強制性公積金及購股權以挽留忠誠僱 mandatory provident fund and share options are provided to 員，旨在形成可令本集團取得不同層面成功之 retain loyal employees with the aim to form a professional staff 專業僱員及管理團隊。 and management team that can bring the Group to different levels of success. The Group operates a defined contribution retirement benefits 本集團根據香港法例第485章強制性公積金計 scheme under the Mandatory Provident Fund Schemes 劃條例為其所有香港僱員營運一個界定供款 Ordinance (Chapter 485 of the Laws of Hong</t>
        </is>
      </c>
    </row>
    <row r="99">
      <c r="A99" s="8" t="inlineStr">
        <is>
          <t>Share-based Payment</t>
        </is>
      </c>
      <c r="B99" s="8" t="inlineStr">
        <is>
          <t>以股份為基礎的付款</t>
        </is>
      </c>
      <c r="C99" s="8" t="inlineStr">
        <is>
          <t>medium</t>
        </is>
      </c>
      <c r="D99" s="11" t="inlineStr">
        <is>
          <t>share option</t>
        </is>
      </c>
      <c r="E99" s="11" t="inlineStr">
        <is>
          <t>PDF p.20 (印刷頁 19)</t>
        </is>
      </c>
      <c r="F99" s="11" t="inlineStr">
        <is>
          <t>Management Discussion and Analysis 管理層討論及分析 Details of the share option movements during the period from 2018年購股權計劃項下的購股權於2025年4月 1 April 2025 to 31 March 2026 under the 2018 Share Option 1日至2026年3月31日期間的變動詳情如下： Scheme are as follows: Number of share options 購股權數目 Lapsed/ Granted Exercised cancelled Outstanding during the during the during the Outstanding as at year ended year ended year ended as at Holder of Exercise price 1 April 31 March 31 March 31 Ma</t>
        </is>
      </c>
    </row>
    <row r="100">
      <c r="A100" s="8" t="inlineStr">
        <is>
          <t>Share-based Payment</t>
        </is>
      </c>
      <c r="B100" s="8" t="inlineStr">
        <is>
          <t>以股份為基礎的付款</t>
        </is>
      </c>
      <c r="C100" s="8" t="inlineStr">
        <is>
          <t>medium</t>
        </is>
      </c>
      <c r="D100" s="11" t="inlineStr">
        <is>
          <t>share option</t>
        </is>
      </c>
      <c r="E100" s="11" t="inlineStr">
        <is>
          <t>PDF p.21 (印刷頁 20)</t>
        </is>
      </c>
      <c r="F100" s="11" t="inlineStr">
        <is>
          <t>he 於2023年9月4日，在股東週年大會（「2023年股 “2023 AGM”), the Company proposed adoption of the share 東週年大會」）上，本公司建議採納購股權計劃 option scheme (the “2023 Share Option Scheme”) and （「2023年購股權計劃」）及終止2018年購股權計 termination of the 2018 Share Option Scheme were duly 劃已獲股東按投票表決方式正式通過。2023年 passed by the Shareholders by way of poll. Details of the 2023 購股權詳情載於本公司日期為2023年7月28日 Share Option Scheme are set out in the circular of the 的通函以及本公司日期為2023年9月4日的公告 Company dated 28 July 2023 and the poll result of the 2023 所載的2023年股東週年大會投票表決結果。 AGM are set out in the</t>
        </is>
      </c>
    </row>
    <row r="101">
      <c r="A101" s="8" t="inlineStr">
        <is>
          <t>Share-based Payment</t>
        </is>
      </c>
      <c r="B101" s="8" t="inlineStr">
        <is>
          <t>以股份為基礎的付款</t>
        </is>
      </c>
      <c r="C101" s="8" t="inlineStr">
        <is>
          <t>medium</t>
        </is>
      </c>
      <c r="D101" s="11" t="inlineStr">
        <is>
          <t>share option</t>
        </is>
      </c>
      <c r="E101" s="11" t="inlineStr">
        <is>
          <t>PDF p.22 (印刷頁 21)</t>
        </is>
      </c>
      <c r="F101" s="11" t="inlineStr">
        <is>
          <t>Management Discussion and Analysis 管理層討論及分析 (ii) grant of the Share Options to those key employees not (ii) 向該等主要員工授予購股權，不單可為 only can provide incentive or reward to staff so as to 員工提供激勵或獎勵，並鼓勵彼等繼續 encourage them to make continuing effort and 為本集團作出努力貢獻； contribution to the Group; (iii) encourages those junior staff and/or new employees to (iii) 鼓勵該等初級員工及╱或新員工為本集 contribute more to the Group as there is a chance to 團作出更多貢獻，因為不論彼等任職的 share results of the dev</t>
        </is>
      </c>
    </row>
    <row r="102">
      <c r="A102" s="8" t="inlineStr">
        <is>
          <t>Share-based Payment</t>
        </is>
      </c>
      <c r="B102" s="8" t="inlineStr">
        <is>
          <t>以股份為基礎的付款</t>
        </is>
      </c>
      <c r="C102" s="8" t="inlineStr">
        <is>
          <t>medium</t>
        </is>
      </c>
      <c r="D102" s="11" t="inlineStr">
        <is>
          <t>share option</t>
        </is>
      </c>
      <c r="E102" s="11" t="inlineStr">
        <is>
          <t>PDF p.23 (印刷頁 22)</t>
        </is>
      </c>
      <c r="F102" s="11" t="inlineStr">
        <is>
          <t>rds granted (excluding any options 有購股權及獎勵（不包括根據2023年購股 and awards lapsed in accordance with the terms of the 權計劃或有關股份計劃的條款已失效的 2023 Share Option Scheme or the relevant Share Scheme) 任何購股權及獎勵）在行使時已發行及將 to such person in the 12-month period up to and 予發行的股份合共佔超過已發行股份的 including the date of such grant representing in aggregate 0.1%，則該等購股權或獎勵的授出必須 over 0.1% of the Shares in issue, such grant of options or 由股東於股東大會上批准（該承授人、其 awards must be approved by the Shareholders in general 聯繫人及本公司所有核心關連人士必須 meeting (with such grantee, his ass</t>
        </is>
      </c>
    </row>
    <row r="103">
      <c r="A103" s="8" t="inlineStr">
        <is>
          <t>Share-based Payment</t>
        </is>
      </c>
      <c r="B103" s="8" t="inlineStr">
        <is>
          <t>以股份為基礎的付款</t>
        </is>
      </c>
      <c r="C103" s="8" t="inlineStr">
        <is>
          <t>medium</t>
        </is>
      </c>
      <c r="D103" s="11" t="inlineStr">
        <is>
          <t>share option</t>
        </is>
      </c>
      <c r="E103" s="11" t="inlineStr">
        <is>
          <t>PDF p.24 (印刷頁 23)</t>
        </is>
      </c>
      <c r="F103" s="11" t="inlineStr">
        <is>
          <t>d corporate 股權須遵守2023年購股權計劃的條款， governance of the Group, and (ii) the options are subject 計劃已涵蓋在承授人不再為本集團僱員 to the terms of the 2023 Share Option Scheme, which 的情況下購股權將失效的情況，本公司 already covers situations where the share options will 薪酬委員會及董事會相信，在並無額外 lapse in the event that the Grantees cease to be 績效目標的情況下，授予購股權使承授 employees of the Group, the remuneration committee of 人的利益與本公司及本公司股東的利益 the Company and the Board believe that without 保持一致，激勵承授人致力於本公司未 additional performance target, the grant of the Share 來的持續競爭力、經營業績及增長，並加 Optio</t>
        </is>
      </c>
    </row>
    <row r="104">
      <c r="A104" s="8" t="inlineStr">
        <is>
          <t>Share-based Payment</t>
        </is>
      </c>
      <c r="B104" s="8" t="inlineStr">
        <is>
          <t>以股份為基礎的付款</t>
        </is>
      </c>
      <c r="C104" s="8" t="inlineStr">
        <is>
          <t>medium</t>
        </is>
      </c>
      <c r="D104" s="11" t="inlineStr">
        <is>
          <t>share option</t>
        </is>
      </c>
      <c r="E104" s="11" t="inlineStr">
        <is>
          <t>PDF p.25 (印刷頁 24)</t>
        </is>
      </c>
      <c r="F104" s="11" t="inlineStr">
        <is>
          <t>ther than death, ill-heath or 傭合約退休以外的任何原因不再為董事 retirement in accordance with his/her contract of 或本集團僱員，則任何已授出購股權（以 employment, any Share Options granted (to the extent 尚未行使者為限）須於停止或終止僱傭日 not already exercised) shall lapse on the date of cessation 期失效。 or termination of employment. (h) The remaining life of the 2023 Share Option Scheme (h) 2023年購股權計劃的餘下年期 Subject to any early termination determined by the Board 除非董事會根據2023年購股權計劃規則 in accordance with the rules of the Share Option Scheme, 決定提前終止，否則該購股權計劃自其 the 2023 Share Option</t>
        </is>
      </c>
    </row>
    <row r="105">
      <c r="A105" s="8" t="inlineStr">
        <is>
          <t>Share-based Payment</t>
        </is>
      </c>
      <c r="B105" s="8" t="inlineStr">
        <is>
          <t>以股份為基礎的付款</t>
        </is>
      </c>
      <c r="C105" s="8" t="inlineStr">
        <is>
          <t>medium</t>
        </is>
      </c>
      <c r="D105" s="11" t="inlineStr">
        <is>
          <t>購股權</t>
        </is>
      </c>
      <c r="E105" s="11" t="inlineStr">
        <is>
          <t>PDF p.82 (印刷頁 81)</t>
        </is>
      </c>
      <c r="F105" s="11" t="inlineStr">
        <is>
          <t>交通津貼、「第十三個月」花紅、五天工 medical insurance, unemployment insurance and 作週安排及各類有償假期。本集團已採 work-related injury insurance in accordance with 納購股權計劃，作為對合資格優秀僱員 applicable laws and regulations in Japan. Furthermore, 的獎勵，並吸引對本集團十分重要的同 employees are entitled to travel allowances, “thirteenth 樣優秀人員。為確保有關僱員於責任及 month” bonus, five-day workweek arrangement and 權利的資訊透明度，詳情載於僱傭手冊。 various types of paid leave. The Group has adopted share option scheme as a reward to eligible high-caliber employees and to attract similar high quality personnel that</t>
        </is>
      </c>
    </row>
    <row r="106">
      <c r="A106" s="8" t="inlineStr">
        <is>
          <t>Share-based Payment</t>
        </is>
      </c>
      <c r="B106" s="8" t="inlineStr">
        <is>
          <t>以股份為基礎的付款</t>
        </is>
      </c>
      <c r="C106" s="8" t="inlineStr">
        <is>
          <t>medium</t>
        </is>
      </c>
      <c r="D106" s="11" t="inlineStr">
        <is>
          <t>share option</t>
        </is>
      </c>
      <c r="E106" s="11" t="inlineStr">
        <is>
          <t>PDF p.98 (印刷頁 97)</t>
        </is>
      </c>
      <c r="F106" s="11" t="inlineStr">
        <is>
          <t>ures in issue for the 本公司於報告期間並無任何已發行債權證。 Reporting Period. EQUITY-LINKED AGREEMENT 股票掛鈎協議 During the Reporting Period, save for the Share Option Scheme 於報告期間，除本董事會報告「購股權計劃」一 as set out in the paragraph headed “Share Option Scheme” of 段所載購股權計劃外，本公司並無訂立任何其 this Report of the Directors, the Company did not enter into 他股票掛鈎協議，亦無任何其他股票掛鈎協議 any other equity-linked agreement, nor did any other 於報告期間存在。有關購股權計劃之進一步資 equity-linked agreement exist during the Reporting Period. 料，請參閱本董事會報告「購股權計劃」一段及 Please refer to the paragraph headed “Sh</t>
        </is>
      </c>
    </row>
    <row r="107">
      <c r="A107" s="8" t="inlineStr">
        <is>
          <t>Share-based Payment</t>
        </is>
      </c>
      <c r="B107" s="8" t="inlineStr">
        <is>
          <t>以股份為基礎的付款</t>
        </is>
      </c>
      <c r="C107" s="8" t="inlineStr">
        <is>
          <t>medium</t>
        </is>
      </c>
      <c r="D107" s="11" t="inlineStr">
        <is>
          <t>share option</t>
        </is>
      </c>
      <c r="E107" s="11" t="inlineStr">
        <is>
          <t>PDF p.104 (印刷頁 103)</t>
        </is>
      </c>
      <c r="F107" s="11" t="inlineStr">
        <is>
          <t>Reports of Directors 董事會報告 2018 SHARE OPTION SCHEME 2018年購股權計劃 The Company has adopted the Share Option Scheme on 本公司於2018年9月13日採納購股權計劃 13 September 2018 (the “2018 Share Option Scheme”) for the （「2018年購股權計劃」），以使本公司能夠向選 purpose to enable the Company to grant share options to 定參與者授予購股權，作為向彼等對本集團的 selected participants as incentives or rewards for their 貢獻予以激勵或獎勵。全體董事、僱員、商品 contribution to the Group. All directors, employees, supp</t>
        </is>
      </c>
    </row>
    <row r="108">
      <c r="A108" s="8" t="inlineStr">
        <is>
          <t>Share-based Payment</t>
        </is>
      </c>
      <c r="B108" s="8" t="inlineStr">
        <is>
          <t>以股份為基礎的付款</t>
        </is>
      </c>
      <c r="C108" s="8" t="inlineStr">
        <is>
          <t>medium</t>
        </is>
      </c>
      <c r="D108" s="11" t="inlineStr">
        <is>
          <t>share option</t>
        </is>
      </c>
      <c r="E108" s="11" t="inlineStr">
        <is>
          <t>PDF p.105 (印刷頁 104)</t>
        </is>
      </c>
      <c r="F108" s="11" t="inlineStr">
        <is>
          <t>ssued 因根據購股權計劃及本集團採納的任何其他 upon exercise of all options to be granted under the Share 購股權計劃將予授出的所有購股權獲行使而 Option Scheme and any other share option scheme adopted by 可能配發及發行的股份總數合共不得超過於 the Group must not in aggregate exceed 10% of the Shares in 2018年10月11日（即本公司股份上市日期）已 issue on 11 October 2018 (being the date of listing of Shares 發行股份數目的10%（「2018年一般計劃上 of the Company) (the “2018 General Scheme Limit”). The 限」）。根據2018年購股權計劃及本集團所採納 maximum number of Shares which may be issued upon exercise 的任何其他購股權計劃而已授出惟尚未行使 of all outstanding op</t>
        </is>
      </c>
    </row>
    <row r="109">
      <c r="A109" s="8" t="inlineStr">
        <is>
          <t>Share-based Payment</t>
        </is>
      </c>
      <c r="B109" s="8" t="inlineStr">
        <is>
          <t>以股份為基礎的付款</t>
        </is>
      </c>
      <c r="C109" s="8" t="inlineStr">
        <is>
          <t>medium</t>
        </is>
      </c>
      <c r="D109" s="11" t="inlineStr">
        <is>
          <t>share option</t>
        </is>
      </c>
      <c r="E109" s="11" t="inlineStr">
        <is>
          <t>PDF p.106 (印刷頁 105)</t>
        </is>
      </c>
      <c r="F109" s="11" t="inlineStr">
        <is>
          <t>Reports of Directors 董事會報告 2023 Share Option Scheme 2023年購股權計劃 On 4 September 2023, at the annual general meeting (the 於2023年9月4日，於股東週年大會（「2023年股 “2023 AGM”), the Company proposed adoption of 2023 share 東週年大會」）上，本公司建議採納2023年購股 option scheme (the “2023 Share Option Scheme”) and 權計劃（「2023年購股權計劃」）及終止2018年 termination of the 2018 Share Option Scheme were duly 購股權計劃已獲股東以投票表決方式正式通 passed by the Shareholders by way of poll. For details</t>
        </is>
      </c>
    </row>
    <row r="110">
      <c r="A110" s="8" t="inlineStr">
        <is>
          <t>Share-based Payment</t>
        </is>
      </c>
      <c r="B110" s="8" t="inlineStr">
        <is>
          <t>以股份為基礎的付款</t>
        </is>
      </c>
      <c r="C110" s="8" t="inlineStr">
        <is>
          <t>medium</t>
        </is>
      </c>
      <c r="D110" s="11" t="inlineStr">
        <is>
          <t>share option</t>
        </is>
      </c>
      <c r="E110" s="11" t="inlineStr">
        <is>
          <t>PDF p.107 (印刷頁 106)</t>
        </is>
      </c>
      <c r="F110" s="11" t="inlineStr">
        <is>
          <t>t rules of the new Chapter 17 of the 遵守新上市規則第17章的相關規則，以遵守新 Listing Rules under the transitional arrangements before the 上市規則第17章的規定。 Share Option Scheme is amended to comply with the new Chapter 17 of the Listing Rules. Further details of the Share Option Scheme are set out in 有關購股權計劃的進一步詳情載於本報告「管 section headed “Management Discussion and Analysis” of this 理層討論及分析」一節。 report. SUBSTANTIAL SHAREHOLDERS’ INTEREST IN 主要股東於股份的權益 THE SHARES So far as is known to the Directors, as at 31 March 2026, 就董事所知，於2026年3月31日，除其權益於 other than a</t>
        </is>
      </c>
    </row>
    <row r="111">
      <c r="A111" s="8" t="inlineStr">
        <is>
          <t>Share-based Payment</t>
        </is>
      </c>
      <c r="B111" s="8" t="inlineStr">
        <is>
          <t>以股份為基礎的付款</t>
        </is>
      </c>
      <c r="C111" s="8" t="inlineStr">
        <is>
          <t>medium</t>
        </is>
      </c>
      <c r="D111" s="11" t="inlineStr">
        <is>
          <t>share option</t>
        </is>
      </c>
      <c r="E111" s="11" t="inlineStr">
        <is>
          <t>PDF p.109 (印刷頁 108)</t>
        </is>
      </c>
      <c r="F111" s="11" t="inlineStr">
        <is>
          <t>ons were granted 於2023年4月24日，合共5,000,000份購股權獲 to Mr. Katsu Bunkai to subscribe for Shares upon exercise of 授予葛文海先生，以供於行使該等購股權後按 such share options at an exercise price of HK$0.80 per share 行使價每股0.80港元認購股份，行使期為2024 with an exercise period of 24 April 2024 to 23 April 2029. 年4月24日至2029年4月23日。購股權要約項下 Such 5,000,000 share options had been tendered for 的該等5,000,000份購股權已於2025年6月20日 cancellation under the option offer on 20 June 2025. 交回註銷。 Save as disclosed above, as at 31 March 2026, none of the 除上文所披露者外，於2026年3月31日，概無 Directors and</t>
        </is>
      </c>
    </row>
    <row r="112">
      <c r="A112" s="8" t="inlineStr">
        <is>
          <t>Share-based Payment</t>
        </is>
      </c>
      <c r="B112" s="8" t="inlineStr">
        <is>
          <t>以股份為基礎的付款</t>
        </is>
      </c>
      <c r="C112" s="8" t="inlineStr">
        <is>
          <t>medium</t>
        </is>
      </c>
      <c r="D112" s="11" t="inlineStr">
        <is>
          <t>share option</t>
        </is>
      </c>
      <c r="E112" s="11" t="inlineStr">
        <is>
          <t>PDF p.133 (印刷頁 132)</t>
        </is>
      </c>
      <c r="F112" s="11" t="inlineStr">
        <is>
          <t>803 — — 90,803 — 90,803 Recognition of equity-settled share 已確認的以權益 based payment 結算的股份基礎 付款 — 2,744 — 2,744 — 2,744 Cancellation of share options 註銷購股權 — (17,462) 17,462 — — — Balance at 31 March 2026 於2026年3月31日的 結餘 260,533 (72,698) 99,184 287,019 3,171 290,190 The above consolidated statement of changes in equity should 上述合併權益變動表應與隨附附註一併閱讀。 be read in conjunction with the accompanying notes. 132 SHANGSHAN GOLD INTERNATIONAL HOLDINGS LIMITED Annual Report 2026</t>
        </is>
      </c>
    </row>
    <row r="113">
      <c r="A113" s="8" t="inlineStr">
        <is>
          <t>Share-based Payment</t>
        </is>
      </c>
      <c r="B113" s="8" t="inlineStr">
        <is>
          <t>以股份為基礎的付款</t>
        </is>
      </c>
      <c r="C113" s="8" t="inlineStr">
        <is>
          <t>medium</t>
        </is>
      </c>
      <c r="D113" s="11" t="inlineStr">
        <is>
          <t>share option</t>
        </is>
      </c>
      <c r="E113" s="11" t="inlineStr">
        <is>
          <t>PDF p.172 (印刷頁 171)</t>
        </is>
      </c>
      <c r="F113" s="11" t="inlineStr">
        <is>
          <t>假的估計負債 employees up to the statement of financial 作出撥備。 position date. (d) Share-based compensation (d) 以股份為基礎的酬金 The Group operates share option scheme under 本集團實行購股權計劃，據 which the Group receives services from 此，本集團獲取僱員提供的服 employees as consideration for equity 務作為本公司股本工具的代 instruments of the Company. 價。 The fair value of the employee services received 僱員為獲取購股權而提供的服 in exchange for the grant of the options is 務的公平值確認為開支。該等 recognised as an expense. The total amount to 予以支銷的總金額參考於授出 be expensed is determined by reference to the</t>
        </is>
      </c>
    </row>
    <row r="114">
      <c r="A114" s="8" t="inlineStr">
        <is>
          <t>Share-based Payment</t>
        </is>
      </c>
      <c r="B114" s="8" t="inlineStr">
        <is>
          <t>以股份為基礎的付款</t>
        </is>
      </c>
      <c r="C114" s="8" t="inlineStr">
        <is>
          <t>medium</t>
        </is>
      </c>
      <c r="D114" s="11" t="inlineStr">
        <is>
          <t>以股份為基礎</t>
        </is>
      </c>
      <c r="E114" s="11" t="inlineStr">
        <is>
          <t>PDF p.173 (印刷頁 172)</t>
        </is>
      </c>
      <c r="F114" s="11" t="inlineStr">
        <is>
          <t>TING POLICY INFORMATION （續） (Continued) 2.20 Employee benefits (Continued) 2.20 僱員福利（續） (d) Share-based compensation (Continued) (d) 以股份為基礎的酬金（續） When the options are exercised, the Company 倘購股權獲行使，本公司將發 issues new shares. The proceeds received net of 行新股。扣除任何直接應佔交 any directly attributable transaction costs are 易成本的已收所得款項入賬計 credited to share capital. 入股本。 2.21 Leases 2.21 租賃 The Group assesses whether a contract is or contains 本集團根據香港財務報告準則第16 a lease based on the definition under HKFRS 16 at 號的定義於合約開始時評估該合約 inception of the</t>
        </is>
      </c>
    </row>
    <row r="115">
      <c r="A115" s="8" t="inlineStr">
        <is>
          <t>Share-based Payment</t>
        </is>
      </c>
      <c r="B115" s="8" t="inlineStr">
        <is>
          <t>以股份為基礎的付款</t>
        </is>
      </c>
      <c r="C115" s="8" t="inlineStr">
        <is>
          <t>medium</t>
        </is>
      </c>
      <c r="D115" s="11" t="inlineStr">
        <is>
          <t>無風險利率</t>
        </is>
      </c>
      <c r="E115" s="11" t="inlineStr">
        <is>
          <t>PDF p.192 (印刷頁 191)</t>
        </is>
      </c>
      <c r="F115" s="11" t="inlineStr">
        <is>
          <t>e s i g n i f i c a n t 萊克－舒爾斯模型計 unobservable inputs include risk-free 算。重大不可觀察輸入 interest rate and discount rate for the fair 數據包括無風險利率及 value of underlying assets. 相關資產的公平值貼現 率。 There were no transfers of financial assets 金融資產或負債的第1 or liabilities between level 1, level 2 and 層、第2層及第3層公平 level 3 fair value hierarchy classifications. 值層級架構的分層之間 並無轉移。 The following table presents the changes 下表呈列截至2026年及 in level 3 items for the years ended 2025年3月31日止年度第 31 March 2026 and 2025: 3層項目的變動： Put option 認沽期權 HK$’000 千港元 As at 1 Ap</t>
        </is>
      </c>
    </row>
    <row r="116">
      <c r="A116" s="8" t="inlineStr">
        <is>
          <t>Share-based Payment</t>
        </is>
      </c>
      <c r="B116" s="8" t="inlineStr">
        <is>
          <t>以股份為基礎的付款</t>
        </is>
      </c>
      <c r="C116" s="8" t="inlineStr">
        <is>
          <t>medium</t>
        </is>
      </c>
      <c r="D116" s="11" t="inlineStr">
        <is>
          <t>black-scholes</t>
        </is>
      </c>
      <c r="E116" s="11" t="inlineStr">
        <is>
          <t>PDF p.193 (印刷頁 192)</t>
        </is>
      </c>
      <c r="F116" s="11" t="inlineStr">
        <is>
          <t>估值法 輸入數據 範圍 （不利）變動 HK$’000 HK$’000 千港元 千港元 As at 31 March 2025 於2025年3月31日 Financial assets at FVTPL 按公平值計入損益之金融資產 Put option 7,962 Black-Scholes Risk-free interest +1% (39) 認沽期權 model rate: 1.37% –1% 39 布萊克－ 無風險利率： 舒爾斯模型 1.37% Discount rate for +1% 118 the fair value of –1% (142) underlying assets: 13.24% 相關資產的 公平值貼現率： 13.24% 192 SHANGSHAN GOLD INTERNATIONAL HOLDINGS LIMITED Annual Report 2026</t>
        </is>
      </c>
    </row>
    <row r="117">
      <c r="A117" s="8" t="inlineStr">
        <is>
          <t>Share-based Payment</t>
        </is>
      </c>
      <c r="B117" s="8" t="inlineStr">
        <is>
          <t>以股份為基礎的付款</t>
        </is>
      </c>
      <c r="C117" s="8" t="inlineStr">
        <is>
          <t>medium</t>
        </is>
      </c>
      <c r="D117" s="11" t="inlineStr">
        <is>
          <t>share option</t>
        </is>
      </c>
      <c r="E117" s="11" t="inlineStr">
        <is>
          <t>PDF p.207 (印刷頁 206)</t>
        </is>
      </c>
      <c r="F117" s="11" t="inlineStr">
        <is>
          <t>March 2025 was the same as basic loss per share 行使本公司尚未行使的購股權具反攤 because the exercise of the Company’s outstanding 薄影響，故每股攤薄虧損與每股基本 share options would have anti-dilutive effect. 虧損相同。 206 SHANGSHAN GOLD INTERNATIONAL HOLDINGS LIMITED Annual Report 2026</t>
        </is>
      </c>
    </row>
    <row r="118">
      <c r="A118" s="8" t="inlineStr">
        <is>
          <t>Share-based Payment</t>
        </is>
      </c>
      <c r="B118" s="8" t="inlineStr">
        <is>
          <t>以股份為基礎的付款</t>
        </is>
      </c>
      <c r="C118" s="8" t="inlineStr">
        <is>
          <t>medium</t>
        </is>
      </c>
      <c r="D118" s="11" t="inlineStr">
        <is>
          <t>share-based payment</t>
        </is>
      </c>
      <c r="E118" s="11" t="inlineStr">
        <is>
          <t>PDF p.208 (印刷頁 207)</t>
        </is>
      </c>
      <c r="F118" s="11" t="inlineStr">
        <is>
          <t>000 HK$’000 千港元 千港元 Salaries, allowances and 薪金、津貼及實物 benefits in kind 福利 7,770 1,670 Retirement benefits 退休福利 350 32 Equity-settled share-based payment 以權益結算的股份 基礎付款 228 444 8,348 2,146 二零二六年年度報告 上善黃金國際控股有限公司 207</t>
        </is>
      </c>
    </row>
    <row r="119">
      <c r="A119" s="8" t="inlineStr">
        <is>
          <t>Share-based Payment</t>
        </is>
      </c>
      <c r="B119" s="8" t="inlineStr">
        <is>
          <t>以股份為基礎的付款</t>
        </is>
      </c>
      <c r="C119" s="8" t="inlineStr">
        <is>
          <t>medium</t>
        </is>
      </c>
      <c r="D119" s="11" t="inlineStr">
        <is>
          <t>share option</t>
        </is>
      </c>
      <c r="E119" s="11" t="inlineStr">
        <is>
          <t>PDF p.232 (印刷頁 231)</t>
        </is>
      </c>
      <c r="F119" s="11" t="inlineStr">
        <is>
          <t>6,061) (6,061) — (6,061) Recognition of equity-settled share 已確認的以權益結算的 based payment 股份基礎付款 2,744 — — 2,744 — 2,744 Cancellation of share options 註銷購股權 (17,462) — — (17,462) 17,462 — At 31 March 2026 於2026年3月31日 — (38,358) (34,340) (72,698) 99,184 26,486 二零二六年年度報告 上善黃金國際控股有限公司 231</t>
        </is>
      </c>
    </row>
    <row r="120">
      <c r="A120" s="8" t="inlineStr">
        <is>
          <t>Share-based Payment</t>
        </is>
      </c>
      <c r="B120" s="8" t="inlineStr">
        <is>
          <t>以股份為基礎的付款</t>
        </is>
      </c>
      <c r="C120" s="8" t="inlineStr">
        <is>
          <t>medium</t>
        </is>
      </c>
      <c r="D120" s="11" t="inlineStr">
        <is>
          <t>share option</t>
        </is>
      </c>
      <c r="E120" s="11" t="inlineStr">
        <is>
          <t>PDF p.233 (印刷頁 232)</t>
        </is>
      </c>
      <c r="F120" s="11" t="inlineStr">
        <is>
          <t>by comparing the considerations paid and the share capital 入本集團的附屬公司股本而計算。 of the subsidiaries that merged into the Group. (ii) The share option reserve comprises the fair value of share (ii) 購股權儲備包括已授出但尚未行使的購 options granted which are yet to be exercised, as further 股權的公平值，詳情請參閱財務報表附 explained in the accounting policy for share-based 註2.20(d)中以股份為基礎的付款的會計 payments in note 2.20(d) to the financial statements. The 政策。倘相關購股權獲行使，該金額將 amount will be transferred to the share capital/other 轉撥至股本╱其他儲備賬戶，或倘相關 reserve account when the</t>
        </is>
      </c>
    </row>
    <row r="121">
      <c r="A121" s="8" t="inlineStr">
        <is>
          <t>Share-based Payment</t>
        </is>
      </c>
      <c r="B121" s="8" t="inlineStr">
        <is>
          <t>以股份為基礎的付款</t>
        </is>
      </c>
      <c r="C121" s="8" t="inlineStr">
        <is>
          <t>medium</t>
        </is>
      </c>
      <c r="D121" s="11" t="inlineStr">
        <is>
          <t>share-based payment</t>
        </is>
      </c>
      <c r="E121" s="11" t="inlineStr">
        <is>
          <t>PDF p.242 (印刷頁 241)</t>
        </is>
      </c>
      <c r="F121" s="11" t="inlineStr">
        <is>
          <t>per share. Approximately HK$2,744,000 (2025: 港元（2025年：5,351,000港元）確認為以 HK$5,351,000) was recognised as equity-settled 權益結算的股份基礎付款開支。 share-based payment expense for the year ended 31 March 2026. The Share Options shall be valid for a period of six years 購股權將自授出日期起計為期六年有 from the Date of Grant. Any Share Options not exercised 效。任何於2029年4月23日前尚未行使的 by 23 April 2029 shall lapse. 購股權將告失效。 (i) 30% of the Share Options granted shall be vested (i) 已授出購股權的30%將於授出日期 on, and exercisable from, the first anniversary of the 第一個週年（即2024年4月24</t>
        </is>
      </c>
    </row>
    <row r="122">
      <c r="A122" s="8" t="inlineStr">
        <is>
          <t>Share-based Payment</t>
        </is>
      </c>
      <c r="B122" s="8" t="inlineStr">
        <is>
          <t>以股份為基礎的付款</t>
        </is>
      </c>
      <c r="C122" s="8" t="inlineStr">
        <is>
          <t>medium</t>
        </is>
      </c>
      <c r="D122" s="11" t="inlineStr">
        <is>
          <t>share option</t>
        </is>
      </c>
      <c r="E122" s="11" t="inlineStr">
        <is>
          <t>PDF p.243 (印刷頁 242)</t>
        </is>
      </c>
      <c r="F122" s="11" t="inlineStr">
        <is>
          <t>Notes to the Consolidated Financial Statements 合併財務報表附註 35. SHARE OPTION SCHEME (Continued) 35. 購股權計劃（續） At 1 April 2024/ Exercise 31 March 2025/ Cancelled Outstanding as at Date of grant price 1 April 2025 during the year 31 March 2026 於2024年4月1日╱ 2025年3月31日╱ 於2026年3月31日 授出日期 行使價 2025年4月1日 年內註銷 尚未行使 HK$ ’000 ’000 ’000 港元 千份 千份 千份 Directors 24 April 2023 0.80 5,000 (5,000) — 董事 2023年4月24日 Employees 24 April 2023 0.80 43,000 (43,000) — 僱員 2023年4月24日 Total 4</t>
        </is>
      </c>
    </row>
    <row r="123">
      <c r="A123" s="8" t="inlineStr">
        <is>
          <t>Share-based Payment</t>
        </is>
      </c>
      <c r="B123" s="8" t="inlineStr">
        <is>
          <t>以股份為基礎的付款</t>
        </is>
      </c>
      <c r="C123" s="8" t="inlineStr">
        <is>
          <t>medium</t>
        </is>
      </c>
      <c r="D123" s="11" t="inlineStr">
        <is>
          <t>share option</t>
        </is>
      </c>
      <c r="E123" s="11" t="inlineStr">
        <is>
          <t>PDF p.244 (印刷頁 243)</t>
        </is>
      </c>
      <c r="F123" s="11" t="inlineStr">
        <is>
          <t>Notes to the Consolidated Financial Statements 合併財務報表附註 35. SHARE OPTION SCHEME (Continued) 35. 購股權計劃（續） Expected volatility was determined by using the historical 預期波幅乃根據本公司過往年度股價的 volatility of the Company’s share price over the previous 歷史波幅釐定。計算購股權公平值所用 years. The variables and assumptions used in computing 的變量及假設乃根據董事的最佳估計。 the fair value of the share options are based on the 主觀輸入假設的變動可能會對公平值估 Directors’ best estimate. Changes in the subjective input</t>
        </is>
      </c>
    </row>
    <row r="124">
      <c r="A124" s="8" t="inlineStr">
        <is>
          <t>Share-based Payment</t>
        </is>
      </c>
      <c r="B124" s="8" t="inlineStr">
        <is>
          <t>以股份為基礎的付款</t>
        </is>
      </c>
      <c r="C124" s="8" t="inlineStr">
        <is>
          <t>medium</t>
        </is>
      </c>
      <c r="D124" s="11" t="inlineStr">
        <is>
          <t>share option</t>
        </is>
      </c>
      <c r="E124" s="11" t="inlineStr">
        <is>
          <t>PDF p.248 (印刷頁 247)</t>
        </is>
      </c>
      <c r="F124" s="11" t="inlineStr">
        <is>
          <t>NCIAL POSITION AND 37. 本公司財務狀況表及儲備變動 RESERVE MOVEMENT OF THE COMPANY （續） (Continued) (b) Reserve movement of the Company (b) 本公司儲備變動 Share option Retained reserve earnings Total 購股權儲備 保留盈利 總計 HK$’000 HK$’000 HK$’000 千港元 千港元 千港元 As at 1 April 2024 於2024年4月1日 9,367 8,099 17,466 Loss and total comprehensive 年度虧損及綜合虧損 loss for the year 總額 — (10,002) (10,002) Recognition of equity-settled 已確認的以權益結算的 share based payment 股份基礎付款 5,351 — 5,351 As at 31 March 2025 and 於2025年3月31日及 1 April 2025 2025年4月1日 14,718 (1,903) 12,815 Loss and tot</t>
        </is>
      </c>
    </row>
    <row r="125">
      <c r="A125" s="8" t="inlineStr">
        <is>
          <t>Related Party Transactions</t>
        </is>
      </c>
      <c r="B125" s="8" t="inlineStr">
        <is>
          <t>關聯方交易</t>
        </is>
      </c>
      <c r="C125" s="8" t="inlineStr">
        <is>
          <t>low</t>
        </is>
      </c>
      <c r="D125" s="11" t="inlineStr">
        <is>
          <t>related party</t>
        </is>
      </c>
      <c r="E125" s="11" t="inlineStr">
        <is>
          <t>PDF p.112 (印刷頁 111)</t>
        </is>
      </c>
      <c r="F125" s="11" t="inlineStr">
        <is>
          <t>ued shares of the Company had any interest in the five 團五大客戶或五大供應商中擁有任何權益。 largest customers or five largest suppliers of the Group. RELATED PARTY TRANSACTIONS 關聯方交易 Details of the related party transactions undertaken in the 本集團於報告期間日常業務過程中進行的關 ordinary course of business by the Group during the Reporting 聯方交易詳情載於本年報合併財務報表附註 Period are set out in Note 34 to the consolidated financial 34。各該等關聯方交易構成關連交易（定義見 statements of this annual report. Each of such related party 上市規則第14A章），其獲全面豁免遵守上市規 transactions constitute connected trans</t>
        </is>
      </c>
    </row>
    <row r="126">
      <c r="A126" s="8" t="inlineStr">
        <is>
          <t>Related Party Transactions</t>
        </is>
      </c>
      <c r="B126" s="8" t="inlineStr">
        <is>
          <t>關聯方交易</t>
        </is>
      </c>
      <c r="C126" s="8" t="inlineStr">
        <is>
          <t>low</t>
        </is>
      </c>
      <c r="D126" s="11" t="inlineStr">
        <is>
          <t>關聯方</t>
        </is>
      </c>
      <c r="E126" s="11" t="inlineStr">
        <is>
          <t>PDF p.177 (印刷頁 176)</t>
        </is>
      </c>
      <c r="F126" s="11" t="inlineStr">
        <is>
          <t>財務報表附註 2. BASIS OF PREPARATION AND MATERIAL 2. 編製基準及重大會計政策資料 ACCOUNTING POLICY INFORMATION （續） (Continued) 2.22 Related parties 2.22 關聯方 (a) a person or a close member of that person’s (a) 一名人士或該人士之關係密切 family and that person: 家庭成員及該人士： (i) has control or joint control over the (i) 對本集團有控制權或共 Group; 同控制權； (ii) has significant influence over the Group; (ii) 對本集團有重大影響 or 力；或 (iii) is a member of the key management (iii) 為本集團或本集團母公 personnel of the Group or of a parent of 司的主要管理層成員； the Group; or 或 (b) the party is an entity where</t>
        </is>
      </c>
    </row>
    <row r="127">
      <c r="A127" s="8" t="inlineStr">
        <is>
          <t>Related Party Transactions</t>
        </is>
      </c>
      <c r="B127" s="8" t="inlineStr">
        <is>
          <t>關聯方交易</t>
        </is>
      </c>
      <c r="C127" s="8" t="inlineStr">
        <is>
          <t>low</t>
        </is>
      </c>
      <c r="D127" s="11" t="inlineStr">
        <is>
          <t>關聯方</t>
        </is>
      </c>
      <c r="E127" s="11" t="inlineStr">
        <is>
          <t>PDF p.178 (印刷頁 177)</t>
        </is>
      </c>
      <c r="F127" s="11" t="inlineStr">
        <is>
          <t>SIS OF PREPARATION AND MATERIAL 2. 編製基準及重大會計政策資料 ACCOUNTING POLICY INFORMATION （續） (Continued) 2.22 Related parties (Continued) 2.22 關聯方（續） (b) (Continued) (b) （續） (vii) a person identified in (a)(i) has significant (vii) (a)(i)所識別對實體有重 influence over the entity or is a member 大影響力或為實體（或實 of the key management personnel of the 體母公司）的主要管理層 entity (or of a parent of the entity); and 人員的人士；及 (viii) the entity, or any member of a group of (viii) 該實體或集團內任何成 which it is a part, provides key 員公司為本集團或本集 management personnel services to</t>
        </is>
      </c>
    </row>
    <row r="128">
      <c r="A128" s="8" t="inlineStr">
        <is>
          <t>Related Party Transactions</t>
        </is>
      </c>
      <c r="B128" s="8" t="inlineStr">
        <is>
          <t>關聯方交易</t>
        </is>
      </c>
      <c r="C128" s="8" t="inlineStr">
        <is>
          <t>low</t>
        </is>
      </c>
      <c r="D128" s="11" t="inlineStr">
        <is>
          <t>related party</t>
        </is>
      </c>
      <c r="E128" s="11" t="inlineStr">
        <is>
          <t>PDF p.240 (印刷頁 239)</t>
        </is>
      </c>
      <c r="F128" s="11" t="inlineStr">
        <is>
          <t>一般銀行融資： facilities granted to the Group: 2026 2025 2026年 2025年 HK$’000 HK$’000 千港元 千港元 Pledged bank deposits 已抵押銀行存款 4,000 4,000 34. RELATED PARTY TRANSACTIONS 34. 關聯方交易 (a) Names and relationships with related parties (a) 關聯方名稱及關係 Related parties are those parties that have the ability 關聯方指有能力控制、共同控制或 to control, jointly control or exert significant 在對投資對象持有權力時能對對方 influence over the other party in holding power over 施加重大影響力；因參與投資對象 the investee; exposure, or rights, to variable returns 的業務而承擔可變回報的風險或權 from its involvement wit</t>
        </is>
      </c>
    </row>
    <row r="129">
      <c r="A129" s="8" t="inlineStr">
        <is>
          <t>Related Party Transactions</t>
        </is>
      </c>
      <c r="B129" s="8" t="inlineStr">
        <is>
          <t>關聯方交易</t>
        </is>
      </c>
      <c r="C129" s="8" t="inlineStr">
        <is>
          <t>low</t>
        </is>
      </c>
      <c r="D129" s="11" t="inlineStr">
        <is>
          <t>related party</t>
        </is>
      </c>
      <c r="E129" s="11" t="inlineStr">
        <is>
          <t>PDF p.241 (印刷頁 240)</t>
        </is>
      </c>
      <c r="F129" s="11" t="inlineStr">
        <is>
          <t>Notes to the Consolidated Financial Statements 合併財務報表附註 34. RELATED PARTY TRANSACTIONS 34. 關聯方交易（續） (Continued) (a) Names and relationships with related parties (a) 關聯方名稱及關係（續） (Continued) (i) In addition to those disclosed elsewhere in the (i) 除合併財務報表附註其他部分 notes to the consolidated financial statement, 所披露者外，本集團與關聯方 the Group had the following transactions with 之交易如下： related parties: 2026 2025 2026年 2025年 HK$’000 HK$’000 千港元 千港元 Rental expenses to a rel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4"/>
  <sheetViews>
    <sheetView workbookViewId="0">
      <pane ySplit="23" topLeftCell="A24"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Goodwill</t>
        </is>
      </c>
    </row>
    <row r="13">
      <c r="A13" s="8" t="inlineStr">
        <is>
          <t>Balance Sheet</t>
        </is>
      </c>
      <c r="B13" s="8" t="inlineStr">
        <is>
          <t>Investment Properties</t>
        </is>
      </c>
    </row>
    <row r="14">
      <c r="A14" s="8" t="inlineStr">
        <is>
          <t>Cash Flow</t>
        </is>
      </c>
      <c r="B14" s="8" t="inlineStr">
        <is>
          <t>Operating Cash Flow</t>
        </is>
      </c>
    </row>
    <row r="15">
      <c r="A15" s="8" t="inlineStr">
        <is>
          <t>Cash Flow</t>
        </is>
      </c>
      <c r="B15" s="8" t="inlineStr">
        <is>
          <t>Investing Cash Flow</t>
        </is>
      </c>
    </row>
    <row r="16">
      <c r="A16" s="8" t="inlineStr">
        <is>
          <t>Cash Flow</t>
        </is>
      </c>
      <c r="B16" s="8" t="inlineStr">
        <is>
          <t>Financing Cash Flow</t>
        </is>
      </c>
    </row>
    <row r="17">
      <c r="A17" s="8" t="inlineStr">
        <is>
          <t>Cash Flow</t>
        </is>
      </c>
      <c r="B17" s="8" t="inlineStr">
        <is>
          <t>Capital Expenditure</t>
        </is>
      </c>
    </row>
    <row r="20">
      <c r="A20" s="5" t="inlineStr">
        <is>
          <t>二、文字量過低的頁面(疑似掃描頁)</t>
        </is>
      </c>
    </row>
    <row r="21">
      <c r="A21" s="2" t="inlineStr">
        <is>
          <t>這些頁面幾乎抓不到文字,通常是掃描件或純圖表,建議人手翻閱或另行 OCR。</t>
        </is>
      </c>
    </row>
    <row r="23">
      <c r="A23" s="7" t="inlineStr">
        <is>
          <t>PDF 頁碼</t>
        </is>
      </c>
      <c r="B23" s="7" t="inlineStr">
        <is>
          <t>狀態</t>
        </is>
      </c>
    </row>
    <row r="24">
      <c r="A24"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2026-08-30T14:16:07Z</dcterms:created>
  <dcterms:modified xsi:type="dcterms:W3CDTF">2026-08-30T14:16:07Z</dcterms:modified>
</cp:coreProperties>
</file>
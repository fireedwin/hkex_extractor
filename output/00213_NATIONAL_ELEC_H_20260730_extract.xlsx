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00213_NATIONAL_ELEC_H_20260730.pdf</t>
        </is>
      </c>
    </row>
    <row r="5">
      <c r="A5" s="3" t="inlineStr">
        <is>
          <t>產生時間 Generated</t>
        </is>
      </c>
      <c r="B5" s="4" t="inlineStr">
        <is>
          <t>2026-08-30 22:16</t>
        </is>
      </c>
    </row>
    <row r="6">
      <c r="A6" s="4" t="inlineStr"/>
      <c r="B6" s="4" t="inlineStr"/>
    </row>
    <row r="7">
      <c r="A7" s="3" t="inlineStr">
        <is>
          <t>總頁數 Total pages</t>
        </is>
      </c>
      <c r="B7" s="4" t="n">
        <v>139</v>
      </c>
    </row>
    <row r="8">
      <c r="A8" s="3" t="inlineStr">
        <is>
          <t>已擷取字元 Characters extracted</t>
        </is>
      </c>
      <c r="B8" s="4" t="n">
        <v>283731</v>
      </c>
    </row>
    <row r="9">
      <c r="A9" s="3" t="inlineStr">
        <is>
          <t>含表格頁數 Pages with tables</t>
        </is>
      </c>
      <c r="B9" s="4" t="n">
        <v>0</v>
      </c>
    </row>
    <row r="10">
      <c r="A10" s="3" t="inlineStr">
        <is>
          <t>需人手/OCR 頁數 Pages needing OCR</t>
        </is>
      </c>
      <c r="B10" s="4" t="n">
        <v>4</v>
      </c>
    </row>
    <row r="11">
      <c r="A11" s="4" t="inlineStr"/>
      <c r="B11" s="4" t="inlineStr"/>
    </row>
    <row r="12">
      <c r="A12" s="3" t="inlineStr">
        <is>
          <t>估值參數擷取筆數 Valuation parameters</t>
        </is>
      </c>
      <c r="B12" s="4" t="n">
        <v>4</v>
      </c>
    </row>
    <row r="13">
      <c r="A13" s="3" t="inlineStr">
        <is>
          <t>財務科目擷取筆數 Financial line items</t>
        </is>
      </c>
      <c r="B13" s="4" t="n">
        <v>18</v>
      </c>
    </row>
    <row r="14">
      <c r="A14" s="3" t="inlineStr">
        <is>
          <t>主題段落擷取筆數 Topic extracts</t>
        </is>
      </c>
      <c r="B14" s="4" t="n">
        <v>58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2,489,188,237 − 1,845,526,042 = 643,662,195</t>
        </is>
      </c>
    </row>
    <row r="20">
      <c r="A20" s="6" t="inlineStr">
        <is>
          <t>✓ 收入 − 銷售成本 = 毛利</t>
        </is>
      </c>
      <c r="B20" s="4" t="inlineStr">
        <is>
          <t>4,048,530,427 − 3,802,973,239 = 245,557,188 vs 毛利 245,557,188</t>
        </is>
      </c>
    </row>
    <row r="21">
      <c r="A21" s="6" t="inlineStr">
        <is>
          <t>✓ 除稅前溢利 ± 稅項 = 年內溢利</t>
        </is>
      </c>
      <c r="B21" s="4" t="inlineStr">
        <is>
          <t>43,915,335 + 2,625,405 = 41,289,930 vs 41,289,930</t>
        </is>
      </c>
    </row>
    <row r="22">
      <c r="A22" s="6" t="inlineStr">
        <is>
          <t>✓ 三大報表應相鄰</t>
        </is>
      </c>
      <c r="B22" s="4" t="inlineStr">
        <is>
          <t>Income Statement: p.38、Balance Sheet: p.40、Cash Flow: p.43(相距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5.64</v>
      </c>
      <c r="D5" s="10" t="n">
        <v>5.64</v>
      </c>
      <c r="E5" s="11" t="inlineStr">
        <is>
          <t>5.64%</t>
        </is>
      </c>
      <c r="F5" s="11" t="inlineStr">
        <is>
          <t>High</t>
        </is>
      </c>
      <c r="G5" s="11" t="inlineStr">
        <is>
          <t>PDF p.93 (印刷頁 92)</t>
        </is>
      </c>
      <c r="H5" s="11" t="inlineStr">
        <is>
          <t>49,585 Borrowing costs capitalised during the year are calculated by applying a capitalisation rate of 5.64% (2025: 7.00%) per annum to expenditure on qualifying assets. 92 NA TIONA L ELE C T R O N I C S H O L D I N G S L I M I T E D</t>
        </is>
      </c>
    </row>
    <row r="6">
      <c r="A6" s="8" t="inlineStr">
        <is>
          <t>Discount Rate</t>
        </is>
      </c>
      <c r="B6" s="8" t="inlineStr">
        <is>
          <t>折現率</t>
        </is>
      </c>
      <c r="C6" s="9" t="n">
        <v>11.14</v>
      </c>
      <c r="D6" s="10" t="n">
        <v>11.14</v>
      </c>
      <c r="E6" s="11" t="inlineStr">
        <is>
          <t>11.14%</t>
        </is>
      </c>
      <c r="F6" s="11" t="inlineStr">
        <is>
          <t>High</t>
        </is>
      </c>
      <c r="G6" s="11" t="inlineStr">
        <is>
          <t>PDF p.104 (印刷頁 103)</t>
        </is>
      </c>
      <c r="H6" s="11" t="inlineStr">
        <is>
          <t xml:space="preserve"> financial budgets approved by management covering a 5-year period, and pre-tax discount rate of 11.14% (2025: 10.88%). The value in use calculation of Unit B uses cash flow projections based on financial budgets approved by management covering a 5-year</t>
        </is>
      </c>
    </row>
    <row r="7">
      <c r="A7" s="8" t="inlineStr">
        <is>
          <t>Discount Rate</t>
        </is>
      </c>
      <c r="B7" s="8" t="inlineStr">
        <is>
          <t>折現率</t>
        </is>
      </c>
      <c r="C7" s="9" t="n">
        <v>11.26</v>
      </c>
      <c r="D7" s="10" t="n">
        <v>11.26</v>
      </c>
      <c r="E7" s="11" t="inlineStr">
        <is>
          <t>11.26%</t>
        </is>
      </c>
      <c r="F7" s="11" t="inlineStr">
        <is>
          <t>High</t>
        </is>
      </c>
      <c r="G7" s="11" t="inlineStr">
        <is>
          <t>PDF p.104 (印刷頁 103)</t>
        </is>
      </c>
      <c r="H7" s="11" t="inlineStr">
        <is>
          <t xml:space="preserve"> financial budgets approved by management covering a 5-year period, and pre-tax discount rate of 11.26% (2025: 10.89%). Both sets of cash flows beyond the 5-year period are extrapolated using a steady 2.20% (2025: 2.40%) growth rate. Other key assumptio</t>
        </is>
      </c>
    </row>
    <row r="8">
      <c r="A8" s="8" t="inlineStr">
        <is>
          <t>Discount Rate</t>
        </is>
      </c>
      <c r="B8" s="8" t="inlineStr">
        <is>
          <t>折現率</t>
        </is>
      </c>
      <c r="C8" s="9" t="n">
        <v>2.6</v>
      </c>
      <c r="D8" s="10" t="n">
        <v>2.6</v>
      </c>
      <c r="E8" s="11" t="inlineStr">
        <is>
          <t>2.60%</t>
        </is>
      </c>
      <c r="F8" s="11" t="inlineStr">
        <is>
          <t>High</t>
        </is>
      </c>
      <c r="G8" s="11" t="inlineStr">
        <is>
          <t>PDF p.117 (印刷頁 116)</t>
        </is>
      </c>
      <c r="H8" s="11" t="inlineStr">
        <is>
          <t xml:space="preserve">ns used for the purposes of the actuarial valuations were as follows: 2026 2025 Discount rate 2.60% 3.00% Expected rate of salary increase 3.00% 3.00% Expected rate of return on MPF balances 4.90% 4.70% Expected rate of increase to maximum MPF relevant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4048530427</v>
      </c>
      <c r="D5" s="13" t="n">
        <v>502305226</v>
      </c>
      <c r="E5" s="14">
        <f>IF(ISERROR((C5-D5)/ABS(D5)),"",(C5-D5)/ABS(D5))</f>
        <v>7.059901067005821</v>
      </c>
      <c r="F5" s="11" t="inlineStr">
        <is>
          <t>PDF p.38 (印刷頁 37)</t>
        </is>
      </c>
      <c r="G5" s="11" t="inlineStr">
        <is>
          <t>Revenue 7 4,048,530,427 502,305,226</t>
        </is>
      </c>
    </row>
    <row r="6">
      <c r="A6" s="8" t="inlineStr">
        <is>
          <t>Income Statement</t>
        </is>
      </c>
      <c r="B6" s="8" t="inlineStr">
        <is>
          <t>Cost of Sales</t>
        </is>
      </c>
      <c r="C6" s="12" t="n">
        <v>-3802973239</v>
      </c>
      <c r="D6" s="13" t="n">
        <v>-375280700</v>
      </c>
      <c r="E6" s="14">
        <f>IF(ISERROR((C6-D6)/ABS(D6)),"",(C6-D6)/ABS(D6))</f>
        <v>-9.133676575960342</v>
      </c>
      <c r="F6" s="11" t="inlineStr">
        <is>
          <t>PDF p.38 (印刷頁 37)</t>
        </is>
      </c>
      <c r="G6" s="11" t="inlineStr">
        <is>
          <t>Cost of sales (3,802,973,239) (375,280,700)</t>
        </is>
      </c>
    </row>
    <row r="7">
      <c r="A7" s="8" t="inlineStr">
        <is>
          <t>Income Statement</t>
        </is>
      </c>
      <c r="B7" s="8" t="inlineStr">
        <is>
          <t>Gross Profit</t>
        </is>
      </c>
      <c r="C7" s="12" t="n">
        <v>245557188</v>
      </c>
      <c r="D7" s="13" t="n">
        <v>127024526</v>
      </c>
      <c r="E7" s="14">
        <f>IF(ISERROR((C7-D7)/ABS(D7)),"",(C7-D7)/ABS(D7))</f>
        <v>0.9331478394967598</v>
      </c>
      <c r="F7" s="11" t="inlineStr">
        <is>
          <t>PDF p.38 (印刷頁 37)</t>
        </is>
      </c>
      <c r="G7" s="11" t="inlineStr">
        <is>
          <t>Gross profit 245,557,188 127,024,526</t>
        </is>
      </c>
    </row>
    <row r="8">
      <c r="A8" s="8" t="inlineStr">
        <is>
          <t>Income Statement</t>
        </is>
      </c>
      <c r="B8" s="8" t="inlineStr">
        <is>
          <t>Finance Costs</t>
        </is>
      </c>
      <c r="C8" s="12" t="n">
        <v>-153902432</v>
      </c>
      <c r="D8" s="13" t="n">
        <v>-202349585</v>
      </c>
      <c r="E8" s="14">
        <f>IF(ISERROR((C8-D8)/ABS(D8)),"",(C8-D8)/ABS(D8))</f>
        <v>0.23942304107023496</v>
      </c>
      <c r="F8" s="11" t="inlineStr">
        <is>
          <t>PDF p.38 (印刷頁 37)</t>
        </is>
      </c>
      <c r="G8" s="11" t="inlineStr">
        <is>
          <t>Finance costs 9 (153,902,432) (202,349,585)</t>
        </is>
      </c>
    </row>
    <row r="9">
      <c r="A9" s="8" t="inlineStr">
        <is>
          <t>Income Statement</t>
        </is>
      </c>
      <c r="B9" s="8" t="inlineStr">
        <is>
          <t>Profit Before Tax</t>
        </is>
      </c>
      <c r="C9" s="12" t="n">
        <v>43915335</v>
      </c>
      <c r="D9" s="13" t="n">
        <v>73933897</v>
      </c>
      <c r="E9" s="14">
        <f>IF(ISERROR((C9-D9)/ABS(D9)),"",(C9-D9)/ABS(D9))</f>
        <v>-0.4060189333723339</v>
      </c>
      <c r="F9" s="11" t="inlineStr">
        <is>
          <t>PDF p.38 (印刷頁 37)</t>
        </is>
      </c>
      <c r="G9" s="11" t="inlineStr">
        <is>
          <t>Profit before taxation 10 43,915,335 73,933,897</t>
        </is>
      </c>
    </row>
    <row r="10">
      <c r="A10" s="8" t="inlineStr">
        <is>
          <t>Income Statement</t>
        </is>
      </c>
      <c r="B10" s="8" t="inlineStr">
        <is>
          <t>Income Tax</t>
        </is>
      </c>
      <c r="C10" s="12" t="n">
        <v>-2625405</v>
      </c>
      <c r="D10" s="13" t="n">
        <v>19964103</v>
      </c>
      <c r="E10" s="14">
        <f>IF(ISERROR((C10-D10)/ABS(D10)),"",(C10-D10)/ABS(D10))</f>
        <v>-1.1315062840539343</v>
      </c>
      <c r="F10" s="11" t="inlineStr">
        <is>
          <t>PDF p.38 (印刷頁 37)</t>
        </is>
      </c>
      <c r="G10" s="11" t="inlineStr">
        <is>
          <t>Income tax (expense)/credit 12 (2,625,405) 19,964,103</t>
        </is>
      </c>
    </row>
    <row r="11">
      <c r="A11" s="8" t="inlineStr">
        <is>
          <t>Income Statement</t>
        </is>
      </c>
      <c r="B11" s="8" t="inlineStr">
        <is>
          <t>Profit for the Year</t>
        </is>
      </c>
      <c r="C11" s="12" t="n">
        <v>41289930</v>
      </c>
      <c r="D11" s="13" t="n">
        <v>93898000</v>
      </c>
      <c r="E11" s="14">
        <f>IF(ISERROR((C11-D11)/ABS(D11)),"",(C11-D11)/ABS(D11))</f>
        <v>-0.5602682698247033</v>
      </c>
      <c r="F11" s="11" t="inlineStr">
        <is>
          <t>PDF p.38 (印刷頁 37)</t>
        </is>
      </c>
      <c r="G11" s="11" t="inlineStr">
        <is>
          <t>Profit for the year 41,289,930 93,898,000</t>
        </is>
      </c>
    </row>
    <row r="12">
      <c r="A12" s="8" t="inlineStr">
        <is>
          <t>Balance Sheet</t>
        </is>
      </c>
      <c r="B12" s="8" t="inlineStr">
        <is>
          <t>Investment Properties</t>
        </is>
      </c>
      <c r="C12" s="12" t="n">
        <v>3351074582</v>
      </c>
      <c r="D12" s="13" t="n">
        <v>3284050034</v>
      </c>
      <c r="E12" s="14">
        <f>IF(ISERROR((C12-D12)/ABS(D12)),"",(C12-D12)/ABS(D12))</f>
        <v>0.02040911292644453</v>
      </c>
      <c r="F12" s="11" t="inlineStr">
        <is>
          <t>PDF p.40 (印刷頁 39)</t>
        </is>
      </c>
      <c r="G12" s="11" t="inlineStr">
        <is>
          <t>Investment properties 15 3,351,074,582 3,284,050,034</t>
        </is>
      </c>
    </row>
    <row r="13">
      <c r="A13" s="8" t="inlineStr">
        <is>
          <t>Balance Sheet</t>
        </is>
      </c>
      <c r="B13" s="8" t="inlineStr">
        <is>
          <t>Property Plant and Equipment</t>
        </is>
      </c>
      <c r="C13" s="12" t="n">
        <v>42571979</v>
      </c>
      <c r="D13" s="13" t="n">
        <v>47439157</v>
      </c>
      <c r="E13" s="14">
        <f>IF(ISERROR((C13-D13)/ABS(D13)),"",(C13-D13)/ABS(D13))</f>
        <v>-0.102598323996356</v>
      </c>
      <c r="F13" s="11" t="inlineStr">
        <is>
          <t>PDF p.40 (印刷頁 39)</t>
        </is>
      </c>
      <c r="G13" s="11" t="inlineStr">
        <is>
          <t>Property, plant and equipment 16 42,571,979 47,439,157</t>
        </is>
      </c>
    </row>
    <row r="14">
      <c r="A14" s="8" t="inlineStr">
        <is>
          <t>Balance Sheet</t>
        </is>
      </c>
      <c r="B14" s="8" t="inlineStr">
        <is>
          <t>Goodwill</t>
        </is>
      </c>
      <c r="C14" s="12" t="n">
        <v>1269932</v>
      </c>
      <c r="D14" s="13" t="n">
        <v>1269932</v>
      </c>
      <c r="E14" s="14">
        <f>IF(ISERROR((C14-D14)/ABS(D14)),"",(C14-D14)/ABS(D14))</f>
        <v>0.0</v>
      </c>
      <c r="F14" s="11" t="inlineStr">
        <is>
          <t>PDF p.40 (印刷頁 39)</t>
        </is>
      </c>
      <c r="G14" s="11" t="inlineStr">
        <is>
          <t>Goodwill 18 1,269,932 1,269,932</t>
        </is>
      </c>
    </row>
    <row r="15">
      <c r="A15" s="8" t="inlineStr">
        <is>
          <t>Balance Sheet</t>
        </is>
      </c>
      <c r="B15" s="8" t="inlineStr">
        <is>
          <t>Inventories</t>
        </is>
      </c>
      <c r="C15" s="12" t="n">
        <v>40993190</v>
      </c>
      <c r="D15" s="13" t="n">
        <v>48755903</v>
      </c>
      <c r="E15" s="14">
        <f>IF(ISERROR((C15-D15)/ABS(D15)),"",(C15-D15)/ABS(D15))</f>
        <v>-0.15921585946218655</v>
      </c>
      <c r="F15" s="11" t="inlineStr">
        <is>
          <t>PDF p.40 (印刷頁 39)</t>
        </is>
      </c>
      <c r="G15" s="11" t="inlineStr">
        <is>
          <t>Inventories 23 40,993,190 48,755,903</t>
        </is>
      </c>
    </row>
    <row r="16">
      <c r="A16" s="8" t="inlineStr">
        <is>
          <t>Balance Sheet</t>
        </is>
      </c>
      <c r="B16" s="8" t="inlineStr">
        <is>
          <t>Trade Receivables</t>
        </is>
      </c>
      <c r="C16" s="12" t="n">
        <v>90016775</v>
      </c>
      <c r="D16" s="13" t="n">
        <v>316148274</v>
      </c>
      <c r="E16" s="14">
        <f>IF(ISERROR((C16-D16)/ABS(D16)),"",(C16-D16)/ABS(D16))</f>
        <v>-0.7152703892351473</v>
      </c>
      <c r="F16" s="11" t="inlineStr">
        <is>
          <t>PDF p.40 (印刷頁 39)</t>
        </is>
      </c>
      <c r="G16" s="11" t="inlineStr">
        <is>
          <t>Trade receivables, deposits and prepayments 27 90,016,775 316,148,274</t>
        </is>
      </c>
    </row>
    <row r="17">
      <c r="A17" s="8" t="inlineStr">
        <is>
          <t>Balance Sheet</t>
        </is>
      </c>
      <c r="B17" s="8" t="inlineStr">
        <is>
          <t>Total Equity</t>
        </is>
      </c>
      <c r="C17" s="12" t="n">
        <v>2654412854</v>
      </c>
      <c r="D17" s="13" t="n">
        <v>2581108668</v>
      </c>
      <c r="E17" s="14">
        <f>IF(ISERROR((C17-D17)/ABS(D17)),"",(C17-D17)/ABS(D17))</f>
        <v>0.028400271134961762</v>
      </c>
      <c r="F17" s="11" t="inlineStr">
        <is>
          <t>PDF p.41 (印刷頁 40)</t>
        </is>
      </c>
      <c r="G17" s="11" t="inlineStr">
        <is>
          <t>Total equity attributable to owners of the Company 2,654,412,854 2,581,108,668</t>
        </is>
      </c>
    </row>
    <row r="18">
      <c r="A18" s="8" t="inlineStr">
        <is>
          <t>Balance Sheet</t>
        </is>
      </c>
      <c r="B18" s="8" t="inlineStr">
        <is>
          <t>Total Current Assets</t>
        </is>
      </c>
      <c r="C18" s="12" t="n">
        <v>2489188237</v>
      </c>
      <c r="D18" s="13" t="n">
        <v>5616182529</v>
      </c>
      <c r="E18" s="14">
        <f>IF(ISERROR((C18-D18)/ABS(D18)),"",(C18-D18)/ABS(D18))</f>
        <v>-0.5567828815842961</v>
      </c>
      <c r="F18" s="11" t="inlineStr">
        <is>
          <t>PDF p.40 (印刷頁 39)</t>
        </is>
      </c>
      <c r="G18" s="11" t="inlineStr">
        <is>
          <t>[current assets 區段小計] 2,489,188,237 5,616,182,529</t>
        </is>
      </c>
    </row>
    <row r="19">
      <c r="A19" s="8" t="inlineStr">
        <is>
          <t>Balance Sheet</t>
        </is>
      </c>
      <c r="B19" s="8" t="inlineStr">
        <is>
          <t>Total Current Liabilities</t>
        </is>
      </c>
      <c r="C19" s="12" t="n">
        <v>1845526042</v>
      </c>
      <c r="D19" s="13" t="n">
        <v>5064832460</v>
      </c>
      <c r="E19" s="14">
        <f>IF(ISERROR((C19-D19)/ABS(D19)),"",(C19-D19)/ABS(D19))</f>
        <v>-0.6356195280741823</v>
      </c>
      <c r="F19" s="11" t="inlineStr">
        <is>
          <t>PDF p.40 (印刷頁 39)</t>
        </is>
      </c>
      <c r="G19" s="11" t="inlineStr">
        <is>
          <t>[current liabilities 區段小計] 1,845,526,042 5,064,832,460</t>
        </is>
      </c>
    </row>
    <row r="20">
      <c r="A20" s="8" t="inlineStr">
        <is>
          <t>Cash Flow</t>
        </is>
      </c>
      <c r="B20" s="8" t="inlineStr">
        <is>
          <t>Operating Cash Flow</t>
        </is>
      </c>
      <c r="C20" s="12" t="n">
        <v>2495953225</v>
      </c>
      <c r="D20" s="13" t="n">
        <v>-405373341</v>
      </c>
      <c r="E20" s="14">
        <f>IF(ISERROR((C20-D20)/ABS(D20)),"",(C20-D20)/ABS(D20))</f>
        <v>7.157171605914756</v>
      </c>
      <c r="F20" s="11" t="inlineStr">
        <is>
          <t>PDF p.43 (印刷頁 42)</t>
        </is>
      </c>
      <c r="G20" s="11" t="inlineStr">
        <is>
          <t>Net cash generated from/(used in) operating activities 2,495,953,225 (405,373,341)</t>
        </is>
      </c>
    </row>
    <row r="21">
      <c r="A21" s="8" t="inlineStr">
        <is>
          <t>Cash Flow</t>
        </is>
      </c>
      <c r="B21" s="8" t="inlineStr">
        <is>
          <t>Capital Expenditure</t>
        </is>
      </c>
      <c r="C21" s="12" t="n">
        <v>-1860512</v>
      </c>
      <c r="D21" s="13" t="n">
        <v>-10262292</v>
      </c>
      <c r="E21" s="14">
        <f>IF(ISERROR((C21-D21)/ABS(D21)),"",(C21-D21)/ABS(D21))</f>
        <v>0.8187040477897141</v>
      </c>
      <c r="F21" s="11" t="inlineStr">
        <is>
          <t>PDF p.44 (印刷頁 43)</t>
        </is>
      </c>
      <c r="G21" s="11" t="inlineStr">
        <is>
          <t>Purchase of property, plant and equipment (1,860,512) (10,262,292)</t>
        </is>
      </c>
    </row>
    <row r="22">
      <c r="A22" s="8" t="inlineStr">
        <is>
          <t>Cash Flow</t>
        </is>
      </c>
      <c r="B22" s="8" t="inlineStr">
        <is>
          <t>Investing Cash Flow</t>
        </is>
      </c>
      <c r="C22" s="12" t="n">
        <v>366248207</v>
      </c>
      <c r="D22" s="13" t="n">
        <v>32271037</v>
      </c>
      <c r="E22" s="14">
        <f>IF(ISERROR((C22-D22)/ABS(D22)),"",(C22-D22)/ABS(D22))</f>
        <v>10.349130398257731</v>
      </c>
      <c r="F22" s="11" t="inlineStr">
        <is>
          <t>PDF p.44 (印刷頁 43)</t>
        </is>
      </c>
      <c r="G22" s="11" t="inlineStr">
        <is>
          <t>Net cash generated from investing activities 366,248,207 32,271,037</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0.06065341299212125</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0.2528831463919509</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0.010198745135922378</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0.18693414907851266</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1.3487689582003741</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1.1088585009187055</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0.015555202702465515</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0.036378941020239135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502305226</v>
      </c>
      <c r="C5" s="18" t="n">
        <v>4048530427</v>
      </c>
    </row>
    <row r="6">
      <c r="A6" s="4" t="inlineStr">
        <is>
          <t>Gross Profit</t>
        </is>
      </c>
      <c r="B6" s="18" t="n">
        <v>127024526</v>
      </c>
      <c r="C6" s="18" t="n">
        <v>245557188</v>
      </c>
    </row>
    <row r="7">
      <c r="A7" s="4" t="inlineStr">
        <is>
          <t>Profit Before Tax</t>
        </is>
      </c>
      <c r="B7" s="18" t="n">
        <v>73933897</v>
      </c>
      <c r="C7" s="18" t="n">
        <v>43915335</v>
      </c>
    </row>
    <row r="8">
      <c r="A8" s="4" t="inlineStr">
        <is>
          <t>Profit for the Year</t>
        </is>
      </c>
      <c r="B8" s="18" t="n">
        <v>93898000</v>
      </c>
      <c r="C8" s="18" t="n">
        <v>41289930</v>
      </c>
    </row>
    <row r="9">
      <c r="A9" s="4" t="inlineStr">
        <is>
          <t>Total Equity</t>
        </is>
      </c>
      <c r="B9" s="18" t="n">
        <v>2581108668</v>
      </c>
      <c r="C9" s="18" t="n">
        <v>2654412854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p.33 (印刷頁 32)</t>
        </is>
      </c>
      <c r="F4" s="11" t="inlineStr">
        <is>
          <t>value of the Group’s investment available evidence. properties was determined by adopting the valuation techniques with significant unobservable inputs, assumptions of market conditions and judgements. 32 NA TIONA L ELE C T R O N I C S H O L D I N G S L I M I T E D</t>
        </is>
      </c>
    </row>
    <row r="5">
      <c r="A5" s="8" t="inlineStr">
        <is>
          <t>Fair Value Measurement</t>
        </is>
      </c>
      <c r="B5" s="8" t="inlineStr">
        <is>
          <t>公允價值計量</t>
        </is>
      </c>
      <c r="C5" s="19" t="inlineStr">
        <is>
          <t>high</t>
        </is>
      </c>
      <c r="D5" s="11" t="inlineStr">
        <is>
          <t>level 1</t>
        </is>
      </c>
      <c r="E5" s="11" t="inlineStr">
        <is>
          <t>PDF p.46 (印刷頁 45)</t>
        </is>
      </c>
      <c r="F5" s="11" t="inlineStr">
        <is>
          <t>e the asset in its highest and best use.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6">
      <c r="A6" s="8" t="inlineStr">
        <is>
          <t>Fair Value Measurement</t>
        </is>
      </c>
      <c r="B6" s="8" t="inlineStr">
        <is>
          <t>公允價值計量</t>
        </is>
      </c>
      <c r="C6" s="19" t="inlineStr">
        <is>
          <t>high</t>
        </is>
      </c>
      <c r="D6" s="11" t="inlineStr">
        <is>
          <t>level 1</t>
        </is>
      </c>
      <c r="E6" s="11" t="inlineStr">
        <is>
          <t>PDF p.72 (印刷頁 71)</t>
        </is>
      </c>
      <c r="F6" s="11" t="inlineStr">
        <is>
          <t>In estimating the fair value of an asset or a liability, the Group uses market-observable data to the extent it is available. Where Level 1 inputs are not available, the Group engages third party qualified valuers to perform the valuation. The Group’s management works closely with the qualified external valuers to establish the appropriate valuation techniques and inputs to the model. The Group uses valuation techniques that include inputs that are not based on observable market data to estimate the fair value of certain types</t>
        </is>
      </c>
    </row>
    <row r="7">
      <c r="A7" s="8" t="inlineStr">
        <is>
          <t>Fair Value Measurement</t>
        </is>
      </c>
      <c r="B7" s="8" t="inlineStr">
        <is>
          <t>公允價值計量</t>
        </is>
      </c>
      <c r="C7" s="19" t="inlineStr">
        <is>
          <t>high</t>
        </is>
      </c>
      <c r="D7" s="11" t="inlineStr">
        <is>
          <t>level 1</t>
        </is>
      </c>
      <c r="E7" s="11" t="inlineStr">
        <is>
          <t>PDF p.84 (印刷頁 83)</t>
        </is>
      </c>
      <c r="F7" s="11" t="inlineStr">
        <is>
          <t>ssets/(liabilities) 31/03/2026 31/03/2025 hierarchy key input(s) input(s) inputs to fair value Listed equity security HK$1,472,000 – Level 1 Quoted bid prices in N/A N/A classified as financial assets an active market at fair value through profit or loss Unlisted equity securities HK$7,559,032 – Level 2 Quoted market N/A N/A classified as financial assets prices provided by at fair value through profit financial institution or loss Unlisted fund investments HK$97,744,254 HK$59,910,904 Level 3 Asset approach Net asset value High</t>
        </is>
      </c>
    </row>
    <row r="8">
      <c r="A8" s="8" t="inlineStr">
        <is>
          <t>Fair Value Measurement</t>
        </is>
      </c>
      <c r="B8" s="8" t="inlineStr">
        <is>
          <t>公允價值計量</t>
        </is>
      </c>
      <c r="C8" s="19" t="inlineStr">
        <is>
          <t>high</t>
        </is>
      </c>
      <c r="D8" s="11" t="inlineStr">
        <is>
          <t>fair value hierarchy</t>
        </is>
      </c>
      <c r="E8" s="11" t="inlineStr">
        <is>
          <t>PDF p.85 (印刷頁 84)</t>
        </is>
      </c>
      <c r="F8" s="11" t="inlineStr">
        <is>
          <t>ates, discounted at a rate that reflects the credit risk of various counterparties There were no transfers between the levels of the fair value hierarchy during the years ended 31 March 2026 and 2025. (ii) Fair value of financial assets and financial liabilities that are not measured at fair value on a recurring basis The directors considers that the carrying amounts of financial assets and financial liabilities approximate to their fair value. 84 NA TIONA L ELE C T R O N I C S H O L D I N G S L I M I T E D</t>
        </is>
      </c>
    </row>
    <row r="9">
      <c r="A9" s="8" t="inlineStr">
        <is>
          <t>Fair Value Measurement</t>
        </is>
      </c>
      <c r="B9" s="8" t="inlineStr">
        <is>
          <t>公允價值計量</t>
        </is>
      </c>
      <c r="C9" s="19" t="inlineStr">
        <is>
          <t>high</t>
        </is>
      </c>
      <c r="D9" s="11" t="inlineStr">
        <is>
          <t>level 3</t>
        </is>
      </c>
      <c r="E9" s="11" t="inlineStr">
        <is>
          <t>PDF p.86 (印刷頁 85)</t>
        </is>
      </c>
      <c r="F9" s="11" t="inlineStr">
        <is>
          <t>n HK Dollars) 6. FINANCIAL INSTRUMENTS (Cont’d) c. Fair value measurements of financial instruments (Cont’d) (iii) Reconciliation of Level 3 fair value measurements Unlisted fund investments At 1 April 2024 53,199,751 Purchase 5,419,761 Settlement (633,204) Total gains in profit or loss 1,924,596 At 31 March 2025 and 1 April 2025 59,910,904 Purchase 7,699,309 Total gains in profit or loss 30,134,041 At 31 March 2026 97,744,254 7. REVENUE AND SEGMENT INFORMATION The following is an analysis of the Group’s revenue from its major</t>
        </is>
      </c>
    </row>
    <row r="10">
      <c r="A10" s="8" t="inlineStr">
        <is>
          <t>Fair Value Measurement</t>
        </is>
      </c>
      <c r="B10" s="8" t="inlineStr">
        <is>
          <t>公允價值計量</t>
        </is>
      </c>
      <c r="C10" s="19" t="inlineStr">
        <is>
          <t>high</t>
        </is>
      </c>
      <c r="D10" s="11" t="inlineStr">
        <is>
          <t>fair value hierarchy</t>
        </is>
      </c>
      <c r="E10" s="11" t="inlineStr">
        <is>
          <t>PDF p.100 (印刷頁 99)</t>
        </is>
      </c>
      <c r="F10" s="11" t="inlineStr">
        <is>
          <t>March 2026 (in HK Dollars) 15. INVESTMENT PROPERTIES (Cont’d) Details of the Group’s investment properties and information about the fair value hierarchy at the end of the reporting period are as follows: Fair value as at Fair value Valuation Significant Investment properties 31/03/2026 31/03/2025 hierarchy technique unobservable inputs Commercial and residential properties HK$2,870,000,000 HK$2,674,000,000 Level 3 Direct comparison Adjusted average price per square located in Hong Kong approach foot, ranging from HK$19,661 to</t>
        </is>
      </c>
    </row>
    <row r="11">
      <c r="A11" s="8" t="inlineStr">
        <is>
          <t>Fair Value Measurement</t>
        </is>
      </c>
      <c r="B11" s="8" t="inlineStr">
        <is>
          <t>公允價值計量</t>
        </is>
      </c>
      <c r="C11" s="19" t="inlineStr">
        <is>
          <t>high</t>
        </is>
      </c>
      <c r="D11" s="11" t="inlineStr">
        <is>
          <t>level 2</t>
        </is>
      </c>
      <c r="E11" s="11" t="inlineStr">
        <is>
          <t>PDF p.110 (印刷頁 109)</t>
        </is>
      </c>
      <c r="F11" s="11" t="inlineStr">
        <is>
          <t>chnique through other comprehensive income 31/03/2026 31/03/2025 hierarchy and key input Club debentures HK$12,120,000 HK$13,750,000 Level 2 Market prices in secondary markets NA TIONA L ELE C T R O N I C S H O L D I N G S L I M I T E D 109</t>
        </is>
      </c>
    </row>
    <row r="12">
      <c r="A12" s="8" t="inlineStr">
        <is>
          <t>Impairment Testing</t>
        </is>
      </c>
      <c r="B12" s="8" t="inlineStr">
        <is>
          <t>減值測試</t>
        </is>
      </c>
      <c r="C12" s="19" t="inlineStr">
        <is>
          <t>high</t>
        </is>
      </c>
      <c r="D12" s="11" t="inlineStr">
        <is>
          <t>impairment loss</t>
        </is>
      </c>
      <c r="E12" s="11" t="inlineStr">
        <is>
          <t>PDF p.43 (印刷頁 42)</t>
        </is>
      </c>
      <c r="F12" s="11" t="inlineStr">
        <is>
          <t>costs 153,902,432 202,349,585 Share of results of associates 4,451,583 4,143 Share of results of joint ventures 4,270,170 30,686,139 Impairment loss on interest in an associate 2,783,086 – Allowance for credit losses on amount due from an associate 5,000,000 – Allowance for credit losses on trade receivables 3,957,266 – Waiver of amount due to an associate (4,448,580) – Provision of write-down of inventories 26,644 477,547 Provision for long service payments 253,573 244,880 Depreciation of property, plant and equipment 6,087,79</t>
        </is>
      </c>
    </row>
    <row r="13">
      <c r="A13" s="8" t="inlineStr">
        <is>
          <t>Impairment Testing</t>
        </is>
      </c>
      <c r="B13" s="8" t="inlineStr">
        <is>
          <t>減值測試</t>
        </is>
      </c>
      <c r="C13" s="19" t="inlineStr">
        <is>
          <t>high</t>
        </is>
      </c>
      <c r="D13" s="11" t="inlineStr">
        <is>
          <t>value in use</t>
        </is>
      </c>
      <c r="E13" s="11" t="inlineStr">
        <is>
          <t>PDF p.46 (印刷頁 45)</t>
        </is>
      </c>
      <c r="F13" s="11" t="inlineStr">
        <is>
          <t>measurements that have some similarities to fair value but are not fair value, such as net realisable value in HKAS 2 Inventories or value in use in HKAS 36 Impairment of Assets. A fair value measurement of a non-financial asset takes into account a market participant’s ability to generate economic benefits by using the asset in its highest and best use or by selling it to another market participant that would use the asset in its highest and best use. In addition, for financial reporting purposes, fair value measurements are c</t>
        </is>
      </c>
    </row>
    <row r="14">
      <c r="A14" s="8" t="inlineStr">
        <is>
          <t>Impairment Testing</t>
        </is>
      </c>
      <c r="B14" s="8" t="inlineStr">
        <is>
          <t>減值測試</t>
        </is>
      </c>
      <c r="C14" s="19" t="inlineStr">
        <is>
          <t>high</t>
        </is>
      </c>
      <c r="D14" s="11" t="inlineStr">
        <is>
          <t>impairment test</t>
        </is>
      </c>
      <c r="E14" s="11" t="inlineStr">
        <is>
          <t>PDF p.49 (印刷頁 48)</t>
        </is>
      </c>
      <c r="F14" s="11" t="inlineStr">
        <is>
          <t>ate of acquisition of the business (see the accounting policy above) less accumulated impairment losses, if any. For the purposes of impairment testing, goodwill is allocated to each of the Group’s cash-generating units (or group of cash-generating units) that is expected to benefit from the synergies of the combination, which represent the lowest level at which the goodwill is monitored for internal management purposes and not larger than an operating segment. A cash-generating unit (or group of cash-generating units) to which</t>
        </is>
      </c>
    </row>
    <row r="15">
      <c r="A15" s="8" t="inlineStr">
        <is>
          <t>Impairment Testing</t>
        </is>
      </c>
      <c r="B15" s="8" t="inlineStr">
        <is>
          <t>減值測試</t>
        </is>
      </c>
      <c r="C15" s="19" t="inlineStr">
        <is>
          <t>high</t>
        </is>
      </c>
      <c r="D15" s="11" t="inlineStr">
        <is>
          <t>impairment loss</t>
        </is>
      </c>
      <c r="E15" s="11" t="inlineStr">
        <is>
          <t>PDF p.50 (印刷頁 49)</t>
        </is>
      </c>
      <c r="F15" s="11" t="inlineStr">
        <is>
          <t>set by comparing its recoverable amount (higher of value in use and fair value less costs of disposal) with its carrying amount. Any impairment loss recognised forms part of the carrying amount of the investment. Any reversal of that impairment loss is recognised in accordance with HKAS 36 to the extent that the recoverable amount of the investment subsequently increases. When the Group ceases to have significant influence over an associate or joint control over a joint venture, it is accounted for as a disposal of the entire i</t>
        </is>
      </c>
    </row>
    <row r="16">
      <c r="A16" s="8" t="inlineStr">
        <is>
          <t>Impairment Testing</t>
        </is>
      </c>
      <c r="B16" s="8" t="inlineStr">
        <is>
          <t>減值測試</t>
        </is>
      </c>
      <c r="C16" s="19" t="inlineStr">
        <is>
          <t>high</t>
        </is>
      </c>
      <c r="D16" s="11" t="inlineStr">
        <is>
          <t>impairment loss</t>
        </is>
      </c>
      <c r="E16" s="11" t="inlineStr">
        <is>
          <t>PDF p.52 (印刷頁 51)</t>
        </is>
      </c>
      <c r="F16" s="11" t="inlineStr">
        <is>
          <t>n required by the terms and conditions of the lease. Right-of-use assets are measured at cost, less any accumulated depreciation and impairment losses, and adjusted for any remeasurement of lease liabilities. NA TIONA L ELE C T R O N I C S H O L D I N G S L I M I T E D 51</t>
        </is>
      </c>
    </row>
    <row r="17">
      <c r="A17" s="8" t="inlineStr">
        <is>
          <t>Impairment Testing</t>
        </is>
      </c>
      <c r="B17" s="8" t="inlineStr">
        <is>
          <t>減值測試</t>
        </is>
      </c>
      <c r="C17" s="19" t="inlineStr">
        <is>
          <t>high</t>
        </is>
      </c>
      <c r="D17" s="11" t="inlineStr">
        <is>
          <t>impairment loss</t>
        </is>
      </c>
      <c r="E17" s="11" t="inlineStr">
        <is>
          <t>PDF p.61 (印刷頁 60)</t>
        </is>
      </c>
      <c r="F17" s="11" t="inlineStr">
        <is>
          <t>ated in the consolidated statement of financial position at cost less subsequent accumulated depreciation and subsequent accumulated impairment losses, if any. Properties in the course of construction for production, supply or administrative purposes are carried at cost, less any recognised impairment loss. Costs include professional fees and, for qualifying assets, borrowing costs capitalised in accordance with the Group’s accounting policy. Such properties are classified to the appropriate categories of property, plant and eq</t>
        </is>
      </c>
    </row>
    <row r="18">
      <c r="A18" s="8" t="inlineStr">
        <is>
          <t>Impairment Testing</t>
        </is>
      </c>
      <c r="B18" s="8" t="inlineStr">
        <is>
          <t>減值測試</t>
        </is>
      </c>
      <c r="C18" s="19" t="inlineStr">
        <is>
          <t>high</t>
        </is>
      </c>
      <c r="D18" s="11" t="inlineStr">
        <is>
          <t>impairment loss</t>
        </is>
      </c>
      <c r="E18" s="11" t="inlineStr">
        <is>
          <t>PDF p.62 (印刷頁 61)</t>
        </is>
      </c>
      <c r="F18" s="11" t="inlineStr">
        <is>
          <t>reviews the carrying amounts of its tangible assets to determine whether there is any indication that those assets have suffered an impairment loss. If any such indication exists, the recoverable amount of the asset is estimated in order to determine the extent of the impairment loss, if any. When it is not possible to estimate the recoverable amount of an individual asset, the Group estimates the recoverable amount of the cash-generating unit to which the asset belongs. When a reasonable and consistent basis of allocation can</t>
        </is>
      </c>
    </row>
    <row r="19">
      <c r="A19" s="8" t="inlineStr">
        <is>
          <t>Impairment Testing</t>
        </is>
      </c>
      <c r="B19" s="8" t="inlineStr">
        <is>
          <t>減值測試</t>
        </is>
      </c>
      <c r="C19" s="19" t="inlineStr">
        <is>
          <t>high</t>
        </is>
      </c>
      <c r="D19" s="11" t="inlineStr">
        <is>
          <t>impairment loss</t>
        </is>
      </c>
      <c r="E19" s="11" t="inlineStr">
        <is>
          <t>PDF p.78 (印刷頁 77)</t>
        </is>
      </c>
      <c r="F19" s="11" t="inlineStr">
        <is>
          <t>n, the Group reviews the recoverable amount of each individual trade debt at the end of the reporting period to ensure that adequate impairment losses are made for irrecoverable amounts. In this regard, the directors of the Company consider that the Group’s credit risk is significantly reduced. The Group considers the probability of default upon initial recognition of asset and whether there has been a significant increase in credit risk on an ongoing basis throughout each reporting period. To assess whether there is a signific</t>
        </is>
      </c>
    </row>
    <row r="20">
      <c r="A20" s="8" t="inlineStr">
        <is>
          <t>Impairment Testing</t>
        </is>
      </c>
      <c r="B20" s="8" t="inlineStr">
        <is>
          <t>減值測試</t>
        </is>
      </c>
      <c r="C20" s="19" t="inlineStr">
        <is>
          <t>high</t>
        </is>
      </c>
      <c r="D20" s="11" t="inlineStr">
        <is>
          <t>impairment loss</t>
        </is>
      </c>
      <c r="E20" s="11" t="inlineStr">
        <is>
          <t>PDF p.81 (印刷頁 80)</t>
        </is>
      </c>
      <c r="F20" s="11" t="inlineStr">
        <is>
          <t>1 April 2024 14,603,554 Bad debt written off (1,652,373) Exchange realignment (73,029) At 31 March 2025 and 1 April 2025 12,878,152 Impairment loss recognised 3,957,266 Exchange realignment 109,210 At 31 March 2026 16,944,628 Deposits and other receivables The management considered that the credit risk of these financial assets has not significantly increased since initial recognition. The Group has assessed and concluded that the expected credit loss rate for these receivables is immaterial under 12-month ECL method after tak</t>
        </is>
      </c>
    </row>
    <row r="21">
      <c r="A21" s="8" t="inlineStr">
        <is>
          <t>Impairment Testing</t>
        </is>
      </c>
      <c r="B21" s="8" t="inlineStr">
        <is>
          <t>減值測試</t>
        </is>
      </c>
      <c r="C21" s="19" t="inlineStr">
        <is>
          <t>high</t>
        </is>
      </c>
      <c r="D21" s="11" t="inlineStr">
        <is>
          <t>impairment loss</t>
        </is>
      </c>
      <c r="E21" s="11" t="inlineStr">
        <is>
          <t>PDF p.82 (印刷頁 81)</t>
        </is>
      </c>
      <c r="F21" s="11" t="inlineStr">
        <is>
          <t>oss allowances that has been recognised for amount due from an associate: 12m ECL At 31 March 2024, 31 March 2025 and 1 April 2025 – Impairment loss recognised 5,000,000 At 31 March 2026 5,000,000 Bank balances The credit risk on liquid funds is limited because the counterparties are banks with high credit ratings assigned by international credit-rating agencies. There has been no recent history of default in relation to these banks and thus the risk of default is regard as low. Liquidity risk The Group manages liquidity risk b</t>
        </is>
      </c>
    </row>
    <row r="22">
      <c r="A22" s="8" t="inlineStr">
        <is>
          <t>Impairment Testing</t>
        </is>
      </c>
      <c r="B22" s="8" t="inlineStr">
        <is>
          <t>減值測試</t>
        </is>
      </c>
      <c r="C22" s="19" t="inlineStr">
        <is>
          <t>high</t>
        </is>
      </c>
      <c r="D22" s="11" t="inlineStr">
        <is>
          <t>impairment loss</t>
        </is>
      </c>
      <c r="E22" s="11" t="inlineStr">
        <is>
          <t>PDF p.93 (印刷頁 92)</t>
        </is>
      </c>
      <c r="F22" s="11" t="inlineStr">
        <is>
          <t>me – 5,000,000 Gain on lease modification – 77,693 Occupancy income (note) 74,058,051 18,910,281 Project management fee 10,290,000 – Impairment loss on interest in an associate (2,783,086) – Waiver of amount due to an associate 4,448,580 – Net foreign exchange gain 6,033,612 – Sundry income 1,732,871 939,285 137,607,673 79,782,120 Note: The occupancy income represents the interim occupancy income generated from the sold residential condominium in Canada. 9. FINANCE COSTS 2026 2025 Interest on: Bank loans and overdrafts 244,998,</t>
        </is>
      </c>
    </row>
    <row r="23">
      <c r="A23" s="8" t="inlineStr">
        <is>
          <t>Impairment Testing</t>
        </is>
      </c>
      <c r="B23" s="8" t="inlineStr">
        <is>
          <t>減值測試</t>
        </is>
      </c>
      <c r="C23" s="19" t="inlineStr">
        <is>
          <t>high</t>
        </is>
      </c>
      <c r="D23" s="11" t="inlineStr">
        <is>
          <t>impairment test</t>
        </is>
      </c>
      <c r="E23" s="11" t="inlineStr">
        <is>
          <t>PDF p.103 (印刷頁 102)</t>
        </is>
      </c>
      <c r="F23" s="11" t="inlineStr">
        <is>
          <t>rch 2025, 1 April 2025 and 31 March 2026 – CARRYING VALUES At 31 March 2026 1,269,932 At 31 March 2025 1,269,932 For the purposes of impairment testing, goodwill has been allocated to two individual cash-generating units (CGUs) in the commercial property investment segment. 2026 2025 Roebuck Investments Limited (Unit A) 678,126 678,126 Ally Vantage Limited (Unit B) 591,806 591,806 1,269,932 1,269,932 During the years ended 31 March 2026 and 2025, management of the Group determines that there are no impairments of any of its CGU</t>
        </is>
      </c>
    </row>
    <row r="24">
      <c r="A24" s="8" t="inlineStr">
        <is>
          <t>Impairment Testing</t>
        </is>
      </c>
      <c r="B24" s="8" t="inlineStr">
        <is>
          <t>減值測試</t>
        </is>
      </c>
      <c r="C24" s="19" t="inlineStr">
        <is>
          <t>high</t>
        </is>
      </c>
      <c r="D24" s="11" t="inlineStr">
        <is>
          <t>impairment loss</t>
        </is>
      </c>
      <c r="E24" s="11" t="inlineStr">
        <is>
          <t>PDF p.104 (印刷頁 103)</t>
        </is>
      </c>
      <c r="F24" s="11" t="inlineStr">
        <is>
          <t>6 Share of post-acquisition (losses)/profits and other comprehensive (expense)/income, net of dividends received (230,310) 4,221,273 Impairment loss recognised (2,783,086) – – 7,234,669 Particulars of the Group’s associates at the end of the reporting period are as follows: Percentage of Place of ownership interests incorporation/ Class of held by the Group Principal Name of associate Form of entity operation shares held 2026 2025 activities Eden Bay Corporation Incorporated British Virgin Ordinary 20% 20% Investment (“Eden Bay</t>
        </is>
      </c>
    </row>
    <row r="25">
      <c r="A25" s="8" t="inlineStr">
        <is>
          <t>Intangible Assets &amp; Goodwill</t>
        </is>
      </c>
      <c r="B25" s="8" t="inlineStr">
        <is>
          <t>無形資產及商譽</t>
        </is>
      </c>
      <c r="C25" s="19" t="inlineStr">
        <is>
          <t>high</t>
        </is>
      </c>
      <c r="D25" s="11" t="inlineStr">
        <is>
          <t>goodwill</t>
        </is>
      </c>
      <c r="E25" s="11" t="inlineStr">
        <is>
          <t>PDF p.40 (印刷頁 39)</t>
        </is>
      </c>
      <c r="F25" s="11" t="inlineStr">
        <is>
          <t>15 3,351,074,582 3,284,050,034 Property, plant and equipment 16 42,571,979 47,439,157 Right-of-use assets 17 245,273,172 250,484,092 Goodwill 18 1,269,932 1,269,932 Interests in associates 19 – 7,234,669 Interests in joint ventures 20 30,050,196 282,480,366 Other assets at fair value through other comprehensive income 21 12,120,000 13,750,000 Deferred tax assets 35 10,921,550 10,269,657 3,693,281,411 3,896,977,907 Current assets Inventories 23 40,993,190 48,755,903 Financial assets at fair value through profit or loss 24 106,77</t>
        </is>
      </c>
    </row>
    <row r="26">
      <c r="A26" s="8" t="inlineStr">
        <is>
          <t>Intangible Assets &amp; Goodwill</t>
        </is>
      </c>
      <c r="B26" s="8" t="inlineStr">
        <is>
          <t>無形資產及商譽</t>
        </is>
      </c>
      <c r="C26" s="19" t="inlineStr">
        <is>
          <t>high</t>
        </is>
      </c>
      <c r="D26" s="11" t="inlineStr">
        <is>
          <t>goodwill</t>
        </is>
      </c>
      <c r="E26" s="11" t="inlineStr">
        <is>
          <t>PDF p.47 (印刷頁 46)</t>
        </is>
      </c>
      <c r="F26" s="11" t="inlineStr">
        <is>
          <t>he consideration received and the fair value of any retained interest and (ii) the previous carrying amount of the assets (including goodwill), and liabilities of the subsidiary and any non-controlling interests.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by applic</t>
        </is>
      </c>
    </row>
    <row r="27">
      <c r="A27" s="8" t="inlineStr">
        <is>
          <t>Intangible Assets &amp; Goodwill</t>
        </is>
      </c>
      <c r="B27" s="8" t="inlineStr">
        <is>
          <t>無形資產及商譽</t>
        </is>
      </c>
      <c r="C27" s="19" t="inlineStr">
        <is>
          <t>high</t>
        </is>
      </c>
      <c r="D27" s="11" t="inlineStr">
        <is>
          <t>goodwill</t>
        </is>
      </c>
      <c r="E27" s="11" t="inlineStr">
        <is>
          <t>PDF p.48 (印刷頁 47)</t>
        </is>
      </c>
      <c r="F27" s="11" t="inlineStr">
        <is>
          <t>group of similar identifiable assets. The gross assets under assessment exclude cash and cash equivalents, deferred tax assets, and goodwill resulting from the effects of deferred tax liabilities. If the concentration test is met, the set of activities and assets is determined not to be a business and no further assessment is needed. Asset acquisitions When the Group acquires a group of assets and liabilities that do not constitute a business, the Group identifies and recognises the individual identifiable assets acquired and</t>
        </is>
      </c>
    </row>
    <row r="28">
      <c r="A28" s="8" t="inlineStr">
        <is>
          <t>Intangible Assets &amp; Goodwill</t>
        </is>
      </c>
      <c r="B28" s="8" t="inlineStr">
        <is>
          <t>無形資產及商譽</t>
        </is>
      </c>
      <c r="C28" s="19" t="inlineStr">
        <is>
          <t>high</t>
        </is>
      </c>
      <c r="D28" s="11" t="inlineStr">
        <is>
          <t>goodwill</t>
        </is>
      </c>
      <c r="E28" s="11" t="inlineStr">
        <is>
          <t>PDF p.49 (印刷頁 48)</t>
        </is>
      </c>
      <c r="F28" s="11" t="inlineStr">
        <is>
          <t>d be accounted for on the same basis as would be required if the Group had disposed directly of the previously held equity interest. Goodwill Goodwill arising on an acquisition of a business is carried at cost as established at the date of acquisition of the business (see the accounting policy above) less accumulated impairment losses, if any. For the purposes of impairment testing, goodwill is allocated to each of the Group’s cash-generating units (or group of cash-generating units) that is expected to benefit from the synergi</t>
        </is>
      </c>
    </row>
    <row r="29">
      <c r="A29" s="8" t="inlineStr">
        <is>
          <t>Intangible Assets &amp; Goodwill</t>
        </is>
      </c>
      <c r="B29" s="8" t="inlineStr">
        <is>
          <t>無形資產及商譽</t>
        </is>
      </c>
      <c r="C29" s="19" t="inlineStr">
        <is>
          <t>high</t>
        </is>
      </c>
      <c r="D29" s="11" t="inlineStr">
        <is>
          <t>goodwill</t>
        </is>
      </c>
      <c r="E29" s="11" t="inlineStr">
        <is>
          <t>PDF p.50 (印刷頁 49)</t>
        </is>
      </c>
      <c r="F29" s="11" t="inlineStr">
        <is>
          <t>investment over the Group’s share of the net fair value of the identifiable assets and liabilities of the investee is recognised as goodwill, which is included within the carrying amount of the investment. Any excess of the Group’s share of the net fair value of the identifiable assets and liabilities over the cost of the investment, after reassessment, is recognised immediately in profit or loss in the period in which the investment is acquired. The Group assess whether there is an objective evidence that the interest in an a</t>
        </is>
      </c>
    </row>
    <row r="30">
      <c r="A30" s="8" t="inlineStr">
        <is>
          <t>Intangible Assets &amp; Goodwill</t>
        </is>
      </c>
      <c r="B30" s="8" t="inlineStr">
        <is>
          <t>無形資產及商譽</t>
        </is>
      </c>
      <c r="C30" s="19" t="inlineStr">
        <is>
          <t>high</t>
        </is>
      </c>
      <c r="D30" s="11" t="inlineStr">
        <is>
          <t>useful life</t>
        </is>
      </c>
      <c r="E30" s="11" t="inlineStr">
        <is>
          <t>PDF p.53 (印刷頁 52)</t>
        </is>
      </c>
      <c r="F30"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When the Group obtains ownership of the underlying leased assets at the end of the lease term, upon exercising purchase options, the cost of the relevant right-of-use assets and the related accumulated depreciation and impairment loss are transferre</t>
        </is>
      </c>
    </row>
    <row r="31">
      <c r="A31" s="8" t="inlineStr">
        <is>
          <t>Intangible Assets &amp; Goodwill</t>
        </is>
      </c>
      <c r="B31" s="8" t="inlineStr">
        <is>
          <t>無形資產及商譽</t>
        </is>
      </c>
      <c r="C31" s="19" t="inlineStr">
        <is>
          <t>high</t>
        </is>
      </c>
      <c r="D31" s="11" t="inlineStr">
        <is>
          <t>goodwill</t>
        </is>
      </c>
      <c r="E31" s="11" t="inlineStr">
        <is>
          <t>PDF p.56 (印刷頁 55)</t>
        </is>
      </c>
      <c r="F31" s="11" t="inlineStr">
        <is>
          <t>ces accumulated in equity in respect of that operation attributable to the owners of the Company are reclassified to profit or loss. Goodwill and fair value adjustments on identifiable assets acquired arising on an acquisition of a foreign operation are treated as assets and liabilities of that foreign operation and retranslated at the rate of exchange prevailing at the end of each reporting period. Exchange differences arising are recognised in other comprehensive income. NA TIONA L ELE C T R O N I C S H O L D I N G S L I M I</t>
        </is>
      </c>
    </row>
    <row r="32">
      <c r="A32" s="8" t="inlineStr">
        <is>
          <t>Intangible Assets &amp; Goodwill</t>
        </is>
      </c>
      <c r="B32" s="8" t="inlineStr">
        <is>
          <t>無形資產及商譽</t>
        </is>
      </c>
      <c r="C32" s="19" t="inlineStr">
        <is>
          <t>high</t>
        </is>
      </c>
      <c r="D32" s="11" t="inlineStr">
        <is>
          <t>goodwill</t>
        </is>
      </c>
      <c r="E32" s="11" t="inlineStr">
        <is>
          <t>PDF p.60 (印刷頁 59)</t>
        </is>
      </c>
      <c r="F32" s="11" t="inlineStr">
        <is>
          <t>ary differences can be utilised. Such deferred tax assets and liabilities are not recognised if the temporary difference arises from goodwill or from the initial recognition (other than in a business combination) of assets and liabilities in a transaction that affects neither the taxable profit nor the accounting profit and at the time of the transaction does not give rise to equal taxable and deductible temporary differences. In addition, deferred tax liabilities are not recognised if the temporary difference arises from the i</t>
        </is>
      </c>
    </row>
    <row r="33">
      <c r="A33" s="8" t="inlineStr">
        <is>
          <t>Intangible Assets &amp; Goodwill</t>
        </is>
      </c>
      <c r="B33" s="8" t="inlineStr">
        <is>
          <t>無形資產及商譽</t>
        </is>
      </c>
      <c r="C33" s="19" t="inlineStr">
        <is>
          <t>high</t>
        </is>
      </c>
      <c r="D33" s="11" t="inlineStr">
        <is>
          <t>goodwill</t>
        </is>
      </c>
      <c r="E33" s="11" t="inlineStr">
        <is>
          <t>PDF p.62 (印刷頁 61)</t>
        </is>
      </c>
      <c r="F33" s="11" t="inlineStr">
        <is>
          <t>s recoverable amount. In allocating the impairment loss, the impairment loss is allocated first to reduce the carrying amount of any goodwill (if applicable) and then to the other assets on a pro-rata basis based on the carrying amount of each asset in the unit. The carrying amount of an asset is not reduced below the highest of its fair value less costs of disposal (if measurable), its value in use (if determinable) and zero. The amount of the impairment loss that would otherwise have been allocated to the asset is allocated p</t>
        </is>
      </c>
    </row>
    <row r="34">
      <c r="A34" s="8" t="inlineStr">
        <is>
          <t>Intangible Assets &amp; Goodwill</t>
        </is>
      </c>
      <c r="B34" s="8" t="inlineStr">
        <is>
          <t>無形資產及商譽</t>
        </is>
      </c>
      <c r="C34" s="19" t="inlineStr">
        <is>
          <t>high</t>
        </is>
      </c>
      <c r="D34" s="11" t="inlineStr">
        <is>
          <t>amortisation</t>
        </is>
      </c>
      <c r="E34" s="11" t="inlineStr">
        <is>
          <t>PDF p.65 (印刷頁 64)</t>
        </is>
      </c>
      <c r="F34" s="11" t="inlineStr">
        <is>
          <t>et is the amount at which the financial asset is measured at initial recognition minus the principal repayments, plus the cumulative amortisation using the effective interest method of any difference between that initial amount and the maturity amount, adjusted for any loss allowance. On the other hand, the gross carrying amount of a financial asset is the amortised cost of a financial asset before adjusting for any loss allowance. Interest income is recognised using the effective interest method for debt instruments measured s</t>
        </is>
      </c>
    </row>
    <row r="35">
      <c r="A35" s="8" t="inlineStr">
        <is>
          <t>Intangible Assets &amp; Goodwill</t>
        </is>
      </c>
      <c r="B35" s="8" t="inlineStr">
        <is>
          <t>無形資產及商譽</t>
        </is>
      </c>
      <c r="C35" s="19" t="inlineStr">
        <is>
          <t>high</t>
        </is>
      </c>
      <c r="D35" s="11" t="inlineStr">
        <is>
          <t>amortisation</t>
        </is>
      </c>
      <c r="E35" s="11" t="inlineStr">
        <is>
          <t>PDF p.70 (印刷頁 69)</t>
        </is>
      </c>
      <c r="F35" s="11" t="inlineStr">
        <is>
          <t>the loss allowance determined in accordance with HKFRS 9; and • the amount initially recognised less, where appropriate, cumulative amortisation recognised over the guarantee period. Derecognition of financial liabilities The Group derecognises financial liabilities when, and only when, the Group’s obligations are discharged, cancelled or have expired. The difference between the carrying amount of the financial liability derecognised and the consideration paid and payable is recognised in profit or loss. Derivative financial i</t>
        </is>
      </c>
    </row>
    <row r="36">
      <c r="A36" s="8" t="inlineStr">
        <is>
          <t>Intangible Assets &amp; Goodwill</t>
        </is>
      </c>
      <c r="B36" s="8" t="inlineStr">
        <is>
          <t>無形資產及商譽</t>
        </is>
      </c>
      <c r="C36" s="19" t="inlineStr">
        <is>
          <t>high</t>
        </is>
      </c>
      <c r="D36" s="11" t="inlineStr">
        <is>
          <t>goodwill</t>
        </is>
      </c>
      <c r="E36" s="11" t="inlineStr">
        <is>
          <t>PDF p.103 (印刷頁 102)</t>
        </is>
      </c>
      <c r="F36" s="11" t="inlineStr">
        <is>
          <t>land with a carrying amount of HK$224,065,180 (2025: HK$228,816,664) to secure general banking facilities granted to the Group. 18. GOODWILL COST At 1 April 2024, 31 March 2025, 1 April 2025 and 31 March 2026 1,269,932 IMPAIRMENT At 1 April 2024, 31 March 2025, 1 April 2025 and 31 March 2026 – CARRYING VALUES At 31 March 2026 1,269,932 At 31 March 2025 1,269,932 For the purposes of impairment testing, goodwill has been allocated to two individual cash-generating units (CGUs) in the commercial property investment segment. 2026</t>
        </is>
      </c>
    </row>
    <row r="37">
      <c r="A37" s="8" t="inlineStr">
        <is>
          <t>Intangible Assets &amp; Goodwill</t>
        </is>
      </c>
      <c r="B37" s="8" t="inlineStr">
        <is>
          <t>無形資產及商譽</t>
        </is>
      </c>
      <c r="C37" s="19" t="inlineStr">
        <is>
          <t>high</t>
        </is>
      </c>
      <c r="D37" s="11" t="inlineStr">
        <is>
          <t>goodwill</t>
        </is>
      </c>
      <c r="E37" s="11" t="inlineStr">
        <is>
          <t>PDF p.104 (印刷頁 103)</t>
        </is>
      </c>
      <c r="F37" s="11" t="inlineStr">
        <is>
          <t>NOTES TO THE CONSOLIDATED FINANCIAL STATEMENTS For the year ended 31 March 2026 (in HK Dollars) 18. GOODWILL (Cont’d) The basis of the recoverable amounts of the above CGUs and their major underlying assumptions are summarised below: Unit A and Unit B The recoverable amount of Units A and B have been determined on the basis of value in use calculations. Their recoverable amounts are based on certain similar key assumptions. The value in use calculation of Unit A uses cash flow projections based</t>
        </is>
      </c>
    </row>
    <row r="38">
      <c r="A38" s="8" t="inlineStr">
        <is>
          <t>Intangible Assets &amp; Goodwill</t>
        </is>
      </c>
      <c r="B38" s="8" t="inlineStr">
        <is>
          <t>無形資產及商譽</t>
        </is>
      </c>
      <c r="C38" s="19" t="inlineStr">
        <is>
          <t>high</t>
        </is>
      </c>
      <c r="D38" s="11" t="inlineStr">
        <is>
          <t>goodwill</t>
        </is>
      </c>
      <c r="E38" s="11" t="inlineStr">
        <is>
          <t>PDF p.105 (印刷頁 104)</t>
        </is>
      </c>
      <c r="F38" s="11" t="inlineStr">
        <is>
          <t>atements: 2026 2025 Net assets of Eden Bay – 22,257,916 Proportion of the Group’s ownership interest in Eden Bay 20% 20% – 4,451,583 Goodwill – 2,783,086 Carrying amount of the Group’s interest in Eden Bay – 7,234,669 104 NA TIONA L ELE C T R O N I C S H O L D I N G S L I M I T E D</t>
        </is>
      </c>
    </row>
    <row r="39">
      <c r="A39" s="8" t="inlineStr">
        <is>
          <t>Investment Properties</t>
        </is>
      </c>
      <c r="B39" s="8" t="inlineStr">
        <is>
          <t>投資物業</t>
        </is>
      </c>
      <c r="C39" s="19" t="inlineStr">
        <is>
          <t>high</t>
        </is>
      </c>
      <c r="D39" s="11" t="inlineStr">
        <is>
          <t>investment property</t>
        </is>
      </c>
      <c r="E39" s="11" t="inlineStr">
        <is>
          <t>PDF p.53 (印刷頁 52)</t>
        </is>
      </c>
      <c r="F39" s="11" t="inlineStr">
        <is>
          <t>ent loss are transferred to property, plant and equipment. The Group presents right-of-use assets that do not meet the definition of investment property or inventory as a separate line item on the consolidated statement of financial position. Refundable rental deposits Refundable rental deposits paid are accounted under HKFRS 9 and initially measured at fair value. Adjustments to fair value at initial recognition are considered as additional lease payments and included in the cost of right-of-use assets. Lease liabilities At th</t>
        </is>
      </c>
    </row>
    <row r="40">
      <c r="A40" s="8" t="inlineStr">
        <is>
          <t>Investment Properties</t>
        </is>
      </c>
      <c r="B40" s="8" t="inlineStr">
        <is>
          <t>投資物業</t>
        </is>
      </c>
      <c r="C40" s="19" t="inlineStr">
        <is>
          <t>high</t>
        </is>
      </c>
      <c r="D40" s="11" t="inlineStr">
        <is>
          <t>investment property</t>
        </is>
      </c>
      <c r="E40" s="11" t="inlineStr">
        <is>
          <t>PDF p.60 (印刷頁 59)</t>
        </is>
      </c>
      <c r="F40" s="11"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NA TIONA L ELE C T R O N I C S H O L D I N G S L I M I T E D 59</t>
        </is>
      </c>
    </row>
    <row r="41">
      <c r="A41" s="8" t="inlineStr">
        <is>
          <t>Investment Properties</t>
        </is>
      </c>
      <c r="B41" s="8" t="inlineStr">
        <is>
          <t>投資物業</t>
        </is>
      </c>
      <c r="C41" s="19" t="inlineStr">
        <is>
          <t>high</t>
        </is>
      </c>
      <c r="D41" s="11" t="inlineStr">
        <is>
          <t>investment property</t>
        </is>
      </c>
      <c r="E41" s="11" t="inlineStr">
        <is>
          <t>PDF p.61 (印刷頁 60)</t>
        </is>
      </c>
      <c r="F41" s="11" t="inlineStr">
        <is>
          <t>h the effect of any changes in estimate accounted for on a prospective basis. If an item of property, plant and equipment becomes an investment property because its use has changed as evidenced by end of owner-occupation, any difference between the carrying amount and the fair value of that item (including the relevant prepaid lease payments) at the date of transfer is recognised in other comprehensive income and accumulated in property revaluation reserve. On the subsequent sale or retirement of the asset, the relevant revalua</t>
        </is>
      </c>
    </row>
    <row r="42">
      <c r="A42" s="8" t="inlineStr">
        <is>
          <t>Investment Properties</t>
        </is>
      </c>
      <c r="B42" s="8" t="inlineStr">
        <is>
          <t>投資物業</t>
        </is>
      </c>
      <c r="C42" s="19" t="inlineStr">
        <is>
          <t>high</t>
        </is>
      </c>
      <c r="D42" s="11" t="inlineStr">
        <is>
          <t>investment property</t>
        </is>
      </c>
      <c r="E42" s="11" t="inlineStr">
        <is>
          <t>PDF p.62 (印刷頁 61)</t>
        </is>
      </c>
      <c r="F42" s="11" t="inlineStr">
        <is>
          <t>ent properties under construction are capitalised as part of the carrying amount of the investment properties under construction. An investment property is derecognised upon disposal or when the investment property is permanently withdrawn from use and no future economic benefits are expected from its disposals. Any gain or loss arising on derecognition of the property (calculated as the difference between the net disposal proceeds and the carrying amount of the asset) is included in the profit or loss in the period in which th</t>
        </is>
      </c>
    </row>
    <row r="43">
      <c r="A43" s="8" t="inlineStr">
        <is>
          <t>Investment Properties</t>
        </is>
      </c>
      <c r="B43" s="8" t="inlineStr">
        <is>
          <t>投資物業</t>
        </is>
      </c>
      <c r="C43" s="19" t="inlineStr">
        <is>
          <t>high</t>
        </is>
      </c>
      <c r="D43" s="11" t="inlineStr">
        <is>
          <t>capitalisation rate</t>
        </is>
      </c>
      <c r="E43" s="11" t="inlineStr">
        <is>
          <t>PDF p.93 (印刷頁 92)</t>
        </is>
      </c>
      <c r="F43" s="11" t="inlineStr">
        <is>
          <t>elopment (92,602,507) (152,179,921) 153,902,432 202,349,585 Borrowing costs capitalised during the year are calculated by applying a capitalisation rate of 5.64% (2025: 7.00%) per annum to expenditure on qualifying assets. 92 NA TIONA L ELE C T R O N I C S H O L D I N G S L I M I T E D</t>
        </is>
      </c>
    </row>
    <row r="44">
      <c r="A44" s="8" t="inlineStr">
        <is>
          <t>Investment Properties</t>
        </is>
      </c>
      <c r="B44" s="8" t="inlineStr">
        <is>
          <t>投資物業</t>
        </is>
      </c>
      <c r="C44" s="19" t="inlineStr">
        <is>
          <t>high</t>
        </is>
      </c>
      <c r="D44" s="11" t="inlineStr">
        <is>
          <t>investment property</t>
        </is>
      </c>
      <c r="E44" s="11" t="inlineStr">
        <is>
          <t>PDF p.99 (印刷頁 98)</t>
        </is>
      </c>
      <c r="F44" s="11" t="inlineStr">
        <is>
          <t>d out by Savills (UK) Limited, independent qualified professional valuer not connected with the Group. The fair value of the Group’s investment property located in Canada at 31 March 2026 and 2025 has been arrived at on the basis of a valuation carried out by CBRE Limited, independent qualified professional valuer not connected with the Group. The fair values of the completed investment properties located in Hong Kong, United Kingdom and Canada at 31 March 2026 (2025: completed investment properties located in Hong Kong and Uni</t>
        </is>
      </c>
    </row>
    <row r="45">
      <c r="A45" s="8" t="inlineStr">
        <is>
          <t>ESG Data</t>
        </is>
      </c>
      <c r="B45" s="8" t="inlineStr">
        <is>
          <t>環境社會及管治數據</t>
        </is>
      </c>
      <c r="C45" s="8" t="inlineStr">
        <is>
          <t>medium</t>
        </is>
      </c>
      <c r="D45" s="11" t="inlineStr">
        <is>
          <t>ESG</t>
        </is>
      </c>
      <c r="E45" s="11" t="inlineStr">
        <is>
          <t>PDF p.25 (印刷頁 24)</t>
        </is>
      </c>
      <c r="F45" s="11" t="inlineStr">
        <is>
          <t>e for evaluating and determining the nature and extent of the significant risks (including, among others, material risks relating to ESG) it is willing to take in achieving the Group’s objectives. In view of the size, nature and complexity of the businesses of the Group, the Group has appointed external independent professionals to perform internal audit functions. As approved by the ARMC, the external independent professionals have made assessment on various business and operation risks of the Group. The ARMC reviewed the find</t>
        </is>
      </c>
    </row>
    <row r="46">
      <c r="A46" s="8" t="inlineStr">
        <is>
          <t>ESG Data</t>
        </is>
      </c>
      <c r="B46" s="8" t="inlineStr">
        <is>
          <t>環境社會及管治數據</t>
        </is>
      </c>
      <c r="C46" s="8" t="inlineStr">
        <is>
          <t>medium</t>
        </is>
      </c>
      <c r="D46" s="11" t="inlineStr">
        <is>
          <t>ESG</t>
        </is>
      </c>
      <c r="E46" s="11" t="inlineStr">
        <is>
          <t>PDF p.26 (印刷頁 25)</t>
        </is>
      </c>
      <c r="F46" s="11" t="inlineStr">
        <is>
          <t>(including the internal audit functions) of the Group were effective and adequate, and that the Group’s processes for financial and ESG reporting and the Listing Rules compliance were effective; and • the discussion with the external auditors of the Company that no significant internal control deficiencies were identified by it during its annual audit of the Group. Our approach to manage risks involves identification and assessment of principal risks from the external and internal environments at different organisation levels.</t>
        </is>
      </c>
    </row>
    <row r="47">
      <c r="A47" s="8" t="inlineStr">
        <is>
          <t>ESG Data</t>
        </is>
      </c>
      <c r="B47" s="8" t="inlineStr">
        <is>
          <t>環境社會及管治數據</t>
        </is>
      </c>
      <c r="C47" s="8" t="inlineStr">
        <is>
          <t>medium</t>
        </is>
      </c>
      <c r="D47" s="11" t="inlineStr">
        <is>
          <t>ESG</t>
        </is>
      </c>
      <c r="E47" s="11" t="inlineStr">
        <is>
          <t>PDF p.31 (印刷頁 30)</t>
        </is>
      </c>
      <c r="F47" s="11" t="inlineStr">
        <is>
          <t>of the environmental, social and governance of the Company will be set out in the Environmental, Social and Governance Report (the “ESG Report”) to be published separately pursuant to Rule 13.91 and Appendix C2 to the Listing Rules, and posted on the websites of the Company (http://www.irasia.com/listco/hk/national/) and the Stock Exchange (http://www.hkexnews.hk). 30 NAT IO NA L E L E C T RO N IC S H O L DI N G S L I M I T E D</t>
        </is>
      </c>
    </row>
    <row r="48">
      <c r="A48" s="8" t="inlineStr">
        <is>
          <t>Segment Information</t>
        </is>
      </c>
      <c r="B48" s="8" t="inlineStr">
        <is>
          <t>分部資料</t>
        </is>
      </c>
      <c r="C48" s="8" t="inlineStr">
        <is>
          <t>medium</t>
        </is>
      </c>
      <c r="D48" s="11" t="inlineStr">
        <is>
          <t>operating segment</t>
        </is>
      </c>
      <c r="E48" s="11" t="inlineStr">
        <is>
          <t>PDF p.49 (印刷頁 48)</t>
        </is>
      </c>
      <c r="F48" s="11" t="inlineStr">
        <is>
          <t>ination, which represent the lowest level at which the goodwill is monitored for internal management purposes and not larger than an operating segment. A cash-generating unit (or group of cash-generating units) to which goodwill has been allocated is tested for impairment annually or more frequently when there is indication that the unit may be impaired. For goodwill arising on an acquisition in a reporting period, the cash-generating unit (or group of cash-generating units) to which goodwill has been allocated is tested for im</t>
        </is>
      </c>
    </row>
    <row r="49">
      <c r="A49" s="8" t="inlineStr">
        <is>
          <t>Segment Information</t>
        </is>
      </c>
      <c r="B49" s="8" t="inlineStr">
        <is>
          <t>分部資料</t>
        </is>
      </c>
      <c r="C49" s="8" t="inlineStr">
        <is>
          <t>medium</t>
        </is>
      </c>
      <c r="D49" s="11" t="inlineStr">
        <is>
          <t>segment information</t>
        </is>
      </c>
      <c r="E49" s="11" t="inlineStr">
        <is>
          <t>PDF p.86 (印刷頁 85)</t>
        </is>
      </c>
      <c r="F49" s="11" t="inlineStr">
        <is>
          <t>5 and 1 April 2025 59,910,904 Purchase 7,699,309 Total gains in profit or loss 30,134,041 At 31 March 2026 97,744,254 7. REVENUE AND SEGMENT INFORMATION The following is an analysis of the Group’s revenue from its major products and services: 2026 2025 Revenue from contracts with customers within the scope of HKFRS 15, disaggregated by products or services Watches and watch movements 423,445,015 383,753,379 Sale of properties 3,490,128,898 – 3,913,573,913 383,753,379 Revenue from other sources Rental income 134,956,514 118,551,</t>
        </is>
      </c>
    </row>
    <row r="50">
      <c r="A50" s="8" t="inlineStr">
        <is>
          <t>Segment Information</t>
        </is>
      </c>
      <c r="B50" s="8" t="inlineStr">
        <is>
          <t>分部資料</t>
        </is>
      </c>
      <c r="C50" s="8" t="inlineStr">
        <is>
          <t>medium</t>
        </is>
      </c>
      <c r="D50" s="11" t="inlineStr">
        <is>
          <t>segment information</t>
        </is>
      </c>
      <c r="E50" s="11" t="inlineStr">
        <is>
          <t>PDF p.87 (印刷頁 86)</t>
        </is>
      </c>
      <c r="F50" s="11" t="inlineStr">
        <is>
          <t>NOTES TO THE CONSOLIDATED FINANCIAL STATEMENTS For the year ended 31 March 2026 (in HK Dollars) 7. REVENUE AND SEGMENT INFORMATION (Cont’d) Transaction price allocated to the remaining performance obligations from contracts with customers The transaction price allocated to the remaining performance obligations (unsatisfied or partially unsatisfied) as at 31 March 2026 and 2025 and the expected timing of recognising revenue as follows: 2026 2025 Sale of properties Within one year – 2,596,122,248 Revenue fro</t>
        </is>
      </c>
    </row>
    <row r="51">
      <c r="A51" s="8" t="inlineStr">
        <is>
          <t>Segment Information</t>
        </is>
      </c>
      <c r="B51" s="8" t="inlineStr">
        <is>
          <t>分部資料</t>
        </is>
      </c>
      <c r="C51" s="8" t="inlineStr">
        <is>
          <t>medium</t>
        </is>
      </c>
      <c r="D51" s="11" t="inlineStr">
        <is>
          <t>segment information</t>
        </is>
      </c>
      <c r="E51" s="11" t="inlineStr">
        <is>
          <t>PDF p.88 (印刷頁 87)</t>
        </is>
      </c>
      <c r="F51" s="11" t="inlineStr">
        <is>
          <t>NOTES TO THE CONSOLIDATED FINANCIAL STATEMENTS For the year ended 31 March 2026 (in HK Dollars) 7. REVENUE AND SEGMENT INFORMATION (Cont’d) Segment revenue and results The following is an analysis of the Group’s revenue and results by reportable and operating segment: For the year ended 31 March 2026 Residential Manufacture and other of watches property and trading development Commercial of watch and property movements investment investment Consolidated REVENUE External sales 423,445,015 3,490,128,898 134,</t>
        </is>
      </c>
    </row>
    <row r="52">
      <c r="A52" s="8" t="inlineStr">
        <is>
          <t>Segment Information</t>
        </is>
      </c>
      <c r="B52" s="8" t="inlineStr">
        <is>
          <t>分部資料</t>
        </is>
      </c>
      <c r="C52" s="8" t="inlineStr">
        <is>
          <t>medium</t>
        </is>
      </c>
      <c r="D52" s="11" t="inlineStr">
        <is>
          <t>segment information</t>
        </is>
      </c>
      <c r="E52" s="11" t="inlineStr">
        <is>
          <t>PDF p.89 (印刷頁 88)</t>
        </is>
      </c>
      <c r="F52" s="11" t="inlineStr">
        <is>
          <t>NOTES TO THE CONSOLIDATED FINANCIAL STATEMENTS For the year ended 31 March 2026 (in HK Dollars) 7. REVENUE AND SEGMENT INFORMATION (Cont’d) Segment revenue and results (Cont’d) For the year ended 31 March 2025 Residential Manufacture and other of watches property and trading development Commercial of watch and property movements investment investment Consolidated REVENUE External sales 383,753,379 – 118,551,847 502,305,226 RESULT Segment result 5,080,072 62,243,758 227,838,761 295,162,591 Bank interest inc</t>
        </is>
      </c>
    </row>
    <row r="53">
      <c r="A53" s="8" t="inlineStr">
        <is>
          <t>Segment Information</t>
        </is>
      </c>
      <c r="B53" s="8" t="inlineStr">
        <is>
          <t>分部資料</t>
        </is>
      </c>
      <c r="C53" s="8" t="inlineStr">
        <is>
          <t>medium</t>
        </is>
      </c>
      <c r="D53" s="11" t="inlineStr">
        <is>
          <t>segment information</t>
        </is>
      </c>
      <c r="E53" s="11" t="inlineStr">
        <is>
          <t>PDF p.90 (印刷頁 89)</t>
        </is>
      </c>
      <c r="F53" s="11" t="inlineStr">
        <is>
          <t>NOTES TO THE CONSOLIDATED FINANCIAL STATEMENTS For the year ended 31 March 2026 (in HK Dollars) 7. REVENUE AND SEGMENT INFORMATION (Cont’d) Segment assets and liabilities The following is an analysis of the Group’s assets and liabilities by reportable segment: Segment assets 2026 2025 Manufacture of watches and trading of watch movements 142,053,129 160,325,791 Residential and other property development and investment 2,200,966,843 5,621,213,397 Commercial property investment 2,745,534,010 2,555,243,558 To</t>
        </is>
      </c>
    </row>
    <row r="54">
      <c r="A54" s="8" t="inlineStr">
        <is>
          <t>Segment Information</t>
        </is>
      </c>
      <c r="B54" s="8" t="inlineStr">
        <is>
          <t>分部資料</t>
        </is>
      </c>
      <c r="C54" s="8" t="inlineStr">
        <is>
          <t>medium</t>
        </is>
      </c>
      <c r="D54" s="11" t="inlineStr">
        <is>
          <t>segment information</t>
        </is>
      </c>
      <c r="E54" s="11" t="inlineStr">
        <is>
          <t>PDF p.91 (印刷頁 90)</t>
        </is>
      </c>
      <c r="F54" s="11" t="inlineStr">
        <is>
          <t>NOTES TO THE CONSOLIDATED FINANCIAL STATEMENTS For the year ended 31 March 2026 (in HK Dollars) 7. REVENUE AND SEGMENT INFORMATION (Cont’d) Other segment information For the year ended 31 March 2026 Residential Manufacture and other of watches property and trading development Commercial of watch and property movements investment investment Unallocated Consolidated Capital additions 24,311 233,111,467 908,355 101,498 234,145,631 Depreciation of property, plant and equipment 2,097,797 1,158,969 1,559,793 1,2</t>
        </is>
      </c>
    </row>
    <row r="55">
      <c r="A55" s="8" t="inlineStr">
        <is>
          <t>Segment Information</t>
        </is>
      </c>
      <c r="B55" s="8" t="inlineStr">
        <is>
          <t>分部資料</t>
        </is>
      </c>
      <c r="C55" s="8" t="inlineStr">
        <is>
          <t>medium</t>
        </is>
      </c>
      <c r="D55" s="11" t="inlineStr">
        <is>
          <t>segment information</t>
        </is>
      </c>
      <c r="E55" s="11" t="inlineStr">
        <is>
          <t>PDF p.92 (印刷頁 91)</t>
        </is>
      </c>
      <c r="F55" s="11" t="inlineStr">
        <is>
          <t>NOTES TO THE CONSOLIDATED FINANCIAL STATEMENTS For the year ended 31 March 2026 (in HK Dollars) 7. REVENUE AND SEGMENT INFORMATION (Cont’d) Geographical information The Group’s main operations are located in Hong Kong and other regions in the People’s Republic of China (the “PRC”), North America and Europe. Information about the Group’s revenue from external customers is presented based on the geographical location of the customers. Information about the Group’s non-current assets is presented based on the</t>
        </is>
      </c>
    </row>
    <row r="56">
      <c r="A56" s="8" t="inlineStr">
        <is>
          <t>Share-based Payment</t>
        </is>
      </c>
      <c r="B56" s="8" t="inlineStr">
        <is>
          <t>以股份為基礎的付款</t>
        </is>
      </c>
      <c r="C56" s="8" t="inlineStr">
        <is>
          <t>medium</t>
        </is>
      </c>
      <c r="D56" s="11" t="inlineStr">
        <is>
          <t>share option</t>
        </is>
      </c>
      <c r="E56" s="11" t="inlineStr">
        <is>
          <t>PDF p.14 (印刷頁 13)</t>
        </is>
      </c>
      <c r="F56" s="11" t="inlineStr">
        <is>
          <t>having regard to the Company’s operating results, individual performance and comparable market statistics. The Company has adopted a share option scheme as an incentive to directors and eligible employees, details of the scheme is set out in note 42 to the consolidated financial statements. NAT IO NA L E L E C T RO N IC S H O L DI N G S L I M I T E D 13</t>
        </is>
      </c>
    </row>
    <row r="57">
      <c r="A57" s="8" t="inlineStr">
        <is>
          <t>Share-based Payment</t>
        </is>
      </c>
      <c r="B57" s="8" t="inlineStr">
        <is>
          <t>以股份為基礎的付款</t>
        </is>
      </c>
      <c r="C57" s="8" t="inlineStr">
        <is>
          <t>medium</t>
        </is>
      </c>
      <c r="D57" s="11" t="inlineStr">
        <is>
          <t>share-based payment</t>
        </is>
      </c>
      <c r="E57" s="11" t="inlineStr">
        <is>
          <t>PDF p.46 (印刷頁 45)</t>
        </is>
      </c>
      <c r="F57"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net realisable value in HKAS 2 Inventories or value in use in HKAS 36 Impairment of Assets. A fair value measurement of a non-financial as</t>
        </is>
      </c>
    </row>
    <row r="58">
      <c r="A58" s="8" t="inlineStr">
        <is>
          <t>Share-based Payment</t>
        </is>
      </c>
      <c r="B58" s="8" t="inlineStr">
        <is>
          <t>以股份為基礎的付款</t>
        </is>
      </c>
      <c r="C58" s="8" t="inlineStr">
        <is>
          <t>medium</t>
        </is>
      </c>
      <c r="D58" s="11" t="inlineStr">
        <is>
          <t>share-based payment</t>
        </is>
      </c>
      <c r="E58" s="11" t="inlineStr">
        <is>
          <t>PDF p.48 (印刷頁 47)</t>
        </is>
      </c>
      <c r="F58" s="11" t="inlineStr">
        <is>
          <t>d in accordance with HKAS 12 Income Taxes and HKAS 19 Employee Benefits respectively; • liabilities or equity instruments related to share-based payment arrangements of the acquiree or share-based payment arrangements of the Group entered into to replace share-based payment arrangements of the acquiree are measured in accordance with HKFRS 2 at the acquisition date; and • assets (or disposal groups) that are classified as held for sale in accordance with HKFRS 5 Non-current Assets Held for Sale and Discontinued Operations are m</t>
        </is>
      </c>
    </row>
    <row r="59">
      <c r="A59" s="8" t="inlineStr">
        <is>
          <t>Share-based Payment</t>
        </is>
      </c>
      <c r="B59" s="8" t="inlineStr">
        <is>
          <t>以股份為基礎的付款</t>
        </is>
      </c>
      <c r="C59" s="8" t="inlineStr">
        <is>
          <t>medium</t>
        </is>
      </c>
      <c r="D59" s="11" t="inlineStr">
        <is>
          <t>share-based payment</t>
        </is>
      </c>
      <c r="E59" s="11" t="inlineStr">
        <is>
          <t>PDF p.59 (印刷頁 58)</t>
        </is>
      </c>
      <c r="F59" s="11" t="inlineStr">
        <is>
          <t>it or loss except to the extent that another HKFRS Accounting Standards requires or permits their inclusion in the cost of an asset. Share-based payment arrangements Equity-settled share-based payment transactions Share options granted to employees Equity-settled share-based payments to employees and others providing similar services are measured at the fair value of the equity instruments at the grant date. The fair value determined at the grant date of the equity-settled share-based payment is expensed on a straight-line basi</t>
        </is>
      </c>
    </row>
    <row r="60">
      <c r="A60" s="8" t="inlineStr">
        <is>
          <t>Share-based Payment</t>
        </is>
      </c>
      <c r="B60" s="8" t="inlineStr">
        <is>
          <t>以股份為基礎的付款</t>
        </is>
      </c>
      <c r="C60" s="8" t="inlineStr">
        <is>
          <t>medium</t>
        </is>
      </c>
      <c r="D60" s="11" t="inlineStr">
        <is>
          <t>share-based payment</t>
        </is>
      </c>
      <c r="E60" s="11" t="inlineStr">
        <is>
          <t>PDF p.122 (印刷頁 121)</t>
        </is>
      </c>
      <c r="F60" s="11" t="inlineStr">
        <is>
          <t>NOTES TO THE CONSOLIDATED FINANCIAL STATEMENTS For the year ended 31 March 2026 (in HK Dollars) 42. SHARE-BASED PAYMENT TRANSACTIONS The Company’s share option scheme (the “Scheme”), was adopted pursuant to a resolution passed on 26 August 2019 for the primary purpose of providing incentives to directors and eligible employees, and will expire on 25 August 2029. Under the Scheme, the Board of Directors of the Company may grant options to eligible employees, including directors of the Company and</t>
        </is>
      </c>
    </row>
    <row r="61">
      <c r="A61" s="8" t="inlineStr">
        <is>
          <t>Related Party Transactions</t>
        </is>
      </c>
      <c r="B61" s="8" t="inlineStr">
        <is>
          <t>關聯方交易</t>
        </is>
      </c>
      <c r="C61" s="8" t="inlineStr">
        <is>
          <t>low</t>
        </is>
      </c>
      <c r="D61" s="11" t="inlineStr">
        <is>
          <t>related party</t>
        </is>
      </c>
      <c r="E61" s="11" t="inlineStr">
        <is>
          <t>PDF p.121 (印刷頁 120)</t>
        </is>
      </c>
      <c r="F61" s="11" t="inlineStr">
        <is>
          <t>under development for sale – 4,631,511,895 Inventory of unsold properties 1,437,533,271 – Bank deposits 328,000,000 278,000,000 41. RELATED PARTY TRANSACTIONS (a) Details of outstanding balances with related parties of the Group at the end of the reporting period are set out in notes 19 and 20. (b) Details of financial guarantee given to a bank by the Group in respect of banking facilities granted to a joint venture is set out in note 36. (c) Compensation of key management personnel is disclosed in note 11. (d) On 24 September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Financing Cash Flow</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136</v>
      </c>
      <c r="B25" s="8" t="inlineStr">
        <is>
          <t>文字量過低 — 可能為掃描頁/圖表頁</t>
        </is>
      </c>
    </row>
    <row r="26">
      <c r="A26" s="8" t="n">
        <v>138</v>
      </c>
      <c r="B26" s="8" t="inlineStr">
        <is>
          <t>文字量過低 — 可能為掃描頁/圖表頁</t>
        </is>
      </c>
    </row>
    <row r="27">
      <c r="A27" s="8" t="n">
        <v>139</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2026-08-30T14:16:16Z</dcterms:created>
  <dcterms:modified xsi:type="dcterms:W3CDTF">2026-08-30T14:16:16Z</dcterms:modified>
</cp:coreProperties>
</file>
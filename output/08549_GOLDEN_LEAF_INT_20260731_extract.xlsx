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08549_GOLDEN_LEAF_INT_20260731.pdf</t>
        </is>
      </c>
    </row>
    <row r="5">
      <c r="A5" s="3" t="inlineStr">
        <is>
          <t>產生時間 Generated</t>
        </is>
      </c>
      <c r="B5" s="4" t="inlineStr">
        <is>
          <t>2026-08-30 22:17</t>
        </is>
      </c>
    </row>
    <row r="6">
      <c r="A6" s="4" t="inlineStr"/>
      <c r="B6" s="4" t="inlineStr"/>
    </row>
    <row r="7">
      <c r="A7" s="3" t="inlineStr">
        <is>
          <t>總頁數 Total pages</t>
        </is>
      </c>
      <c r="B7" s="4" t="n">
        <v>227</v>
      </c>
    </row>
    <row r="8">
      <c r="A8" s="3" t="inlineStr">
        <is>
          <t>已擷取字元 Characters extracted</t>
        </is>
      </c>
      <c r="B8" s="4" t="n">
        <v>454797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11</v>
      </c>
    </row>
    <row r="14">
      <c r="A14" s="3" t="inlineStr">
        <is>
          <t>主題段落擷取筆數 Topic extracts</t>
        </is>
      </c>
      <c r="B14" s="4" t="n">
        <v>150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98,053 − 31,760 = 66,293</t>
        </is>
      </c>
    </row>
    <row r="20">
      <c r="A20" s="6" t="inlineStr">
        <is>
          <t>✓ 三大報表應相鄰</t>
        </is>
      </c>
      <c r="B20" s="4" t="inlineStr">
        <is>
          <t>Income Statement: p.122、Balance Sheet: p.110、Cash Flow: p.113(相距 12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Property Plant and Equipment</t>
        </is>
      </c>
      <c r="C5" s="9" t="n">
        <v>4709</v>
      </c>
      <c r="D5" s="10" t="n">
        <v>801</v>
      </c>
      <c r="E5" s="11">
        <f>IF(ISERROR((C5-D5)/ABS(D5)),"",(C5-D5)/ABS(D5))</f>
        <v>4.878901373283396</v>
      </c>
      <c r="F5" s="12" t="inlineStr">
        <is>
          <t>PDF p.110 (印刷頁 108)</t>
        </is>
      </c>
      <c r="G5" s="12" t="inlineStr">
        <is>
          <t>Property, plant and equipment 物業、廠房及設備 15 4,709 801</t>
        </is>
      </c>
    </row>
    <row r="6">
      <c r="A6" s="8" t="inlineStr">
        <is>
          <t>Balance Sheet</t>
        </is>
      </c>
      <c r="B6" s="8" t="inlineStr">
        <is>
          <t>Intangible Assets</t>
        </is>
      </c>
      <c r="C6" s="9" t="n">
        <v>765</v>
      </c>
      <c r="D6" s="10" t="n">
        <v>764</v>
      </c>
      <c r="E6" s="11">
        <f>IF(ISERROR((C6-D6)/ABS(D6)),"",(C6-D6)/ABS(D6))</f>
        <v>0.0013089005235602095</v>
      </c>
      <c r="F6" s="12" t="inlineStr">
        <is>
          <t>PDF p.110 (印刷頁 108)</t>
        </is>
      </c>
      <c r="G6" s="12" t="inlineStr">
        <is>
          <t>Intangible assets 無形資產 18 765 764</t>
        </is>
      </c>
    </row>
    <row r="7">
      <c r="A7" s="8" t="inlineStr">
        <is>
          <t>Balance Sheet</t>
        </is>
      </c>
      <c r="B7" s="8" t="inlineStr">
        <is>
          <t>Goodwill</t>
        </is>
      </c>
      <c r="C7" s="9" t="n">
        <v>0</v>
      </c>
      <c r="D7" s="10" t="n">
        <v>0</v>
      </c>
      <c r="E7" s="11" t="str">
        <f>IF(ISERROR((C7-D7)/ABS(D7)),"",(C7-D7)/ABS(D7))</f>
        <v/>
      </c>
      <c r="F7" s="12" t="inlineStr">
        <is>
          <t>PDF p.110 (印刷頁 108)</t>
        </is>
      </c>
      <c r="G7" s="12" t="inlineStr">
        <is>
          <t>Goodwill 商譽 20 — —</t>
        </is>
      </c>
    </row>
    <row r="8">
      <c r="A8" s="8" t="inlineStr">
        <is>
          <t>Balance Sheet</t>
        </is>
      </c>
      <c r="B8" s="8" t="inlineStr">
        <is>
          <t>Trade Receivables</t>
        </is>
      </c>
      <c r="C8" s="9" t="n">
        <v>31048</v>
      </c>
      <c r="D8" s="10" t="n">
        <v>30264</v>
      </c>
      <c r="E8" s="11">
        <f>IF(ISERROR((C8-D8)/ABS(D8)),"",(C8-D8)/ABS(D8))</f>
        <v>0.02590536611155168</v>
      </c>
      <c r="F8" s="12" t="inlineStr">
        <is>
          <t>PDF p.110 (印刷頁 108)</t>
        </is>
      </c>
      <c r="G8" s="12" t="inlineStr">
        <is>
          <t>Trade receivables 貿易應收款項 22 31,048 30,264</t>
        </is>
      </c>
    </row>
    <row r="9">
      <c r="A9" s="8" t="inlineStr">
        <is>
          <t>Balance Sheet</t>
        </is>
      </c>
      <c r="B9" s="8" t="inlineStr">
        <is>
          <t>Cash and Equivalents</t>
        </is>
      </c>
      <c r="C9" s="9" t="n">
        <v>27751</v>
      </c>
      <c r="D9" s="10" t="n">
        <v>16072</v>
      </c>
      <c r="E9" s="11">
        <f>IF(ISERROR((C9-D9)/ABS(D9)),"",(C9-D9)/ABS(D9))</f>
        <v>0.7266674962667994</v>
      </c>
      <c r="F9" s="12" t="inlineStr">
        <is>
          <t>PDF p.110 (印刷頁 108)</t>
        </is>
      </c>
      <c r="G9" s="12" t="inlineStr">
        <is>
          <t>Cash and cash equivalents 現金及現金等價物 26 27,751 16,072</t>
        </is>
      </c>
    </row>
    <row r="10">
      <c r="A10" s="8" t="inlineStr">
        <is>
          <t>Balance Sheet</t>
        </is>
      </c>
      <c r="B10" s="8" t="inlineStr">
        <is>
          <t>Borrowings</t>
        </is>
      </c>
      <c r="C10" s="9" t="n">
        <v>645</v>
      </c>
      <c r="D10" s="10" t="n">
        <v>6192</v>
      </c>
      <c r="E10" s="11">
        <f>IF(ISERROR((C10-D10)/ABS(D10)),"",(C10-D10)/ABS(D10))</f>
        <v>-0.8958333333333334</v>
      </c>
      <c r="F10" s="12" t="inlineStr">
        <is>
          <t>PDF p.110 (印刷頁 108)</t>
        </is>
      </c>
      <c r="G10" s="12" t="inlineStr">
        <is>
          <t>Bank borrowings 銀行借款 30 645 6,192</t>
        </is>
      </c>
    </row>
    <row r="11">
      <c r="A11" s="8" t="inlineStr">
        <is>
          <t>Balance Sheet</t>
        </is>
      </c>
      <c r="B11" s="8" t="inlineStr">
        <is>
          <t>Total Equity</t>
        </is>
      </c>
      <c r="C11" s="9" t="n">
        <v>86664</v>
      </c>
      <c r="D11" s="10" t="n">
        <v>56855</v>
      </c>
      <c r="E11" s="11">
        <f>IF(ISERROR((C11-D11)/ABS(D11)),"",(C11-D11)/ABS(D11))</f>
        <v>0.5242986544719022</v>
      </c>
      <c r="F11" s="12" t="inlineStr">
        <is>
          <t>PDF p.111 (印刷頁 109)</t>
        </is>
      </c>
      <c r="G11" s="12" t="inlineStr">
        <is>
          <t>Total equity 權益總額 86,664 56,855</t>
        </is>
      </c>
    </row>
    <row r="12">
      <c r="A12" s="8" t="inlineStr">
        <is>
          <t>Balance Sheet</t>
        </is>
      </c>
      <c r="B12" s="8" t="inlineStr">
        <is>
          <t>Total Current Assets</t>
        </is>
      </c>
      <c r="C12" s="9" t="n">
        <v>98053</v>
      </c>
      <c r="D12" s="10" t="n">
        <v>80443</v>
      </c>
      <c r="E12" s="11">
        <f>IF(ISERROR((C12-D12)/ABS(D12)),"",(C12-D12)/ABS(D12))</f>
        <v>0.21891277053317257</v>
      </c>
      <c r="F12" s="12" t="inlineStr">
        <is>
          <t>PDF p.110 (印刷頁 108)</t>
        </is>
      </c>
      <c r="G12" s="12" t="inlineStr">
        <is>
          <t>[current assets 區段小計] 98,053 80,443</t>
        </is>
      </c>
    </row>
    <row r="13">
      <c r="A13" s="8" t="inlineStr">
        <is>
          <t>Balance Sheet</t>
        </is>
      </c>
      <c r="B13" s="8" t="inlineStr">
        <is>
          <t>Total Current Liabilities</t>
        </is>
      </c>
      <c r="C13" s="9" t="n">
        <v>31760</v>
      </c>
      <c r="D13" s="10" t="n">
        <v>36130</v>
      </c>
      <c r="E13" s="11">
        <f>IF(ISERROR((C13-D13)/ABS(D13)),"",(C13-D13)/ABS(D13))</f>
        <v>-0.12095211735399945</v>
      </c>
      <c r="F13" s="12" t="inlineStr">
        <is>
          <t>PDF p.110 (印刷頁 108)</t>
        </is>
      </c>
      <c r="G13" s="12" t="inlineStr">
        <is>
          <t>[current liabilities 區段小計] 31,760 36,130</t>
        </is>
      </c>
    </row>
    <row r="14">
      <c r="A14" s="8" t="inlineStr">
        <is>
          <t>Cash Flow</t>
        </is>
      </c>
      <c r="B14" s="8" t="inlineStr">
        <is>
          <t>Capital Expenditure</t>
        </is>
      </c>
      <c r="C14" s="9" t="n">
        <v>-4362</v>
      </c>
      <c r="D14" s="10" t="n">
        <v>-254</v>
      </c>
      <c r="E14" s="11">
        <f>IF(ISERROR((C14-D14)/ABS(D14)),"",(C14-D14)/ABS(D14))</f>
        <v>-16.173228346456693</v>
      </c>
      <c r="F14" s="12" t="inlineStr">
        <is>
          <t>PDF p.114 (印刷頁 112)</t>
        </is>
      </c>
      <c r="G14" s="12" t="inlineStr">
        <is>
          <t>Purchase of property, plant and equipment 購買物業、廠房及設備 (4,362) (254)</t>
        </is>
      </c>
    </row>
    <row r="15">
      <c r="A15" s="8" t="inlineStr">
        <is>
          <t>Cash Flow</t>
        </is>
      </c>
      <c r="B15" s="8" t="inlineStr">
        <is>
          <t>Investing Cash Flow</t>
        </is>
      </c>
      <c r="C15" s="9" t="n">
        <v>-7307</v>
      </c>
      <c r="D15" s="10" t="n">
        <v>-3040</v>
      </c>
      <c r="E15" s="11">
        <f>IF(ISERROR((C15-D15)/ABS(D15)),"",(C15-D15)/ABS(D15))</f>
        <v>-1.4036184210526317</v>
      </c>
      <c r="F15" s="12" t="inlineStr">
        <is>
          <t>PDF p.114 (印刷頁 112)</t>
        </is>
      </c>
      <c r="G15" s="12" t="inlineStr">
        <is>
          <t>Net cash used in investing activities 投資活動所用現金淨額 (7,307) (3,040)</t>
        </is>
      </c>
    </row>
    <row r="17">
      <c r="A1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t="str">
        <f>IF(ISERROR(INDEX('Financials 財務數據'!$C$5:$C$15,MATCH("Gross Profit",'Financials 財務數據'!$B$5:$B$15,0))/INDEX('Financials 財務數據'!$C$5:$C$15,MATCH("Revenue",'Financials 財務數據'!$B$5:$B$15,0))),"n/a",INDEX('Financials 財務數據'!$C$5:$C$15,MATCH("Gross Profit",'Financials 財務數據'!$B$5:$B$15,0))/INDEX('Financials 財務數據'!$C$5:$C$15,MATCH("Revenue",'Financials 財務數據'!$B$5:$B$15,0)))</f>
        <v>n/a</v>
      </c>
      <c r="C5" s="13" t="str">
        <f>IF(ISERROR(INDEX('Financials 財務數據'!$D$5:$D$15,MATCH("Gross Profit",'Financials 財務數據'!$B$5:$B$15,0))/INDEX('Financials 財務數據'!$D$5:$D$15,MATCH("Revenue",'Financials 財務數據'!$B$5:$B$15,0))),"n/a",INDEX('Financials 財務數據'!$D$5:$D$15,MATCH("Gross Profit",'Financials 財務數據'!$B$5:$B$15,0))/INDEX('Financials 財務數據'!$D$5:$D$15,MATCH("Revenue",'Financials 財務數據'!$B$5:$B$15,0)))</f>
        <v>n/a</v>
      </c>
      <c r="D5" s="2" t="inlineStr">
        <is>
          <t>毛利 ÷ 收入</t>
        </is>
      </c>
    </row>
    <row r="6">
      <c r="A6" s="4" t="inlineStr">
        <is>
          <t>Net Margin 淨利率</t>
        </is>
      </c>
      <c r="B6" s="13" t="str">
        <f>IF(ISERROR(INDEX('Financials 財務數據'!$C$5:$C$15,MATCH("Profit for the Year",'Financials 財務數據'!$B$5:$B$15,0))/INDEX('Financials 財務數據'!$C$5:$C$15,MATCH("Revenue",'Financials 財務數據'!$B$5:$B$15,0))),"n/a",INDEX('Financials 財務數據'!$C$5:$C$15,MATCH("Profit for the Year",'Financials 財務數據'!$B$5:$B$15,0))/INDEX('Financials 財務數據'!$C$5:$C$15,MATCH("Revenue",'Financials 財務數據'!$B$5:$B$15,0)))</f>
        <v>n/a</v>
      </c>
      <c r="C6" s="13" t="str">
        <f>IF(ISERROR(INDEX('Financials 財務數據'!$D$5:$D$15,MATCH("Profit for the Year",'Financials 財務數據'!$B$5:$B$15,0))/INDEX('Financials 財務數據'!$D$5:$D$15,MATCH("Revenue",'Financials 財務數據'!$B$5:$B$15,0))),"n/a",INDEX('Financials 財務數據'!$D$5:$D$15,MATCH("Profit for the Year",'Financials 財務數據'!$B$5:$B$15,0))/INDEX('Financials 財務數據'!$D$5:$D$15,MATCH("Revenue",'Financials 財務數據'!$B$5:$B$15,0)))</f>
        <v>n/a</v>
      </c>
      <c r="D6" s="2" t="inlineStr">
        <is>
          <t>年內溢利 ÷ 收入</t>
        </is>
      </c>
    </row>
    <row r="7">
      <c r="A7" s="4" t="inlineStr">
        <is>
          <t>Current Ratio 流動比率</t>
        </is>
      </c>
      <c r="B7" s="14">
        <f>IF(ISERROR(INDEX('Financials 財務數據'!$C$5:$C$15,MATCH("Total Current Assets",'Financials 財務數據'!$B$5:$B$15,0))/INDEX('Financials 財務數據'!$C$5:$C$15,MATCH("Total Current Liabilities",'Financials 財務數據'!$B$5:$B$15,0))),"n/a",INDEX('Financials 財務數據'!$C$5:$C$15,MATCH("Total Current Assets",'Financials 財務數據'!$B$5:$B$15,0))/INDEX('Financials 財務數據'!$C$5:$C$15,MATCH("Total Current Liabilities",'Financials 財務數據'!$B$5:$B$15,0)))</f>
        <v>3.0873110831234256</v>
      </c>
      <c r="C7" s="14">
        <f>IF(ISERROR(INDEX('Financials 財務數據'!$D$5:$D$15,MATCH("Total Current Assets",'Financials 財務數據'!$B$5:$B$15,0))/INDEX('Financials 財務數據'!$D$5:$D$15,MATCH("Total Current Liabilities",'Financials 財務數據'!$B$5:$B$15,0))),"n/a",INDEX('Financials 財務數據'!$D$5:$D$15,MATCH("Total Current Assets",'Financials 財務數據'!$B$5:$B$15,0))/INDEX('Financials 財務數據'!$D$5:$D$15,MATCH("Total Current Liabilities",'Financials 財務數據'!$B$5:$B$15,0)))</f>
        <v>2.226487683365624</v>
      </c>
      <c r="D7" s="2" t="inlineStr">
        <is>
          <t>流動資產 ÷ 流動負債</t>
        </is>
      </c>
    </row>
    <row r="8">
      <c r="A8" s="4" t="inlineStr">
        <is>
          <t>Debt / Equity 負債權益比</t>
        </is>
      </c>
      <c r="B8" s="14" t="str">
        <f>IF(ISERROR(INDEX('Financials 財務數據'!$C$5:$C$15,MATCH("Total Liabilities",'Financials 財務數據'!$B$5:$B$15,0))/INDEX('Financials 財務數據'!$C$5:$C$15,MATCH("Total Equity",'Financials 財務數據'!$B$5:$B$15,0))),"n/a",INDEX('Financials 財務數據'!$C$5:$C$15,MATCH("Total Liabilities",'Financials 財務數據'!$B$5:$B$15,0))/INDEX('Financials 財務數據'!$C$5:$C$15,MATCH("Total Equity",'Financials 財務數據'!$B$5:$B$15,0)))</f>
        <v>n/a</v>
      </c>
      <c r="C8" s="14" t="str">
        <f>IF(ISERROR(INDEX('Financials 財務數據'!$D$5:$D$15,MATCH("Total Liabilities",'Financials 財務數據'!$B$5:$B$15,0))/INDEX('Financials 財務數據'!$D$5:$D$15,MATCH("Total Equity",'Financials 財務數據'!$B$5:$B$15,0))),"n/a",INDEX('Financials 財務數據'!$D$5:$D$15,MATCH("Total Liabilities",'Financials 財務數據'!$B$5:$B$15,0))/INDEX('Financials 財務數據'!$D$5:$D$15,MATCH("Total Equity",'Financials 財務數據'!$B$5:$B$15,0)))</f>
        <v>n/a</v>
      </c>
      <c r="D8" s="2" t="inlineStr">
        <is>
          <t>總負債 ÷ 總權益</t>
        </is>
      </c>
    </row>
    <row r="9">
      <c r="A9" s="4" t="inlineStr">
        <is>
          <t>Goodwill / Total Assets</t>
        </is>
      </c>
      <c r="B9" s="13" t="str">
        <f>IF(ISERROR(INDEX('Financials 財務數據'!$C$5:$C$15,MATCH("Goodwill",'Financials 財務數據'!$B$5:$B$15,0))/INDEX('Financials 財務數據'!$C$5:$C$15,MATCH("Total Assets",'Financials 財務數據'!$B$5:$B$15,0))),"n/a",INDEX('Financials 財務數據'!$C$5:$C$15,MATCH("Goodwill",'Financials 財務數據'!$B$5:$B$15,0))/INDEX('Financials 財務數據'!$C$5:$C$15,MATCH("Total Assets",'Financials 財務數據'!$B$5:$B$15,0)))</f>
        <v>n/a</v>
      </c>
      <c r="C9" s="13" t="str">
        <f>IF(ISERROR(INDEX('Financials 財務數據'!$D$5:$D$15,MATCH("Goodwill",'Financials 財務數據'!$B$5:$B$15,0))/INDEX('Financials 財務數據'!$D$5:$D$15,MATCH("Total Assets",'Financials 財務數據'!$B$5:$B$15,0))),"n/a",INDEX('Financials 財務數據'!$D$5:$D$15,MATCH("Goodwill",'Financials 財務數據'!$B$5:$B$15,0))/INDEX('Financials 財務數據'!$D$5:$D$15,MATCH("Total Assets",'Financials 財務數據'!$B$5:$B$15,0)))</f>
        <v>n/a</v>
      </c>
      <c r="D9" s="2" t="inlineStr">
        <is>
          <t>商譽佔總資產比重 — 減值風險指標</t>
        </is>
      </c>
    </row>
    <row r="10">
      <c r="A10" s="4" t="inlineStr">
        <is>
          <t>Intangibles / Total Assets</t>
        </is>
      </c>
      <c r="B10" s="13" t="str">
        <f>IF(ISERROR(INDEX('Financials 財務數據'!$C$5:$C$15,MATCH("Intangible Assets",'Financials 財務數據'!$B$5:$B$15,0))/INDEX('Financials 財務數據'!$C$5:$C$15,MATCH("Total Assets",'Financials 財務數據'!$B$5:$B$15,0))),"n/a",INDEX('Financials 財務數據'!$C$5:$C$15,MATCH("Intangible Assets",'Financials 財務數據'!$B$5:$B$15,0))/INDEX('Financials 財務數據'!$C$5:$C$15,MATCH("Total Assets",'Financials 財務數據'!$B$5:$B$15,0)))</f>
        <v>n/a</v>
      </c>
      <c r="C10" s="13" t="str">
        <f>IF(ISERROR(INDEX('Financials 財務數據'!$D$5:$D$15,MATCH("Intangible Assets",'Financials 財務數據'!$B$5:$B$15,0))/INDEX('Financials 財務數據'!$D$5:$D$15,MATCH("Total Assets",'Financials 財務數據'!$B$5:$B$15,0))),"n/a",INDEX('Financials 財務數據'!$D$5:$D$15,MATCH("Intangible Assets",'Financials 財務數據'!$B$5:$B$15,0))/INDEX('Financials 財務數據'!$D$5:$D$15,MATCH("Total Assets",'Financials 財務數據'!$B$5:$B$15,0)))</f>
        <v>n/a</v>
      </c>
      <c r="D10" s="2" t="inlineStr">
        <is>
          <t>無形資產佔比</t>
        </is>
      </c>
    </row>
    <row r="11">
      <c r="A11" s="4" t="inlineStr">
        <is>
          <t>ROE 股本回報率</t>
        </is>
      </c>
      <c r="B11" s="13" t="str">
        <f>IF(ISERROR(INDEX('Financials 財務數據'!$C$5:$C$15,MATCH("Profit for the Year",'Financials 財務數據'!$B$5:$B$15,0))/INDEX('Financials 財務數據'!$C$5:$C$15,MATCH("Total Equity",'Financials 財務數據'!$B$5:$B$15,0))),"n/a",INDEX('Financials 財務數據'!$C$5:$C$15,MATCH("Profit for the Year",'Financials 財務數據'!$B$5:$B$15,0))/INDEX('Financials 財務數據'!$C$5:$C$15,MATCH("Total Equity",'Financials 財務數據'!$B$5:$B$15,0)))</f>
        <v>n/a</v>
      </c>
      <c r="C11" s="13" t="str">
        <f>IF(ISERROR(INDEX('Financials 財務數據'!$D$5:$D$15,MATCH("Profit for the Year",'Financials 財務數據'!$B$5:$B$15,0))/INDEX('Financials 財務數據'!$D$5:$D$15,MATCH("Total Equity",'Financials 財務數據'!$B$5:$B$15,0))),"n/a",INDEX('Financials 財務數據'!$D$5:$D$15,MATCH("Profit for the Year",'Financials 財務數據'!$B$5:$B$15,0))/INDEX('Financials 財務數據'!$D$5:$D$15,MATCH("Total Equity",'Financials 財務數據'!$B$5:$B$15,0)))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Total Equity</t>
        </is>
      </c>
      <c r="B5" s="16" t="n">
        <v>56855</v>
      </c>
      <c r="C5" s="16" t="n">
        <v>86664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5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公允價值</t>
        </is>
      </c>
      <c r="E4" s="12" t="inlineStr">
        <is>
          <t>PDF p.17 (印刷頁 15)</t>
        </is>
      </c>
      <c r="F4" s="12" t="inlineStr">
        <is>
          <t>ome of approximately HK$240,000 (Corresponding 元（同期：約120,000港元），及部分被投資物 Period: approximately HK$240,000), government subsidies of 業的公允價值虧損約278,000港元（同期：約 approximately HK$348,000 (Corresponding Period: approximately 336,000港元）抵銷。 HK$120,000), and partially offset by fair value loss on investment property of approximately HK$278,000 (Corresponding Period: approximately HK$336,000). 2026 年年報 • 金葉國際集團有限公司 15</t>
        </is>
      </c>
    </row>
    <row r="5">
      <c r="A5" s="8" t="inlineStr">
        <is>
          <t>Fair Value Measurement</t>
        </is>
      </c>
      <c r="B5" s="8" t="inlineStr">
        <is>
          <t>公允價值計量</t>
        </is>
      </c>
      <c r="C5" s="17" t="inlineStr">
        <is>
          <t>high</t>
        </is>
      </c>
      <c r="D5" s="12" t="inlineStr">
        <is>
          <t>公允價值</t>
        </is>
      </c>
      <c r="E5" s="12" t="inlineStr">
        <is>
          <t>PDF p.109 (印刷頁 107)</t>
        </is>
      </c>
      <c r="F5" s="12" t="inlineStr">
        <is>
          <t>5 (9) Items that will not be reclassified 其後不會重新分類至損益的 subsequently to profit or loss: 項目： Fair value gain on investment in equity 按公允價值計入其他全面收 instruments at fair value through 益的股本工具投資的公允 other comprehensive income 價值收益 381 — Remeasurements of provision for long 長期服務金撥備之重新計量 service payment (56) (44) Other comprehensive income/(loss) 本公司擁有人應佔年內其他 for the year attributable to the 全面收益╱（虧損） owners of the Company 330 (53) Total comprehensive (loss)/income 本公司擁有人應佔年內全面 for the year attributable to the （虧損）╱收益總額 owners of the Com</t>
        </is>
      </c>
    </row>
    <row r="6">
      <c r="A6" s="8" t="inlineStr">
        <is>
          <t>Fair Value Measurement</t>
        </is>
      </c>
      <c r="B6" s="8" t="inlineStr">
        <is>
          <t>公允價值計量</t>
        </is>
      </c>
      <c r="C6" s="17" t="inlineStr">
        <is>
          <t>high</t>
        </is>
      </c>
      <c r="D6" s="12" t="inlineStr">
        <is>
          <t>公允價值</t>
        </is>
      </c>
      <c r="E6" s="12" t="inlineStr">
        <is>
          <t>PDF p.110 (印刷頁 108)</t>
        </is>
      </c>
      <c r="F6" s="12" t="inlineStr">
        <is>
          <t>Life insurance policy deposits and 人壽保單按金及預付款項 prepayments 19 6,596 6,358 Goodwill 商譽 20 — — Financial assets at fair value through 按公允價值計入其他全面收 other comprehensive income 益的金融資產 21 3,550 — Prepayments and deposits 預付款項及按金 24 422 353 24,326 13,164 Current assets 流動資產 Trade receivables 貿易應收款項 22 31,048 30,264 Contract assets 合約資產 23 27,228 17,883 Other receivables, 其他應收款項、預付款項及 prepayments and deposits 按金 24 7,093 7,691 Amounts due from directors 應收董事款項 25 — 6,683 Income tax recoverable 可收回所得稅 907 — Pledged bank deposits and 已抵押</t>
        </is>
      </c>
    </row>
    <row r="7">
      <c r="A7" s="8" t="inlineStr">
        <is>
          <t>Fair Value Measurement</t>
        </is>
      </c>
      <c r="B7" s="8" t="inlineStr">
        <is>
          <t>公允價值計量</t>
        </is>
      </c>
      <c r="C7" s="17" t="inlineStr">
        <is>
          <t>high</t>
        </is>
      </c>
      <c r="D7" s="12" t="inlineStr">
        <is>
          <t>公允價值</t>
        </is>
      </c>
      <c r="E7" s="12" t="inlineStr">
        <is>
          <t>PDF p.112 (印刷頁 110)</t>
        </is>
      </c>
      <c r="F7" s="12" t="inlineStr">
        <is>
          <t>r Share Share comprehensive Merger Other Translation Retained capital premium income reserve reserve reserve reserve earnings Total 按公允價值 計入其他全面 股本 股份溢價 收益儲備 合併儲備 其他儲備 換算儲備 保留溢利 總計 HK$’000 HK$’000 HK$’000 HK$’000 HK$’000 HK$’000 HK$’000 HK$’000 千港元 千港元 千港元 千港元 千港元 千港元 千港元 千港元 At 1 April 2024 於2024年4月1日 1,000 — — — — 16 46,818 47,834 Profit for the year 年內溢利 — — — — — — 14,074 14,074 Other comprehensive loss for the 除稅後年內其他全面虧損 year, net of tax — — — — — (9) (44) (53) Total comprehensive income for 年內全面收益總額 the year — — — — — (9</t>
        </is>
      </c>
    </row>
    <row r="8">
      <c r="A8" s="8" t="inlineStr">
        <is>
          <t>Fair Value Measurement</t>
        </is>
      </c>
      <c r="B8" s="8" t="inlineStr">
        <is>
          <t>公允價值計量</t>
        </is>
      </c>
      <c r="C8" s="17" t="inlineStr">
        <is>
          <t>high</t>
        </is>
      </c>
      <c r="D8" s="12" t="inlineStr">
        <is>
          <t>公允價值</t>
        </is>
      </c>
      <c r="E8" s="12" t="inlineStr">
        <is>
          <t>PDF p.113 (印刷頁 111)</t>
        </is>
      </c>
      <c r="F8" s="12" t="inlineStr">
        <is>
          <t>d 物業、廠房及設備折舊 equipment 10 456 248 Depreciation of right-of-use assets 使用權資產折舊 10 934 971 Fair value loss on investment property 投資物業的公允價值虧損 7 278 336 Finance costs 融資成本 9 206 492 Insurance charges on life insurance 人壽保單保險費 policies 10 63 70 Imputed interest income from life 人壽保單按金之推定利息 insurance policy deposits 收入 7 (270) (270) Insurance gain 保險收益 — 退保價值變動 — change in surrender values 7 (20) (12) Provision for expected credit loss, net 預期信貸虧損撥備淨額 8 957 265 Provision for long service payment 長期服務金撥備 84 43 Operating cash flows be</t>
        </is>
      </c>
    </row>
    <row r="9">
      <c r="A9" s="8" t="inlineStr">
        <is>
          <t>Fair Value Measurement</t>
        </is>
      </c>
      <c r="B9" s="8" t="inlineStr">
        <is>
          <t>公允價值計量</t>
        </is>
      </c>
      <c r="C9" s="17" t="inlineStr">
        <is>
          <t>high</t>
        </is>
      </c>
      <c r="D9" s="12" t="inlineStr">
        <is>
          <t>公允價值</t>
        </is>
      </c>
      <c r="E9" s="12" t="inlineStr">
        <is>
          <t>PDF p.120 (印刷頁 118)</t>
        </is>
      </c>
      <c r="F9" s="12" t="inlineStr">
        <is>
          <t>nance. The consolidated financial statements have been 綜合財務報表乃按歷史成本法編製， prepared on the historical cost basis, except for the 惟投資物業及按公允價值計入其他 investment property and financial assets at fair value 全面收益的金融資產除外，該等項 through other comprehensive income, which have been 目乃按報告期間末的公允價值計量。 measured at fair value as at the end of the reporting period. 3. ADOPTION OF NEW AND AMENDMENTS TO 3. 採納新訂及經修訂香港財務報告會 HKFRS ACCOUNTING STANDARDS 計準則 (a) Application of amendments to an HKFRS (a) 應用經修訂香港財務報告會計準則 Accounting Standard In the current year,</t>
        </is>
      </c>
    </row>
    <row r="10">
      <c r="A10" s="8" t="inlineStr">
        <is>
          <t>Fair Value Measurement</t>
        </is>
      </c>
      <c r="B10" s="8" t="inlineStr">
        <is>
          <t>公允價值計量</t>
        </is>
      </c>
      <c r="C10" s="17" t="inlineStr">
        <is>
          <t>high</t>
        </is>
      </c>
      <c r="D10" s="12" t="inlineStr">
        <is>
          <t>公允價值</t>
        </is>
      </c>
      <c r="E10" s="12" t="inlineStr">
        <is>
          <t>PDF p.124 (印刷頁 122)</t>
        </is>
      </c>
      <c r="F10" s="12" t="inlineStr">
        <is>
          <t>ed. Business combinations are accounted for using the 業務合併採用收購法入賬。業務合併之 acquisition method. The consideration transferred in a 轉讓代價乃按公允價值計量，而公允價 business combination is measured at fair value, which is 值乃按於收購日期本集團所轉讓的資產、 calculated as the sum of the acquisition-date fair values of 本集團對被收購方原擁有人所產生的負 the assets transferred by the Group, liabilities assumed by 債以及本集團為取得被收購方的控制權 the Group to the former owners of the acquiree and the 而發行的股權的公允價值總額計算。就 equity interests issued by the Group in exchange for control 各項業務合併而言，本集團會選擇以公 of</t>
        </is>
      </c>
    </row>
    <row r="11">
      <c r="A11" s="8" t="inlineStr">
        <is>
          <t>Fair Value Measurement</t>
        </is>
      </c>
      <c r="B11" s="8" t="inlineStr">
        <is>
          <t>公允價值計量</t>
        </is>
      </c>
      <c r="C11" s="17" t="inlineStr">
        <is>
          <t>high</t>
        </is>
      </c>
      <c r="D11" s="12" t="inlineStr">
        <is>
          <t>公允價值</t>
        </is>
      </c>
      <c r="E11" s="12" t="inlineStr">
        <is>
          <t>PDF p.128 (印刷頁 126)</t>
        </is>
      </c>
      <c r="F11" s="12" t="inlineStr">
        <is>
          <t>including any directly attributable expenditure. 接應佔支出）計量。於初始確認後，投 Subsequent to initial recognition, investment properties are 資物業按公允價值列賬，以反映於報告 stated at fair value, which reflects market conditions at the 期間末之市況。 end of the reporting period. Gains or losses arising from changes in the fair values of 投資物業公允價值變動產生之盈虧於其 investment properties are included in the consolidated 產生年度計入綜合損益及其他全面收益 statement of profit or loss and other comprehensive income 表。 in the year in which they arise. An investment property is derecognised upo</t>
        </is>
      </c>
    </row>
    <row r="12">
      <c r="A12" s="8" t="inlineStr">
        <is>
          <t>Fair Value Measurement</t>
        </is>
      </c>
      <c r="B12" s="8" t="inlineStr">
        <is>
          <t>公允價值計量</t>
        </is>
      </c>
      <c r="C12" s="17" t="inlineStr">
        <is>
          <t>high</t>
        </is>
      </c>
      <c r="D12" s="12" t="inlineStr">
        <is>
          <t>公允價值</t>
        </is>
      </c>
      <c r="E12" s="12" t="inlineStr">
        <is>
          <t>PDF p.129 (印刷頁 127)</t>
        </is>
      </c>
      <c r="F12" s="12" t="inlineStr">
        <is>
          <t>. An asset’s recoverable amount is the higher of 按資產的使用價值或其所屬現金產生單 the value in use of the asset or cash-generating unit to which 位與其公允價值減出售成本兩者的較高 it belongs and its fair value less costs of disposal, and is 者計算，並就個別資產釐定，除非資產 determined for an individual asset, unless the asset does not 並不產生大致獨立於其他資產或資產組 generate cash inflows that are largely independent of those 別的現金流入，於此情況下，可收回金 from other assets or groups of assets, in which case the 額按資產所屬現金產生單位釐定。 recoverable amount is determined for the cash-generating unit to which the</t>
        </is>
      </c>
    </row>
    <row r="13">
      <c r="A13" s="8" t="inlineStr">
        <is>
          <t>Fair Value Measurement</t>
        </is>
      </c>
      <c r="B13" s="8" t="inlineStr">
        <is>
          <t>公允價值計量</t>
        </is>
      </c>
      <c r="C13" s="17" t="inlineStr">
        <is>
          <t>high</t>
        </is>
      </c>
      <c r="D13" s="12" t="inlineStr">
        <is>
          <t>公允價值</t>
        </is>
      </c>
      <c r="E13" s="12" t="inlineStr">
        <is>
          <t>PDF p.130 (印刷頁 128)</t>
        </is>
      </c>
      <c r="F13" s="12" t="inlineStr">
        <is>
          <t>ty to the contractual provisions of the instrument. 約方時，即確認金融資產。 Financial assets are initially measured at fair value except 金融資產初始按公允價值計量，惟產生 for trade receivables arising from contracts with customers 自客戶合約之貿易應收款項除外，該等 which are initially measured in accordance with HKFRS 15. 款項初始遵照香港財務報告準則第15號 計量。 (a) Classification and subsequent measurement (a) 分類及其後計量 Financial assets that meet the following conditions are 符合下列條件的金融資產其後按攤 subsequently measured at amortised cost: 銷成本計量： • the financial asset is held within a business mode</t>
        </is>
      </c>
    </row>
    <row r="14">
      <c r="A14" s="8" t="inlineStr">
        <is>
          <t>Fair Value Measurement</t>
        </is>
      </c>
      <c r="B14" s="8" t="inlineStr">
        <is>
          <t>公允價值計量</t>
        </is>
      </c>
      <c r="C14" s="17" t="inlineStr">
        <is>
          <t>high</t>
        </is>
      </c>
      <c r="D14" s="12" t="inlineStr">
        <is>
          <t>公允價值</t>
        </is>
      </c>
      <c r="E14" s="12" t="inlineStr">
        <is>
          <t>PDF p.131 (印刷頁 129)</t>
        </is>
      </c>
      <c r="F14" s="12" t="inlineStr">
        <is>
          <t>顯著減少會計錯 financial asset that are required to be measured at 配，本集團或會不可撤銷地將原應 the amortised cost or FVTOCI as measured at FVTPL 按攤銷成本或按公允價值計入其他 if doing so eliminates or significantly reduces an 全面收益計量的金融資產指定為按 accounting mismatch. 公允價值計入損益計量。 Financial assets at amortised cost 按攤銷成本計量的金融資產 Interest income is recognised using the effective interest 對於後續按攤銷成本計量的金融 method for financial assets measured subsequently at 資產，利息收入採用實際利率法確 amortised cost. 認。 Equity instruments designated as at FVTOCI 指定為按公允價值計入其他全面收 益的股本工具 Investments in</t>
        </is>
      </c>
    </row>
    <row r="15">
      <c r="A15" s="8" t="inlineStr">
        <is>
          <t>Fair Value Measurement</t>
        </is>
      </c>
      <c r="B15" s="8" t="inlineStr">
        <is>
          <t>公允價值計量</t>
        </is>
      </c>
      <c r="C15" s="17" t="inlineStr">
        <is>
          <t>high</t>
        </is>
      </c>
      <c r="D15" s="12" t="inlineStr">
        <is>
          <t>公允價值</t>
        </is>
      </c>
      <c r="E15" s="12" t="inlineStr">
        <is>
          <t>PDF p.137 (印刷頁 135)</t>
        </is>
      </c>
      <c r="F15" s="12" t="inlineStr">
        <is>
          <t>in profit or loss. On derecognition of an investment in equity 於終止確認本集團於初始確認時已 instrument which the Group has elected, on initial 選擇按公允價值計入其他全面收益 recognition of the investment to measure at FVTOCI, 計量的股本工具投資時，先前於按 the cumulative gain or loss previously accumulated 公允價值計入其他全面收益儲備累 in the fair value through other comprehensive 計的累計收益或虧損不會重新分類 income reserve is not reclassified to profit or loss, 至損益，而會轉撥至保留盈利。 but is transferred to retained earnings. 2026 年年報 • 金葉國際集團有限公司 135</t>
        </is>
      </c>
    </row>
    <row r="16">
      <c r="A16" s="8" t="inlineStr">
        <is>
          <t>Fair Value Measurement</t>
        </is>
      </c>
      <c r="B16" s="8" t="inlineStr">
        <is>
          <t>公允價值計量</t>
        </is>
      </c>
      <c r="C16" s="17" t="inlineStr">
        <is>
          <t>high</t>
        </is>
      </c>
      <c r="D16" s="12" t="inlineStr">
        <is>
          <t>公允價值</t>
        </is>
      </c>
      <c r="E16" s="12" t="inlineStr">
        <is>
          <t>PDF p.138 (印刷頁 136)</t>
        </is>
      </c>
      <c r="F16" s="12" t="inlineStr">
        <is>
          <t>e contractual provisions of the 之訂約方時，即確認金融負債。 instrument. All financial liabilities are recognised initially at fair value 所有金融負債初始按公允價值確認， and, in the case of financial liabilities at amortised cost, 若屬按攤銷成本計量的金融負債， net of directly attributable transaction costs. 則扣除直接應佔交易成本。 The Group’s financial liabilities include trade and other 本集團金融負債包括貿易及其他應 payables and accruals, dividend payable and bank 付款項及應計費用、應付股息以及 borrowings. 銀行借款。 (b) Subsequent measurement (b) 後續計量 Af ter initial recognition, financial liabilities are 於初始確認後，</t>
        </is>
      </c>
    </row>
    <row r="17">
      <c r="A17" s="8" t="inlineStr">
        <is>
          <t>Fair Value Measurement</t>
        </is>
      </c>
      <c r="B17" s="8" t="inlineStr">
        <is>
          <t>公允價值計量</t>
        </is>
      </c>
      <c r="C17" s="17" t="inlineStr">
        <is>
          <t>high</t>
        </is>
      </c>
      <c r="D17" s="12" t="inlineStr">
        <is>
          <t>公允價值</t>
        </is>
      </c>
      <c r="E17" s="12" t="inlineStr">
        <is>
          <t>PDF p.139 (印刷頁 137)</t>
        </is>
      </c>
      <c r="F17" s="12" t="inlineStr">
        <is>
          <t>ng an operating lease are added to the carrying 賬面值，而有關成本於租期內按直線基 amount of the leased asset, and such costs are recognised 準確認為開支，惟按公允價值模式計量 as an expense on a straight-line basis over the lease term 的投資物業則除外。 except for investment properties measured under fair value model. Refundable rental deposits 可退回租金按金 Refundable rental deposits received are accounted for under 已收到的可退回租金按金乃根據香港財 HKFRS 9 and initially measured at fair value. Adjustments to 務報告準則第9號進行核算，並初始按 fair value at initial recognition are considered as additional 公</t>
        </is>
      </c>
    </row>
    <row r="18">
      <c r="A18" s="8" t="inlineStr">
        <is>
          <t>Fair Value Measurement</t>
        </is>
      </c>
      <c r="B18" s="8" t="inlineStr">
        <is>
          <t>公允價值計量</t>
        </is>
      </c>
      <c r="C18" s="17" t="inlineStr">
        <is>
          <t>high</t>
        </is>
      </c>
      <c r="D18" s="12" t="inlineStr">
        <is>
          <t>公允價值</t>
        </is>
      </c>
      <c r="E18" s="12" t="inlineStr">
        <is>
          <t>PDF p.141 (印刷頁 139)</t>
        </is>
      </c>
      <c r="F18" s="12" t="inlineStr">
        <is>
          <t>ured at fair value. Adjustments to fair 告準則第9號進行核算，並初始按公允 value at initial recognition are considered as additional lease 價值計量。初始確認時的公允價值調整 payments and included in the cost of right-of-use assets. 視為額外租賃付款，計入使用權資產成 本。 2026 年年報 • 金葉國際集團有限公司 139</t>
        </is>
      </c>
    </row>
    <row r="19">
      <c r="A19" s="8" t="inlineStr">
        <is>
          <t>Fair Value Measurement</t>
        </is>
      </c>
      <c r="B19" s="8" t="inlineStr">
        <is>
          <t>公允價值計量</t>
        </is>
      </c>
      <c r="C19" s="17" t="inlineStr">
        <is>
          <t>high</t>
        </is>
      </c>
      <c r="D19" s="12" t="inlineStr">
        <is>
          <t>公允價值</t>
        </is>
      </c>
      <c r="E19" s="12" t="inlineStr">
        <is>
          <t>PDF p.142 (印刷頁 140)</t>
        </is>
      </c>
      <c r="F19" s="12" t="inlineStr">
        <is>
          <t>f exchanges prevailing on the dates of the 報告期間末，以外幣計值的貨幣項目按 transactions. At the end of the reporting period, monetary 該日的現行匯率重新換算。按公允價值 items denominated in foreign currencies are retranslated at 以外幣計值的非貨幣項目按於釐定公允 the rates prevailing at that date. Non-monetary items carried 價值當日的現行匯率重新換算。以外幣 at fair value that are denominated in foreign currencies are 過往成本計量的非貨幣項目不予重新換 retranslated at the rates prevailing on the date when the 算。結算貨幣項目及重新換算貨幣項目 fair value was determined. Non-monetary items that are 時產生的匯兌差額於其產生期間在損益 measured</t>
        </is>
      </c>
    </row>
    <row r="20">
      <c r="A20" s="8" t="inlineStr">
        <is>
          <t>Fair Value Measurement</t>
        </is>
      </c>
      <c r="B20" s="8" t="inlineStr">
        <is>
          <t>公允價值計量</t>
        </is>
      </c>
      <c r="C20" s="17" t="inlineStr">
        <is>
          <t>high</t>
        </is>
      </c>
      <c r="D20" s="12" t="inlineStr">
        <is>
          <t>公允價值</t>
        </is>
      </c>
      <c r="E20" s="12" t="inlineStr">
        <is>
          <t>PDF p.147 (印刷頁 145)</t>
        </is>
      </c>
      <c r="F20" s="12" t="inlineStr">
        <is>
          <t>全部或部分 available to allow all or part of the asset to be recovered. 的水平。 For the purposes of measuring deferred tax liabilities or 就使用公允價值模式計量投資物業的遞 deferred tax assets for investment properties that are 延稅項負債或遞延稅項資產而言，該等 measured using the fair value model, the carrying amounts 物業的賬面值假設可透過出售收回全部， of such properties are presumed to be recovered entirely 除非該假設被推翻，則另作別論。當投 through sale, unless the presumption is rebutted. The 資物業可予折舊並按目標為隨著時間（而 presumption is rebutted when the investment properties 非透過銷售）消耗投資物業包含的絕大 are depreciabl</t>
        </is>
      </c>
    </row>
    <row r="21">
      <c r="A21" s="8" t="inlineStr">
        <is>
          <t>Fair Value Measurement</t>
        </is>
      </c>
      <c r="B21" s="8" t="inlineStr">
        <is>
          <t>公允價值計量</t>
        </is>
      </c>
      <c r="C21" s="17" t="inlineStr">
        <is>
          <t>high</t>
        </is>
      </c>
      <c r="D21" s="12" t="inlineStr">
        <is>
          <t>公允價值</t>
        </is>
      </c>
      <c r="E21" s="12" t="inlineStr">
        <is>
          <t>PDF p.149 (印刷頁 147)</t>
        </is>
      </c>
      <c r="F21" s="12" t="inlineStr">
        <is>
          <t>or the purposes of measuring deferred tax arising 就計量投資物業產生的按香港會 from investment properties that are measured using the 計準則第40號「投資物業」公允價值 fair value model in HKAS 40 Investment Property, the 模式計量的遞延稅項而言，本公司 directors of the Company have reviewed the Group’s 董事已審閱本集團的投資物業，並 investment property and concluded that the Group’s 認為本集團投資物業並非以隨時間 investment property is not held under a business 消耗大部分含於該等投資物業之所 model whose objective is to consume substantially 有經濟利益的商業模式持有。因此， all of economic benefits embodied in the investment 於釐定本集團投資</t>
        </is>
      </c>
    </row>
    <row r="22">
      <c r="A22" s="8" t="inlineStr">
        <is>
          <t>Fair Value Measurement</t>
        </is>
      </c>
      <c r="B22" s="8" t="inlineStr">
        <is>
          <t>公允價值計量</t>
        </is>
      </c>
      <c r="C22" s="17" t="inlineStr">
        <is>
          <t>high</t>
        </is>
      </c>
      <c r="D22" s="12" t="inlineStr">
        <is>
          <t>公允價值</t>
        </is>
      </c>
      <c r="E22" s="12" t="inlineStr">
        <is>
          <t>PDF p.152 (印刷頁 150)</t>
        </is>
      </c>
      <c r="F22" s="12" t="inlineStr">
        <is>
          <t>S (Continued) Key sources of estimation uncertainty (Continued) 估計不明朗因素的主要來源（續） (ii) Fair value of the investment property (ii) 投資物業之公允價值 At the end of the reporting period, the investment 於報告期間末，投資物業根據獨立 property is stated at fair value based on the valuation 合資格專業估值師行作出的估值按 performed by a firm of independent qualified professional 公允價值列賬。釐定公允價值時， valuers. In determining the fair value, the valuers have 估值師所依據的估值方法（載於附 based on a method of valuation which involves certain 註17）涉及若干的市況估計。本公司 estimates of market conditions which</t>
        </is>
      </c>
    </row>
    <row r="23">
      <c r="A23" s="8" t="inlineStr">
        <is>
          <t>Fair Value Measurement</t>
        </is>
      </c>
      <c r="B23" s="8" t="inlineStr">
        <is>
          <t>公允價值計量</t>
        </is>
      </c>
      <c r="C23" s="17" t="inlineStr">
        <is>
          <t>high</t>
        </is>
      </c>
      <c r="D23" s="12" t="inlineStr">
        <is>
          <t>公允價值</t>
        </is>
      </c>
      <c r="E23" s="12" t="inlineStr">
        <is>
          <t>PDF p.154 (印刷頁 152)</t>
        </is>
      </c>
      <c r="F23" s="12" t="inlineStr">
        <is>
          <t>ntinued) Key sources of estimation uncertainty (Continued) 估計不明朗因素的主要來源（續） (vi) Fair value measurements and valuation processes (vi) 公允價值計量及估值程序 Unlisted equity securities measured at FVTOCI were 按公允價值計入其他全面收益的非 revalued by the directors of the Company by reference 上市權益證券，由本公司董事參考 to the valuation performed by independent professional 獨立專業估值師進行的估值重新計 valuer. In determining the fair value, the valuer has used 量。於釐定公允價值時，估值師採 a method of valuation which involves certain estimates. 用涉及若干估計的估值方法。管理 In relying on the valuation repor</t>
        </is>
      </c>
    </row>
    <row r="24">
      <c r="A24" s="8" t="inlineStr">
        <is>
          <t>Fair Value Measurement</t>
        </is>
      </c>
      <c r="B24" s="8" t="inlineStr">
        <is>
          <t>公允價值計量</t>
        </is>
      </c>
      <c r="C24" s="17" t="inlineStr">
        <is>
          <t>high</t>
        </is>
      </c>
      <c r="D24" s="12" t="inlineStr">
        <is>
          <t>公允價值</t>
        </is>
      </c>
      <c r="E24" s="12" t="inlineStr">
        <is>
          <t>PDF p.159 (印刷頁 157)</t>
        </is>
      </c>
      <c r="F24" s="12" t="inlineStr">
        <is>
          <t>20 1,098 869 Other gains or losses, net 其他收益或虧損淨額 Exchange gain/(loss) 匯兌收益╱（虧損） 44 (29) Fair value loss on investment property 投資物業的公允價值虧損 (Note 17) （附註17） (278) (336) Insurance gain — change in surrender 保險收益 — 退保價值變動 values 20 12 (214) (353) 884 516 Note: 附註： During the year ended 31 March 2026, the government subsidies 截至2026年3月31日止年度，政府補助指：(i) represent (i) subsidies for staff costs according to the Construction 根據建造業創新及科技基金發放的員工成本 Innovation and Technology Fund in amounting to approximately 補貼約25,000港元，旨在為員工提供在職培 HK$25,00</t>
        </is>
      </c>
    </row>
    <row r="25">
      <c r="A25" s="8" t="inlineStr">
        <is>
          <t>Fair Value Measurement</t>
        </is>
      </c>
      <c r="B25" s="8" t="inlineStr">
        <is>
          <t>公允價值計量</t>
        </is>
      </c>
      <c r="C25" s="17" t="inlineStr">
        <is>
          <t>high</t>
        </is>
      </c>
      <c r="D25" s="12" t="inlineStr">
        <is>
          <t>公允價值</t>
        </is>
      </c>
      <c r="E25" s="12" t="inlineStr">
        <is>
          <t>PDF p.169 (印刷頁 167)</t>
        </is>
      </c>
      <c r="F25" s="12" t="inlineStr">
        <is>
          <t>ial assets (including property, plant and 使用權資產及無形資產）進行減值測試。 equipment, right-of-use assets and intangible assets). The 本公司董事根據非金融資產的公允價值 directors of the Company estimate the recoverable amounts 減出售成本與使用價值兩者中的較高者， of the non-financial assets based on higher of fair value less 估計其可收回金額。按使用價值計算的 costs of disposal and value in use. The recoverable amount 非金融資產可收回金額超過其賬面值， exceeds the carrying amount of the non-financial assets 故並無於截至2026年3月31日止年度確 based on value in use and no impairment loss is recognised 認任何減值虧損（2025年：零港元）。 duri</t>
        </is>
      </c>
    </row>
    <row r="26">
      <c r="A26" s="8" t="inlineStr">
        <is>
          <t>Fair Value Measurement</t>
        </is>
      </c>
      <c r="B26" s="8" t="inlineStr">
        <is>
          <t>公允價值計量</t>
        </is>
      </c>
      <c r="C26" s="17" t="inlineStr">
        <is>
          <t>high</t>
        </is>
      </c>
      <c r="D26" s="12" t="inlineStr">
        <is>
          <t>level 3</t>
        </is>
      </c>
      <c r="E26" s="12" t="inlineStr">
        <is>
          <t>PDF p.172 (印刷頁 170)</t>
        </is>
      </c>
      <c r="F26" s="12" t="inlineStr">
        <is>
          <t>值方面具備合 recent experiences in the valuation of similar properties in 適資格及近期經驗。 Hong Kong. The fair values of investment property is a level 3 fair value 投資物業的公允價值屬於第三級的公允 measurement. The reconciliation of the opening and closing 價值計量。年初及年末的公允價值結餘 fair value balances is shown as the above table. 之對賬載於上表。 170 GOLDEN LEAF INTERNATIONAL GROUP LIMITED • Annual Report 2026</t>
        </is>
      </c>
    </row>
    <row r="27">
      <c r="A27" s="8" t="inlineStr">
        <is>
          <t>Fair Value Measurement</t>
        </is>
      </c>
      <c r="B27" s="8" t="inlineStr">
        <is>
          <t>公允價值計量</t>
        </is>
      </c>
      <c r="C27" s="17" t="inlineStr">
        <is>
          <t>high</t>
        </is>
      </c>
      <c r="D27" s="12" t="inlineStr">
        <is>
          <t>level 3</t>
        </is>
      </c>
      <c r="E27" s="12" t="inlineStr">
        <is>
          <t>PDF p.173 (印刷頁 171)</t>
        </is>
      </c>
      <c r="F27" s="12" t="inlineStr">
        <is>
          <t>their actual use. 無差異。 During the years ended 31 March 2026 and 2025, there were 截至2026年及2025年3月31日止年度， no transfers into or out of Level 3 or any other level. 概無自第三級或任何其他層級的轉入或 轉出。 2026 年年報 • 金葉國際集團有限公司 171</t>
        </is>
      </c>
    </row>
    <row r="28">
      <c r="A28" s="8" t="inlineStr">
        <is>
          <t>Fair Value Measurement</t>
        </is>
      </c>
      <c r="B28" s="8" t="inlineStr">
        <is>
          <t>公允價值計量</t>
        </is>
      </c>
      <c r="C28" s="17" t="inlineStr">
        <is>
          <t>high</t>
        </is>
      </c>
      <c r="D28" s="12" t="inlineStr">
        <is>
          <t>公允價值</t>
        </is>
      </c>
      <c r="E28" s="12" t="inlineStr">
        <is>
          <t>PDF p.176 (印刷頁 174)</t>
        </is>
      </c>
      <c r="F28" s="12" t="inlineStr">
        <is>
          <t>國際收購事項，由於金葉國際 were fully impaired as Golden Leaf International was dormant. 並無經營業務，故商譽已悉數減值。 21. FINANCIAL ASSETS AT FAIR VALUE 21. 以公允價值計入其他全面收益的金 THROUGH OTHER COMPREHENSIVE INCOME 融資產 2026 2025 2026年 2025年 HK$’000 HK$’000 千港元 千港元 Financial assets at FVTOCI 以公允價值計入其他全面收益 的金融資產 Unlisted equity securities in a Hong 於一間香港公司聚優控股有限 Kong company, Synfocus Holdings 公司的非上市股本證券 Limited 3,550 — The movement of unlisted equity 非上市股本證券的變動如下： securities is as follows: As at 1 April 2025 於2025年4月1日 — — Acquired through asset acquisition 資產</t>
        </is>
      </c>
    </row>
    <row r="29">
      <c r="A29" s="8" t="inlineStr">
        <is>
          <t>Fair Value Measurement</t>
        </is>
      </c>
      <c r="B29" s="8" t="inlineStr">
        <is>
          <t>公允價值計量</t>
        </is>
      </c>
      <c r="C29" s="17" t="inlineStr">
        <is>
          <t>high</t>
        </is>
      </c>
      <c r="D29" s="12" t="inlineStr">
        <is>
          <t>level 3</t>
        </is>
      </c>
      <c r="E29" s="12" t="inlineStr">
        <is>
          <t>PDF p.177 (印刷頁 175)</t>
        </is>
      </c>
      <c r="F29" s="12" t="inlineStr">
        <is>
          <t>31 March 2026, the financial assets 月31日，以公允價值計入其他全面收益 at FVTOCI is measured at fair value and is classified as a 的金融資產按公允價值計量，並分類為 Level 3 fair value measurement using market approach based 第三級公允價值計量，採用市場法，參 on the market comparables of the investment and adjusted 考該項投資的市場可資比較項目，且根 by the discount of lack of marketability. 據缺乏市場流通性產生的折讓予以調整。 The dividends received on this investment were approximately 截至2026年3月31日止年度，該項投資 HK$213,000 during the year ended 31 March 2026 (2025: 所獲股息約為213,000港元（2025年：零 HK$Nil). 港元）。 22. TRADE REC</t>
        </is>
      </c>
    </row>
    <row r="30">
      <c r="A30" s="8" t="inlineStr">
        <is>
          <t>Fair Value Measurement</t>
        </is>
      </c>
      <c r="B30" s="8" t="inlineStr">
        <is>
          <t>公允價值計量</t>
        </is>
      </c>
      <c r="C30" s="17" t="inlineStr">
        <is>
          <t>high</t>
        </is>
      </c>
      <c r="D30" s="12" t="inlineStr">
        <is>
          <t>公允價值</t>
        </is>
      </c>
      <c r="E30" s="12" t="inlineStr">
        <is>
          <t>PDF p.183 (印刷頁 181)</t>
        </is>
      </c>
      <c r="F30" s="12" t="inlineStr">
        <is>
          <t>ch 2026, the other receivables included the 於2026年3月31日，其他應收款項包括 dividend receivables in relation to the financial asset at FVTOCI 與按公允價值計入其他全面收益的金 amounting to approximately HK$213,000. 融資產有關的應收股息約為213,000港 元。 (b) Deposits were mainly paid for industry-related membership and (b) 按金主要用於支付與本集團業務及營運 rental and utilities deposits in respect of the Group’s business 用途有關的行業相關會籍及租金與水電 and operational use. 費按金。 (c) Prepayments were mainly represented by project payment (c) 預付款項主要為預付供應商和分包商 in advance to suppliers and sub-contractors a</t>
        </is>
      </c>
    </row>
    <row r="31">
      <c r="A31" s="8" t="inlineStr">
        <is>
          <t>Fair Value Measurement</t>
        </is>
      </c>
      <c r="B31" s="8" t="inlineStr">
        <is>
          <t>公允價值計量</t>
        </is>
      </c>
      <c r="C31" s="17" t="inlineStr">
        <is>
          <t>high</t>
        </is>
      </c>
      <c r="D31" s="12" t="inlineStr">
        <is>
          <t>公允價值</t>
        </is>
      </c>
      <c r="E31" s="12" t="inlineStr">
        <is>
          <t>PDF p.194 (印刷頁 192)</t>
        </is>
      </c>
      <c r="F31" s="12" t="inlineStr">
        <is>
          <t>the Company is able to pay its debts as they fall due in ordinary course of business. Fair value through other comprehensive income 按公允價值計入其他全面收益的儲備 reserve The financial assets at FVTOCI reserve comprises the 按公允價值計入其他全面收益的金融資 cumulative net change in the fair value of financial assets at 產儲備包括於報告期間末持有之按公允 FVTOCI held at the end of the reporting period and is dealt 價值計入其他全面收益之金融資產之公 with in accordance with the accounting policy in Note 4 to 允價值累計變動淨額，並根據綜合財務 the consolidated financial statements. 報表附註4之會計政策處理。 Merger reserve 合</t>
        </is>
      </c>
    </row>
    <row r="32">
      <c r="A32" s="8" t="inlineStr">
        <is>
          <t>Fair Value Measurement</t>
        </is>
      </c>
      <c r="B32" s="8" t="inlineStr">
        <is>
          <t>公允價值計量</t>
        </is>
      </c>
      <c r="C32" s="17" t="inlineStr">
        <is>
          <t>high</t>
        </is>
      </c>
      <c r="D32" s="12" t="inlineStr">
        <is>
          <t>公允價值</t>
        </is>
      </c>
      <c r="E32" s="12" t="inlineStr">
        <is>
          <t>PDF p.199 (印刷頁 197)</t>
        </is>
      </c>
      <c r="F32" s="12" t="inlineStr">
        <is>
          <t>etermined that substantially all of the fair value 團釐定所收購總資產（不包括現金及銀 of the gross assets (excluding cash and bank balances) 行結餘）的絕大部分公允價值集中於一 acquired was concentrated in a group of similar identifiable 組類似可識別資產（即於一家非上市實 assets (being the investment in certain shares of an unlisted 體若干股份的投資），並根據香港財務 entity) and concluded the acquisition was accounted for as 報告準則第3號「業務合併」應用選擇性 acquisition of assets by applying the optional concentration 集中度測試，斷定該收購事項入賬列作 test in accordance with HKFRS 3 “Business Combinations”. 資產收購。 The acquisit</t>
        </is>
      </c>
    </row>
    <row r="33">
      <c r="A33" s="8" t="inlineStr">
        <is>
          <t>Fair Value Measurement</t>
        </is>
      </c>
      <c r="B33" s="8" t="inlineStr">
        <is>
          <t>公允價值計量</t>
        </is>
      </c>
      <c r="C33" s="17" t="inlineStr">
        <is>
          <t>high</t>
        </is>
      </c>
      <c r="D33" s="12" t="inlineStr">
        <is>
          <t>公允價值</t>
        </is>
      </c>
      <c r="E33" s="12" t="inlineStr">
        <is>
          <t>PDF p.200 (印刷頁 198)</t>
        </is>
      </c>
      <c r="F33" s="12" t="inlineStr">
        <is>
          <t>f identifiable assets acquired and liabilities 九玄控股於收購日期所收購可識別資產 assumed of Xuan Holding, at the date of acquisition, were as 及所承擔負債的公允價值如下： follows: HK$’000 千港元 Financial assets at fair value through other 按公允價值計入其他全面收益的 comprehensive income 金融資產 3,169 Other receivables 其他應收款項 375 Cash and cash equivalents 現金及現金等價物 17 Other payables 其他應付款項 (2) Shareholder’s loan 股東貸款 (540) Net assets acquired by the Group 本集團所收購資產淨值 3,019 Add: assignment of shareholder’s loan 加：轉讓股東貸款 540 Less: deemed contribution from a director 減：視作董事注資 (3,0</t>
        </is>
      </c>
    </row>
    <row r="34">
      <c r="A34" s="8" t="inlineStr">
        <is>
          <t>Fair Value Measurement</t>
        </is>
      </c>
      <c r="B34" s="8" t="inlineStr">
        <is>
          <t>公允價值計量</t>
        </is>
      </c>
      <c r="C34" s="17" t="inlineStr">
        <is>
          <t>high</t>
        </is>
      </c>
      <c r="D34" s="12" t="inlineStr">
        <is>
          <t>公允價值</t>
        </is>
      </c>
      <c r="E34" s="12" t="inlineStr">
        <is>
          <t>PDF p.201 (印刷頁 199)</t>
        </is>
      </c>
      <c r="F34" s="12" t="inlineStr">
        <is>
          <t>38. FINANCIAL INSTRUMENTS BY CATEGORY 38. 按類別劃分的金融工具 2026 2025 2026年 2025年 HK$’000 HK$’000 千港元 千港元 Financial assets 金融資產 At FVTOCI 按公允價值計入其他全面收益 3,550 — At amortised cost 按攤銷成本計量的項目： Trade receivables 貿易應收款項 31,048 30,264 Other receivables and refundable 其他應收款項及可退回按金 deposits 2,062 1,378 Amounts due from directors 應收董事款項 — 6,683 Pledged bank deposits and restricted 已抵押銀行存款及受限制現金 cash 4,026 1,850 Cash and cash equivalents 現金及現金等價物 27,751 16,072 64,887 56,247 68,437 56,247 Financial liabilities 金融負債 At amortised cost: 按攤銷成本計量的項目</t>
        </is>
      </c>
    </row>
    <row r="35">
      <c r="A35" s="8" t="inlineStr">
        <is>
          <t>Fair Value Measurement</t>
        </is>
      </c>
      <c r="B35" s="8" t="inlineStr">
        <is>
          <t>公允價值計量</t>
        </is>
      </c>
      <c r="C35" s="17" t="inlineStr">
        <is>
          <t>high</t>
        </is>
      </c>
      <c r="D35" s="12" t="inlineStr">
        <is>
          <t>公允價值</t>
        </is>
      </c>
      <c r="E35" s="12" t="inlineStr">
        <is>
          <t>PDF p.202 (印刷頁 200)</t>
        </is>
      </c>
      <c r="F35" s="12" t="inlineStr">
        <is>
          <t>FINANCIAL STATEMENTS 綜合財務報表附註 For the year ended 31 March 2026 截至2026年3月31日止年度 39. FINANCIAL RISK MANAGEMENT AND FAIR 39. 財務風險管理及金融工具公允價值 VALUES OF FINANCIAL INSTRUMENTS The Group’s principal financial instruments comprise financial 本集團的主要金融工具包括指定為按公 asset at FVTOCI, trade receivables, other receivables and 允價值計入其他全面收益的金融資產、 refundable deposits, amounts due from directors, pledged 貿易應收款項、其他應收款項及可退回 bank deposits and restricted cash, cash and cash equivalent, 按金、應收董事款項、已抵押銀行存款 trade and other payables and accruals, dividend paya</t>
        </is>
      </c>
    </row>
    <row r="36">
      <c r="A36" s="8" t="inlineStr">
        <is>
          <t>Fair Value Measurement</t>
        </is>
      </c>
      <c r="B36" s="8" t="inlineStr">
        <is>
          <t>公允價值計量</t>
        </is>
      </c>
      <c r="C36" s="17" t="inlineStr">
        <is>
          <t>high</t>
        </is>
      </c>
      <c r="D36" s="12" t="inlineStr">
        <is>
          <t>公允價值</t>
        </is>
      </c>
      <c r="E36" s="12" t="inlineStr">
        <is>
          <t>PDF p.203 (印刷頁 201)</t>
        </is>
      </c>
      <c r="F36" s="12" t="inlineStr">
        <is>
          <t>FINANCIAL STATEMENTS 綜合財務報表附註 For the year ended 31 March 2026 截至2026年3月31日止年度 39. FINANCIAL RISK MANAGEMENT AND FAIR 39. 財務風險管理及金融工具公允價值 VALUES OF FINANCIAL INSTRUMENTS （續） (Continued) (a) Interest rate risk (Continued) (a) 利率風險（續） 2026 2025 2026年 2025年 HK$’000 HK$’000 千港元 千港元 (Increase)/ (Decrease)/ decrease in increase in post-tax loss post-tax profit 稅後虧損 稅後溢利 （增加）╱減少 （減少）╱增加 100 basic point increase 上升100個基點 — (38) 100 basic point decrease 下降100個基點 — 38 (b) Other price risk (b) 其他價格風險 The Group is exposed to equity price r</t>
        </is>
      </c>
    </row>
    <row r="37">
      <c r="A37" s="8" t="inlineStr">
        <is>
          <t>Fair Value Measurement</t>
        </is>
      </c>
      <c r="B37" s="8" t="inlineStr">
        <is>
          <t>公允價值計量</t>
        </is>
      </c>
      <c r="C37" s="17" t="inlineStr">
        <is>
          <t>high</t>
        </is>
      </c>
      <c r="D37" s="12" t="inlineStr">
        <is>
          <t>公允價值</t>
        </is>
      </c>
      <c r="E37" s="12" t="inlineStr">
        <is>
          <t>PDF p.204 (印刷頁 202)</t>
        </is>
      </c>
      <c r="F37" s="12" t="inlineStr">
        <is>
          <t>FINANCIAL STATEMENTS 綜合財務報表附註 For the year ended 31 March 2026 截至2026年3月31日止年度 39. FINANCIAL RISK MANAGEMENT AND FAIR 39. 財務風險管理及金融工具公允價值 VALUES OF FINANCIAL INSTRUMENTS （續） (Continued) (c) Credit risk (c) 信貸風險 Credit risk is the risk that a counterparty will not meet 信貸風險為交易對手未履行其於金 its obligations under a financial instrument or customer 融工具或客戶合約項下之義務，因 contract, leading to a financial loss. The Group is 而導致財務虧損之風險。本集團因 exposed to credit risk mainly from its operating activities 其經營活動（主要為貿易應收款項 (primarily for trade receivable</t>
        </is>
      </c>
    </row>
    <row r="38">
      <c r="A38" s="8" t="inlineStr">
        <is>
          <t>Fair Value Measurement</t>
        </is>
      </c>
      <c r="B38" s="8" t="inlineStr">
        <is>
          <t>公允價值計量</t>
        </is>
      </c>
      <c r="C38" s="17" t="inlineStr">
        <is>
          <t>high</t>
        </is>
      </c>
      <c r="D38" s="12" t="inlineStr">
        <is>
          <t>公允價值</t>
        </is>
      </c>
      <c r="E38" s="12" t="inlineStr">
        <is>
          <t>PDF p.205 (印刷頁 203)</t>
        </is>
      </c>
      <c r="F38" s="12" t="inlineStr">
        <is>
          <t>FINANCIAL STATEMENTS 綜合財務報表附註 For the year ended 31 March 2026 截至2026年3月31日止年度 39. FINANCIAL RISK MANAGEMENT AND FAIR 39. 財務風險管理及金融工具公允價值 VALUES OF FINANCIAL INSTRUMENTS （續） (Continued) (c) Credit risk (Continued) (c) 信貸風險（續） Impairment of financial assets 金融資產減值 The following types of financial assets are subject to the 下列類別金融資產須符合預期信 ECL model: 貸虧損模型： • trade receivables and contract assets ‧ 貿易應收款項及合約資產 • other receivables and refundable deposits; and ‧ 其他應收款項及可退回按金； 及 • amounts due from directors ‧ 應收董事款項 While bank balance</t>
        </is>
      </c>
    </row>
    <row r="39">
      <c r="A39" s="8" t="inlineStr">
        <is>
          <t>Fair Value Measurement</t>
        </is>
      </c>
      <c r="B39" s="8" t="inlineStr">
        <is>
          <t>公允價值計量</t>
        </is>
      </c>
      <c r="C39" s="17" t="inlineStr">
        <is>
          <t>high</t>
        </is>
      </c>
      <c r="D39" s="12" t="inlineStr">
        <is>
          <t>公允價值</t>
        </is>
      </c>
      <c r="E39" s="12" t="inlineStr">
        <is>
          <t>PDF p.206 (印刷頁 204)</t>
        </is>
      </c>
      <c r="F39" s="12" t="inlineStr">
        <is>
          <t>FINANCIAL STATEMENTS 綜合財務報表附註 For the year ended 31 March 2026 截至2026年3月31日止年度 39. FINANCIAL RISK MANAGEMENT AND FAIR 39. 財務風險管理及金融工具公允價值 VALUES OF FINANCIAL INSTRUMENTS （續） (Continued) (c) Credit risk (Continued) (c) 信貸風險（續） Impairment of financial assets (Continued) 金融資產減值（續） Trade receivables and contract assets (Continued) 貿易應收款項及合約資產（續） The table below details the gross carrying amounts of 下表呈列本集團的貿易應收款項及 the Group’s trade receivables and contract assets, which 合約資產的賬面總值詳情（視乎預 are subject to ECL assessment: 期信貸虧損評估）： 2026</t>
        </is>
      </c>
    </row>
    <row r="40">
      <c r="A40" s="8" t="inlineStr">
        <is>
          <t>Fair Value Measurement</t>
        </is>
      </c>
      <c r="B40" s="8" t="inlineStr">
        <is>
          <t>公允價值計量</t>
        </is>
      </c>
      <c r="C40" s="17" t="inlineStr">
        <is>
          <t>high</t>
        </is>
      </c>
      <c r="D40" s="12" t="inlineStr">
        <is>
          <t>公允價值</t>
        </is>
      </c>
      <c r="E40" s="12" t="inlineStr">
        <is>
          <t>PDF p.207 (印刷頁 205)</t>
        </is>
      </c>
      <c r="F40" s="12" t="inlineStr">
        <is>
          <t>FINANCIAL STATEMENTS 綜合財務報表附註 For the year ended 31 March 2026 截至2026年3月31日止年度 39. FINANCIAL RISK MANAGEMENT AND FAIR 39. 財務風險管理及金融工具公允價值 VALUES OF FINANCIAL INSTRUMENTS （續） (Continued) (c) Credit risk (Continued) (c) 信貸風險（續） Impairment of financial assets (Continued) 金融資產減值（續） Other financial assets at amortised cost 按攤銷成本計量的其他金融資產 ECL for other financial assets at amortised cost, 按攤銷成本計量的其他金融資產（包 including amounts due from directors and refundable 括應收董事款項及可退回按金及其 deposits and other receivables, are assessed on 他應收款項）的預期信貸虧損按1</t>
        </is>
      </c>
    </row>
    <row r="41">
      <c r="A41" s="8" t="inlineStr">
        <is>
          <t>Fair Value Measurement</t>
        </is>
      </c>
      <c r="B41" s="8" t="inlineStr">
        <is>
          <t>公允價值計量</t>
        </is>
      </c>
      <c r="C41" s="17" t="inlineStr">
        <is>
          <t>high</t>
        </is>
      </c>
      <c r="D41" s="12" t="inlineStr">
        <is>
          <t>公允價值</t>
        </is>
      </c>
      <c r="E41" s="12" t="inlineStr">
        <is>
          <t>PDF p.208 (印刷頁 206)</t>
        </is>
      </c>
      <c r="F41" s="12" t="inlineStr">
        <is>
          <t>FINANCIAL STATEMENTS 綜合財務報表附註 For the year ended 31 March 2026 截至2026年3月31日止年度 39. FINANCIAL RISK MANAGEMENT AND FAIR 39. 財務風險管理及金融工具公允價值 VALUES OF FINANCIAL INSTRUMENTS （續） (Continued) (d) Liquidity risk (d) 流動資金風險 The Group aims at maintaining a balance between 本集團務求透過維持充裕現金及銀 continuity of funding and flexibility through maintaining 行結餘，維持資金持續性與靈活性 sufficient cash and bank balances. The Group monitored 之間的平衡。本集團已監測其對銀 its compliance with covenants and repayment schedules 行借款的契諾及還款時間表的遵守 of bank borrowings, and took measures</t>
        </is>
      </c>
    </row>
    <row r="42">
      <c r="A42" s="8" t="inlineStr">
        <is>
          <t>Fair Value Measurement</t>
        </is>
      </c>
      <c r="B42" s="8" t="inlineStr">
        <is>
          <t>公允價值計量</t>
        </is>
      </c>
      <c r="C42" s="17" t="inlineStr">
        <is>
          <t>high</t>
        </is>
      </c>
      <c r="D42" s="12" t="inlineStr">
        <is>
          <t>公允價值</t>
        </is>
      </c>
      <c r="E42" s="12" t="inlineStr">
        <is>
          <t>PDF p.209 (印刷頁 207)</t>
        </is>
      </c>
      <c r="F42" s="12" t="inlineStr">
        <is>
          <t>FINANCIAL STATEMENTS 綜合財務報表附註 For the year ended 31 March 2026 截至2026年3月31日止年度 39. FINANCIAL RISK MANAGEMENT AND FAIR 39. 財務風險管理及金融工具公允價值 VALUES OF FINANCIAL INSTRUMENTS （續） (Continued) (d) Liquidity risk (Continued) (d) 流動資金風險（續） The total undiscounted cash flows of each financial 於各報告期間末，各項金融負債根 liability based on the earliest date on which the Group 據本集團可能須還款之最早日期之 can be required to pay approximate to their carrying 未貼現現金流量總額與其賬面值相 amounts at each of the end of the reporting period as 若，載列如下： follows: Weighted Total average</t>
        </is>
      </c>
    </row>
    <row r="43">
      <c r="A43" s="8" t="inlineStr">
        <is>
          <t>Fair Value Measurement</t>
        </is>
      </c>
      <c r="B43" s="8" t="inlineStr">
        <is>
          <t>公允價值計量</t>
        </is>
      </c>
      <c r="C43" s="17" t="inlineStr">
        <is>
          <t>high</t>
        </is>
      </c>
      <c r="D43" s="12" t="inlineStr">
        <is>
          <t>公允價值</t>
        </is>
      </c>
      <c r="E43" s="12" t="inlineStr">
        <is>
          <t>PDF p.210 (印刷頁 208)</t>
        </is>
      </c>
      <c r="F43" s="12" t="inlineStr">
        <is>
          <t>FINANCIAL STATEMENTS 綜合財務報表附註 For the year ended 31 March 2026 截至2026年3月31日止年度 39. FINANCIAL RISK MANAGEMENT AND FAIR 39. 財務風險管理及金融工具公允價值 VALUES OF FINANCIAL INSTRUMENTS （續） (Continued) (d) Liquidity risk (Continued) (d) 流動資金風險（續） The table below summarises the maturity analysis of 下表概述貸款協議所載基於協定之 bank borrowing with a repayment on demand clause 償還時間表按要求還款之銀行借款 based on the agreed scheduled repayments set out 之到期日分析。有關金額包括使用 in the loan agreement. The amounts include interest 特定利率計算之利息付款。因此， payments computed using the specifie</t>
        </is>
      </c>
    </row>
    <row r="44">
      <c r="A44" s="8" t="inlineStr">
        <is>
          <t>Impairment Testing</t>
        </is>
      </c>
      <c r="B44" s="8" t="inlineStr">
        <is>
          <t>減值測試</t>
        </is>
      </c>
      <c r="C44" s="17" t="inlineStr">
        <is>
          <t>high</t>
        </is>
      </c>
      <c r="D44" s="12" t="inlineStr">
        <is>
          <t>impairment loss</t>
        </is>
      </c>
      <c r="E44" s="12" t="inlineStr">
        <is>
          <t>PDF p.18 (印刷頁 16)</t>
        </is>
      </c>
      <c r="F44" s="12" t="inlineStr">
        <is>
          <t>SIS 管理層討論與分析 Provision for ECL, net 預期信貸虧損撥備淨額 Provision for ECL, net, represented the movement of provision 預期信貸虧損撥備淨額指貿易應收款項、其 for impairment loss on trade receivables, other receivables 他應收款項及按金以及合約資產的減值虧損 and deposits, and contract assets. For the Reporting Period, 撥備變動。於報告期間，本集團錄得預期信 the Group recorded reversal of ECL, net, of approximately 貸虧損撥回淨額約957,000港元，相較於同 HK$957,000, as compared to provision for ECL of approximately 期則錄得預期信貸虧損撥備約265,000港元。 HK$265,000 for the Corresponding Period. For the Reporting 於報告期間，本集團確認貿易應收款項</t>
        </is>
      </c>
    </row>
    <row r="45">
      <c r="A45" s="8" t="inlineStr">
        <is>
          <t>Impairment Testing</t>
        </is>
      </c>
      <c r="B45" s="8" t="inlineStr">
        <is>
          <t>減值測試</t>
        </is>
      </c>
      <c r="C45" s="17" t="inlineStr">
        <is>
          <t>high</t>
        </is>
      </c>
      <c r="D45" s="12" t="inlineStr">
        <is>
          <t>impairment test</t>
        </is>
      </c>
      <c r="E45" s="12" t="inlineStr">
        <is>
          <t>PDF p.125 (印刷頁 123)</t>
        </is>
      </c>
      <c r="F45" s="12" t="inlineStr">
        <is>
          <t>in circumstances indicate that the 件或情況轉變而顯示賬面值可能出現減 carrying value may be impaired. The Group performs its 值，則會更頻密地進行測試。本集團於 annual impairment test of goodwill as at 31 March. For the 3月31日進行商譽的年度減值測試。就 purposes of impairment testing, goodwill is allocated to 減值測試而言，商譽分配至預期可從合 each of the Group’s cash-generating units (or groups of 併產生的協同效應中獲益的本集團各現 cash-generating units) that is expected to benefit from the 金產生單位（或現金產生單位組別），而 synergies of the combination, irrespective of whether other 不論本集團其他資產或負債已分配予該 assets or liabilities o</t>
        </is>
      </c>
    </row>
    <row r="46">
      <c r="A46" s="8" t="inlineStr">
        <is>
          <t>Impairment Testing</t>
        </is>
      </c>
      <c r="B46" s="8" t="inlineStr">
        <is>
          <t>減值測試</t>
        </is>
      </c>
      <c r="C46" s="17" t="inlineStr">
        <is>
          <t>high</t>
        </is>
      </c>
      <c r="D46" s="12" t="inlineStr">
        <is>
          <t>impairment loss</t>
        </is>
      </c>
      <c r="E46" s="12" t="inlineStr">
        <is>
          <t>PDF p.126 (印刷頁 124)</t>
        </is>
      </c>
      <c r="F46" s="12" t="inlineStr">
        <is>
          <t>plant and equipment 物業、廠房及設備 Property, plant and equipment are stated at cost less 物業、廠房及設備按成本減折舊及減值 provisions for depreciation and impairment losses, if any. 虧損撥備（如有）列賬。 The cost of an item of property, plant and equipment 物業、廠房及設備項目的成本包括其購 comprises its purchase price and any directly attributable 買價及使資產達致其擬定用途的運作狀 cost of bringing the asset to its working condition and 況及地點的任何直接應佔成本。項目投 location for its intended use. Expenditure incurred after 產後所產生的支出，如維修及保養費用 the item has been put into operation, such as repairs and 以及大修費</t>
        </is>
      </c>
    </row>
    <row r="47">
      <c r="A47" s="8" t="inlineStr">
        <is>
          <t>Impairment Testing</t>
        </is>
      </c>
      <c r="B47" s="8" t="inlineStr">
        <is>
          <t>減值測試</t>
        </is>
      </c>
      <c r="C47" s="17" t="inlineStr">
        <is>
          <t>high</t>
        </is>
      </c>
      <c r="D47" s="12" t="inlineStr">
        <is>
          <t>impairment loss</t>
        </is>
      </c>
      <c r="E47" s="12" t="inlineStr">
        <is>
          <t>PDF p.128 (印刷頁 126)</t>
        </is>
      </c>
      <c r="F47" s="12" t="inlineStr">
        <is>
          <t>-generated 初始確認後，內部產生的無形資產按成 intangible assets are measured at cost less accumulated 本減累計攤銷及累計減值虧損（如有）計 amortisation and accumulated impairment losses (if any), 量，其計量基準與單獨收購的無形資產 on the same basis as intangible assets that are acquired 相同。 separately. The Group’s intangible assets have finite useful life. Intangible 本集團的無形資產具有限的可使用年期。 assets are amortised on a straight-line basis over the 無形資產於以下期間按直線基準進行攤 following period: 銷： System development costs 5 years 系統開發成本 5年 Investment properties 投資物業 Investment properties are intere</t>
        </is>
      </c>
    </row>
    <row r="48">
      <c r="A48" s="8" t="inlineStr">
        <is>
          <t>Impairment Testing</t>
        </is>
      </c>
      <c r="B48" s="8" t="inlineStr">
        <is>
          <t>減值測試</t>
        </is>
      </c>
      <c r="C48" s="17" t="inlineStr">
        <is>
          <t>high</t>
        </is>
      </c>
      <c r="D48" s="12" t="inlineStr">
        <is>
          <t>impairment test</t>
        </is>
      </c>
      <c r="E48" s="12" t="inlineStr">
        <is>
          <t>PDF p.129 (印刷頁 127)</t>
        </is>
      </c>
      <c r="F48" s="12" t="inlineStr">
        <is>
          <t>N (Continued) Impairment of non-financial assets 非金融資產減值 Where an indication of impairment exists, or when annual 倘存在減值跡象，或當須每年就資產（金 impairment testing for an asset is required (other than 融資產除外）進行減值測試，則會估計 financial assets), the recoverable amount of the asset is 資產之可收回金額。資產的可收回金額 estimated. An asset’s recoverable amount is the higher of 按資產的使用價值或其所屬現金產生單 the value in use of the asset or cash-generating unit to which 位與其公允價值減出售成本兩者的較高 it belongs and its fair value less costs of disposal, and is 者計算，並就個別資產釐定，除非資產 determined for</t>
        </is>
      </c>
    </row>
    <row r="49">
      <c r="A49" s="8" t="inlineStr">
        <is>
          <t>Impairment Testing</t>
        </is>
      </c>
      <c r="B49" s="8" t="inlineStr">
        <is>
          <t>減值測試</t>
        </is>
      </c>
      <c r="C49" s="17" t="inlineStr">
        <is>
          <t>high</t>
        </is>
      </c>
      <c r="D49" s="12" t="inlineStr">
        <is>
          <t>impairment loss</t>
        </is>
      </c>
      <c r="E49" s="12" t="inlineStr">
        <is>
          <t>PDF p.140 (印刷頁 138)</t>
        </is>
      </c>
      <c r="F49" s="12" t="inlineStr">
        <is>
          <t>of the liability for each period. Right-of-use assets are measured at cost, less any 使用權資產按成本減任何累計折舊及減 accumulated depreciation and impairment losses, and 值虧損計量，並就租賃負債的任何重新 adjusted for any remeasurement of lease liabilities. The right- 計量進行調整。使用權資產乃按資產的 of-use asset is depreciated on a straight-line basis over the 可使用年期及租期（以較短者為準）以直 shorter of the asset’s useful life and the lease term. 線基準折舊。 Assets leased to the Group and the corresponding liabilities 租賃予本集團的資產及相關負債初始按 are initially measured on a present value basis. Lease</t>
        </is>
      </c>
    </row>
    <row r="50">
      <c r="A50" s="8" t="inlineStr">
        <is>
          <t>Impairment Testing</t>
        </is>
      </c>
      <c r="B50" s="8" t="inlineStr">
        <is>
          <t>減值測試</t>
        </is>
      </c>
      <c r="C50" s="17" t="inlineStr">
        <is>
          <t>high</t>
        </is>
      </c>
      <c r="D50" s="12" t="inlineStr">
        <is>
          <t>impairment test</t>
        </is>
      </c>
      <c r="E50" s="12" t="inlineStr">
        <is>
          <t>PDF p.169 (印刷頁 167)</t>
        </is>
      </c>
      <c r="F50" s="12" t="inlineStr">
        <is>
          <t>25年3月31日 337 350 114 801 In view of the financial performance of the Group, the 鑒於本集團的財務表現，本公司董事已 directors of the Company performed impairment testing 對非金融資產（包括物業、廠房及設備、 on the non-financial assets (including property, plant and 使用權資產及無形資產）進行減值測試。 equipment, right-of-use assets and intangible assets). The 本公司董事根據非金融資產的公允價值 directors of the Company estimate the recoverable amounts 減出售成本與使用價值兩者中的較高者， of the non-financial assets based on higher of fair value less 估計其可收回金額。按使用價值計算的 costs of disposal and value in use. The recoverab</t>
        </is>
      </c>
    </row>
    <row r="51">
      <c r="A51" s="8" t="inlineStr">
        <is>
          <t>Impairment Testing</t>
        </is>
      </c>
      <c r="B51" s="8" t="inlineStr">
        <is>
          <t>減值測試</t>
        </is>
      </c>
      <c r="C51" s="17" t="inlineStr">
        <is>
          <t>high</t>
        </is>
      </c>
      <c r="D51" s="12" t="inlineStr">
        <is>
          <t>impairment loss</t>
        </is>
      </c>
      <c r="E51" s="12" t="inlineStr">
        <is>
          <t>PDF p.179 (印刷頁 177)</t>
        </is>
      </c>
      <c r="F51" s="12" t="inlineStr">
        <is>
          <t>red) impaired) Total 全期預期 全期預期 信貸虧損 信貸虧損 （非信貸減值） （信貸減值） 總計 HK$’000 HK$’000 HK$’000 千港元 千港元 千港元 At 1 April 2024 於2024年4月1日 37 204 241 Impairment losses recognised, net 減值虧損確認，淨額 65 295 360 Transfer to credit-impaired 轉撥至信貸減值 (1) 1 — At 31 March 2025 and 1 April 2025 於2025年3月31日及 2025年4月1日 101 500 601 Impairment losses recognised/(reserved), 減值虧損確認╱（撥回）， net 淨額 775 (132) 643 876 368 1,244 Details of impairment assessment of trade receivables are set 貿易應收款項減值評估詳情載於附註 out in Note 39(c). 39(c)。 23. CONTRACT ASSETS 23. 合約資產 2026 2025</t>
        </is>
      </c>
    </row>
    <row r="52">
      <c r="A52" s="8" t="inlineStr">
        <is>
          <t>Impairment Testing</t>
        </is>
      </c>
      <c r="B52" s="8" t="inlineStr">
        <is>
          <t>減值測試</t>
        </is>
      </c>
      <c r="C52" s="17" t="inlineStr">
        <is>
          <t>high</t>
        </is>
      </c>
      <c r="D52" s="12" t="inlineStr">
        <is>
          <t>impairment loss</t>
        </is>
      </c>
      <c r="E52" s="12" t="inlineStr">
        <is>
          <t>PDF p.182 (印刷頁 180)</t>
        </is>
      </c>
      <c r="F52" s="12" t="inlineStr">
        <is>
          <t>aired) impaired) Total 全期預期信貸虧損 全期預期信貸虧損 （非信貸減值） （信貸減值） 總計 HK$’000 HK$’000 HK$’000 千港元 千港元 千港元 At 1 April 2024 於2024年4月1日 60 125 185 Impairment losses reversed, net 減值虧損撥回，淨額 (4) (94) (98) At 31 March 2025 and 1 April 2025 於2025年3月31日及 2025年4月1日 56 31 87 Impairment losses 減值虧損確認╱（撥回）， recognised/(reversed), net 淨額 304 (31) 273 360 – 360 Details of impairment assessment of contract assets are set 合約資產減值評估詳情載於附註39(c)。 out in Note 39(c). 24. OTHER RECEIVABLES, PREPAYMENTS AND 24. 其他應收款項、預付款項及按金 DEPOSITS 2026 2025 2026年 2025年 HK$’0</t>
        </is>
      </c>
    </row>
    <row r="53">
      <c r="A53" s="8" t="inlineStr">
        <is>
          <t>Impairment Testing</t>
        </is>
      </c>
      <c r="B53" s="8" t="inlineStr">
        <is>
          <t>減值測試</t>
        </is>
      </c>
      <c r="C53" s="17" t="inlineStr">
        <is>
          <t>high</t>
        </is>
      </c>
      <c r="D53" s="12" t="inlineStr">
        <is>
          <t>impairment loss</t>
        </is>
      </c>
      <c r="E53" s="12" t="inlineStr">
        <is>
          <t>PDF p.183 (印刷頁 181)</t>
        </is>
      </c>
      <c r="F53" s="12" t="inlineStr">
        <is>
          <t>t credit-impaired are as 金計提信貸虧損撥備的變動如下： follows: 2026 2025 2026年 2025年 HK$’000 HK$’000 千港元 千港元 At the beginning of the year 於年初 5 2 Impairment losses recognised 已確認減值虧損 41 3 46 5 Details of impairment assessment of other receivables and 其他應收款項及按金減值評估詳情載 deposits are set out in Note 39(c). 於附註39(c)。 2026 年年報 • 金葉國際集團有限公司 181</t>
        </is>
      </c>
    </row>
    <row r="54">
      <c r="A54" s="8" t="inlineStr">
        <is>
          <t>Impairment Testing</t>
        </is>
      </c>
      <c r="B54" s="8" t="inlineStr">
        <is>
          <t>減值測試</t>
        </is>
      </c>
      <c r="C54" s="17" t="inlineStr">
        <is>
          <t>high</t>
        </is>
      </c>
      <c r="D54" s="12" t="inlineStr">
        <is>
          <t>impairment loss</t>
        </is>
      </c>
      <c r="E54" s="12" t="inlineStr">
        <is>
          <t>PDF p.205 (印刷頁 203)</t>
        </is>
      </c>
      <c r="F54" s="12" t="inlineStr">
        <is>
          <t>le bank balances and cash are also subject to the 銀行結餘及現金同樣適用香港財務 impairment requirements of HKFRS 9, the identified 報告準則第9號減值規定，惟已識 impairment loss was immaterial. 別減值虧損金額並不重大。 Trade receivables and contract assets 貿易應收款項及合約資產 The Group applies HKFRS 9 and measures ECL based 本集團應用香港財務報告準則第9 on a lifetime expected loss allowance for all trade 號，基於全期的預期虧損撥備計量 receivables and contract assets. 所有貿易應收款項及合約資產的預 期信貸虧損。 The trade receivables and contract assets are assessed 貿易應收款項及合約資產個別進行 for impairment individually. The estimated EC</t>
        </is>
      </c>
    </row>
    <row r="55">
      <c r="A55" s="8" t="inlineStr">
        <is>
          <t>Impairment Testing</t>
        </is>
      </c>
      <c r="B55" s="8" t="inlineStr">
        <is>
          <t>減值測試</t>
        </is>
      </c>
      <c r="C55" s="17" t="inlineStr">
        <is>
          <t>high</t>
        </is>
      </c>
      <c r="D55" s="12" t="inlineStr">
        <is>
          <t>impairment loss</t>
        </is>
      </c>
      <c r="E55" s="12" t="inlineStr">
        <is>
          <t>PDF p.207 (印刷頁 205)</t>
        </is>
      </c>
      <c r="F55" s="12" t="inlineStr">
        <is>
          <t>dition, the Group monitors subsequent 集團亦監察各應收款項的後續結算， settlement of each of the receivables to ensure that 以就不可收回款項作出充足的減值 adequate impairment losses are made for irrecoverable 虧損撥備。此外，本集團根據香港 amounts. In addition, the Group performs impairment 財務報告準則第9號按預期信貸虧 assessment under ECL model in accordance with 損模型對其他結餘逐項進行減值評 HKFRS 9 on other balances individually. In this regard, 估。就此而言，本公司董事認為本 the directors of the Company consider that the Group’s 集團可退回按金及其他應收款項的 credit risk on the refundable deposits and other 信貸風險並不重大。 receiva</t>
        </is>
      </c>
    </row>
    <row r="56">
      <c r="A56" s="8" t="inlineStr">
        <is>
          <t>Intangible Assets &amp; Goodwill</t>
        </is>
      </c>
      <c r="B56" s="8" t="inlineStr">
        <is>
          <t>無形資產及商譽</t>
        </is>
      </c>
      <c r="C56" s="17" t="inlineStr">
        <is>
          <t>high</t>
        </is>
      </c>
      <c r="D56" s="12" t="inlineStr">
        <is>
          <t>客戶關係</t>
        </is>
      </c>
      <c r="E56" s="12" t="inlineStr">
        <is>
          <t>PDF p.8 (印刷頁 06)</t>
        </is>
      </c>
      <c r="F56" s="12" t="inlineStr">
        <is>
          <t>eering works, safety standards, and customer satisfaction. In terms of customer relations, the Group will gradually propel from its 在客戶關係方面，本集團將由過往以項目為 previous project-oriented collaboration model to longer-term and more 導向的合作模式，逐步提升至更長遠、更深 in-depth customer partnerships. We will continue to prioritize our clients’ 入的客戶夥伴關係。我們將繼續重視客戶於 practical needs at different stages, using professional judgment, rapid 不同階段的實際需要，並以專業判斷、快速 response, and reliable delivery as the cornerstones for building trust. By 回應及可靠交付作為建立信任的基礎。透過 consiste</t>
        </is>
      </c>
    </row>
    <row r="57">
      <c r="A57" s="8" t="inlineStr">
        <is>
          <t>Intangible Assets &amp; Goodwill</t>
        </is>
      </c>
      <c r="B57" s="8" t="inlineStr">
        <is>
          <t>無形資產及商譽</t>
        </is>
      </c>
      <c r="C57" s="17" t="inlineStr">
        <is>
          <t>high</t>
        </is>
      </c>
      <c r="D57" s="12" t="inlineStr">
        <is>
          <t>intangible asset</t>
        </is>
      </c>
      <c r="E57" s="12" t="inlineStr">
        <is>
          <t>PDF p.110 (印刷頁 108)</t>
        </is>
      </c>
      <c r="F57" s="12" t="inlineStr">
        <is>
          <t>產 Property, plant and equipment 物業、廠房及設備 15 4,709 801 Right-of-use assets 使用權資產 16 4,614 940 Investment property 投資物業 17 3,670 3,948 Intangible assets 無形資產 18 765 764 Life insurance policy deposits and 人壽保單按金及預付款項 prepayments 19 6,596 6,358 Goodwill 商譽 20 — — Financial assets at fair value through 按公允價值計入其他全面收 other comprehensive income 益的金融資產 21 3,550 — Prepayments and deposits 預付款項及按金 24 422 353 24,326 13,164 Current assets 流動資產 Trade receivables 貿易應收款項 22 31,048 30,264 Contract assets 合約資產 23 27,228 17,883 Other receivables,</t>
        </is>
      </c>
    </row>
    <row r="58">
      <c r="A58" s="8" t="inlineStr">
        <is>
          <t>Intangible Assets &amp; Goodwill</t>
        </is>
      </c>
      <c r="B58" s="8" t="inlineStr">
        <is>
          <t>無形資產及商譽</t>
        </is>
      </c>
      <c r="C58" s="17" t="inlineStr">
        <is>
          <t>high</t>
        </is>
      </c>
      <c r="D58" s="12" t="inlineStr">
        <is>
          <t>intangible asset</t>
        </is>
      </c>
      <c r="E58" s="12" t="inlineStr">
        <is>
          <t>PDF p.113 (印刷頁 111)</t>
        </is>
      </c>
      <c r="F58" s="12" t="inlineStr">
        <is>
          <t>rating activities 經營活動所得現金流量 (Loss)/profit before income tax 除所得稅前（虧損）╱溢利 (8,688) 17,131 Adjustments for: 就以下各項作出調整： Amortisation of intangible assets 無形資產攤銷 10 272 202 Amortisation of life insurance policy 人壽保單預付款項攤銷 prepayments 10 36 41 Bank interest income 銀行利息收入 7 (27) (73) Depreciation of property, plant and 物業、廠房及設備折舊 equipment 10 456 248 Depreciation of right-of-use assets 使用權資產折舊 10 934 971 Fair value loss on investment property 投資物業的公允價值虧損 7 278 336 Finance costs 融資成本 9 206 492 Insurance charges on life insurance 人壽保單保</t>
        </is>
      </c>
    </row>
    <row r="59">
      <c r="A59" s="8" t="inlineStr">
        <is>
          <t>Intangible Assets &amp; Goodwill</t>
        </is>
      </c>
      <c r="B59" s="8" t="inlineStr">
        <is>
          <t>無形資產及商譽</t>
        </is>
      </c>
      <c r="C59" s="17" t="inlineStr">
        <is>
          <t>high</t>
        </is>
      </c>
      <c r="D59" s="12" t="inlineStr">
        <is>
          <t>goodwill</t>
        </is>
      </c>
      <c r="E59" s="12" t="inlineStr">
        <is>
          <t>PDF p.124 (印刷頁 122)</t>
        </is>
      </c>
      <c r="F59" s="12" t="inlineStr">
        <is>
          <t>r ended 31 March 2026 截至2026年3月31日止年度 4. MATERIAL ACCOUNTING POLICY 4. 重大會計政策資料（續） INFORMATION (Continued) Business combinations and goodwill 業務合併及商譽 The Group can elect to apply an optional concentration 本集團可按個別交易基準選擇應用選擇 test, on a transaction-by-transaction basis, that permits a 性集中度測試，該測試允許以簡化方式 simplified assessment of whether an acquired set of activities 評估所收購的一組活動及資產是否構成 and assets is not a business. The concentration test is 一項業務。倘收購總資產的絕大部分公 met if substantially all of the fair value of the gross assets 允價值均集中於單一可識別資產</t>
        </is>
      </c>
    </row>
    <row r="60">
      <c r="A60" s="8" t="inlineStr">
        <is>
          <t>Intangible Assets &amp; Goodwill</t>
        </is>
      </c>
      <c r="B60" s="8" t="inlineStr">
        <is>
          <t>無形資產及商譽</t>
        </is>
      </c>
      <c r="C60" s="17" t="inlineStr">
        <is>
          <t>high</t>
        </is>
      </c>
      <c r="D60" s="12" t="inlineStr">
        <is>
          <t>goodwill</t>
        </is>
      </c>
      <c r="E60" s="12" t="inlineStr">
        <is>
          <t>PDF p.125 (印刷頁 123)</t>
        </is>
      </c>
      <c r="F60" s="12" t="inlineStr">
        <is>
          <t>r ended 31 March 2026 截至2026年3月31日止年度 4. MATERIAL ACCOUNTING POLICY 4. 重大會計政策資料（續） INFORMATION (Continued) Business combinations and goodwill (Continued) 業務合併及商譽（續） After initial recognition, goodwill is carried at cost less 於初始確認後，商譽按成本減累計減值 accumulated impairment losses, if any, and is presented 虧損（如有）列賬，並於綜合財務狀況表 separately in the consolidated statement of financial position. 內單獨呈列。 Goodwill is tested for impairment annually or more frequently 商譽須每年作減值測試，如出現任何事 if events or changes in circumstances indicate that the 件或情況轉變而顯</t>
        </is>
      </c>
    </row>
    <row r="61">
      <c r="A61" s="8" t="inlineStr">
        <is>
          <t>Intangible Assets &amp; Goodwill</t>
        </is>
      </c>
      <c r="B61" s="8" t="inlineStr">
        <is>
          <t>無形資產及商譽</t>
        </is>
      </c>
      <c r="C61" s="17" t="inlineStr">
        <is>
          <t>high</t>
        </is>
      </c>
      <c r="D61" s="12" t="inlineStr">
        <is>
          <t>可使用年期</t>
        </is>
      </c>
      <c r="E61" s="12" t="inlineStr">
        <is>
          <t>PDF p.126 (印刷頁 124)</t>
        </is>
      </c>
      <c r="F61" s="12" t="inlineStr">
        <is>
          <t>preciation is provided on the straight-line method, based 折舊按直線法根據個別資產之估計經 on the estimated economic useful lives of the individual 濟可使用年期作出撥備如下： assets, as follows: Leasehold improvements Over the lease term 租賃物業裝修 按租期 Furniture, fixtures and equipment 4 years 傢俬、裝置及設備 4年 Motor vehicles 4 years 汽車 4年 Useful lives and the depreciation method are reviewed, and 可使用年期及折舊方法至少於各報告期 adjusted if appropriate, at least at the end of each reporting 間末進行檢討，並在適當情況下作出調 period. 整。 An item of property, plant and equipment including any 物業、廠房及</t>
        </is>
      </c>
    </row>
    <row r="62">
      <c r="A62" s="8" t="inlineStr">
        <is>
          <t>Intangible Assets &amp; Goodwill</t>
        </is>
      </c>
      <c r="B62" s="8" t="inlineStr">
        <is>
          <t>無形資產及商譽</t>
        </is>
      </c>
      <c r="C62" s="17" t="inlineStr">
        <is>
          <t>high</t>
        </is>
      </c>
      <c r="D62" s="12" t="inlineStr">
        <is>
          <t>intangible asset</t>
        </is>
      </c>
      <c r="E62" s="12" t="inlineStr">
        <is>
          <t>PDF p.127 (印刷頁 125)</t>
        </is>
      </c>
      <c r="F62" s="12" t="inlineStr">
        <is>
          <t>MENTS 綜合財務報表附註 For the year ended 31 March 2026 截至2026年3月31日止年度 4. MATERIAL ACCOUNTING POLICY 4. 重大會計政策資料（續） INFORMATION (Continued) Intangible assets 無形資產 Research and development expenditure 研發支出 Expenditure on research activities is recognised as an 研究活動產生之支出於其發生期間確認 expense in the period in which it is incurred. 為開支。 An internally-generated intangible asset arising from 因開發（或內部項目開發階段）產生的內 development (or from the development phase of an internal 部產生無形資產，當且僅當下列所有條 project) is recognised if, and only if, all of the following</t>
        </is>
      </c>
    </row>
    <row r="63">
      <c r="A63" s="8" t="inlineStr">
        <is>
          <t>Intangible Assets &amp; Goodwill</t>
        </is>
      </c>
      <c r="B63" s="8" t="inlineStr">
        <is>
          <t>無形資產及商譽</t>
        </is>
      </c>
      <c r="C63" s="17" t="inlineStr">
        <is>
          <t>high</t>
        </is>
      </c>
      <c r="D63" s="12" t="inlineStr">
        <is>
          <t>intangible asset</t>
        </is>
      </c>
      <c r="E63" s="12" t="inlineStr">
        <is>
          <t>PDF p.128 (印刷頁 126)</t>
        </is>
      </c>
      <c r="F63" s="12" t="inlineStr">
        <is>
          <t>MENTS 綜合財務報表附註 For the year ended 31 March 2026 截至2026年3月31日止年度 4. MATERIAL ACCOUNTING POLICY 4. 重大會計政策資料（續） INFORMATION (Continued) Intangible assets (Continued) 無形資產（續） Research and development expenditure (Continued) 研發支出（續） Subsequent to initial recognition, internally-generated 初始確認後，內部產生的無形資產按成 intangible assets are measured at cost less accumulated 本減累計攤銷及累計減值虧損（如有）計 amortisation and accumulated impairment losses (if any), 量，其計量基準與單獨收購的無形資產 on the same basis as intangible assets that are acquired 相同。 separately. The Grou</t>
        </is>
      </c>
    </row>
    <row r="64">
      <c r="A64" s="8" t="inlineStr">
        <is>
          <t>Intangible Assets &amp; Goodwill</t>
        </is>
      </c>
      <c r="B64" s="8" t="inlineStr">
        <is>
          <t>無形資產及商譽</t>
        </is>
      </c>
      <c r="C64" s="17" t="inlineStr">
        <is>
          <t>high</t>
        </is>
      </c>
      <c r="D64" s="12" t="inlineStr">
        <is>
          <t>攤銷</t>
        </is>
      </c>
      <c r="E64" s="12" t="inlineStr">
        <is>
          <t>PDF p.131 (印刷頁 129)</t>
        </is>
      </c>
      <c r="F64" s="12" t="inlineStr">
        <is>
          <t>，若可消除或顯著減少會計錯 financial asset that are required to be measured at 配，本集團或會不可撤銷地將原應 the amortised cost or FVTOCI as measured at FVTPL 按攤銷成本或按公允價值計入其他 if doing so eliminates or significantly reduces an 全面收益計量的金融資產指定為按 accounting mismatch. 公允價值計入損益計量。 Financial assets at amortised cost 按攤銷成本計量的金融資產 Interest income is recognised using the effective interest 對於後續按攤銷成本計量的金融 method for financial assets measured subsequently at 資產，利息收入採用實際利率法確 amortised cost. 認。 Equity instruments designated as at FVTOCI 指定為按公允價值計入其他全面收 益的股本工具 Investmen</t>
        </is>
      </c>
    </row>
    <row r="65">
      <c r="A65" s="8" t="inlineStr">
        <is>
          <t>Intangible Assets &amp; Goodwill</t>
        </is>
      </c>
      <c r="B65" s="8" t="inlineStr">
        <is>
          <t>無形資產及商譽</t>
        </is>
      </c>
      <c r="C65" s="17" t="inlineStr">
        <is>
          <t>high</t>
        </is>
      </c>
      <c r="D65" s="12" t="inlineStr">
        <is>
          <t>攤銷</t>
        </is>
      </c>
      <c r="E65" s="12" t="inlineStr">
        <is>
          <t>PDF p.137 (印刷頁 135)</t>
        </is>
      </c>
      <c r="F65" s="12" t="inlineStr">
        <is>
          <t>，除非金融資產發 financial asset is credit impaired, in which case 生信貸減值，在此情況下，利 interest income is calculated based on amortised 息收入則根據金融資產的攤銷 cost of the financial asset. 成本計算。 (c) Derecognition of financial assets (c) 終止確認金融資產 A financial asset (or, where applicable, a part of a 金融資產（或（如適用）部分金融資 financial asset or part of a group of similar financial 產或一組類似金融資產的部分）主 assets) is primarily derecognised (i.e. removed from 要在從資產收取現金流量的權利屆 the Group’s consolidated statement of financial 滿時終止確認（即自本集團綜合財 position) when the rights to receive</t>
        </is>
      </c>
    </row>
    <row r="66">
      <c r="A66" s="8" t="inlineStr">
        <is>
          <t>Intangible Assets &amp; Goodwill</t>
        </is>
      </c>
      <c r="B66" s="8" t="inlineStr">
        <is>
          <t>無形資產及商譽</t>
        </is>
      </c>
      <c r="C66" s="17" t="inlineStr">
        <is>
          <t>high</t>
        </is>
      </c>
      <c r="D66" s="12" t="inlineStr">
        <is>
          <t>amortisation</t>
        </is>
      </c>
      <c r="E66" s="12" t="inlineStr">
        <is>
          <t>PDF p.138 (印刷頁 136)</t>
        </is>
      </c>
      <c r="F66" s="12" t="inlineStr">
        <is>
          <t>sed in profit 終止確認時及通過實際利率法攤銷 or loss when the liabilities are derecognised as well as 程序在損益中確認。 through the effective interest rate amortisation process. Amortised cost is calculated by taking into account any 在計算攤銷成本時會計及收購產生 discount or premium on acquisition and fees or costs 的任何折讓或溢價以及作為實際利 that are an integral part of the effective interest rate. The 率一部分的費用或成本。實際利率 effective interest rate amortisation is included in finance 攤銷計入綜合損益及其他全面收益 costs in the consolidated statement of profit or loss and 表的融資成本內。 other comprehens</t>
        </is>
      </c>
    </row>
    <row r="67">
      <c r="A67" s="8" t="inlineStr">
        <is>
          <t>Intangible Assets &amp; Goodwill</t>
        </is>
      </c>
      <c r="B67" s="8" t="inlineStr">
        <is>
          <t>無形資產及商譽</t>
        </is>
      </c>
      <c r="C67" s="17" t="inlineStr">
        <is>
          <t>high</t>
        </is>
      </c>
      <c r="D67" s="12" t="inlineStr">
        <is>
          <t>useful life</t>
        </is>
      </c>
      <c r="E67" s="12" t="inlineStr">
        <is>
          <t>PDF p.140 (印刷頁 138)</t>
        </is>
      </c>
      <c r="F67" s="12" t="inlineStr">
        <is>
          <t>The right- 計量進行調整。使用權資產乃按資產的 of-use asset is depreciated on a straight-line basis over the 可使用年期及租期（以較短者為準）以直 shorter of the asset’s useful life and the lease term. 線基準折舊。 Assets leased to the Group and the corresponding liabilities 租賃予本集團的資產及相關負債初始按 are initially measured on a present value basis. Lease 現值基準計量。租賃負債包括固定付款 liabilities include the net present value of fixed payments （包括實質固定付款）減任何應收租賃優 (including in-substance fixed payments), less any lease 惠的淨現值。 incentives receivable. The lease payments are discounted using the</t>
        </is>
      </c>
    </row>
    <row r="68">
      <c r="A68" s="8" t="inlineStr">
        <is>
          <t>Intangible Assets &amp; Goodwill</t>
        </is>
      </c>
      <c r="B68" s="8" t="inlineStr">
        <is>
          <t>無形資產及商譽</t>
        </is>
      </c>
      <c r="C68" s="17" t="inlineStr">
        <is>
          <t>high</t>
        </is>
      </c>
      <c r="D68" s="12" t="inlineStr">
        <is>
          <t>攤銷</t>
        </is>
      </c>
      <c r="E68" s="12" t="inlineStr">
        <is>
          <t>PDF p.141 (印刷頁 139)</t>
        </is>
      </c>
      <c r="F68" s="12" t="inlineStr">
        <is>
          <t>s (Continued) 租賃（續） The Group as lessee (Continued) 本集團作為承租人（續） Lease liability is measured at amortised cost using the 租賃負債乃採用實際利率法按攤銷成本 effective interest method. Lease liability shall be remeasured 計量。租賃負債應於以下情況重新計量： when: — There is a change in the Group’s assessment of whether — 本集團對會否行使續租選擇權的評 it will exercise an extension option; or 估發生變動；或 — There is a modification in the scope or the consideration — 對租賃的範圍或代價作出的修訂並 of the lease that was not part of the original term. 非原租賃條款的一部分。 Lease liability is remeasured with a cor</t>
        </is>
      </c>
    </row>
    <row r="69">
      <c r="A69" s="8" t="inlineStr">
        <is>
          <t>Intangible Assets &amp; Goodwill</t>
        </is>
      </c>
      <c r="B69" s="8" t="inlineStr">
        <is>
          <t>無形資產及商譽</t>
        </is>
      </c>
      <c r="C69" s="17" t="inlineStr">
        <is>
          <t>high</t>
        </is>
      </c>
      <c r="D69" s="12" t="inlineStr">
        <is>
          <t>goodwill</t>
        </is>
      </c>
      <c r="E69" s="12" t="inlineStr">
        <is>
          <t>PDF p.147 (印刷頁 145)</t>
        </is>
      </c>
      <c r="F69" s="12" t="inlineStr">
        <is>
          <t>s. 不予確認。 In addition, deferred tax liabilities are not recognised if the temporary difference arises from the initial recognition of goodwill. The carrying amount of deferred tax assets is reviewed at the 遞延稅項資產的賬面值會於各報告期間 end of each reporting period and reduced to the extent that 末檢討，並減低至不再可能有足夠應課 it is no longer probable that sufficient taxable profits will be 稅溢利以供收回該項資產的全部或部分 available to allow all or part of the asset to be recovered. 的水平。 For the purposes of measuring deferred tax liabilities or 就使用公允價值模式計量投資物業的遞 deferre</t>
        </is>
      </c>
    </row>
    <row r="70">
      <c r="A70" s="8" t="inlineStr">
        <is>
          <t>Intangible Assets &amp; Goodwill</t>
        </is>
      </c>
      <c r="B70" s="8" t="inlineStr">
        <is>
          <t>無形資產及商譽</t>
        </is>
      </c>
      <c r="C70" s="17" t="inlineStr">
        <is>
          <t>high</t>
        </is>
      </c>
      <c r="D70" s="12" t="inlineStr">
        <is>
          <t>intangible asset</t>
        </is>
      </c>
      <c r="E70" s="12" t="inlineStr">
        <is>
          <t>PDF p.153 (印刷頁 151)</t>
        </is>
      </c>
      <c r="F70" s="12" t="inlineStr">
        <is>
          <t>es of estimation uncertainty (Continued) 估計不明朗因素的主要來源（續） (iv) Useful lives of property, plant and equipment and (iv) 物業、廠房及設備以及無形資產之 intangible assets 可使用年期 The management determines the estimated useful lives 管理層根據過往經驗以及性質及 and related depreciation and amortisation expenses 功能類似之物業、廠房及設備和無 for the Group’s property, plant and equipment and 形資產之預期使用情況，釐定本 intangible assets based on the historical experience and 集團物業、廠房及設備以及無形資 the expected usage of the property, plant and equipment 產之估計可使用年期以及相關折舊 and intangible assets with simi</t>
        </is>
      </c>
    </row>
    <row r="71">
      <c r="A71" s="8" t="inlineStr">
        <is>
          <t>Intangible Assets &amp; Goodwill</t>
        </is>
      </c>
      <c r="B71" s="8" t="inlineStr">
        <is>
          <t>無形資產及商譽</t>
        </is>
      </c>
      <c r="C71" s="17" t="inlineStr">
        <is>
          <t>high</t>
        </is>
      </c>
      <c r="D71" s="12" t="inlineStr">
        <is>
          <t>intangible asset</t>
        </is>
      </c>
      <c r="E71" s="12" t="inlineStr">
        <is>
          <t>PDF p.155 (印刷頁 153)</t>
        </is>
      </c>
      <c r="F71" s="12" t="inlineStr">
        <is>
          <t>operty, plant and equipment 物業、廠房及設備 4,656 53 4,709 Right-of-use assets 使用權資產 4,289 325 4,614 Investment property 投資物業 3,670 — 3,670 Intangible assets 無形資產 765 — 765 13,380 378 13,758 As at 31 March 2025 於2025年3月31日 Property, plant and equipment 物業、廠房及設備 754 47 801 Right-of-use assets 使用權資產 504 436 940 Investment property 投資物業 3,948 — 3,948 Intangible assets 無形資產 764 — 764 5,970 483 6,453 2026 年年報 • 金葉國際集團有限公司 153</t>
        </is>
      </c>
    </row>
    <row r="72">
      <c r="A72" s="8" t="inlineStr">
        <is>
          <t>Intangible Assets &amp; Goodwill</t>
        </is>
      </c>
      <c r="B72" s="8" t="inlineStr">
        <is>
          <t>無形資產及商譽</t>
        </is>
      </c>
      <c r="C72" s="17" t="inlineStr">
        <is>
          <t>high</t>
        </is>
      </c>
      <c r="D72" s="12" t="inlineStr">
        <is>
          <t>intangible asset</t>
        </is>
      </c>
      <c r="E72" s="12" t="inlineStr">
        <is>
          <t>PDF p.161 (印刷頁 159)</t>
        </is>
      </c>
      <c r="F72" s="12" t="inlineStr">
        <is>
          <t>,265 23,559 Contributions to retirement benefits 退休福利計劃供款（附註(i)） scheme (Note (i)) 1,429 1,217 37,563 27,585 Less: capitalisation to intangible assets 減：無形資產資本化 (273) (306) Total staff costs (Note (ii)) 員工成本總額（附註(ii)） 37,290 27,279 Auditors’ remuneration 核數師薪酬 —assurance services — 核證服務 880 162 —non assurance services — 非核證服務 380 — Amortisation of life insurance policy 人壽保單預付款項攤銷 prepayments 36 41 Amortisation of intangible assets 無形資產攤銷（計入行政開支） (included in administrative expenses) 272 202 Cost of materials used for E&amp;M 機電工程以及</t>
        </is>
      </c>
    </row>
    <row r="73">
      <c r="A73" s="8" t="inlineStr">
        <is>
          <t>Intangible Assets &amp; Goodwill</t>
        </is>
      </c>
      <c r="B73" s="8" t="inlineStr">
        <is>
          <t>無形資產及商譽</t>
        </is>
      </c>
      <c r="C73" s="17" t="inlineStr">
        <is>
          <t>high</t>
        </is>
      </c>
      <c r="D73" s="12" t="inlineStr">
        <is>
          <t>intangible asset</t>
        </is>
      </c>
      <c r="E73" s="12" t="inlineStr">
        <is>
          <t>PDF p.169 (印刷頁 167)</t>
        </is>
      </c>
      <c r="F73" s="12" t="inlineStr">
        <is>
          <t>對非金融資產（包括物業、廠房及設備、 on the non-financial assets (including property, plant and 使用權資產及無形資產）進行減值測試。 equipment, right-of-use assets and intangible assets). The 本公司董事根據非金融資產的公允價值 directors of the Company estimate the recoverable amounts 減出售成本與使用價值兩者中的較高者， of the non-financial assets based on higher of fair value less 估計其可收回金額。按使用價值計算的 costs of disposal and value in use. The recoverable amount 非金融資產可收回金額超過其賬面值， exceeds the carrying amount of the non-financial assets 故並無於截至2026年3月31日止年度確 based on value in use and no impairment loss i</t>
        </is>
      </c>
    </row>
    <row r="74">
      <c r="A74" s="8" t="inlineStr">
        <is>
          <t>Intangible Assets &amp; Goodwill</t>
        </is>
      </c>
      <c r="B74" s="8" t="inlineStr">
        <is>
          <t>無形資產及商譽</t>
        </is>
      </c>
      <c r="C74" s="17" t="inlineStr">
        <is>
          <t>high</t>
        </is>
      </c>
      <c r="D74" s="12" t="inlineStr">
        <is>
          <t>intangible asset</t>
        </is>
      </c>
      <c r="E74" s="12" t="inlineStr">
        <is>
          <t>PDF p.174 (印刷頁 172)</t>
        </is>
      </c>
      <c r="F74" s="12" t="inlineStr">
        <is>
          <t>NOTES TO THE CONSOLIDATED FINANCIAL STATEMENTS 綜合財務報表附註 For the year ended 31 March 2026 截至2026年3月31日止年度 18. INTANGIBLE ASSETS 18. 無形資產 System development costs 系統開發成本 HK$’000 千港元 COST: 成本： At 1 April 2024 於2024年4月1日 782 Additions 添置 306 At 31 March 2025 and 1 April 2025 於2025年3月31日及2025年4月1日 1,088 Addition 添置 273 At 31 March 2026 於2026年3月31日 1,361 ACCUMULATED DEPRECIATION: 累計折舊： At 1 April 2024 於2024年4月1日 122 Charge for the year 年內支出 202 At 31 March 2025 and 1 April 2025 於2025年3月31日及2025年4月1日 324 Charge</t>
        </is>
      </c>
    </row>
    <row r="75">
      <c r="A75" s="8" t="inlineStr">
        <is>
          <t>Intangible Assets &amp; Goodwill</t>
        </is>
      </c>
      <c r="B75" s="8" t="inlineStr">
        <is>
          <t>無形資產及商譽</t>
        </is>
      </c>
      <c r="C75" s="17" t="inlineStr">
        <is>
          <t>high</t>
        </is>
      </c>
      <c r="D75" s="12" t="inlineStr">
        <is>
          <t>amortisation</t>
        </is>
      </c>
      <c r="E75" s="12" t="inlineStr">
        <is>
          <t>PDF p.175 (印刷頁 173)</t>
        </is>
      </c>
      <c r="F75" s="12" t="inlineStr">
        <is>
          <t>ecognised for each year and the prepayments of life 後於保險期內的累計攤銷列賬。 insurance premium were stated at cost less subsequent accumulated amortisation over the insurance periods. As at 31 March 2026, life insurance policy deposits and 於2026年3月31日，人壽保單按金及預 prepayments amounts to approximately HK$6,633,000 (2025: 付款項合共約為6,633,000港元（2025年： HK$6,399,000) in aggregate, in which the deposit amounts 6,399,000港元），其中，約為6,203,000 of approximately HK$6,203,000 (2025: HK$5,935,000) and 港元（2025年：5,935,000港元）的存款 the prepayment amounts of approxim</t>
        </is>
      </c>
    </row>
    <row r="76">
      <c r="A76" s="8" t="inlineStr">
        <is>
          <t>Intangible Assets &amp; Goodwill</t>
        </is>
      </c>
      <c r="B76" s="8" t="inlineStr">
        <is>
          <t>無形資產及商譽</t>
        </is>
      </c>
      <c r="C76" s="17" t="inlineStr">
        <is>
          <t>high</t>
        </is>
      </c>
      <c r="D76" s="12" t="inlineStr">
        <is>
          <t>goodwill</t>
        </is>
      </c>
      <c r="E76" s="12" t="inlineStr">
        <is>
          <t>PDF p.176 (印刷頁 174)</t>
        </is>
      </c>
      <c r="F76" s="12" t="inlineStr">
        <is>
          <t>NOTES TO THE CONSOLIDATED FINANCIAL STATEMENTS 綜合財務報表附註 For the year ended 31 March 2026 截至2026年3月31日止年度 20. GOODWILL 20. 商譽 2026 2025 2026年 2025年 HK$’000 HK$’000 千港元 千港元 Cost 成本 At the beginning and end of the year 於年初及年末 368 368 Impairment 減值 At the beginning and end of the year 於年初及年末 (368) (368) Carrying amount 賬面值 — — Goodwill was arising from the acquisitions of Golden Leaf 商譽產生自於截至2019年3月31日止年 International during the year ended 31 March 2019, which 度的金葉國際收購事項，由於金葉國際 were fully impaired as Golden</t>
        </is>
      </c>
    </row>
    <row r="77">
      <c r="A77" s="8" t="inlineStr">
        <is>
          <t>Intangible Assets &amp; Goodwill</t>
        </is>
      </c>
      <c r="B77" s="8" t="inlineStr">
        <is>
          <t>無形資產及商譽</t>
        </is>
      </c>
      <c r="C77" s="17" t="inlineStr">
        <is>
          <t>high</t>
        </is>
      </c>
      <c r="D77" s="12" t="inlineStr">
        <is>
          <t>攤銷</t>
        </is>
      </c>
      <c r="E77" s="12" t="inlineStr">
        <is>
          <t>PDF p.201 (印刷頁 199)</t>
        </is>
      </c>
      <c r="F77" s="12" t="inlineStr">
        <is>
          <t>8. 按類別劃分的金融工具 2026 2025 2026年 2025年 HK$’000 HK$’000 千港元 千港元 Financial assets 金融資產 At FVTOCI 按公允價值計入其他全面收益 3,550 — At amortised cost 按攤銷成本計量的項目： Trade receivables 貿易應收款項 31,048 30,264 Other receivables and refundable 其他應收款項及可退回按金 deposits 2,062 1,378 Amounts due from directors 應收董事款項 — 6,683 Pledged bank deposits and restricted 已抵押銀行存款及受限制現金 cash 4,026 1,850 Cash and cash equivalents 現金及現金等價物 27,751 16,072 64,887 56,247 68,437 56,247 Financial liabilities 金融負債 At amortised cost: 按攤銷成本計量的項目： Trade and other payables and accruals</t>
        </is>
      </c>
    </row>
    <row r="78">
      <c r="A78" s="8" t="inlineStr">
        <is>
          <t>Intangible Assets &amp; Goodwill</t>
        </is>
      </c>
      <c r="B78" s="8" t="inlineStr">
        <is>
          <t>無形資產及商譽</t>
        </is>
      </c>
      <c r="C78" s="17" t="inlineStr">
        <is>
          <t>high</t>
        </is>
      </c>
      <c r="D78" s="12" t="inlineStr">
        <is>
          <t>攤銷</t>
        </is>
      </c>
      <c r="E78" s="12" t="inlineStr">
        <is>
          <t>PDF p.207 (印刷頁 205)</t>
        </is>
      </c>
      <c r="F78" s="12" t="inlineStr">
        <is>
          <t>) Credit risk (Continued) (c) 信貸風險（續） Impairment of financial assets (Continued) 金融資產減值（續） Other financial assets at amortised cost 按攤銷成本計量的其他金融資產 ECL for other financial assets at amortised cost, 按攤銷成本計量的其他金融資產（包 including amounts due from directors and refundable 括應收董事款項及可退回按金及其 deposits and other receivables, are assessed on 他應收款項）的預期信貸虧損按12 12-month ECL basis as there had been no significant 個月預期信貸虧損基準估算，是由 increase in credit risk since initial recognition. 於自初始確認以來信貸風險並無大 幅增加。 In order to minimise the credit risk on refund</t>
        </is>
      </c>
    </row>
    <row r="79">
      <c r="A79" s="8" t="inlineStr">
        <is>
          <t>Intangible Assets &amp; Goodwill</t>
        </is>
      </c>
      <c r="B79" s="8" t="inlineStr">
        <is>
          <t>無形資產及商譽</t>
        </is>
      </c>
      <c r="C79" s="17" t="inlineStr">
        <is>
          <t>high</t>
        </is>
      </c>
      <c r="D79" s="12" t="inlineStr">
        <is>
          <t>攤銷</t>
        </is>
      </c>
      <c r="E79" s="12" t="inlineStr">
        <is>
          <t>PDF p.211 (印刷頁 209)</t>
        </is>
      </c>
      <c r="F79" s="12" t="inlineStr">
        <is>
          <t>移情況。 The directors of the Company consider that the carrying 本公司董事認為，綜合財務報表內 amounts of financial assets and financial liabilities 按攤銷成本記錄的金融資產及金融 recorded at amortised cost in the consolidated financial 負債之賬面值與相應公允價值相若。 statements approximate their corresponding fair values. 2026 年年報 • 金葉國際集團有限公司 209</t>
        </is>
      </c>
    </row>
    <row r="80">
      <c r="A80" s="8" t="inlineStr">
        <is>
          <t>Investment Properties</t>
        </is>
      </c>
      <c r="B80" s="8" t="inlineStr">
        <is>
          <t>投資物業</t>
        </is>
      </c>
      <c r="C80" s="17" t="inlineStr">
        <is>
          <t>high</t>
        </is>
      </c>
      <c r="D80" s="12" t="inlineStr">
        <is>
          <t>investment property</t>
        </is>
      </c>
      <c r="E80" s="12" t="inlineStr">
        <is>
          <t>PDF p.110 (印刷頁 108)</t>
        </is>
      </c>
      <c r="F80" s="12" t="inlineStr">
        <is>
          <t>$’000 附註 千港元 千港元 Non-current assets 非流動資產 Property, plant and equipment 物業、廠房及設備 15 4,709 801 Right-of-use assets 使用權資產 16 4,614 940 Investment property 投資物業 17 3,670 3,948 Intangible assets 無形資產 18 765 764 Life insurance policy deposits and 人壽保單按金及預付款項 prepayments 19 6,596 6,358 Goodwill 商譽 20 — — Financial assets at fair value through 按公允價值計入其他全面收 other comprehensive income 益的金融資產 21 3,550 — Prepayments and deposits 預付款項及按金 24 422 353 24,326 13,164 Current assets 流動資產 Trade receivables 貿易應收款項 22 31,048 30,264 Contract assets</t>
        </is>
      </c>
    </row>
    <row r="81">
      <c r="A81" s="8" t="inlineStr">
        <is>
          <t>Investment Properties</t>
        </is>
      </c>
      <c r="B81" s="8" t="inlineStr">
        <is>
          <t>投資物業</t>
        </is>
      </c>
      <c r="C81" s="17" t="inlineStr">
        <is>
          <t>high</t>
        </is>
      </c>
      <c r="D81" s="12" t="inlineStr">
        <is>
          <t>investment property</t>
        </is>
      </c>
      <c r="E81" s="12" t="inlineStr">
        <is>
          <t>PDF p.113 (印刷頁 111)</t>
        </is>
      </c>
      <c r="F81" s="12" t="inlineStr">
        <is>
          <t>ion of property, plant and 物業、廠房及設備折舊 equipment 10 456 248 Depreciation of right-of-use assets 使用權資產折舊 10 934 971 Fair value loss on investment property 投資物業的公允價值虧損 7 278 336 Finance costs 融資成本 9 206 492 Insurance charges on life insurance 人壽保單保險費 policies 10 63 70 Imputed interest income from life 人壽保單按金之推定利息 insurance policy deposits 收入 7 (270) (270) Insurance gain 保險收益 — 退保價值變動 — change in surrender values 7 (20) (12) Provision for expected credit loss, net 預期信貸虧損撥備淨額 8 957 265 Provision for long service payment 長期服務金撥備 84 4</t>
        </is>
      </c>
    </row>
    <row r="82">
      <c r="A82" s="8" t="inlineStr">
        <is>
          <t>Investment Properties</t>
        </is>
      </c>
      <c r="B82" s="8" t="inlineStr">
        <is>
          <t>投資物業</t>
        </is>
      </c>
      <c r="C82" s="17" t="inlineStr">
        <is>
          <t>high</t>
        </is>
      </c>
      <c r="D82" s="12" t="inlineStr">
        <is>
          <t>investment property</t>
        </is>
      </c>
      <c r="E82" s="12" t="inlineStr">
        <is>
          <t>PDF p.120 (印刷頁 118)</t>
        </is>
      </c>
      <c r="F82" s="12" t="inlineStr">
        <is>
          <t>e consolidated financial statements have been 綜合財務報表乃按歷史成本法編製， prepared on the historical cost basis, except for the 惟投資物業及按公允價值計入其他 investment property and financial assets at fair value 全面收益的金融資產除外，該等項 through other comprehensive income, which have been 目乃按報告期間末的公允價值計量。 measured at fair value as at the end of the reporting period. 3. ADOPTION OF NEW AND AMENDMENTS TO 3. 採納新訂及經修訂香港財務報告會 HKFRS ACCOUNTING STANDARDS 計準則 (a) Application of amendments to an HKFRS (a) 應用經修訂香港財務報告會計準則 Accounting Standard In the current year, the Grou</t>
        </is>
      </c>
    </row>
    <row r="83">
      <c r="A83" s="8" t="inlineStr">
        <is>
          <t>Investment Properties</t>
        </is>
      </c>
      <c r="B83" s="8" t="inlineStr">
        <is>
          <t>投資物業</t>
        </is>
      </c>
      <c r="C83" s="17" t="inlineStr">
        <is>
          <t>high</t>
        </is>
      </c>
      <c r="D83" s="12" t="inlineStr">
        <is>
          <t>investment property</t>
        </is>
      </c>
      <c r="E83" s="12" t="inlineStr">
        <is>
          <t>PDF p.128 (印刷頁 126)</t>
        </is>
      </c>
      <c r="F83" s="12" t="inlineStr">
        <is>
          <t>the consolidated 產生年度計入綜合損益及其他全面收益 statement of profit or loss and other comprehensive income 表。 in the year in which they arise. An investment property is derecognised upon disposal or 當一項投資物業出售時或永久撤出使用 when the investment property permanently withdrawn from 且預期其出售並無未來經濟利益時，該 use and no future economic benefits are expected from 投資物業即終止確認。投資物業終止確 its disposal. Any gains or losses on the derecognition of 認所產生之任何盈虧於終止確認期間在 an investment property are recognised in the consolidated 綜合損益及其他全面收益表內確認。 statement of profit or loss and</t>
        </is>
      </c>
    </row>
    <row r="84">
      <c r="A84" s="8" t="inlineStr">
        <is>
          <t>Investment Properties</t>
        </is>
      </c>
      <c r="B84" s="8" t="inlineStr">
        <is>
          <t>投資物業</t>
        </is>
      </c>
      <c r="C84" s="17" t="inlineStr">
        <is>
          <t>high</t>
        </is>
      </c>
      <c r="D84" s="12" t="inlineStr">
        <is>
          <t>投資物業</t>
        </is>
      </c>
      <c r="E84" s="12" t="inlineStr">
        <is>
          <t>PDF p.139 (印刷頁 137)</t>
        </is>
      </c>
      <c r="F84" s="12" t="inlineStr">
        <is>
          <t>unt of the leased asset, and such costs are recognised 準確認為開支，惟按公允價值模式計量 as an expense on a straight-line basis over the lease term 的投資物業則除外。 except for investment properties measured under fair value model. Refundable rental deposits 可退回租金按金 Refundable rental deposits received are accounted for under 已收到的可退回租金按金乃根據香港財 HKFRS 9 and initially measured at fair value. Adjustments to 務報告準則第9號進行核算，並初始按 fair value at initial recognition are considered as additional 公允價值計量。初始確認時的公允價值 lease payments from lessees. 調整視為承租人的額外租賃付款。 2026 年年</t>
        </is>
      </c>
    </row>
    <row r="85">
      <c r="A85" s="8" t="inlineStr">
        <is>
          <t>Investment Properties</t>
        </is>
      </c>
      <c r="B85" s="8" t="inlineStr">
        <is>
          <t>投資物業</t>
        </is>
      </c>
      <c r="C85" s="17" t="inlineStr">
        <is>
          <t>high</t>
        </is>
      </c>
      <c r="D85" s="12" t="inlineStr">
        <is>
          <t>投資物業</t>
        </is>
      </c>
      <c r="E85" s="12" t="inlineStr">
        <is>
          <t>PDF p.147 (印刷頁 145)</t>
        </is>
      </c>
      <c r="F85" s="12" t="inlineStr">
        <is>
          <t>ailable to allow all or part of the asset to be recovered. 的水平。 For the purposes of measuring deferred tax liabilities or 就使用公允價值模式計量投資物業的遞 deferred tax assets for investment properties that are 延稅項負債或遞延稅項資產而言，該等 measured using the fair value model, the carrying amounts 物業的賬面值假設可透過出售收回全部， of such properties are presumed to be recovered entirely 除非該假設被推翻，則另作別論。當投 through sale, unless the presumption is rebutted. The 資物業可予折舊並按目標為隨著時間（而 presumption is rebutted when the investment properties 非透過銷售）消耗投資物業包含的絕大 are depreciable and is</t>
        </is>
      </c>
    </row>
    <row r="86">
      <c r="A86" s="8" t="inlineStr">
        <is>
          <t>Investment Properties</t>
        </is>
      </c>
      <c r="B86" s="8" t="inlineStr">
        <is>
          <t>投資物業</t>
        </is>
      </c>
      <c r="C86" s="17" t="inlineStr">
        <is>
          <t>high</t>
        </is>
      </c>
      <c r="D86" s="12" t="inlineStr">
        <is>
          <t>investment property</t>
        </is>
      </c>
      <c r="E86" s="12" t="inlineStr">
        <is>
          <t>PDF p.149 (印刷頁 147)</t>
        </is>
      </c>
      <c r="F86" s="12" t="inlineStr">
        <is>
          <t>he most significant effect 已確認金額的影響最為重大。 on the amounts recognised in the consolidated financial statement. (i) Deferred taxation on investment property (i) 投資物業之遞延稅項 For the purposes of measuring deferred tax arising 就計量投資物業產生的按香港會 from investment properties that are measured using the 計準則第40號「投資物業」公允價值 fair value model in HKAS 40 Investment Property, the 模式計量的遞延稅項而言，本公司 directors of the Company have reviewed the Group’s 董事已審閱本集團的投資物業，並 investment property and concluded that the Group’s 認為本集團投資物業並非以隨時間 investment property is n</t>
        </is>
      </c>
    </row>
    <row r="87">
      <c r="A87" s="8" t="inlineStr">
        <is>
          <t>Investment Properties</t>
        </is>
      </c>
      <c r="B87" s="8" t="inlineStr">
        <is>
          <t>投資物業</t>
        </is>
      </c>
      <c r="C87" s="17" t="inlineStr">
        <is>
          <t>high</t>
        </is>
      </c>
      <c r="D87" s="12" t="inlineStr">
        <is>
          <t>investment property</t>
        </is>
      </c>
      <c r="E87" s="12" t="inlineStr">
        <is>
          <t>PDF p.152 (印刷頁 150)</t>
        </is>
      </c>
      <c r="F87" s="12" t="inlineStr">
        <is>
          <t>S 5. 重大會計判斷及估計（續） AND ESTIMATES (Continued) Key sources of estimation uncertainty (Continued) 估計不明朗因素的主要來源（續） (ii) Fair value of the investment property (ii) 投資物業之公允價值 At the end of the reporting period, the investment 於報告期間末，投資物業根據獨立 property is stated at fair value based on the valuation 合資格專業估值師行作出的估值按 performed by a firm of independent qualified professional 公允價值列賬。釐定公允價值時， valuers. In determining the fair value, the valuers have 估值師所依據的估值方法（載於附 based on a method of valuation which involves certain 註17）涉及若干的市況估計。本公司 estimat</t>
        </is>
      </c>
    </row>
    <row r="88">
      <c r="A88" s="8" t="inlineStr">
        <is>
          <t>Investment Properties</t>
        </is>
      </c>
      <c r="B88" s="8" t="inlineStr">
        <is>
          <t>投資物業</t>
        </is>
      </c>
      <c r="C88" s="17" t="inlineStr">
        <is>
          <t>high</t>
        </is>
      </c>
      <c r="D88" s="12" t="inlineStr">
        <is>
          <t>investment property</t>
        </is>
      </c>
      <c r="E88" s="12" t="inlineStr">
        <is>
          <t>PDF p.155 (印刷頁 153)</t>
        </is>
      </c>
      <c r="F88" s="12" t="inlineStr">
        <is>
          <t>千港元 As at 31 March 2026 於2026年3月31日 Property, plant and equipment 物業、廠房及設備 4,656 53 4,709 Right-of-use assets 使用權資產 4,289 325 4,614 Investment property 投資物業 3,670 — 3,670 Intangible assets 無形資產 765 — 765 13,380 378 13,758 As at 31 March 2025 於2025年3月31日 Property, plant and equipment 物業、廠房及設備 754 47 801 Right-of-use assets 使用權資產 504 436 940 Investment property 投資物業 3,948 — 3,948 Intangible assets 無形資產 764 — 764 5,970 483 6,453 2026 年年報 • 金葉國際集團有限公司 153</t>
        </is>
      </c>
    </row>
    <row r="89">
      <c r="A89" s="8" t="inlineStr">
        <is>
          <t>Investment Properties</t>
        </is>
      </c>
      <c r="B89" s="8" t="inlineStr">
        <is>
          <t>投資物業</t>
        </is>
      </c>
      <c r="C89" s="17" t="inlineStr">
        <is>
          <t>high</t>
        </is>
      </c>
      <c r="D89" s="12" t="inlineStr">
        <is>
          <t>investment property</t>
        </is>
      </c>
      <c r="E89" s="12" t="inlineStr">
        <is>
          <t>PDF p.159 (印刷頁 157)</t>
        </is>
      </c>
      <c r="F89" s="12" t="inlineStr">
        <is>
          <t>ies (Note) 政府補貼（附註） 348 120 1,098 869 Other gains or losses, net 其他收益或虧損淨額 Exchange gain/(loss) 匯兌收益╱（虧損） 44 (29) Fair value loss on investment property 投資物業的公允價值虧損 (Note 17) （附註17） (278) (336) Insurance gain — change in surrender 保險收益 — 退保價值變動 values 20 12 (214) (353) 884 516 Note: 附註： During the year ended 31 March 2026, the government subsidies 截至2026年3月31日止年度，政府補助指：(i) represent (i) subsidies for staff costs according to the Construction 根據建造業創新及科技基金發放的員工成本 Innovation and Technology Fund in amounting to approximately 補貼約25,</t>
        </is>
      </c>
    </row>
    <row r="90">
      <c r="A90" s="8" t="inlineStr">
        <is>
          <t>Investment Properties</t>
        </is>
      </c>
      <c r="B90" s="8" t="inlineStr">
        <is>
          <t>投資物業</t>
        </is>
      </c>
      <c r="C90" s="17" t="inlineStr">
        <is>
          <t>high</t>
        </is>
      </c>
      <c r="D90" s="12" t="inlineStr">
        <is>
          <t>investment property</t>
        </is>
      </c>
      <c r="E90" s="12" t="inlineStr">
        <is>
          <t>PDF p.161 (印刷頁 159)</t>
        </is>
      </c>
      <c r="F90" s="12" t="inlineStr">
        <is>
          <t>業、廠房及設備折舊 equipment 456 248 Depreciation of right-of-use assets 使用權資產折舊 934 971 Direct operating expenses arising from 年內產生租金收入的投資物業 investment property that generated 所產生的直接營運開支 rental income during the year 43 43 Expenses relating to short-term leases 短期租賃相關開支 34 34 Insurance charges on life insurance 人壽保單保險費 policies 63 70 Listing expenses 上市開支 9,524 1,407 Sub-contracting fees included in costs 計入服務成本的分包費 of services 84,648 80,552 2026 年年報 • 金葉國際集團有限公司 159</t>
        </is>
      </c>
    </row>
    <row r="91">
      <c r="A91" s="8" t="inlineStr">
        <is>
          <t>Investment Properties</t>
        </is>
      </c>
      <c r="B91" s="8" t="inlineStr">
        <is>
          <t>投資物業</t>
        </is>
      </c>
      <c r="C91" s="17" t="inlineStr">
        <is>
          <t>high</t>
        </is>
      </c>
      <c r="D91" s="12" t="inlineStr">
        <is>
          <t>investment property</t>
        </is>
      </c>
      <c r="E91" s="12" t="inlineStr">
        <is>
          <t>PDF p.172 (印刷頁 170)</t>
        </is>
      </c>
      <c r="F91" s="12" t="inlineStr">
        <is>
          <t>NOTES TO THE CONSOLIDATED FINANCIAL STATEMENTS 綜合財務報表附註 For the year ended 31 March 2026 截至2026年3月31日止年度 17. INVESTMENT PROPERTY 17. 投資物業 The Group’s property interest held to earn rentals or for 本集團持作賺取租金或資本增值用途的 capital appreciation purposes is measured using the fair value 物業權益，使用公允價值模型計量，並 model and are classified and accounted for as investment 被分類及入賬為投資物業。於過往年度 property. Movement during the years is shown as follow: 的變動如下： 2026 2025 2026年 2025年 HK$’000 HK$’000 千港元 千港元 Fair value: 公允價值： At beginning</t>
        </is>
      </c>
    </row>
    <row r="92">
      <c r="A92" s="8" t="inlineStr">
        <is>
          <t>Investment Properties</t>
        </is>
      </c>
      <c r="B92" s="8" t="inlineStr">
        <is>
          <t>投資物業</t>
        </is>
      </c>
      <c r="C92" s="17" t="inlineStr">
        <is>
          <t>high</t>
        </is>
      </c>
      <c r="D92" s="12" t="inlineStr">
        <is>
          <t>investment property</t>
        </is>
      </c>
      <c r="E92" s="12" t="inlineStr">
        <is>
          <t>PDF p.173 (印刷頁 171)</t>
        </is>
      </c>
      <c r="F92" s="12" t="inlineStr">
        <is>
          <t>NOTES TO THE CONSOLIDATED FINANCIAL STATEMENTS 綜合財務報表附註 For the year ended 31 March 2026 截至2026年3月31日止年度 17. INVESTMENT PROPERTY (Continued) 17. 投資物業（續） Fair value measurement of the Group’s investment 本集團投資物業的公允價值計量（續） property (Continued) The fair values of investment property were estimated using 投資物業的公允價值乃採用市場比較法 market comparison approach. Fair values are based on 進行估計。公允價值乃基於近期同類物 prices for recent market transaction in similar properties 業之市場交易價格而得出，並就本集團 with significant adjustments for differenc</t>
        </is>
      </c>
    </row>
    <row r="93">
      <c r="A93" s="8" t="inlineStr">
        <is>
          <t>Investment Properties</t>
        </is>
      </c>
      <c r="B93" s="8" t="inlineStr">
        <is>
          <t>投資物業</t>
        </is>
      </c>
      <c r="C93" s="17" t="inlineStr">
        <is>
          <t>high</t>
        </is>
      </c>
      <c r="D93" s="12" t="inlineStr">
        <is>
          <t>investment property</t>
        </is>
      </c>
      <c r="E93" s="12" t="inlineStr">
        <is>
          <t>PDF p.195 (印刷頁 193)</t>
        </is>
      </c>
      <c r="F93" s="12" t="inlineStr">
        <is>
          <t>ear ended 31 March 2026 截至2026年3月31日止年度 34. OPERATING LEASE COMMITMENTS 34. 經營租賃承擔 The Group as lessor 本集團作為出租人 The Group leases its investment property (Note 17) under 本集團根據經營租賃安排出租其投資物 operating lease arrangements, with leases negotiated for 業（附註17），經協商的租期為四年。於 terms of four years. At the end of each reporting period, the 各報告期間末，本集團已與承租人就以 Group had contracted with tenant for the following future 下未來未貼現最低租金訂立合約： minimum undiscounted lease payments: 2026 2025 2026年 2025年 HK$’000 HK$’000 千港元 千港元 Within one year 一年內 240 140 Over</t>
        </is>
      </c>
    </row>
    <row r="94">
      <c r="A94" s="8" t="inlineStr">
        <is>
          <t>ESG Data</t>
        </is>
      </c>
      <c r="B94" s="8" t="inlineStr">
        <is>
          <t>環境社會及管治數據</t>
        </is>
      </c>
      <c r="C94" s="8" t="inlineStr">
        <is>
          <t>medium</t>
        </is>
      </c>
      <c r="D94" s="12" t="inlineStr">
        <is>
          <t>環境、社會及管治</t>
        </is>
      </c>
      <c r="E94" s="12" t="inlineStr">
        <is>
          <t>PDF p.3</t>
        </is>
      </c>
      <c r="F94" s="12" t="inlineStr">
        <is>
          <t>ment 22 董事及高級管理層 Corporate Governance Report 29 企業管治報告 Report of the Directors 59 董事會報告 Environment, Social and Governance Report 80 環境、社會及管治報告 Independent Auditor’s Report 98 獨立核數師報告 Consolidated Statement of Profit or Loss and Other 107 Comprehensive Income 綜合損益及其他全面收益表 Consolidated Statement of Financial Position 108 綜合財務狀況表 110 Consolidated Statement of Changes in Equity 綜合權益變動表 111 Consolidated Statement of Cash Flows 綜合現金流量表 113 Notes to the Consolidated Financial Statements 綜合財務報表附註 220 Financial Summary 財務概要 221 Definit</t>
        </is>
      </c>
    </row>
    <row r="95">
      <c r="A95" s="8" t="inlineStr">
        <is>
          <t>ESG Data</t>
        </is>
      </c>
      <c r="B95" s="8" t="inlineStr">
        <is>
          <t>環境社會及管治數據</t>
        </is>
      </c>
      <c r="C95" s="8" t="inlineStr">
        <is>
          <t>medium</t>
        </is>
      </c>
      <c r="D95" s="12" t="inlineStr">
        <is>
          <t>可持續</t>
        </is>
      </c>
      <c r="E95" s="12" t="inlineStr">
        <is>
          <t>PDF p.9 (印刷頁 07)</t>
        </is>
      </c>
      <c r="F95" s="12" t="inlineStr">
        <is>
          <t>, risk management, financial 內部控制、風險管理、財務紀律及合規文化， discipline, and foster a culture of compliance to ensure that business 確保業務發展建立於穩健及可持續的基礎 development is built on a sound and sustainable basis. We fully recognize 之上。我們深明，上市公司不僅要追求業務 that a listed company must not only pursue business growth but also 增長，更要在透明度、問責性及長遠治理方 maintain high standards of transparency, accountability, and long-term 面維持高標準。董事會將繼續履行監督職責， governance. The Board will continue to fulfill its supervisory duties to 確保本集團在把握市場機遇的同時，審慎管 ensure the Group prudently</t>
        </is>
      </c>
    </row>
    <row r="96">
      <c r="A96" s="8" t="inlineStr">
        <is>
          <t>ESG Data</t>
        </is>
      </c>
      <c r="B96" s="8" t="inlineStr">
        <is>
          <t>環境社會及管治數據</t>
        </is>
      </c>
      <c r="C96" s="8" t="inlineStr">
        <is>
          <t>medium</t>
        </is>
      </c>
      <c r="D96" s="12" t="inlineStr">
        <is>
          <t>可持續</t>
        </is>
      </c>
      <c r="E96" s="12" t="inlineStr">
        <is>
          <t>PDF p.10 (印刷頁 08)</t>
        </is>
      </c>
      <c r="F96" s="12" t="inlineStr">
        <is>
          <t>will be able to move forward 後的新階段穩步前行，為股東、客戶、員工 steadily in the new phase following its listing, creating long-term and 及其他持份者創造長遠而可持續的價值。 sustainable value for Shareholders, customers, employees and other stakeholders. Lastly, on behalf of the Board, I would like to once again express our 最後，本人謹代表董事會再次感謝各位股東 gratitude to the Shareholders for their trust, to customers and business 的信任、客戶及業務夥伴的支持，以及全體 partners for their support, and to all employees for their hard work and 員工於過去一年所作出的努力和貢獻。未來， contributions over the past year.</t>
        </is>
      </c>
    </row>
    <row r="97">
      <c r="A97" s="8" t="inlineStr">
        <is>
          <t>ESG Data</t>
        </is>
      </c>
      <c r="B97" s="8" t="inlineStr">
        <is>
          <t>環境社會及管治數據</t>
        </is>
      </c>
      <c r="C97" s="8" t="inlineStr">
        <is>
          <t>medium</t>
        </is>
      </c>
      <c r="D97" s="12" t="inlineStr">
        <is>
          <t>可持續</t>
        </is>
      </c>
      <c r="E97" s="12" t="inlineStr">
        <is>
          <t>PDF p.11 (印刷頁 09)</t>
        </is>
      </c>
      <c r="F97" s="12" t="inlineStr">
        <is>
          <t>The Board considers that these strategic 提升本集團的營運效率、企業管治標準及競 investments will enhance the Group’s operational efficiency, 爭力，為本集團的長期可持續增長奠定基礎。 corporate governance standards and competitiveness, positioning the Group for sustainable long-term growth. 2026 年年報 • 金葉國際集團有限公司 09</t>
        </is>
      </c>
    </row>
    <row r="98">
      <c r="A98" s="8" t="inlineStr">
        <is>
          <t>ESG Data</t>
        </is>
      </c>
      <c r="B98" s="8" t="inlineStr">
        <is>
          <t>環境社會及管治數據</t>
        </is>
      </c>
      <c r="C98" s="8" t="inlineStr">
        <is>
          <t>medium</t>
        </is>
      </c>
      <c r="D98" s="12" t="inlineStr">
        <is>
          <t>energy consumption</t>
        </is>
      </c>
      <c r="E98" s="12" t="inlineStr">
        <is>
          <t>PDF p.12 (印刷頁 10)</t>
        </is>
      </c>
      <c r="F98" s="12" t="inlineStr">
        <is>
          <t>tionality, operational 源效率（如能源消耗數據）進行測試，並為客 efficiency (such as cooling capacity) and energy efficiency (such 戶準備建議書，闡明我們的分析結果，並列 as energy consumption data) and prepare proposals to our 出我們有關量化每年可節省的能源建議，通 customers highlighting our findings with analysis and setting out 過該等建議，我們的客戶可以提高其運行效 our proposal with quantification of annual energy saving, through 率，減少能源消耗，從而實現更佳可持續發 which our customers can enhance its operational efficiency and 展。 reduce energy consumption to achieve better sustainability. 10 GOLDEN LEAF INTERNATIONAL</t>
        </is>
      </c>
    </row>
    <row r="99">
      <c r="A99" s="8" t="inlineStr">
        <is>
          <t>ESG Data</t>
        </is>
      </c>
      <c r="B99" s="8" t="inlineStr">
        <is>
          <t>環境社會及管治數據</t>
        </is>
      </c>
      <c r="C99" s="8" t="inlineStr">
        <is>
          <t>medium</t>
        </is>
      </c>
      <c r="D99" s="12" t="inlineStr">
        <is>
          <t>sustainability</t>
        </is>
      </c>
      <c r="E99" s="12" t="inlineStr">
        <is>
          <t>PDF p.15 (印刷頁 13)</t>
        </is>
      </c>
      <c r="F99" s="12" t="inlineStr">
        <is>
          <t>升了本集團業務模式的韌性及可持續性。 diversified customer and property exposure reduces reliance on any single sector and enhances the resilience and sustainability of the Group’s business model. 2026 年年報 • 金葉國際集團有限公司 13</t>
        </is>
      </c>
    </row>
    <row r="100">
      <c r="A100" s="8" t="inlineStr">
        <is>
          <t>ESG Data</t>
        </is>
      </c>
      <c r="B100" s="8" t="inlineStr">
        <is>
          <t>環境社會及管治數據</t>
        </is>
      </c>
      <c r="C100" s="8" t="inlineStr">
        <is>
          <t>medium</t>
        </is>
      </c>
      <c r="D100" s="12" t="inlineStr">
        <is>
          <t>可持續</t>
        </is>
      </c>
      <c r="E100" s="12" t="inlineStr">
        <is>
          <t>PDF p.23 (印刷頁 21)</t>
        </is>
      </c>
      <c r="F100" s="12" t="inlineStr">
        <is>
          <t>nvironment while delivering long-term and 持續的建築環境，同時為客戶、員工、股東 sustainable value to customers, employees, shareholders and 及其他持份者創造長遠及可持續的價值。儘 other stakeholders. While market conditions remain challenging, 管市場環境依然嚴峻，本集團對其未來前景 the Group remains cautiously optimistic about its future prospects 及可持續增長機遇仍保持審慎樂觀。 and sustainable growth opportunities. 2026 年年報 • 金葉國際集團有限公司 21</t>
        </is>
      </c>
    </row>
    <row r="101">
      <c r="A101" s="8" t="inlineStr">
        <is>
          <t>ESG Data</t>
        </is>
      </c>
      <c r="B101" s="8" t="inlineStr">
        <is>
          <t>環境社會及管治數據</t>
        </is>
      </c>
      <c r="C101" s="8" t="inlineStr">
        <is>
          <t>medium</t>
        </is>
      </c>
      <c r="D101" s="12" t="inlineStr">
        <is>
          <t>sustainability</t>
        </is>
      </c>
      <c r="E101" s="12" t="inlineStr">
        <is>
          <t>PDF p.26 (印刷頁 24)</t>
        </is>
      </c>
      <c r="F101" s="12" t="inlineStr">
        <is>
          <t>ity of South Australia)商務學士學位。 member of CPA Australia since December 2010. Ms. TK Ip has 彼自2010年12月起亦為澳洲會計師公會會員。 also completed the Sustainability Leadership Training Programme 葉芷筠女士於2024年9月亦完成了中小企可 in September 2024 organised by the SME Sustainability Society 持續發展學會及香港中文大學商學院商業可 and the Centre of Business Sustainability of the Business School 持續發展中心舉辦的可持續發展領袖訓練課。 of The Chinese University of Hong Kong. 24 GOLDEN LEAF INTERNATIONAL GROUP LIMITED • Annual Report 2026</t>
        </is>
      </c>
    </row>
    <row r="102">
      <c r="A102" s="8" t="inlineStr">
        <is>
          <t>ESG Data</t>
        </is>
      </c>
      <c r="B102" s="8" t="inlineStr">
        <is>
          <t>環境社會及管治數據</t>
        </is>
      </c>
      <c r="C102" s="8" t="inlineStr">
        <is>
          <t>medium</t>
        </is>
      </c>
      <c r="D102" s="12" t="inlineStr">
        <is>
          <t>carbon</t>
        </is>
      </c>
      <c r="E102" s="12" t="inlineStr">
        <is>
          <t>PDF p.28 (印刷頁 26)</t>
        </is>
      </c>
      <c r="F102" s="12" t="inlineStr">
        <is>
          <t>mmittee and the remuneration committee. Mr. Cheung is currently the treasurer and management team 張先生現為亞碳智匯（一家致力於在亞洲及 member of Asia Carbon Institute, a non-profit organisation 其他地區促進可持續氣候行動的非營利組織， dedicated to fostering sustainable climate action throughout Asia 專注於制定及實施應對亞洲獨特環境挑戰 and beyond, focusing on development and implementation of 及機遇的氣候變化倡議及定製解決方案）的 climate position initiatives and bespoke solutions that address 財務主管及管理團隊成員。 Asia’s unique environmental challenges and opportunities. Mr. Cheung has over 30 years of exper</t>
        </is>
      </c>
    </row>
    <row r="103">
      <c r="A103" s="8" t="inlineStr">
        <is>
          <t>ESG Data</t>
        </is>
      </c>
      <c r="B103" s="8" t="inlineStr">
        <is>
          <t>環境社會及管治數據</t>
        </is>
      </c>
      <c r="C103" s="8" t="inlineStr">
        <is>
          <t>medium</t>
        </is>
      </c>
      <c r="D103" s="12" t="inlineStr">
        <is>
          <t>可持續</t>
        </is>
      </c>
      <c r="E103" s="12" t="inlineStr">
        <is>
          <t>PDF p.31 (印刷頁 29)</t>
        </is>
      </c>
      <c r="F103" s="12" t="inlineStr">
        <is>
          <t>By integrating deep engineering expertise with 與先進及引領未來的技術相融合，本公司可 advanced, future-ready technologies, the Company delivers 交付安全、智能和可持續的項目。 projects that are safe, smart, and sustainable. 2026 年年報 • 金葉國際集團有限公司 29</t>
        </is>
      </c>
    </row>
    <row r="104">
      <c r="A104" s="8" t="inlineStr">
        <is>
          <t>ESG Data</t>
        </is>
      </c>
      <c r="B104" s="8" t="inlineStr">
        <is>
          <t>環境社會及管治數據</t>
        </is>
      </c>
      <c r="C104" s="8" t="inlineStr">
        <is>
          <t>medium</t>
        </is>
      </c>
      <c r="D104" s="12" t="inlineStr">
        <is>
          <t>環境、社會及管治</t>
        </is>
      </c>
      <c r="E104" s="12" t="inlineStr">
        <is>
          <t>PDF p.42 (印刷頁 40)</t>
        </is>
      </c>
      <c r="F104" s="12" t="inlineStr">
        <is>
          <t>io of the Group, please refer to the disclosure 的更多詳情，請參閱本年度報告第80至97頁 in the environmental, social and governance report of the 所載本公司環境、社會及管治報告內的披露。 Company as set out on pages 80 to 97 of this annual report. 本公司招聘及挽留人才的方法為聘請多元化 The Company’s approach for talent recruitment and retention 的團隊，共同努力並鼓勵僱員的差異及個性， is to employ a diverse team that works together collaboratively 尊重平等機會及多元化。儘管如此，為提高 and encourage differences and individuality in employees with 效率，我們尚未制訂在僱員層面實現性別多 respect to equal opportunities, diversity and anti-discri</t>
        </is>
      </c>
    </row>
    <row r="105">
      <c r="A105" s="8" t="inlineStr">
        <is>
          <t>ESG Data</t>
        </is>
      </c>
      <c r="B105" s="8" t="inlineStr">
        <is>
          <t>環境社會及管治數據</t>
        </is>
      </c>
      <c r="C105" s="8" t="inlineStr">
        <is>
          <t>medium</t>
        </is>
      </c>
      <c r="D105" s="12" t="inlineStr">
        <is>
          <t>可持續</t>
        </is>
      </c>
      <c r="E105" s="12" t="inlineStr">
        <is>
          <t>PDF p.49 (印刷頁 47)</t>
        </is>
      </c>
      <c r="F105" s="12" t="inlineStr">
        <is>
          <t>dates to the Board based on the then-current and 預期未來領導需要向董事會提名合適人 anticipated future leadership needs of the Company, with a 選以實現本公司可持續平衡發展。 view to achieving a sustainable and balanced development of the Company. 2026 年年報 • 金葉國際集團有限公司 47</t>
        </is>
      </c>
    </row>
    <row r="106">
      <c r="A106" s="8" t="inlineStr">
        <is>
          <t>ESG Data</t>
        </is>
      </c>
      <c r="B106" s="8" t="inlineStr">
        <is>
          <t>環境社會及管治數據</t>
        </is>
      </c>
      <c r="C106" s="8" t="inlineStr">
        <is>
          <t>medium</t>
        </is>
      </c>
      <c r="D106" s="12" t="inlineStr">
        <is>
          <t>ESG</t>
        </is>
      </c>
      <c r="E106" s="12" t="inlineStr">
        <is>
          <t>PDF p.54 (印刷頁 52)</t>
        </is>
      </c>
      <c r="F106" s="12" t="inlineStr">
        <is>
          <t>如適用）相關的資源、員工資格與經驗、培 issuer’s accounting, internal audit, financial reporting functions, 訓計劃及預算均屬足夠。 as well as those relating to the ESG performance and reporting, where applicable, are adequate. MAJOR RISKS OF THE GROUP 本集團的主要風險 The Board is responsible for the Company’s risk identification 董事會負責本公司的風險識別及管理程序。 and management process. In accordance with the Corporate 根據企業管治守則，董事會已審閱本集團所 Governance Code, the Board has reviewed the Group’s risk 面臨的風險，並信納內部控制系統屬有效及 exposure and is satisfied that the internal control systems are 足夠</t>
        </is>
      </c>
    </row>
    <row r="107">
      <c r="A107" s="8" t="inlineStr">
        <is>
          <t>ESG Data</t>
        </is>
      </c>
      <c r="B107" s="8" t="inlineStr">
        <is>
          <t>環境社會及管治數據</t>
        </is>
      </c>
      <c r="C107" s="8" t="inlineStr">
        <is>
          <t>medium</t>
        </is>
      </c>
      <c r="D107" s="12" t="inlineStr">
        <is>
          <t>環境、社會及管治</t>
        </is>
      </c>
      <c r="E107" s="12" t="inlineStr">
        <is>
          <t>PDF p.65 (印刷頁 63)</t>
        </is>
      </c>
      <c r="F107" s="12" t="inlineStr">
        <is>
          <t>REPORT OF THE DIRECTORS 董事會報告 ENVIRONMENTAL, SOCIAL AND 環境、社會及管治政策與表現 GOVERNANCE POLICIES AND PERFORMANCE Details of the environmental, social and governance policies and 本集團的環境、社會及管治政策與表現詳情 performance of the Group are set out in the Environmental, Social 載於本年度報告第80至97頁的環境、社會及 and Governance Report on pages 80 to 97 of this annual report. 管治報告。 COMPLIANCE WITH THE RELEVANT 遵守對本集團有重大影響的相 LAWS AND REGULATIONS THAT HAVE 關法律法規 A SIGNIFICANT IMPACT ON THE</t>
        </is>
      </c>
    </row>
    <row r="108">
      <c r="A108" s="8" t="inlineStr">
        <is>
          <t>ESG Data</t>
        </is>
      </c>
      <c r="B108" s="8" t="inlineStr">
        <is>
          <t>環境社會及管治數據</t>
        </is>
      </c>
      <c r="C108" s="8" t="inlineStr">
        <is>
          <t>medium</t>
        </is>
      </c>
      <c r="D108" s="12" t="inlineStr">
        <is>
          <t>ESG</t>
        </is>
      </c>
      <c r="E108" s="12" t="inlineStr">
        <is>
          <t>PDF p.82 (印刷頁 80)</t>
        </is>
      </c>
      <c r="F108" s="12" t="inlineStr">
        <is>
          <t>, together with its subsidiaries, 屬公司統稱「本集團」）董事會（「董事會」）欣然 the “Group”) is pleased to present this Environmental, Social 提呈本環境、社會及管治（「ESG」）報告（「報 and Governance (“ESG”) Report (the “Report”). This Report sets 告」）。本報告載列本集團的可持續發展措施， out the Group’s sustainability initiatives and has been prepared 並根據香港聯合交易所有限公司證券上市規 in accordance with the ESG Reporting Guide contained in 則附錄C2所載的《環境、社會及管治報告指 Appendix C2 to the Rules Governing the Listing of Securities on 引》編製。報告涵蓋本集團於2025年4月1日 The Stock Exchange of Hong Kong Limited. It covers the</t>
        </is>
      </c>
    </row>
    <row r="109">
      <c r="A109" s="8" t="inlineStr">
        <is>
          <t>ESG Data</t>
        </is>
      </c>
      <c r="B109" s="8" t="inlineStr">
        <is>
          <t>環境社會及管治數據</t>
        </is>
      </c>
      <c r="C109" s="8" t="inlineStr">
        <is>
          <t>medium</t>
        </is>
      </c>
      <c r="D109" s="12" t="inlineStr">
        <is>
          <t>ESG</t>
        </is>
      </c>
      <c r="E109" s="12" t="inlineStr">
        <is>
          <t>PDF p.83 (印刷頁 81)</t>
        </is>
      </c>
      <c r="F109" s="12" t="inlineStr">
        <is>
          <t>IRONMENT, SOCIAL AND GOVERNANCE REPORT 環境、社會及管治報告 • Managing the Group’s adaptation to climate change; ‧ 管理本集團對氣候變化的適應； • Collecting ESG data across operations for reporting ‧ 收集各營運部門的ESG數據，以供報告 purposes; and 之用；及 • Monitoring the implementation of measures to address ‧ 監控應對ESG相關風險措施的實施情況。 ESG-related risks. Under the direct supervision of the Board, the ESG Working 在董事會的直接監督下，ESG工作小組每年 Group reports annually on the Group’s ESG performance. This 報告本集團的ESG表現。此管治架構強調本 governance framework underscores the Group’s dedication to 集團致</t>
        </is>
      </c>
    </row>
    <row r="110">
      <c r="A110" s="8" t="inlineStr">
        <is>
          <t>ESG Data</t>
        </is>
      </c>
      <c r="B110" s="8" t="inlineStr">
        <is>
          <t>環境社會及管治數據</t>
        </is>
      </c>
      <c r="C110" s="8" t="inlineStr">
        <is>
          <t>medium</t>
        </is>
      </c>
      <c r="D110" s="12" t="inlineStr">
        <is>
          <t>ESG</t>
        </is>
      </c>
      <c r="E110" s="12" t="inlineStr">
        <is>
          <t>PDF p.84 (印刷頁 82)</t>
        </is>
      </c>
      <c r="F110" s="12" t="inlineStr">
        <is>
          <t>ssessment. Stakeholder input is 發展的挑戰。我們透過調查、訪談及與營運 gathered via surveys, interviews, and engagement with operating 部門的互動收集持分者的意見，以識別ESG functions to identify ESG issues and material risks, including 議題及重大風險，包括策略、營運、財務、 strategic, operational, financial, reporting, and compliance risks. 報告及合規風險。該等風險會根據其重要性 These risks are evaluated and prioritized based on significance 及影響進行評估及排序，並根據驗證結果制 and impact, with validated findings guiding the formulation 定策略、目標及衡量標準。然後制定適當的 of strategies, goals, and metrics. Appropriate internal contr</t>
        </is>
      </c>
    </row>
    <row r="111">
      <c r="A111" s="8" t="inlineStr">
        <is>
          <t>ESG Data</t>
        </is>
      </c>
      <c r="B111" s="8" t="inlineStr">
        <is>
          <t>環境社會及管治數據</t>
        </is>
      </c>
      <c r="C111" s="8" t="inlineStr">
        <is>
          <t>medium</t>
        </is>
      </c>
      <c r="D111" s="12" t="inlineStr">
        <is>
          <t>scope 1</t>
        </is>
      </c>
      <c r="E111" s="12" t="inlineStr">
        <is>
          <t>PDF p.85 (印刷頁 83)</t>
        </is>
      </c>
      <c r="F111" s="12" t="inlineStr">
        <is>
          <t>ate significant emissions or heavy pollution. Greenhouse 營運中的溫室氣體（「GHG」）排放包括範圍1 gas (“GHG”) emissions in daily operations consist of scope 1 車輛使用的直接排放及範圍2購買電力的間 direct emissions from vehicle use and scope 2 indirect emissions 接排放，及範圍3第6類航空商務旅行。本集 from purchased electricity as well as scope 3 category 6 business 團嚴格遵守當地的環保標準，並已建立ISO air travel. The Group rigorously complies with local environmental 14001：2015認證的環境管理系統，以提高 standards and has established an ISO 14001:2015 certified 環保意識及防止所承接項目對環境造成污染。 environmental management syst</t>
        </is>
      </c>
    </row>
    <row r="112">
      <c r="A112" s="8" t="inlineStr">
        <is>
          <t>ESG Data</t>
        </is>
      </c>
      <c r="B112" s="8" t="inlineStr">
        <is>
          <t>環境社會及管治數據</t>
        </is>
      </c>
      <c r="C112" s="8" t="inlineStr">
        <is>
          <t>medium</t>
        </is>
      </c>
      <c r="D112" s="12" t="inlineStr">
        <is>
          <t>greenhouse gas</t>
        </is>
      </c>
      <c r="E112" s="12" t="inlineStr">
        <is>
          <t>PDF p.86 (印刷頁 84)</t>
        </is>
      </c>
      <c r="F112" s="12" t="inlineStr">
        <is>
          <t>ased method 1. 就計算範圍3而言，我們採用基於距離的方 as it is the most cost-effective method. 法，因為這是最具成本效益的方法。 2. Our disclosures on air emissions and greenhouse gas (GHG) 2. 我們關於氣體排放及溫室氣體（「GHG」）排放 emissions have been prepared in accordance with the requirements 的披露，已根據香港聯合交易所有限公司刊 set out in “How to Prepare an ESG Report” published by The Stock 發的《環境、社會及管治報告指引》、世界資 Exchange of Hong Kong Limited, the “GHG Protocol: Corporate 源研究所（WRI）與世界可持續發展工商理事 Accounting and Reporting Standard (Revised Edition)” jointly 會（WBCSD）聯合刊發的《溫室氣體核算體系： published by th</t>
        </is>
      </c>
    </row>
    <row r="113">
      <c r="A113" s="8" t="inlineStr">
        <is>
          <t>ESG Data</t>
        </is>
      </c>
      <c r="B113" s="8" t="inlineStr">
        <is>
          <t>環境社會及管治數據</t>
        </is>
      </c>
      <c r="C113" s="8" t="inlineStr">
        <is>
          <t>medium</t>
        </is>
      </c>
      <c r="D113" s="12" t="inlineStr">
        <is>
          <t>環境、社會及管治</t>
        </is>
      </c>
      <c r="E113" s="12" t="inlineStr">
        <is>
          <t>PDF p.87 (印刷頁 85)</t>
        </is>
      </c>
      <c r="F113" s="12" t="inlineStr">
        <is>
          <t>ENVIRONMENT, SOCIAL AND GOVERNANCE REPORT 環境、社會及管治報告 To minimise non-hazardous waste generation, the Group 為將產生的無害廢棄物減至最低，本集團鼓 encourages the implementation of the 4R environmental 勵實施4R環境管理模式（廢棄物減量、廢棄 management model (waste reduction, waste utilisation, recycling, 物利用、廢棄物回收及廢棄物替換），並採 and replacement) and promotes a green culture by adopting the 取以下措施推廣綠色文化： following measures: • Recycling used paper in offices ‧ 辦公室廢紙回收 • Using double-s</t>
        </is>
      </c>
    </row>
    <row r="114">
      <c r="A114" s="8" t="inlineStr">
        <is>
          <t>ESG Data</t>
        </is>
      </c>
      <c r="B114" s="8" t="inlineStr">
        <is>
          <t>環境社會及管治數據</t>
        </is>
      </c>
      <c r="C114" s="8" t="inlineStr">
        <is>
          <t>medium</t>
        </is>
      </c>
      <c r="D114" s="12" t="inlineStr">
        <is>
          <t>energy consumption</t>
        </is>
      </c>
      <c r="E114" s="12" t="inlineStr">
        <is>
          <t>PDF p.88 (印刷頁 86)</t>
        </is>
      </c>
      <c r="F114" s="12" t="inlineStr">
        <is>
          <t>ENVIRONMENT, SOCIAL AND GOVERNANCE REPORT 環境、社會及管治報告 Use of Resources 資源使用 Energy Consumption 能源消耗 In our operations, the Group utilizes several key resources to 在我們的營運過程中，本集團使用多種主要 ensure efficiency and sustainability. Direct energy consumption 資源以確保效率及可持續性。直接能源消耗 mainly includes unleaded petrol used by vehicles, while indirect 主要包括車輛使用的無鉛汽油，而間接能源 energy consumption arises from purchased electricity. As 消耗則來自購買的電力。由於客戶需承擔工 customers bear the cost of energy used on-site,</t>
        </is>
      </c>
    </row>
    <row r="115">
      <c r="A115" s="8" t="inlineStr">
        <is>
          <t>ESG Data</t>
        </is>
      </c>
      <c r="B115" s="8" t="inlineStr">
        <is>
          <t>環境社會及管治數據</t>
        </is>
      </c>
      <c r="C115" s="8" t="inlineStr">
        <is>
          <t>medium</t>
        </is>
      </c>
      <c r="D115" s="12" t="inlineStr">
        <is>
          <t>環境、社會及管治</t>
        </is>
      </c>
      <c r="E115" s="12" t="inlineStr">
        <is>
          <t>PDF p.89 (印刷頁 87)</t>
        </is>
      </c>
      <c r="F115" s="12" t="inlineStr">
        <is>
          <t>ENVIRONMENT, SOCIAL AND GOVERNANCE REPORT 環境、社會及管治報告 Water consumption 耗水量 The Group’s operating activities do not require significant water 本集團的經營活動耗水量不大，水源供應方 consumption, and there have been no challenges in sourcing 面亦無遇到任何問題。除有限的工地用水外， water. Apart from limited on-site usage, water consumption 日常營運的耗水量主要限於辦公室活動，工 during daily operations is mainly confined to office activities, with 地用水費用由客戶承擔。於報告期間，本集 customers bearing the cost of wa</t>
        </is>
      </c>
    </row>
    <row r="116">
      <c r="A116" s="8" t="inlineStr">
        <is>
          <t>ESG Data</t>
        </is>
      </c>
      <c r="B116" s="8" t="inlineStr">
        <is>
          <t>環境社會及管治數據</t>
        </is>
      </c>
      <c r="C116" s="8" t="inlineStr">
        <is>
          <t>medium</t>
        </is>
      </c>
      <c r="D116" s="12" t="inlineStr">
        <is>
          <t>energy consumption</t>
        </is>
      </c>
      <c r="E116" s="12" t="inlineStr">
        <is>
          <t>PDF p.90 (印刷頁 88)</t>
        </is>
      </c>
      <c r="F116" s="12" t="inlineStr">
        <is>
          <t>arket demand 本集團知悉市場對可減少能源消耗的高效中 for high-efficiency air-cooled chiller units and related equipment 央空調系統及相關設備的需求所帶來的機遇。 that reduce energy consumption. This shift toward environmentally 這種向環保及可持續解決方案的轉變預計將 friendly and sustainable solutions is expected to support revenue 促進收入增長。 growth. 88 GOLDEN LEAF INTERNATIONAL GROUP LIMITED • Annual Report 2026</t>
        </is>
      </c>
    </row>
    <row r="117">
      <c r="A117" s="8" t="inlineStr">
        <is>
          <t>ESG Data</t>
        </is>
      </c>
      <c r="B117" s="8" t="inlineStr">
        <is>
          <t>環境社會及管治數據</t>
        </is>
      </c>
      <c r="C117" s="8" t="inlineStr">
        <is>
          <t>medium</t>
        </is>
      </c>
      <c r="D117" s="12" t="inlineStr">
        <is>
          <t>ESG</t>
        </is>
      </c>
      <c r="E117" s="12" t="inlineStr">
        <is>
          <t>PDF p.91 (印刷頁 89)</t>
        </is>
      </c>
      <c r="F117" s="12" t="inlineStr">
        <is>
          <t>ENVIRONMENT, SOCIAL AND GOVERNANCE REPORT 環境、社會及管治報告 Risk Management and Preparedness 風險管理及準備 To address ESG and climate-related risks, the Group has 為應對ESG及氣候相關風險，本集團已成立 established an ESG working group that meets regularly with ESG工作小組，定期與管理層開會，以識別 management to identify and report material risks. The Group 及報告重大風險。本集團亦有針對災難性天 also maintains preparedness measures for catastrophic weather 氣事件的準備措施。當發出熱帶氣旋、雷暴 events. Site staff are required to keep updated checklists 或洪水警告信號時，工地員工必須保留最新 of precaution</t>
        </is>
      </c>
    </row>
    <row r="118">
      <c r="A118" s="8" t="inlineStr">
        <is>
          <t>ESG Data</t>
        </is>
      </c>
      <c r="B118" s="8" t="inlineStr">
        <is>
          <t>環境社會及管治數據</t>
        </is>
      </c>
      <c r="C118" s="8" t="inlineStr">
        <is>
          <t>medium</t>
        </is>
      </c>
      <c r="D118" s="12" t="inlineStr">
        <is>
          <t>環境、社會及管治</t>
        </is>
      </c>
      <c r="E118" s="12" t="inlineStr">
        <is>
          <t>PDF p.92 (印刷頁 90)</t>
        </is>
      </c>
      <c r="F118" s="12" t="inlineStr">
        <is>
          <t>ENVIRONMENT, SOCIAL AND GOVERNANCE REPORT 環境、社會及管治報告 SOCIAL ASPECT 社會方面 Employment and Labour Standards 僱傭及勞工標準 The Group maintains structured employment policies designed 本集團維持有系統的僱傭政策，以保障公平 to safeguard fairness, transparency, and employee welfare. 性、透明度及僱員福利。薪酬及解僱程序遵 Compensation and dismissal procedures are governed by clear 循明確標準以確保公平待遇，而招聘及晉升 standards to ensure equitable treatment, while recruitment and 則嚴格以績效為基礎，以維護人力資源管理 promotio</t>
        </is>
      </c>
    </row>
    <row r="119">
      <c r="A119" s="8" t="inlineStr">
        <is>
          <t>ESG Data</t>
        </is>
      </c>
      <c r="B119" s="8" t="inlineStr">
        <is>
          <t>環境社會及管治數據</t>
        </is>
      </c>
      <c r="C119" s="8" t="inlineStr">
        <is>
          <t>medium</t>
        </is>
      </c>
      <c r="D119" s="12" t="inlineStr">
        <is>
          <t>環境、社會及管治</t>
        </is>
      </c>
      <c r="E119" s="12" t="inlineStr">
        <is>
          <t>PDF p.93 (印刷頁 91)</t>
        </is>
      </c>
      <c r="F119" s="12" t="inlineStr">
        <is>
          <t>ENVIRONMENT, SOCIAL AND GOVERNANCE REPORT 環境、社會及管治報告 Total workforce 員工總數 Category 2025/26 類別 2025/26年 Number of Employees 僱員數目 Total Number of Employees 94 僱員總數 Gender Male 73 性別 男性 Female 21 女性 Employment Type Full time 94 僱傭類別 全職 Part time — 兼職 Age Group Below 31 31 年齡組別 31歲以下 Between 31 and 50 45 31歲至50歲 Above 50 18 50歲以上 Geographical Region Hong Kong 89 地理區域 香港 Mainland China 5 中國內地 2026 年年報 • 金葉國際集團有限公司 91</t>
        </is>
      </c>
    </row>
    <row r="120">
      <c r="A120" s="8" t="inlineStr">
        <is>
          <t>ESG Data</t>
        </is>
      </c>
      <c r="B120" s="8" t="inlineStr">
        <is>
          <t>環境社會及管治數據</t>
        </is>
      </c>
      <c r="C120" s="8" t="inlineStr">
        <is>
          <t>medium</t>
        </is>
      </c>
      <c r="D120" s="12" t="inlineStr">
        <is>
          <t>環境、社會及管治</t>
        </is>
      </c>
      <c r="E120" s="12" t="inlineStr">
        <is>
          <t>PDF p.94 (印刷頁 92)</t>
        </is>
      </c>
      <c r="F120" s="12" t="inlineStr">
        <is>
          <t>ENVIRONMENT, SOCIAL AND GOVERNANCE REPORT 環境、社會及管治報告 Employee Turnover Rate 僱員流失率 Category 2025/26 類別 2025/26年 Employee Turnover Rate (%) 僱員流失率 (%) Total Employee Turnover 35 僱員流失總數 Gender Male 32 性別 男性 Female 46 女性 Age Group Below 31 44 年齡組別 31歲以下 Between 31 and 50 27 31歲至50歲 Above 50 44 50歲以上 Geographical Region Hong Kong 36 地理區域 香港 Mainland China 22 中國內地 Health and Safety 健康與安全 The Group is committed to maintaining a safe working 本集團致力</t>
        </is>
      </c>
    </row>
    <row r="121">
      <c r="A121" s="8" t="inlineStr">
        <is>
          <t>ESG Data</t>
        </is>
      </c>
      <c r="B121" s="8" t="inlineStr">
        <is>
          <t>環境社會及管治數據</t>
        </is>
      </c>
      <c r="C121" s="8" t="inlineStr">
        <is>
          <t>medium</t>
        </is>
      </c>
      <c r="D121" s="12" t="inlineStr">
        <is>
          <t>環境、社會及管治</t>
        </is>
      </c>
      <c r="E121" s="12" t="inlineStr">
        <is>
          <t>PDF p.95 (印刷頁 93)</t>
        </is>
      </c>
      <c r="F121" s="12" t="inlineStr">
        <is>
          <t>ENVIRONMENT, SOCIAL AND GOVERNANCE REPORT 環境、社會及管治報告 The Group has also adopted an internal safety manual to 本集團亦已採用內部安全手冊，以保障所有 safeguard the health, safety, and welfare of all personnel engaged 參與項目的人員及其他可能受到營運影響的 in projects, as well as others who may be affected by operations. 人員的健康、安全及福利。具體而言，已落 In particular, the following key practices are in place: 實下列關鍵措施： • Provision of appropriate protective equipment, including ‧ 提供適當的防護設備，包括安</t>
        </is>
      </c>
    </row>
    <row r="122">
      <c r="A122" s="8" t="inlineStr">
        <is>
          <t>ESG Data</t>
        </is>
      </c>
      <c r="B122" s="8" t="inlineStr">
        <is>
          <t>環境社會及管治數據</t>
        </is>
      </c>
      <c r="C122" s="8" t="inlineStr">
        <is>
          <t>medium</t>
        </is>
      </c>
      <c r="D122" s="12" t="inlineStr">
        <is>
          <t>環境、社會及管治</t>
        </is>
      </c>
      <c r="E122" s="12" t="inlineStr">
        <is>
          <t>PDF p.96 (印刷頁 94)</t>
        </is>
      </c>
      <c r="F122" s="12" t="inlineStr">
        <is>
          <t>ENVIRONMENT, SOCIAL AND GOVERNANCE REPORT 環境、社會及管治報告 Work-Related Fatalities 工傷死亡事故 2025/26 2025/26年 Number 數目 3 Lost Days Due to Work Injury 因工傷損失工作日數 2025/26 2025/26年 Days 日數 70 Development and Training 發展及培訓 The Group is dedicated to strengthening employees’ knowledge, 本集團致力透過結構性培訓活動計劃，加強 technical skills, and professional growth through a structured 僱員的知識、技術技能及專業發展。全面的 programme of training activities. Comprehensive onboarding 入職培訓計劃讓</t>
        </is>
      </c>
    </row>
    <row r="123">
      <c r="A123" s="8" t="inlineStr">
        <is>
          <t>ESG Data</t>
        </is>
      </c>
      <c r="B123" s="8" t="inlineStr">
        <is>
          <t>環境社會及管治數據</t>
        </is>
      </c>
      <c r="C123" s="8" t="inlineStr">
        <is>
          <t>medium</t>
        </is>
      </c>
      <c r="D123" s="12" t="inlineStr">
        <is>
          <t>環境、社會及管治</t>
        </is>
      </c>
      <c r="E123" s="12" t="inlineStr">
        <is>
          <t>PDF p.97 (印刷頁 95)</t>
        </is>
      </c>
      <c r="F123" s="12" t="inlineStr">
        <is>
          <t>ENVIRONMENT, SOCIAL AND GOVERNANCE REPORT 環境、社會及管治報告 Employees Trained 僱員培訓 Category 2025/26 類別 2025/26年 Percentage (%) 百分比 (%) Total Number of Employees 43 僱員總數 Gender Male 22 性別 男性 Female 20 女性 Employment Senior Management 3 僱傭 高級管理層 Middle Management 9 中級管理層 General Employees 31 普通僱員 Average Training Hours 平均培訓時數 Category 2025/26 類別 2025/26年 Hours 小時 Total Number of Employees 4 僱員總數 Gender Male 3 性別 男性 Female 10 女性 Employment Senior Ma</t>
        </is>
      </c>
    </row>
    <row r="124">
      <c r="A124" s="8" t="inlineStr">
        <is>
          <t>ESG Data</t>
        </is>
      </c>
      <c r="B124" s="8" t="inlineStr">
        <is>
          <t>環境社會及管治數據</t>
        </is>
      </c>
      <c r="C124" s="8" t="inlineStr">
        <is>
          <t>medium</t>
        </is>
      </c>
      <c r="D124" s="12" t="inlineStr">
        <is>
          <t>環境、社會及管治</t>
        </is>
      </c>
      <c r="E124" s="12" t="inlineStr">
        <is>
          <t>PDF p.98 (印刷頁 96)</t>
        </is>
      </c>
      <c r="F124" s="12" t="inlineStr">
        <is>
          <t>ENVIRONMENT, SOCIAL AND GOVERNANCE REPORT 環境、社會及管治報告 Supply Chain Management 供應鏈管理 The Group applies structured procurement procedures to 本集團採用結構性採購程序以於採購開始前 identify and select suitable suppliers before procurement 物色及挑選合適供應商。於報告期間，供應 begins. During the Reporting Period, suppliers mainly comprised 商主要包括(i)分包商及(ii)物料（例如空調）供 (i) subcontractors and (ii) providers of materials such as 應商。 air-conditioners. Selection criteria include service</t>
        </is>
      </c>
    </row>
    <row r="125">
      <c r="A125" s="8" t="inlineStr">
        <is>
          <t>ESG Data</t>
        </is>
      </c>
      <c r="B125" s="8" t="inlineStr">
        <is>
          <t>環境社會及管治數據</t>
        </is>
      </c>
      <c r="C125" s="8" t="inlineStr">
        <is>
          <t>medium</t>
        </is>
      </c>
      <c r="D125" s="12" t="inlineStr">
        <is>
          <t>環境、社會及管治</t>
        </is>
      </c>
      <c r="E125" s="12" t="inlineStr">
        <is>
          <t>PDF p.99 (印刷頁 97)</t>
        </is>
      </c>
      <c r="F125" s="12" t="inlineStr">
        <is>
          <t>ENVIRONMENT, SOCIAL AND GOVERNANCE REPORT 環境、社會及管治報告 Anti-corruption 反貪污 The Group upholds business ethics and integrity as core values 本集團在所有營運活動中均秉持商業道德及 in all operations. Our Code of Conduct Policy stipulates that 誠信作為核心價值。我們的行為守則政策規 employees must not accept benefits connected to their duties 定，未經事先批准，不得接受與僱員職責相 without prior approval and should actively avoid conflicts of 關的福利，並應盡力避免利益衝突。儘管可 interest. While business entertainment ma</t>
        </is>
      </c>
    </row>
    <row r="126">
      <c r="A126" s="8" t="inlineStr">
        <is>
          <t>R&amp;D Expenditure</t>
        </is>
      </c>
      <c r="B126" s="8" t="inlineStr">
        <is>
          <t>研發開支</t>
        </is>
      </c>
      <c r="C126" s="8" t="inlineStr">
        <is>
          <t>medium</t>
        </is>
      </c>
      <c r="D126" s="12" t="inlineStr">
        <is>
          <t>開發成本</t>
        </is>
      </c>
      <c r="E126" s="12" t="inlineStr">
        <is>
          <t>PDF p.114 (印刷頁 112)</t>
        </is>
      </c>
      <c r="F126" s="12" t="inlineStr">
        <is>
          <t>026) (1,850) Release of pledged bank deposits and 調撥已抵押銀行存款及受限制 restricted cash 現金 850 — Capital expenditure of system development 系統開發成本之資本支出 costs (273) (306) Acquisition of a subsidiary, net of cash 收購一間附屬公司 acquired （扣除所收購現金） 37 (523) — Advance to directors 向董事墊款 — (2,383) Repayments from directors 董事還款 — 1,680 Net cash used in investing activities 投資活動所用現金淨額 (7,307) (3,040) Cash flows from financing activities 融資活動所得現金流量 Dividend paid 已付股息 42(a) (5,000) (3,000) Repayments of bank borrowings 償還銀行借款 42(a) (8,378) (9,243) Int</t>
        </is>
      </c>
    </row>
    <row r="127">
      <c r="A127" s="8" t="inlineStr">
        <is>
          <t>R&amp;D Expenditure</t>
        </is>
      </c>
      <c r="B127" s="8" t="inlineStr">
        <is>
          <t>研發開支</t>
        </is>
      </c>
      <c r="C127" s="8" t="inlineStr">
        <is>
          <t>medium</t>
        </is>
      </c>
      <c r="D127" s="12" t="inlineStr">
        <is>
          <t>research and development</t>
        </is>
      </c>
      <c r="E127" s="12" t="inlineStr">
        <is>
          <t>PDF p.127 (印刷頁 125)</t>
        </is>
      </c>
      <c r="F127" s="12" t="inlineStr">
        <is>
          <t>year ended 31 March 2026 截至2026年3月31日止年度 4. MATERIAL ACCOUNTING POLICY 4. 重大會計政策資料（續） INFORMATION (Continued) Intangible assets 無形資產 Research and development expenditure 研發支出 Expenditure on research activities is recognised as an 研究活動產生之支出於其發生期間確認 expense in the period in which it is incurred. 為開支。 An internally-generated intangible asset arising from 因開發（或內部項目開發階段）產生的內 development (or from the development phase of an internal 部產生無形資產，當且僅當下列所有條 project) is recognised if, and only if, all of the following have 件均獲證實時方予確認： been d</t>
        </is>
      </c>
    </row>
    <row r="128">
      <c r="A128" s="8" t="inlineStr">
        <is>
          <t>R&amp;D Expenditure</t>
        </is>
      </c>
      <c r="B128" s="8" t="inlineStr">
        <is>
          <t>研發開支</t>
        </is>
      </c>
      <c r="C128" s="8" t="inlineStr">
        <is>
          <t>medium</t>
        </is>
      </c>
      <c r="D128" s="12" t="inlineStr">
        <is>
          <t>research and development</t>
        </is>
      </c>
      <c r="E128" s="12" t="inlineStr">
        <is>
          <t>PDF p.128 (印刷頁 126)</t>
        </is>
      </c>
      <c r="F128" s="12" t="inlineStr">
        <is>
          <t>arch 2026 截至2026年3月31日止年度 4. MATERIAL ACCOUNTING POLICY 4. 重大會計政策資料（續） INFORMATION (Continued) Intangible assets (Continued) 無形資產（續） Research and development expenditure (Continued) 研發支出（續） Subsequent to initial recognition, internally-generated 初始確認後，內部產生的無形資產按成 intangible assets are measured at cost less accumulated 本減累計攤銷及累計減值虧損（如有）計 amortisation and accumulated impairment losses (if any), 量，其計量基準與單獨收購的無形資產 on the same basis as intangible assets that are acquired 相同。 separately. The Group’s intangible assets have finite usef</t>
        </is>
      </c>
    </row>
    <row r="129">
      <c r="A129" s="8" t="inlineStr">
        <is>
          <t>R&amp;D Expenditure</t>
        </is>
      </c>
      <c r="B129" s="8" t="inlineStr">
        <is>
          <t>研發開支</t>
        </is>
      </c>
      <c r="C129" s="8" t="inlineStr">
        <is>
          <t>medium</t>
        </is>
      </c>
      <c r="D129" s="12" t="inlineStr">
        <is>
          <t>開發成本</t>
        </is>
      </c>
      <c r="E129" s="12" t="inlineStr">
        <is>
          <t>PDF p.174 (印刷頁 172)</t>
        </is>
      </c>
      <c r="F129" s="12" t="inlineStr">
        <is>
          <t>NCIAL STATEMENTS 綜合財務報表附註 For the year ended 31 March 2026 截至2026年3月31日止年度 18. INTANGIBLE ASSETS 18. 無形資產 System development costs 系統開發成本 HK$’000 千港元 COST: 成本： At 1 April 2024 於2024年4月1日 782 Additions 添置 306 At 31 March 2025 and 1 April 2025 於2025年3月31日及2025年4月1日 1,088 Addition 添置 273 At 31 March 2026 於2026年3月31日 1,361 ACCUMULATED DEPRECIATION: 累計折舊： At 1 April 2024 於2024年4月1日 122 Charge for the year 年內支出 202 At 31 March 2025 and 1 April 2025 於2025年3月31日及2025年4月1日 324 Charge for the year 年內支出 272 At 31 March 2026 於2026年3月31日 59</t>
        </is>
      </c>
    </row>
    <row r="130">
      <c r="A130" s="8" t="inlineStr">
        <is>
          <t>Segment Information</t>
        </is>
      </c>
      <c r="B130" s="8" t="inlineStr">
        <is>
          <t>分部資料</t>
        </is>
      </c>
      <c r="C130" s="8" t="inlineStr">
        <is>
          <t>medium</t>
        </is>
      </c>
      <c r="D130" s="12" t="inlineStr">
        <is>
          <t>segment information</t>
        </is>
      </c>
      <c r="E130" s="12" t="inlineStr">
        <is>
          <t>PDF p.62 (印刷頁 60)</t>
        </is>
      </c>
      <c r="F130" s="12" t="inlineStr">
        <is>
          <t>REPORT OF THE DIRECTORS 董事會報告 SEGMENT INFORMATION 分部資料 Segment information of the Group is set out in note 6 to the notes 本集團的分部資料載於本年度報告綜合財務 to the Consolidated Financial Statements in this annual report. 報表附註內的附註6。 SUMMARY FINANCIAL INFORMATION 財務資料概要 A summary of the results, assets and liabilities of the Group 本集團於最近五個財政年度的業績、資產及 for the last five financial years is set out on page 220 of this 負債概要載於本年度報告第220頁。本概要 annual r</t>
        </is>
      </c>
    </row>
    <row r="131">
      <c r="A131" s="8" t="inlineStr">
        <is>
          <t>Segment Information</t>
        </is>
      </c>
      <c r="B131" s="8" t="inlineStr">
        <is>
          <t>分部資料</t>
        </is>
      </c>
      <c r="C131" s="8" t="inlineStr">
        <is>
          <t>medium</t>
        </is>
      </c>
      <c r="D131" s="12" t="inlineStr">
        <is>
          <t>geographical</t>
        </is>
      </c>
      <c r="E131" s="12" t="inlineStr">
        <is>
          <t>PDF p.93 (印刷頁 91)</t>
        </is>
      </c>
      <c r="F131" s="12" t="inlineStr">
        <is>
          <t>Employment Type Full time 94 僱傭類別 全職 Part time — 兼職 Age Group Below 31 31 年齡組別 31歲以下 Between 31 and 50 45 31歲至50歲 Above 50 18 50歲以上 Geographical Region Hong Kong 89 地理區域 香港 Mainland China 5 中國內地 2026 年年報 • 金葉國際集團有限公司 91</t>
        </is>
      </c>
    </row>
    <row r="132">
      <c r="A132" s="8" t="inlineStr">
        <is>
          <t>Segment Information</t>
        </is>
      </c>
      <c r="B132" s="8" t="inlineStr">
        <is>
          <t>分部資料</t>
        </is>
      </c>
      <c r="C132" s="8" t="inlineStr">
        <is>
          <t>medium</t>
        </is>
      </c>
      <c r="D132" s="12" t="inlineStr">
        <is>
          <t>geographical</t>
        </is>
      </c>
      <c r="E132" s="12" t="inlineStr">
        <is>
          <t>PDF p.94 (印刷頁 92)</t>
        </is>
      </c>
      <c r="F132" s="12" t="inlineStr">
        <is>
          <t>Turnover 35 僱員流失總數 Gender Male 32 性別 男性 Female 46 女性 Age Group Below 31 44 年齡組別 31歲以下 Between 31 and 50 27 31歲至50歲 Above 50 44 50歲以上 Geographical Region Hong Kong 36 地理區域 香港 Mainland China 22 中國內地 Health and Safety 健康與安全 The Group is committed to maintaining a safe working 本集團致力維護安全的工作環境，將所有僱 environment that prioritises the health and well-being of all 員及分包商的健康和福祉放在首位。本集團 employees and subcontractors. Rigorous safety protocols and 實施嚴格的安全規程及全面的培訓計劃，以 comprehensive training programmes are implemented to protect 保護員工免受職業危害。定期評估工</t>
        </is>
      </c>
    </row>
    <row r="133">
      <c r="A133" s="8" t="inlineStr">
        <is>
          <t>Segment Information</t>
        </is>
      </c>
      <c r="B133" s="8" t="inlineStr">
        <is>
          <t>分部資料</t>
        </is>
      </c>
      <c r="C133" s="8" t="inlineStr">
        <is>
          <t>medium</t>
        </is>
      </c>
      <c r="D133" s="12" t="inlineStr">
        <is>
          <t>geographical</t>
        </is>
      </c>
      <c r="E133" s="12" t="inlineStr">
        <is>
          <t>PDF p.98 (印刷頁 96)</t>
        </is>
      </c>
      <c r="F133" s="12" t="inlineStr">
        <is>
          <t>the Group was not aware of any environmental or social 任何環境或社會違規事項。 non-compliance by its major suppliers. Number of Suppliers 供應商數目 Geographical Region 2025/26 地理區域 2025/26年 Number of Suppliers 供應商數目 Hong Kong 香港 163 Product Responsibility 產品責任 T h e G rou p e nsu re s that a ll wor ks d e li ve re d throu g h 本集團確保所有透過分包商及物料供應商交 subcontractors and material suppliers comply with relevant 付的工程均符合相關法律法規及合約規定。 laws, regulations, and contractual requirements. Subcontractors’ 本集團定期審查分包商的表現以確保結果符 performance is regularly reviewed to</t>
        </is>
      </c>
    </row>
    <row r="134">
      <c r="A134" s="8" t="inlineStr">
        <is>
          <t>Segment Information</t>
        </is>
      </c>
      <c r="B134" s="8" t="inlineStr">
        <is>
          <t>分部資料</t>
        </is>
      </c>
      <c r="C134" s="8" t="inlineStr">
        <is>
          <t>medium</t>
        </is>
      </c>
      <c r="D134" s="12" t="inlineStr">
        <is>
          <t>segment information</t>
        </is>
      </c>
      <c r="E134" s="12" t="inlineStr">
        <is>
          <t>PDF p.154 (印刷頁 152)</t>
        </is>
      </c>
      <c r="F134" s="12" t="inlineStr">
        <is>
          <t>零港元）。有關估值的資料詳情 HK$3,550,000 (2025: HK$Nil). Details of information 已披露於附註39(e)。 about the valuation were disclosed in Note 39(e). 6. SEGMENT INFORMATION AND REVENUE 6. 分部資料及收入 An operating segment is a component of the Group that is 經營分部指本集團從事可賺取收入及產 engaged in business activities from which the Group may 生開支的業務活動的一個組成部分，本 earn revenue and incur expenses, and is defined on the basis 集團的執行董事（作為主要營運決策者） of the internal management reporting information that is 獲提供及定期審閱以作為分部資源分配 provided to and regularly reviewed by the executive d</t>
        </is>
      </c>
    </row>
    <row r="135">
      <c r="A135" s="8" t="inlineStr">
        <is>
          <t>Segment Information</t>
        </is>
      </c>
      <c r="B135" s="8" t="inlineStr">
        <is>
          <t>分部資料</t>
        </is>
      </c>
      <c r="C135" s="8" t="inlineStr">
        <is>
          <t>medium</t>
        </is>
      </c>
      <c r="D135" s="12" t="inlineStr">
        <is>
          <t>segment information</t>
        </is>
      </c>
      <c r="E135" s="12" t="inlineStr">
        <is>
          <t>PDF p.155 (印刷頁 153)</t>
        </is>
      </c>
      <c r="F135" s="12" t="inlineStr">
        <is>
          <t>NOTES TO THE CONSOLIDATED FINANCIAL STATEMENTS 綜合財務報表附註 For the year ended 31 March 2026 截至2026年3月31日止年度 6. SEGMENT INFORMATION AND REVENUE 6. 分部資料及收入（續） (Continued) Geographical information 地區資料 The Group’s revenue are all derived from Hong Kong based 本集團收入按服務交付地點劃分，全部 on the location of services delivered. The Group’s non- 均來自於香港。本集團的非流動資產（人 current assets, except for life insurance policy deposits 壽保單按金及預付款項、商譽、按公允 and prepayments, goodwill, financial asset at FVTOCI and 價值計入其他全面收益的金融資產，以 prepayments</t>
        </is>
      </c>
    </row>
    <row r="136">
      <c r="A136" s="8" t="inlineStr">
        <is>
          <t>Segment Information</t>
        </is>
      </c>
      <c r="B136" s="8" t="inlineStr">
        <is>
          <t>分部資料</t>
        </is>
      </c>
      <c r="C136" s="8" t="inlineStr">
        <is>
          <t>medium</t>
        </is>
      </c>
      <c r="D136" s="12" t="inlineStr">
        <is>
          <t>segment information</t>
        </is>
      </c>
      <c r="E136" s="12" t="inlineStr">
        <is>
          <t>PDF p.156 (印刷頁 154)</t>
        </is>
      </c>
      <c r="F136" s="12" t="inlineStr">
        <is>
          <t>NOTES TO THE CONSOLIDATED FINANCIAL STATEMENTS 綜合財務報表附註 For the year ended 31 March 2026 截至2026年3月31日止年度 6. SEGMENT INFORMATION AND REVENUE 6. 分部資料及收入（續） (Continued) Information about major customers 主要客戶資料 Revenue from customers for the corresponding years 於相應年度，來自貢獻本集團總收入 contributing over 10% of the total revenue of the Group are 10%以上的客戶之收入如下： as follows: 2026 2025 2026年 2025年 HK$’000 HK$’000 千港元 千港元 Customer A 客戶A 46,149 59,564 Customer B 客戶B 22,057 24,364 An analysis of revenue is as follows: 收入分析</t>
        </is>
      </c>
    </row>
    <row r="137">
      <c r="A137" s="8" t="inlineStr">
        <is>
          <t>Segment Information</t>
        </is>
      </c>
      <c r="B137" s="8" t="inlineStr">
        <is>
          <t>分部資料</t>
        </is>
      </c>
      <c r="C137" s="8" t="inlineStr">
        <is>
          <t>medium</t>
        </is>
      </c>
      <c r="D137" s="12" t="inlineStr">
        <is>
          <t>segment information</t>
        </is>
      </c>
      <c r="E137" s="12" t="inlineStr">
        <is>
          <t>PDF p.157 (印刷頁 155)</t>
        </is>
      </c>
      <c r="F137" s="12" t="inlineStr">
        <is>
          <t>NOTES TO THE CONSOLIDATED FINANCIAL STATEMENTS 綜合財務報表附註 For the year ended 31 March 2026 截至2026年3月31日止年度 6. SEGMENT INFORMATION AND REVENUE 6. 分部資料及收入（續） (Continued) Disaggregation of revenue from contract with customers: 客戶合約收入分類﹕ 2026 2025 2026年 2025年 HK$’000 HK$’000 千港元 千港元 Type of works 工程類型 — HVAC systems — 暖氣、通風及冷氣調節系統 148,709 145,354 — Electrical systems — 電力裝置系統 3,267 3,890 — Plumbing and drainage systems — 給供水系統 2,955 5,290 154,931 154,534 2026 2025 2026年 2025年 HK$’000 HK$’000 千港元 千港元 Type of c</t>
        </is>
      </c>
    </row>
    <row r="138">
      <c r="A138" s="8" t="inlineStr">
        <is>
          <t>Segment Information</t>
        </is>
      </c>
      <c r="B138" s="8" t="inlineStr">
        <is>
          <t>分部資料</t>
        </is>
      </c>
      <c r="C138" s="8" t="inlineStr">
        <is>
          <t>medium</t>
        </is>
      </c>
      <c r="D138" s="12" t="inlineStr">
        <is>
          <t>segment information</t>
        </is>
      </c>
      <c r="E138" s="12" t="inlineStr">
        <is>
          <t>PDF p.158 (印刷頁 156)</t>
        </is>
      </c>
      <c r="F138" s="12" t="inlineStr">
        <is>
          <t>NOTES TO THE CONSOLIDATED FINANCIAL STATEMENTS 綜合財務報表附註 For the year ended 31 March 2026 截至2026年3月31日止年度 6. SEGMENT INFORMATION AND REVENUE 6. 分部資料及收入（續） (Continued) Transaction price allocated to the remaining performance 分配至於報告期間末尚未完成的長期機 obligation (unsatisfied or partially unsatisfied) for long-term 電工程以及保養及維修及檢測服務餘下 E&amp;M engineering and maintenance and inspection services 履約責任（未履行或部分未履行）的交易 that remained outstanding as at the end of the reporting 價及預期確認收入的時間載列如下： period and the expected timing of re</t>
        </is>
      </c>
    </row>
    <row r="139">
      <c r="A139" s="8" t="inlineStr">
        <is>
          <t>Share-based Payment</t>
        </is>
      </c>
      <c r="B139" s="8" t="inlineStr">
        <is>
          <t>以股份為基礎的付款</t>
        </is>
      </c>
      <c r="C139" s="8" t="inlineStr">
        <is>
          <t>medium</t>
        </is>
      </c>
      <c r="D139" s="12" t="inlineStr">
        <is>
          <t>share option</t>
        </is>
      </c>
      <c r="E139" s="12" t="inlineStr">
        <is>
          <t>PDF p.51 (印刷頁 49)</t>
        </is>
      </c>
      <c r="F139" s="12" t="inlineStr">
        <is>
          <t>23 of the GEM Listing Rules, 項下任何股份計劃有關的事宜，包括但 including but not limited to considering and approving the 不限於考慮及批准根據本公司的購股權 grant of share options to eligible participants pursuant to the 計劃向合資格參與者授出購股權； share option scheme of the Company; (h) to review and approve compensation payable to executive (h) 審閱及批准因執行董事及高級管理層喪 directors and senior management for any loss or termination 失職位或被終止委任而應向其支付的賠 of office or appointment to ensure that it is consistent with 償，確保該等賠償符合合約條款，如未 contractual terms and is otherwise fair and not exces</t>
        </is>
      </c>
    </row>
    <row r="140">
      <c r="A140" s="8" t="inlineStr">
        <is>
          <t>Share-based Payment</t>
        </is>
      </c>
      <c r="B140" s="8" t="inlineStr">
        <is>
          <t>以股份為基礎的付款</t>
        </is>
      </c>
      <c r="C140" s="8" t="inlineStr">
        <is>
          <t>medium</t>
        </is>
      </c>
      <c r="D140" s="12" t="inlineStr">
        <is>
          <t>share option</t>
        </is>
      </c>
      <c r="E140" s="12" t="inlineStr">
        <is>
          <t>PDF p.63 (印刷頁 61)</t>
        </is>
      </c>
      <c r="F140" s="12" t="inlineStr">
        <is>
          <t>性公積金計劃供款及 included contributions to Mandatory Provident Fund Schemes and 僱員休假權益。 employee leave entitlement. The Company adopted the Share Option Scheme on 22 本公司於2025年9月22日採納購股權計劃， September 2025 for the purpose of providing incentives and 以為本集團合資格董事與僱員提供激勵及獎 rewards to eligible directors and employees of the Group. For 勵。有關詳情，請參閱本年度報告「購股權 details, please refer to the section headed “Share Option Scheme” 計劃」一節。 of this annual report. PURCHASE, SALE, OR REDEMPTION 購買、出售或贖回本公司上市證 OF THE COMPANY’S LISTED 券 SECURITIES Neither the</t>
        </is>
      </c>
    </row>
    <row r="141">
      <c r="A141" s="8" t="inlineStr">
        <is>
          <t>Share-based Payment</t>
        </is>
      </c>
      <c r="B141" s="8" t="inlineStr">
        <is>
          <t>以股份為基礎的付款</t>
        </is>
      </c>
      <c r="C141" s="8" t="inlineStr">
        <is>
          <t>medium</t>
        </is>
      </c>
      <c r="D141" s="12" t="inlineStr">
        <is>
          <t>share option</t>
        </is>
      </c>
      <c r="E141" s="12" t="inlineStr">
        <is>
          <t>PDF p.73 (印刷頁 71)</t>
        </is>
      </c>
      <c r="F141" s="12" t="inlineStr">
        <is>
          <t>or which were required to be recorded in the 或須根據證券及期貨條例第336條載入本公 register of the Company under Section 336 of the SFO. 司登記冊內的權益或淡倉。 SHARE OPTION SCHEME 購股權計劃 The Company adopted the Share Option Scheme, which was 本公司已採納購股權計劃，並由股東於採納 approved by the Shareholders on the Adoption Date. Unless 日期批准。除非另有說明，本文中所用詞彙 otherwise stated, capitalised terms used herein shall have the 與招股章程所界定者具有相同涵義。 same meanings as those defined in the Prospectus. 1. Purpose 1. 目的 The purpose of the Share Option Scheme is to attract and 購股權計劃旨在吸引及挽留最稱職的人</t>
        </is>
      </c>
    </row>
    <row r="142">
      <c r="A142" s="8" t="inlineStr">
        <is>
          <t>Share-based Payment</t>
        </is>
      </c>
      <c r="B142" s="8" t="inlineStr">
        <is>
          <t>以股份為基礎的付款</t>
        </is>
      </c>
      <c r="C142" s="8" t="inlineStr">
        <is>
          <t>medium</t>
        </is>
      </c>
      <c r="D142" s="12" t="inlineStr">
        <is>
          <t>購股權</t>
        </is>
      </c>
      <c r="E142" s="12" t="inlineStr">
        <is>
          <t>PDF p.74 (印刷頁 72)</t>
        </is>
      </c>
      <c r="F142" s="12" t="inlineStr">
        <is>
          <t>ector and employee of the Company or any of its (i) 本公司或其任何附屬公司的任何董 subsidiaries (including persons who are granted options 事及僱員（包括獲授購股權以促成 as an inducement to enter into employment contracts 其與本公司或其任何附屬公司訂立 with the Company or any of its subsidiaries) (“Employee 僱傭合約的人士） （「僱員參與者」）； Participant(s)”); (ii) any director and employee of the holding companies, (ii) 本公司的控股公司、同系附屬公司 fellow subsidiaries or associated companies of the 或聯營公司的任何董事及僱員（「關 Company (“Related Entity Participant(s)”); 聯實體參與者」）； (iii) any person who provides se</t>
        </is>
      </c>
    </row>
    <row r="143">
      <c r="A143" s="8" t="inlineStr">
        <is>
          <t>Share-based Payment</t>
        </is>
      </c>
      <c r="B143" s="8" t="inlineStr">
        <is>
          <t>以股份為基礎的付款</t>
        </is>
      </c>
      <c r="C143" s="8" t="inlineStr">
        <is>
          <t>medium</t>
        </is>
      </c>
      <c r="D143" s="12" t="inlineStr">
        <is>
          <t>share option</t>
        </is>
      </c>
      <c r="E143" s="12" t="inlineStr">
        <is>
          <t>PDF p.75 (印刷頁 73)</t>
        </is>
      </c>
      <c r="F143" s="12" t="inlineStr">
        <is>
          <t>as applicable) in respect of all options 的所有期權（包括購股權）及獎勵所 (including the Options) and awards to be granted under 涉及可予發行的股份總數（連同可 the Share Option Scheme and any other share option 予出售或轉讓的庫存股份（如適用）） scheme(s) and share award scheme(s) of the Company 不得超過於上市日期已發行股份總 shall not exceed 10% of the total number of Shares 數（不包括庫存股份）的10%（「計劃 in issue (excluding Treasury Shares) as at the Listing 授權限額」）。因此，預期本公司根 Date (the “Scheme Mandate Limit”). Therefore, it 據購股權計劃可向參與者授出涉及 is expected that the Company may grant Options in 最多40,000,00</t>
        </is>
      </c>
    </row>
    <row r="144">
      <c r="A144" s="8" t="inlineStr">
        <is>
          <t>Share-based Payment</t>
        </is>
      </c>
      <c r="B144" s="8" t="inlineStr">
        <is>
          <t>以股份為基礎的付款</t>
        </is>
      </c>
      <c r="C144" s="8" t="inlineStr">
        <is>
          <t>medium</t>
        </is>
      </c>
      <c r="D144" s="12" t="inlineStr">
        <is>
          <t>share option</t>
        </is>
      </c>
      <c r="E144" s="12" t="inlineStr">
        <is>
          <t>PDF p.76 (印刷頁 74)</t>
        </is>
      </c>
      <c r="F144" s="12" t="inlineStr">
        <is>
          <t>ons) or awards 授出的所有期權（包括購股權）或獎 to be granted to the Service Provider(s) under the Share 勵所涉及可予發行的股份總數（連 Option Scheme and any other share option scheme(s) 同可予出售或轉讓的庫存股份（如 and share award scheme(s) of the Company shall 適用）），不得超過於上市日期已發 not exceed 1% of the total number of Shares in issue 行股份總數（不包括庫存股份）的1% (excluding Treasury Shares) as at the Listing Date (the （「服務提供商分項限額」）。服務提 “Service Provider Sublimit”). The Service Provider 供商分項限額須在計劃授權限額以 Sublimit shall be within the Scheme Mandate Limit. 內。 6. Limit on granting options or</t>
        </is>
      </c>
    </row>
    <row r="145">
      <c r="A145" s="8" t="inlineStr">
        <is>
          <t>Share-based Payment</t>
        </is>
      </c>
      <c r="B145" s="8" t="inlineStr">
        <is>
          <t>以股份為基礎的付款</t>
        </is>
      </c>
      <c r="C145" s="8" t="inlineStr">
        <is>
          <t>medium</t>
        </is>
      </c>
      <c r="D145" s="12" t="inlineStr">
        <is>
          <t>share option</t>
        </is>
      </c>
      <c r="E145" s="12" t="inlineStr">
        <is>
          <t>PDF p.77 (印刷頁 75)</t>
        </is>
      </c>
      <c r="F145" s="12" t="inlineStr">
        <is>
          <t>ed and to be issued in respect of all options 括該日）止12個月期間內，有關人士 (including the Options) and awards granted under the 因行使根據購股權計劃及本公司任 Share Option Scheme and any other share option 何其他購股權計劃及股份獎勵計 scheme(s) and share award scheme(s) of the Company 劃獲授的所有期權（包括購股權）及 (excluding any options (including the Options) or awards 獎勵（不包括根據相關計劃條款失 lapsed in accordance with the terms of the relevant 效的任何期權（包括購股權）或獎勵） schemes) to such person in the 12-month period up 而發行及將予發行的股份合共超過 to and including the date of such grant representing in 已發行股份</t>
        </is>
      </c>
    </row>
    <row r="146">
      <c r="A146" s="8" t="inlineStr">
        <is>
          <t>Share-based Payment</t>
        </is>
      </c>
      <c r="B146" s="8" t="inlineStr">
        <is>
          <t>以股份為基礎的付款</t>
        </is>
      </c>
      <c r="C146" s="8" t="inlineStr">
        <is>
          <t>medium</t>
        </is>
      </c>
      <c r="D146" s="12" t="inlineStr">
        <is>
          <t>share option</t>
        </is>
      </c>
      <c r="E146" s="12" t="inlineStr">
        <is>
          <t>PDF p.78 (印刷頁 76)</t>
        </is>
      </c>
      <c r="F146" s="12" t="inlineStr">
        <is>
          <t>REPORT OF THE DIRECTORS 董事會報告 10. Period of the Share Option Scheme 10. 購股權計劃期限 The Share Option Scheme will remain in force for a period 購股權計劃將於採納日期當日起計10年 of 10 years commencing on the date on the Adoption Date 內維持有效，並將於緊接該計劃第十週 and shall expire at the close of business on the Business 年前的營業日當天營業時間結束時屆滿。 Day immediately preceding the tenth anniversary thereof. As 截至本報告日期，購股權計劃的剩餘有 of the date of this report, the Share Option Scheme had a 效期超過</t>
        </is>
      </c>
    </row>
    <row r="147">
      <c r="A147" s="8" t="inlineStr">
        <is>
          <t>Share-based Payment</t>
        </is>
      </c>
      <c r="B147" s="8" t="inlineStr">
        <is>
          <t>以股份為基礎的付款</t>
        </is>
      </c>
      <c r="C147" s="8" t="inlineStr">
        <is>
          <t>medium</t>
        </is>
      </c>
      <c r="D147" s="12" t="inlineStr">
        <is>
          <t>share option</t>
        </is>
      </c>
      <c r="E147" s="12" t="inlineStr">
        <is>
          <t>PDF p.218 (印刷頁 216)</t>
        </is>
      </c>
      <c r="F147" s="12" t="inlineStr">
        <is>
          <t>NOTES TO THE CONSOLIDATED FINANCIAL STATEMENTS 綜合財務報表附註 For the year ended 31 March 2026 截至2026年3月31日止年度 44. SHARE OPTION SCHEME 44. 購股權計劃 Pursuant to an written resolution passed on 22 September 本公司根據於2025年9月22日通過的書 2025, the Company adopted a share option scheme. 面決議案採納購股權計劃。 The purpose of the share option scheme is to attract and 購股權計劃旨在吸引及挽留最稱職的人 retain the best available personnel, to provide additional 員，並向本集團僱員、董事、顧問、諮 incentive or rewards to employees, directors, advisers, 詢人員、分銷商、承建商、供應商、代 cons</t>
        </is>
      </c>
    </row>
    <row r="148">
      <c r="A148" s="8" t="inlineStr">
        <is>
          <t>Share-based Payment</t>
        </is>
      </c>
      <c r="B148" s="8" t="inlineStr">
        <is>
          <t>以股份為基礎的付款</t>
        </is>
      </c>
      <c r="C148" s="8" t="inlineStr">
        <is>
          <t>medium</t>
        </is>
      </c>
      <c r="D148" s="12" t="inlineStr">
        <is>
          <t>share option</t>
        </is>
      </c>
      <c r="E148" s="12" t="inlineStr">
        <is>
          <t>PDF p.219 (印刷頁 217)</t>
        </is>
      </c>
      <c r="F148" s="12" t="inlineStr">
        <is>
          <t>NOTES TO THE CONSOLIDATED FINANCIAL STATEMENTS 綜合財務報表附註 For the year ended 31 March 2026 截至2026年3月31日止年度 44. SHARE OPTION SCHEME (Continued) 44. 購股權計劃（續） An offer of the grant of the share option scheme must be 授出購股權的要約須在要約日期（包括 accepted within five business days inclusive of the offer 該日）起計五個營業日內接納。購股權 date. The amount payable by the grantee of an option to the 承授人在接納授出購股權的要約時應向 Company on acceptance of the offer of the grant of an option 本公司支付的金額為1港元。 is HK$1. The exercise price shall be a price solely</t>
        </is>
      </c>
    </row>
    <row r="149">
      <c r="A149" s="8" t="inlineStr">
        <is>
          <t>Share-based Payment</t>
        </is>
      </c>
      <c r="B149" s="8" t="inlineStr">
        <is>
          <t>以股份為基礎的付款</t>
        </is>
      </c>
      <c r="C149" s="8" t="inlineStr">
        <is>
          <t>medium</t>
        </is>
      </c>
      <c r="D149" s="12" t="inlineStr">
        <is>
          <t>share option</t>
        </is>
      </c>
      <c r="E149" s="12" t="inlineStr">
        <is>
          <t>PDF p.223 (印刷頁 221)</t>
        </is>
      </c>
      <c r="F149" s="12" t="inlineStr">
        <is>
          <t>DEFINITIONS 釋義 “Adoption Date” 22 September 2025, the date on which the Share Option Scheme is conditionally adopted by the Shareholders by way of written resolutions 「採納日期」 2025年9月22日，股東以書面決議案有條件採納購股權計劃的日期 “Articles of Association” the amended and restated articles of association of the Company conditionally approved and adopted on 22 September 2025, as supplemented, amended or otherwise modified from time to time 「組織章程細則」 本公司於2025年9月22日有條件批准及採納之經修訂及重列組織章程細則， 經不時補充、修</t>
        </is>
      </c>
    </row>
    <row r="150">
      <c r="A150" s="8" t="inlineStr">
        <is>
          <t>Share-based Payment</t>
        </is>
      </c>
      <c r="B150" s="8" t="inlineStr">
        <is>
          <t>以股份為基礎的付款</t>
        </is>
      </c>
      <c r="C150" s="8" t="inlineStr">
        <is>
          <t>medium</t>
        </is>
      </c>
      <c r="D150" s="12" t="inlineStr">
        <is>
          <t>share option</t>
        </is>
      </c>
      <c r="E150" s="12" t="inlineStr">
        <is>
          <t>PDF p.226 (印刷頁 224)</t>
        </is>
      </c>
      <c r="F150" s="12" t="inlineStr">
        <is>
          <t>01 each in the share capital of the Company 「股份」 本公司股本中每股面值0.01港元之普通股 “Share Offer” the Public Offer and the Placing 「股份發售」 公開發售及配售 “Share Option Scheme” the share option scheme conditionally approved and adopted by the Company on 22 September 2025, the principal terms of which are summarised in the paragraph headed “D. Share Option Scheme” in Appendix V to the Prospectus 「購股權計劃」 本公司於2025年9月22日有條件批准及採納之購股權計劃，其主要條款概述 於招股章程附錄五「D.購股權計劃」一段 “Shareholder(s)” holder(s) of the Share(s) 「股東」 股份持有人 “Stock Exchange” The Stock Exchange of</t>
        </is>
      </c>
    </row>
    <row r="151">
      <c r="A151" s="8" t="inlineStr">
        <is>
          <t>Related Party Transactions</t>
        </is>
      </c>
      <c r="B151" s="8" t="inlineStr">
        <is>
          <t>關聯方交易</t>
        </is>
      </c>
      <c r="C151" s="8" t="inlineStr">
        <is>
          <t>low</t>
        </is>
      </c>
      <c r="D151" s="12" t="inlineStr">
        <is>
          <t>connected transaction</t>
        </is>
      </c>
      <c r="E151" s="12" t="inlineStr">
        <is>
          <t>PDF p.78 (印刷頁 76)</t>
        </is>
      </c>
      <c r="F151" s="12" t="inlineStr">
        <is>
          <t>pany has not entered into any equity-linked 任何股權掛鈎協議，亦無有關協議於本年度 agreement during the Year or subsisted at the end of the Year. 末仍存續。 CONNECTED TRANSACTIONS 關連交易 Saved as disclosed in note 37 to the consolidated financial 除綜合財務報表附註37所披露者外，根據 statements, no other connected transactions were entered by the GEM上市規則，本集團概無訂立其他關連交 Group under the GEM Listing Rules. None of these transactions 易。概無該等交易構成GEM上市規則第20章 constitute a discloseable connected transaction or continuing 所界定的須予披露關連交易或持續關連交易。 connected transaction as defined under C</t>
        </is>
      </c>
    </row>
    <row r="152">
      <c r="A152" s="8" t="inlineStr">
        <is>
          <t>Related Party Transactions</t>
        </is>
      </c>
      <c r="B152" s="8" t="inlineStr">
        <is>
          <t>關聯方交易</t>
        </is>
      </c>
      <c r="C152" s="8" t="inlineStr">
        <is>
          <t>low</t>
        </is>
      </c>
      <c r="D152" s="12" t="inlineStr">
        <is>
          <t>related party</t>
        </is>
      </c>
      <c r="E152" s="12" t="inlineStr">
        <is>
          <t>PDF p.79 (印刷頁 77)</t>
        </is>
      </c>
      <c r="F152" s="12" t="inlineStr">
        <is>
          <t>REPORT OF THE DIRECTORS 董事會報告 RELATED PARTY TRANSACTIONS 關聯方交易 Save as disclosed in note 36 to the consolidated financial 除綜合財務報表附註36所披露者外，本集團 statements, the Group has not engaged in any other material 於本年度並無進行任何其他重大關聯方交易。 related party transactions during the Year. The Group has complied with the disclosure requirements in 本集團已遵守GEM上市規則第20章的披露規 accordance with Chapter 20 of the GEM Listing Rules. 定。 CONTINUING DISCLOSURE GEM</t>
        </is>
      </c>
    </row>
    <row r="153">
      <c r="A153" s="8" t="inlineStr">
        <is>
          <t>Related Party Transactions</t>
        </is>
      </c>
      <c r="B153" s="8" t="inlineStr">
        <is>
          <t>關聯方交易</t>
        </is>
      </c>
      <c r="C153" s="8" t="inlineStr">
        <is>
          <t>low</t>
        </is>
      </c>
      <c r="D153" s="12" t="inlineStr">
        <is>
          <t>related party</t>
        </is>
      </c>
      <c r="E153" s="12" t="inlineStr">
        <is>
          <t>PDF p.198 (印刷頁 196)</t>
        </is>
      </c>
      <c r="F153" s="12" t="inlineStr">
        <is>
          <t>NOTES TO THE CONSOLIDATED FINANCIAL STATEMENTS 綜合財務報表附註 For the year ended 31 March 2026 截至2026年3月31日止年度 36. RELATED PARTY TRANSACTIONS 36. 關聯方交易 Other than disclosed elsewhere in the consolidated financial 除綜合財務報表中其他地方所披露者外， statement, the Group as the following material related party 本集團在其日常業務過程中有以下重大 transactions in the normal course of its business: 關聯方交易： (a) Compensation of key management personnel (a) 主要管理人員酬金 Remuneration for key management personnel of the 本集團主要管理人員的薪酬（包括 Group, including amount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pane ySplit="30" topLeftCell="A3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Total Assets</t>
        </is>
      </c>
    </row>
    <row r="20">
      <c r="A20" s="8" t="inlineStr">
        <is>
          <t>Balance Sheet</t>
        </is>
      </c>
      <c r="B20" s="8" t="inlineStr">
        <is>
          <t>Inventories</t>
        </is>
      </c>
    </row>
    <row r="21">
      <c r="A21" s="8" t="inlineStr">
        <is>
          <t>Balance Sheet</t>
        </is>
      </c>
      <c r="B21" s="8" t="inlineStr">
        <is>
          <t>Investment Properties</t>
        </is>
      </c>
    </row>
    <row r="22">
      <c r="A22" s="8" t="inlineStr">
        <is>
          <t>Balance Sheet</t>
        </is>
      </c>
      <c r="B22" s="8" t="inlineStr">
        <is>
          <t>Total Liabilities</t>
        </is>
      </c>
    </row>
    <row r="23">
      <c r="A23" s="8" t="inlineStr">
        <is>
          <t>Cash Flow</t>
        </is>
      </c>
      <c r="B23" s="8" t="inlineStr">
        <is>
          <t>Operating Cash Flow</t>
        </is>
      </c>
    </row>
    <row r="24">
      <c r="A24" s="8" t="inlineStr">
        <is>
          <t>Cash Flow</t>
        </is>
      </c>
      <c r="B24" s="8" t="inlineStr">
        <is>
          <t>Financing Cash Flow</t>
        </is>
      </c>
    </row>
    <row r="27">
      <c r="A27" s="5" t="inlineStr">
        <is>
          <t>二、文字量過低的頁面(疑似掃描頁)</t>
        </is>
      </c>
    </row>
    <row r="28">
      <c r="A28" s="2" t="inlineStr">
        <is>
          <t>這些頁面幾乎抓不到文字,通常是掃描件或純圖表,建議人手翻閱或另行 OCR。</t>
        </is>
      </c>
    </row>
    <row r="30">
      <c r="A30" s="7" t="inlineStr">
        <is>
          <t>PDF 頁碼</t>
        </is>
      </c>
      <c r="B30" s="7" t="inlineStr">
        <is>
          <t>狀態</t>
        </is>
      </c>
    </row>
    <row r="31">
      <c r="A31" s="8" t="n">
        <v>227</v>
      </c>
      <c r="B31"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2026-08-30T14:17:10Z</dcterms:created>
  <dcterms:modified xsi:type="dcterms:W3CDTF">2026-08-30T14:17:10Z</dcterms:modified>
</cp:coreProperties>
</file>
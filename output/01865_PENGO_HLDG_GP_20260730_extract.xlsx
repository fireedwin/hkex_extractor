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01865_PENGO_HLDG_GP_20260730.pdf</t>
        </is>
      </c>
    </row>
    <row r="5">
      <c r="A5" s="3" t="inlineStr">
        <is>
          <t>產生時間 Generated</t>
        </is>
      </c>
      <c r="B5" s="4" t="inlineStr">
        <is>
          <t>2026-08-30 22:15</t>
        </is>
      </c>
    </row>
    <row r="6">
      <c r="A6" s="4" t="inlineStr"/>
      <c r="B6" s="4" t="inlineStr"/>
    </row>
    <row r="7">
      <c r="A7" s="3" t="inlineStr">
        <is>
          <t>總頁數 Total pages</t>
        </is>
      </c>
      <c r="B7" s="4" t="n">
        <v>187</v>
      </c>
    </row>
    <row r="8">
      <c r="A8" s="3" t="inlineStr">
        <is>
          <t>已擷取字元 Characters extracted</t>
        </is>
      </c>
      <c r="B8" s="4" t="n">
        <v>405100</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2</v>
      </c>
    </row>
    <row r="13">
      <c r="A13" s="3" t="inlineStr">
        <is>
          <t>財務科目擷取筆數 Financial line items</t>
        </is>
      </c>
      <c r="B13" s="4" t="n">
        <v>20</v>
      </c>
    </row>
    <row r="14">
      <c r="A14" s="3" t="inlineStr">
        <is>
          <t>主題段落擷取筆數 Topic extracts</t>
        </is>
      </c>
      <c r="B14" s="4" t="n">
        <v>90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135,832 − 62,212 = 73,620</t>
        </is>
      </c>
    </row>
    <row r="20">
      <c r="A20" s="6" t="inlineStr">
        <is>
          <t>✓ 收入 − 銷售成本 = 毛利</t>
        </is>
      </c>
      <c r="B20" s="4" t="inlineStr">
        <is>
          <t>77,420 − 68,926 = 8,494 vs 毛利 8,494</t>
        </is>
      </c>
    </row>
    <row r="21">
      <c r="A21" s="6" t="inlineStr">
        <is>
          <t>✓ 除稅前溢利 ± 稅項 = 年內溢利</t>
        </is>
      </c>
      <c r="B21" s="4" t="inlineStr">
        <is>
          <t>-5,157 + 599 = -5,756 vs -5,756</t>
        </is>
      </c>
    </row>
    <row r="22">
      <c r="A22" s="6" t="inlineStr">
        <is>
          <t>✓ 三大報表應相鄰</t>
        </is>
      </c>
      <c r="B22" s="4" t="inlineStr">
        <is>
          <t>Income Statement: p.87、Balance Sheet: p.89、Cash Flow: p.92(相距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4.9</v>
      </c>
      <c r="D5" s="10" t="n">
        <v>4.9</v>
      </c>
      <c r="E5" s="11" t="inlineStr">
        <is>
          <t>4.9%</t>
        </is>
      </c>
      <c r="F5" s="11" t="inlineStr">
        <is>
          <t>High</t>
        </is>
      </c>
      <c r="G5" s="11" t="inlineStr">
        <is>
          <t>PDF p.6 (印刷頁 5)</t>
        </is>
      </c>
      <c r="H5" s="11" t="inlineStr">
        <is>
          <t xml:space="preserve">approximately S$9.4 million in FY2025 to approximately S$8.5 million in FY2026. Gross profit margin decreased by approximately 4.9% from approximately 15.9% in FY2025 to approximately 11.0% in FY2026. The decrease was primarily due to the increase in revenue </t>
        </is>
      </c>
    </row>
    <row r="6">
      <c r="A6" s="8" t="inlineStr">
        <is>
          <t>Gross Margin</t>
        </is>
      </c>
      <c r="B6" s="8" t="inlineStr">
        <is>
          <t>毛利率</t>
        </is>
      </c>
      <c r="C6" s="9" t="n">
        <v>4.9</v>
      </c>
      <c r="D6" s="10" t="n">
        <v>4.9</v>
      </c>
      <c r="E6" s="11" t="inlineStr">
        <is>
          <t>4.9%</t>
        </is>
      </c>
      <c r="F6" s="11" t="inlineStr">
        <is>
          <t>High</t>
        </is>
      </c>
      <c r="G6" s="11" t="inlineStr">
        <is>
          <t>PDF p.10 (印刷頁 9)</t>
        </is>
      </c>
      <c r="H6" s="11" t="inlineStr">
        <is>
          <t xml:space="preserve">approximately S$9.4 million in FY2025 to approximately S$8.5 million in FY2026. Gross profit margin decreased by approximately 4.9% from approximately 15.9% in FY2025 to approximately 11.0% in FY2026. The decrease was primarily due to the increase in revenue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77420</v>
      </c>
      <c r="D5" s="13" t="n">
        <v>59072</v>
      </c>
      <c r="E5" s="14">
        <f>IF(ISERROR((C5-D5)/ABS(D5)),"",(C5-D5)/ABS(D5))</f>
        <v>0.31060400866738896</v>
      </c>
      <c r="F5" s="11" t="inlineStr">
        <is>
          <t>PDF p.87 (印刷頁 86)</t>
        </is>
      </c>
      <c r="G5" s="11" t="inlineStr">
        <is>
          <t>Revenue 9 77,420 59,072</t>
        </is>
      </c>
    </row>
    <row r="6">
      <c r="A6" s="8" t="inlineStr">
        <is>
          <t>Income Statement</t>
        </is>
      </c>
      <c r="B6" s="8" t="inlineStr">
        <is>
          <t>Cost of Sales</t>
        </is>
      </c>
      <c r="C6" s="12" t="n">
        <v>-68926</v>
      </c>
      <c r="D6" s="13" t="n">
        <v>-49668</v>
      </c>
      <c r="E6" s="14">
        <f>IF(ISERROR((C6-D6)/ABS(D6)),"",(C6-D6)/ABS(D6))</f>
        <v>-0.38773455746154467</v>
      </c>
      <c r="F6" s="11" t="inlineStr">
        <is>
          <t>PDF p.87 (印刷頁 86)</t>
        </is>
      </c>
      <c r="G6" s="11" t="inlineStr">
        <is>
          <t>Cost of sales (68,926) (49,668)</t>
        </is>
      </c>
    </row>
    <row r="7">
      <c r="A7" s="8" t="inlineStr">
        <is>
          <t>Income Statement</t>
        </is>
      </c>
      <c r="B7" s="8" t="inlineStr">
        <is>
          <t>Gross Profit</t>
        </is>
      </c>
      <c r="C7" s="12" t="n">
        <v>8494</v>
      </c>
      <c r="D7" s="13" t="n">
        <v>9404</v>
      </c>
      <c r="E7" s="14">
        <f>IF(ISERROR((C7-D7)/ABS(D7)),"",(C7-D7)/ABS(D7))</f>
        <v>-0.09676733304976606</v>
      </c>
      <c r="F7" s="11" t="inlineStr">
        <is>
          <t>PDF p.87 (印刷頁 86)</t>
        </is>
      </c>
      <c r="G7" s="11" t="inlineStr">
        <is>
          <t>Gross profit 8,494 9,404</t>
        </is>
      </c>
    </row>
    <row r="8">
      <c r="A8" s="8" t="inlineStr">
        <is>
          <t>Income Statement</t>
        </is>
      </c>
      <c r="B8" s="8" t="inlineStr">
        <is>
          <t>Operating Profit</t>
        </is>
      </c>
      <c r="C8" s="12" t="n">
        <v>-4210</v>
      </c>
      <c r="D8" s="13" t="n">
        <v>-10955</v>
      </c>
      <c r="E8" s="14">
        <f>IF(ISERROR((C8-D8)/ABS(D8)),"",(C8-D8)/ABS(D8))</f>
        <v>0.6157005933363761</v>
      </c>
      <c r="F8" s="11" t="inlineStr">
        <is>
          <t>PDF p.87 (印刷頁 86)</t>
        </is>
      </c>
      <c r="G8" s="11" t="inlineStr">
        <is>
          <t>Loss from operations (4,210) (10,955)</t>
        </is>
      </c>
    </row>
    <row r="9">
      <c r="A9" s="8" t="inlineStr">
        <is>
          <t>Income Statement</t>
        </is>
      </c>
      <c r="B9" s="8" t="inlineStr">
        <is>
          <t>Finance Costs</t>
        </is>
      </c>
      <c r="C9" s="12" t="n">
        <v>-933</v>
      </c>
      <c r="D9" s="13" t="n">
        <v>-1154</v>
      </c>
      <c r="E9" s="14">
        <f>IF(ISERROR((C9-D9)/ABS(D9)),"",(C9-D9)/ABS(D9))</f>
        <v>0.19150779896013864</v>
      </c>
      <c r="F9" s="11" t="inlineStr">
        <is>
          <t>PDF p.87 (印刷頁 86)</t>
        </is>
      </c>
      <c r="G9" s="11" t="inlineStr">
        <is>
          <t>Finance costs 14 (933) (1,154)</t>
        </is>
      </c>
    </row>
    <row r="10">
      <c r="A10" s="8" t="inlineStr">
        <is>
          <t>Income Statement</t>
        </is>
      </c>
      <c r="B10" s="8" t="inlineStr">
        <is>
          <t>Profit Before Tax</t>
        </is>
      </c>
      <c r="C10" s="12" t="n">
        <v>-5157</v>
      </c>
      <c r="D10" s="13" t="n">
        <v>-12698</v>
      </c>
      <c r="E10" s="14">
        <f>IF(ISERROR((C10-D10)/ABS(D10)),"",(C10-D10)/ABS(D10))</f>
        <v>0.5938730508741534</v>
      </c>
      <c r="F10" s="11" t="inlineStr">
        <is>
          <t>PDF p.87 (印刷頁 86)</t>
        </is>
      </c>
      <c r="G10" s="11" t="inlineStr">
        <is>
          <t>Loss before tax 12 (5,157) (12,698)</t>
        </is>
      </c>
    </row>
    <row r="11">
      <c r="A11" s="8" t="inlineStr">
        <is>
          <t>Income Statement</t>
        </is>
      </c>
      <c r="B11" s="8" t="inlineStr">
        <is>
          <t>Income Tax</t>
        </is>
      </c>
      <c r="C11" s="12" t="n">
        <v>-599</v>
      </c>
      <c r="D11" s="13" t="n">
        <v>-438</v>
      </c>
      <c r="E11" s="14">
        <f>IF(ISERROR((C11-D11)/ABS(D11)),"",(C11-D11)/ABS(D11))</f>
        <v>-0.3675799086757991</v>
      </c>
      <c r="F11" s="11" t="inlineStr">
        <is>
          <t>PDF p.87 (印刷頁 86)</t>
        </is>
      </c>
      <c r="G11" s="11" t="inlineStr">
        <is>
          <t>Income tax expense 15 (599) (438)</t>
        </is>
      </c>
    </row>
    <row r="12">
      <c r="A12" s="8" t="inlineStr">
        <is>
          <t>Income Statement</t>
        </is>
      </c>
      <c r="B12" s="8" t="inlineStr">
        <is>
          <t>Profit for the Year</t>
        </is>
      </c>
      <c r="C12" s="12" t="n">
        <v>-5756</v>
      </c>
      <c r="D12" s="13" t="n">
        <v>-13136</v>
      </c>
      <c r="E12" s="14">
        <f>IF(ISERROR((C12-D12)/ABS(D12)),"",(C12-D12)/ABS(D12))</f>
        <v>0.5618148599269184</v>
      </c>
      <c r="F12" s="11" t="inlineStr">
        <is>
          <t>PDF p.87 (印刷頁 86)</t>
        </is>
      </c>
      <c r="G12" s="11" t="inlineStr">
        <is>
          <t>Loss for the year from continuing operations (5,756) (13,136)</t>
        </is>
      </c>
    </row>
    <row r="13">
      <c r="A13" s="8" t="inlineStr">
        <is>
          <t>Balance Sheet</t>
        </is>
      </c>
      <c r="B13" s="8" t="inlineStr">
        <is>
          <t>Property Plant and Equipment</t>
        </is>
      </c>
      <c r="C13" s="12" t="n">
        <v>15704</v>
      </c>
      <c r="D13" s="13" t="n">
        <v>16145</v>
      </c>
      <c r="E13" s="14">
        <f>IF(ISERROR((C13-D13)/ABS(D13)),"",(C13-D13)/ABS(D13))</f>
        <v>-0.027314958191390522</v>
      </c>
      <c r="F13" s="11" t="inlineStr">
        <is>
          <t>PDF p.89 (印刷頁 88)</t>
        </is>
      </c>
      <c r="G13" s="11" t="inlineStr">
        <is>
          <t>Property, plant and equipment 19 15,704 16,145</t>
        </is>
      </c>
    </row>
    <row r="14">
      <c r="A14" s="8" t="inlineStr">
        <is>
          <t>Balance Sheet</t>
        </is>
      </c>
      <c r="B14" s="8" t="inlineStr">
        <is>
          <t>Goodwill</t>
        </is>
      </c>
      <c r="C14" s="12" t="n">
        <v>0</v>
      </c>
      <c r="D14" s="13" t="n">
        <v>0</v>
      </c>
      <c r="E14" s="14" t="str">
        <f>IF(ISERROR((C14-D14)/ABS(D14)),"",(C14-D14)/ABS(D14))</f>
        <v/>
      </c>
      <c r="F14" s="11" t="inlineStr">
        <is>
          <t>PDF p.89 (印刷頁 88)</t>
        </is>
      </c>
      <c r="G14" s="11" t="inlineStr">
        <is>
          <t>Goodwill 21 – –</t>
        </is>
      </c>
    </row>
    <row r="15">
      <c r="A15" s="8" t="inlineStr">
        <is>
          <t>Balance Sheet</t>
        </is>
      </c>
      <c r="B15" s="8" t="inlineStr">
        <is>
          <t>Intangible Assets</t>
        </is>
      </c>
      <c r="C15" s="12" t="n">
        <v>33</v>
      </c>
      <c r="D15" s="13" t="n">
        <v>65</v>
      </c>
      <c r="E15" s="14">
        <f>IF(ISERROR((C15-D15)/ABS(D15)),"",(C15-D15)/ABS(D15))</f>
        <v>-0.49230769230769234</v>
      </c>
      <c r="F15" s="11" t="inlineStr">
        <is>
          <t>PDF p.89 (印刷頁 88)</t>
        </is>
      </c>
      <c r="G15" s="11" t="inlineStr">
        <is>
          <t>Intangible assets 22 33 65</t>
        </is>
      </c>
    </row>
    <row r="16">
      <c r="A16" s="8" t="inlineStr">
        <is>
          <t>Balance Sheet</t>
        </is>
      </c>
      <c r="B16" s="8" t="inlineStr">
        <is>
          <t>Trade Receivables</t>
        </is>
      </c>
      <c r="C16" s="12" t="n">
        <v>47601</v>
      </c>
      <c r="D16" s="13" t="n">
        <v>49607</v>
      </c>
      <c r="E16" s="14">
        <f>IF(ISERROR((C16-D16)/ABS(D16)),"",(C16-D16)/ABS(D16))</f>
        <v>-0.04043784143366864</v>
      </c>
      <c r="F16" s="11" t="inlineStr">
        <is>
          <t>PDF p.89 (印刷頁 88)</t>
        </is>
      </c>
      <c r="G16" s="11" t="inlineStr">
        <is>
          <t>Trade and other receivables 24 47,601 49,607</t>
        </is>
      </c>
    </row>
    <row r="17">
      <c r="A17" s="8" t="inlineStr">
        <is>
          <t>Balance Sheet</t>
        </is>
      </c>
      <c r="B17" s="8" t="inlineStr">
        <is>
          <t>Cash and Equivalents</t>
        </is>
      </c>
      <c r="C17" s="12" t="n">
        <v>27442</v>
      </c>
      <c r="D17" s="13" t="n">
        <v>4395</v>
      </c>
      <c r="E17" s="14">
        <f>IF(ISERROR((C17-D17)/ABS(D17)),"",(C17-D17)/ABS(D17))</f>
        <v>5.2439135381114905</v>
      </c>
      <c r="F17" s="11" t="inlineStr">
        <is>
          <t>PDF p.89 (印刷頁 88)</t>
        </is>
      </c>
      <c r="G17" s="11" t="inlineStr">
        <is>
          <t>Cash and cash equivalents 27(a) 27,442 4,395</t>
        </is>
      </c>
    </row>
    <row r="18">
      <c r="A18" s="8" t="inlineStr">
        <is>
          <t>Balance Sheet</t>
        </is>
      </c>
      <c r="B18" s="8" t="inlineStr">
        <is>
          <t>Borrowings</t>
        </is>
      </c>
      <c r="C18" s="12" t="n">
        <v>11386</v>
      </c>
      <c r="D18" s="13" t="n">
        <v>17045</v>
      </c>
      <c r="E18" s="14">
        <f>IF(ISERROR((C18-D18)/ABS(D18)),"",(C18-D18)/ABS(D18))</f>
        <v>-0.3320035200938692</v>
      </c>
      <c r="F18" s="11" t="inlineStr">
        <is>
          <t>PDF p.89 (印刷頁 88)</t>
        </is>
      </c>
      <c r="G18" s="11" t="inlineStr">
        <is>
          <t>Borrowings 30 11,386 17,045</t>
        </is>
      </c>
    </row>
    <row r="19">
      <c r="A19" s="8" t="inlineStr">
        <is>
          <t>Balance Sheet</t>
        </is>
      </c>
      <c r="B19" s="8" t="inlineStr">
        <is>
          <t>Total Equity</t>
        </is>
      </c>
      <c r="C19" s="12" t="n">
        <v>97960</v>
      </c>
      <c r="D19" s="13" t="n">
        <v>82416</v>
      </c>
      <c r="E19" s="14">
        <f>IF(ISERROR((C19-D19)/ABS(D19)),"",(C19-D19)/ABS(D19))</f>
        <v>0.18860415453310037</v>
      </c>
      <c r="F19" s="11" t="inlineStr">
        <is>
          <t>PDF p.90 (印刷頁 89)</t>
        </is>
      </c>
      <c r="G19" s="11" t="inlineStr">
        <is>
          <t>Total equity 97,960 82,416</t>
        </is>
      </c>
    </row>
    <row r="20">
      <c r="A20" s="8" t="inlineStr">
        <is>
          <t>Balance Sheet</t>
        </is>
      </c>
      <c r="B20" s="8" t="inlineStr">
        <is>
          <t>Total Current Assets</t>
        </is>
      </c>
      <c r="C20" s="12" t="n">
        <v>135832</v>
      </c>
      <c r="D20" s="13" t="n">
        <v>100855</v>
      </c>
      <c r="E20" s="14">
        <f>IF(ISERROR((C20-D20)/ABS(D20)),"",(C20-D20)/ABS(D20))</f>
        <v>0.3468048187992663</v>
      </c>
      <c r="F20" s="11" t="inlineStr">
        <is>
          <t>PDF p.89 (印刷頁 88)</t>
        </is>
      </c>
      <c r="G20" s="11" t="inlineStr">
        <is>
          <t>[current assets 區段小計] 135,832 100,855</t>
        </is>
      </c>
    </row>
    <row r="21">
      <c r="A21" s="8" t="inlineStr">
        <is>
          <t>Balance Sheet</t>
        </is>
      </c>
      <c r="B21" s="8" t="inlineStr">
        <is>
          <t>Total Current Liabilities</t>
        </is>
      </c>
      <c r="C21" s="12" t="n">
        <v>62212</v>
      </c>
      <c r="D21" s="13" t="n">
        <v>40882</v>
      </c>
      <c r="E21" s="14">
        <f>IF(ISERROR((C21-D21)/ABS(D21)),"",(C21-D21)/ABS(D21))</f>
        <v>0.5217455114720415</v>
      </c>
      <c r="F21" s="11" t="inlineStr">
        <is>
          <t>PDF p.89 (印刷頁 88)</t>
        </is>
      </c>
      <c r="G21" s="11" t="inlineStr">
        <is>
          <t>[current liabilities 區段小計] 62,212 40,882</t>
        </is>
      </c>
    </row>
    <row r="22">
      <c r="A22" s="8" t="inlineStr">
        <is>
          <t>Cash Flow</t>
        </is>
      </c>
      <c r="B22" s="8" t="inlineStr">
        <is>
          <t>Operating Cash Flow</t>
        </is>
      </c>
      <c r="C22" s="12" t="n">
        <v>11512</v>
      </c>
      <c r="D22" s="13" t="n">
        <v>-17537</v>
      </c>
      <c r="E22" s="14">
        <f>IF(ISERROR((C22-D22)/ABS(D22)),"",(C22-D22)/ABS(D22))</f>
        <v>1.6564406683013058</v>
      </c>
      <c r="F22" s="11" t="inlineStr">
        <is>
          <t>PDF p.92 (印刷頁 91)</t>
        </is>
      </c>
      <c r="G22" s="11" t="inlineStr">
        <is>
          <t>Cash generated from/(used in) operations 11,512 (17,537)</t>
        </is>
      </c>
    </row>
    <row r="23">
      <c r="A23" s="8" t="inlineStr">
        <is>
          <t>Cash Flow</t>
        </is>
      </c>
      <c r="B23" s="8" t="inlineStr">
        <is>
          <t>Capital Expenditure</t>
        </is>
      </c>
      <c r="C23" s="12" t="n">
        <v>-247</v>
      </c>
      <c r="D23" s="13" t="n">
        <v>-218</v>
      </c>
      <c r="E23" s="14">
        <f>IF(ISERROR((C23-D23)/ABS(D23)),"",(C23-D23)/ABS(D23))</f>
        <v>-0.13302752293577982</v>
      </c>
      <c r="F23" s="11" t="inlineStr">
        <is>
          <t>PDF p.93 (印刷頁 92)</t>
        </is>
      </c>
      <c r="G23" s="11" t="inlineStr">
        <is>
          <t>Purchase of property, plant and equipment (247) (218)</t>
        </is>
      </c>
    </row>
    <row r="24">
      <c r="A24" s="8" t="inlineStr">
        <is>
          <t>Cash Flow</t>
        </is>
      </c>
      <c r="B24" s="8" t="inlineStr">
        <is>
          <t>Investing Cash Flow</t>
        </is>
      </c>
      <c r="C24" s="12" t="n">
        <v>-7155</v>
      </c>
      <c r="D24" s="13" t="n">
        <v>-298</v>
      </c>
      <c r="E24" s="14">
        <f>IF(ISERROR((C24-D24)/ABS(D24)),"",(C24-D24)/ABS(D24))</f>
        <v>-23.01006711409396</v>
      </c>
      <c r="F24" s="11" t="inlineStr">
        <is>
          <t>PDF p.93 (印刷頁 92)</t>
        </is>
      </c>
      <c r="G24" s="11" t="inlineStr">
        <is>
          <t>Net cash used in investing activities (7,155) (298)</t>
        </is>
      </c>
    </row>
    <row r="26">
      <c r="A26"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財務數據'!$C$5:$C$24,MATCH("Gross Profit",'Financials 財務數據'!$B$5:$B$24,0))/INDEX('Financials 財務數據'!$C$5:$C$24,MATCH("Revenue",'Financials 財務數據'!$B$5:$B$24,0))),"n/a",INDEX('Financials 財務數據'!$C$5:$C$24,MATCH("Gross Profit",'Financials 財務數據'!$B$5:$B$24,0))/INDEX('Financials 財務數據'!$C$5:$C$24,MATCH("Revenue",'Financials 財務數據'!$B$5:$B$24,0)))</f>
        <v>0.10971325238956342</v>
      </c>
      <c r="C5" s="15">
        <f>IF(ISERROR(INDEX('Financials 財務數據'!$D$5:$D$24,MATCH("Gross Profit",'Financials 財務數據'!$B$5:$B$24,0))/INDEX('Financials 財務數據'!$D$5:$D$24,MATCH("Revenue",'Financials 財務數據'!$B$5:$B$24,0))),"n/a",INDEX('Financials 財務數據'!$D$5:$D$24,MATCH("Gross Profit",'Financials 財務數據'!$B$5:$B$24,0))/INDEX('Financials 財務數據'!$D$5:$D$24,MATCH("Revenue",'Financials 財務數據'!$B$5:$B$24,0)))</f>
        <v>0.1591955579631636</v>
      </c>
      <c r="D5" s="2" t="inlineStr">
        <is>
          <t>毛利 ÷ 收入</t>
        </is>
      </c>
    </row>
    <row r="6">
      <c r="A6" s="4" t="inlineStr">
        <is>
          <t>Net Margin 淨利率</t>
        </is>
      </c>
      <c r="B6" s="15">
        <f>IF(ISERROR(INDEX('Financials 財務數據'!$C$5:$C$24,MATCH("Profit for the Year",'Financials 財務數據'!$B$5:$B$24,0))/INDEX('Financials 財務數據'!$C$5:$C$24,MATCH("Revenue",'Financials 財務數據'!$B$5:$B$24,0))),"n/a",INDEX('Financials 財務數據'!$C$5:$C$24,MATCH("Profit for the Year",'Financials 財務數據'!$B$5:$B$24,0))/INDEX('Financials 財務數據'!$C$5:$C$24,MATCH("Revenue",'Financials 財務數據'!$B$5:$B$24,0)))</f>
        <v>-0.07434771376905193</v>
      </c>
      <c r="C6" s="15">
        <f>IF(ISERROR(INDEX('Financials 財務數據'!$D$5:$D$24,MATCH("Profit for the Year",'Financials 財務數據'!$B$5:$B$24,0))/INDEX('Financials 財務數據'!$D$5:$D$24,MATCH("Revenue",'Financials 財務數據'!$B$5:$B$24,0))),"n/a",INDEX('Financials 財務數據'!$D$5:$D$24,MATCH("Profit for the Year",'Financials 財務數據'!$B$5:$B$24,0))/INDEX('Financials 財務數據'!$D$5:$D$24,MATCH("Revenue",'Financials 財務數據'!$B$5:$B$24,0)))</f>
        <v>-0.22237269772481041</v>
      </c>
      <c r="D6" s="2" t="inlineStr">
        <is>
          <t>年內溢利 ÷ 收入</t>
        </is>
      </c>
    </row>
    <row r="7">
      <c r="A7" s="4" t="inlineStr">
        <is>
          <t>Current Ratio 流動比率</t>
        </is>
      </c>
      <c r="B7" s="16">
        <f>IF(ISERROR(INDEX('Financials 財務數據'!$C$5:$C$24,MATCH("Total Current Assets",'Financials 財務數據'!$B$5:$B$24,0))/INDEX('Financials 財務數據'!$C$5:$C$24,MATCH("Total Current Liabilities",'Financials 財務數據'!$B$5:$B$24,0))),"n/a",INDEX('Financials 財務數據'!$C$5:$C$24,MATCH("Total Current Assets",'Financials 財務數據'!$B$5:$B$24,0))/INDEX('Financials 財務數據'!$C$5:$C$24,MATCH("Total Current Liabilities",'Financials 財務數據'!$B$5:$B$24,0)))</f>
        <v>2.1833729827043014</v>
      </c>
      <c r="C7" s="16">
        <f>IF(ISERROR(INDEX('Financials 財務數據'!$D$5:$D$24,MATCH("Total Current Assets",'Financials 財務數據'!$B$5:$B$24,0))/INDEX('Financials 財務數據'!$D$5:$D$24,MATCH("Total Current Liabilities",'Financials 財務數據'!$B$5:$B$24,0))),"n/a",INDEX('Financials 財務數據'!$D$5:$D$24,MATCH("Total Current Assets",'Financials 財務數據'!$B$5:$B$24,0))/INDEX('Financials 財務數據'!$D$5:$D$24,MATCH("Total Current Liabilities",'Financials 財務數據'!$B$5:$B$24,0)))</f>
        <v>2.466978132185314</v>
      </c>
      <c r="D7" s="2" t="inlineStr">
        <is>
          <t>流動資產 ÷ 流動負債</t>
        </is>
      </c>
    </row>
    <row r="8">
      <c r="A8" s="4" t="inlineStr">
        <is>
          <t>Debt / Equity 負債權益比</t>
        </is>
      </c>
      <c r="B8" s="16" t="str">
        <f>IF(ISERROR(INDEX('Financials 財務數據'!$C$5:$C$24,MATCH("Total Liabilities",'Financials 財務數據'!$B$5:$B$24,0))/INDEX('Financials 財務數據'!$C$5:$C$24,MATCH("Total Equity",'Financials 財務數據'!$B$5:$B$24,0))),"n/a",INDEX('Financials 財務數據'!$C$5:$C$24,MATCH("Total Liabilities",'Financials 財務數據'!$B$5:$B$24,0))/INDEX('Financials 財務數據'!$C$5:$C$24,MATCH("Total Equity",'Financials 財務數據'!$B$5:$B$24,0)))</f>
        <v>n/a</v>
      </c>
      <c r="C8" s="16" t="str">
        <f>IF(ISERROR(INDEX('Financials 財務數據'!$D$5:$D$24,MATCH("Total Liabilities",'Financials 財務數據'!$B$5:$B$24,0))/INDEX('Financials 財務數據'!$D$5:$D$24,MATCH("Total Equity",'Financials 財務數據'!$B$5:$B$24,0))),"n/a",INDEX('Financials 財務數據'!$D$5:$D$24,MATCH("Total Liabilities",'Financials 財務數據'!$B$5:$B$24,0))/INDEX('Financials 財務數據'!$D$5:$D$24,MATCH("Total Equity",'Financials 財務數據'!$B$5:$B$24,0)))</f>
        <v>n/a</v>
      </c>
      <c r="D8" s="2" t="inlineStr">
        <is>
          <t>總負債 ÷ 總權益</t>
        </is>
      </c>
    </row>
    <row r="9">
      <c r="A9" s="4" t="inlineStr">
        <is>
          <t>Goodwill / Total Assets</t>
        </is>
      </c>
      <c r="B9" s="15" t="str">
        <f>IF(ISERROR(INDEX('Financials 財務數據'!$C$5:$C$24,MATCH("Goodwill",'Financials 財務數據'!$B$5:$B$24,0))/INDEX('Financials 財務數據'!$C$5:$C$24,MATCH("Total Assets",'Financials 財務數據'!$B$5:$B$24,0))),"n/a",INDEX('Financials 財務數據'!$C$5:$C$24,MATCH("Goodwill",'Financials 財務數據'!$B$5:$B$24,0))/INDEX('Financials 財務數據'!$C$5:$C$24,MATCH("Total Assets",'Financials 財務數據'!$B$5:$B$24,0)))</f>
        <v>n/a</v>
      </c>
      <c r="C9" s="15" t="str">
        <f>IF(ISERROR(INDEX('Financials 財務數據'!$D$5:$D$24,MATCH("Goodwill",'Financials 財務數據'!$B$5:$B$24,0))/INDEX('Financials 財務數據'!$D$5:$D$24,MATCH("Total Assets",'Financials 財務數據'!$B$5:$B$24,0))),"n/a",INDEX('Financials 財務數據'!$D$5:$D$24,MATCH("Goodwill",'Financials 財務數據'!$B$5:$B$24,0))/INDEX('Financials 財務數據'!$D$5:$D$24,MATCH("Total Assets",'Financials 財務數據'!$B$5:$B$24,0)))</f>
        <v>n/a</v>
      </c>
      <c r="D9" s="2" t="inlineStr">
        <is>
          <t>商譽佔總資產比重 — 減值風險指標</t>
        </is>
      </c>
    </row>
    <row r="10">
      <c r="A10" s="4" t="inlineStr">
        <is>
          <t>Intangibles / Total Assets</t>
        </is>
      </c>
      <c r="B10" s="15" t="str">
        <f>IF(ISERROR(INDEX('Financials 財務數據'!$C$5:$C$24,MATCH("Intangible Assets",'Financials 財務數據'!$B$5:$B$24,0))/INDEX('Financials 財務數據'!$C$5:$C$24,MATCH("Total Assets",'Financials 財務數據'!$B$5:$B$24,0))),"n/a",INDEX('Financials 財務數據'!$C$5:$C$24,MATCH("Intangible Assets",'Financials 財務數據'!$B$5:$B$24,0))/INDEX('Financials 財務數據'!$C$5:$C$24,MATCH("Total Assets",'Financials 財務數據'!$B$5:$B$24,0)))</f>
        <v>n/a</v>
      </c>
      <c r="C10" s="15" t="str">
        <f>IF(ISERROR(INDEX('Financials 財務數據'!$D$5:$D$24,MATCH("Intangible Assets",'Financials 財務數據'!$B$5:$B$24,0))/INDEX('Financials 財務數據'!$D$5:$D$24,MATCH("Total Assets",'Financials 財務數據'!$B$5:$B$24,0))),"n/a",INDEX('Financials 財務數據'!$D$5:$D$24,MATCH("Intangible Assets",'Financials 財務數據'!$B$5:$B$24,0))/INDEX('Financials 財務數據'!$D$5:$D$24,MATCH("Total Assets",'Financials 財務數據'!$B$5:$B$24,0)))</f>
        <v>n/a</v>
      </c>
      <c r="D10" s="2" t="inlineStr">
        <is>
          <t>無形資產佔比</t>
        </is>
      </c>
    </row>
    <row r="11">
      <c r="A11" s="4" t="inlineStr">
        <is>
          <t>ROE 股本回報率</t>
        </is>
      </c>
      <c r="B11" s="15">
        <f>IF(ISERROR(INDEX('Financials 財務數據'!$C$5:$C$24,MATCH("Profit for the Year",'Financials 財務數據'!$B$5:$B$24,0))/INDEX('Financials 財務數據'!$C$5:$C$24,MATCH("Total Equity",'Financials 財務數據'!$B$5:$B$24,0))),"n/a",INDEX('Financials 財務數據'!$C$5:$C$24,MATCH("Profit for the Year",'Financials 財務數據'!$B$5:$B$24,0))/INDEX('Financials 財務數據'!$C$5:$C$24,MATCH("Total Equity",'Financials 財務數據'!$B$5:$B$24,0)))</f>
        <v>-0.058758677011024905</v>
      </c>
      <c r="C11" s="15">
        <f>IF(ISERROR(INDEX('Financials 財務數據'!$D$5:$D$24,MATCH("Profit for the Year",'Financials 財務數據'!$B$5:$B$24,0))/INDEX('Financials 財務數據'!$D$5:$D$24,MATCH("Total Equity",'Financials 財務數據'!$B$5:$B$24,0))),"n/a",INDEX('Financials 財務數據'!$D$5:$D$24,MATCH("Profit for the Year",'Financials 財務數據'!$B$5:$B$24,0))/INDEX('Financials 財務數據'!$D$5:$D$24,MATCH("Total Equity",'Financials 財務數據'!$B$5:$B$24,0)))</f>
        <v>-0.1593865268879829</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59072</v>
      </c>
      <c r="C5" s="18" t="n">
        <v>77420</v>
      </c>
    </row>
    <row r="6">
      <c r="A6" s="4" t="inlineStr">
        <is>
          <t>Gross Profit</t>
        </is>
      </c>
      <c r="B6" s="18" t="n">
        <v>9404</v>
      </c>
      <c r="C6" s="18" t="n">
        <v>8494</v>
      </c>
    </row>
    <row r="7">
      <c r="A7" s="4" t="inlineStr">
        <is>
          <t>Profit Before Tax</t>
        </is>
      </c>
      <c r="B7" s="18" t="n">
        <v>-12698</v>
      </c>
      <c r="C7" s="18" t="n">
        <v>-5157</v>
      </c>
    </row>
    <row r="8">
      <c r="A8" s="4" t="inlineStr">
        <is>
          <t>Profit for the Year</t>
        </is>
      </c>
      <c r="B8" s="18" t="n">
        <v>-13136</v>
      </c>
      <c r="C8" s="18" t="n">
        <v>-5756</v>
      </c>
    </row>
    <row r="9">
      <c r="A9" s="4" t="inlineStr">
        <is>
          <t>Total Equity</t>
        </is>
      </c>
      <c r="B9" s="18" t="n">
        <v>82416</v>
      </c>
      <c r="C9" s="18" t="n">
        <v>97960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9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valuation technique</t>
        </is>
      </c>
      <c r="E4" s="11" t="inlineStr">
        <is>
          <t>PDF p.120 (印刷頁 119)</t>
        </is>
      </c>
      <c r="F4" s="11" t="inlineStr">
        <is>
          <t>mined based on the discounted cash flow projections. Calculation of fair values by asset-based approach and market approach requires valuation technique which used information generated by market transactions involving identical and comparable group of assets and liabilities to adjust the book value of joint venture’s assets. Independent external valuers were also involved in the fair value and value in use assessments, where appropriate. The carrying amount of the Group’s investments in joint ventures as at 31 March 2026 was a</t>
        </is>
      </c>
    </row>
    <row r="5">
      <c r="A5" s="8" t="inlineStr">
        <is>
          <t>Fair Value Measurement</t>
        </is>
      </c>
      <c r="B5" s="8" t="inlineStr">
        <is>
          <t>公允價值計量</t>
        </is>
      </c>
      <c r="C5" s="19" t="inlineStr">
        <is>
          <t>high</t>
        </is>
      </c>
      <c r="D5" s="11" t="inlineStr">
        <is>
          <t>fair value hierarchy</t>
        </is>
      </c>
      <c r="E5" s="11" t="inlineStr">
        <is>
          <t>PDF p.136 (印刷頁 135)</t>
        </is>
      </c>
      <c r="F5" s="11" t="inlineStr">
        <is>
          <t>e, by level of the inputs to valuation techniques used to measure fair value. Such inputs are categorised into three levels within a fair value hierarchy as follows: Level 1: Quoted prices (unadjusted) in active markets for identical assets or liabilities that the Group can access at the measurement date. Level 2: Inputs other than quoted prices included within Level 1 that are observable for the asset or liability, either directly or indirectly. Level 3: Unobservable inputs for the asset or liability. The directors of the Grou</t>
        </is>
      </c>
    </row>
    <row r="6">
      <c r="A6" s="8" t="inlineStr">
        <is>
          <t>Fair Value Measurement</t>
        </is>
      </c>
      <c r="B6" s="8" t="inlineStr">
        <is>
          <t>公允價值計量</t>
        </is>
      </c>
      <c r="C6" s="19" t="inlineStr">
        <is>
          <t>high</t>
        </is>
      </c>
      <c r="D6" s="11" t="inlineStr">
        <is>
          <t>level 3</t>
        </is>
      </c>
      <c r="E6" s="11" t="inlineStr">
        <is>
          <t>PDF p.137 (印刷頁 136)</t>
        </is>
      </c>
      <c r="F6" s="11" t="inlineStr">
        <is>
          <t>or the year ended 31 March 2026 7 FAIR VALUE MEASUREMENTS (Continued) Fair value measurements using significant unobservable inputs (Level 3) The Group’s financial controller is responsible for the fair value measurements of assets and liabilities required for financial reporting purposes, including Level 3 fair value measurements. The financial controller reports directly to the board of directors for these fair value measurements. Discussions of valuation processes and results are held between the financial controller and the</t>
        </is>
      </c>
    </row>
    <row r="7">
      <c r="A7" s="8" t="inlineStr">
        <is>
          <t>Fair Value Measurement</t>
        </is>
      </c>
      <c r="B7" s="8" t="inlineStr">
        <is>
          <t>公允價值計量</t>
        </is>
      </c>
      <c r="C7" s="19" t="inlineStr">
        <is>
          <t>high</t>
        </is>
      </c>
      <c r="D7" s="11" t="inlineStr">
        <is>
          <t>fair value hierarchy</t>
        </is>
      </c>
      <c r="E7" s="11" t="inlineStr">
        <is>
          <t>PDF p.138 (印刷頁 137)</t>
        </is>
      </c>
      <c r="F7" s="11" t="inlineStr">
        <is>
          <t>elow sets out information about significant inputs used at year end in measuring financial instruments categorised as Level 3 in the fair value hierarchy. Relationship of Valuation Unobservable unobservable Description Fair value technique inputs inputs to fair value S$’000 2026 Property A 13,500 Direct comparison Market unit The higher the market approach rate, taking into unit rate, the higher account the recent the fair value transaction prices for similar properties adjusted for location and conditions of the property, whic</t>
        </is>
      </c>
    </row>
    <row r="8">
      <c r="A8" s="8" t="inlineStr">
        <is>
          <t>Fair Value Measurement</t>
        </is>
      </c>
      <c r="B8" s="8" t="inlineStr">
        <is>
          <t>公允價值計量</t>
        </is>
      </c>
      <c r="C8" s="19" t="inlineStr">
        <is>
          <t>high</t>
        </is>
      </c>
      <c r="D8" s="11" t="inlineStr">
        <is>
          <t>level 3</t>
        </is>
      </c>
      <c r="E8" s="11" t="inlineStr">
        <is>
          <t>PDF p.139 (印刷頁 138)</t>
        </is>
      </c>
      <c r="F8" s="11" t="inlineStr">
        <is>
          <t>or the year ended 31 March 2026 7 FAIR VALUE MEASUREMENTS (Continued) Fair value measurements using significant unobservable inputs (Level 3) (Continued) Relationship of Valuation Unobservable unobservable Description Fair value technique inputs inputs to fair value S$’000 2025 Property A 13,200 Direct comparison Market unit The higher the market approach rate, taking into unit rate, the higher account the recent the fair value transaction prices for similar properties adjusted for location and conditions of the property, which</t>
        </is>
      </c>
    </row>
    <row r="9">
      <c r="A9" s="8" t="inlineStr">
        <is>
          <t>Fair Value Measurement</t>
        </is>
      </c>
      <c r="B9" s="8" t="inlineStr">
        <is>
          <t>公允價值計量</t>
        </is>
      </c>
      <c r="C9" s="19" t="inlineStr">
        <is>
          <t>high</t>
        </is>
      </c>
      <c r="D9" s="11" t="inlineStr">
        <is>
          <t>level 3</t>
        </is>
      </c>
      <c r="E9" s="11" t="inlineStr">
        <is>
          <t>PDF p.161 (印刷頁 160)</t>
        </is>
      </c>
      <c r="F9" s="11" t="inlineStr">
        <is>
          <t>Development (Zhongshan) Company Limited (“TPPID”) as at 31 March 2026 and 2025, the management has adopted the asset-based approach (Level 3 fair value measurements), which is focusing on the net asset value of these joint ventures determined based on the fair values of their total assets minus their total liabilities. 160 Pengo Holdings Group Limited Annual Report 2026</t>
        </is>
      </c>
    </row>
    <row r="10">
      <c r="A10" s="8" t="inlineStr">
        <is>
          <t>Fair Value Measurement</t>
        </is>
      </c>
      <c r="B10" s="8" t="inlineStr">
        <is>
          <t>公允價值計量</t>
        </is>
      </c>
      <c r="C10" s="19" t="inlineStr">
        <is>
          <t>high</t>
        </is>
      </c>
      <c r="D10" s="11" t="inlineStr">
        <is>
          <t>independent valuer</t>
        </is>
      </c>
      <c r="E10" s="11" t="inlineStr">
        <is>
          <t>PDF p.162 (印刷頁 161)</t>
        </is>
      </c>
      <c r="F10" s="11" t="inlineStr">
        <is>
          <t>AMOUNTS DUE FROM JOINT VENTURES (Continued) (a) Investments in joint ventures (Continued) Pursuant to the valuation report from the independent valuer, the recoverable amount of TPPID as at 31 March 2026 and 2025 exceeded its carrying value and thus there was no impairment in respect of the investment in TPPID as at 31 March 2026 and 2025. Investment in Trendzon Zhilian (Shenzhen) Technology Company Limited Trendzon Zhilian (Shenzhen) Technology Company Limited was disposed on 15 November 2024 during the year ended 31 March 20</t>
        </is>
      </c>
    </row>
    <row r="11">
      <c r="A11" s="8" t="inlineStr">
        <is>
          <t>Impairment Testing</t>
        </is>
      </c>
      <c r="B11" s="8" t="inlineStr">
        <is>
          <t>減值測試</t>
        </is>
      </c>
      <c r="C11" s="19" t="inlineStr">
        <is>
          <t>high</t>
        </is>
      </c>
      <c r="D11" s="11" t="inlineStr">
        <is>
          <t>impairment loss</t>
        </is>
      </c>
      <c r="E11" s="11" t="inlineStr">
        <is>
          <t>PDF p.87 (印刷頁 86)</t>
        </is>
      </c>
      <c r="F11" s="11" t="inlineStr">
        <is>
          <t>5,306) (23,436) Loss from operations (4,210) (10,955) Finance costs 14 (933) (1,154) Share of losses of joint ventures 23 (14) (491) Impairment loss on goodwill – (98) Loss before tax 12 (5,157) (12,698) Income tax expense 15 (599) (438) Loss for the year from continuing operations (5,756) (13,136) Discontinued operation Gain for the year from discontinued operation – 83 Loss for the year (5,756) (13,053) Other comprehensive income/(expenses) Item that will not be reclassified subsequently to profit or loss: Surplus on revaluat</t>
        </is>
      </c>
    </row>
    <row r="12">
      <c r="A12" s="8" t="inlineStr">
        <is>
          <t>Impairment Testing</t>
        </is>
      </c>
      <c r="B12" s="8" t="inlineStr">
        <is>
          <t>減值測試</t>
        </is>
      </c>
      <c r="C12" s="19" t="inlineStr">
        <is>
          <t>high</t>
        </is>
      </c>
      <c r="D12" s="11" t="inlineStr">
        <is>
          <t>impairment loss</t>
        </is>
      </c>
      <c r="E12" s="11" t="inlineStr">
        <is>
          <t>PDF p.92 (印刷頁 91)</t>
        </is>
      </c>
      <c r="F12" s="11" t="inlineStr">
        <is>
          <t>of subsidiaries (1,024) (176) Gain on termination of leases – (3) (Gain)/losses on disposal of property, plant and equipment (31) 28 Impairment loss on goodwill – 98 Allowance for expected credit losses of trade receivables and contract assets 347 172 Reversal for expected credit losses of other receivables, loan receivables and amounts due from joint ventures, net (20) (35) Share of losses of joint ventures 14 491 Interest income (63) (146) Finance costs 933 1,154 Operating loss before working capital changes (3,287) (8,969) (</t>
        </is>
      </c>
    </row>
    <row r="13">
      <c r="A13" s="8" t="inlineStr">
        <is>
          <t>Impairment Testing</t>
        </is>
      </c>
      <c r="B13" s="8" t="inlineStr">
        <is>
          <t>減值測試</t>
        </is>
      </c>
      <c r="C13" s="19" t="inlineStr">
        <is>
          <t>high</t>
        </is>
      </c>
      <c r="D13" s="11" t="inlineStr">
        <is>
          <t>impairment loss</t>
        </is>
      </c>
      <c r="E13" s="11" t="inlineStr">
        <is>
          <t>PDF p.97 (印刷頁 96)</t>
        </is>
      </c>
      <c r="F13" s="11" t="inlineStr">
        <is>
          <t>Separate financial statements In the Company’s statement of financial position, an investment in a subsidiary is stated at cost less impairment loss, unless the investment is classified as held for sale (or included in a disposal group that is classified as held for sale). Cost includes direct attributable costs of investments. The results of subsidiaries are accounted for by the Company on the basis of dividend received or receivable. 4.3 Business combination and goodwill The acquisition method is used to account for the acqui</t>
        </is>
      </c>
    </row>
    <row r="14">
      <c r="A14" s="8" t="inlineStr">
        <is>
          <t>Impairment Testing</t>
        </is>
      </c>
      <c r="B14" s="8" t="inlineStr">
        <is>
          <t>減值測試</t>
        </is>
      </c>
      <c r="C14" s="19" t="inlineStr">
        <is>
          <t>high</t>
        </is>
      </c>
      <c r="D14" s="11" t="inlineStr">
        <is>
          <t>impairment test</t>
        </is>
      </c>
      <c r="E14" s="11" t="inlineStr">
        <is>
          <t>PDF p.98 (印刷頁 97)</t>
        </is>
      </c>
      <c r="F14" s="11" t="inlineStr">
        <is>
          <t>goodwill (Continued) After initial recognition, goodwill is measured at cost less accumulated impairment losses. For the purpose of impairment testing, goodwill acquired in a business combination is allocated to each of the cash-generating units (“CGUs”) or groups of CGUs that is expected to benefit from the synergies of the combination. Each unit or group of units to which the goodwill is allocated represents the lowest level within the Group at which the goodwill is monitored for internal management purposes. Goodwill impair</t>
        </is>
      </c>
    </row>
    <row r="15">
      <c r="A15" s="8" t="inlineStr">
        <is>
          <t>Impairment Testing</t>
        </is>
      </c>
      <c r="B15" s="8" t="inlineStr">
        <is>
          <t>減值測試</t>
        </is>
      </c>
      <c r="C15" s="19" t="inlineStr">
        <is>
          <t>high</t>
        </is>
      </c>
      <c r="D15" s="11" t="inlineStr">
        <is>
          <t>impairment loss</t>
        </is>
      </c>
      <c r="E15" s="11" t="inlineStr">
        <is>
          <t>PDF p.99 (印刷頁 98)</t>
        </is>
      </c>
      <c r="F15" s="11" t="inlineStr">
        <is>
          <t>set by comparing its recoverable amount (higher of value in use and fair value less costs of disposal) with its carrying amount. Any impairment loss recognised is not allocated to any asset, including goodwill, that forms part of the carrying amount of the investment. Any reversal of that impairment loss is recognised in accordance with IAS 36 to the extent that the recoverable amount of the investment subsequently increases. The Group’s share of a joint venture’s post-acquisition profits or losses and other comprehensive incom</t>
        </is>
      </c>
    </row>
    <row r="16">
      <c r="A16" s="8" t="inlineStr">
        <is>
          <t>Impairment Testing</t>
        </is>
      </c>
      <c r="B16" s="8" t="inlineStr">
        <is>
          <t>減值測試</t>
        </is>
      </c>
      <c r="C16" s="19" t="inlineStr">
        <is>
          <t>high</t>
        </is>
      </c>
      <c r="D16" s="11" t="inlineStr">
        <is>
          <t>impairment loss</t>
        </is>
      </c>
      <c r="E16" s="11" t="inlineStr">
        <is>
          <t>PDF p.100 (印刷頁 99)</t>
        </is>
      </c>
      <c r="F16" s="11" t="inlineStr">
        <is>
          <t>ted in the consolidated statement of financial position at cost, less subsequent accumulated depreciation and subsequent accumulated impairment losses, if any. 99 Pengo Holdings Group Limited Annual Report 2026</t>
        </is>
      </c>
    </row>
    <row r="17">
      <c r="A17" s="8" t="inlineStr">
        <is>
          <t>Impairment Testing</t>
        </is>
      </c>
      <c r="B17" s="8" t="inlineStr">
        <is>
          <t>減值測試</t>
        </is>
      </c>
      <c r="C17" s="19" t="inlineStr">
        <is>
          <t>high</t>
        </is>
      </c>
      <c r="D17" s="11" t="inlineStr">
        <is>
          <t>impairment loss</t>
        </is>
      </c>
      <c r="E17" s="11" t="inlineStr">
        <is>
          <t>PDF p.101 (印刷頁 100)</t>
        </is>
      </c>
      <c r="F17" s="11" t="inlineStr">
        <is>
          <t>ed amounts, being the fair value at the date of revaluation, less any subsequent accumulated depreciation and subsequent accumulated impairment losses. Any revaluation increase arising on the revaluation of such leasehold properties are recognised in other comprehensive income and accumulated in revaluation reserve, except to the extent that it reverses a revaluation decrease for the same asset previously recognised in profit or loss, in which case the increase is credited to profit or loss to the extent of the decrease previou</t>
        </is>
      </c>
    </row>
    <row r="18">
      <c r="A18" s="8" t="inlineStr">
        <is>
          <t>Impairment Testing</t>
        </is>
      </c>
      <c r="B18" s="8" t="inlineStr">
        <is>
          <t>減值測試</t>
        </is>
      </c>
      <c r="C18" s="19" t="inlineStr">
        <is>
          <t>high</t>
        </is>
      </c>
      <c r="D18" s="11" t="inlineStr">
        <is>
          <t>impairment loss</t>
        </is>
      </c>
      <c r="E18" s="11" t="inlineStr">
        <is>
          <t>PDF p.102 (印刷頁 101)</t>
        </is>
      </c>
      <c r="F18" s="11" t="inlineStr">
        <is>
          <t>xpensed off when incurred. Computer software licences are subsequently carried at cost less accumulated amortisation and accumulated impairment losses. These costs are amortised to consolidated statement of profit or loss using the straight-line method over their estimated useful lives of 3 years. The amortisation period and amortisation method of intangible assets are reviewed at least at the end of each reporting date. The effects of any revision are recognised in profit or loss when the changes arise. (ii) Trading rights Tra</t>
        </is>
      </c>
    </row>
    <row r="19">
      <c r="A19" s="8" t="inlineStr">
        <is>
          <t>Impairment Testing</t>
        </is>
      </c>
      <c r="B19" s="8" t="inlineStr">
        <is>
          <t>減值測試</t>
        </is>
      </c>
      <c r="C19" s="19" t="inlineStr">
        <is>
          <t>high</t>
        </is>
      </c>
      <c r="D19" s="11" t="inlineStr">
        <is>
          <t>impairment loss</t>
        </is>
      </c>
      <c r="E19" s="11" t="inlineStr">
        <is>
          <t>PDF p.103 (印刷頁 102)</t>
        </is>
      </c>
      <c r="F19" s="11" t="inlineStr">
        <is>
          <t>date, and any initial direct costs incurred. The right-of-use asset is subsequently stated at cost less accumulated depreciation and impairment losses.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useful life and the lease term. 102 Pengo Holdings Group Limite</t>
        </is>
      </c>
    </row>
    <row r="20">
      <c r="A20" s="8" t="inlineStr">
        <is>
          <t>Impairment Testing</t>
        </is>
      </c>
      <c r="B20" s="8" t="inlineStr">
        <is>
          <t>減值測試</t>
        </is>
      </c>
      <c r="C20" s="19" t="inlineStr">
        <is>
          <t>high</t>
        </is>
      </c>
      <c r="D20" s="11" t="inlineStr">
        <is>
          <t>impairment loss</t>
        </is>
      </c>
      <c r="E20" s="11" t="inlineStr">
        <is>
          <t>PDF p.113 (印刷頁 112)</t>
        </is>
      </c>
      <c r="F20" s="11" t="inlineStr">
        <is>
          <t>t of profit or loss to its estimated recoverable amount unless the relevant asset is carried at a revalued amount, in which case the impairment loss is treated as a revaluation decrease. The recoverable amount is determined for an individual asset, unless the asset does not generate cash inflows that are largely independent of those from other assets or groups of assets. If this is the case, recoverable amount is determined for the cashgenerating unit to which the asset belongs. Recoverable amount is the higher of value in us</t>
        </is>
      </c>
    </row>
    <row r="21">
      <c r="A21" s="8" t="inlineStr">
        <is>
          <t>Impairment Testing</t>
        </is>
      </c>
      <c r="B21" s="8" t="inlineStr">
        <is>
          <t>減值測試</t>
        </is>
      </c>
      <c r="C21" s="19" t="inlineStr">
        <is>
          <t>high</t>
        </is>
      </c>
      <c r="D21" s="11" t="inlineStr">
        <is>
          <t>recoverable amount</t>
        </is>
      </c>
      <c r="E21" s="11" t="inlineStr">
        <is>
          <t>PDF p.118 (印刷頁 117)</t>
        </is>
      </c>
      <c r="F21" s="11" t="inlineStr">
        <is>
          <t>reporting period, the amount recoverable as estimated by management is included in the contract assets in determining the estimated recoverable amount. (b) Significant increase in credit risk As explained in Note 4.24, ECL are measured as an allowance equal to 12-month ECL for stage 1 assets, or lifetime ECL for stage 2 or stage 3 assets. An asset moves to stage 2 when its credit risk has increased significantly since initial recognition. IFRS 9 does not define what constitutes a significant increase in credit risk. In assessi</t>
        </is>
      </c>
    </row>
    <row r="22">
      <c r="A22" s="8" t="inlineStr">
        <is>
          <t>Impairment Testing</t>
        </is>
      </c>
      <c r="B22" s="8" t="inlineStr">
        <is>
          <t>減值測試</t>
        </is>
      </c>
      <c r="C22" s="19" t="inlineStr">
        <is>
          <t>high</t>
        </is>
      </c>
      <c r="D22" s="11" t="inlineStr">
        <is>
          <t>impairment loss</t>
        </is>
      </c>
      <c r="E22" s="11" t="inlineStr">
        <is>
          <t>PDF p.120 (印刷頁 119)</t>
        </is>
      </c>
      <c r="F22" s="11" t="inlineStr">
        <is>
          <t>Where the future cash flows are less than expected, or being revised downward due to changes in facts and circumstances, a material impairment loss may arise. As at 31 March 2026, the aggregated carrying amounts of trade receivables, other receivables, loan receivables, contract assets and amounts due from joint ventures are approximately S$75,820,000 (net of allowance for ECLs of approximately S$1,483,000) (2025: approximately S$67,134,000 (net of allowance for ECLs of approximately S$1,249,000)). (d) Impairment assessment of</t>
        </is>
      </c>
    </row>
    <row r="23">
      <c r="A23" s="8" t="inlineStr">
        <is>
          <t>Impairment Testing</t>
        </is>
      </c>
      <c r="B23" s="8" t="inlineStr">
        <is>
          <t>減值測試</t>
        </is>
      </c>
      <c r="C23" s="19" t="inlineStr">
        <is>
          <t>high</t>
        </is>
      </c>
      <c r="D23" s="11" t="inlineStr">
        <is>
          <t>impairment loss</t>
        </is>
      </c>
      <c r="E23" s="11" t="inlineStr">
        <is>
          <t>PDF p.126 (印刷頁 125)</t>
        </is>
      </c>
      <c r="F23" s="11" t="inlineStr">
        <is>
          <t>trade receivables and contract assets are as follows: As at 31 March 2026 Simplified approach Lifetime ECL S$’000 As at 1 April 745 Impairment losses recognised for the year 347 Disposal of subsidiaries (109) Exchange alignment 24 As at 31 March 1,007 As at 31 March 2025 Simplified approach Lifetime ECL S$’000 As at 1 April 379 Impairment losses recognised for the year 318 Acquisition of a subsidiary 48 As at 31 March 745 (ii) Loan receivables The Group adopted general approach for ECL of loan receivables. In order to minimise</t>
        </is>
      </c>
    </row>
    <row r="24">
      <c r="A24" s="8" t="inlineStr">
        <is>
          <t>Impairment Testing</t>
        </is>
      </c>
      <c r="B24" s="8" t="inlineStr">
        <is>
          <t>減值測試</t>
        </is>
      </c>
      <c r="C24" s="19" t="inlineStr">
        <is>
          <t>high</t>
        </is>
      </c>
      <c r="D24" s="11" t="inlineStr">
        <is>
          <t>impairment loss</t>
        </is>
      </c>
      <c r="E24" s="11" t="inlineStr">
        <is>
          <t>PDF p.130 (印刷頁 129)</t>
        </is>
      </c>
      <c r="F24" s="11" t="inlineStr">
        <is>
          <t>31 March 2026 ECL impaired) impaired) Total S$’000 S$’000 S$’000 S$’000 As at 1 April 90 – – 90 Transfer to lifetime ECL (36) 36 – – Impairment losses reversed for the year (49) (23) – (72) Exchange alignment (1) – – (1) As at 31 March 4 13 – 17 Loan receivables: General approach Lifetime Lifetime ECL ECL 12-month (non-credit (credit As at 31 March 2025 ECL impaired) impaired) Total S$’000 S$’000 S$’000 S$’000 As at 1 April 105 11 – 116 Impairment losses reversed for the year (14) (11) – (25) Exchange alignment (1) – – (1) As a</t>
        </is>
      </c>
    </row>
    <row r="25">
      <c r="A25" s="8" t="inlineStr">
        <is>
          <t>Impairment Testing</t>
        </is>
      </c>
      <c r="B25" s="8" t="inlineStr">
        <is>
          <t>減值測試</t>
        </is>
      </c>
      <c r="C25" s="19" t="inlineStr">
        <is>
          <t>high</t>
        </is>
      </c>
      <c r="D25" s="11" t="inlineStr">
        <is>
          <t>impairment loss</t>
        </is>
      </c>
      <c r="E25" s="11" t="inlineStr">
        <is>
          <t>PDF p.131 (印刷頁 130)</t>
        </is>
      </c>
      <c r="F25" s="11" t="inlineStr">
        <is>
          <t>c) Credit risk (Continued) General Deposits and other receivables: approach 12-month As at 31 March 2026 ECL S$’000 As at 1 April 87 Impairment losses recognised for the year 59 Disposal of subsidiaries (10) As at 31 March 136 General Deposits and other receivables: approach 12-month As at 31 March 2025 ECL S$’000 As at 1 April 232 Impairment losses recognised for the year (146) Exchange alignment 1 As at 31 March 87 130 Pengo Holdings Group Limited Annual Report 2026</t>
        </is>
      </c>
    </row>
    <row r="26">
      <c r="A26" s="8" t="inlineStr">
        <is>
          <t>Impairment Testing</t>
        </is>
      </c>
      <c r="B26" s="8" t="inlineStr">
        <is>
          <t>減值測試</t>
        </is>
      </c>
      <c r="C26" s="19" t="inlineStr">
        <is>
          <t>high</t>
        </is>
      </c>
      <c r="D26" s="11" t="inlineStr">
        <is>
          <t>impairment loss</t>
        </is>
      </c>
      <c r="E26" s="11" t="inlineStr">
        <is>
          <t>PDF p.132 (印刷頁 131)</t>
        </is>
      </c>
      <c r="F26" s="11" t="inlineStr">
        <is>
          <t>Credit risk (Continued) General Amounts due from joint ventures: approach 12-month As at 31 March 2026 ECL S$’000 As at 1 April 327 Impairment losses reversed for the year (7) Exchange alignment 3 As at 31 March 323 General Amounts due from joint ventures: approach 12-month As at 31 March 2025 ECL S$’000 As at 1 April 340 Impairment losses reversed for the year (10) Exchange alignment (3) As at 31 March 327 131 Pengo Holdings Group Limited Annual Report 2026</t>
        </is>
      </c>
    </row>
    <row r="27">
      <c r="A27" s="8" t="inlineStr">
        <is>
          <t>Impairment Testing</t>
        </is>
      </c>
      <c r="B27" s="8" t="inlineStr">
        <is>
          <t>減值測試</t>
        </is>
      </c>
      <c r="C27" s="19" t="inlineStr">
        <is>
          <t>high</t>
        </is>
      </c>
      <c r="D27" s="11" t="inlineStr">
        <is>
          <t>impairment loss</t>
        </is>
      </c>
      <c r="E27" s="11" t="inlineStr">
        <is>
          <t>PDF p.140 (印刷頁 139)</t>
        </is>
      </c>
      <c r="F27" s="11" t="inlineStr">
        <is>
          <t>72 8,494 9,404 Other income 1,955 3,467 Other gains/(losses), net 974 (253) Allowance for expected credit losses (“ECL”) (327) (137) Impairment loss on goodwill – (98) Share of losses of joint ventures (14) (491) Administrative expenses (15,306) (23,436) Finance costs (933) (1,154) Loss before tax (5,157) (12,698) Discontinued operation: Gain for the year from discontinued operation – 83 For the year ended 31 March 2026, there were three customers (2025: three) which individually contributed over 10% of the Group’s total revenu</t>
        </is>
      </c>
    </row>
    <row r="28">
      <c r="A28" s="8" t="inlineStr">
        <is>
          <t>Impairment Testing</t>
        </is>
      </c>
      <c r="B28" s="8" t="inlineStr">
        <is>
          <t>減值測試</t>
        </is>
      </c>
      <c r="C28" s="19" t="inlineStr">
        <is>
          <t>high</t>
        </is>
      </c>
      <c r="D28" s="11" t="inlineStr">
        <is>
          <t>impairment loss</t>
        </is>
      </c>
      <c r="E28" s="11" t="inlineStr">
        <is>
          <t>PDF p.155 (印刷頁 154)</t>
        </is>
      </c>
      <c r="F28" s="11" t="inlineStr">
        <is>
          <t>ould be approximately S$13,800,000 (2025: approximately S$13,769,000) had they been stated at cost less accumulated depreciation and impairment losses. Leasehold properties with carrying amount of Nil (2025: S$14,300,000) were pledged to the bank for term loans. Details are set out in Note 30(i). 154 Pengo Holdings Group Limited Annual Report 2026</t>
        </is>
      </c>
    </row>
    <row r="29">
      <c r="A29" s="8" t="inlineStr">
        <is>
          <t>Impairment Testing</t>
        </is>
      </c>
      <c r="B29" s="8" t="inlineStr">
        <is>
          <t>減值測試</t>
        </is>
      </c>
      <c r="C29" s="19" t="inlineStr">
        <is>
          <t>high</t>
        </is>
      </c>
      <c r="D29" s="11" t="inlineStr">
        <is>
          <t>impairment loss</t>
        </is>
      </c>
      <c r="E29" s="11" t="inlineStr">
        <is>
          <t>PDF p.157 (印刷頁 156)</t>
        </is>
      </c>
      <c r="F29" s="11" t="inlineStr">
        <is>
          <t>65 Addition 98 – 98 As at 31 March 2025, 1 April 2025 and 31 March 2026 98 65 163 Accumulated impairment: As at 1 April 2024 – 65 65 Impairment loss for the year 98 – 98 As at 31 March 2025, 1 April 2025 and 31 March 2026 98 65 163 Carrying values: As at 31 March 2026 – – – As at 31 March 2025 – – – Notes: (i) As at 31 March 2025, the goodwill has been allocated to one cash generating unit (“CGU”) representing the new 中山五桂山建築工程有限公司 acquired subsidiary (“Wuguishan”), which is engaged in infrastructures construction business whic</t>
        </is>
      </c>
    </row>
    <row r="30">
      <c r="A30" s="8" t="inlineStr">
        <is>
          <t>Impairment Testing</t>
        </is>
      </c>
      <c r="B30" s="8" t="inlineStr">
        <is>
          <t>減值測試</t>
        </is>
      </c>
      <c r="C30" s="19" t="inlineStr">
        <is>
          <t>high</t>
        </is>
      </c>
      <c r="D30" s="11" t="inlineStr">
        <is>
          <t>impairment loss</t>
        </is>
      </c>
      <c r="E30" s="11" t="inlineStr">
        <is>
          <t>PDF p.159 (印刷頁 158)</t>
        </is>
      </c>
      <c r="F30" s="11" t="inlineStr">
        <is>
          <t>JOINT VENTURES (a) Investments in joint ventures 2026 2025 S$’000 S$’000 Unlisted investments: Share of net assets 9,082 9,017 Less: impairment loss – – 9,082 9,017 Details of the Group’s joint ventures as at 31 March 2026 and 2025 are as follows: Place of Percentage of incorporation ownership interest/ /registration Registered and voting power held Principal Name /operation paid up capital by the Group activities 2026 2025 Trendzon Park The PRC/ RMB80,000,000 51% 51% – Real estate Project Investment Mainland China Paid: develo</t>
        </is>
      </c>
    </row>
    <row r="31">
      <c r="A31" s="8" t="inlineStr">
        <is>
          <t>Impairment Testing</t>
        </is>
      </c>
      <c r="B31" s="8" t="inlineStr">
        <is>
          <t>減值測試</t>
        </is>
      </c>
      <c r="C31" s="19" t="inlineStr">
        <is>
          <t>high</t>
        </is>
      </c>
      <c r="D31" s="11" t="inlineStr">
        <is>
          <t>recoverable amount</t>
        </is>
      </c>
      <c r="E31" s="11" t="inlineStr">
        <is>
          <t>PDF p.161 (印刷頁 160)</t>
        </is>
      </c>
      <c r="F31" s="11" t="inlineStr">
        <is>
          <t>gement assesses whether there is any indication that the investments in joint ventures may be impaired at each reporting period. The recoverable amounts of the investments in joint ventures are determined based on fair value less costs of disposal (“FVLCD”). The Group engaged Peak Vision Appraisals Limited, an independent valuer to determine the recoverable amounts of the investments in joint ventures as at 31 March 2026 and 2025. Investments in Trendzon Park Project Investment and Development (Zhongshan) Company Limited In det</t>
        </is>
      </c>
    </row>
    <row r="32">
      <c r="A32" s="8" t="inlineStr">
        <is>
          <t>Impairment Testing</t>
        </is>
      </c>
      <c r="B32" s="8" t="inlineStr">
        <is>
          <t>減值測試</t>
        </is>
      </c>
      <c r="C32" s="19" t="inlineStr">
        <is>
          <t>high</t>
        </is>
      </c>
      <c r="D32" s="11" t="inlineStr">
        <is>
          <t>recoverable amount</t>
        </is>
      </c>
      <c r="E32" s="11" t="inlineStr">
        <is>
          <t>PDF p.162 (印刷頁 161)</t>
        </is>
      </c>
      <c r="F32" s="11" t="inlineStr">
        <is>
          <t>VENTURES (Continued) (a) Investments in joint ventures (Continued) Pursuant to the valuation report from the independent valuer, the recoverable amount of TPPID as at 31 March 2026 and 2025 exceeded its carrying value and thus there was no impairment in respect of the investment in TPPID as at 31 March 2026 and 2025. Investment in Trendzon Zhilian (Shenzhen) Technology Company Limited Trendzon Zhilian (Shenzhen) Technology Company Limited was disposed on 15 November 2024 during the year ended 31 March 2025. The joint ventures h</t>
        </is>
      </c>
    </row>
    <row r="33">
      <c r="A33" s="8" t="inlineStr">
        <is>
          <t>Impairment Testing</t>
        </is>
      </c>
      <c r="B33" s="8" t="inlineStr">
        <is>
          <t>減值測試</t>
        </is>
      </c>
      <c r="C33" s="19" t="inlineStr">
        <is>
          <t>high</t>
        </is>
      </c>
      <c r="D33" s="11" t="inlineStr">
        <is>
          <t>recoverable amount</t>
        </is>
      </c>
      <c r="E33" s="11" t="inlineStr">
        <is>
          <t>PDF p.164 (印刷頁 163)</t>
        </is>
      </c>
      <c r="F33" s="11" t="inlineStr">
        <is>
          <t>for determination of credit limits, credit approval and other monitoring procedures to ensure that follow-up action is taken for the recoverable amount of the loan receivables. In addition, the Group reviews the recoverable amount of each individual’s loan receivables at the end of each reporting period to ensure that adequate allowance is made for irrecoverable amounts. 163 Pengo Holdings Group Limited Annual Report 2026</t>
        </is>
      </c>
    </row>
    <row r="34">
      <c r="A34" s="8" t="inlineStr">
        <is>
          <t>Impairment Testing</t>
        </is>
      </c>
      <c r="B34" s="8" t="inlineStr">
        <is>
          <t>減值測試</t>
        </is>
      </c>
      <c r="C34" s="19" t="inlineStr">
        <is>
          <t>high</t>
        </is>
      </c>
      <c r="D34" s="11" t="inlineStr">
        <is>
          <t>impairment loss</t>
        </is>
      </c>
      <c r="E34" s="11" t="inlineStr">
        <is>
          <t>PDF p.179 (印刷頁 178)</t>
        </is>
      </c>
      <c r="F34" s="11" t="inlineStr">
        <is>
          <t>he trade and other receivables acquired, the gross contract amount of the trade and other receivables was approximately S$3,237,000. Impairment loss of goodwill approximately S$98,000 was recognised during the year ended 31 March 2025. The goodwill arising on the acquisition of Wuguishan is attributable to the growth and profit potential as results of the Group participate in the new market and the anticipated future operating synergies from the combination. None of the goodwill recognised is expected to be deductible for incom</t>
        </is>
      </c>
    </row>
    <row r="35">
      <c r="A35" s="8" t="inlineStr">
        <is>
          <t>Intangible Assets &amp; Goodwill</t>
        </is>
      </c>
      <c r="B35" s="8" t="inlineStr">
        <is>
          <t>無形資產及商譽</t>
        </is>
      </c>
      <c r="C35" s="19" t="inlineStr">
        <is>
          <t>high</t>
        </is>
      </c>
      <c r="D35" s="11" t="inlineStr">
        <is>
          <t>licence</t>
        </is>
      </c>
      <c r="E35" s="11" t="inlineStr">
        <is>
          <t>PDF p.14 (印刷頁 13)</t>
        </is>
      </c>
      <c r="F35" s="11" t="inlineStr">
        <is>
          <t>als for the money lending 12,000 (12,000) – – N/A business of All Good Finance Limited, a wholly-owned subsidiary of the Company and licenced to conduct money lending business in Hong Kong (c) General working capital and settlement of liabilities of the Group: – Repayment of the unsecured unlisted bonds which will be due in 42,000 (42,000) – – N/A August 2022 in the principal amount of RMB40,000,000 – General working capital including salaries, rental payments, 4,000 (4,000) – – N/A professional fees, office overheads and other</t>
        </is>
      </c>
    </row>
    <row r="36">
      <c r="A36" s="8" t="inlineStr">
        <is>
          <t>Intangible Assets &amp; Goodwill</t>
        </is>
      </c>
      <c r="B36" s="8" t="inlineStr">
        <is>
          <t>無形資產及商譽</t>
        </is>
      </c>
      <c r="C36" s="19" t="inlineStr">
        <is>
          <t>high</t>
        </is>
      </c>
      <c r="D36" s="11" t="inlineStr">
        <is>
          <t>development cost</t>
        </is>
      </c>
      <c r="E36" s="11" t="inlineStr">
        <is>
          <t>PDF p.17 (印刷頁 16)</t>
        </is>
      </c>
      <c r="F36" s="11" t="inlineStr">
        <is>
          <t>rch utilizing the remaining net proceeds in FY2026 2026 net proceeds Use of net proceeds HK$’000 HK$’000 HK$’000 HK$’000 the project development costs regarding the first phase of the pumped storage On or before power station project 100,000 – 100,000 31 March 2027 General working capital 18,400 (18,400) – N/A 118,400 (18,400) 100,000 The net proceeds from the CB Placing were used and expected to be used according to the intentions previously disclosed in the aforesaid announcements and circular of the Company. Note 1: The expe</t>
        </is>
      </c>
    </row>
    <row r="37">
      <c r="A37" s="8" t="inlineStr">
        <is>
          <t>Intangible Assets &amp; Goodwill</t>
        </is>
      </c>
      <c r="B37" s="8" t="inlineStr">
        <is>
          <t>無形資產及商譽</t>
        </is>
      </c>
      <c r="C37" s="19" t="inlineStr">
        <is>
          <t>high</t>
        </is>
      </c>
      <c r="D37" s="11" t="inlineStr">
        <is>
          <t>licence</t>
        </is>
      </c>
      <c r="E37" s="11" t="inlineStr">
        <is>
          <t>PDF p.22 (印刷頁 21)</t>
        </is>
      </c>
      <c r="F37" s="11" t="inlineStr">
        <is>
          <t>ofessional training courses to enhance his skills and knowledge in handling advanced machinery and systems and has obtained relevant licences and certificates. In December 1992, he completed the Gas Service Workers Course organised by the Public Utilities Board. He has become a licensed gas service worker since 1993 and was granted a lifetime Gas Service Worker Licence by the Energy Market Authority of Singapore in February 2015. In July 1995, he obtained the Skill Evaluation Certificate for attaining the required standard in t</t>
        </is>
      </c>
    </row>
    <row r="38">
      <c r="A38" s="8" t="inlineStr">
        <is>
          <t>Intangible Assets &amp; Goodwill</t>
        </is>
      </c>
      <c r="B38" s="8" t="inlineStr">
        <is>
          <t>無形資產及商譽</t>
        </is>
      </c>
      <c r="C38" s="19" t="inlineStr">
        <is>
          <t>high</t>
        </is>
      </c>
      <c r="D38" s="11" t="inlineStr">
        <is>
          <t>goodwill</t>
        </is>
      </c>
      <c r="E38" s="11" t="inlineStr">
        <is>
          <t>PDF p.87 (印刷頁 86)</t>
        </is>
      </c>
      <c r="F38" s="11" t="inlineStr">
        <is>
          <t>s from operations (4,210) (10,955) Finance costs 14 (933) (1,154) Share of losses of joint ventures 23 (14) (491) Impairment loss on goodwill – (98) Loss before tax 12 (5,157) (12,698) Income tax expense 15 (599) (438) Loss for the year from continuing operations (5,756) (13,136) Discontinued operation Gain for the year from discontinued operation – 83 Loss for the year (5,756) (13,053) Other comprehensive income/(expenses) Item that will not be reclassified subsequently to profit or loss: Surplus on revaluation of leasehold pr</t>
        </is>
      </c>
    </row>
    <row r="39">
      <c r="A39" s="8" t="inlineStr">
        <is>
          <t>Intangible Assets &amp; Goodwill</t>
        </is>
      </c>
      <c r="B39" s="8" t="inlineStr">
        <is>
          <t>無形資產及商譽</t>
        </is>
      </c>
      <c r="C39" s="19" t="inlineStr">
        <is>
          <t>high</t>
        </is>
      </c>
      <c r="D39" s="11" t="inlineStr">
        <is>
          <t>intangible asset</t>
        </is>
      </c>
      <c r="E39" s="11" t="inlineStr">
        <is>
          <t>PDF p.89 (印刷頁 88)</t>
        </is>
      </c>
      <c r="F39" s="11" t="inlineStr">
        <is>
          <t>s S$’000 S$’000 Non-current assets Property, plant and equipment 19 15,704 16,145 Right-of-use assets 20 2,566 2,291 Goodwill 21 – – Intangible assets 22 33 65 Investments in joint ventures 23(a) 9,082 9,017 27,385 27,518 Current assets Trade and other receivables 24 47,601 49,607 Loan receivables 25 804 7,948 Amounts due from joint ventures 23(b) 18,862 18,647 Contract assets 26 27,314 16,062 Pledged bank deposits 27(b) 13,809 4,196 Cash and cash equivalents 27(a) 27,442 4,395 135,832 100,855 Current liabilities Trade and othe</t>
        </is>
      </c>
    </row>
    <row r="40">
      <c r="A40" s="8" t="inlineStr">
        <is>
          <t>Intangible Assets &amp; Goodwill</t>
        </is>
      </c>
      <c r="B40" s="8" t="inlineStr">
        <is>
          <t>無形資產及商譽</t>
        </is>
      </c>
      <c r="C40" s="19" t="inlineStr">
        <is>
          <t>high</t>
        </is>
      </c>
      <c r="D40" s="11" t="inlineStr">
        <is>
          <t>intangible asset</t>
        </is>
      </c>
      <c r="E40" s="11" t="inlineStr">
        <is>
          <t>PDF p.92 (印刷頁 91)</t>
        </is>
      </c>
      <c r="F40" s="11" t="inlineStr">
        <is>
          <t>justments for: Depreciation of property, plant and equipment 1,288 1,683 Depreciation of right-of-use assets 394 434 Amortisation of intangible assets 32 29 Gain on disposal of subsidiaries (1,024) (176) Gain on termination of leases – (3) (Gain)/losses on disposal of property, plant and equipment (31) 28 Impairment loss on goodwill – 98 Allowance for expected credit losses of trade receivables and contract assets 347 172 Reversal for expected credit losses of other receivables, loan receivables and amounts due from joint ventu</t>
        </is>
      </c>
    </row>
    <row r="41">
      <c r="A41" s="8" t="inlineStr">
        <is>
          <t>Intangible Assets &amp; Goodwill</t>
        </is>
      </c>
      <c r="B41" s="8" t="inlineStr">
        <is>
          <t>無形資產及商譽</t>
        </is>
      </c>
      <c r="C41" s="19" t="inlineStr">
        <is>
          <t>high</t>
        </is>
      </c>
      <c r="D41" s="11" t="inlineStr">
        <is>
          <t>intangible asset</t>
        </is>
      </c>
      <c r="E41" s="11" t="inlineStr">
        <is>
          <t>PDF p.93 (印刷頁 92)</t>
        </is>
      </c>
      <c r="F41" s="11" t="inlineStr">
        <is>
          <t>2026 2025 Notes S$’000 S$’000 CASH FLOWS FROM INVESTING ACTIVITIES Purchase of property, plant and equipment (247) (218) Purchase of intangible asset – (94) Proceeds from disposals of property, plant and equipment 167 82 Net cash outflow arising on acquisition of a subsidiary – (16) Acquisition of a joint venture – (36) Disposal of a joint venture – 409 Capital contribution from a subsidiary 2,785 – Increase in investment in a joint venture – 315 Increase in pledged bank deposits (9,613) (195) Net cash outflow on disposal of su</t>
        </is>
      </c>
    </row>
    <row r="42">
      <c r="A42" s="8" t="inlineStr">
        <is>
          <t>Intangible Assets &amp; Goodwill</t>
        </is>
      </c>
      <c r="B42" s="8" t="inlineStr">
        <is>
          <t>無形資產及商譽</t>
        </is>
      </c>
      <c r="C42" s="19" t="inlineStr">
        <is>
          <t>high</t>
        </is>
      </c>
      <c r="D42" s="11" t="inlineStr">
        <is>
          <t>goodwill</t>
        </is>
      </c>
      <c r="E42" s="11" t="inlineStr">
        <is>
          <t>PDF p.97 (印刷頁 96)</t>
        </is>
      </c>
      <c r="F42" s="11" t="inlineStr">
        <is>
          <t>sults of subsidiaries are accounted for by the Company on the basis of dividend received or receivable. 4.3 Business combination and goodwill The acquisition method is used to account for the acquisition of a subsidiary in a business combination. The consideration transferred in a business combination is measured at the acquisition-date fair value of the assets given, equity instruments issued, liabilities incurred and any contingent consideration. Acquisition-related costs are recognised as expenses in the periods in which the</t>
        </is>
      </c>
    </row>
    <row r="43">
      <c r="A43" s="8" t="inlineStr">
        <is>
          <t>Intangible Assets &amp; Goodwill</t>
        </is>
      </c>
      <c r="B43" s="8" t="inlineStr">
        <is>
          <t>無形資產及商譽</t>
        </is>
      </c>
      <c r="C43" s="19" t="inlineStr">
        <is>
          <t>high</t>
        </is>
      </c>
      <c r="D43" s="11" t="inlineStr">
        <is>
          <t>goodwill</t>
        </is>
      </c>
      <c r="E43" s="11" t="inlineStr">
        <is>
          <t>PDF p.98 (印刷頁 97)</t>
        </is>
      </c>
      <c r="F43" s="11" t="inlineStr">
        <is>
          <t>ancial Statements For the year ended 31 March 2026 4 MATERIAL ACCOUNTING POLICY INFORMATION (Continued) 4.3 Business combination and goodwill (Continued) After initial recognition, goodwill is measured at cost less accumulated impairment losses. For the purpose of impairment testing, goodwill acquired in a business combination is allocated to each of the cash-generating units (“CGUs”) or groups of CGUs that is expected to benefit from the synergies of the combination. Each unit or group of units to which the goodwill is allocat</t>
        </is>
      </c>
    </row>
    <row r="44">
      <c r="A44" s="8" t="inlineStr">
        <is>
          <t>Intangible Assets &amp; Goodwill</t>
        </is>
      </c>
      <c r="B44" s="8" t="inlineStr">
        <is>
          <t>無形資產及商譽</t>
        </is>
      </c>
      <c r="C44" s="19" t="inlineStr">
        <is>
          <t>high</t>
        </is>
      </c>
      <c r="D44" s="11" t="inlineStr">
        <is>
          <t>goodwill</t>
        </is>
      </c>
      <c r="E44" s="11" t="inlineStr">
        <is>
          <t>PDF p.99 (印刷頁 98)</t>
        </is>
      </c>
      <c r="F44" s="11" t="inlineStr">
        <is>
          <t>rest in a joint venture may be impaired. When any objective evidence exists, the entire carrying amount of the investment (including goodwill) is tested for impairment in accordance with IAS 36 as a single asset by comparing its recoverable amount (higher of value in use and fair value less costs of disposal) with its carrying amount. Any impairment loss recognised is not allocated to any asset, including goodwill, that forms part of the carrying amount of the investment. Any reversal of that impairment loss is recognised in ac</t>
        </is>
      </c>
    </row>
    <row r="45">
      <c r="A45" s="8" t="inlineStr">
        <is>
          <t>Intangible Assets &amp; Goodwill</t>
        </is>
      </c>
      <c r="B45" s="8" t="inlineStr">
        <is>
          <t>無形資產及商譽</t>
        </is>
      </c>
      <c r="C45" s="19" t="inlineStr">
        <is>
          <t>high</t>
        </is>
      </c>
      <c r="D45" s="11" t="inlineStr">
        <is>
          <t>goodwill</t>
        </is>
      </c>
      <c r="E45" s="11" t="inlineStr">
        <is>
          <t>PDF p.100 (印刷頁 99)</t>
        </is>
      </c>
      <c r="F45" s="11" t="inlineStr">
        <is>
          <t>peration is sold, such exchange differences are reclassified to consolidated profit or loss as part of the gain or loss on disposal. Goodwill and fair value adjustments arising on the acquisition of a foreign entity are treated as assets and liabilities of the foreign entity and translated at the closing rate. 4.6 Property, plant and equipment Property, plant and equipment, other than leasehold properties, are stated in the consolidated statement of financial position at cost, less subsequent accumulated depreciation and subseq</t>
        </is>
      </c>
    </row>
    <row r="46">
      <c r="A46" s="8" t="inlineStr">
        <is>
          <t>Intangible Assets &amp; Goodwill</t>
        </is>
      </c>
      <c r="B46" s="8" t="inlineStr">
        <is>
          <t>無形資產及商譽</t>
        </is>
      </c>
      <c r="C46" s="19" t="inlineStr">
        <is>
          <t>high</t>
        </is>
      </c>
      <c r="D46" s="11" t="inlineStr">
        <is>
          <t>intangible asset</t>
        </is>
      </c>
      <c r="E46" s="11" t="inlineStr">
        <is>
          <t>PDF p.102 (印刷頁 101)</t>
        </is>
      </c>
      <c r="F46" s="11" t="inlineStr">
        <is>
          <t>s to the Consolidated Financial Statements For the year ended 31 March 2026 4 MATERIAL ACCOUNTING POLICY INFORMATION (Continued) 4.7 Intangible assets (i) Computer software licenses Acquired computer software licenses are initially capitalised at cost which includes the purchase prices (net of any discounts and rebates) and other directly attributable costs of preparing the asset for its intended use. Direct expenditures including employee costs, which enhance or extend the performance of computer software beyond its specificat</t>
        </is>
      </c>
    </row>
    <row r="47">
      <c r="A47" s="8" t="inlineStr">
        <is>
          <t>Intangible Assets &amp; Goodwill</t>
        </is>
      </c>
      <c r="B47" s="8" t="inlineStr">
        <is>
          <t>無形資產及商譽</t>
        </is>
      </c>
      <c r="C47" s="19" t="inlineStr">
        <is>
          <t>high</t>
        </is>
      </c>
      <c r="D47" s="11" t="inlineStr">
        <is>
          <t>useful life</t>
        </is>
      </c>
      <c r="E47" s="11" t="inlineStr">
        <is>
          <t>PDF p.103 (印刷頁 102)</t>
        </is>
      </c>
      <c r="F47"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102 Pengo Holdings Group Limited Annual Report 2026</t>
        </is>
      </c>
    </row>
    <row r="48">
      <c r="A48" s="8" t="inlineStr">
        <is>
          <t>Intangible Assets &amp; Goodwill</t>
        </is>
      </c>
      <c r="B48" s="8" t="inlineStr">
        <is>
          <t>無形資產及商譽</t>
        </is>
      </c>
      <c r="C48" s="19" t="inlineStr">
        <is>
          <t>high</t>
        </is>
      </c>
      <c r="D48" s="11" t="inlineStr">
        <is>
          <t>goodwill</t>
        </is>
      </c>
      <c r="E48" s="11" t="inlineStr">
        <is>
          <t>PDF p.112 (印刷頁 111)</t>
        </is>
      </c>
      <c r="F48" s="11" t="inlineStr">
        <is>
          <t>losses or unused tax credits can be utilised. Such assets and liabilities are not recognised if the temporary difference arises from goodwill or from the initial recognition (other than in a business combination) of other assets and liabilities in a transaction that affects neither the taxable profit nor the accounting profit. Deferred tax liabilities are recognised for taxable temporary differences arising on investments in subsidiaries, and interests in joint arrangements, except where the Group is able to control the reversa</t>
        </is>
      </c>
    </row>
    <row r="49">
      <c r="A49" s="8" t="inlineStr">
        <is>
          <t>Intangible Assets &amp; Goodwill</t>
        </is>
      </c>
      <c r="B49" s="8" t="inlineStr">
        <is>
          <t>無形資產及商譽</t>
        </is>
      </c>
      <c r="C49" s="19" t="inlineStr">
        <is>
          <t>high</t>
        </is>
      </c>
      <c r="D49" s="11" t="inlineStr">
        <is>
          <t>intangible asset</t>
        </is>
      </c>
      <c r="E49" s="11" t="inlineStr">
        <is>
          <t>PDF p.113 (印刷頁 112)</t>
        </is>
      </c>
      <c r="F49" s="11" t="inlineStr">
        <is>
          <t>and amortised over the period of the convertible bonds using the effective interest method. 4.23 Impairment of non-financial assets Intangible assets that have an indefinite useful life or that are not yet available for use are reviewed for impairment annually and whenever events or changes in circumstances indicate the carrying amount may not be recoverable. The carrying amounts of other non-financial assets are reviewed at each reporting date for indications of impairment and where an asset is impaired, it is written down as</t>
        </is>
      </c>
    </row>
    <row r="50">
      <c r="A50" s="8" t="inlineStr">
        <is>
          <t>Intangible Assets &amp; Goodwill</t>
        </is>
      </c>
      <c r="B50" s="8" t="inlineStr">
        <is>
          <t>無形資產及商譽</t>
        </is>
      </c>
      <c r="C50" s="19" t="inlineStr">
        <is>
          <t>high</t>
        </is>
      </c>
      <c r="D50" s="11" t="inlineStr">
        <is>
          <t>goodwill</t>
        </is>
      </c>
      <c r="E50" s="11" t="inlineStr">
        <is>
          <t>PDF p.140 (印刷頁 139)</t>
        </is>
      </c>
      <c r="F50" s="11" t="inlineStr">
        <is>
          <t>r income 1,955 3,467 Other gains/(losses), net 974 (253) Allowance for expected credit losses (“ECL”) (327) (137) Impairment loss on goodwill – (98) Share of losses of joint ventures (14) (491) Administrative expenses (15,306) (23,436) Finance costs (933) (1,154) Loss before tax (5,157) (12,698) Discontinued operation: Gain for the year from discontinued operation – 83 For the year ended 31 March 2026, there were three customers (2025: three) which individually contributed over 10% of the Group’s total revenue. During the years</t>
        </is>
      </c>
    </row>
    <row r="51">
      <c r="A51" s="8" t="inlineStr">
        <is>
          <t>Intangible Assets &amp; Goodwill</t>
        </is>
      </c>
      <c r="B51" s="8" t="inlineStr">
        <is>
          <t>無形資產及商譽</t>
        </is>
      </c>
      <c r="C51" s="19" t="inlineStr">
        <is>
          <t>high</t>
        </is>
      </c>
      <c r="D51" s="11" t="inlineStr">
        <is>
          <t>intangible asset</t>
        </is>
      </c>
      <c r="E51" s="11" t="inlineStr">
        <is>
          <t>PDF p.145 (印刷頁 144)</t>
        </is>
      </c>
      <c r="F51" s="11" t="inlineStr">
        <is>
          <t>156 173 Expenses relating to short-term lease 4,030 4,613 Depreciation of property, plant and equipment 1,288 1,683 Amortisation of intangible assets 32 29 Depreciation of right-of-use assets 394 434 Employee benefit costs, including directors’ emoluments: – Wages and salaries 18,236 19,210 – Employer’s contribution to defined contribution plans 800 768 19,036 19,978 144 Pengo Holdings Group Limited Annual Report 2026</t>
        </is>
      </c>
    </row>
    <row r="52">
      <c r="A52" s="8" t="inlineStr">
        <is>
          <t>Intangible Assets &amp; Goodwill</t>
        </is>
      </c>
      <c r="B52" s="8" t="inlineStr">
        <is>
          <t>無形資產及商譽</t>
        </is>
      </c>
      <c r="C52" s="19" t="inlineStr">
        <is>
          <t>high</t>
        </is>
      </c>
      <c r="D52" s="11" t="inlineStr">
        <is>
          <t>goodwill</t>
        </is>
      </c>
      <c r="E52" s="11" t="inlineStr">
        <is>
          <t>PDF p.157 (印刷頁 156)</t>
        </is>
      </c>
      <c r="F52" s="11" t="inlineStr">
        <is>
          <t>Notes to the Consolidated Financial Statements For the year ended 31 March 2026 21 GOODWILL Zhejiang Wuguishan Taiding (Note (i)) (Note (ii)) Total S$’000 S$’000 S$’000 Cost: As at 1 April 2024 – 65 65 Addition 98 – 98 As at 31 March 2025, 1 April 2025 and 31 March 2026 98 65 163 Accumulated impairment: As at 1 April 2024 – 65 65 Impairment loss for the year 98 – 98 As at 31 March 2025, 1 April 2025 and 31 March 2026 98 65 163 Carrying values: As at 31 March 2026 – – – As at 31</t>
        </is>
      </c>
    </row>
    <row r="53">
      <c r="A53" s="8" t="inlineStr">
        <is>
          <t>Intangible Assets &amp; Goodwill</t>
        </is>
      </c>
      <c r="B53" s="8" t="inlineStr">
        <is>
          <t>無形資產及商譽</t>
        </is>
      </c>
      <c r="C53" s="19" t="inlineStr">
        <is>
          <t>high</t>
        </is>
      </c>
      <c r="D53" s="11" t="inlineStr">
        <is>
          <t>intangible asset</t>
        </is>
      </c>
      <c r="E53" s="11" t="inlineStr">
        <is>
          <t>PDF p.158 (印刷頁 157)</t>
        </is>
      </c>
      <c r="F53" s="11" t="inlineStr">
        <is>
          <t>Notes to the Consolidated Financial Statements For the year ended 31 March 2026 22 INTANGIBLE ASSETS Trading right in Stock Computer Exchange software Total S$’000 S$’000 S$’000 Cost: As at 1 April 2024 – 169 169 Addition – 94 94 As at 31 March 2025, 1 April 2025 and 31 March 2026 – 263 263 Accumulated amortisation: As at 1 April 2024 – 169 169 Amortisation for the year – 29 29 As at 31 March 2025 and 1 April 2025 – 198 198 Amortisation for the year – 32 32 As at 31 March 2026 –</t>
        </is>
      </c>
    </row>
    <row r="54">
      <c r="A54" s="8" t="inlineStr">
        <is>
          <t>Intangible Assets &amp; Goodwill</t>
        </is>
      </c>
      <c r="B54" s="8" t="inlineStr">
        <is>
          <t>無形資產及商譽</t>
        </is>
      </c>
      <c r="C54" s="19" t="inlineStr">
        <is>
          <t>high</t>
        </is>
      </c>
      <c r="D54" s="11" t="inlineStr">
        <is>
          <t>goodwill</t>
        </is>
      </c>
      <c r="E54" s="11" t="inlineStr">
        <is>
          <t>PDF p.179 (印刷頁 178)</t>
        </is>
      </c>
      <c r="F54" s="11" t="inlineStr">
        <is>
          <t>3,197 Contract assets 1,237 Trade and other payables (1,013) Contract liabilities (2,052) Borrowings (1,496) Tax recoverable 45 308 Goodwill arising on acquisition (Note 21) 98 406 Net cash outflow arising on acquisition of a subsidiary Cash and cash equivalents acquired 390 Cash consideration paid (406) (16) In respect of the fair value of the trade and other receivables acquired, the gross contract amount of the trade and other receivables was approximately S$3,237,000. Impairment loss of goodwill approximately S$98,000 was</t>
        </is>
      </c>
    </row>
    <row r="55">
      <c r="A55" s="8" t="inlineStr">
        <is>
          <t>Intangible Assets &amp; Goodwill</t>
        </is>
      </c>
      <c r="B55" s="8" t="inlineStr">
        <is>
          <t>無形資產及商譽</t>
        </is>
      </c>
      <c r="C55" s="19" t="inlineStr">
        <is>
          <t>high</t>
        </is>
      </c>
      <c r="D55" s="11" t="inlineStr">
        <is>
          <t>intangible asset</t>
        </is>
      </c>
      <c r="E55" s="11" t="inlineStr">
        <is>
          <t>PDF p.187 (印刷頁 186)</t>
        </is>
      </c>
      <c r="F55" s="11" t="inlineStr">
        <is>
          <t>0 S$’000 S$’000 S$’000 S$’000 S$’000 Non-current assets Property, plant and equipment – – – – – – 158 158 Goodwill – – – – – – 67 67 Intangible assets – – – – – – 86 86 Other deposits – – – – – – 35 35 Current assets Trade and other receivables – 1 – – – – 183 184 Bank and cash balance 1 1 – 2 – – 2,113 2,117 Current liabilities Trade and other payables (1) (20) – (170) (47) (27) (961) (1,226) Other borrowings – – – – – (3) – (3) Net assets/(liabilities) disposed of – (18) – (168) (47) (30) 1,681 1,418 Less: Translation reserve</t>
        </is>
      </c>
    </row>
    <row r="56">
      <c r="A56" s="8" t="inlineStr">
        <is>
          <t>ESG Data</t>
        </is>
      </c>
      <c r="B56" s="8" t="inlineStr">
        <is>
          <t>環境社會及管治數據</t>
        </is>
      </c>
      <c r="C56" s="8" t="inlineStr">
        <is>
          <t>medium</t>
        </is>
      </c>
      <c r="D56" s="11" t="inlineStr">
        <is>
          <t>carbon</t>
        </is>
      </c>
      <c r="E56" s="11" t="inlineStr">
        <is>
          <t>PDF p.21 (印刷頁 20)</t>
        </is>
      </c>
      <c r="F56" s="11" t="inlineStr">
        <is>
          <t>tions. Ms. Feng has been an executive director of China Bozza Development Holdings Limited (formerly known as China Agroforestry Low-Carbon Holdings Limited), a company listed on the Main Board of the Stock Exchange (Stock Code: 1069), from 20 August 2019 to 2 November 2020. Wah（徐源華先生） Mr. Michael Shi Guan (“Mr. Michael Shi”), aged 64, is a co-founder of the Group and has been a director of HSC Pipeline Engineering Pte. Ltd. since January 1993. He was appointed as a Director in July 2018 and was re-designated as the Chairman, c</t>
        </is>
      </c>
    </row>
    <row r="57">
      <c r="A57" s="8" t="inlineStr">
        <is>
          <t>ESG Data</t>
        </is>
      </c>
      <c r="B57" s="8" t="inlineStr">
        <is>
          <t>環境社會及管治數據</t>
        </is>
      </c>
      <c r="C57" s="8" t="inlineStr">
        <is>
          <t>medium</t>
        </is>
      </c>
      <c r="D57" s="11" t="inlineStr">
        <is>
          <t>ESG</t>
        </is>
      </c>
      <c r="E57" s="11" t="inlineStr">
        <is>
          <t>PDF p.60 (印刷頁 59)</t>
        </is>
      </c>
      <c r="F57" s="11" t="inlineStr">
        <is>
          <t>ENVIRONMENTAL, SOCIAL AND GOVERNANCE REPORT REPORTING SCOPE AND BOUNDARY This Environmental, Social, and Governance (the “ESG”) report, which outlines the ESG performance of Pengo Holdings Group Limited. This report is prepared in accordance with the Appendix 2 – ESG Reporting Code of the Rules Governing the Listing of Securities on The Stock Exchange of Hong Kong Limited (“HKEX”) with the “Comply or Explain” provisions. This ESG report covers the environmental and social performance of all our business operations in</t>
        </is>
      </c>
    </row>
    <row r="58">
      <c r="A58" s="8" t="inlineStr">
        <is>
          <t>ESG Data</t>
        </is>
      </c>
      <c r="B58" s="8" t="inlineStr">
        <is>
          <t>環境社會及管治數據</t>
        </is>
      </c>
      <c r="C58" s="8" t="inlineStr">
        <is>
          <t>medium</t>
        </is>
      </c>
      <c r="D58" s="11" t="inlineStr">
        <is>
          <t>ESG</t>
        </is>
      </c>
      <c r="E58" s="11" t="inlineStr">
        <is>
          <t>PDF p.61 (印刷頁 60)</t>
        </is>
      </c>
      <c r="F58" s="11" t="inlineStr">
        <is>
          <t>Environmental, Social and Governance Report BOARD STATEMENT The Board plays a crucial role in overseeing the Group’s ESG issues. During the reporting period, the Board, management, and the ESG working team dedicated significant time to evaluating the impacts of ESG-related risks on operations and formulating relevant policies to address these risks. This oversight ensures that management and the ESG working team have the necessary tools and resources to effectively manage ESG matters. The Board is responsible fo</t>
        </is>
      </c>
    </row>
    <row r="59">
      <c r="A59" s="8" t="inlineStr">
        <is>
          <t>ESG Data</t>
        </is>
      </c>
      <c r="B59" s="8" t="inlineStr">
        <is>
          <t>環境社會及管治數據</t>
        </is>
      </c>
      <c r="C59" s="8" t="inlineStr">
        <is>
          <t>medium</t>
        </is>
      </c>
      <c r="D59" s="11" t="inlineStr">
        <is>
          <t>greenhouse gas</t>
        </is>
      </c>
      <c r="E59" s="11" t="inlineStr">
        <is>
          <t>PDF p.63 (印刷頁 62)</t>
        </is>
      </c>
      <c r="F59" s="11" t="inlineStr">
        <is>
          <t>kplace safety Moderate • Use of resources • Operational compliance • Non-hazardous wastes • Suppliers’ management produced • Air and greenhouse gas emissions High • Community investment • Preventive measures for • Use of raw materials child and forced labour • Hazardous wastes produced STAKEHOLDERS’ FEEDBACK The Group welcomes stakeholders’ feedback on our environmental, social and governance approach and performance. Please give your suggestions or share your views with us via email at admin.pengo@outlook.com. ENVIRONMENTAL Th</t>
        </is>
      </c>
    </row>
    <row r="60">
      <c r="A60" s="8" t="inlineStr">
        <is>
          <t>ESG Data</t>
        </is>
      </c>
      <c r="B60" s="8" t="inlineStr">
        <is>
          <t>環境社會及管治數據</t>
        </is>
      </c>
      <c r="C60" s="8" t="inlineStr">
        <is>
          <t>medium</t>
        </is>
      </c>
      <c r="D60" s="11" t="inlineStr">
        <is>
          <t>GHG emission</t>
        </is>
      </c>
      <c r="E60" s="11" t="inlineStr">
        <is>
          <t>PDF p.64 (印刷頁 63)</t>
        </is>
      </c>
      <c r="F60" s="11" t="inlineStr">
        <is>
          <t>ion of vehicles (Scope 1), purchased electricity (Scope 2). Hence, the Group has adopted the various measures to mitigate the direct GHG emissions from petrol and diesel consumption in its operations. Emissions Unit 2026 2025 Air pollutants NOx Kg 5,030.1 5,556.1 SOx kg 142.2 156.4 PM Kg 511.1 562.7 GHG Scope 1 tCO2e 1,998.7 2,362.7 Scope 2 tCO2e 60.4 69.3 Scope 3 tCO2e 1.8 1.8 Total GHG emissions tCO2e 2,060.9 2,433.9 GHG emission intensity tCO2e/million 26.6 41.2 SGD revenue Dust management Dust is a main concern of the Group</t>
        </is>
      </c>
    </row>
    <row r="61">
      <c r="A61" s="8" t="inlineStr">
        <is>
          <t>ESG Data</t>
        </is>
      </c>
      <c r="B61" s="8" t="inlineStr">
        <is>
          <t>環境社會及管治數據</t>
        </is>
      </c>
      <c r="C61" s="8" t="inlineStr">
        <is>
          <t>medium</t>
        </is>
      </c>
      <c r="D61" s="11" t="inlineStr">
        <is>
          <t>carbon</t>
        </is>
      </c>
      <c r="E61" s="11" t="inlineStr">
        <is>
          <t>PDF p.66 (印刷頁 65)</t>
        </is>
      </c>
      <c r="F61" s="11" t="inlineStr">
        <is>
          <t>reduced operational costs. By implementing these measures, the Group aims to minimize our reliance on natural resources, reduce our carbon footprint, and contribute to a more sustainable future. Electricity The Group believes that reducing energy use could be mutually beneficial to the environment and the Group by reducing operating costs and creating long-term value for its stakeholders. Electricity in our office is our major source of energy consumption. Several measures have been or will be adopted to reduce its energy cons</t>
        </is>
      </c>
    </row>
    <row r="62">
      <c r="A62" s="8" t="inlineStr">
        <is>
          <t>ESG Data</t>
        </is>
      </c>
      <c r="B62" s="8" t="inlineStr">
        <is>
          <t>環境社會及管治數據</t>
        </is>
      </c>
      <c r="C62" s="8" t="inlineStr">
        <is>
          <t>medium</t>
        </is>
      </c>
      <c r="D62" s="11" t="inlineStr">
        <is>
          <t>energy consumption</t>
        </is>
      </c>
      <c r="E62" s="11" t="inlineStr">
        <is>
          <t>PDF p.67 (印刷頁 66)</t>
        </is>
      </c>
      <c r="F62" s="11" t="inlineStr">
        <is>
          <t>Environmental, Social and Governance Report Target and Performance The Group has established a target for total energy consumption, set at 10,500 MWh for the reporting period. We monitor our progress towards this target closely and achieved it during the reporting period. This target will be reviewed in 2026 to ensure continuous improvement. During the reporting period, the energy consumption by type in total of the Group are showed as below: Natural resources Unit 2026 2025 Energy consumption Fuel mWh 8,08</t>
        </is>
      </c>
    </row>
    <row r="63">
      <c r="A63" s="8" t="inlineStr">
        <is>
          <t>ESG Data</t>
        </is>
      </c>
      <c r="B63" s="8" t="inlineStr">
        <is>
          <t>環境社會及管治數據</t>
        </is>
      </c>
      <c r="C63" s="8" t="inlineStr">
        <is>
          <t>medium</t>
        </is>
      </c>
      <c r="D63" s="11" t="inlineStr">
        <is>
          <t>ESG</t>
        </is>
      </c>
      <c r="E63" s="11" t="inlineStr">
        <is>
          <t>PDF p.68 (印刷頁 67)</t>
        </is>
      </c>
      <c r="F63" s="11" t="inlineStr">
        <is>
          <t>ted into our business strategy and risk management processes. The Board holds the ultimate responsibility for overseeing the Group’s ESG and climate change strategy. The Board ensures that our approach to climate change is aligned with the Group’s overall business objectives and risk appetite. (II) Strategy and Risk Management Although the Group has not formulated specific policies regarding climate change, it has identified and assessed relevant climate-related risks and their potential financial impacts. To ensure clarity and</t>
        </is>
      </c>
    </row>
    <row r="64">
      <c r="A64" s="8" t="inlineStr">
        <is>
          <t>ESG Data</t>
        </is>
      </c>
      <c r="B64" s="8" t="inlineStr">
        <is>
          <t>環境社會及管治數據</t>
        </is>
      </c>
      <c r="C64" s="8" t="inlineStr">
        <is>
          <t>medium</t>
        </is>
      </c>
      <c r="D64" s="11" t="inlineStr">
        <is>
          <t>GHG emission</t>
        </is>
      </c>
      <c r="E64" s="11" t="inlineStr">
        <is>
          <t>PDF p.69 (印刷頁 68)</t>
        </is>
      </c>
      <c r="F64" s="11" t="inlineStr">
        <is>
          <t>the substitution of to invest in updated existing equipment and technologies and practices services. to reduce operational costs and GHG emissions. Legal and Long term Increased operation cost The Group will continue policy from increased GHG monitoring market and emission pricing. regulatory updates to ensure ongoing compliance. 68 Pengo Holdings Group Limited Annual Report 2026</t>
        </is>
      </c>
    </row>
    <row r="65">
      <c r="A65" s="8" t="inlineStr">
        <is>
          <t>ESG Data</t>
        </is>
      </c>
      <c r="B65" s="8" t="inlineStr">
        <is>
          <t>環境社會及管治數據</t>
        </is>
      </c>
      <c r="C65" s="8" t="inlineStr">
        <is>
          <t>medium</t>
        </is>
      </c>
      <c r="D65" s="11" t="inlineStr">
        <is>
          <t>carbon</t>
        </is>
      </c>
      <c r="E65" s="11" t="inlineStr">
        <is>
          <t>PDF p.70 (印刷頁 69)</t>
        </is>
      </c>
      <c r="F65" s="11" t="inlineStr">
        <is>
          <t>ctricity needs, it is viewed as a transition fuel. The government is mandating that all new and repowered natural gas plants be more carbon-efficient and “hydrogen-ready”. By 2032, Singapore plans to have at least 11 such hydrogen-compatible power plants. This creates a significant opportunity for constructing not only new gas pipelines but also infrastructure that can be adapted for future hydrogen transport. Furthermore, Singapore is exploring Carbon Capture, Utilisation, and Storage (CCUS) as a key decarbonization strategy.</t>
        </is>
      </c>
    </row>
    <row r="66">
      <c r="A66" s="8" t="inlineStr">
        <is>
          <t>ESG Data</t>
        </is>
      </c>
      <c r="B66" s="8" t="inlineStr">
        <is>
          <t>環境社會及管治數據</t>
        </is>
      </c>
      <c r="C66" s="8" t="inlineStr">
        <is>
          <t>medium</t>
        </is>
      </c>
      <c r="D66" s="11" t="inlineStr">
        <is>
          <t>carbon</t>
        </is>
      </c>
      <c r="E66" s="11" t="inlineStr">
        <is>
          <t>PDF p.71 (印刷頁 70)</t>
        </is>
      </c>
      <c r="F66" s="11" t="inlineStr">
        <is>
          <t>unity of growing client demand for sustainability-focused talent and services further supports continued business relevance in a low-carbon economy transition. 70 Pengo Holdings Group Limited Annual Report 2026</t>
        </is>
      </c>
    </row>
    <row r="67">
      <c r="A67" s="8" t="inlineStr">
        <is>
          <t>ESG Data</t>
        </is>
      </c>
      <c r="B67" s="8" t="inlineStr">
        <is>
          <t>環境社會及管治數據</t>
        </is>
      </c>
      <c r="C67" s="8" t="inlineStr">
        <is>
          <t>medium</t>
        </is>
      </c>
      <c r="D67" s="11" t="inlineStr">
        <is>
          <t>carbon</t>
        </is>
      </c>
      <c r="E67" s="11" t="inlineStr">
        <is>
          <t>PDF p.77 (印刷頁 76)</t>
        </is>
      </c>
      <c r="F67" s="11" t="inlineStr">
        <is>
          <t>actors are excluded from related business activities. During the Reporting Period, the Group has 130 suppliers. In order to minimise carbon footprint caused by transportation, over 96% of our suppliers are from Singapore, while 2% each of our suppliers are from Malaysia and China. 76 Pengo Holdings Group Limited Annual Report 2026</t>
        </is>
      </c>
    </row>
    <row r="68">
      <c r="A68" s="8" t="inlineStr">
        <is>
          <t>ESG Data</t>
        </is>
      </c>
      <c r="B68" s="8" t="inlineStr">
        <is>
          <t>環境社會及管治數據</t>
        </is>
      </c>
      <c r="C68" s="8" t="inlineStr">
        <is>
          <t>medium</t>
        </is>
      </c>
      <c r="D68" s="11" t="inlineStr">
        <is>
          <t>sustainability</t>
        </is>
      </c>
      <c r="E68" s="11" t="inlineStr">
        <is>
          <t>PDF p.78 (印刷頁 77)</t>
        </is>
      </c>
      <c r="F68" s="11" t="inlineStr">
        <is>
          <t>ng procedures, the project manager coordinates rectification efforts with subcontractors. Customer satisfaction In our commitment to sustainability and responsibility, our project managers maintain close contact with our customers and sub-contractors. We actively engage with customers to show our dedication to customer satisfaction. To gather feedback, the Group utilizes a customer visit report where customers can evaluate our performance in quality of services and workmanship, site planning and controls, responsiveness to inst</t>
        </is>
      </c>
    </row>
    <row r="69">
      <c r="A69" s="8" t="inlineStr">
        <is>
          <t>R&amp;D Expenditure</t>
        </is>
      </c>
      <c r="B69" s="8" t="inlineStr">
        <is>
          <t>研發開支</t>
        </is>
      </c>
      <c r="C69" s="8" t="inlineStr">
        <is>
          <t>medium</t>
        </is>
      </c>
      <c r="D69" s="11" t="inlineStr">
        <is>
          <t>research and development</t>
        </is>
      </c>
      <c r="E69" s="11" t="inlineStr">
        <is>
          <t>PDF p.24 (印刷頁 23)</t>
        </is>
      </c>
      <c r="F69" s="11" t="inlineStr">
        <is>
          <t>l highways. Mr. Shek also founded Shenzhen Maidite Medical Technology Co., Ltd.*（邁地特醫療科技有限公司）in 2015, which is mainly engaged in the research and development and production of medical devices for intrapleural and intraperitoneal hyperthermic cancer treatment. Mr. Shek has invested in various companies in partnership and is responsible for the planning and operation of business development. He has been involved in various fields, including research and development of medical devices, commercial properties and catering and entert</t>
        </is>
      </c>
    </row>
    <row r="70">
      <c r="A70" s="8" t="inlineStr">
        <is>
          <t>Segment Information</t>
        </is>
      </c>
      <c r="B70" s="8" t="inlineStr">
        <is>
          <t>分部資料</t>
        </is>
      </c>
      <c r="C70" s="8" t="inlineStr">
        <is>
          <t>medium</t>
        </is>
      </c>
      <c r="D70" s="11" t="inlineStr">
        <is>
          <t>geographical</t>
        </is>
      </c>
      <c r="E70" s="11" t="inlineStr">
        <is>
          <t>PDF p.7 (印刷頁 6)</t>
        </is>
      </c>
      <c r="F70" s="11" t="inlineStr">
        <is>
          <t>STATEMENT OF CHAIRMAN The Board is proactively exploring new business opportunities in different geographical locations in the world in order to identify markets with growth potential, so as to diversify the business development of the Group. The Board is of the opinion that the development of potential business represents a good opportunity for increasing the sources of revenue of the Group. The Group is wellpositioned for the challenges and competition ahead, to carry out research to prep</t>
        </is>
      </c>
    </row>
    <row r="71">
      <c r="A71" s="8" t="inlineStr">
        <is>
          <t>Segment Information</t>
        </is>
      </c>
      <c r="B71" s="8" t="inlineStr">
        <is>
          <t>分部資料</t>
        </is>
      </c>
      <c r="C71" s="8" t="inlineStr">
        <is>
          <t>medium</t>
        </is>
      </c>
      <c r="D71" s="11" t="inlineStr">
        <is>
          <t>geographical</t>
        </is>
      </c>
      <c r="E71" s="11" t="inlineStr">
        <is>
          <t>PDF p.8 (印刷頁 7)</t>
        </is>
      </c>
      <c r="F71" s="11" t="inlineStr">
        <is>
          <t>n turn to achieve synergies and better operating results. The Board is proactively exploring new business opportunities in different geographical locations in the world in order to identify markets with growth potential, so as to diversify the business development of the Group. The Board is of the opinion that the development of potential business represents a good opportunity for increasing the sources of revenue of the Group. The Group is well-positioned for the challenges and competition ahead, to carry out research to prepa</t>
        </is>
      </c>
    </row>
    <row r="72">
      <c r="A72" s="8" t="inlineStr">
        <is>
          <t>Segment Information</t>
        </is>
      </c>
      <c r="B72" s="8" t="inlineStr">
        <is>
          <t>分部資料</t>
        </is>
      </c>
      <c r="C72" s="8" t="inlineStr">
        <is>
          <t>medium</t>
        </is>
      </c>
      <c r="D72" s="11" t="inlineStr">
        <is>
          <t>geographical</t>
        </is>
      </c>
      <c r="E72" s="11" t="inlineStr">
        <is>
          <t>PDF p.37 (印刷頁 36)</t>
        </is>
      </c>
      <c r="F72" s="11" t="inlineStr">
        <is>
          <t>d may assess such performance targets against key performance indicators for the Group, its subsidiaries, operating units, projects, geographical divisions or individuals, which may include cash flow; earnings; earnings per share; market value added or economic value added; profits; return on assets; return on equity; return on investment; sales; revenue; Share price; total Shareholder return; and such other goals as the Board may determine from time to time. Amount payable for An offer of the grant of an Option shall remain op</t>
        </is>
      </c>
    </row>
    <row r="73">
      <c r="A73" s="8" t="inlineStr">
        <is>
          <t>Segment Information</t>
        </is>
      </c>
      <c r="B73" s="8" t="inlineStr">
        <is>
          <t>分部資料</t>
        </is>
      </c>
      <c r="C73" s="8" t="inlineStr">
        <is>
          <t>medium</t>
        </is>
      </c>
      <c r="D73" s="11" t="inlineStr">
        <is>
          <t>geographical</t>
        </is>
      </c>
      <c r="E73" s="11" t="inlineStr">
        <is>
          <t>PDF p.45 (印刷頁 44)</t>
        </is>
      </c>
      <c r="F73" s="11" t="inlineStr">
        <is>
          <t>「鵬」): “Peng” It takes the meaning of “soaring beyond limits, like the roc in flight “and “brilliant prospects”, symbolizing breaking geographical limits and bridging international capital with the opportunities of the Greater Bay Area. (「高」): “Gao” It symbolizes ”aspiring to greatness” and ”visionary foresight”, reflecting the pursuit of technological excellence, industrial-financial integration depth and quality growth. Logo Design Interpretation-Brand Perspective The logo features the outer circle and inner square design elem</t>
        </is>
      </c>
    </row>
    <row r="74">
      <c r="A74" s="8" t="inlineStr">
        <is>
          <t>Segment Information</t>
        </is>
      </c>
      <c r="B74" s="8" t="inlineStr">
        <is>
          <t>分部資料</t>
        </is>
      </c>
      <c r="C74" s="8" t="inlineStr">
        <is>
          <t>medium</t>
        </is>
      </c>
      <c r="D74" s="11" t="inlineStr">
        <is>
          <t>segment information</t>
        </is>
      </c>
      <c r="E74" s="11" t="inlineStr">
        <is>
          <t>PDF p.139 (印刷頁 138)</t>
        </is>
      </c>
      <c r="F74" s="11" t="inlineStr">
        <is>
          <t>tion prices for similar properties adjusted for location and conditions of the property, which ranged from S$534 to S$766 per sqft 8 SEGMENT INFORMATION The Company’s executive directors monitor the operating results of its operating segment for the purpose of making decisions about resource allocation and performance assessment. For the year ended 31 March 2026, the chief operating decision-maker has been identified as the executive directors of the Group. The executive directors consider the segment from a business perspectiv</t>
        </is>
      </c>
    </row>
    <row r="75">
      <c r="A75" s="8" t="inlineStr">
        <is>
          <t>Segment Information</t>
        </is>
      </c>
      <c r="B75" s="8" t="inlineStr">
        <is>
          <t>分部資料</t>
        </is>
      </c>
      <c r="C75" s="8" t="inlineStr">
        <is>
          <t>medium</t>
        </is>
      </c>
      <c r="D75" s="11" t="inlineStr">
        <is>
          <t>segment information</t>
        </is>
      </c>
      <c r="E75" s="11" t="inlineStr">
        <is>
          <t>PDF p.140 (印刷頁 139)</t>
        </is>
      </c>
      <c r="F75" s="11" t="inlineStr">
        <is>
          <t>Notes to the Consolidated Financial Statements For the year ended 31 March 2026 8 SEGMENT INFORMATION (Continued) The executive directors assess the performance based on a measure of loss before tax, and consider all businesses are included in the reportable segments of the Group. Continuing operations: Segment revenue Segment results 2026 2025 2026 2025 S$’000 S$’000 S$’000 S$’000 Construction contracts and engineering services 77,420 59,035 8,494 9,367 Trading of building mat</t>
        </is>
      </c>
    </row>
    <row r="76">
      <c r="A76" s="8" t="inlineStr">
        <is>
          <t>Segment Information</t>
        </is>
      </c>
      <c r="B76" s="8" t="inlineStr">
        <is>
          <t>分部資料</t>
        </is>
      </c>
      <c r="C76" s="8" t="inlineStr">
        <is>
          <t>medium</t>
        </is>
      </c>
      <c r="D76" s="11" t="inlineStr">
        <is>
          <t>geographical</t>
        </is>
      </c>
      <c r="E76" s="11" t="inlineStr">
        <is>
          <t>PDF p.142 (印刷頁 141)</t>
        </is>
      </c>
      <c r="F76" s="11" t="inlineStr">
        <is>
          <t>6 Revenue from construction Revenue contracts and from trading engineering of building services materials Total S$’000 S$’000 S$’000 Geographical markets: – Singapore 44,248 – 44,248 – PRC 33,172 – 33,172 77,420 – 77,420 For the year ended 31 March 2025 Revenue from construction Revenue contracts and from trading engineering of building services materials Total S$’000 S$’000 S$’000 Geographical markets: – Singapore 50,159 – 50,159 – PRC 8,876 37 8,913 59,035 37 59,072 The Group provides infrastructural pipeline construction ser</t>
        </is>
      </c>
    </row>
    <row r="77">
      <c r="A77" s="8" t="inlineStr">
        <is>
          <t>Segment Information</t>
        </is>
      </c>
      <c r="B77" s="8" t="inlineStr">
        <is>
          <t>分部資料</t>
        </is>
      </c>
      <c r="C77" s="8" t="inlineStr">
        <is>
          <t>medium</t>
        </is>
      </c>
      <c r="D77" s="11" t="inlineStr">
        <is>
          <t>operating segment</t>
        </is>
      </c>
      <c r="E77" s="11" t="inlineStr">
        <is>
          <t>PDF p.185 (印刷頁 184)</t>
        </is>
      </c>
      <c r="F77" s="11" t="inlineStr">
        <is>
          <t>ing services and margin financing services and comprised the whole “Brokerage, placing and margin financing services” reportable and operating segment of the Group. The transfer of the equity interest was completed on 3 May 2024. Loss for the year from discontinued operation comprised: 2025 S$’000 Revenue – Other income – Administrative expense (83) Finance costs – Loss before tax from discontinued operation (83) Income tax expense – Loss for the year from discontinued operation (83) Loss for the year from discontinued operatio</t>
        </is>
      </c>
    </row>
    <row r="78">
      <c r="A78" s="8" t="inlineStr">
        <is>
          <t>Share-based Payment</t>
        </is>
      </c>
      <c r="B78" s="8" t="inlineStr">
        <is>
          <t>以股份為基礎的付款</t>
        </is>
      </c>
      <c r="C78" s="8" t="inlineStr">
        <is>
          <t>medium</t>
        </is>
      </c>
      <c r="D78" s="11" t="inlineStr">
        <is>
          <t>share option</t>
        </is>
      </c>
      <c r="E78" s="11" t="inlineStr">
        <is>
          <t>PDF p.29 (印刷頁 28)</t>
        </is>
      </c>
      <c r="F78" s="11" t="inlineStr">
        <is>
          <t>ge the Company to offer new shares on a pro-rata basis to the existing Shareholders. EQUITY-LINKED AGREEMENTS Other than the Amended Share Option Scheme of the Company (as defined below) and the placing agreement dated 1 August 2025 disclosed under heading “Use of CB Placing Proceeds” as set out in the Management Discussion and Analysis, no equity-linked agreements that will or may result in the Company issuing shares or that require the Company to enter into any agreements that will or may result in the Company issuing shares</t>
        </is>
      </c>
    </row>
    <row r="79">
      <c r="A79" s="8" t="inlineStr">
        <is>
          <t>Share-based Payment</t>
        </is>
      </c>
      <c r="B79" s="8" t="inlineStr">
        <is>
          <t>以股份為基礎的付款</t>
        </is>
      </c>
      <c r="C79" s="8" t="inlineStr">
        <is>
          <t>medium</t>
        </is>
      </c>
      <c r="D79" s="11" t="inlineStr">
        <is>
          <t>share option</t>
        </is>
      </c>
      <c r="E79" s="11" t="inlineStr">
        <is>
          <t>PDF p.34 (印刷頁 33)</t>
        </is>
      </c>
      <c r="F79" s="11" t="inlineStr">
        <is>
          <t>Directors’ Report SHARE OPTION SCHEME The share option scheme of the Company (the “Share Option Scheme”) has been conditionally adopted on 26 February 2019. The Company has amended the Share Option Scheme on 13 December 2022 (the “Amended Share Option Scheme”) to align with the amendments to Chapter 17 of the Listing Rules relating to share option schemes which has came into effect on 1 January 2023. Details of the</t>
        </is>
      </c>
    </row>
    <row r="80">
      <c r="A80" s="8" t="inlineStr">
        <is>
          <t>Share-based Payment</t>
        </is>
      </c>
      <c r="B80" s="8" t="inlineStr">
        <is>
          <t>以股份為基礎的付款</t>
        </is>
      </c>
      <c r="C80" s="8" t="inlineStr">
        <is>
          <t>medium</t>
        </is>
      </c>
      <c r="D80" s="11" t="inlineStr">
        <is>
          <t>share option</t>
        </is>
      </c>
      <c r="E80" s="11" t="inlineStr">
        <is>
          <t>PDF p.36 (印刷頁 35)</t>
        </is>
      </c>
      <c r="F80" s="11" t="inlineStr">
        <is>
          <t>Directors’ Report On 4 May 2022, 92,000,000 Options have been granted under the Share Option Scheme and therefore the existing Scheme Mandate Limit was fully utilized. The Company has on 13 December 2022 refreshed the Scheme Mandate Limit and therefore, the maximum number of shares which may be issued upon exercise of all options to be granted under the Amended Share Option Scheme is 110,400,000 shares, being 10% of the Shares as at the date of extraordinary general meeting.</t>
        </is>
      </c>
    </row>
    <row r="81">
      <c r="A81" s="8" t="inlineStr">
        <is>
          <t>Share-based Payment</t>
        </is>
      </c>
      <c r="B81" s="8" t="inlineStr">
        <is>
          <t>以股份為基礎的付款</t>
        </is>
      </c>
      <c r="C81" s="8" t="inlineStr">
        <is>
          <t>medium</t>
        </is>
      </c>
      <c r="D81" s="11" t="inlineStr">
        <is>
          <t>share option</t>
        </is>
      </c>
      <c r="E81" s="11" t="inlineStr">
        <is>
          <t>PDF p.37 (印刷頁 36)</t>
        </is>
      </c>
      <c r="F81" s="11" t="inlineStr">
        <is>
          <t>the grant of an Option impose any conditions, restrictions or limitations in relation thereto in addition to those set forth in the Share Option Scheme as the Board may think fit (to be stated in the letter containing the offer of the grant of the Option) including (without prejudice to the generality of the foregoing) the achievement of any performance targets by the Company and/or the grantee before the right to exercise the Option in respect of any of the Shares shall vest provided that such terms or conditions shall not be</t>
        </is>
      </c>
    </row>
    <row r="82">
      <c r="A82" s="8" t="inlineStr">
        <is>
          <t>Share-based Payment</t>
        </is>
      </c>
      <c r="B82" s="8" t="inlineStr">
        <is>
          <t>以股份為基礎的付款</t>
        </is>
      </c>
      <c r="C82" s="8" t="inlineStr">
        <is>
          <t>medium</t>
        </is>
      </c>
      <c r="D82" s="11" t="inlineStr">
        <is>
          <t>share option</t>
        </is>
      </c>
      <c r="E82" s="11" t="inlineStr">
        <is>
          <t>PDF p.38 (印刷頁 37)</t>
        </is>
      </c>
      <c r="F82" s="11" t="inlineStr">
        <is>
          <t>ge’s daily quotations sheets for the 5 Business Days (as defined in the Listing Rules) immediately preceding the offer date. Lift of Share Option Subject to the terms of this Share Option Scheme, the scheme shall Scheme be valid and effective for a period of 10 years from the date on which it becomes unconditional, after which no further options will be granted or offered but the provisions of the Share Option Scheme shall remain in force and effect in all other respects. All Options granted prior to such expiry and not then ex</t>
        </is>
      </c>
    </row>
    <row r="83">
      <c r="A83" s="8" t="inlineStr">
        <is>
          <t>Share-based Payment</t>
        </is>
      </c>
      <c r="B83" s="8" t="inlineStr">
        <is>
          <t>以股份為基礎的付款</t>
        </is>
      </c>
      <c r="C83" s="8" t="inlineStr">
        <is>
          <t>medium</t>
        </is>
      </c>
      <c r="D83" s="11" t="inlineStr">
        <is>
          <t>share option</t>
        </is>
      </c>
      <c r="E83" s="11" t="inlineStr">
        <is>
          <t>PDF p.39 (印刷頁 38)</t>
        </is>
      </c>
      <c r="F83" s="11" t="inlineStr">
        <is>
          <t>Directors’ Report No share option was available for grant under the Share Option Scheme and the Amended Share Option Scheme as at 1 April 2025 and 31 March 2026. There was no service provider sublimit under the Share Option Scheme and the Amended Share Option Scheme. As at the date of this annual report, the total number of shares of the Company available for issue for the Options granted under the Amended Share Optio</t>
        </is>
      </c>
    </row>
    <row r="84">
      <c r="A84" s="8" t="inlineStr">
        <is>
          <t>Share-based Payment</t>
        </is>
      </c>
      <c r="B84" s="8" t="inlineStr">
        <is>
          <t>以股份為基礎的付款</t>
        </is>
      </c>
      <c r="C84" s="8" t="inlineStr">
        <is>
          <t>medium</t>
        </is>
      </c>
      <c r="D84" s="11" t="inlineStr">
        <is>
          <t>share option</t>
        </is>
      </c>
      <c r="E84" s="11" t="inlineStr">
        <is>
          <t>PDF p.54 (印刷頁 53)</t>
        </is>
      </c>
      <c r="F84" s="11" t="inlineStr">
        <is>
          <t>tion by reference to corporate goals and objectives resolved by Directors from time to time and dealing with the matters relating to share option schemes of the Company. Their written terms of reference are available on the websites of the Stock Exchange and the Company. During FY2026, two meetings of the Remuneration Committee was held and the attendance record of the Remuneration Committee members is set out in the table below: Attended/ Eligible to Directors attend Mr. Shek Jun Chong 2/2 Mr. Qiu Yue 2/2 Ms. Tam Wing Yan 2/2</t>
        </is>
      </c>
    </row>
    <row r="85">
      <c r="A85" s="8" t="inlineStr">
        <is>
          <t>Share-based Payment</t>
        </is>
      </c>
      <c r="B85" s="8" t="inlineStr">
        <is>
          <t>以股份為基礎的付款</t>
        </is>
      </c>
      <c r="C85" s="8" t="inlineStr">
        <is>
          <t>medium</t>
        </is>
      </c>
      <c r="D85" s="11" t="inlineStr">
        <is>
          <t>share-based payment</t>
        </is>
      </c>
      <c r="E85" s="11" t="inlineStr">
        <is>
          <t>PDF p.91 (印刷頁 90)</t>
        </is>
      </c>
      <c r="F85" s="11" t="inlineStr">
        <is>
          <t>rcised share option granted to employees of the Group recognised in accordance with the accounting policy adopted for equity-settled share-based payments in Note 4.18 to the consolidated financial statements. (iii) The merger reserve arose from the issue of the Company’s shares in exchange for the shares of companies being acquired, and represents the difference between the nominal value of the shares issued by the Company in exchange for the value of the subsidiaries acquired. (iv) Revaluation reserve arises on the revaluation</t>
        </is>
      </c>
    </row>
    <row r="86">
      <c r="A86" s="8" t="inlineStr">
        <is>
          <t>Share-based Payment</t>
        </is>
      </c>
      <c r="B86" s="8" t="inlineStr">
        <is>
          <t>以股份為基礎的付款</t>
        </is>
      </c>
      <c r="C86" s="8" t="inlineStr">
        <is>
          <t>medium</t>
        </is>
      </c>
      <c r="D86" s="11" t="inlineStr">
        <is>
          <t>share-based payment</t>
        </is>
      </c>
      <c r="E86" s="11" t="inlineStr">
        <is>
          <t>PDF p.111 (印刷頁 110)</t>
        </is>
      </c>
      <c r="F86" s="11" t="inlineStr">
        <is>
          <t>to the Consolidated Financial Statements For the year ended 31 March 2026 4 MATERIAL ACCOUNTING POLICY INFORMATION (Continued) 4.18 Share-based payments The Group issues equity-settled share-based payments to certain employees. Equity-settled share-based payments are measured at the fair value (excluding the effect of non-market based vesting conditions) of the equity instruments at the date of grant. The fair value determined at the grant date of the equity-settled share-based payments is expensed on a straight-line basis ove</t>
        </is>
      </c>
    </row>
    <row r="87">
      <c r="A87" s="8" t="inlineStr">
        <is>
          <t>Share-based Payment</t>
        </is>
      </c>
      <c r="B87" s="8" t="inlineStr">
        <is>
          <t>以股份為基礎的付款</t>
        </is>
      </c>
      <c r="C87" s="8" t="inlineStr">
        <is>
          <t>medium</t>
        </is>
      </c>
      <c r="D87" s="11" t="inlineStr">
        <is>
          <t>share option</t>
        </is>
      </c>
      <c r="E87" s="11" t="inlineStr">
        <is>
          <t>PDF p.152 (印刷頁 151)</t>
        </is>
      </c>
      <c r="F87" s="11" t="inlineStr">
        <is>
          <t>(0.73) (3.02) No adjustment has been made to the basic loss per share for the years ended 31 March 2026 and 2025 as the outstanding share options which were potential ordinary shares of the Company did not have dilutive effect. 17 DIVIDENDS The directors have resolved not to declare any dividend for the year ended 31 March 2026 (2025: Nil). 151 Pengo Holdings Group Limited Annual Report 2026</t>
        </is>
      </c>
    </row>
    <row r="88">
      <c r="A88" s="8" t="inlineStr">
        <is>
          <t>Share-based Payment</t>
        </is>
      </c>
      <c r="B88" s="8" t="inlineStr">
        <is>
          <t>以股份為基礎的付款</t>
        </is>
      </c>
      <c r="C88" s="8" t="inlineStr">
        <is>
          <t>medium</t>
        </is>
      </c>
      <c r="D88" s="11" t="inlineStr">
        <is>
          <t>share option</t>
        </is>
      </c>
      <c r="E88" s="11" t="inlineStr">
        <is>
          <t>PDF p.175 (印刷頁 174)</t>
        </is>
      </c>
      <c r="F88" s="11" t="inlineStr">
        <is>
          <t>Notes to the Consolidated Financial Statements For the year ended 31 March 2026 34 SHARE OPTION SCHEME The Company has a share option scheme which was adopted on 26 February 2019 (“Share Option Scheme“) whereby the directors of the Company are authorised, at their discretion, to invite employees of the Group, including directors of any company in the Group, to take up options to subscribe for ordinary shares of the Company. The Company has amended the Share Option Scheme on 13 D</t>
        </is>
      </c>
    </row>
    <row r="89">
      <c r="A89" s="8" t="inlineStr">
        <is>
          <t>Share-based Payment</t>
        </is>
      </c>
      <c r="B89" s="8" t="inlineStr">
        <is>
          <t>以股份為基礎的付款</t>
        </is>
      </c>
      <c r="C89" s="8" t="inlineStr">
        <is>
          <t>medium</t>
        </is>
      </c>
      <c r="D89" s="11" t="inlineStr">
        <is>
          <t>share option</t>
        </is>
      </c>
      <c r="E89" s="11" t="inlineStr">
        <is>
          <t>PDF p.176 (印刷頁 175)</t>
        </is>
      </c>
      <c r="F89" s="11" t="inlineStr">
        <is>
          <t>Notes to the Consolidated Financial Statements For the year ended 31 March 2026 34 SHARE OPTION SCHEME (Continued) The following table discloses the details of the Company’s share options granted under the Share Option Scheme from the date of grant: On 15 June 2023, the Company had granted a total of 110,400,000 share options to twelve employees of the Group (the “Grantees”) under the share option scheme adopted by the Company on 26 February 2019 as amended on 13 December 2022,</t>
        </is>
      </c>
    </row>
    <row r="90">
      <c r="A90" s="8" t="inlineStr">
        <is>
          <t>Share-based Payment</t>
        </is>
      </c>
      <c r="B90" s="8" t="inlineStr">
        <is>
          <t>以股份為基礎的付款</t>
        </is>
      </c>
      <c r="C90" s="8" t="inlineStr">
        <is>
          <t>medium</t>
        </is>
      </c>
      <c r="D90" s="11" t="inlineStr">
        <is>
          <t>share option</t>
        </is>
      </c>
      <c r="E90" s="11" t="inlineStr">
        <is>
          <t>PDF p.177 (印刷頁 176)</t>
        </is>
      </c>
      <c r="F90" s="11" t="inlineStr">
        <is>
          <t>Notes to the Consolidated Financial Statements For the year ended 31 March 2026 34 SHARE OPTION SCHEME (Continued) The following table discloses the details of the Company’s share options under the Amended Share Option Scheme and the movements during the year ended 31 March 2026: Number of share options Exercise Cancelled/ Outstanding price Outstanding Granted Exercised lapsed Adjusted as at Date of Vesting per share Exercise as at during the during the during the during the 31</t>
        </is>
      </c>
    </row>
    <row r="91">
      <c r="A91" s="8" t="inlineStr">
        <is>
          <t>Share-based Payment</t>
        </is>
      </c>
      <c r="B91" s="8" t="inlineStr">
        <is>
          <t>以股份為基礎的付款</t>
        </is>
      </c>
      <c r="C91" s="8" t="inlineStr">
        <is>
          <t>medium</t>
        </is>
      </c>
      <c r="D91" s="11" t="inlineStr">
        <is>
          <t>share option</t>
        </is>
      </c>
      <c r="E91" s="11" t="inlineStr">
        <is>
          <t>PDF p.183 (印刷頁 182)</t>
        </is>
      </c>
      <c r="F91" s="11" t="inlineStr">
        <is>
          <t>RVE MOVEMENT OF THE COMPANY (Continued) (b) Share capital and reserve movement of the Company Convertible bonds – Share equity Share Share option Capital conversation Accumulated capital premium reserve reserve reserve losses Total S$’000 S$’000 S$’000 S$’000 S$’000 S$’000 S$’000 As at 1 April 2024 2,444 55,303 5,148 18,893 – (53,986) 27,802 Loss and total comprehensive expense for the year – – – – – (17,099) (17,099) Rights issue (Note 33(b)) 9,628 7,703 – – – – 17,331 Issue of new shares on subscription of shares (Note 33(c))</t>
        </is>
      </c>
    </row>
    <row r="92">
      <c r="A92" s="8" t="inlineStr">
        <is>
          <t>Related Party Transactions</t>
        </is>
      </c>
      <c r="B92" s="8" t="inlineStr">
        <is>
          <t>關聯方交易</t>
        </is>
      </c>
      <c r="C92" s="8" t="inlineStr">
        <is>
          <t>low</t>
        </is>
      </c>
      <c r="D92" s="11" t="inlineStr">
        <is>
          <t>related party</t>
        </is>
      </c>
      <c r="E92" s="11" t="inlineStr">
        <is>
          <t>PDF p.41 (印刷頁 40)</t>
        </is>
      </c>
      <c r="F92" s="11" t="inlineStr">
        <is>
          <t>be disclosed to the Company, or which were recorded in the register required to be kept by the Company under Section 336 of the SFO. RELATED PARTY TRANSACTIONS Details of the related party transactions undertaken by the Group are set out in Note 35 to the Consolidated Financial Statements. Those related party transactions did not constitute “continuing connected transactions” under Chapter 14A of the Listing Rules. RETIREMENT BENEFITS SCHEME The Group participates in the Central Provident Fund scheme (“CPF scheme”), which is a</t>
        </is>
      </c>
    </row>
    <row r="93">
      <c r="A93" s="8" t="inlineStr">
        <is>
          <t>Related Party Transactions</t>
        </is>
      </c>
      <c r="B93" s="8" t="inlineStr">
        <is>
          <t>關聯方交易</t>
        </is>
      </c>
      <c r="C93" s="8" t="inlineStr">
        <is>
          <t>low</t>
        </is>
      </c>
      <c r="D93" s="11" t="inlineStr">
        <is>
          <t>related party</t>
        </is>
      </c>
      <c r="E93" s="11" t="inlineStr">
        <is>
          <t>PDF p.181 (印刷頁 180)</t>
        </is>
      </c>
      <c r="F93" s="11" t="inlineStr">
        <is>
          <t>2026 2025 S$’000 S$’000 Within operating cash flows 4,030 4,613 Within financing cash flows 451 474 Lease rental paid 4,481 5,087 37 RELATED PARTY TRANSACTIONS (a) Transactions with related parties The directors of the Company are of the view that the following companies are related parties and their transactions and balances with the Group during the years ended 31 March 2026 and 2025 are as follows: 2026 2025 S$’000 S$’000 Technical service fee charged by related parties: – A+ Officers Security Pte Ltd 1,325 3,830 – Geopulse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workbookViewId="0">
      <pane ySplit="21" topLeftCell="A22"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Inventories</t>
        </is>
      </c>
    </row>
    <row r="13">
      <c r="A13" s="8" t="inlineStr">
        <is>
          <t>Balance Sheet</t>
        </is>
      </c>
      <c r="B13" s="8" t="inlineStr">
        <is>
          <t>Investment Properties</t>
        </is>
      </c>
    </row>
    <row r="14">
      <c r="A14" s="8" t="inlineStr">
        <is>
          <t>Balance Sheet</t>
        </is>
      </c>
      <c r="B14" s="8" t="inlineStr">
        <is>
          <t>Total Liabilities</t>
        </is>
      </c>
    </row>
    <row r="15">
      <c r="A15" s="8" t="inlineStr">
        <is>
          <t>Cash Flow</t>
        </is>
      </c>
      <c r="B15" s="8" t="inlineStr">
        <is>
          <t>Financing Cash Flow</t>
        </is>
      </c>
    </row>
    <row r="18">
      <c r="A18" s="5" t="inlineStr">
        <is>
          <t>二、文字量過低的頁面(疑似掃描頁)</t>
        </is>
      </c>
    </row>
    <row r="19">
      <c r="A19" s="2" t="inlineStr">
        <is>
          <t>這些頁面幾乎抓不到文字,通常是掃描件或純圖表,建議人手翻閱或另行 OCR。</t>
        </is>
      </c>
    </row>
    <row r="21">
      <c r="A21" s="7" t="inlineStr">
        <is>
          <t>PDF 頁碼</t>
        </is>
      </c>
      <c r="B21" s="7" t="inlineStr">
        <is>
          <t>狀態</t>
        </is>
      </c>
    </row>
    <row r="22">
      <c r="A22" s="8" t="n">
        <v>1</v>
      </c>
      <c r="B22"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2026-08-30T14:15:37Z</dcterms:created>
  <dcterms:modified xsi:type="dcterms:W3CDTF">2026-08-30T14:15:37Z</dcterms:modified>
</cp:coreProperties>
</file>
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6"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02806_GX_CN_CONSUME_20260731.pdf</t>
        </is>
      </c>
    </row>
    <row r="5">
      <c r="A5" s="3" t="inlineStr">
        <is>
          <t>產生時間 Generated</t>
        </is>
      </c>
      <c r="B5" s="4" t="inlineStr">
        <is>
          <t>2026-08-30 22:17</t>
        </is>
      </c>
    </row>
    <row r="6">
      <c r="A6" s="4" t="inlineStr"/>
      <c r="B6" s="4" t="inlineStr"/>
    </row>
    <row r="7">
      <c r="A7" s="3" t="inlineStr">
        <is>
          <t>總頁數 Total pages</t>
        </is>
      </c>
      <c r="B7" s="4" t="n">
        <v>301</v>
      </c>
    </row>
    <row r="8">
      <c r="A8" s="3" t="inlineStr">
        <is>
          <t>已擷取字元 Characters extracted</t>
        </is>
      </c>
      <c r="B8" s="4" t="n">
        <v>567895</v>
      </c>
    </row>
    <row r="9">
      <c r="A9" s="3" t="inlineStr">
        <is>
          <t>含表格頁數 Pages with tables</t>
        </is>
      </c>
      <c r="B9" s="4" t="n">
        <v>0</v>
      </c>
    </row>
    <row r="10">
      <c r="A10" s="3" t="inlineStr">
        <is>
          <t>需人手/OCR 頁數 Pages needing OCR</t>
        </is>
      </c>
      <c r="B10" s="4" t="n">
        <v>9</v>
      </c>
    </row>
    <row r="11">
      <c r="A11" s="4" t="inlineStr"/>
      <c r="B11" s="4" t="inlineStr"/>
    </row>
    <row r="12">
      <c r="A12" s="3" t="inlineStr">
        <is>
          <t>估值參數擷取筆數 Valuation parameters</t>
        </is>
      </c>
      <c r="B12" s="4" t="n">
        <v>0</v>
      </c>
    </row>
    <row r="13">
      <c r="A13" s="3" t="inlineStr">
        <is>
          <t>財務科目擷取筆數 Financial line items</t>
        </is>
      </c>
      <c r="B13" s="4" t="n">
        <v>3</v>
      </c>
    </row>
    <row r="14">
      <c r="A14" s="3" t="inlineStr">
        <is>
          <t>主題段落擷取筆數 Topic extracts</t>
        </is>
      </c>
      <c r="B14" s="4" t="n">
        <v>18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c r="A5" s="7" t="inlineStr">
        <is>
          <t>Income Statement</t>
        </is>
      </c>
      <c r="B5" s="7" t="inlineStr">
        <is>
          <t>Operating Profit</t>
        </is>
      </c>
      <c r="C5" s="8" t="n">
        <v>0</v>
      </c>
      <c r="D5" s="9" t="n">
        <v>0</v>
      </c>
      <c r="E5" s="10" t="str">
        <f>IF(ISERROR((C5-D5)/ABS(D5)),"",(C5-D5)/ABS(D5))</f>
        <v/>
      </c>
      <c r="F5" s="11" t="inlineStr">
        <is>
          <t>PDF p.20 (印刷頁 17)</t>
        </is>
      </c>
      <c r="G5" s="11" t="inlineStr">
        <is>
          <t>Operating profit/(loss) – – 129,344,656 (7,734,706) (20,319,049) 8,609,439 179,989,552 188,124,404 (55,600,220) 3,134,434</t>
        </is>
      </c>
    </row>
    <row r="6">
      <c r="A6" s="7" t="inlineStr">
        <is>
          <t>Income Statement</t>
        </is>
      </c>
      <c r="B6" s="7" t="inlineStr">
        <is>
          <t>Finance Costs</t>
        </is>
      </c>
      <c r="C6" s="8" t="n">
        <v>0</v>
      </c>
      <c r="D6" s="9" t="n">
        <v>0</v>
      </c>
      <c r="E6" s="10" t="str">
        <f>IF(ISERROR((C6-D6)/ABS(D6)),"",(C6-D6)/ABS(D6))</f>
        <v/>
      </c>
      <c r="F6" s="11" t="inlineStr">
        <is>
          <t>PDF p.20 (印刷頁 17)</t>
        </is>
      </c>
      <c r="G6" s="11" t="inlineStr">
        <is>
          <t>FINANCE COSTS … Interest expense – – (214) (4,226) (2,821) (6,027) (1,122) (11,530) (9,836) (78)</t>
        </is>
      </c>
    </row>
    <row r="7">
      <c r="A7" s="7" t="inlineStr">
        <is>
          <t>Income Statement</t>
        </is>
      </c>
      <c r="B7" s="7" t="inlineStr">
        <is>
          <t>Profit Before Tax</t>
        </is>
      </c>
      <c r="C7" s="8" t="n">
        <v>0</v>
      </c>
      <c r="D7" s="9" t="n">
        <v>0</v>
      </c>
      <c r="E7" s="10" t="str">
        <f>IF(ISERROR((C7-D7)/ABS(D7)),"",(C7-D7)/ABS(D7))</f>
        <v/>
      </c>
      <c r="F7" s="11" t="inlineStr">
        <is>
          <t>PDF p.20 (印刷頁 17)</t>
        </is>
      </c>
      <c r="G7" s="11" t="inlineStr">
        <is>
          <t>Profit/(loss) before tax – – 129,344,442 (7,738,932) (20,321,870) 8,603,412 179,988,430 188,112,874 (55,610,056) 3,134,356</t>
        </is>
      </c>
    </row>
    <row r="9">
      <c r="A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12" t="str">
        <f>IF(ISERROR(INDEX('Financials 財務數據'!$C$5:$C$7,MATCH("Gross Profit",'Financials 財務數據'!$B$5:$B$7,0))/INDEX('Financials 財務數據'!$C$5:$C$7,MATCH("Revenue",'Financials 財務數據'!$B$5:$B$7,0))),"n/a",INDEX('Financials 財務數據'!$C$5:$C$7,MATCH("Gross Profit",'Financials 財務數據'!$B$5:$B$7,0))/INDEX('Financials 財務數據'!$C$5:$C$7,MATCH("Revenue",'Financials 財務數據'!$B$5:$B$7,0)))</f>
        <v>n/a</v>
      </c>
      <c r="C5" s="12" t="str">
        <f>IF(ISERROR(INDEX('Financials 財務數據'!$D$5:$D$7,MATCH("Gross Profit",'Financials 財務數據'!$B$5:$B$7,0))/INDEX('Financials 財務數據'!$D$5:$D$7,MATCH("Revenue",'Financials 財務數據'!$B$5:$B$7,0))),"n/a",INDEX('Financials 財務數據'!$D$5:$D$7,MATCH("Gross Profit",'Financials 財務數據'!$B$5:$B$7,0))/INDEX('Financials 財務數據'!$D$5:$D$7,MATCH("Revenue",'Financials 財務數據'!$B$5:$B$7,0)))</f>
        <v>n/a</v>
      </c>
      <c r="D5" s="2" t="inlineStr">
        <is>
          <t>毛利 ÷ 收入</t>
        </is>
      </c>
    </row>
    <row r="6">
      <c r="A6" s="4" t="inlineStr">
        <is>
          <t>Net Margin 淨利率</t>
        </is>
      </c>
      <c r="B6" s="12" t="str">
        <f>IF(ISERROR(INDEX('Financials 財務數據'!$C$5:$C$7,MATCH("Profit for the Year",'Financials 財務數據'!$B$5:$B$7,0))/INDEX('Financials 財務數據'!$C$5:$C$7,MATCH("Revenue",'Financials 財務數據'!$B$5:$B$7,0))),"n/a",INDEX('Financials 財務數據'!$C$5:$C$7,MATCH("Profit for the Year",'Financials 財務數據'!$B$5:$B$7,0))/INDEX('Financials 財務數據'!$C$5:$C$7,MATCH("Revenue",'Financials 財務數據'!$B$5:$B$7,0)))</f>
        <v>n/a</v>
      </c>
      <c r="C6" s="12" t="str">
        <f>IF(ISERROR(INDEX('Financials 財務數據'!$D$5:$D$7,MATCH("Profit for the Year",'Financials 財務數據'!$B$5:$B$7,0))/INDEX('Financials 財務數據'!$D$5:$D$7,MATCH("Revenue",'Financials 財務數據'!$B$5:$B$7,0))),"n/a",INDEX('Financials 財務數據'!$D$5:$D$7,MATCH("Profit for the Year",'Financials 財務數據'!$B$5:$B$7,0))/INDEX('Financials 財務數據'!$D$5:$D$7,MATCH("Revenue",'Financials 財務數據'!$B$5:$B$7,0)))</f>
        <v>n/a</v>
      </c>
      <c r="D6" s="2" t="inlineStr">
        <is>
          <t>年內溢利 ÷ 收入</t>
        </is>
      </c>
    </row>
    <row r="7">
      <c r="A7" s="4" t="inlineStr">
        <is>
          <t>Current Ratio 流動比率</t>
        </is>
      </c>
      <c r="B7" s="13" t="str">
        <f>IF(ISERROR(INDEX('Financials 財務數據'!$C$5:$C$7,MATCH("Total Current Assets",'Financials 財務數據'!$B$5:$B$7,0))/INDEX('Financials 財務數據'!$C$5:$C$7,MATCH("Total Current Liabilities",'Financials 財務數據'!$B$5:$B$7,0))),"n/a",INDEX('Financials 財務數據'!$C$5:$C$7,MATCH("Total Current Assets",'Financials 財務數據'!$B$5:$B$7,0))/INDEX('Financials 財務數據'!$C$5:$C$7,MATCH("Total Current Liabilities",'Financials 財務數據'!$B$5:$B$7,0)))</f>
        <v>n/a</v>
      </c>
      <c r="C7" s="13" t="str">
        <f>IF(ISERROR(INDEX('Financials 財務數據'!$D$5:$D$7,MATCH("Total Current Assets",'Financials 財務數據'!$B$5:$B$7,0))/INDEX('Financials 財務數據'!$D$5:$D$7,MATCH("Total Current Liabilities",'Financials 財務數據'!$B$5:$B$7,0))),"n/a",INDEX('Financials 財務數據'!$D$5:$D$7,MATCH("Total Current Assets",'Financials 財務數據'!$B$5:$B$7,0))/INDEX('Financials 財務數據'!$D$5:$D$7,MATCH("Total Current Liabilities",'Financials 財務數據'!$B$5:$B$7,0)))</f>
        <v>n/a</v>
      </c>
      <c r="D7" s="2" t="inlineStr">
        <is>
          <t>流動資產 ÷ 流動負債</t>
        </is>
      </c>
    </row>
    <row r="8">
      <c r="A8" s="4" t="inlineStr">
        <is>
          <t>Debt / Equity 負債權益比</t>
        </is>
      </c>
      <c r="B8" s="13" t="str">
        <f>IF(ISERROR(INDEX('Financials 財務數據'!$C$5:$C$7,MATCH("Total Liabilities",'Financials 財務數據'!$B$5:$B$7,0))/INDEX('Financials 財務數據'!$C$5:$C$7,MATCH("Total Equity",'Financials 財務數據'!$B$5:$B$7,0))),"n/a",INDEX('Financials 財務數據'!$C$5:$C$7,MATCH("Total Liabilities",'Financials 財務數據'!$B$5:$B$7,0))/INDEX('Financials 財務數據'!$C$5:$C$7,MATCH("Total Equity",'Financials 財務數據'!$B$5:$B$7,0)))</f>
        <v>n/a</v>
      </c>
      <c r="C8" s="13" t="str">
        <f>IF(ISERROR(INDEX('Financials 財務數據'!$D$5:$D$7,MATCH("Total Liabilities",'Financials 財務數據'!$B$5:$B$7,0))/INDEX('Financials 財務數據'!$D$5:$D$7,MATCH("Total Equity",'Financials 財務數據'!$B$5:$B$7,0))),"n/a",INDEX('Financials 財務數據'!$D$5:$D$7,MATCH("Total Liabilities",'Financials 財務數據'!$B$5:$B$7,0))/INDEX('Financials 財務數據'!$D$5:$D$7,MATCH("Total Equity",'Financials 財務數據'!$B$5:$B$7,0)))</f>
        <v>n/a</v>
      </c>
      <c r="D8" s="2" t="inlineStr">
        <is>
          <t>總負債 ÷ 總權益</t>
        </is>
      </c>
    </row>
    <row r="9">
      <c r="A9" s="4" t="inlineStr">
        <is>
          <t>Goodwill / Total Assets</t>
        </is>
      </c>
      <c r="B9" s="12" t="str">
        <f>IF(ISERROR(INDEX('Financials 財務數據'!$C$5:$C$7,MATCH("Goodwill",'Financials 財務數據'!$B$5:$B$7,0))/INDEX('Financials 財務數據'!$C$5:$C$7,MATCH("Total Assets",'Financials 財務數據'!$B$5:$B$7,0))),"n/a",INDEX('Financials 財務數據'!$C$5:$C$7,MATCH("Goodwill",'Financials 財務數據'!$B$5:$B$7,0))/INDEX('Financials 財務數據'!$C$5:$C$7,MATCH("Total Assets",'Financials 財務數據'!$B$5:$B$7,0)))</f>
        <v>n/a</v>
      </c>
      <c r="C9" s="12" t="str">
        <f>IF(ISERROR(INDEX('Financials 財務數據'!$D$5:$D$7,MATCH("Goodwill",'Financials 財務數據'!$B$5:$B$7,0))/INDEX('Financials 財務數據'!$D$5:$D$7,MATCH("Total Assets",'Financials 財務數據'!$B$5:$B$7,0))),"n/a",INDEX('Financials 財務數據'!$D$5:$D$7,MATCH("Goodwill",'Financials 財務數據'!$B$5:$B$7,0))/INDEX('Financials 財務數據'!$D$5:$D$7,MATCH("Total Assets",'Financials 財務數據'!$B$5:$B$7,0)))</f>
        <v>n/a</v>
      </c>
      <c r="D9" s="2" t="inlineStr">
        <is>
          <t>商譽佔總資產比重 — 減值風險指標</t>
        </is>
      </c>
    </row>
    <row r="10">
      <c r="A10" s="4" t="inlineStr">
        <is>
          <t>Intangibles / Total Assets</t>
        </is>
      </c>
      <c r="B10" s="12" t="str">
        <f>IF(ISERROR(INDEX('Financials 財務數據'!$C$5:$C$7,MATCH("Intangible Assets",'Financials 財務數據'!$B$5:$B$7,0))/INDEX('Financials 財務數據'!$C$5:$C$7,MATCH("Total Assets",'Financials 財務數據'!$B$5:$B$7,0))),"n/a",INDEX('Financials 財務數據'!$C$5:$C$7,MATCH("Intangible Assets",'Financials 財務數據'!$B$5:$B$7,0))/INDEX('Financials 財務數據'!$C$5:$C$7,MATCH("Total Assets",'Financials 財務數據'!$B$5:$B$7,0)))</f>
        <v>n/a</v>
      </c>
      <c r="C10" s="12" t="str">
        <f>IF(ISERROR(INDEX('Financials 財務數據'!$D$5:$D$7,MATCH("Intangible Assets",'Financials 財務數據'!$B$5:$B$7,0))/INDEX('Financials 財務數據'!$D$5:$D$7,MATCH("Total Assets",'Financials 財務數據'!$B$5:$B$7,0))),"n/a",INDEX('Financials 財務數據'!$D$5:$D$7,MATCH("Intangible Assets",'Financials 財務數據'!$B$5:$B$7,0))/INDEX('Financials 財務數據'!$D$5:$D$7,MATCH("Total Assets",'Financials 財務數據'!$B$5:$B$7,0)))</f>
        <v>n/a</v>
      </c>
      <c r="D10" s="2" t="inlineStr">
        <is>
          <t>無形資產佔比</t>
        </is>
      </c>
    </row>
    <row r="11">
      <c r="A11" s="4" t="inlineStr">
        <is>
          <t>ROE 股本回報率</t>
        </is>
      </c>
      <c r="B11" s="12" t="str">
        <f>IF(ISERROR(INDEX('Financials 財務數據'!$C$5:$C$7,MATCH("Profit for the Year",'Financials 財務數據'!$B$5:$B$7,0))/INDEX('Financials 財務數據'!$C$5:$C$7,MATCH("Total Equity",'Financials 財務數據'!$B$5:$B$7,0))),"n/a",INDEX('Financials 財務數據'!$C$5:$C$7,MATCH("Profit for the Year",'Financials 財務數據'!$B$5:$B$7,0))/INDEX('Financials 財務數據'!$C$5:$C$7,MATCH("Total Equity",'Financials 財務數據'!$B$5:$B$7,0)))</f>
        <v>n/a</v>
      </c>
      <c r="C11" s="12" t="str">
        <f>IF(ISERROR(INDEX('Financials 財務數據'!$D$5:$D$7,MATCH("Profit for the Year",'Financials 財務數據'!$B$5:$B$7,0))/INDEX('Financials 財務數據'!$D$5:$D$7,MATCH("Total Equity",'Financials 財務數據'!$B$5:$B$7,0))),"n/a",INDEX('Financials 財務數據'!$D$5:$D$7,MATCH("Profit for the Year",'Financials 財務數據'!$B$5:$B$7,0))/INDEX('Financials 財務數據'!$D$5:$D$7,MATCH("Total Equity",'Financials 財務數據'!$B$5:$B$7,0)))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4" t="inlineStr">
        <is>
          <t>Item</t>
        </is>
      </c>
      <c r="B4" s="14" t="inlineStr">
        <is>
          <t>Prior</t>
        </is>
      </c>
      <c r="C4" s="14" t="inlineStr">
        <is>
          <t>Current</t>
        </is>
      </c>
    </row>
    <row r="5">
      <c r="A5" s="4" t="inlineStr">
        <is>
          <t>Profit Before Tax</t>
        </is>
      </c>
      <c r="B5" s="15" t="n">
        <v>0</v>
      </c>
      <c r="C5" s="1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7" t="inlineStr">
        <is>
          <t>Fair Value Measurement</t>
        </is>
      </c>
      <c r="B4" s="7" t="inlineStr">
        <is>
          <t>公允價值計量</t>
        </is>
      </c>
      <c r="C4" s="16" t="inlineStr">
        <is>
          <t>high</t>
        </is>
      </c>
      <c r="D4" s="11" t="inlineStr">
        <is>
          <t>valuation technique</t>
        </is>
      </c>
      <c r="E4" s="11" t="inlineStr">
        <is>
          <t>PDF p.65 (印刷頁 62)</t>
        </is>
      </c>
      <c r="F4" s="11" t="inlineStr">
        <is>
          <t>nclusive of accrued interest. For all other financial instruments not traded in an active market, the fair value is determined using valuation techniques deemed to be appropriate in the circumstances. Valuation techniques include the market approach (i.e., using recent arm’s length market transactions, adjusted as necessary, and reference to the current market value of another instrument that is substantially the same) and the income approach (i.e., discounted cash flow analysis and option pricing models making as much use of a</t>
        </is>
      </c>
    </row>
    <row r="5">
      <c r="A5" s="7" t="inlineStr">
        <is>
          <t>Fair Value Measurement</t>
        </is>
      </c>
      <c r="B5" s="7" t="inlineStr">
        <is>
          <t>公允價值計量</t>
        </is>
      </c>
      <c r="C5" s="16" t="inlineStr">
        <is>
          <t>high</t>
        </is>
      </c>
      <c r="D5" s="11" t="inlineStr">
        <is>
          <t>fair value hierarchy</t>
        </is>
      </c>
      <c r="E5" s="11" t="inlineStr">
        <is>
          <t>PDF p.66 (印刷頁 63)</t>
        </is>
      </c>
      <c r="F5" s="11" t="inlineStr">
        <is>
          <t>ued) All assets and liabilities for which fair value is measured or disclosed in the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t>
        </is>
      </c>
    </row>
    <row r="6">
      <c r="A6" s="7" t="inlineStr">
        <is>
          <t>Fair Value Measurement</t>
        </is>
      </c>
      <c r="B6" s="7" t="inlineStr">
        <is>
          <t>公允價值計量</t>
        </is>
      </c>
      <c r="C6" s="16" t="inlineStr">
        <is>
          <t>high</t>
        </is>
      </c>
      <c r="D6" s="11" t="inlineStr">
        <is>
          <t>fair value hierarchy</t>
        </is>
      </c>
      <c r="E6" s="11" t="inlineStr">
        <is>
          <t>PDF p.152 (印刷頁 149)</t>
        </is>
      </c>
      <c r="F6" s="11" t="inlineStr">
        <is>
          <t>y occurring market transactions on an arm’s length basis. IFRS 13 requires the Sub-Funds to classify fair value measurements using a fair value hierarchy that reflects the significance of the inputs used in making the measurements. The level in the fair value hierarchy within which the fair value measurement is categorised in its entirety is determined on the basis of the lowest level input that is significant to the fair value measurement in its entirety. For this purpose, the significance of an input is assessed against the f</t>
        </is>
      </c>
    </row>
    <row r="7">
      <c r="A7" s="7" t="inlineStr">
        <is>
          <t>Fair Value Measurement</t>
        </is>
      </c>
      <c r="B7" s="7" t="inlineStr">
        <is>
          <t>公允價值計量</t>
        </is>
      </c>
      <c r="C7" s="16" t="inlineStr">
        <is>
          <t>high</t>
        </is>
      </c>
      <c r="D7" s="11" t="inlineStr">
        <is>
          <t>level 1</t>
        </is>
      </c>
      <c r="E7" s="11" t="inlineStr">
        <is>
          <t>PDF p.153 (印刷頁 150)</t>
        </is>
      </c>
      <c r="F7" s="11" t="inlineStr">
        <is>
          <t>rch 2026 and 2025: As at 31 March 2026 Quoted prices Significant Significant in active observable unobservable markets inputs inputs Level 1 Level 2 Level 3 Total Financial assets at fair value through profit or loss: Equity securities China Clean Energy ETF (in RMB) 322,193,562 – – 322,193,562 China Consumer Brand ETF (in RMB) 165,433,036 – – 165,433,036 China Electric Vehicle and Battery ETF (in RMB) 513,830,094 – – 513,830,094 China Robotics and AI ETF (in RMB) 438,484,110 – – 438,484,110 China Semiconductor ETF (in RMB) 794</t>
        </is>
      </c>
    </row>
    <row r="8">
      <c r="A8" s="7" t="inlineStr">
        <is>
          <t>Fair Value Measurement</t>
        </is>
      </c>
      <c r="B8" s="7" t="inlineStr">
        <is>
          <t>公允價值計量</t>
        </is>
      </c>
      <c r="C8" s="16" t="inlineStr">
        <is>
          <t>high</t>
        </is>
      </c>
      <c r="D8" s="11" t="inlineStr">
        <is>
          <t>level 1</t>
        </is>
      </c>
      <c r="E8" s="11" t="inlineStr">
        <is>
          <t>PDF p.154 (印刷頁 151)</t>
        </is>
      </c>
      <c r="F8" s="11" t="inlineStr">
        <is>
          <t>inued) As at 31 March 2026 (continued) Quoted prices Significant Significant in active observable unobservable markets inputs inputs Level 1 Level 2 Level 3 Total Financial assets at fair value through profit or loss (continued): Listed index futures HSI Covered Call Active ETF (formerly known as HSI Components Covered Call Active ETF) (in HK$) 2,450 – – 2,450 HSCEI Covered Call Active ETF (formerly known as HSCEI Components Covered Call Active ETF) (in HK$) 240,800 – – 240,800 Financial liabilities at fair value through profit</t>
        </is>
      </c>
    </row>
    <row r="9">
      <c r="A9" s="7" t="inlineStr">
        <is>
          <t>Fair Value Measurement</t>
        </is>
      </c>
      <c r="B9" s="7" t="inlineStr">
        <is>
          <t>公允價值計量</t>
        </is>
      </c>
      <c r="C9" s="16" t="inlineStr">
        <is>
          <t>high</t>
        </is>
      </c>
      <c r="D9" s="11" t="inlineStr">
        <is>
          <t>level 1</t>
        </is>
      </c>
      <c r="E9" s="11" t="inlineStr">
        <is>
          <t>PDF p.155 (印刷頁 152)</t>
        </is>
      </c>
      <c r="F9" s="11" t="inlineStr">
        <is>
          <t>mation (continued) As at 31 March 2025 Quoted prices Significant Significant in active observable unobservable markets inputs inputs Level 1 Level 2 Level 3 Total Financial assets at fair value through profit or loss: Equity securities China Clean Energy ETF (in RMB) 263,632,580 – – 263,632,580 China Consumer Brand ETF (in RMB) 223,997,311 – – 223,997,311 China Electric Vehicle and Battery ETF (in RMB) 605,473,343 – – 605,473,343 China Robotics and AI ETF (in RMB) 162,859,104 – – 162,859,104 China Semiconductor ETF (in RMB) 242</t>
        </is>
      </c>
    </row>
    <row r="10">
      <c r="A10" s="7" t="inlineStr">
        <is>
          <t>Fair Value Measurement</t>
        </is>
      </c>
      <c r="B10" s="7" t="inlineStr">
        <is>
          <t>公允價值計量</t>
        </is>
      </c>
      <c r="C10" s="16" t="inlineStr">
        <is>
          <t>high</t>
        </is>
      </c>
      <c r="D10" s="11" t="inlineStr">
        <is>
          <t>level 1</t>
        </is>
      </c>
      <c r="E10" s="11" t="inlineStr">
        <is>
          <t>PDF p.156 (印刷頁 153)</t>
        </is>
      </c>
      <c r="F10" s="11" t="inlineStr">
        <is>
          <t>estimation (continued) Investments whose values are based on quoted market prices in active markets, and therefore classified within Level 1, include active listed equities, listed investment funds and listed index futures. The Sub-Funds do not adjust the quoted prices for these instruments. Financial instruments that trade in markets that are not considered to be active but are valued based on quoted market prices, dealer quotations or alternative pricing sources supported by observable inputs are classified within Level 2, in</t>
        </is>
      </c>
    </row>
    <row r="11">
      <c r="A11" s="7" t="inlineStr">
        <is>
          <t>Fair Value Measurement</t>
        </is>
      </c>
      <c r="B11" s="7" t="inlineStr">
        <is>
          <t>公允價值計量</t>
        </is>
      </c>
      <c r="C11" s="16" t="inlineStr">
        <is>
          <t>high</t>
        </is>
      </c>
      <c r="D11" s="11" t="inlineStr">
        <is>
          <t>level 3</t>
        </is>
      </c>
      <c r="E11" s="11" t="inlineStr">
        <is>
          <t>PDF p.157 (印刷頁 154)</t>
        </is>
      </c>
      <c r="F11" s="11" t="inlineStr">
        <is>
          <t>h 2026 13. FINANCIAL RISK MANAGEMENT OBJECTIVES AND POLICIES (CONTINUED) (e) Fair value estimation (continued) Valuation process for Level 3 valuations The valuation of level 3 investment is performed on a semi-annual basis by the Manager. According to the Instrument of Incorporation, the Manager may, at any time, get the approval from the Custodian by request. If fair value changes are more than certain thresholds set, the changes are further considered by the senior management of the Manager. The Manager considers the appropr</t>
        </is>
      </c>
    </row>
    <row r="12">
      <c r="A12" s="7" t="inlineStr">
        <is>
          <t>Fair Value Measurement</t>
        </is>
      </c>
      <c r="B12" s="7" t="inlineStr">
        <is>
          <t>公允價值計量</t>
        </is>
      </c>
      <c r="C12" s="16" t="inlineStr">
        <is>
          <t>high</t>
        </is>
      </c>
      <c r="D12" s="11" t="inlineStr">
        <is>
          <t>level 3</t>
        </is>
      </c>
      <c r="E12" s="11" t="inlineStr">
        <is>
          <t>PDF p.197 (印刷頁 194)</t>
        </is>
      </c>
      <c r="F12" s="11" t="inlineStr">
        <is>
          <t>1,080 5,184 0.40% 1,087,210 Total investments 1,287,399 99.84% Total investments, at cost 1,758,843 1 This security is classified as level 3 investment and has been marked at zero value by the Manager for the year ended 31 March 2026. 194</t>
        </is>
      </c>
    </row>
    <row r="13">
      <c r="A13" s="7" t="inlineStr">
        <is>
          <t>Intangible Assets &amp; Goodwill</t>
        </is>
      </c>
      <c r="B13" s="7" t="inlineStr">
        <is>
          <t>無形資產及商譽</t>
        </is>
      </c>
      <c r="C13" s="16" t="inlineStr">
        <is>
          <t>high</t>
        </is>
      </c>
      <c r="D13" s="11" t="inlineStr">
        <is>
          <t>amortisation</t>
        </is>
      </c>
      <c r="E13" s="11" t="inlineStr">
        <is>
          <t>PDF p.64 (印刷頁 61)</t>
        </is>
      </c>
      <c r="F13" s="11" t="inlineStr">
        <is>
          <t>nt. Gains and losses are recognised in profit or loss when the debt instruments are derecognised or impaired, as well as through the amortisation process. Financial liabilities, other than those classified as at FVPL, are measured at amortised cost using the effective interest method. Gains and losses are recognised in profit or loss when the liabilities are derecognised, as well as through the amortisation process. 61</t>
        </is>
      </c>
    </row>
    <row r="14">
      <c r="A14" s="7" t="inlineStr">
        <is>
          <t>ESG Data</t>
        </is>
      </c>
      <c r="B14" s="7" t="inlineStr">
        <is>
          <t>環境社會及管治數據</t>
        </is>
      </c>
      <c r="C14" s="7" t="inlineStr">
        <is>
          <t>medium</t>
        </is>
      </c>
      <c r="D14" s="11" t="inlineStr">
        <is>
          <t>ESG</t>
        </is>
      </c>
      <c r="E14" s="11" t="inlineStr">
        <is>
          <t>PDF p.3</t>
        </is>
      </c>
      <c r="F14" s="11" t="inlineStr">
        <is>
          <t>hanges in net assets attributable to shareholders 23 – 28 Statement of cash flows 29 – 51 Notes to the financial statements 52 – 171 ESG disclosure for Global X China Clean Energy ETF (Unaudited) 172 Investment portfolio (Unaudited) 173 – 257 Statement of movements in investment portfolio (Unaudited) 258 – 280 Details in respect of financial derivative instruments (Unaudited) 281 Holdings of collateral (Unaudited) 281 – 287 Performance record (Unaudited) 288 – 296 Information on exposure arising from financial derivative instru</t>
        </is>
      </c>
    </row>
    <row r="15">
      <c r="A15" s="7" t="inlineStr">
        <is>
          <t>ESG Data</t>
        </is>
      </c>
      <c r="B15" s="7" t="inlineStr">
        <is>
          <t>環境社會及管治數據</t>
        </is>
      </c>
      <c r="C15" s="7" t="inlineStr">
        <is>
          <t>medium</t>
        </is>
      </c>
      <c r="D15" s="11" t="inlineStr">
        <is>
          <t>ESG</t>
        </is>
      </c>
      <c r="E15" s="11" t="inlineStr">
        <is>
          <t>PDF p.175 (印刷頁 172)</t>
        </is>
      </c>
      <c r="F15" s="11" t="inlineStr">
        <is>
          <t>GLOBAL X EXCHANGE TRADED FUNDS SERIES OFC ESG DISCLOSURE FOR GLOBAL X CHINA CLEAN ENERGY ETF (UNAUDITED) As at 31 March 2026 Global X Exchange Traded Funds Series OFC Global X China Clean Energy ETF (1 April 2025 – 31 March 2026) Actual proportion of underlying investments that From 1 April 2025 to 31 March 2026, 99.51% of the Sub-Fund’s are commensurate with the Sub-Fund’s ESG average net asset value was invested in securities that are f</t>
        </is>
      </c>
    </row>
    <row r="16">
      <c r="A16" s="7" t="inlineStr">
        <is>
          <t>ESG Data</t>
        </is>
      </c>
      <c r="B16" s="7" t="inlineStr">
        <is>
          <t>環境社會及管治數據</t>
        </is>
      </c>
      <c r="C16" s="7" t="inlineStr">
        <is>
          <t>medium</t>
        </is>
      </c>
      <c r="D16" s="11" t="inlineStr">
        <is>
          <t>carbon</t>
        </is>
      </c>
      <c r="E16" s="11" t="inlineStr">
        <is>
          <t>PDF p.218 (印刷頁 215)</t>
        </is>
      </c>
      <c r="F16" s="11" t="inlineStr">
        <is>
          <t>CS SHAN-A 65,213 168,782 0.01% EVERPROX TECHNOLOGIES CO L-A 1,600 278,159 0.01% EYEBRIGHT MEDICAL TECHNOLO-A 974 57,339 0.00% FANGDA CARBON NEW MATERIAL-A 19,820 128,243 0.00% FAR EAST SMARTER ENERGY CO-A 31,624 483,908 0.01% FARASIS ENERGY GAN ZHOU CO-A 6,278 92,930 0.00% FAW JIEFANG GROUP CO LTD-A 18,124 136,609 0.00% FIBERHOME TELECOM TECH CO-A 7,852 449,941 0.01% FINANCIAL STREET HOLDINGS-A 17,292 50,251 0.00% FIRST CAPITAL SECURITIES C-A 20,584 166,600 0.01% FLAT GLASS GROUP CO LTD-A 9,444 152,123 0.00% FOCUS MEDIA INFORMA</t>
        </is>
      </c>
    </row>
    <row r="17">
      <c r="A17" s="7" t="inlineStr">
        <is>
          <t>Segment Information</t>
        </is>
      </c>
      <c r="B17" s="7" t="inlineStr">
        <is>
          <t>分部資料</t>
        </is>
      </c>
      <c r="C17" s="7" t="inlineStr">
        <is>
          <t>medium</t>
        </is>
      </c>
      <c r="D17" s="11" t="inlineStr">
        <is>
          <t>segment information</t>
        </is>
      </c>
      <c r="E17" s="11" t="inlineStr">
        <is>
          <t>PDF p.173 (印刷頁 170)</t>
        </is>
      </c>
      <c r="F17" s="11" t="inlineStr">
        <is>
          <t>GLOBAL X EXCHANGE TRADED FUNDS SERIES OFC NOTES TO THE FINANCIAL STATEMENTS 31 March 2026 15. SEGMENT INFORMATION The Manager makes the strategic resource allocations on behalf of the Sub-Funds and has determined the operating segments based on the reports reviewed which are used to make strategic decisions. The Manager considers that each Sub-Fund has a single operating segment which is investing in securities for China Clean Energy ETF, China Consumer Brand ETF, China Electric Vehicle an</t>
        </is>
      </c>
    </row>
    <row r="18">
      <c r="A18" s="7" t="inlineStr">
        <is>
          <t>Related Party Transactions</t>
        </is>
      </c>
      <c r="B18" s="7" t="inlineStr">
        <is>
          <t>關聯方交易</t>
        </is>
      </c>
      <c r="C18" s="7" t="inlineStr">
        <is>
          <t>low</t>
        </is>
      </c>
      <c r="D18" s="11" t="inlineStr">
        <is>
          <t>related party</t>
        </is>
      </c>
      <c r="E18" s="11" t="inlineStr">
        <is>
          <t>PDF p.100 (印刷頁 97)</t>
        </is>
      </c>
      <c r="F18" s="11" t="inlineStr">
        <is>
          <t>of net assets of the Sub-Funds are held with Citibank, N.A., the Sub-Custodian of the Sub-Funds, Citigroup Global Markets Limited, a related party of the Sub-Custodian of the Sub-Funds and Mirae Asset Securities (HK) Limited, a related company of the Manager of the Sub-Funds as at 31 March 2026 and 2025 are as follows: As at As at 31 March 2026 31 March 2025 Listed equities Citibank, N.A. China Clean Energy ETF (in RMB) 322,193,562 263,632,580 China Consumer Brand ETF (in RMB) 165,433,036 223,997,311 China Electric Vehicle and</t>
        </is>
      </c>
    </row>
    <row r="19">
      <c r="A19" s="7" t="inlineStr">
        <is>
          <t>Related Party Transactions</t>
        </is>
      </c>
      <c r="B19" s="7" t="inlineStr">
        <is>
          <t>關聯方交易</t>
        </is>
      </c>
      <c r="C19" s="7" t="inlineStr">
        <is>
          <t>low</t>
        </is>
      </c>
      <c r="D19" s="11" t="inlineStr">
        <is>
          <t>related party</t>
        </is>
      </c>
      <c r="E19" s="11" t="inlineStr">
        <is>
          <t>PDF p.106 (印刷頁 103)</t>
        </is>
      </c>
      <c r="F19" s="11" t="inlineStr">
        <is>
          <t>le The creation receivable of the Sub-Funds as at 31 March 2026 and 2025 is due from Mirae Asset Securities (HK) Limited, which is a related party of the Manager is as follows: Creation receivable As at 31 March 2026 As at 31 March 2025 Mirae Asset Securities (HK) Limited HSI Covered Call Active ETF (formerly known as HSI Components Covered Call Active ETF) (in HK$) 3,030,644 – HSCEI Covered Call Active ETF (formerly known as HSCEI Components Covered Call Active ETF) (in HK$) – 42,464,286 103</t>
        </is>
      </c>
    </row>
    <row r="20">
      <c r="A20" s="7" t="inlineStr">
        <is>
          <t>Related Party Transactions</t>
        </is>
      </c>
      <c r="B20" s="7" t="inlineStr">
        <is>
          <t>關聯方交易</t>
        </is>
      </c>
      <c r="C20" s="7" t="inlineStr">
        <is>
          <t>low</t>
        </is>
      </c>
      <c r="D20" s="11" t="inlineStr">
        <is>
          <t>related party</t>
        </is>
      </c>
      <c r="E20" s="11" t="inlineStr">
        <is>
          <t>PDF p.107 (印刷頁 104)</t>
        </is>
      </c>
      <c r="F20" s="11" t="inlineStr">
        <is>
          <t>yable The redemption payable of the Sub-Funds as at 31 March 2026 and 2025 is due to Mirae Asset Securities (HK) Limited, which is a related party of the Manager is as follows: Redemption payable As at 31 March 2026 As at 31 March 2025 Mirae Asset Securities (HK) Limited China Semiconductor ETF (in RMB) 7,451,402 – China Core TECH ETF (in HK$) 5,249,905 N/A (k) Directors’ remuneration Per Instrument of Incorporation, the directors of the Company shall be entitled to remuneration for their services as directors of the Company up</t>
        </is>
      </c>
    </row>
    <row r="21">
      <c r="A21" s="7" t="inlineStr">
        <is>
          <t>Related Party Transactions</t>
        </is>
      </c>
      <c r="B21" s="7" t="inlineStr">
        <is>
          <t>關聯方交易</t>
        </is>
      </c>
      <c r="C21" s="7" t="inlineStr">
        <is>
          <t>low</t>
        </is>
      </c>
      <c r="D21" s="11" t="inlineStr">
        <is>
          <t>related party</t>
        </is>
      </c>
      <c r="E21" s="11" t="inlineStr">
        <is>
          <t>PDF p.110 (印刷頁 107)</t>
        </is>
      </c>
      <c r="F21" s="11" t="inlineStr">
        <is>
          <t>ounts Margin accounts of the Sub-Funds as at 31 March 2026 and 2025 are maintained with Citigroup Global Markets Limited, which is a related party of the Custodian, as follows: Margin accounts As at 31 March 2026 As at 31 March 2025 Citigroup Global Markets Limited HSCEI Covered Call Active ETF (formerly known as HSCEI Components Covered Call Active ETF) (in HK$) 687,300,000 - 7. AMOUNTS DUE FROM/TO BROKERS As at 31 March 2026 and 2025, the amounts due from brokers represents receivable for securities sold, sales of foreign exc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7" t="inlineStr">
        <is>
          <t>Income Statement</t>
        </is>
      </c>
      <c r="B8" s="7" t="inlineStr">
        <is>
          <t>Revenue</t>
        </is>
      </c>
    </row>
    <row r="9">
      <c r="A9" s="7" t="inlineStr">
        <is>
          <t>Income Statement</t>
        </is>
      </c>
      <c r="B9" s="7" t="inlineStr">
        <is>
          <t>Cost of Sales</t>
        </is>
      </c>
    </row>
    <row r="10">
      <c r="A10" s="7" t="inlineStr">
        <is>
          <t>Income Statement</t>
        </is>
      </c>
      <c r="B10" s="7" t="inlineStr">
        <is>
          <t>Gross Profit</t>
        </is>
      </c>
    </row>
    <row r="11">
      <c r="A11" s="7" t="inlineStr">
        <is>
          <t>Income Statement</t>
        </is>
      </c>
      <c r="B11" s="7" t="inlineStr">
        <is>
          <t>Income Tax</t>
        </is>
      </c>
    </row>
    <row r="12">
      <c r="A12" s="7" t="inlineStr">
        <is>
          <t>Income Statement</t>
        </is>
      </c>
      <c r="B12" s="7" t="inlineStr">
        <is>
          <t>Profit for the Year</t>
        </is>
      </c>
    </row>
    <row r="13">
      <c r="A13" s="7" t="inlineStr">
        <is>
          <t>Income Statement</t>
        </is>
      </c>
      <c r="B13" s="7" t="inlineStr">
        <is>
          <t>R&amp;D Expenses</t>
        </is>
      </c>
    </row>
    <row r="14">
      <c r="A14" s="7" t="inlineStr">
        <is>
          <t>Income Statement</t>
        </is>
      </c>
      <c r="B14" s="7" t="inlineStr">
        <is>
          <t>Depreciation</t>
        </is>
      </c>
    </row>
    <row r="15">
      <c r="A15" s="7" t="inlineStr">
        <is>
          <t>Income Statement</t>
        </is>
      </c>
      <c r="B15" s="7" t="inlineStr">
        <is>
          <t>Amortisation</t>
        </is>
      </c>
    </row>
    <row r="18">
      <c r="A18" s="5" t="inlineStr">
        <is>
          <t>二、文字量過低的頁面(疑似掃描頁)</t>
        </is>
      </c>
    </row>
    <row r="19">
      <c r="A19" s="2" t="inlineStr">
        <is>
          <t>這些頁面幾乎抓不到文字,通常是掃描件或純圖表,建議人手翻閱或另行 OCR。</t>
        </is>
      </c>
    </row>
    <row r="21">
      <c r="A21" s="6" t="inlineStr">
        <is>
          <t>PDF 頁碼</t>
        </is>
      </c>
      <c r="B21" s="6" t="inlineStr">
        <is>
          <t>狀態</t>
        </is>
      </c>
    </row>
    <row r="22">
      <c r="A22" s="7" t="n">
        <v>4</v>
      </c>
      <c r="B22" s="7" t="inlineStr">
        <is>
          <t>文字量過低 — 可能為掃描頁/圖表頁</t>
        </is>
      </c>
    </row>
    <row r="23">
      <c r="A23" s="7" t="n">
        <v>5</v>
      </c>
      <c r="B23" s="7" t="inlineStr">
        <is>
          <t>文字量過低 — 可能為掃描頁/圖表頁</t>
        </is>
      </c>
    </row>
    <row r="24">
      <c r="A24" s="7" t="n">
        <v>6</v>
      </c>
      <c r="B24" s="7" t="inlineStr">
        <is>
          <t>文字量過低 — 可能為掃描頁/圖表頁</t>
        </is>
      </c>
    </row>
    <row r="25">
      <c r="A25" s="7" t="n">
        <v>7</v>
      </c>
      <c r="B25" s="7" t="inlineStr">
        <is>
          <t>文字量過低 — 可能為掃描頁/圖表頁</t>
        </is>
      </c>
    </row>
    <row r="26">
      <c r="A26" s="7" t="n">
        <v>8</v>
      </c>
      <c r="B26" s="7" t="inlineStr">
        <is>
          <t>文字量過低 — 可能為掃描頁/圖表頁</t>
        </is>
      </c>
    </row>
    <row r="27">
      <c r="A27" s="7" t="n">
        <v>9</v>
      </c>
      <c r="B27" s="7" t="inlineStr">
        <is>
          <t>文字量過低 — 可能為掃描頁/圖表頁</t>
        </is>
      </c>
    </row>
    <row r="28">
      <c r="A28" s="7" t="n">
        <v>10</v>
      </c>
      <c r="B28" s="7" t="inlineStr">
        <is>
          <t>文字量過低 — 可能為掃描頁/圖表頁</t>
        </is>
      </c>
    </row>
    <row r="29">
      <c r="A29" s="7" t="n">
        <v>11</v>
      </c>
      <c r="B29" s="7" t="inlineStr">
        <is>
          <t>文字量過低 — 可能為掃描頁/圖表頁</t>
        </is>
      </c>
    </row>
    <row r="30">
      <c r="A30" s="7" t="n">
        <v>19</v>
      </c>
      <c r="B30" s="7"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2026-08-30T14:17:09Z</dcterms:created>
  <dcterms:modified xsi:type="dcterms:W3CDTF">2026-08-30T14:17:09Z</dcterms:modified>
</cp:coreProperties>
</file>
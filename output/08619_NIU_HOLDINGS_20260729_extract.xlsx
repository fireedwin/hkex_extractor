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趨勢圖'!$A$5:$A$7</f>
            </numRef>
          </cat>
          <val>
            <numRef>
              <f>'Chart 趨勢圖'!$B$5:$B$7</f>
            </numRef>
          </val>
        </ser>
        <ser>
          <idx val="1"/>
          <order val="1"/>
          <tx>
            <strRef>
              <f>'Chart 趨勢圖'!C4</f>
            </strRef>
          </tx>
          <spPr>
            <a:ln>
              <a:prstDash val="solid"/>
            </a:ln>
          </spPr>
          <cat>
            <numRef>
              <f>'Chart 趨勢圖'!$A$5:$A$7</f>
            </numRef>
          </cat>
          <val>
            <numRef>
              <f>'Chart 趨勢圖'!$C$5:$C$7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08619_NIU_HOLDINGS_20260729.pdf</t>
        </is>
      </c>
    </row>
    <row r="5">
      <c r="A5" s="3" t="inlineStr">
        <is>
          <t>產生時間 Generated</t>
        </is>
      </c>
      <c r="B5" s="4" t="inlineStr">
        <is>
          <t>2026-08-30 22:16</t>
        </is>
      </c>
    </row>
    <row r="6">
      <c r="A6" s="4" t="inlineStr"/>
      <c r="B6" s="4" t="inlineStr"/>
    </row>
    <row r="7">
      <c r="A7" s="3" t="inlineStr">
        <is>
          <t>總頁數 Total pages</t>
        </is>
      </c>
      <c r="B7" s="4" t="n">
        <v>193</v>
      </c>
    </row>
    <row r="8">
      <c r="A8" s="3" t="inlineStr">
        <is>
          <t>已擷取字元 Characters extracted</t>
        </is>
      </c>
      <c r="B8" s="4" t="n">
        <v>414375</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3</v>
      </c>
    </row>
    <row r="13">
      <c r="A13" s="3" t="inlineStr">
        <is>
          <t>財務科目擷取筆數 Financial line items</t>
        </is>
      </c>
      <c r="B13" s="4" t="n">
        <v>13</v>
      </c>
    </row>
    <row r="14">
      <c r="A14" s="3" t="inlineStr">
        <is>
          <t>主題段落擷取筆數 Topic extracts</t>
        </is>
      </c>
      <c r="B14" s="4" t="n">
        <v>94</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107,769 − 61,126 = 46,643</t>
        </is>
      </c>
    </row>
    <row r="20">
      <c r="A20" s="6" t="inlineStr">
        <is>
          <t>✓ 三大報表應相鄰</t>
        </is>
      </c>
      <c r="B20" s="4" t="inlineStr">
        <is>
          <t>Income Statement: p.105、Balance Sheet: p.106、Cash Flow: p.108(相距 3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16</v>
      </c>
      <c r="D5" s="10" t="n">
        <v>16</v>
      </c>
      <c r="E5" s="11" t="inlineStr">
        <is>
          <t>16.0%</t>
        </is>
      </c>
      <c r="F5" s="11" t="inlineStr">
        <is>
          <t>High</t>
        </is>
      </c>
      <c r="G5" s="11" t="inlineStr">
        <is>
          <t>PDF p.167 (印刷頁 166)</t>
        </is>
      </c>
      <c r="H5" s="11" t="inlineStr">
        <is>
          <t>ions for the value-in-use calculation: Assumption used Growth rate 2.0% Pre-tax discount rate 16.0% The growth rates used in line with long term inflation rate forecast in Hong Kong. The discount rate reflects current market assessments of the time valu</t>
        </is>
      </c>
    </row>
    <row r="6">
      <c r="A6" s="8" t="inlineStr">
        <is>
          <t>Gross Margin</t>
        </is>
      </c>
      <c r="B6" s="8" t="inlineStr">
        <is>
          <t>毛利率</t>
        </is>
      </c>
      <c r="C6" s="9" t="n">
        <v>23.5</v>
      </c>
      <c r="D6" s="10" t="n">
        <v>23.5</v>
      </c>
      <c r="E6" s="11" t="inlineStr">
        <is>
          <t>23.5%</t>
        </is>
      </c>
      <c r="F6" s="11" t="inlineStr">
        <is>
          <t>High</t>
        </is>
      </c>
      <c r="G6" s="11" t="inlineStr">
        <is>
          <t>PDF p.9 (印刷頁 8)</t>
        </is>
      </c>
      <c r="H6" s="11" t="inlineStr">
        <is>
          <t>arch 2026, representing a decrease of approximately HK$1.7 million or 6.9%. The gross profit margin increased from 23.5% for the year ended 31 March 2025 to 29.3% for the year ended 31 March 2026. The increase was mainly caused by the increase in number of sm</t>
        </is>
      </c>
    </row>
    <row r="7">
      <c r="A7" s="8" t="inlineStr">
        <is>
          <t>Risk-free Rate</t>
        </is>
      </c>
      <c r="B7" s="8" t="inlineStr">
        <is>
          <t>無風險利率</t>
        </is>
      </c>
      <c r="C7" s="9" t="n">
        <v>2.95</v>
      </c>
      <c r="D7" s="10" t="n">
        <v>2.95</v>
      </c>
      <c r="E7" s="11" t="inlineStr">
        <is>
          <t>2.95%</t>
        </is>
      </c>
      <c r="F7" s="11" t="inlineStr">
        <is>
          <t>High</t>
        </is>
      </c>
      <c r="G7" s="11" t="inlineStr">
        <is>
          <t>PDF p.178 (印刷頁 177)</t>
        </is>
      </c>
      <c r="H7" s="11" t="inlineStr">
        <is>
          <t xml:space="preserve"> 2026 Exercise price HK$0.25 Expected volatility 159.93% Expected life 10 years Risk-free rate 2.95% The expected life used in the model has been adjusted, based on the director’s best estimate, for the effects of non-transferability, exercise restrictio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77946</v>
      </c>
      <c r="D5" s="13" t="n">
        <v>104274</v>
      </c>
      <c r="E5" s="14">
        <f>IF(ISERROR((C5-D5)/ABS(D5)),"",(C5-D5)/ABS(D5))</f>
        <v>-0.25248863570976465</v>
      </c>
      <c r="F5" s="11" t="inlineStr">
        <is>
          <t>PDF p.105 (印刷頁 104)</t>
        </is>
      </c>
      <c r="G5" s="11" t="inlineStr">
        <is>
          <t>Revenue 8 77,946 104,274</t>
        </is>
      </c>
    </row>
    <row r="6">
      <c r="A6" s="8" t="inlineStr">
        <is>
          <t>Income Statement</t>
        </is>
      </c>
      <c r="B6" s="8" t="inlineStr">
        <is>
          <t>Gross Profit</t>
        </is>
      </c>
      <c r="C6" s="12" t="n">
        <v>22818</v>
      </c>
      <c r="D6" s="13" t="n">
        <v>24519</v>
      </c>
      <c r="E6" s="14">
        <f>IF(ISERROR((C6-D6)/ABS(D6)),"",(C6-D6)/ABS(D6))</f>
        <v>-0.0693747705860761</v>
      </c>
      <c r="F6" s="11" t="inlineStr">
        <is>
          <t>PDF p.105 (印刷頁 104)</t>
        </is>
      </c>
      <c r="G6" s="11" t="inlineStr">
        <is>
          <t>Gross profit 22,818 24,519</t>
        </is>
      </c>
    </row>
    <row r="7">
      <c r="A7" s="8" t="inlineStr">
        <is>
          <t>Income Statement</t>
        </is>
      </c>
      <c r="B7" s="8" t="inlineStr">
        <is>
          <t>Finance Costs</t>
        </is>
      </c>
      <c r="C7" s="12" t="n">
        <v>-499</v>
      </c>
      <c r="D7" s="13" t="n">
        <v>-388</v>
      </c>
      <c r="E7" s="14">
        <f>IF(ISERROR((C7-D7)/ABS(D7)),"",(C7-D7)/ABS(D7))</f>
        <v>-0.2860824742268041</v>
      </c>
      <c r="F7" s="11" t="inlineStr">
        <is>
          <t>PDF p.105 (印刷頁 104)</t>
        </is>
      </c>
      <c r="G7" s="11" t="inlineStr">
        <is>
          <t>Finance costs 10 (499) (388)</t>
        </is>
      </c>
    </row>
    <row r="8">
      <c r="A8" s="8" t="inlineStr">
        <is>
          <t>Income Statement</t>
        </is>
      </c>
      <c r="B8" s="8" t="inlineStr">
        <is>
          <t>Income Tax</t>
        </is>
      </c>
      <c r="C8" s="12" t="n">
        <v>-1474</v>
      </c>
      <c r="D8" s="13" t="n">
        <v>493</v>
      </c>
      <c r="E8" s="14">
        <f>IF(ISERROR((C8-D8)/ABS(D8)),"",(C8-D8)/ABS(D8))</f>
        <v>-3.9898580121703855</v>
      </c>
      <c r="F8" s="11" t="inlineStr">
        <is>
          <t>PDF p.105 (印刷頁 104)</t>
        </is>
      </c>
      <c r="G8" s="11" t="inlineStr">
        <is>
          <t>Income tax (expense)/credit 12 (1,474) 493</t>
        </is>
      </c>
    </row>
    <row r="9">
      <c r="A9" s="8" t="inlineStr">
        <is>
          <t>Balance Sheet</t>
        </is>
      </c>
      <c r="B9" s="8" t="inlineStr">
        <is>
          <t>Property Plant and Equipment</t>
        </is>
      </c>
      <c r="C9" s="12" t="n">
        <v>0</v>
      </c>
      <c r="D9" s="13" t="n">
        <v>2590</v>
      </c>
      <c r="E9" s="14">
        <f>IF(ISERROR((C9-D9)/ABS(D9)),"",(C9-D9)/ABS(D9))</f>
        <v>-1.0</v>
      </c>
      <c r="F9" s="11" t="inlineStr">
        <is>
          <t>PDF p.106 (印刷頁 105)</t>
        </is>
      </c>
      <c r="G9" s="11" t="inlineStr">
        <is>
          <t>Property, plant and equipment 16 – 2,590</t>
        </is>
      </c>
    </row>
    <row r="10">
      <c r="A10" s="8" t="inlineStr">
        <is>
          <t>Balance Sheet</t>
        </is>
      </c>
      <c r="B10" s="8" t="inlineStr">
        <is>
          <t>Goodwill</t>
        </is>
      </c>
      <c r="C10" s="12" t="n">
        <v>0</v>
      </c>
      <c r="D10" s="13" t="n">
        <v>0</v>
      </c>
      <c r="E10" s="14" t="str">
        <f>IF(ISERROR((C10-D10)/ABS(D10)),"",(C10-D10)/ABS(D10))</f>
        <v/>
      </c>
      <c r="F10" s="11" t="inlineStr">
        <is>
          <t>PDF p.106 (印刷頁 105)</t>
        </is>
      </c>
      <c r="G10" s="11" t="inlineStr">
        <is>
          <t>Goodwill 18 – –</t>
        </is>
      </c>
    </row>
    <row r="11">
      <c r="A11" s="8" t="inlineStr">
        <is>
          <t>Balance Sheet</t>
        </is>
      </c>
      <c r="B11" s="8" t="inlineStr">
        <is>
          <t>Trade Receivables</t>
        </is>
      </c>
      <c r="C11" s="12" t="n">
        <v>54428</v>
      </c>
      <c r="D11" s="13" t="n">
        <v>84987</v>
      </c>
      <c r="E11" s="14">
        <f>IF(ISERROR((C11-D11)/ABS(D11)),"",(C11-D11)/ABS(D11))</f>
        <v>-0.3595726405214915</v>
      </c>
      <c r="F11" s="11" t="inlineStr">
        <is>
          <t>PDF p.106 (印刷頁 105)</t>
        </is>
      </c>
      <c r="G11" s="11" t="inlineStr">
        <is>
          <t>Trade and other receivables 20 54,428 84,987</t>
        </is>
      </c>
    </row>
    <row r="12">
      <c r="A12" s="8" t="inlineStr">
        <is>
          <t>Balance Sheet</t>
        </is>
      </c>
      <c r="B12" s="8" t="inlineStr">
        <is>
          <t>Cash and Equivalents</t>
        </is>
      </c>
      <c r="C12" s="12" t="n">
        <v>20906</v>
      </c>
      <c r="D12" s="13" t="n">
        <v>16358</v>
      </c>
      <c r="E12" s="14">
        <f>IF(ISERROR((C12-D12)/ABS(D12)),"",(C12-D12)/ABS(D12))</f>
        <v>0.2780290989118474</v>
      </c>
      <c r="F12" s="11" t="inlineStr">
        <is>
          <t>PDF p.106 (印刷頁 105)</t>
        </is>
      </c>
      <c r="G12" s="11" t="inlineStr">
        <is>
          <t>Cash and cash equivalents 23 20,906 16,358</t>
        </is>
      </c>
    </row>
    <row r="13">
      <c r="A13" s="8" t="inlineStr">
        <is>
          <t>Balance Sheet</t>
        </is>
      </c>
      <c r="B13" s="8" t="inlineStr">
        <is>
          <t>Total Equity</t>
        </is>
      </c>
      <c r="C13" s="12" t="n">
        <v>63940</v>
      </c>
      <c r="D13" s="13" t="n">
        <v>197320</v>
      </c>
      <c r="E13" s="14">
        <f>IF(ISERROR((C13-D13)/ABS(D13)),"",(C13-D13)/ABS(D13))</f>
        <v>-0.6759578349888506</v>
      </c>
      <c r="F13" s="11" t="inlineStr">
        <is>
          <t>PDF p.106 (印刷頁 105)</t>
        </is>
      </c>
      <c r="G13" s="11" t="inlineStr">
        <is>
          <t>Total Equity 63,940 197,320</t>
        </is>
      </c>
    </row>
    <row r="14">
      <c r="A14" s="8" t="inlineStr">
        <is>
          <t>Balance Sheet</t>
        </is>
      </c>
      <c r="B14" s="8" t="inlineStr">
        <is>
          <t>Total Current Assets</t>
        </is>
      </c>
      <c r="C14" s="12" t="n">
        <v>107769</v>
      </c>
      <c r="D14" s="13" t="n">
        <v>131189</v>
      </c>
      <c r="E14" s="14">
        <f>IF(ISERROR((C14-D14)/ABS(D14)),"",(C14-D14)/ABS(D14))</f>
        <v>-0.1785210650283179</v>
      </c>
      <c r="F14" s="11" t="inlineStr">
        <is>
          <t>PDF p.106 (印刷頁 105)</t>
        </is>
      </c>
      <c r="G14" s="11" t="inlineStr">
        <is>
          <t>[current assets 區段小計] 107,769 131,189</t>
        </is>
      </c>
    </row>
    <row r="15">
      <c r="A15" s="8" t="inlineStr">
        <is>
          <t>Balance Sheet</t>
        </is>
      </c>
      <c r="B15" s="8" t="inlineStr">
        <is>
          <t>Total Current Liabilities</t>
        </is>
      </c>
      <c r="C15" s="12" t="n">
        <v>61126</v>
      </c>
      <c r="D15" s="13" t="n">
        <v>38329</v>
      </c>
      <c r="E15" s="14">
        <f>IF(ISERROR((C15-D15)/ABS(D15)),"",(C15-D15)/ABS(D15))</f>
        <v>0.5947715828745859</v>
      </c>
      <c r="F15" s="11" t="inlineStr">
        <is>
          <t>PDF p.106 (印刷頁 105)</t>
        </is>
      </c>
      <c r="G15" s="11" t="inlineStr">
        <is>
          <t>[current liabilities 區段小計] 61,126 38,329</t>
        </is>
      </c>
    </row>
    <row r="16">
      <c r="A16" s="8" t="inlineStr">
        <is>
          <t>Cash Flow</t>
        </is>
      </c>
      <c r="B16" s="8" t="inlineStr">
        <is>
          <t>Operating Cash Flow</t>
        </is>
      </c>
      <c r="C16" s="12" t="n">
        <v>4011</v>
      </c>
      <c r="D16" s="13" t="n">
        <v>-37710</v>
      </c>
      <c r="E16" s="14">
        <f>IF(ISERROR((C16-D16)/ABS(D16)),"",(C16-D16)/ABS(D16))</f>
        <v>1.1063643595863166</v>
      </c>
      <c r="F16" s="11" t="inlineStr">
        <is>
          <t>PDF p.108 (印刷頁 107)</t>
        </is>
      </c>
      <c r="G16" s="11" t="inlineStr">
        <is>
          <t>Net cash generated from/(used in) operating activities 4,011 (37,710)</t>
        </is>
      </c>
    </row>
    <row r="17">
      <c r="A17" s="8" t="inlineStr">
        <is>
          <t>Cash Flow</t>
        </is>
      </c>
      <c r="B17" s="8" t="inlineStr">
        <is>
          <t>Capital Expenditure</t>
        </is>
      </c>
      <c r="C17" s="12" t="n">
        <v>-90</v>
      </c>
      <c r="D17" s="13" t="n">
        <v>-401</v>
      </c>
      <c r="E17" s="14">
        <f>IF(ISERROR((C17-D17)/ABS(D17)),"",(C17-D17)/ABS(D17))</f>
        <v>0.7755610972568578</v>
      </c>
      <c r="F17" s="11" t="inlineStr">
        <is>
          <t>PDF p.109 (印刷頁 108)</t>
        </is>
      </c>
      <c r="G17" s="11" t="inlineStr">
        <is>
          <t>Purchase of property, plant and equipment (90) (401)</t>
        </is>
      </c>
    </row>
    <row r="19">
      <c r="A19"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財務數據'!$C$5:$C$17,MATCH("Gross Profit",'Financials 財務數據'!$B$5:$B$17,0))/INDEX('Financials 財務數據'!$C$5:$C$17,MATCH("Revenue",'Financials 財務數據'!$B$5:$B$17,0))),"n/a",INDEX('Financials 財務數據'!$C$5:$C$17,MATCH("Gross Profit",'Financials 財務數據'!$B$5:$B$17,0))/INDEX('Financials 財務數據'!$C$5:$C$17,MATCH("Revenue",'Financials 財務數據'!$B$5:$B$17,0)))</f>
        <v>0.2927411284735586</v>
      </c>
      <c r="C5" s="15">
        <f>IF(ISERROR(INDEX('Financials 財務數據'!$D$5:$D$17,MATCH("Gross Profit",'Financials 財務數據'!$B$5:$B$17,0))/INDEX('Financials 財務數據'!$D$5:$D$17,MATCH("Revenue",'Financials 財務數據'!$B$5:$B$17,0))),"n/a",INDEX('Financials 財務數據'!$D$5:$D$17,MATCH("Gross Profit",'Financials 財務數據'!$B$5:$B$17,0))/INDEX('Financials 財務數據'!$D$5:$D$17,MATCH("Revenue",'Financials 財務數據'!$B$5:$B$17,0)))</f>
        <v>0.2351401116289775</v>
      </c>
      <c r="D5" s="2" t="inlineStr">
        <is>
          <t>毛利 ÷ 收入</t>
        </is>
      </c>
    </row>
    <row r="6">
      <c r="A6" s="4" t="inlineStr">
        <is>
          <t>Net Margin 淨利率</t>
        </is>
      </c>
      <c r="B6" s="15" t="str">
        <f>IF(ISERROR(INDEX('Financials 財務數據'!$C$5:$C$17,MATCH("Profit for the Year",'Financials 財務數據'!$B$5:$B$17,0))/INDEX('Financials 財務數據'!$C$5:$C$17,MATCH("Revenue",'Financials 財務數據'!$B$5:$B$17,0))),"n/a",INDEX('Financials 財務數據'!$C$5:$C$17,MATCH("Profit for the Year",'Financials 財務數據'!$B$5:$B$17,0))/INDEX('Financials 財務數據'!$C$5:$C$17,MATCH("Revenue",'Financials 財務數據'!$B$5:$B$17,0)))</f>
        <v>n/a</v>
      </c>
      <c r="C6" s="15" t="str">
        <f>IF(ISERROR(INDEX('Financials 財務數據'!$D$5:$D$17,MATCH("Profit for the Year",'Financials 財務數據'!$B$5:$B$17,0))/INDEX('Financials 財務數據'!$D$5:$D$17,MATCH("Revenue",'Financials 財務數據'!$B$5:$B$17,0))),"n/a",INDEX('Financials 財務數據'!$D$5:$D$17,MATCH("Profit for the Year",'Financials 財務數據'!$B$5:$B$17,0))/INDEX('Financials 財務數據'!$D$5:$D$17,MATCH("Revenue",'Financials 財務數據'!$B$5:$B$17,0)))</f>
        <v>n/a</v>
      </c>
      <c r="D6" s="2" t="inlineStr">
        <is>
          <t>年內溢利 ÷ 收入</t>
        </is>
      </c>
    </row>
    <row r="7">
      <c r="A7" s="4" t="inlineStr">
        <is>
          <t>Current Ratio 流動比率</t>
        </is>
      </c>
      <c r="B7" s="16">
        <f>IF(ISERROR(INDEX('Financials 財務數據'!$C$5:$C$17,MATCH("Total Current Assets",'Financials 財務數據'!$B$5:$B$17,0))/INDEX('Financials 財務數據'!$C$5:$C$17,MATCH("Total Current Liabilities",'Financials 財務數據'!$B$5:$B$17,0))),"n/a",INDEX('Financials 財務數據'!$C$5:$C$17,MATCH("Total Current Assets",'Financials 財務數據'!$B$5:$B$17,0))/INDEX('Financials 財務數據'!$C$5:$C$17,MATCH("Total Current Liabilities",'Financials 財務數據'!$B$5:$B$17,0)))</f>
        <v>1.7630631809704544</v>
      </c>
      <c r="C7" s="16">
        <f>IF(ISERROR(INDEX('Financials 財務數據'!$D$5:$D$17,MATCH("Total Current Assets",'Financials 財務數據'!$B$5:$B$17,0))/INDEX('Financials 財務數據'!$D$5:$D$17,MATCH("Total Current Liabilities",'Financials 財務數據'!$B$5:$B$17,0))),"n/a",INDEX('Financials 財務數據'!$D$5:$D$17,MATCH("Total Current Assets",'Financials 財務數據'!$B$5:$B$17,0))/INDEX('Financials 財務數據'!$D$5:$D$17,MATCH("Total Current Liabilities",'Financials 財務數據'!$B$5:$B$17,0)))</f>
        <v>3.422708654021759</v>
      </c>
      <c r="D7" s="2" t="inlineStr">
        <is>
          <t>流動資產 ÷ 流動負債</t>
        </is>
      </c>
    </row>
    <row r="8">
      <c r="A8" s="4" t="inlineStr">
        <is>
          <t>Debt / Equity 負債權益比</t>
        </is>
      </c>
      <c r="B8" s="16" t="str">
        <f>IF(ISERROR(INDEX('Financials 財務數據'!$C$5:$C$17,MATCH("Total Liabilities",'Financials 財務數據'!$B$5:$B$17,0))/INDEX('Financials 財務數據'!$C$5:$C$17,MATCH("Total Equity",'Financials 財務數據'!$B$5:$B$17,0))),"n/a",INDEX('Financials 財務數據'!$C$5:$C$17,MATCH("Total Liabilities",'Financials 財務數據'!$B$5:$B$17,0))/INDEX('Financials 財務數據'!$C$5:$C$17,MATCH("Total Equity",'Financials 財務數據'!$B$5:$B$17,0)))</f>
        <v>n/a</v>
      </c>
      <c r="C8" s="16" t="str">
        <f>IF(ISERROR(INDEX('Financials 財務數據'!$D$5:$D$17,MATCH("Total Liabilities",'Financials 財務數據'!$B$5:$B$17,0))/INDEX('Financials 財務數據'!$D$5:$D$17,MATCH("Total Equity",'Financials 財務數據'!$B$5:$B$17,0))),"n/a",INDEX('Financials 財務數據'!$D$5:$D$17,MATCH("Total Liabilities",'Financials 財務數據'!$B$5:$B$17,0))/INDEX('Financials 財務數據'!$D$5:$D$17,MATCH("Total Equity",'Financials 財務數據'!$B$5:$B$17,0)))</f>
        <v>n/a</v>
      </c>
      <c r="D8" s="2" t="inlineStr">
        <is>
          <t>總負債 ÷ 總權益</t>
        </is>
      </c>
    </row>
    <row r="9">
      <c r="A9" s="4" t="inlineStr">
        <is>
          <t>Goodwill / Total Assets</t>
        </is>
      </c>
      <c r="B9" s="15" t="str">
        <f>IF(ISERROR(INDEX('Financials 財務數據'!$C$5:$C$17,MATCH("Goodwill",'Financials 財務數據'!$B$5:$B$17,0))/INDEX('Financials 財務數據'!$C$5:$C$17,MATCH("Total Assets",'Financials 財務數據'!$B$5:$B$17,0))),"n/a",INDEX('Financials 財務數據'!$C$5:$C$17,MATCH("Goodwill",'Financials 財務數據'!$B$5:$B$17,0))/INDEX('Financials 財務數據'!$C$5:$C$17,MATCH("Total Assets",'Financials 財務數據'!$B$5:$B$17,0)))</f>
        <v>n/a</v>
      </c>
      <c r="C9" s="15" t="str">
        <f>IF(ISERROR(INDEX('Financials 財務數據'!$D$5:$D$17,MATCH("Goodwill",'Financials 財務數據'!$B$5:$B$17,0))/INDEX('Financials 財務數據'!$D$5:$D$17,MATCH("Total Assets",'Financials 財務數據'!$B$5:$B$17,0))),"n/a",INDEX('Financials 財務數據'!$D$5:$D$17,MATCH("Goodwill",'Financials 財務數據'!$B$5:$B$17,0))/INDEX('Financials 財務數據'!$D$5:$D$17,MATCH("Total Assets",'Financials 財務數據'!$B$5:$B$17,0)))</f>
        <v>n/a</v>
      </c>
      <c r="D9" s="2" t="inlineStr">
        <is>
          <t>商譽佔總資產比重 — 減值風險指標</t>
        </is>
      </c>
    </row>
    <row r="10">
      <c r="A10" s="4" t="inlineStr">
        <is>
          <t>Intangibles / Total Assets</t>
        </is>
      </c>
      <c r="B10" s="15" t="str">
        <f>IF(ISERROR(INDEX('Financials 財務數據'!$C$5:$C$17,MATCH("Intangible Assets",'Financials 財務數據'!$B$5:$B$17,0))/INDEX('Financials 財務數據'!$C$5:$C$17,MATCH("Total Assets",'Financials 財務數據'!$B$5:$B$17,0))),"n/a",INDEX('Financials 財務數據'!$C$5:$C$17,MATCH("Intangible Assets",'Financials 財務數據'!$B$5:$B$17,0))/INDEX('Financials 財務數據'!$C$5:$C$17,MATCH("Total Assets",'Financials 財務數據'!$B$5:$B$17,0)))</f>
        <v>n/a</v>
      </c>
      <c r="C10" s="15" t="str">
        <f>IF(ISERROR(INDEX('Financials 財務數據'!$D$5:$D$17,MATCH("Intangible Assets",'Financials 財務數據'!$B$5:$B$17,0))/INDEX('Financials 財務數據'!$D$5:$D$17,MATCH("Total Assets",'Financials 財務數據'!$B$5:$B$17,0))),"n/a",INDEX('Financials 財務數據'!$D$5:$D$17,MATCH("Intangible Assets",'Financials 財務數據'!$B$5:$B$17,0))/INDEX('Financials 財務數據'!$D$5:$D$17,MATCH("Total Assets",'Financials 財務數據'!$B$5:$B$17,0)))</f>
        <v>n/a</v>
      </c>
      <c r="D10" s="2" t="inlineStr">
        <is>
          <t>無形資產佔比</t>
        </is>
      </c>
    </row>
    <row r="11">
      <c r="A11" s="4" t="inlineStr">
        <is>
          <t>ROE 股本回報率</t>
        </is>
      </c>
      <c r="B11" s="15" t="str">
        <f>IF(ISERROR(INDEX('Financials 財務數據'!$C$5:$C$17,MATCH("Profit for the Year",'Financials 財務數據'!$B$5:$B$17,0))/INDEX('Financials 財務數據'!$C$5:$C$17,MATCH("Total Equity",'Financials 財務數據'!$B$5:$B$17,0))),"n/a",INDEX('Financials 財務數據'!$C$5:$C$17,MATCH("Profit for the Year",'Financials 財務數據'!$B$5:$B$17,0))/INDEX('Financials 財務數據'!$C$5:$C$17,MATCH("Total Equity",'Financials 財務數據'!$B$5:$B$17,0)))</f>
        <v>n/a</v>
      </c>
      <c r="C11" s="15" t="str">
        <f>IF(ISERROR(INDEX('Financials 財務數據'!$D$5:$D$17,MATCH("Profit for the Year",'Financials 財務數據'!$B$5:$B$17,0))/INDEX('Financials 財務數據'!$D$5:$D$17,MATCH("Total Equity",'Financials 財務數據'!$B$5:$B$17,0))),"n/a",INDEX('Financials 財務數據'!$D$5:$D$17,MATCH("Profit for the Year",'Financials 財務數據'!$B$5:$B$17,0))/INDEX('Financials 財務數據'!$D$5:$D$17,MATCH("Total Equity",'Financials 財務數據'!$B$5:$B$17,0)))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104274</v>
      </c>
      <c r="C5" s="18" t="n">
        <v>77946</v>
      </c>
    </row>
    <row r="6">
      <c r="A6" s="4" t="inlineStr">
        <is>
          <t>Gross Profit</t>
        </is>
      </c>
      <c r="B6" s="18" t="n">
        <v>24519</v>
      </c>
      <c r="C6" s="18" t="n">
        <v>22818</v>
      </c>
    </row>
    <row r="7">
      <c r="A7" s="4" t="inlineStr">
        <is>
          <t>Total Equity</t>
        </is>
      </c>
      <c r="B7" s="18" t="n">
        <v>197320</v>
      </c>
      <c r="C7" s="18" t="n">
        <v>63940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97"/>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valuation technique</t>
        </is>
      </c>
      <c r="E4" s="11" t="inlineStr">
        <is>
          <t>PDF p.138 (印刷頁 137)</t>
        </is>
      </c>
      <c r="F4" s="11" t="inlineStr">
        <is>
          <t>listed equity securities The fair value of unlisted equity securities that are not traded in an active market is determined by using valuation techniques. The Group use its judgement to select net asset approach and makes assumptions that are mainly based on market conditions existing at the end of each reporting period. Details of the key assumptions used and the impact of changes to these assumptions are disclosed in note 7(c) to the consolidated financial statements. As at 31 March 2026, the carrying amounts of the Group’s u</t>
        </is>
      </c>
    </row>
    <row r="5">
      <c r="A5" s="8" t="inlineStr">
        <is>
          <t>Fair Value Measurement</t>
        </is>
      </c>
      <c r="B5" s="8" t="inlineStr">
        <is>
          <t>公允價值計量</t>
        </is>
      </c>
      <c r="C5" s="19" t="inlineStr">
        <is>
          <t>high</t>
        </is>
      </c>
      <c r="D5" s="11" t="inlineStr">
        <is>
          <t>fair value hierarchy</t>
        </is>
      </c>
      <c r="E5" s="11" t="inlineStr">
        <is>
          <t>PDF p.147 (印刷頁 146)</t>
        </is>
      </c>
      <c r="F5" s="11" t="inlineStr">
        <is>
          <t>orderly transaction between market participants at the measurement date. The following disclosures of fair value measurements use a fair value hierarchy that categorises into three levels the inputs to valuation techniques used to measure fair value: Level 1 inputs: quoted prices (unadjusted) in active markets for identical assets or liabilities that the Group can access at the measurement date. Level 2 inputs: inputs other than quoted prices included within level 1 that are observable for the asset or liability, either direct</t>
        </is>
      </c>
    </row>
    <row r="6">
      <c r="A6" s="8" t="inlineStr">
        <is>
          <t>Fair Value Measurement</t>
        </is>
      </c>
      <c r="B6" s="8" t="inlineStr">
        <is>
          <t>公允價值計量</t>
        </is>
      </c>
      <c r="C6" s="19" t="inlineStr">
        <is>
          <t>high</t>
        </is>
      </c>
      <c r="D6" s="11" t="inlineStr">
        <is>
          <t>fair value hierarchy</t>
        </is>
      </c>
      <c r="E6" s="11" t="inlineStr">
        <is>
          <t>PDF p.148 (印刷頁 147)</t>
        </is>
      </c>
      <c r="F6" s="11" t="inlineStr">
        <is>
          <t>Consolidated Financial Statements For the year ended 31 March 2026 7. FAIR VALUE MEASUREMENT (CONTINUED) (a) Disclosure of level in fair value hierarchy Description Fair value measurements using: Level 1 Level 2 Level 3 Total HK$’000 HK$’000 HK$’000 HK$’000 As 31 March 2026 Recurring fair value measurement Financial assets at FVTPL Unlisted equity securities – – 25,834 25,834 As 31 March 2025 Recurring fair value measurement Financial assets at FVTPL Unlisted equity securities – 96,831 – 96,831 During the year ended 31 March 2</t>
        </is>
      </c>
    </row>
    <row r="7">
      <c r="A7" s="8" t="inlineStr">
        <is>
          <t>Fair Value Measurement</t>
        </is>
      </c>
      <c r="B7" s="8" t="inlineStr">
        <is>
          <t>公允價值計量</t>
        </is>
      </c>
      <c r="C7" s="19" t="inlineStr">
        <is>
          <t>high</t>
        </is>
      </c>
      <c r="D7" s="11" t="inlineStr">
        <is>
          <t>level 2</t>
        </is>
      </c>
      <c r="E7" s="11" t="inlineStr">
        <is>
          <t>PDF p.149 (印刷頁 148)</t>
        </is>
      </c>
      <c r="F7" s="11" t="inlineStr">
        <is>
          <t>uation techniques and inputs used in fair value measurements at 31 March 2026 and 2025 Fair value Financial instruments Valuation in level 2 technique Inputs 2026 2025 HK$’000 HK$’000 Financial assets at FVTPL Unlisted equity securities Net asset approach Quoted market 23,534 96,831 (Note 21) prices of underlying investment Unlisted equity securities Precedent transaction Transaction price 2,300 – (Note 21) method 148 NIU HOLDINGS LIMITED | Annual Report 2026</t>
        </is>
      </c>
    </row>
    <row r="8">
      <c r="A8" s="8" t="inlineStr">
        <is>
          <t>Impairment Testing</t>
        </is>
      </c>
      <c r="B8" s="8" t="inlineStr">
        <is>
          <t>減值測試</t>
        </is>
      </c>
      <c r="C8" s="19" t="inlineStr">
        <is>
          <t>high</t>
        </is>
      </c>
      <c r="D8" s="11" t="inlineStr">
        <is>
          <t>impairment loss</t>
        </is>
      </c>
      <c r="E8" s="11" t="inlineStr">
        <is>
          <t>PDF p.100 (印刷頁 99)</t>
        </is>
      </c>
      <c r="F8" s="11" t="inlineStr">
        <is>
          <t>stimation of the recoverable amounts of the relevant CGUs and the – Evaluating the external professional valuer’s calculation of the impairment losses. independence, competence, capabilities and objectivity; For the year ended 31 March 2026, the Group recognised impairment loss on goodwill amounting to – Performing arithmetical checking on the business approximately HK$3,117,000. valuations of the CGUs performed by the external professional valuer; and In determining the amount of impairment loss for goodwill, the recoverable a</t>
        </is>
      </c>
    </row>
    <row r="9">
      <c r="A9" s="8" t="inlineStr">
        <is>
          <t>Impairment Testing</t>
        </is>
      </c>
      <c r="B9" s="8" t="inlineStr">
        <is>
          <t>減值測試</t>
        </is>
      </c>
      <c r="C9" s="19" t="inlineStr">
        <is>
          <t>high</t>
        </is>
      </c>
      <c r="D9" s="11" t="inlineStr">
        <is>
          <t>impairment loss</t>
        </is>
      </c>
      <c r="E9" s="11" t="inlineStr">
        <is>
          <t>PDF p.101 (印刷頁 100)</t>
        </is>
      </c>
      <c r="F9" s="11" t="inlineStr">
        <is>
          <t>e been allocated. discount rates; For the year ended 31 March 2026, the Group – Evaluating the appropriateness of pre-tax recognised impairment loss on property, plant and discount rates applied in the forecast by equipment and right-of-use assets amounting to comparing them to economic and industry data; approximately HK$4,747,000 and HK$5,177,000 and respectively. – Evaluating the reasonableness of the financial As disclosed in the consolidated financial statements, budgets approved by the management by the management assesse</t>
        </is>
      </c>
    </row>
    <row r="10">
      <c r="A10" s="8" t="inlineStr">
        <is>
          <t>Impairment Testing</t>
        </is>
      </c>
      <c r="B10" s="8" t="inlineStr">
        <is>
          <t>減值測試</t>
        </is>
      </c>
      <c r="C10" s="19" t="inlineStr">
        <is>
          <t>high</t>
        </is>
      </c>
      <c r="D10" s="11" t="inlineStr">
        <is>
          <t>impairment test</t>
        </is>
      </c>
      <c r="E10" s="11" t="inlineStr">
        <is>
          <t>PDF p.113 (印刷頁 112)</t>
        </is>
      </c>
      <c r="F10" s="11" t="inlineStr">
        <is>
          <t>costs of investments. The results of subsidiaries are accounted for by the Company on the basis of dividend received or receivable. Impairment testing of the investments in subsidiaries is required upon receiving a dividend from these investments if the dividend exceeds the total comprehensive income of the subsidiary in the period the dividend is declared or if the carrying amount of the investment in the separate financial statements exceeds the carrying amount in the consolidated financial statements of the investee’s net a</t>
        </is>
      </c>
    </row>
    <row r="11">
      <c r="A11" s="8" t="inlineStr">
        <is>
          <t>Impairment Testing</t>
        </is>
      </c>
      <c r="B11" s="8" t="inlineStr">
        <is>
          <t>減值測試</t>
        </is>
      </c>
      <c r="C11" s="19" t="inlineStr">
        <is>
          <t>high</t>
        </is>
      </c>
      <c r="D11" s="11" t="inlineStr">
        <is>
          <t>impairment test</t>
        </is>
      </c>
      <c r="E11" s="11" t="inlineStr">
        <is>
          <t>PDF p.117 (印刷頁 116)</t>
        </is>
      </c>
      <c r="F11" s="11" t="inlineStr">
        <is>
          <t>ate of acquisition of the business (see the accounting policy above) less accumulated impairment losses, if any. For the purposes of impairment testing, goodwill is allocated to each of the Group’s cash-generating units (“CGU”) (or group of cash-generating units) that is expected to benefit from the synergies of the combination, which represent the lowest level at which the goodwill is monitored for internal management purposes and is not larger than an operating segment. A cash-generating unit (or group of cash-generating unit</t>
        </is>
      </c>
    </row>
    <row r="12">
      <c r="A12" s="8" t="inlineStr">
        <is>
          <t>Impairment Testing</t>
        </is>
      </c>
      <c r="B12" s="8" t="inlineStr">
        <is>
          <t>減值測試</t>
        </is>
      </c>
      <c r="C12" s="19" t="inlineStr">
        <is>
          <t>high</t>
        </is>
      </c>
      <c r="D12" s="11" t="inlineStr">
        <is>
          <t>impairment loss</t>
        </is>
      </c>
      <c r="E12" s="11" t="inlineStr">
        <is>
          <t>PDF p.119 (印刷頁 118)</t>
        </is>
      </c>
      <c r="F12" s="11" t="inlineStr">
        <is>
          <t>ted in the consolidated statement of financial position at cost, less subsequent accumulated depreciation and subsequent accumulated impairment losses, if any. Subsequent costs are included in the asset’s carrying amount or recognised as a separate asset, as appropriate, only when it is probable that future economic benefits associated with the item will flow to the Group and the cost of the item can be measured reliably. All other repairs and maintenance are recognised in profit or loss during the period in which they are incu</t>
        </is>
      </c>
    </row>
    <row r="13">
      <c r="A13" s="8" t="inlineStr">
        <is>
          <t>Impairment Testing</t>
        </is>
      </c>
      <c r="B13" s="8" t="inlineStr">
        <is>
          <t>減值測試</t>
        </is>
      </c>
      <c r="C13" s="19" t="inlineStr">
        <is>
          <t>high</t>
        </is>
      </c>
      <c r="D13" s="11" t="inlineStr">
        <is>
          <t>impairment loss</t>
        </is>
      </c>
      <c r="E13" s="11" t="inlineStr">
        <is>
          <t>PDF p.121 (印刷頁 120)</t>
        </is>
      </c>
      <c r="F13" s="11" t="inlineStr">
        <is>
          <t>t value, less any lease incentives received. The right-of-use asset is subsequently stated at cost less accumulated depreciation and impairment losses.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useful life and the lease term. Refundable rental deposits paid</t>
        </is>
      </c>
    </row>
    <row r="14">
      <c r="A14" s="8" t="inlineStr">
        <is>
          <t>Impairment Testing</t>
        </is>
      </c>
      <c r="B14" s="8" t="inlineStr">
        <is>
          <t>減值測試</t>
        </is>
      </c>
      <c r="C14" s="19" t="inlineStr">
        <is>
          <t>high</t>
        </is>
      </c>
      <c r="D14" s="11" t="inlineStr">
        <is>
          <t>impairment loss</t>
        </is>
      </c>
      <c r="E14" s="11" t="inlineStr">
        <is>
          <t>PDF p.131 (印刷頁 130)</t>
        </is>
      </c>
      <c r="F14" s="11" t="inlineStr">
        <is>
          <t>es that reflect the time value of money and the risks specific to the asset/cash-generating unit whose impairment is being measured. Impairment losses for cash-generating units are allocated first against the goodwill of the unit and then pro rata amongst the other assets of the cash-generating unit. Subsequent increases in the recoverable amount caused by changes in estimates are credited to profit or loss to the extent that they reverse the impairment. 130 NIU HOLDINGS LIMITED | Annual Report 2026</t>
        </is>
      </c>
    </row>
    <row r="15">
      <c r="A15" s="8" t="inlineStr">
        <is>
          <t>Impairment Testing</t>
        </is>
      </c>
      <c r="B15" s="8" t="inlineStr">
        <is>
          <t>減值測試</t>
        </is>
      </c>
      <c r="C15" s="19" t="inlineStr">
        <is>
          <t>high</t>
        </is>
      </c>
      <c r="D15" s="11" t="inlineStr">
        <is>
          <t>impairment loss</t>
        </is>
      </c>
      <c r="E15" s="11" t="inlineStr">
        <is>
          <t>PDF p.138 (印刷頁 137)</t>
        </is>
      </c>
      <c r="F15" s="11" t="inlineStr">
        <is>
          <t>n the cash flow projections, could materially affect the recoverable amounts. For the year ended 31 March 2026, the Group recognised impairment loss on property, plant and equipment and right-of-use assets amounting to approximately HK$4,747,000 and HK$5,177,000 respectively. Detail of the impairment of property, plant and equipment and right-of-use assets are disclosed in notes 16 and 17 to the consolidated financial statements. 137 NIU HOLDINGS LIMITED | Annual Report 2026</t>
        </is>
      </c>
    </row>
    <row r="16">
      <c r="A16" s="8" t="inlineStr">
        <is>
          <t>Impairment Testing</t>
        </is>
      </c>
      <c r="B16" s="8" t="inlineStr">
        <is>
          <t>減值測試</t>
        </is>
      </c>
      <c r="C16" s="19" t="inlineStr">
        <is>
          <t>high</t>
        </is>
      </c>
      <c r="D16" s="11" t="inlineStr">
        <is>
          <t>impairment loss</t>
        </is>
      </c>
      <c r="E16" s="11" t="inlineStr">
        <is>
          <t>PDF p.139 (印刷頁 138)</t>
        </is>
      </c>
      <c r="F16" s="11" t="inlineStr">
        <is>
          <t>e in facts and circumstances which results in downward revision of future cash flows or upward revision of discount rate, a material impairment loss or further impairment loss may arise. For the year ended 31 March 2026, the Group recognised impairment loss on goodwill amounting to approximately HK$3,117,000. 6. FINANCIAL RISK MANAGEMENT OBJECTIVES AND POLICIES The Group’s activities expose it to a variety of financial risks: credit risk, liquidity risk, price risk, foreign currency risk and interest rate risk. The Group’s over</t>
        </is>
      </c>
    </row>
    <row r="17">
      <c r="A17" s="8" t="inlineStr">
        <is>
          <t>Impairment Testing</t>
        </is>
      </c>
      <c r="B17" s="8" t="inlineStr">
        <is>
          <t>減值測試</t>
        </is>
      </c>
      <c r="C17" s="19" t="inlineStr">
        <is>
          <t>high</t>
        </is>
      </c>
      <c r="D17" s="11" t="inlineStr">
        <is>
          <t>impairment loss</t>
        </is>
      </c>
      <c r="E17" s="11" t="inlineStr">
        <is>
          <t>PDF p.164 (印刷頁 163)</t>
        </is>
      </c>
      <c r="F17" s="11" t="inlineStr">
        <is>
          <t>ighest of its fair value less cost of disposal, its value in use and zero. Based on the value-in-use calculation and the allocation, impairment losses of approximately HK$4,747,000 (2025: Nil) and HK$5,177,000 (2025: Nil) have been recognised against the carrying amount of property, plant and equipment and right-of-use assets respectively within the relevant functions to which these assets relate. 163 NIU HOLDINGS LIMITED | Annual Report 2026</t>
        </is>
      </c>
    </row>
    <row r="18">
      <c r="A18" s="8" t="inlineStr">
        <is>
          <t>Impairment Testing</t>
        </is>
      </c>
      <c r="B18" s="8" t="inlineStr">
        <is>
          <t>減值測試</t>
        </is>
      </c>
      <c r="C18" s="19" t="inlineStr">
        <is>
          <t>high</t>
        </is>
      </c>
      <c r="D18" s="11" t="inlineStr">
        <is>
          <t>impairment loss</t>
        </is>
      </c>
      <c r="E18" s="11" t="inlineStr">
        <is>
          <t>PDF p.166 (印刷頁 165)</t>
        </is>
      </c>
      <c r="F18" s="11" t="inlineStr">
        <is>
          <t>0 Depreciation expenses on right-of-use assets 3,585 3,360 Interest expense on lease liabilities (included in finance costs) 499 387 Impairment loss on right-of-use assets 5,177 – 18. GOODWILL HK$’000 Cost At 1 April 2024, 31 March 2025 and 1 April 2025 – Arising on acquisition of a subsidiary (note 32) 3,117 At 31 March 2026 3,117 Accumulated impairment At 1 April 2024, 31 March 2025 and 1 April 2025 – Impairment loss recognised 3,117 At 31 March 2026 3,117 Net carrying amounts At 31 March 2026 – At 31 March 2025 – During the</t>
        </is>
      </c>
    </row>
    <row r="19">
      <c r="A19" s="8" t="inlineStr">
        <is>
          <t>Intangible Assets &amp; Goodwill</t>
        </is>
      </c>
      <c r="B19" s="8" t="inlineStr">
        <is>
          <t>無形資產及商譽</t>
        </is>
      </c>
      <c r="C19" s="19" t="inlineStr">
        <is>
          <t>high</t>
        </is>
      </c>
      <c r="D19" s="11" t="inlineStr">
        <is>
          <t>patent</t>
        </is>
      </c>
      <c r="E19" s="11" t="inlineStr">
        <is>
          <t>PDF p.52 (印刷頁 51)</t>
        </is>
      </c>
      <c r="F19" s="11" t="inlineStr">
        <is>
          <t>s provided, including but not limited to the Hong Kong Copyright Ordinance, the Hong Kong Personal Data (Privacy) Ordinance, and the Patent Law of the People’s Republic of China that would have a significant impact on the Group Quality Management Specialising in Hong Kong structural and geotechnical engineering consultancy and construction supervision, the Group has established a formal Quality Management System in accordance with ISO 9001 requirements to foster a sustainable, performance-oriented quality culture across all ope</t>
        </is>
      </c>
    </row>
    <row r="20">
      <c r="A20" s="8" t="inlineStr">
        <is>
          <t>Intangible Assets &amp; Goodwill</t>
        </is>
      </c>
      <c r="B20" s="8" t="inlineStr">
        <is>
          <t>無形資產及商譽</t>
        </is>
      </c>
      <c r="C20" s="19" t="inlineStr">
        <is>
          <t>high</t>
        </is>
      </c>
      <c r="D20" s="11" t="inlineStr">
        <is>
          <t>goodwill</t>
        </is>
      </c>
      <c r="E20" s="11" t="inlineStr">
        <is>
          <t>PDF p.56 (印刷頁 55)</t>
        </is>
      </c>
      <c r="F20" s="11" t="inlineStr">
        <is>
          <t>vironmental, Social and Governance Report Our board, particularly our INEDs, will oversee all reports and follow up on all valid and goodwill filings. Goodwill whistleblowers shall file their reports in sufficient detail and with an option to file in confidence. They shall file their reports in address to our Chairman of Audit Committee through the following two channels. • by mailing to our registered office in Hong Kong or, • by emailing to general@niuholdings.com.hk B.8 Community Involvement The Group actively fulfils its co</t>
        </is>
      </c>
    </row>
    <row r="21">
      <c r="A21" s="8" t="inlineStr">
        <is>
          <t>Intangible Assets &amp; Goodwill</t>
        </is>
      </c>
      <c r="B21" s="8" t="inlineStr">
        <is>
          <t>無形資產及商譽</t>
        </is>
      </c>
      <c r="C21" s="19" t="inlineStr">
        <is>
          <t>high</t>
        </is>
      </c>
      <c r="D21" s="11" t="inlineStr">
        <is>
          <t>goodwill</t>
        </is>
      </c>
      <c r="E21" s="11" t="inlineStr">
        <is>
          <t>PDF p.97 (印刷頁 96)</t>
        </is>
      </c>
      <c r="F21" s="11" t="inlineStr">
        <is>
          <t>th customers; 2. Allowance of expected credit losses (“ECLs”) for trade receivables and contract assets; 3. Impairment assessment of goodwill; and 4. Impairment assessment of property, plant and equipment and right-of-use assets. 96 NIU HOLDINGS LIMITED | Annual Report 2026</t>
        </is>
      </c>
    </row>
    <row r="22">
      <c r="A22" s="8" t="inlineStr">
        <is>
          <t>Intangible Assets &amp; Goodwill</t>
        </is>
      </c>
      <c r="B22" s="8" t="inlineStr">
        <is>
          <t>無形資產及商譽</t>
        </is>
      </c>
      <c r="C22" s="19" t="inlineStr">
        <is>
          <t>high</t>
        </is>
      </c>
      <c r="D22" s="11" t="inlineStr">
        <is>
          <t>goodwill</t>
        </is>
      </c>
      <c r="E22" s="11" t="inlineStr">
        <is>
          <t>PDF p.100 (印刷頁 99)</t>
        </is>
      </c>
      <c r="F22" s="11" t="inlineStr">
        <is>
          <t>uditor’s Report KEY AUDIT MATTERS (CONTINUED) Key Audit Matter How our audit addressed the Key Audit Matter Impairment assessment of goodwill Refer to material accounting policy information in note 4, Our procedures in relation to impairment assessment key sources of estimation uncertainties in note 5 and of goodwill included: its relevant disclosures in note 18 to the consolidated financial statements. – Obtaining an understanding on how the management perform impairment assessment We identified the impairment assessment of go</t>
        </is>
      </c>
    </row>
    <row r="23">
      <c r="A23" s="8" t="inlineStr">
        <is>
          <t>Intangible Assets &amp; Goodwill</t>
        </is>
      </c>
      <c r="B23" s="8" t="inlineStr">
        <is>
          <t>無形資產及商譽</t>
        </is>
      </c>
      <c r="C23" s="19" t="inlineStr">
        <is>
          <t>high</t>
        </is>
      </c>
      <c r="D23" s="11" t="inlineStr">
        <is>
          <t>goodwill</t>
        </is>
      </c>
      <c r="E23" s="11" t="inlineStr">
        <is>
          <t>PDF p.105 (印刷頁 104)</t>
        </is>
      </c>
      <c r="F23" s="11" t="inlineStr">
        <is>
          <t>Allowance of expected credit losses (“ECLs”) for trade and other receivables and contract assets, net (14,724) (4,012) Impairment on goodwill (3,117) – Impairment on property, plant and equipment (4,747) – Impairment on right-of-use assets (5,177) – General and administrative expenses (59,212) (35,216) Finance costs 10 (499) (388) (Loss)/profit before tax 11 (137,816) 64,013 Income tax (expense)/credit 12 (1,474) 493 (Loss)/profit for the year (139,290) 64,506 Other comprehensive (expense)/income Item that may be reclassified s</t>
        </is>
      </c>
    </row>
    <row r="24">
      <c r="A24" s="8" t="inlineStr">
        <is>
          <t>Intangible Assets &amp; Goodwill</t>
        </is>
      </c>
      <c r="B24" s="8" t="inlineStr">
        <is>
          <t>無形資產及商譽</t>
        </is>
      </c>
      <c r="C24" s="19" t="inlineStr">
        <is>
          <t>high</t>
        </is>
      </c>
      <c r="D24" s="11" t="inlineStr">
        <is>
          <t>goodwill</t>
        </is>
      </c>
      <c r="E24" s="11" t="inlineStr">
        <is>
          <t>PDF p.106 (印刷頁 105)</t>
        </is>
      </c>
      <c r="F24" s="11" t="inlineStr">
        <is>
          <t>31 March 2026 2025 Notes HK$’000 HK$’000 Non-current assets Property, plant and equipment 16 – 2,590 Right-of-use assets 17 – 9,066 Goodwill 18 – – Financial assets at FVTPL 21 25,834 96,831 Rental deposits 852 743 Prepayments 20 – 1,500 Deferred tax assets 19(b) – 1,500 26,686 112,230 Current assets Trade and other receivables 20 54,428 84,987 Contract assets 22 32,435 29,844 Cash and cash equivalents 23 20,906 16,358 107,769 131,189 Current liabilities Trade and other payables 24 28,672 8,808 Contract liabilities 25 29,174 2</t>
        </is>
      </c>
    </row>
    <row r="25">
      <c r="A25" s="8" t="inlineStr">
        <is>
          <t>Intangible Assets &amp; Goodwill</t>
        </is>
      </c>
      <c r="B25" s="8" t="inlineStr">
        <is>
          <t>無形資產及商譽</t>
        </is>
      </c>
      <c r="C25" s="19" t="inlineStr">
        <is>
          <t>high</t>
        </is>
      </c>
      <c r="D25" s="11" t="inlineStr">
        <is>
          <t>goodwill</t>
        </is>
      </c>
      <c r="E25" s="11" t="inlineStr">
        <is>
          <t>PDF p.108 (印刷頁 107)</t>
        </is>
      </c>
      <c r="F25" s="11" t="inlineStr">
        <is>
          <t>(132) (864) Depreciation of property, plant and equipment 1,938 1,402 Depreciation of right-of-use assets 3,585 3,360 Impairment on goodwill 3,117 – Impairment on property, plant and equipment 4,747 – Impairment on right-of-use assets 5,177 – Share-based payment expense 886 – Loss on lease modification 2,378 29 Fair value changes on financial assets at FVTPL 73,297 (77,700) Allowance of ECLs for trade and other receivables and contract assets, net 14,724 4,012 Operating cash flows before changes in working capital (27,600) (5,</t>
        </is>
      </c>
    </row>
    <row r="26">
      <c r="A26" s="8" t="inlineStr">
        <is>
          <t>Intangible Assets &amp; Goodwill</t>
        </is>
      </c>
      <c r="B26" s="8" t="inlineStr">
        <is>
          <t>無形資產及商譽</t>
        </is>
      </c>
      <c r="C26" s="19" t="inlineStr">
        <is>
          <t>high</t>
        </is>
      </c>
      <c r="D26" s="11" t="inlineStr">
        <is>
          <t>goodwill</t>
        </is>
      </c>
      <c r="E26" s="11" t="inlineStr">
        <is>
          <t>PDF p.113 (印刷頁 112)</t>
        </is>
      </c>
      <c r="F26" s="11" t="inlineStr">
        <is>
          <t>e of any investment retained in that subsidiary and (ii) the Company’s share of the net assets of that subsidiary plus any remaining goodwill and any accumulated foreign currency translation reserve relating to that subsidiary. Intragroup transactions, balances and unrealised profits are eliminated. Unrealised losses are also eliminated unless the transaction provides evidence of an impairment of the asset transferred. Accounting policies of subsidiaries have been changed where necessary to ensure consistency with the policies</t>
        </is>
      </c>
    </row>
    <row r="27">
      <c r="A27" s="8" t="inlineStr">
        <is>
          <t>Intangible Assets &amp; Goodwill</t>
        </is>
      </c>
      <c r="B27" s="8" t="inlineStr">
        <is>
          <t>無形資產及商譽</t>
        </is>
      </c>
      <c r="C27" s="19" t="inlineStr">
        <is>
          <t>high</t>
        </is>
      </c>
      <c r="D27" s="11" t="inlineStr">
        <is>
          <t>goodwill</t>
        </is>
      </c>
      <c r="E27" s="11" t="inlineStr">
        <is>
          <t>PDF p.114 (印刷頁 113)</t>
        </is>
      </c>
      <c r="F27" s="11" t="inlineStr">
        <is>
          <t>group of similar identifiable assets. The gross assets under assessment exclude cash and cash equivalents, deferred tax assets, and goodwill resulting from the effects of deferred tax liabilities. If the concentration test is met, the set of activities and assets is determined not to be a business and no further assessment is needed. Asset acquisitions When the Group acquires a group of assets and liabilities that do not constitute a business, the Group identifies and recognises the individual identifiable assets acquired and</t>
        </is>
      </c>
    </row>
    <row r="28">
      <c r="A28" s="8" t="inlineStr">
        <is>
          <t>Intangible Assets &amp; Goodwill</t>
        </is>
      </c>
      <c r="B28" s="8" t="inlineStr">
        <is>
          <t>無形資產及商譽</t>
        </is>
      </c>
      <c r="C28" s="19" t="inlineStr">
        <is>
          <t>high</t>
        </is>
      </c>
      <c r="D28" s="11" t="inlineStr">
        <is>
          <t>goodwill</t>
        </is>
      </c>
      <c r="E28" s="11" t="inlineStr">
        <is>
          <t>PDF p.115 (印刷頁 114)</t>
        </is>
      </c>
      <c r="F28" s="11" t="inlineStr">
        <is>
          <t>s the relevant lease liabilities, adjusted to reflect favourable or unfavourable terms of the lease when compared with market terms. Goodwill is measured as the excess of the sum of the consideration transferred, the amount of any non-controlling interests in the acquiree, and the fair value of the acquirer’s previously held equity interest in the acquiree (if any) over the net amount of the identifiable assets acquired and the liabilities assumed as at acquisition date. If, after re-assessment, the net amount of the identifiab</t>
        </is>
      </c>
    </row>
    <row r="29">
      <c r="A29" s="8" t="inlineStr">
        <is>
          <t>Intangible Assets &amp; Goodwill</t>
        </is>
      </c>
      <c r="B29" s="8" t="inlineStr">
        <is>
          <t>無形資產及商譽</t>
        </is>
      </c>
      <c r="C29" s="19" t="inlineStr">
        <is>
          <t>high</t>
        </is>
      </c>
      <c r="D29" s="11" t="inlineStr">
        <is>
          <t>goodwill</t>
        </is>
      </c>
      <c r="E29" s="11" t="inlineStr">
        <is>
          <t>PDF p.117 (印刷頁 116)</t>
        </is>
      </c>
      <c r="F29" s="11" t="inlineStr">
        <is>
          <t>to the Consolidated Financial Statements For the year ended 31 March 2026 4. MATERIAL ACCOUNTING POLICY INFORMATION (CONTINUED) (c) Goodwill Goodwill arising on an acquisition of a business is carried at cost as established at the date of acquisition of the business (see the accounting policy above) less accumulated impairment losses, if any. For the purposes of impairment testing, goodwill is allocated to each of the Group’s cash-generating units (“CGU”) (or group of cash-generating units) that is expected to benefit from the</t>
        </is>
      </c>
    </row>
    <row r="30">
      <c r="A30" s="8" t="inlineStr">
        <is>
          <t>Intangible Assets &amp; Goodwill</t>
        </is>
      </c>
      <c r="B30" s="8" t="inlineStr">
        <is>
          <t>無形資產及商譽</t>
        </is>
      </c>
      <c r="C30" s="19" t="inlineStr">
        <is>
          <t>high</t>
        </is>
      </c>
      <c r="D30" s="11" t="inlineStr">
        <is>
          <t>goodwill</t>
        </is>
      </c>
      <c r="E30" s="11" t="inlineStr">
        <is>
          <t>PDF p.119 (印刷頁 118)</t>
        </is>
      </c>
      <c r="F30" s="11" t="inlineStr">
        <is>
          <t>peration is sold, such exchange differences are reclassified to consolidated profit or loss as part of the gain or loss on disposal. Goodwill and fair value adjustments arising on the acquisition of a foreign entity are treated as assets and liabilities of the foreign entity and translated at the closing rate. (e) Property, plant and equipment Property, plant and equipment are held for use in the production or supply of goods or services, or for administrative purposes. Property, plant and equipment are stated in the consolidat</t>
        </is>
      </c>
    </row>
    <row r="31">
      <c r="A31" s="8" t="inlineStr">
        <is>
          <t>Intangible Assets &amp; Goodwill</t>
        </is>
      </c>
      <c r="B31" s="8" t="inlineStr">
        <is>
          <t>無形資產及商譽</t>
        </is>
      </c>
      <c r="C31" s="19" t="inlineStr">
        <is>
          <t>high</t>
        </is>
      </c>
      <c r="D31" s="11" t="inlineStr">
        <is>
          <t>useful life</t>
        </is>
      </c>
      <c r="E31" s="11" t="inlineStr">
        <is>
          <t>PDF p.121 (印刷頁 120)</t>
        </is>
      </c>
      <c r="F31"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Refundable rental deposits paid are accounted under HKFRS 9 and initially measured at fair value. Adjustments to fair value at initial recognition are considered as additional lease payments and included in the cost of right-of-use assets. The lease</t>
        </is>
      </c>
    </row>
    <row r="32">
      <c r="A32" s="8" t="inlineStr">
        <is>
          <t>Intangible Assets &amp; Goodwill</t>
        </is>
      </c>
      <c r="B32" s="8" t="inlineStr">
        <is>
          <t>無形資產及商譽</t>
        </is>
      </c>
      <c r="C32" s="19" t="inlineStr">
        <is>
          <t>high</t>
        </is>
      </c>
      <c r="D32" s="11" t="inlineStr">
        <is>
          <t>goodwill</t>
        </is>
      </c>
      <c r="E32" s="11" t="inlineStr">
        <is>
          <t>PDF p.130 (印刷頁 129)</t>
        </is>
      </c>
      <c r="F32" s="11" t="inlineStr">
        <is>
          <t>losses or unused tax credits can be utilised. Such assets and liabilities are not recognised if the temporary difference arises from goodwill or from the initial recognition (other than in a business combination) of other assets and liabilities in a transaction that affects neither the taxable profit nor the accounting profit and at the time of transaction does not give rise to equal taxable and deductible temporary differences. Deferred tax liabilities are recognised for taxable temporary differences arising on investments in</t>
        </is>
      </c>
    </row>
    <row r="33">
      <c r="A33" s="8" t="inlineStr">
        <is>
          <t>Intangible Assets &amp; Goodwill</t>
        </is>
      </c>
      <c r="B33" s="8" t="inlineStr">
        <is>
          <t>無形資產及商譽</t>
        </is>
      </c>
      <c r="C33" s="19" t="inlineStr">
        <is>
          <t>high</t>
        </is>
      </c>
      <c r="D33" s="11" t="inlineStr">
        <is>
          <t>goodwill</t>
        </is>
      </c>
      <c r="E33" s="11" t="inlineStr">
        <is>
          <t>PDF p.131 (印刷頁 130)</t>
        </is>
      </c>
      <c r="F33" s="11" t="inlineStr">
        <is>
          <t>cash-generating unit whose impairment is being measured. Impairment losses for cash-generating units are allocated first against the goodwill of the unit and then pro rata amongst the other assets of the cash-generating unit. Subsequent increases in the recoverable amount caused by changes in estimates are credited to profit or loss to the extent that they reverse the impairment. 130 NIU HOLDINGS LIMITED | Annual Report 2026</t>
        </is>
      </c>
    </row>
    <row r="34">
      <c r="A34" s="8" t="inlineStr">
        <is>
          <t>Intangible Assets &amp; Goodwill</t>
        </is>
      </c>
      <c r="B34" s="8" t="inlineStr">
        <is>
          <t>無形資產及商譽</t>
        </is>
      </c>
      <c r="C34" s="19" t="inlineStr">
        <is>
          <t>high</t>
        </is>
      </c>
      <c r="D34" s="11" t="inlineStr">
        <is>
          <t>goodwill</t>
        </is>
      </c>
      <c r="E34" s="11" t="inlineStr">
        <is>
          <t>PDF p.139 (印刷頁 138)</t>
        </is>
      </c>
      <c r="F34" s="11" t="inlineStr">
        <is>
          <t>AND KEY SOURCES OF ESTIMATION UNCERTAINTY (CONTINUED) Key sources of estimation uncertainty (Continued) (e) Estimated impairment of goodwill Determining whether goodwill is impaired requires an estimation of the recoverable amount of the cash-generating unit (or group of cash-generating units) to which goodwill has been allocated, which is the higher of the value in use or fair value less costs of disposal. The value in use calculation requires the Group to estimate the future cash flows expected to arise from the cash-generat</t>
        </is>
      </c>
    </row>
    <row r="35">
      <c r="A35" s="8" t="inlineStr">
        <is>
          <t>Intangible Assets &amp; Goodwill</t>
        </is>
      </c>
      <c r="B35" s="8" t="inlineStr">
        <is>
          <t>無形資產及商譽</t>
        </is>
      </c>
      <c r="C35" s="19" t="inlineStr">
        <is>
          <t>high</t>
        </is>
      </c>
      <c r="D35" s="11" t="inlineStr">
        <is>
          <t>goodwill</t>
        </is>
      </c>
      <c r="E35" s="11" t="inlineStr">
        <is>
          <t>PDF p.153 (印刷頁 152)</t>
        </is>
      </c>
      <c r="F35" s="11" t="inlineStr">
        <is>
          <t>ation – (5,523) (5,523) Allowance of ECLs for trade and other receivables and contract assets, net – (14,724) (14,724) Impairment on goodwill (3,117) – (3,117) Impairment on property, plant and equipment – (4,747) (4,747) Impairment on right-of-use asset – (5,177) (5,177) 152 NIU HOLDINGS LIMITED | Annual Report 2026</t>
        </is>
      </c>
    </row>
    <row r="36">
      <c r="A36" s="8" t="inlineStr">
        <is>
          <t>Intangible Assets &amp; Goodwill</t>
        </is>
      </c>
      <c r="B36" s="8" t="inlineStr">
        <is>
          <t>無形資產及商譽</t>
        </is>
      </c>
      <c r="C36" s="19" t="inlineStr">
        <is>
          <t>high</t>
        </is>
      </c>
      <c r="D36" s="11" t="inlineStr">
        <is>
          <t>goodwill</t>
        </is>
      </c>
      <c r="E36" s="11" t="inlineStr">
        <is>
          <t>PDF p.166 (印刷頁 165)</t>
        </is>
      </c>
      <c r="F36" s="11" t="inlineStr">
        <is>
          <t>5 3,360 Interest expense on lease liabilities (included in finance costs) 499 387 Impairment loss on right-of-use assets 5,177 – 18. GOODWILL HK$’000 Cost At 1 April 2024, 31 March 2025 and 1 April 2025 – Arising on acquisition of a subsidiary (note 32) 3,117 At 31 March 2026 3,117 Accumulated impairment At 1 April 2024, 31 March 2025 and 1 April 2025 – Impairment loss recognised 3,117 At 31 March 2026 3,117 Net carrying amounts At 31 March 2026 – At 31 March 2025 – During the year, the business in Smart Building Management Sys</t>
        </is>
      </c>
    </row>
    <row r="37">
      <c r="A37" s="8" t="inlineStr">
        <is>
          <t>Intangible Assets &amp; Goodwill</t>
        </is>
      </c>
      <c r="B37" s="8" t="inlineStr">
        <is>
          <t>無形資產及商譽</t>
        </is>
      </c>
      <c r="C37" s="19" t="inlineStr">
        <is>
          <t>high</t>
        </is>
      </c>
      <c r="D37" s="11" t="inlineStr">
        <is>
          <t>goodwill</t>
        </is>
      </c>
      <c r="E37" s="11" t="inlineStr">
        <is>
          <t>PDF p.167 (印刷頁 166)</t>
        </is>
      </c>
      <c r="F37" s="11" t="inlineStr">
        <is>
          <t>Notes to the Consolidated Financial Statements For the year ended 31 March 2026 18. GOODWILL (CONTINUED) The following table set out the key assumptions for the value-in-use calculation: Assumption used Growth rate 2.0% Pre-tax discount rate 16.0% The growth rates used in line with long term inflation rate forecast in Hong Kong. The discount rate reflects current market assessments of the time value of money and specific risks relating to the cash-generating unit. Other assumptio</t>
        </is>
      </c>
    </row>
    <row r="38">
      <c r="A38" s="8" t="inlineStr">
        <is>
          <t>Intangible Assets &amp; Goodwill</t>
        </is>
      </c>
      <c r="B38" s="8" t="inlineStr">
        <is>
          <t>無形資產及商譽</t>
        </is>
      </c>
      <c r="C38" s="19" t="inlineStr">
        <is>
          <t>high</t>
        </is>
      </c>
      <c r="D38" s="11" t="inlineStr">
        <is>
          <t>goodwill</t>
        </is>
      </c>
      <c r="E38" s="11" t="inlineStr">
        <is>
          <t>PDF p.184 (印刷頁 183)</t>
        </is>
      </c>
      <c r="F38" s="11" t="inlineStr">
        <is>
          <t>Notes to the Consolidated Financial Statements For the year ended 31 March 2026 32. ACQUISITION OF A SUBSIDIARY (CONTINUED) Goodwill arising on acquisition HK$’000 Consideration transferred 7,500 Add: Non-controlling interests 2,922 Less: recognised amounts of net assets acquired (7,305) Goodwill arising on acquisition 3,117 Goodwill arose on the acquisition of Smart Building because the acquisition included the synergies which enhance the technological capabilities and providing clients with flexible and cost-efficien</t>
        </is>
      </c>
    </row>
    <row r="39">
      <c r="A39" s="8" t="inlineStr">
        <is>
          <t>ESG Data</t>
        </is>
      </c>
      <c r="B39" s="8" t="inlineStr">
        <is>
          <t>環境社會及管治數據</t>
        </is>
      </c>
      <c r="C39" s="8" t="inlineStr">
        <is>
          <t>medium</t>
        </is>
      </c>
      <c r="D39" s="11" t="inlineStr">
        <is>
          <t>ESG</t>
        </is>
      </c>
      <c r="E39" s="11" t="inlineStr">
        <is>
          <t>PDF p.26 (印刷頁 25)</t>
        </is>
      </c>
      <c r="F39" s="11" t="inlineStr">
        <is>
          <t>language versions, the English version shall prevail. The Group warmly welcomes all valuable opinions and feedback in respect of our ESG practices and this Report, and relevant enquiries may be sent to general@niuholdings.com.hk for our follow-up response. 25 NIU HOLDINGS LIMITED | Annual Report 2026</t>
        </is>
      </c>
    </row>
    <row r="40">
      <c r="A40" s="8" t="inlineStr">
        <is>
          <t>ESG Data</t>
        </is>
      </c>
      <c r="B40" s="8" t="inlineStr">
        <is>
          <t>環境社會及管治數據</t>
        </is>
      </c>
      <c r="C40" s="8" t="inlineStr">
        <is>
          <t>medium</t>
        </is>
      </c>
      <c r="D40" s="11" t="inlineStr">
        <is>
          <t>ESG</t>
        </is>
      </c>
      <c r="E40" s="11" t="inlineStr">
        <is>
          <t>PDF p.27 (印刷頁 26)</t>
        </is>
      </c>
      <c r="F40" s="11" t="inlineStr">
        <is>
          <t>indispensable foundation for consolidating operational strengths and fostering enduring market competitiveness. The Group’s overall ESG strategy spans major business segments covering daily operation, regulatory compliance, internal governance and human resources administration. The Board oversees the sound execution of the established ESG management framework and assumes full accountability for the compilation and issuance of this ESG Report. A full set of internal policies has been duly formulated and enforced to effectively</t>
        </is>
      </c>
    </row>
    <row r="41">
      <c r="A41" s="8" t="inlineStr">
        <is>
          <t>ESG Data</t>
        </is>
      </c>
      <c r="B41" s="8" t="inlineStr">
        <is>
          <t>環境社會及管治數據</t>
        </is>
      </c>
      <c r="C41" s="8" t="inlineStr">
        <is>
          <t>medium</t>
        </is>
      </c>
      <c r="D41" s="11" t="inlineStr">
        <is>
          <t>ESG</t>
        </is>
      </c>
      <c r="E41" s="11" t="inlineStr">
        <is>
          <t>PDF p.28 (印刷頁 27)</t>
        </is>
      </c>
      <c r="F41" s="11" t="inlineStr">
        <is>
          <t>Environmental, Social and Governance Report We have established a top-down ESG governance framework to implement the Group’s sustainable development vision. The Board is accountable for formulating ESG strategies, identifying and evaluating relevant ESG risks, and ensuring effective risk control and sound internal control systems. This ESG Report has been duly reviewed and approved by the Board. By issuing annual ESG disclosures, the Board keeps track of and discloses th</t>
        </is>
      </c>
    </row>
    <row r="42">
      <c r="A42" s="8" t="inlineStr">
        <is>
          <t>ESG Data</t>
        </is>
      </c>
      <c r="B42" s="8" t="inlineStr">
        <is>
          <t>環境社會及管治數據</t>
        </is>
      </c>
      <c r="C42" s="8" t="inlineStr">
        <is>
          <t>medium</t>
        </is>
      </c>
      <c r="D42" s="11" t="inlineStr">
        <is>
          <t>ESG</t>
        </is>
      </c>
      <c r="E42" s="11" t="inlineStr">
        <is>
          <t>PDF p.29 (印刷頁 28)</t>
        </is>
      </c>
      <c r="F42" s="11" t="inlineStr">
        <is>
          <t>Environmental, Social and Governance Report ESG Working Group The Group has set up an internal ESG Working Group comprising three members, namely an Executive Director together with senior management representatives from the Human Resources and Finance departments, to support the Board in overseeing and administering all group-wide ESG matters. Serving at the management level, the working group takes charge of pushing forward the implementa</t>
        </is>
      </c>
    </row>
    <row r="43">
      <c r="A43" s="8" t="inlineStr">
        <is>
          <t>ESG Data</t>
        </is>
      </c>
      <c r="B43" s="8" t="inlineStr">
        <is>
          <t>環境社會及管治數據</t>
        </is>
      </c>
      <c r="C43" s="8" t="inlineStr">
        <is>
          <t>medium</t>
        </is>
      </c>
      <c r="D43" s="11" t="inlineStr">
        <is>
          <t>ESG</t>
        </is>
      </c>
      <c r="E43" s="11" t="inlineStr">
        <is>
          <t>PDF p.30 (印刷頁 29)</t>
        </is>
      </c>
      <c r="F43" s="11" t="inlineStr">
        <is>
          <t>able social contribution 2. Targeted community investment 2. Proactive environmental programmes protection measures and 3. Published ESG reports performance 29 NIU HOLDINGS LIMITED | Annual Report 2026</t>
        </is>
      </c>
    </row>
    <row r="44">
      <c r="A44" s="8" t="inlineStr">
        <is>
          <t>ESG Data</t>
        </is>
      </c>
      <c r="B44" s="8" t="inlineStr">
        <is>
          <t>環境社會及管治數據</t>
        </is>
      </c>
      <c r="C44" s="8" t="inlineStr">
        <is>
          <t>medium</t>
        </is>
      </c>
      <c r="D44" s="11" t="inlineStr">
        <is>
          <t>greenhouse gas</t>
        </is>
      </c>
      <c r="E44" s="11" t="inlineStr">
        <is>
          <t>PDF p.31 (印刷頁 30)</t>
        </is>
      </c>
      <c r="F44" s="11" t="inlineStr">
        <is>
          <t>n any fossil fuel-powered vehicles, on-site combustion equipment, stationary generators or other assets that generate direct Scope 1 greenhouse gas emissions. All transport for site inspections and client visits is outsourced to third-party vehicles, whose carbon footprints are classified under Scope 3 business travel emissions. A1.2 Greenhouse Gas (GHG) emissions and targets The Group’s greenhouse gas emissions are mainly derived from purchased electricity falling under Scope 2, together with paper consumption classified under</t>
        </is>
      </c>
    </row>
    <row r="45">
      <c r="A45" s="8" t="inlineStr">
        <is>
          <t>ESG Data</t>
        </is>
      </c>
      <c r="B45" s="8" t="inlineStr">
        <is>
          <t>環境社會及管治數據</t>
        </is>
      </c>
      <c r="C45" s="8" t="inlineStr">
        <is>
          <t>medium</t>
        </is>
      </c>
      <c r="D45" s="11" t="inlineStr">
        <is>
          <t>greenhouse gas</t>
        </is>
      </c>
      <c r="E45" s="11" t="inlineStr">
        <is>
          <t>PDF p.32 (印刷頁 31)</t>
        </is>
      </c>
      <c r="F45" s="11" t="inlineStr">
        <is>
          <t>employee2 1 GHG emission data is presented in terms of carbon dioxide equivalent and is based on, including but not limited to, “The Greenhouse Gas Protocol: A Corporate Accounting and Reporting Standard” issued by the World Resources Institute and the World Business Council for Sustainable Development, and “How to prepare an ESG Report – Appendix 2: Reporting Guidance on Environmental KPIs” issued by the Hong Kong Stock Exchange. For calculating GHG emissions in 2025, the electricity emission factor for Hong Kong is 0.37kg CO2</t>
        </is>
      </c>
    </row>
    <row r="46">
      <c r="A46" s="8" t="inlineStr">
        <is>
          <t>ESG Data</t>
        </is>
      </c>
      <c r="B46" s="8" t="inlineStr">
        <is>
          <t>環境社會及管治數據</t>
        </is>
      </c>
      <c r="C46" s="8" t="inlineStr">
        <is>
          <t>medium</t>
        </is>
      </c>
      <c r="D46" s="11" t="inlineStr">
        <is>
          <t>scope 3</t>
        </is>
      </c>
      <c r="E46" s="11" t="inlineStr">
        <is>
          <t>PDF p.33 (印刷頁 32)</t>
        </is>
      </c>
      <c r="F46" s="11" t="inlineStr">
        <is>
          <t>Environmental, Social and Governance Report A1.3 Scope 3 Emissions Identification, Governance and Mitigation Measures In line with HKEX Appendix C2 and GHG Protocol standards, the Group systematically identifies all material Scope 3 emission categories relevant to its construction engineering consultancy operations and establishes dedicated management and emission reduction measures for each high-impact category. Material Scope 3 Categories Iden</t>
        </is>
      </c>
    </row>
    <row r="47">
      <c r="A47" s="8" t="inlineStr">
        <is>
          <t>ESG Data</t>
        </is>
      </c>
      <c r="B47" s="8" t="inlineStr">
        <is>
          <t>環境社會及管治數據</t>
        </is>
      </c>
      <c r="C47" s="8" t="inlineStr">
        <is>
          <t>medium</t>
        </is>
      </c>
      <c r="D47" s="11" t="inlineStr">
        <is>
          <t>scope 3</t>
        </is>
      </c>
      <c r="E47" s="11" t="inlineStr">
        <is>
          <t>PDF p.34 (印刷頁 33)</t>
        </is>
      </c>
      <c r="F47" s="11" t="inlineStr">
        <is>
          <t>Environmental, Social and Governance Report Subconsultant supply chain: The Group integrates Scope 3 carbon performance into annual subconsultant ESG evaluation criteria, requiring partner firms to adopt low-carbon site travel arrangements and energy-efficient on-site equipment; regular communication is held with subcontractors to share low-carbon operational guidance. Downstream design-related emissions: The Group’s technical teams prioritize low-carbon, energy-saving structural and geot</t>
        </is>
      </c>
    </row>
    <row r="48">
      <c r="A48" s="8" t="inlineStr">
        <is>
          <t>ESG Data</t>
        </is>
      </c>
      <c r="B48" s="8" t="inlineStr">
        <is>
          <t>環境社會及管治數據</t>
        </is>
      </c>
      <c r="C48" s="8" t="inlineStr">
        <is>
          <t>medium</t>
        </is>
      </c>
      <c r="D48" s="11" t="inlineStr">
        <is>
          <t>energy consumption</t>
        </is>
      </c>
      <c r="E48" s="11" t="inlineStr">
        <is>
          <t>PDF p.35 (印刷頁 34)</t>
        </is>
      </c>
      <c r="F48" s="11" t="inlineStr">
        <is>
          <t>s introduced a full spectrum of energy-saving measures to boost operational efficiency of all facilities and effectively cut overall energy consumption. 34 NIU HOLDINGS LIMITED | Annual Report 2026</t>
        </is>
      </c>
    </row>
    <row r="49">
      <c r="A49" s="8" t="inlineStr">
        <is>
          <t>ESG Data</t>
        </is>
      </c>
      <c r="B49" s="8" t="inlineStr">
        <is>
          <t>環境社會及管治數據</t>
        </is>
      </c>
      <c r="C49" s="8" t="inlineStr">
        <is>
          <t>medium</t>
        </is>
      </c>
      <c r="D49" s="11" t="inlineStr">
        <is>
          <t>carbon</t>
        </is>
      </c>
      <c r="E49" s="11" t="inlineStr">
        <is>
          <t>PDF p.36 (印刷頁 35)</t>
        </is>
      </c>
      <c r="F49" s="11" t="inlineStr">
        <is>
          <t>ppliances. • Formulate internal energy saving guidelines and conduct regular advocacy sessions to deepen employees’ awareness of low-carbon office practices. 35 NIU HOLDINGS LIMITED | Annual Report 2026</t>
        </is>
      </c>
    </row>
    <row r="50">
      <c r="A50" s="8" t="inlineStr">
        <is>
          <t>ESG Data</t>
        </is>
      </c>
      <c r="B50" s="8" t="inlineStr">
        <is>
          <t>環境社會及管治數據</t>
        </is>
      </c>
      <c r="C50" s="8" t="inlineStr">
        <is>
          <t>medium</t>
        </is>
      </c>
      <c r="D50" s="11" t="inlineStr">
        <is>
          <t>energy consumption</t>
        </is>
      </c>
      <c r="E50" s="11" t="inlineStr">
        <is>
          <t>PDF p.37 (印刷頁 36)</t>
        </is>
      </c>
      <c r="F50" s="11" t="inlineStr">
        <is>
          <t>Environmental, Social and Governance Report During the Year, the energy consumption by type in total of the Group are showed as below: Type of Energy Unit 2026 2025 % change Purchased Electricity thousand kilowatt- 235,219 238,379 -1.56 hours (kWh in ’000) Total Energy thousand kilowatt- 235,219 238,379 -1.56% Consumption hours (kWh in ’000) Energy Consumption thousand kilowatt- 1,704.7 1,480.6 15.1% Intensity hours (kWh in ’000)/ employees The year-on-year inc</t>
        </is>
      </c>
    </row>
    <row r="51">
      <c r="A51" s="8" t="inlineStr">
        <is>
          <t>ESG Data</t>
        </is>
      </c>
      <c r="B51" s="8" t="inlineStr">
        <is>
          <t>環境社會及管治數據</t>
        </is>
      </c>
      <c r="C51" s="8" t="inlineStr">
        <is>
          <t>medium</t>
        </is>
      </c>
      <c r="D51" s="11" t="inlineStr">
        <is>
          <t>carbon</t>
        </is>
      </c>
      <c r="E51" s="11" t="inlineStr">
        <is>
          <t>PDF p.38 (印刷頁 37)</t>
        </is>
      </c>
      <c r="F51" s="11" t="inlineStr">
        <is>
          <t>management policies, underpinned by comprehensive monitoring mechanisms and standardised regulatory measures to steadily advance low-carbon and eco-friendly operations. In pursuit of more sustainable development, the Group also actively takes practical steps to curb the consumption of natural resources, including accelerating the shift towards fully digitalised office workflows to cut paper usage and reduce timber resource depletion, installing water-efficient fittings to lower daily freshwater consumption, preferentially sourc</t>
        </is>
      </c>
    </row>
    <row r="52">
      <c r="A52" s="8" t="inlineStr">
        <is>
          <t>ESG Data</t>
        </is>
      </c>
      <c r="B52" s="8" t="inlineStr">
        <is>
          <t>環境社會及管治數據</t>
        </is>
      </c>
      <c r="C52" s="8" t="inlineStr">
        <is>
          <t>medium</t>
        </is>
      </c>
      <c r="D52" s="11" t="inlineStr">
        <is>
          <t>carbon</t>
        </is>
      </c>
      <c r="E52" s="11" t="inlineStr">
        <is>
          <t>PDF p.39 (印刷頁 38)</t>
        </is>
      </c>
      <c r="F52" s="11" t="inlineStr">
        <is>
          <t>dual shifts in prevailing climatic conditions. Transition risks: Climate transition risks emerge amid the global shift towards a low-carbon economy, involving sweeping adjustments across policies, legislations, technologies and market landscapes to fulfil climate mitigation and adaptation requirements. These risks fall into four core categories, covering policy and legal risks, technological risks, market risks as well as reputational risks. Physical risks: The growing frequency and intensity of extreme weather events including</t>
        </is>
      </c>
    </row>
    <row r="53">
      <c r="A53" s="8" t="inlineStr">
        <is>
          <t>ESG Data</t>
        </is>
      </c>
      <c r="B53" s="8" t="inlineStr">
        <is>
          <t>環境社會及管治數據</t>
        </is>
      </c>
      <c r="C53" s="8" t="inlineStr">
        <is>
          <t>medium</t>
        </is>
      </c>
      <c r="D53" s="11" t="inlineStr">
        <is>
          <t>carbon</t>
        </is>
      </c>
      <c r="E53" s="11" t="inlineStr">
        <is>
          <t>PDF p.40 (印刷頁 39)</t>
        </is>
      </c>
      <c r="F53" s="11" t="inlineStr">
        <is>
          <t>ork in advance to lower the risk of asset damage amid extreme weather. Transition risks Policy and Legal risk Driven by the global decarbonisation agenda, climate-related laws and regulatory requirements are becoming increasingly rigorous. For instance, the Hong Kong Stock Exchange has mandated listed entities to strengthen climate-relevant disclosures within their ESG reports. Tightened environmental regulatory frameworks may heighten the risk of legal claims and litigations for enterprises. Failure to satisfy prevailing clima</t>
        </is>
      </c>
    </row>
    <row r="54">
      <c r="A54" s="8" t="inlineStr">
        <is>
          <t>ESG Data</t>
        </is>
      </c>
      <c r="B54" s="8" t="inlineStr">
        <is>
          <t>環境社會及管治數據</t>
        </is>
      </c>
      <c r="C54" s="8" t="inlineStr">
        <is>
          <t>medium</t>
        </is>
      </c>
      <c r="D54" s="11" t="inlineStr">
        <is>
          <t>carbon</t>
        </is>
      </c>
      <c r="E54" s="11" t="inlineStr">
        <is>
          <t>PDF p.41 (印刷頁 40)</t>
        </is>
      </c>
      <c r="F54" s="11" t="inlineStr">
        <is>
          <t>e sustainable development opportunities to drive long-term business growth. By actively aligning its operational strategies with low-carbon development trends and regulatory decarbonisation requirements, the Group can optimise internal resource allocation, streamline energy-saving and waste-reduction workflows, and further improve overall operational efficiency while cutting unnecessary operational and compliance costs. In terms of business expansion, the Group can leverage its mature environmental management experience and rob</t>
        </is>
      </c>
    </row>
    <row r="55">
      <c r="A55" s="8" t="inlineStr">
        <is>
          <t>ESG Data</t>
        </is>
      </c>
      <c r="B55" s="8" t="inlineStr">
        <is>
          <t>環境社會及管治數據</t>
        </is>
      </c>
      <c r="C55" s="8" t="inlineStr">
        <is>
          <t>medium</t>
        </is>
      </c>
      <c r="D55" s="11" t="inlineStr">
        <is>
          <t>carbon</t>
        </is>
      </c>
      <c r="E55" s="11" t="inlineStr">
        <is>
          <t>PDF p.42 (印刷頁 41)</t>
        </is>
      </c>
      <c r="F55" s="11" t="inlineStr">
        <is>
          <t>ll directors and core management receive regular TCFD-aligned climate risk training covering industry-specific climate threats, lowcarbon regulatory updates and sustainable service development directions, to strengthen collective climate governance awareness. A formal climate risk escalation protocol is established: material acute or chronic climate impacts identified by frontline staff must be escalated to the ESG Working Group within three working days, with major climate incidents reported directly to the Board for urgent</t>
        </is>
      </c>
    </row>
    <row r="56">
      <c r="A56" s="8" t="inlineStr">
        <is>
          <t>ESG Data</t>
        </is>
      </c>
      <c r="B56" s="8" t="inlineStr">
        <is>
          <t>環境社會及管治數據</t>
        </is>
      </c>
      <c r="C56" s="8" t="inlineStr">
        <is>
          <t>medium</t>
        </is>
      </c>
      <c r="D56" s="11" t="inlineStr">
        <is>
          <t>greenhouse gas</t>
        </is>
      </c>
      <c r="E56" s="11" t="inlineStr">
        <is>
          <t>PDF p.43 (印刷頁 42)</t>
        </is>
      </c>
      <c r="F56" s="11" t="inlineStr">
        <is>
          <t>r FY2028, the Board approves layered climate-related KPIs tracked on an annual basis, covering Scope 1, Scope 2 and material Scope 3 greenhouse gas emissions, office energy consumption intensity and business travel carbon footprint. All climate-related performance data is compiled by the ESG Working Group and disclosed in each annual ESG Report for stakeholder transparency. Medium-term quantitative climate targets are embedded into the Group’s 5-year sustainable development roadmap, including progressive reduction targets for b</t>
        </is>
      </c>
    </row>
    <row r="57">
      <c r="A57" s="8" t="inlineStr">
        <is>
          <t>ESG Data</t>
        </is>
      </c>
      <c r="B57" s="8" t="inlineStr">
        <is>
          <t>環境社會及管治數據</t>
        </is>
      </c>
      <c r="C57" s="8" t="inlineStr">
        <is>
          <t>medium</t>
        </is>
      </c>
      <c r="D57" s="11" t="inlineStr">
        <is>
          <t>ESG</t>
        </is>
      </c>
      <c r="E57" s="11" t="inlineStr">
        <is>
          <t>PDF p.51 (印刷頁 50)</t>
        </is>
      </c>
      <c r="F57" s="11" t="inlineStr">
        <is>
          <t>The Group embeds environmental and social risk management into its full-cycle supply chain and subconsultant governance to mitigate ESG risks associated with outsourced services. During partner screening and evaluation, the Group conducts comprehensive ESG due diligence, assessing subconsultants environmental performance, labour compliance, workplace safety standards and social responsibility records, alongside their technical capability and financial standing. The Group also verifies partners’ legal background to rule out tho</t>
        </is>
      </c>
    </row>
    <row r="58">
      <c r="A58" s="8" t="inlineStr">
        <is>
          <t>ESG Data</t>
        </is>
      </c>
      <c r="B58" s="8" t="inlineStr">
        <is>
          <t>環境社會及管治數據</t>
        </is>
      </c>
      <c r="C58" s="8" t="inlineStr">
        <is>
          <t>medium</t>
        </is>
      </c>
      <c r="D58" s="11" t="inlineStr">
        <is>
          <t>sustainability</t>
        </is>
      </c>
      <c r="E58" s="11" t="inlineStr">
        <is>
          <t>PDF p.52 (印刷頁 51)</t>
        </is>
      </c>
      <c r="F58" s="11" t="inlineStr">
        <is>
          <t>ong Kong statutory requirements, industry codes of practice and professional standards. The Group prioritises public safety, project sustainability and client interests by implementing standardised quality control mechanisms, stringent technical review procedures and systematic risk assessment protocols at every project stage. The Group adheres to ethical service practices, ensures accurate and professional technical deliverables, and strictly prohibits misleading information and non-compliant service outputs. Through continuou</t>
        </is>
      </c>
    </row>
    <row r="59">
      <c r="A59" s="8" t="inlineStr">
        <is>
          <t>ESG Data</t>
        </is>
      </c>
      <c r="B59" s="8" t="inlineStr">
        <is>
          <t>環境社會及管治數據</t>
        </is>
      </c>
      <c r="C59" s="8" t="inlineStr">
        <is>
          <t>medium</t>
        </is>
      </c>
      <c r="D59" s="11" t="inlineStr">
        <is>
          <t>ESG</t>
        </is>
      </c>
      <c r="E59" s="11" t="inlineStr">
        <is>
          <t>PDF p.54 (印刷頁 53)</t>
        </is>
      </c>
      <c r="F59" s="11" t="inlineStr">
        <is>
          <t>iddle management and general staff starting from the next financial year, with full participation data to be disclosed in subsequent ESG Reports. 53 NIU HOLDINGS LIMITED | Annual Report 2026</t>
        </is>
      </c>
    </row>
    <row r="60">
      <c r="A60" s="8" t="inlineStr">
        <is>
          <t>ESG Data</t>
        </is>
      </c>
      <c r="B60" s="8" t="inlineStr">
        <is>
          <t>環境社會及管治數據</t>
        </is>
      </c>
      <c r="C60" s="8" t="inlineStr">
        <is>
          <t>medium</t>
        </is>
      </c>
      <c r="D60" s="11" t="inlineStr">
        <is>
          <t>greenhouse gas</t>
        </is>
      </c>
      <c r="E60" s="11" t="inlineStr">
        <is>
          <t>PDF p.57 (印刷頁 56)</t>
        </is>
      </c>
      <c r="F60" s="11" t="inlineStr">
        <is>
          <t>ollutant measures; emission reduction Aspect – A1 Emissions targets A1.2 Emissions – Scope 1/2 GHG emissions total/ A. Environmental Greenhouse Gas intensity; monitoring &amp; reduction Aspect – A1 Emissions measures Emissions – Scope 3 GHG emissions A. Environmental Greenhouse Gas Aspect – A1 Emissions A1.4 Emissions – Hazardous waste total/intensity; A. Environmental Hazardous Waste classification/storage/disposal Aspect – A1 Production measures A1.5 Emissions – Non- Non-hazardous waste total/ A. Environmental Hazardous Waste int</t>
        </is>
      </c>
    </row>
    <row r="61">
      <c r="A61" s="8" t="inlineStr">
        <is>
          <t>ESG Data</t>
        </is>
      </c>
      <c r="B61" s="8" t="inlineStr">
        <is>
          <t>環境社會及管治數據</t>
        </is>
      </c>
      <c r="C61" s="8" t="inlineStr">
        <is>
          <t>medium</t>
        </is>
      </c>
      <c r="D61" s="11" t="inlineStr">
        <is>
          <t>ESG</t>
        </is>
      </c>
      <c r="E61" s="11" t="inlineStr">
        <is>
          <t>PDF p.58 (印刷頁 57)</t>
        </is>
      </c>
      <c r="F61" s="11" t="inlineStr">
        <is>
          <t>Environmental, Social and Governance Report Subject Areas/ Corresponding ESG Pillar KPIs Aspects Description Section A2.2 Resource Water consumption total/ A. Environmental Use – Water intensity; water-saving &amp; recycling Aspect – A2 Consumption measures A2.3 Resource Use – Energy efficiency targets; A. Environmental Energy Efficiency implementation steps; equipment Aspect – A2 Goals upgrade &amp; process optimization A2.4 Resource Use – Water efficiency targets; water Not</t>
        </is>
      </c>
    </row>
    <row r="62">
      <c r="A62" s="8" t="inlineStr">
        <is>
          <t>ESG Data</t>
        </is>
      </c>
      <c r="B62" s="8" t="inlineStr">
        <is>
          <t>環境社會及管治數據</t>
        </is>
      </c>
      <c r="C62" s="8" t="inlineStr">
        <is>
          <t>medium</t>
        </is>
      </c>
      <c r="D62" s="11" t="inlineStr">
        <is>
          <t>ESG</t>
        </is>
      </c>
      <c r="E62" s="11" t="inlineStr">
        <is>
          <t>PDF p.59 (印刷頁 58)</t>
        </is>
      </c>
      <c r="F62" s="11" t="inlineStr">
        <is>
          <t>Environmental, Social and Governance Report Subject Areas/ Corresponding ESG Pillar KPIs Aspects Description Section B1.2 Employment Turnover rate by position/gender/ B. Social Aspect – Employee age/region; retention measures – B1 Turnover Rate B2.0 Health and EHS management policies; B. Social Aspect Safety – General occupational health &amp; safety law – B2 Disclosures compliance B2.1 Health and Work-related fatalities number/ B. Social Aspect Safety – Work- rate in the</t>
        </is>
      </c>
    </row>
    <row r="63">
      <c r="A63" s="8" t="inlineStr">
        <is>
          <t>ESG Data</t>
        </is>
      </c>
      <c r="B63" s="8" t="inlineStr">
        <is>
          <t>環境社會及管治數據</t>
        </is>
      </c>
      <c r="C63" s="8" t="inlineStr">
        <is>
          <t>medium</t>
        </is>
      </c>
      <c r="D63" s="11" t="inlineStr">
        <is>
          <t>ESG</t>
        </is>
      </c>
      <c r="E63" s="11" t="inlineStr">
        <is>
          <t>PDF p.60 (印刷頁 59)</t>
        </is>
      </c>
      <c r="F63" s="11" t="inlineStr">
        <is>
          <t>Environmental, Social and Governance Report Subject Areas/ Corresponding ESG Pillar KPIs Aspects Description Section B4.2 Labour Code Violation investigation; rectification B. Social Aspect – Violation measures; responsible person – B4 Remediation accountability Steps B5.0 Supply Chain Supply chain ESG policies; B. Social Aspect Management international standard compliance; – B5 – General green supply chain construction Disclosures B5.1 Supply Chain Supplier numbers by</t>
        </is>
      </c>
    </row>
    <row r="64">
      <c r="A64" s="8" t="inlineStr">
        <is>
          <t>ESG Data</t>
        </is>
      </c>
      <c r="B64" s="8" t="inlineStr">
        <is>
          <t>環境社會及管治數據</t>
        </is>
      </c>
      <c r="C64" s="8" t="inlineStr">
        <is>
          <t>medium</t>
        </is>
      </c>
      <c r="D64" s="11" t="inlineStr">
        <is>
          <t>ESG</t>
        </is>
      </c>
      <c r="E64" s="11" t="inlineStr">
        <is>
          <t>PDF p.61 (印刷頁 60)</t>
        </is>
      </c>
      <c r="F64" s="11" t="inlineStr">
        <is>
          <t>Environmental, Social and Governance Report Subject Areas/ Corresponding ESG Pillar KPIs Aspects Description Section B6.3 Product Liability IP management system; core B. Social Aspect – Intellectual technology protection; anti- – B6 Property infringement measures Protection B6.4 Product Liability Full-process quality control; B. Social Aspect – Quality product recall classification &amp; – B6 Verification implementation steps &amp; Recall Procedures B6.5 Product Liability Data</t>
        </is>
      </c>
    </row>
    <row r="65">
      <c r="A65" s="8" t="inlineStr">
        <is>
          <t>ESG Data</t>
        </is>
      </c>
      <c r="B65" s="8" t="inlineStr">
        <is>
          <t>環境社會及管治數據</t>
        </is>
      </c>
      <c r="C65" s="8" t="inlineStr">
        <is>
          <t>medium</t>
        </is>
      </c>
      <c r="D65" s="11" t="inlineStr">
        <is>
          <t>energy consumption</t>
        </is>
      </c>
      <c r="E65" s="11" t="inlineStr">
        <is>
          <t>PDF p.83 (印刷頁 82)</t>
        </is>
      </c>
      <c r="F65" s="11" t="inlineStr">
        <is>
          <t>as possible, use of recycled paper for printing and copying, and switching off idling lightings and electrical appliances to reduce energy consumption. Further discussions on the environmental policies and performances of the Company are set out in the Environmental, Social and Governance Report on pages 25 to 60 of this annual report. RELATIONSHIPS WITH EMPLOYEES, CUSTOMERS AND SUPPLIERS The Group believes that employees are valuable assets and regards human resources as its corporate wealth. The objective of the Group’s huma</t>
        </is>
      </c>
    </row>
    <row r="66">
      <c r="A66" s="8" t="inlineStr">
        <is>
          <t>Segment Information</t>
        </is>
      </c>
      <c r="B66" s="8" t="inlineStr">
        <is>
          <t>分部資料</t>
        </is>
      </c>
      <c r="C66" s="8" t="inlineStr">
        <is>
          <t>medium</t>
        </is>
      </c>
      <c r="D66" s="11" t="inlineStr">
        <is>
          <t>segment information</t>
        </is>
      </c>
      <c r="E66" s="11" t="inlineStr">
        <is>
          <t>PDF p.13 (印刷頁 12)</t>
        </is>
      </c>
      <c r="F66" s="11" t="inlineStr">
        <is>
          <t>e exercise of the Date of grant per Share Share Options per Share Share Options 27 October 2025 HK$0.25 4,480,895 HK$0.175 6,407,677 SEGMENT INFORMATION Segment information for the Group is presented as disclosed in note 8 to the consolidated financial statements. 12 NIU HOLDINGS LIMITED | Annual Report 2026</t>
        </is>
      </c>
    </row>
    <row r="67">
      <c r="A67" s="8" t="inlineStr">
        <is>
          <t>Segment Information</t>
        </is>
      </c>
      <c r="B67" s="8" t="inlineStr">
        <is>
          <t>分部資料</t>
        </is>
      </c>
      <c r="C67" s="8" t="inlineStr">
        <is>
          <t>medium</t>
        </is>
      </c>
      <c r="D67" s="11" t="inlineStr">
        <is>
          <t>geographical</t>
        </is>
      </c>
      <c r="E67" s="11" t="inlineStr">
        <is>
          <t>PDF p.46 (印刷頁 45)</t>
        </is>
      </c>
      <c r="F67" s="11" t="inlineStr">
        <is>
          <t>male Senior management 8% 3% 8% 3% Middle management 10% 2% 10% 2% General Staff 57% 20% 57% 20% Total 75% 25% 75% 25% D) Employee’s Geographical and Gender Distribution 2026 2025 Geographical Male Female Male Female Hong Kong 61% 19% 61% 19% The PRC 14% 6% 14% 6% Total 75% 25% 75% 25% E) Employee turnover rate of the Group was approximately 22%. The table below shows the turnover rate breakdown by gender and age: Number of employees left during Employee Total the Reporting turnover rate employees Period B/(A+B) (A) (B) x 100%</t>
        </is>
      </c>
    </row>
    <row r="68">
      <c r="A68" s="8" t="inlineStr">
        <is>
          <t>Segment Information</t>
        </is>
      </c>
      <c r="B68" s="8" t="inlineStr">
        <is>
          <t>分部資料</t>
        </is>
      </c>
      <c r="C68" s="8" t="inlineStr">
        <is>
          <t>medium</t>
        </is>
      </c>
      <c r="D68" s="11" t="inlineStr">
        <is>
          <t>geographical</t>
        </is>
      </c>
      <c r="E68" s="11" t="inlineStr">
        <is>
          <t>PDF p.51 (印刷頁 50)</t>
        </is>
      </c>
      <c r="F68" s="11" t="inlineStr">
        <is>
          <t>ernance Report During the Year, the Group had a total of 35 (2025: 46) subconsultants. The number of suppliers and subcontractors by geographical region of the Groups is as follows: Number of By location suppliers Hong Kong 33 Macau 2 Total 35 Environmental and Social Risk Management The Group embeds environmental and social risk management into its full-cycle supply chain and subconsultant governance to mitigate ESG risks associated with outsourced services. During partner screening and evaluation, the Group conducts comprehen</t>
        </is>
      </c>
    </row>
    <row r="69">
      <c r="A69" s="8" t="inlineStr">
        <is>
          <t>Segment Information</t>
        </is>
      </c>
      <c r="B69" s="8" t="inlineStr">
        <is>
          <t>分部資料</t>
        </is>
      </c>
      <c r="C69" s="8" t="inlineStr">
        <is>
          <t>medium</t>
        </is>
      </c>
      <c r="D69" s="11" t="inlineStr">
        <is>
          <t>operating segment</t>
        </is>
      </c>
      <c r="E69" s="11" t="inlineStr">
        <is>
          <t>PDF p.117 (印刷頁 116)</t>
        </is>
      </c>
      <c r="F69" s="11" t="inlineStr">
        <is>
          <t>tion, which represent the lowest level at which the goodwill is monitored for internal management purposes and is not larger than an operating segment. A cash-generating unit (or group of cash-generating units) to which goodwill has been allocated is tested for impairment annually or more frequently when there is indication that the unit may be impaired. For goodwill arising on an acquisition in an annual period, the cash-generating unit (or group of cash-generating units) to which goodwill has been allocated is tested for impa</t>
        </is>
      </c>
    </row>
    <row r="70">
      <c r="A70" s="8" t="inlineStr">
        <is>
          <t>Segment Information</t>
        </is>
      </c>
      <c r="B70" s="8" t="inlineStr">
        <is>
          <t>分部資料</t>
        </is>
      </c>
      <c r="C70" s="8" t="inlineStr">
        <is>
          <t>medium</t>
        </is>
      </c>
      <c r="D70" s="11" t="inlineStr">
        <is>
          <t>operating segment</t>
        </is>
      </c>
      <c r="E70" s="11" t="inlineStr">
        <is>
          <t>PDF p.131 (印刷頁 130)</t>
        </is>
      </c>
      <c r="F70" s="11" t="inlineStr">
        <is>
          <t>same taxation authority and the Group intends to settle its current tax assets and liabilities on a net basis. (s) Segment reporting Operating segments, and the amounts of each segment item reported in the consolidated financial statements, are identified from the financial information provided regularly to the Group’s chief operating decision maker for the purposes of allocating resources to, and assessing the performance of, the Group’s various lines of business and geographical locations. Individually material operating segm</t>
        </is>
      </c>
    </row>
    <row r="71">
      <c r="A71" s="8" t="inlineStr">
        <is>
          <t>Segment Information</t>
        </is>
      </c>
      <c r="B71" s="8" t="inlineStr">
        <is>
          <t>分部資料</t>
        </is>
      </c>
      <c r="C71" s="8" t="inlineStr">
        <is>
          <t>medium</t>
        </is>
      </c>
      <c r="D71" s="11" t="inlineStr">
        <is>
          <t>segment information</t>
        </is>
      </c>
      <c r="E71" s="11" t="inlineStr">
        <is>
          <t>PDF p.150 (印刷頁 149)</t>
        </is>
      </c>
      <c r="F71" s="11" t="inlineStr">
        <is>
          <t>Notes to the Consolidated Financial Statements For the year ended 31 March 2026 8. REVENUE AND SEGMENT INFORMATION (a) Revenue The principal activities of the Group are provision of (i) comprehensive structural and geotechnical engineering consultancy services; and (ii) equipment rental services in Hong Kong; and (iii) provision of installation services for IT equipment. (i) Disaggregation of revenue Disaggregation of revenue by services lines is as follows: Year ended 31 March 2026 2025 HK</t>
        </is>
      </c>
    </row>
    <row r="72">
      <c r="A72" s="8" t="inlineStr">
        <is>
          <t>Segment Information</t>
        </is>
      </c>
      <c r="B72" s="8" t="inlineStr">
        <is>
          <t>分部資料</t>
        </is>
      </c>
      <c r="C72" s="8" t="inlineStr">
        <is>
          <t>medium</t>
        </is>
      </c>
      <c r="D72" s="11" t="inlineStr">
        <is>
          <t>segment information</t>
        </is>
      </c>
      <c r="E72" s="11" t="inlineStr">
        <is>
          <t>PDF p.151 (印刷頁 150)</t>
        </is>
      </c>
      <c r="F72" s="11" t="inlineStr">
        <is>
          <t>Notes to the Consolidated Financial Statements For the year ended 31 March 2026 8. REVENUE AND SEGMENT INFORMATION (CONTINUED) (a) Revenue (Continued) (ii) Revenue expected to be recognised in the future arising from contracts with customers in existence at the reporting date As at 31 March 2026, the aggregate amount of the transaction price allocated to the remaining performance obligations under the Group’s existing contracts is approximately HK$134,437,000 (2025: HK$125,010,000). This am</t>
        </is>
      </c>
    </row>
    <row r="73">
      <c r="A73" s="8" t="inlineStr">
        <is>
          <t>Segment Information</t>
        </is>
      </c>
      <c r="B73" s="8" t="inlineStr">
        <is>
          <t>分部資料</t>
        </is>
      </c>
      <c r="C73" s="8" t="inlineStr">
        <is>
          <t>medium</t>
        </is>
      </c>
      <c r="D73" s="11" t="inlineStr">
        <is>
          <t>segment information</t>
        </is>
      </c>
      <c r="E73" s="11" t="inlineStr">
        <is>
          <t>PDF p.152 (印刷頁 151)</t>
        </is>
      </c>
      <c r="F73" s="11" t="inlineStr">
        <is>
          <t>Notes to the Consolidated Financial Statements For the year ended 31 March 2026 8. REVENUE AND SEGMENT INFORMATION (CONTINUED) (b) Segment reporting (Continued) Specifically, the Group’s reportable and operating segments under HKFRS 8 are as follows: 1. Information technology service – provision of a one-stop service, from design and supply to installation and maintenance; and 2. Comprehensive structural and geotechnical engineering consultancy services – provision of construction of new pr</t>
        </is>
      </c>
    </row>
    <row r="74">
      <c r="A74" s="8" t="inlineStr">
        <is>
          <t>Segment Information</t>
        </is>
      </c>
      <c r="B74" s="8" t="inlineStr">
        <is>
          <t>分部資料</t>
        </is>
      </c>
      <c r="C74" s="8" t="inlineStr">
        <is>
          <t>medium</t>
        </is>
      </c>
      <c r="D74" s="11" t="inlineStr">
        <is>
          <t>segment information</t>
        </is>
      </c>
      <c r="E74" s="11" t="inlineStr">
        <is>
          <t>PDF p.153 (印刷頁 152)</t>
        </is>
      </c>
      <c r="F74" s="11" t="inlineStr">
        <is>
          <t>Notes to the Consolidated Financial Statements For the year ended 31 March 2026 8. REVENUE AND SEGMENT INFORMATION (CONTINUED) (b) Segment reporting (Continued) For the year ended 31 March 2026 Comprehensive structural and geotechnical Information engineering technology consultancy service services Total HK$’000 HK$’000 HK$’000 REVENUE External sales – 77,946 77,946 Segment loss (4,209) (57,247) (61,456) Other income 139 Fair value changes on financial assets at FVTPL (73,297) Unallocated a</t>
        </is>
      </c>
    </row>
    <row r="75">
      <c r="A75" s="8" t="inlineStr">
        <is>
          <t>Segment Information</t>
        </is>
      </c>
      <c r="B75" s="8" t="inlineStr">
        <is>
          <t>分部資料</t>
        </is>
      </c>
      <c r="C75" s="8" t="inlineStr">
        <is>
          <t>medium</t>
        </is>
      </c>
      <c r="D75" s="11" t="inlineStr">
        <is>
          <t>segment information</t>
        </is>
      </c>
      <c r="E75" s="11" t="inlineStr">
        <is>
          <t>PDF p.154 (印刷頁 153)</t>
        </is>
      </c>
      <c r="F75" s="11" t="inlineStr">
        <is>
          <t>Notes to the Consolidated Financial Statements For the year ended 31 March 2026 8. REVENUE AND SEGMENT INFORMATION (CONTINUED) (b) Segment reporting (Continued) Geographical information The following table sets out information about (i) the Group’s revenue from external customers based on the geographical location of the operations of the Group; and (ii) the Group’s non-current assets other than prepayments, rental deposits, financial assets at FVTPL and deferred tax assets is based on the</t>
        </is>
      </c>
    </row>
    <row r="76">
      <c r="A76" s="8" t="inlineStr">
        <is>
          <t>Share-based Payment</t>
        </is>
      </c>
      <c r="B76" s="8" t="inlineStr">
        <is>
          <t>以股份為基礎的付款</t>
        </is>
      </c>
      <c r="C76" s="8" t="inlineStr">
        <is>
          <t>medium</t>
        </is>
      </c>
      <c r="D76" s="11" t="inlineStr">
        <is>
          <t>share option</t>
        </is>
      </c>
      <c r="E76" s="11" t="inlineStr">
        <is>
          <t>PDF p.13 (印刷頁 12)</t>
        </is>
      </c>
      <c r="F76" s="11" t="inlineStr">
        <is>
          <t>nsatory arrangements. For further details, please refer to the announcement of the Company dated 18 June 2026. The Company adopted a share option scheme on 27 August 2018 (the “Scheme”). The terms of the Scheme are in accordance with the provisions of Chapter 23 of the GEM Listing Rules. On 27 October 2025, the Company granted a total of 4,480,895 share options to its Directors and employees, which have not yet been exercised. For further details, please refer to the Company’s announcement dated 27 October 2025. Immediately bef</t>
        </is>
      </c>
    </row>
    <row r="77">
      <c r="A77" s="8" t="inlineStr">
        <is>
          <t>Share-based Payment</t>
        </is>
      </c>
      <c r="B77" s="8" t="inlineStr">
        <is>
          <t>以股份為基礎的付款</t>
        </is>
      </c>
      <c r="C77" s="8" t="inlineStr">
        <is>
          <t>medium</t>
        </is>
      </c>
      <c r="D77" s="11" t="inlineStr">
        <is>
          <t>share option</t>
        </is>
      </c>
      <c r="E77" s="11" t="inlineStr">
        <is>
          <t>PDF p.85 (印刷頁 84)</t>
        </is>
      </c>
      <c r="F77" s="11" t="inlineStr">
        <is>
          <t>he Prospectus. Details of the intended use of proceeds and utilised net proceed are set out on pages 13 to 14 of this annual report. SHARE OPTION SCHEME The Company adopted the Share Option Scheme on 27 August 2018 (the “Adoption Date”). The terms of the Share Option Scheme are in accordance with the provisions of Chapter 23 of the GEM Listing Rules. The following is a summary of the principal terms of the Share Option Scheme: (a) Purpose The Share Option Scheme is established to recognise and acknowledge the contributions that</t>
        </is>
      </c>
    </row>
    <row r="78">
      <c r="A78" s="8" t="inlineStr">
        <is>
          <t>Share-based Payment</t>
        </is>
      </c>
      <c r="B78" s="8" t="inlineStr">
        <is>
          <t>以股份為基礎的付款</t>
        </is>
      </c>
      <c r="C78" s="8" t="inlineStr">
        <is>
          <t>medium</t>
        </is>
      </c>
      <c r="D78" s="11" t="inlineStr">
        <is>
          <t>share option</t>
        </is>
      </c>
      <c r="E78" s="11" t="inlineStr">
        <is>
          <t>PDF p.86 (印刷頁 85)</t>
        </is>
      </c>
      <c r="F78" s="11" t="inlineStr">
        <is>
          <t>t (c) Total number of Shares available for issue The Company is entitled to issue a maximum of 9,600,000 Shares upon exercise of the share option to be granted under the Share Option Scheme after share consolidation. As at 31 March 2026 and as at the date of this report, with a total of 4,480,895 share options granted on 27 October 2025, 4,480,895 share options are outstanding and so 4,480,895 Shares are available for issue, representing 3.10% of the issued Shares of the Company as at the date of this report. During the Year an</t>
        </is>
      </c>
    </row>
    <row r="79">
      <c r="A79" s="8" t="inlineStr">
        <is>
          <t>Share-based Payment</t>
        </is>
      </c>
      <c r="B79" s="8" t="inlineStr">
        <is>
          <t>以股份為基礎的付款</t>
        </is>
      </c>
      <c r="C79" s="8" t="inlineStr">
        <is>
          <t>medium</t>
        </is>
      </c>
      <c r="D79" s="11" t="inlineStr">
        <is>
          <t>share option</t>
        </is>
      </c>
      <c r="E79" s="11" t="inlineStr">
        <is>
          <t>PDF p.87 (印刷頁 86)</t>
        </is>
      </c>
      <c r="F79" s="11" t="inlineStr">
        <is>
          <t>(g) Basis of determining the exercise price The subscription price of a Share in respect of any particular option granted under the Share Option Scheme shall be such price as the Board in its absolute discretion shall determine, save that such price must be at least the highest of: (i) the closing price of the Shares as stated in the Stock Exchange’s daily quotation sheets on the date of grant, which must be a day on which the Stock Exchange is open for the business of dealing in securities; (ii) the average of the closing pri</t>
        </is>
      </c>
    </row>
    <row r="80">
      <c r="A80" s="8" t="inlineStr">
        <is>
          <t>Share-based Payment</t>
        </is>
      </c>
      <c r="B80" s="8" t="inlineStr">
        <is>
          <t>以股份為基礎的付款</t>
        </is>
      </c>
      <c r="C80" s="8" t="inlineStr">
        <is>
          <t>medium</t>
        </is>
      </c>
      <c r="D80" s="11" t="inlineStr">
        <is>
          <t>share option</t>
        </is>
      </c>
      <c r="E80" s="11" t="inlineStr">
        <is>
          <t>PDF p.88 (印刷頁 87)</t>
        </is>
      </c>
      <c r="F80" s="11" t="inlineStr">
        <is>
          <t>Directors’ Report EQUITY-LINKED AGREEMENTS Other than the Share Option Scheme, no equity-linked agreements were entered into by the Company during the Year or subsisted at the end of the Year. PURCHASE, SALE OR REDEMPTION OF LISTED SECURITIES OF THE COMPANY During the Year, neither the Company nor any of its subsidiaries purchased, sold or redeemed any of the Company’s listed securities. RESERVES Details of movements in the reserves of the Group during t</t>
        </is>
      </c>
    </row>
    <row r="81">
      <c r="A81" s="8" t="inlineStr">
        <is>
          <t>Share-based Payment</t>
        </is>
      </c>
      <c r="B81" s="8" t="inlineStr">
        <is>
          <t>以股份為基礎的付款</t>
        </is>
      </c>
      <c r="C81" s="8" t="inlineStr">
        <is>
          <t>medium</t>
        </is>
      </c>
      <c r="D81" s="11" t="inlineStr">
        <is>
          <t>share option</t>
        </is>
      </c>
      <c r="E81" s="11" t="inlineStr">
        <is>
          <t>PDF p.91 (印刷頁 90)</t>
        </is>
      </c>
      <c r="F81" s="11" t="inlineStr">
        <is>
          <t>etionary bonus. The Group offers competitive remuneration and benefit package to its employees. Further, the Company has adopted the Share Option Scheme to provide incentive or reward to the Group’s employees for their contributions to promote the long-term growth of the Group. The Remuneration Committee is set up for reviewing the Group’s emolument policy and structure for making recommendation to the Board on the overall remuneration policy and structure relating to all Directors and senior management of the Group. The remune</t>
        </is>
      </c>
    </row>
    <row r="82">
      <c r="A82" s="8" t="inlineStr">
        <is>
          <t>Share-based Payment</t>
        </is>
      </c>
      <c r="B82" s="8" t="inlineStr">
        <is>
          <t>以股份為基礎的付款</t>
        </is>
      </c>
      <c r="C82" s="8" t="inlineStr">
        <is>
          <t>medium</t>
        </is>
      </c>
      <c r="D82" s="11" t="inlineStr">
        <is>
          <t>share option</t>
        </is>
      </c>
      <c r="E82" s="11" t="inlineStr">
        <is>
          <t>PDF p.93 (印刷頁 92)</t>
        </is>
      </c>
      <c r="F82" s="11" t="inlineStr">
        <is>
          <t>Directors’ Report Notes: 1. These represent the interests in underlying Shares in respect of share options granted by the Company on 27 October 2025. 2. Based on the number of issued Share of 144,545,000 as at 31 March 2026. 3. Manning Properties Limited is owned as to approximately 68.2% by Dr. Chan and approximately 31.8% by Mr. KWONG Po Lam (“Mr. Kwong”), which in turn holds 10,903,200 Shares, representing approximately 7.54% of the total share capital of the Company. As the concerted</t>
        </is>
      </c>
    </row>
    <row r="83">
      <c r="A83" s="8" t="inlineStr">
        <is>
          <t>Share-based Payment</t>
        </is>
      </c>
      <c r="B83" s="8" t="inlineStr">
        <is>
          <t>以股份為基礎的付款</t>
        </is>
      </c>
      <c r="C83" s="8" t="inlineStr">
        <is>
          <t>medium</t>
        </is>
      </c>
      <c r="D83" s="11" t="inlineStr">
        <is>
          <t>share-based payment</t>
        </is>
      </c>
      <c r="E83" s="11" t="inlineStr">
        <is>
          <t>PDF p.107 (印刷頁 106)</t>
        </is>
      </c>
      <c r="F83" s="11" t="inlineStr">
        <is>
          <t>to placing of new shares (Note 29(b)) – (50) – – – – – (50) – (50) Acquisition of a subsidiary (Note 32) – – – – – – – – 2,922 2,922 Share-based payments (Note 28) – – – – 886 – – 886 – 886 At 31 March 2026 14,455 107,876 647 49 886 38 (62,496) 61,455 2,485 63,940 106 NIU HOLDINGS LIMITED | Annual Report 2026</t>
        </is>
      </c>
    </row>
    <row r="84">
      <c r="A84" s="8" t="inlineStr">
        <is>
          <t>Share-based Payment</t>
        </is>
      </c>
      <c r="B84" s="8" t="inlineStr">
        <is>
          <t>以股份為基礎的付款</t>
        </is>
      </c>
      <c r="C84" s="8" t="inlineStr">
        <is>
          <t>medium</t>
        </is>
      </c>
      <c r="D84" s="11" t="inlineStr">
        <is>
          <t>share-based payment</t>
        </is>
      </c>
      <c r="E84" s="11" t="inlineStr">
        <is>
          <t>PDF p.108 (印刷頁 107)</t>
        </is>
      </c>
      <c r="F84" s="11" t="inlineStr">
        <is>
          <t>5 3,360 Impairment on goodwill 3,117 – Impairment on property, plant and equipment 4,747 – Impairment on right-of-use assets 5,177 – Share-based payment expense 886 – Loss on lease modification 2,378 29 Fair value changes on financial assets at FVTPL 73,297 (77,700) Allowance of ECLs for trade and other receivables and contract assets, net 14,724 4,012 Operating cash flows before changes in working capital (27,600) (5,360) Changes in working capital: Decrease/(increase) in trade and other receivables 19,540 (33,880) Increase in</t>
        </is>
      </c>
    </row>
    <row r="85">
      <c r="A85" s="8" t="inlineStr">
        <is>
          <t>Share-based Payment</t>
        </is>
      </c>
      <c r="B85" s="8" t="inlineStr">
        <is>
          <t>以股份為基礎的付款</t>
        </is>
      </c>
      <c r="C85" s="8" t="inlineStr">
        <is>
          <t>medium</t>
        </is>
      </c>
      <c r="D85" s="11" t="inlineStr">
        <is>
          <t>share-based payment</t>
        </is>
      </c>
      <c r="E85" s="11" t="inlineStr">
        <is>
          <t>PDF p.115 (印刷頁 114)</t>
        </is>
      </c>
      <c r="F85" s="11" t="inlineStr">
        <is>
          <t>d in accordance with HKAS 12 Income Taxes and HKAS 19 Employee Benefits respectively; • liabilities or equity instruments related to share-based payment arrangements of the acquiree or share based payment arrangements of the Group entered into to replace share-based payment arrangements of the acquiree are measured in accordance with HKFRS 2 Share-based Payment at the acquisition date (see the accounting policy below); • assets (or disposal groups) that are classified as held for sale in accordance with HKFRS 5 Noncurrent Asset</t>
        </is>
      </c>
    </row>
    <row r="86">
      <c r="A86" s="8" t="inlineStr">
        <is>
          <t>Share-based Payment</t>
        </is>
      </c>
      <c r="B86" s="8" t="inlineStr">
        <is>
          <t>以股份為基礎的付款</t>
        </is>
      </c>
      <c r="C86" s="8" t="inlineStr">
        <is>
          <t>medium</t>
        </is>
      </c>
      <c r="D86" s="11" t="inlineStr">
        <is>
          <t>share-based payment</t>
        </is>
      </c>
      <c r="E86" s="11" t="inlineStr">
        <is>
          <t>PDF p.129 (印刷頁 128)</t>
        </is>
      </c>
      <c r="F86" s="11" t="inlineStr">
        <is>
          <t>to the Consolidated Financial Statements For the year ended 31 March 2026 4. MATERIAL ACCOUNTING POLICY INFORMATION (CONTINUED) (q) Share-based payments Equity-settled share-based payment transactions Share options granted to employees The fair value of the equity-settled share-based payments determined at the grant date without taking into consideration all non-market vesting conditions is expensed on a straight-line basis over the vesting period, based on the Group’s estimate of equity instruments that will eventually vest,</t>
        </is>
      </c>
    </row>
    <row r="87">
      <c r="A87" s="8" t="inlineStr">
        <is>
          <t>Share-based Payment</t>
        </is>
      </c>
      <c r="B87" s="8" t="inlineStr">
        <is>
          <t>以股份為基礎的付款</t>
        </is>
      </c>
      <c r="C87" s="8" t="inlineStr">
        <is>
          <t>medium</t>
        </is>
      </c>
      <c r="D87" s="11" t="inlineStr">
        <is>
          <t>share option</t>
        </is>
      </c>
      <c r="E87" s="11" t="inlineStr">
        <is>
          <t>PDF p.161 (印刷頁 160)</t>
        </is>
      </c>
      <c r="F87" s="11" t="inlineStr">
        <is>
          <t>to assume conversion of all dilutive potential ordinary shares. The Company has one category of dilutive potential ordinary shares: share options. 160 NIU HOLDINGS LIMITED | Annual Report 2026</t>
        </is>
      </c>
    </row>
    <row r="88">
      <c r="A88" s="8" t="inlineStr">
        <is>
          <t>Share-based Payment</t>
        </is>
      </c>
      <c r="B88" s="8" t="inlineStr">
        <is>
          <t>以股份為基礎的付款</t>
        </is>
      </c>
      <c r="C88" s="8" t="inlineStr">
        <is>
          <t>medium</t>
        </is>
      </c>
      <c r="D88" s="11" t="inlineStr">
        <is>
          <t>share option</t>
        </is>
      </c>
      <c r="E88" s="11" t="inlineStr">
        <is>
          <t>PDF p.162 (印刷頁 161)</t>
        </is>
      </c>
      <c r="F88" s="11" t="inlineStr">
        <is>
          <t>Notes to the Consolidated Financial Statements For the year ended 31 March 2026 15. (LOSS)/EARNING PER SHARE (CONTINUED) The share options in issue have not been included in the calculation of the diluted (loss)/earning per share, as the adjusted exercise prices of those share options are higher than the average annual market price of the Company’s shares. Accordingly, these share options had no dilutive effect during the year ended 31 March 2026 and 2025, and the diluted (loss)/earning per share is the same as the basi</t>
        </is>
      </c>
    </row>
    <row r="89">
      <c r="A89" s="8" t="inlineStr">
        <is>
          <t>Share-based Payment</t>
        </is>
      </c>
      <c r="B89" s="8" t="inlineStr">
        <is>
          <t>以股份為基礎的付款</t>
        </is>
      </c>
      <c r="C89" s="8" t="inlineStr">
        <is>
          <t>medium</t>
        </is>
      </c>
      <c r="D89" s="11" t="inlineStr">
        <is>
          <t>share-based payment</t>
        </is>
      </c>
      <c r="E89" s="11" t="inlineStr">
        <is>
          <t>PDF p.177 (印刷頁 176)</t>
        </is>
      </c>
      <c r="F89" s="11" t="inlineStr">
        <is>
          <t>Notes to the Consolidated Financial Statements For the year ended 31 March 2026 28. SHARE-BASED PAYMENT TRANSACTIONS Equity-settled share option scheme of the Company The Company’s share option scheme (the “2018 Share Option Scheme”) was adopted pursuant to a resolution passes on 27 August 2018 for the primary purpose of providing incentives to directors and eligible employees, and will expire on 26 August 2028. Under the Scheme, the directors of the Company may grant options to</t>
        </is>
      </c>
    </row>
    <row r="90">
      <c r="A90" s="8" t="inlineStr">
        <is>
          <t>Share-based Payment</t>
        </is>
      </c>
      <c r="B90" s="8" t="inlineStr">
        <is>
          <t>以股份為基礎的付款</t>
        </is>
      </c>
      <c r="C90" s="8" t="inlineStr">
        <is>
          <t>medium</t>
        </is>
      </c>
      <c r="D90" s="11" t="inlineStr">
        <is>
          <t>share-based payment</t>
        </is>
      </c>
      <c r="E90" s="11" t="inlineStr">
        <is>
          <t>PDF p.178 (印刷頁 177)</t>
        </is>
      </c>
      <c r="F90" s="11" t="inlineStr">
        <is>
          <t>Notes to the Consolidated Financial Statements For the year ended 31 March 2026 28. SHARE-BASED PAYMENT TRANSACTIONS (CONTINUED) Equity-settled share option scheme of the Company (Continued) The share options outstanding at 31 March 2026 had a weighted average remaining contractual life of 9.58 years (2025: Nil). In respect of the share options exercised during the year, the weighted average share price at the dates of exercises was HK$0.25 (2025: Nil). During the year ended 31 M</t>
        </is>
      </c>
    </row>
    <row r="91">
      <c r="A91" s="8" t="inlineStr">
        <is>
          <t>Share-based Payment</t>
        </is>
      </c>
      <c r="B91" s="8" t="inlineStr">
        <is>
          <t>以股份為基礎的付款</t>
        </is>
      </c>
      <c r="C91" s="8" t="inlineStr">
        <is>
          <t>medium</t>
        </is>
      </c>
      <c r="D91" s="11" t="inlineStr">
        <is>
          <t>share option</t>
        </is>
      </c>
      <c r="E91" s="11" t="inlineStr">
        <is>
          <t>PDF p.181 (印刷頁 180)</t>
        </is>
      </c>
      <c r="F91" s="11" t="inlineStr">
        <is>
          <t>of each accounting period of not less than 25% to legal reserves, until the amount reaches half of its registered share capital. (g) Share option reserves The share option reserve represents the cumulative fair value of share options granted by the Company that has been recognised as an expense in accordance with HKFRS 2 Share-based Payment and credited to equity over the vesting period of the relevant share options. Upon the exercise of share options, the related amount in the share option reserve is transferred to share capit</t>
        </is>
      </c>
    </row>
    <row r="92">
      <c r="A92" s="8" t="inlineStr">
        <is>
          <t>Share-based Payment</t>
        </is>
      </c>
      <c r="B92" s="8" t="inlineStr">
        <is>
          <t>以股份為基礎的付款</t>
        </is>
      </c>
      <c r="C92" s="8" t="inlineStr">
        <is>
          <t>medium</t>
        </is>
      </c>
      <c r="D92" s="11" t="inlineStr">
        <is>
          <t>share option</t>
        </is>
      </c>
      <c r="E92" s="11" t="inlineStr">
        <is>
          <t>PDF p.185 (印刷頁 184)</t>
        </is>
      </c>
      <c r="F92" s="11" t="inlineStr">
        <is>
          <t>lity Bond payables 3,300 – Net (liabilities)/assets (910) 45,500 EQUITY Share capital 29 14,455 13,820 Share premium 107,876 106,036 Share option reserve 886 – Accumulated losses (124,127) (74,356) Total (deficit)/equity (910) 45,500 Approved and authorised for issue by the Board of Directors on 30 June 2026 and signed on its behalf by: Yuen Chi Ping Leung Chun Yu Edmund Chairman Director 184 NIU HOLDINGS LIMITED | Annual Report 2026</t>
        </is>
      </c>
    </row>
    <row r="93">
      <c r="A93" s="8" t="inlineStr">
        <is>
          <t>Share-based Payment</t>
        </is>
      </c>
      <c r="B93" s="8" t="inlineStr">
        <is>
          <t>以股份為基礎的付款</t>
        </is>
      </c>
      <c r="C93" s="8" t="inlineStr">
        <is>
          <t>medium</t>
        </is>
      </c>
      <c r="D93" s="11" t="inlineStr">
        <is>
          <t>share-based payment</t>
        </is>
      </c>
      <c r="E93" s="11" t="inlineStr">
        <is>
          <t>PDF p.186 (印刷頁 185)</t>
        </is>
      </c>
      <c r="F93" s="11" t="inlineStr">
        <is>
          <t>ear – – (49,771) (49,771) Placing of new shares 1,890 – – 1,890 Transaction cost attributable to placing of new shares (50) – – (50) Share-based payments – 886 – 886 Balance at 31 March 2026 107,876 886 (124,127) (15,365) 34. NOTES TO THE CONSOLIDATED STATEMENT OF CASH FLOW (a) Major non-cash transaction Other than disclosed in elsewhere in the consolidated financial statements, the Group had the major non-cash transaction as follow. During the year ended 31 March 2026, the Group entered into lease contracts in which addition a</t>
        </is>
      </c>
    </row>
    <row r="94">
      <c r="A94" s="8" t="inlineStr">
        <is>
          <t>Share-based Payment</t>
        </is>
      </c>
      <c r="B94" s="8" t="inlineStr">
        <is>
          <t>以股份為基礎的付款</t>
        </is>
      </c>
      <c r="C94" s="8" t="inlineStr">
        <is>
          <t>medium</t>
        </is>
      </c>
      <c r="D94" s="11" t="inlineStr">
        <is>
          <t>share option</t>
        </is>
      </c>
      <c r="E94" s="11" t="inlineStr">
        <is>
          <t>PDF p.192 (印刷頁 191)</t>
        </is>
      </c>
      <c r="F94" s="11" t="inlineStr">
        <is>
          <t>e “Share Offer” the issue of 288,000,000 ordinary Shares by way of share offer at a price of HK$0.20 per Share on 17 September 2018 “Share Option Scheme” the share option scheme approved and adopted by our Company pursuant to written resolutions of our Shareholders on 27 August 2018 “Share(s)” ordinary share(s) of nominal value of HK$0.1 each in the share capital of our Company “Shareholder(s)” holder(s) of our Share(s) from time to time “subsidiary(ies)” has the meaning ascribed to it under the GEM Listing Rules 191 NIU HOLDIN</t>
        </is>
      </c>
    </row>
    <row r="95">
      <c r="A95" s="8" t="inlineStr">
        <is>
          <t>Related Party Transactions</t>
        </is>
      </c>
      <c r="B95" s="8" t="inlineStr">
        <is>
          <t>關聯方交易</t>
        </is>
      </c>
      <c r="C95" s="8" t="inlineStr">
        <is>
          <t>low</t>
        </is>
      </c>
      <c r="D95" s="11" t="inlineStr">
        <is>
          <t>connected transaction</t>
        </is>
      </c>
      <c r="E95" s="11" t="inlineStr">
        <is>
          <t>PDF p.90 (印刷頁 89)</t>
        </is>
      </c>
      <c r="F95" s="11" t="inlineStr">
        <is>
          <t>hapter 20 of the GEM Listing Rules. Accordingly, the Underwriting Agreement and the transactions contemplated thereunder constituted connected transactions of the Company and were subject to the applicable reporting, announcement, circular and independent shareholders’ approval requirements under Chapter 20 of the GEM Listing Rules. Further details of the Rights Issue and the connected transaction are set out in the Company’s announcement dated 11 February 2026, the prospectus dated 28 May 2026 and the announcement dated 6 July</t>
        </is>
      </c>
    </row>
    <row r="96">
      <c r="A96" s="8" t="inlineStr">
        <is>
          <t>Related Party Transactions</t>
        </is>
      </c>
      <c r="B96" s="8" t="inlineStr">
        <is>
          <t>關聯方交易</t>
        </is>
      </c>
      <c r="C96" s="8" t="inlineStr">
        <is>
          <t>low</t>
        </is>
      </c>
      <c r="D96" s="11" t="inlineStr">
        <is>
          <t>related party</t>
        </is>
      </c>
      <c r="E96" s="11" t="inlineStr">
        <is>
          <t>PDF p.95 (印刷頁 94)</t>
        </is>
      </c>
      <c r="F96" s="11" t="inlineStr">
        <is>
          <t>mpany, or any of its subsidiaries and fellow subsidiaries a party to any arrangement to enable the Directors to acquire such rights. RELATED PARTY TRANSACTIONS AND CONNECTED TRANSACTIONS Details of the related party transactions of the Group for the year ended 31 March 2026 are set out in note 36 to the consolidated financial statements of this annual report. The related party transactions as disclosed in note 36 to the consolidated financial statements of this annual report are not regarded as connected transactions under Chap</t>
        </is>
      </c>
    </row>
    <row r="97">
      <c r="A97" s="8" t="inlineStr">
        <is>
          <t>Related Party Transactions</t>
        </is>
      </c>
      <c r="B97" s="8" t="inlineStr">
        <is>
          <t>關聯方交易</t>
        </is>
      </c>
      <c r="C97" s="8" t="inlineStr">
        <is>
          <t>low</t>
        </is>
      </c>
      <c r="D97" s="11" t="inlineStr">
        <is>
          <t>related party</t>
        </is>
      </c>
      <c r="E97" s="11" t="inlineStr">
        <is>
          <t>PDF p.187 (印刷頁 186)</t>
        </is>
      </c>
      <c r="F97" s="11" t="inlineStr">
        <is>
          <t>h 2026 3,300 8,085 11,385 35. COMMITMENTS The Group did not have any material commitments as at 31 March 2026 and 2025. 36. MATERIAL RELATED PARTY TRANSACTIONS Transactions with key management personnel All members of key management personnel are the directors of the Company and their remuneration is disclosed in note 13(a) to the consolidated financial statements. 186 NIU HOLDINGS LIMITED | Annual Report 2026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9"/>
  <sheetViews>
    <sheetView workbookViewId="0">
      <pane ySplit="28" topLeftCell="A29"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Operating Profit</t>
        </is>
      </c>
    </row>
    <row r="10">
      <c r="A10" s="8" t="inlineStr">
        <is>
          <t>Income Statement</t>
        </is>
      </c>
      <c r="B10" s="8" t="inlineStr">
        <is>
          <t>Profit Before Tax</t>
        </is>
      </c>
    </row>
    <row r="11">
      <c r="A11" s="8" t="inlineStr">
        <is>
          <t>Income Statement</t>
        </is>
      </c>
      <c r="B11" s="8" t="inlineStr">
        <is>
          <t>Profit for the Year</t>
        </is>
      </c>
    </row>
    <row r="12">
      <c r="A12" s="8" t="inlineStr">
        <is>
          <t>Income Statement</t>
        </is>
      </c>
      <c r="B12" s="8" t="inlineStr">
        <is>
          <t>R&amp;D Expenses</t>
        </is>
      </c>
    </row>
    <row r="13">
      <c r="A13" s="8" t="inlineStr">
        <is>
          <t>Income Statement</t>
        </is>
      </c>
      <c r="B13" s="8" t="inlineStr">
        <is>
          <t>Depreciation</t>
        </is>
      </c>
    </row>
    <row r="14">
      <c r="A14" s="8" t="inlineStr">
        <is>
          <t>Income Statement</t>
        </is>
      </c>
      <c r="B14" s="8" t="inlineStr">
        <is>
          <t>Amortisation</t>
        </is>
      </c>
    </row>
    <row r="15">
      <c r="A15" s="8" t="inlineStr">
        <is>
          <t>Balance Sheet</t>
        </is>
      </c>
      <c r="B15" s="8" t="inlineStr">
        <is>
          <t>Total Assets</t>
        </is>
      </c>
    </row>
    <row r="16">
      <c r="A16" s="8" t="inlineStr">
        <is>
          <t>Balance Sheet</t>
        </is>
      </c>
      <c r="B16" s="8" t="inlineStr">
        <is>
          <t>Inventories</t>
        </is>
      </c>
    </row>
    <row r="17">
      <c r="A17" s="8" t="inlineStr">
        <is>
          <t>Balance Sheet</t>
        </is>
      </c>
      <c r="B17" s="8" t="inlineStr">
        <is>
          <t>Intangible Assets</t>
        </is>
      </c>
    </row>
    <row r="18">
      <c r="A18" s="8" t="inlineStr">
        <is>
          <t>Balance Sheet</t>
        </is>
      </c>
      <c r="B18" s="8" t="inlineStr">
        <is>
          <t>Investment Properties</t>
        </is>
      </c>
    </row>
    <row r="19">
      <c r="A19" s="8" t="inlineStr">
        <is>
          <t>Balance Sheet</t>
        </is>
      </c>
      <c r="B19" s="8" t="inlineStr">
        <is>
          <t>Total Liabilities</t>
        </is>
      </c>
    </row>
    <row r="20">
      <c r="A20" s="8" t="inlineStr">
        <is>
          <t>Balance Sheet</t>
        </is>
      </c>
      <c r="B20" s="8" t="inlineStr">
        <is>
          <t>Borrowings</t>
        </is>
      </c>
    </row>
    <row r="21">
      <c r="A21" s="8" t="inlineStr">
        <is>
          <t>Cash Flow</t>
        </is>
      </c>
      <c r="B21" s="8" t="inlineStr">
        <is>
          <t>Investing Cash Flow</t>
        </is>
      </c>
    </row>
    <row r="22">
      <c r="A22" s="8" t="inlineStr">
        <is>
          <t>Cash Flow</t>
        </is>
      </c>
      <c r="B22" s="8" t="inlineStr">
        <is>
          <t>Financing Cash Flow</t>
        </is>
      </c>
    </row>
    <row r="25">
      <c r="A25" s="5" t="inlineStr">
        <is>
          <t>二、文字量過低的頁面(疑似掃描頁)</t>
        </is>
      </c>
    </row>
    <row r="26">
      <c r="A26" s="2" t="inlineStr">
        <is>
          <t>這些頁面幾乎抓不到文字,通常是掃描件或純圖表,建議人手翻閱或另行 OCR。</t>
        </is>
      </c>
    </row>
    <row r="28">
      <c r="A28" s="7" t="inlineStr">
        <is>
          <t>PDF 頁碼</t>
        </is>
      </c>
      <c r="B28" s="7" t="inlineStr">
        <is>
          <t>狀態</t>
        </is>
      </c>
    </row>
    <row r="29">
      <c r="A29"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2026-08-30T14:16:25Z</dcterms:created>
  <dcterms:modified xsi:type="dcterms:W3CDTF">2026-08-30T14:16:25Z</dcterms:modified>
</cp:coreProperties>
</file>
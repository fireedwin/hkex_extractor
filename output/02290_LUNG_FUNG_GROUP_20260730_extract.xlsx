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5">
    <fill>
      <patternFill/>
    </fill>
    <fill>
      <patternFill patternType="gray125"/>
    </fill>
    <fill>
      <patternFill patternType="solid">
        <fgColor rgb="001F4E5F"/>
      </patternFill>
    </fill>
    <fill>
      <patternFill patternType="solid">
        <fgColor rgb="00FFF2CC"/>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02290_LUNG_FUNG_GROUP_20260730.pdf</t>
        </is>
      </c>
    </row>
    <row r="5">
      <c r="A5" s="3" t="inlineStr">
        <is>
          <t>產生時間 Generated</t>
        </is>
      </c>
      <c r="B5" s="4" t="inlineStr">
        <is>
          <t>2026-08-30 22:16</t>
        </is>
      </c>
    </row>
    <row r="6">
      <c r="A6" s="4" t="inlineStr"/>
      <c r="B6" s="4" t="inlineStr"/>
    </row>
    <row r="7">
      <c r="A7" s="3" t="inlineStr">
        <is>
          <t>總頁數 Total pages</t>
        </is>
      </c>
      <c r="B7" s="4" t="n">
        <v>214</v>
      </c>
    </row>
    <row r="8">
      <c r="A8" s="3" t="inlineStr">
        <is>
          <t>已擷取字元 Characters extracted</t>
        </is>
      </c>
      <c r="B8" s="4" t="n">
        <v>409471</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9</v>
      </c>
    </row>
    <row r="13">
      <c r="A13" s="3" t="inlineStr">
        <is>
          <t>財務科目擷取筆數 Financial line items</t>
        </is>
      </c>
      <c r="B13" s="4" t="n">
        <v>20</v>
      </c>
    </row>
    <row r="14">
      <c r="A14" s="3" t="inlineStr">
        <is>
          <t>主題段落擷取筆數 Topic extracts</t>
        </is>
      </c>
      <c r="B14" s="4" t="n">
        <v>80</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564,633 − 977,854 = -413,221</t>
        </is>
      </c>
    </row>
    <row r="20">
      <c r="A20" s="6" t="inlineStr">
        <is>
          <t>✓ 收入 − 銷售成本 = 毛利</t>
        </is>
      </c>
      <c r="B20" s="4" t="inlineStr">
        <is>
          <t>3,277,151 − 2,261,738 = 1,015,413 vs 毛利 1,015,413</t>
        </is>
      </c>
    </row>
    <row r="21">
      <c r="A21" s="6" t="inlineStr">
        <is>
          <t>✓ 除稅前溢利 ± 稅項 = 年內溢利</t>
        </is>
      </c>
      <c r="B21" s="4" t="inlineStr">
        <is>
          <t>326,787 + 57,687 = 269,100 vs 269,100</t>
        </is>
      </c>
    </row>
    <row r="22">
      <c r="A22" s="6" t="inlineStr">
        <is>
          <t>✓ 三大報表應相鄰</t>
        </is>
      </c>
      <c r="B22" s="4" t="inlineStr">
        <is>
          <t>Income Statement: p.90、Balance Sheet: p.91、Cash Flow: p.94(相距 4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Capitalisation Rate</t>
        </is>
      </c>
      <c r="B5" s="8" t="inlineStr">
        <is>
          <t>資本化率</t>
        </is>
      </c>
      <c r="C5" s="9" t="n">
        <v>3.55</v>
      </c>
      <c r="D5" s="10" t="n">
        <v>3.8</v>
      </c>
      <c r="E5" s="11" t="inlineStr">
        <is>
          <t>3.55% to 3.80%</t>
        </is>
      </c>
      <c r="F5" s="11" t="inlineStr">
        <is>
          <t>High</t>
        </is>
      </c>
      <c r="G5" s="11" t="inlineStr">
        <is>
          <t>PDF p.155 (印刷頁 154)</t>
        </is>
      </c>
      <c r="H5" s="11" t="inlineStr">
        <is>
          <t>技術 重大不可觀察輸入數據 輸入數據範圍 與公平值的關係 Retail shop units located in Income capitalization Capitalization rate, 3.55% to 3.80% An increase in the Hong Kong approach taking into account the (2025: 3.05% to capitalization rate 位於香港的零售店單位 收入資本化法 capitalization of rental 3.</t>
        </is>
      </c>
    </row>
    <row r="6">
      <c r="A6" s="8" t="inlineStr">
        <is>
          <t>Capitalisation Rate</t>
        </is>
      </c>
      <c r="B6" s="8" t="inlineStr">
        <is>
          <t>資本化率</t>
        </is>
      </c>
      <c r="C6" s="9" t="n">
        <v>3.3</v>
      </c>
      <c r="D6" s="10" t="n">
        <v>3.3</v>
      </c>
      <c r="E6" s="11" t="inlineStr">
        <is>
          <t>3.30%</t>
        </is>
      </c>
      <c r="F6" s="11" t="inlineStr">
        <is>
          <t>Medium</t>
        </is>
      </c>
      <c r="G6" s="11" t="inlineStr">
        <is>
          <t>PDF p.155 (印刷頁 154)</t>
        </is>
      </c>
      <c r="H6" s="11" t="inlineStr">
        <is>
          <t>5年：3.05%至 and vice versa. (2025: HK$171,620,000) and prevailing market 3.30%） 所用資本化率增加將導 127,110,000港元 condition. 致公平值減少，反之 （2025年： 資本化率，經考慮租金 亦然。 171,620,000港元） 收入資本化潛力、物 業性質及現行市況。 Monthly market rent, HK$96 to HK$119 An increase in the market</t>
        </is>
      </c>
    </row>
    <row r="7">
      <c r="A7" s="8" t="inlineStr">
        <is>
          <t>Capitalisation Rate</t>
        </is>
      </c>
      <c r="B7" s="8" t="inlineStr">
        <is>
          <t>資本化率</t>
        </is>
      </c>
      <c r="C7" s="9" t="n">
        <v>3.95</v>
      </c>
      <c r="D7" s="10" t="n">
        <v>4</v>
      </c>
      <c r="E7" s="11" t="inlineStr">
        <is>
          <t>3.95% to 4.00%</t>
        </is>
      </c>
      <c r="F7" s="11" t="inlineStr">
        <is>
          <t>High</t>
        </is>
      </c>
      <c r="G7" s="11" t="inlineStr">
        <is>
          <t>PDF p.156 (印刷頁 155)</t>
        </is>
      </c>
      <c r="H7" s="11" t="inlineStr">
        <is>
          <t>慮類似 物業近期成交價，因 應物業性質、位置及 狀況調整 Residential units located in Income capitalization Capitalization rate, 3.95% to 4.00% An increase in the Hong Kong approach taking into account the (2025: 3.95% to capitalization rate 位於香港的住宅單位 收入資本化法 capitalization of rental 4.2</t>
        </is>
      </c>
    </row>
    <row r="8">
      <c r="A8" s="8" t="inlineStr">
        <is>
          <t>Capitalisation Rate</t>
        </is>
      </c>
      <c r="B8" s="8" t="inlineStr">
        <is>
          <t>資本化率</t>
        </is>
      </c>
      <c r="C8" s="9" t="n">
        <v>4.2</v>
      </c>
      <c r="D8" s="10" t="n">
        <v>4.2</v>
      </c>
      <c r="E8" s="11" t="inlineStr">
        <is>
          <t>4.20%</t>
        </is>
      </c>
      <c r="F8" s="11" t="inlineStr">
        <is>
          <t>Medium</t>
        </is>
      </c>
      <c r="G8" s="11" t="inlineStr">
        <is>
          <t>PDF p.156 (印刷頁 155)</t>
        </is>
      </c>
      <c r="H8" s="11" t="inlineStr">
        <is>
          <t>025年：3.95%至 and vice versa. (2025: HK$1,550,000) and prevailing market 4.20%） 所用資本化率增加將導 860,000港元 condition. 致公平值減少，反之 （2025年： 資本化率，經考慮租金 亦然。 1,550,000港元） 收入資本化潛力、物 業性質及現行市況。 Lung Fung Group Holdings Limited / Annual Report 2025/2026 155 龍豐集團控</t>
        </is>
      </c>
    </row>
    <row r="9">
      <c r="A9" s="8" t="inlineStr">
        <is>
          <t>Discount Rate</t>
        </is>
      </c>
      <c r="B9" s="8" t="inlineStr">
        <is>
          <t>折現率</t>
        </is>
      </c>
      <c r="C9" s="9" t="n">
        <v>3.6</v>
      </c>
      <c r="D9" s="10" t="n">
        <v>3.6</v>
      </c>
      <c r="E9" s="11" t="inlineStr">
        <is>
          <t>3.6%</t>
        </is>
      </c>
      <c r="F9" s="11" t="inlineStr">
        <is>
          <t>High</t>
        </is>
      </c>
      <c r="G9" s="11" t="inlineStr">
        <is>
          <t>PDF p.178 (印刷頁 177)</t>
        </is>
      </c>
      <c r="H9" s="11" t="inlineStr">
        <is>
          <t>al assumptions for the determination of the 用於釐定長期服務金義務之重大精算 LSP obligation are discount rates of 3.6% (2025: 3.6%) and 假設包括於2026年3月31日之貼現率 expected salary increase of 3.0% (2025: 3.0%) as at 31 March 3.6%（2025年：3.6%）及預期薪金增長 2026. 率3.0%（2025年：3.0%）。 The</t>
        </is>
      </c>
    </row>
    <row r="10">
      <c r="A10" s="8" t="inlineStr">
        <is>
          <t>Discount Rate</t>
        </is>
      </c>
      <c r="B10" s="8" t="inlineStr">
        <is>
          <t>折現率</t>
        </is>
      </c>
      <c r="C10" s="9" t="n">
        <v>3</v>
      </c>
      <c r="D10" s="10" t="n">
        <v>3</v>
      </c>
      <c r="E10" s="11" t="inlineStr">
        <is>
          <t>3.0%</t>
        </is>
      </c>
      <c r="F10" s="11" t="inlineStr">
        <is>
          <t>High</t>
        </is>
      </c>
      <c r="G10" s="11" t="inlineStr">
        <is>
          <t>PDF p.178 (印刷頁 177)</t>
        </is>
      </c>
      <c r="H10" s="11" t="inlineStr">
        <is>
          <t>重大精算 LSP obligation are discount rates of 3.6% (2025: 3.6%) and 假設包括於2026年3月31日之貼現率 expected salary increase of 3.0% (2025: 3.0%) as at 31 March 3.6%（2025年：3.6%）及預期薪金增長 2026. 率3.0%（2025年：3.0%）。 The sensitivity analysis below have been determin</t>
        </is>
      </c>
    </row>
    <row r="11">
      <c r="A11" s="8" t="inlineStr">
        <is>
          <t>Gross Margin</t>
        </is>
      </c>
      <c r="B11" s="8" t="inlineStr">
        <is>
          <t>毛利率</t>
        </is>
      </c>
      <c r="C11" s="9" t="n">
        <v>31</v>
      </c>
      <c r="D11" s="10" t="n">
        <v>31</v>
      </c>
      <c r="E11" s="11" t="inlineStr">
        <is>
          <t>31.0%</t>
        </is>
      </c>
      <c r="F11" s="11" t="inlineStr">
        <is>
          <t>High</t>
        </is>
      </c>
      <c r="G11" s="11" t="inlineStr">
        <is>
          <t>PDF p.19 (印刷頁 18)</t>
        </is>
      </c>
      <c r="H11" s="11" t="inlineStr">
        <is>
          <t xml:space="preserve">。 margin of 31.0% for FY2026 was slightly lower than that of 31.6% for 2026財政年度的毛利率為31.0%，較2025財 FY2025 by 0.6% due to the increase in sales of other consumer products 政年度的31.6%略低0.6%，乃由於其他消費 which were generally lower in gross profit margin. </t>
        </is>
      </c>
    </row>
    <row r="12">
      <c r="A12" s="8" t="inlineStr">
        <is>
          <t>Gross Margin</t>
        </is>
      </c>
      <c r="B12" s="8" t="inlineStr">
        <is>
          <t>毛利率</t>
        </is>
      </c>
      <c r="C12" s="9" t="n">
        <v>0.6</v>
      </c>
      <c r="D12" s="10" t="n">
        <v>0.6</v>
      </c>
      <c r="E12" s="11" t="inlineStr">
        <is>
          <t>0.6%</t>
        </is>
      </c>
      <c r="F12" s="11" t="inlineStr">
        <is>
          <t>Medium</t>
        </is>
      </c>
      <c r="G12" s="11" t="inlineStr">
        <is>
          <t>PDF p.19 (印刷頁 18)</t>
        </is>
      </c>
      <c r="H12" s="11" t="inlineStr">
        <is>
          <t>f other consumer products 政年度的31.6%略低0.6%，乃由於其他消費 which were generally lower in gross profit margin. More resources will 產品的銷售增加，而該等產品的毛利率一般 be deployed on product development of private label products in this 較低。本公司將投放更多資源於該類別自家 category to enhance the produ</t>
        </is>
      </c>
    </row>
    <row r="13">
      <c r="A13" s="8" t="inlineStr">
        <is>
          <t>Gross Margin</t>
        </is>
      </c>
      <c r="B13" s="8" t="inlineStr">
        <is>
          <t>毛利率</t>
        </is>
      </c>
      <c r="C13" s="9" t="n">
        <v>30.6</v>
      </c>
      <c r="D13" s="10" t="n">
        <v>30.6</v>
      </c>
      <c r="E13" s="11" t="inlineStr">
        <is>
          <t>30.6%</t>
        </is>
      </c>
      <c r="F13" s="12" t="inlineStr">
        <is>
          <t>Low</t>
        </is>
      </c>
      <c r="G13" s="11" t="inlineStr">
        <is>
          <t>PDF p.19 (印刷頁 18)</t>
        </is>
      </c>
      <c r="H13" s="11" t="inlineStr">
        <is>
          <t>prior 2026財政年度的財務業績反映本公司於上市 to the Company’s Listing. 前本集團的表現。 Gross profit and gross profit margin 毛利及毛利率 Gross profit for FY2026 was HK$1,015.4 million, representing an increase 2026財政年度的毛利為1,015.4百萬港元，較 by 30.6% compared to HK$777.6 million for FY2025. The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3" t="n">
        <v>3277151</v>
      </c>
      <c r="D5" s="14" t="n">
        <v>2460478</v>
      </c>
      <c r="E5" s="15">
        <f>IF(ISERROR((C5-D5)/ABS(D5)),"",(C5-D5)/ABS(D5))</f>
        <v>0.33191639998406813</v>
      </c>
      <c r="F5" s="11" t="inlineStr">
        <is>
          <t>PDF p.90 (印刷頁 89)</t>
        </is>
      </c>
      <c r="G5" s="11" t="inlineStr">
        <is>
          <t>Revenue 收入 6 3,277,151 2,460,478</t>
        </is>
      </c>
    </row>
    <row r="6">
      <c r="A6" s="8" t="inlineStr">
        <is>
          <t>Income Statement</t>
        </is>
      </c>
      <c r="B6" s="8" t="inlineStr">
        <is>
          <t>Cost of Sales</t>
        </is>
      </c>
      <c r="C6" s="13" t="n">
        <v>-2261738</v>
      </c>
      <c r="D6" s="14" t="n">
        <v>-1682861</v>
      </c>
      <c r="E6" s="15">
        <f>IF(ISERROR((C6-D6)/ABS(D6)),"",(C6-D6)/ABS(D6))</f>
        <v>-0.3439838465565486</v>
      </c>
      <c r="F6" s="11" t="inlineStr">
        <is>
          <t>PDF p.90 (印刷頁 89)</t>
        </is>
      </c>
      <c r="G6" s="11" t="inlineStr">
        <is>
          <t>Cost of sales 銷售成本 (2,261,738) (1,682,861)</t>
        </is>
      </c>
    </row>
    <row r="7">
      <c r="A7" s="8" t="inlineStr">
        <is>
          <t>Income Statement</t>
        </is>
      </c>
      <c r="B7" s="8" t="inlineStr">
        <is>
          <t>Gross Profit</t>
        </is>
      </c>
      <c r="C7" s="13" t="n">
        <v>1015413</v>
      </c>
      <c r="D7" s="14" t="n">
        <v>777617</v>
      </c>
      <c r="E7" s="15">
        <f>IF(ISERROR((C7-D7)/ABS(D7)),"",(C7-D7)/ABS(D7))</f>
        <v>0.3058009277060558</v>
      </c>
      <c r="F7" s="11" t="inlineStr">
        <is>
          <t>PDF p.90 (印刷頁 89)</t>
        </is>
      </c>
      <c r="G7" s="11" t="inlineStr">
        <is>
          <t>Gross profit 毛利 1,015,413 777,617</t>
        </is>
      </c>
    </row>
    <row r="8">
      <c r="A8" s="8" t="inlineStr">
        <is>
          <t>Income Statement</t>
        </is>
      </c>
      <c r="B8" s="8" t="inlineStr">
        <is>
          <t>Finance Costs</t>
        </is>
      </c>
      <c r="C8" s="13" t="n">
        <v>-41809</v>
      </c>
      <c r="D8" s="14" t="n">
        <v>-51550</v>
      </c>
      <c r="E8" s="15">
        <f>IF(ISERROR((C8-D8)/ABS(D8)),"",(C8-D8)/ABS(D8))</f>
        <v>0.18896217264791465</v>
      </c>
      <c r="F8" s="11" t="inlineStr">
        <is>
          <t>PDF p.90 (印刷頁 89)</t>
        </is>
      </c>
      <c r="G8" s="11" t="inlineStr">
        <is>
          <t>Finance costs 融資成本 9 (41,809) (51,550)</t>
        </is>
      </c>
    </row>
    <row r="9">
      <c r="A9" s="8" t="inlineStr">
        <is>
          <t>Income Statement</t>
        </is>
      </c>
      <c r="B9" s="8" t="inlineStr">
        <is>
          <t>Profit Before Tax</t>
        </is>
      </c>
      <c r="C9" s="13" t="n">
        <v>326787</v>
      </c>
      <c r="D9" s="14" t="n">
        <v>218021</v>
      </c>
      <c r="E9" s="15">
        <f>IF(ISERROR((C9-D9)/ABS(D9)),"",(C9-D9)/ABS(D9))</f>
        <v>0.4988785483967141</v>
      </c>
      <c r="F9" s="11" t="inlineStr">
        <is>
          <t>PDF p.90 (印刷頁 89)</t>
        </is>
      </c>
      <c r="G9" s="11" t="inlineStr">
        <is>
          <t>Profit before tax 除稅前溢利 326,787 218,021</t>
        </is>
      </c>
    </row>
    <row r="10">
      <c r="A10" s="8" t="inlineStr">
        <is>
          <t>Income Statement</t>
        </is>
      </c>
      <c r="B10" s="8" t="inlineStr">
        <is>
          <t>Income Tax</t>
        </is>
      </c>
      <c r="C10" s="13" t="n">
        <v>-57687</v>
      </c>
      <c r="D10" s="14" t="n">
        <v>-47589</v>
      </c>
      <c r="E10" s="15">
        <f>IF(ISERROR((C10-D10)/ABS(D10)),"",(C10-D10)/ABS(D10))</f>
        <v>-0.21219189308453634</v>
      </c>
      <c r="F10" s="11" t="inlineStr">
        <is>
          <t>PDF p.90 (印刷頁 89)</t>
        </is>
      </c>
      <c r="G10" s="11" t="inlineStr">
        <is>
          <t>Income tax expense 所得稅開支 10 (57,687) (47,589)</t>
        </is>
      </c>
    </row>
    <row r="11">
      <c r="A11" s="8" t="inlineStr">
        <is>
          <t>Income Statement</t>
        </is>
      </c>
      <c r="B11" s="8" t="inlineStr">
        <is>
          <t>Profit for the Year</t>
        </is>
      </c>
      <c r="C11" s="13" t="n">
        <v>269100</v>
      </c>
      <c r="D11" s="14" t="n">
        <v>170432</v>
      </c>
      <c r="E11" s="15">
        <f>IF(ISERROR((C11-D11)/ABS(D11)),"",(C11-D11)/ABS(D11))</f>
        <v>0.578928839654525</v>
      </c>
      <c r="F11" s="11" t="inlineStr">
        <is>
          <t>PDF p.90 (印刷頁 89)</t>
        </is>
      </c>
      <c r="G11" s="11" t="inlineStr">
        <is>
          <t>Profit for the year 年內溢利 11 269,100 170,432</t>
        </is>
      </c>
    </row>
    <row r="12">
      <c r="A12" s="8" t="inlineStr">
        <is>
          <t>Balance Sheet</t>
        </is>
      </c>
      <c r="B12" s="8" t="inlineStr">
        <is>
          <t>Property Plant and Equipment</t>
        </is>
      </c>
      <c r="C12" s="13" t="n">
        <v>111465</v>
      </c>
      <c r="D12" s="14" t="n">
        <v>73084</v>
      </c>
      <c r="E12" s="15">
        <f>IF(ISERROR((C12-D12)/ABS(D12)),"",(C12-D12)/ABS(D12))</f>
        <v>0.5251628263368179</v>
      </c>
      <c r="F12" s="11" t="inlineStr">
        <is>
          <t>PDF p.91 (印刷頁 90)</t>
        </is>
      </c>
      <c r="G12" s="11" t="inlineStr">
        <is>
          <t>Property, plant and equipment 物業、廠房及設備 15 111,465 73,084</t>
        </is>
      </c>
    </row>
    <row r="13">
      <c r="A13" s="8" t="inlineStr">
        <is>
          <t>Balance Sheet</t>
        </is>
      </c>
      <c r="B13" s="8" t="inlineStr">
        <is>
          <t>Investment Properties</t>
        </is>
      </c>
      <c r="C13" s="13" t="n">
        <v>145270</v>
      </c>
      <c r="D13" s="14" t="n">
        <v>189470</v>
      </c>
      <c r="E13" s="15">
        <f>IF(ISERROR((C13-D13)/ABS(D13)),"",(C13-D13)/ABS(D13))</f>
        <v>-0.2332823138227688</v>
      </c>
      <c r="F13" s="11" t="inlineStr">
        <is>
          <t>PDF p.91 (印刷頁 90)</t>
        </is>
      </c>
      <c r="G13" s="11" t="inlineStr">
        <is>
          <t>Investment properties 投資物業 16 145,270 189,470</t>
        </is>
      </c>
    </row>
    <row r="14">
      <c r="A14" s="8" t="inlineStr">
        <is>
          <t>Balance Sheet</t>
        </is>
      </c>
      <c r="B14" s="8" t="inlineStr">
        <is>
          <t>Inventories</t>
        </is>
      </c>
      <c r="C14" s="13" t="n">
        <v>421907</v>
      </c>
      <c r="D14" s="14" t="n">
        <v>336038</v>
      </c>
      <c r="E14" s="15">
        <f>IF(ISERROR((C14-D14)/ABS(D14)),"",(C14-D14)/ABS(D14))</f>
        <v>0.2555336003666252</v>
      </c>
      <c r="F14" s="11" t="inlineStr">
        <is>
          <t>PDF p.91 (印刷頁 90)</t>
        </is>
      </c>
      <c r="G14" s="11" t="inlineStr">
        <is>
          <t>Inventories 存貨 18 421,907 336,038</t>
        </is>
      </c>
    </row>
    <row r="15">
      <c r="A15" s="8" t="inlineStr">
        <is>
          <t>Balance Sheet</t>
        </is>
      </c>
      <c r="B15" s="8" t="inlineStr">
        <is>
          <t>Trade Receivables</t>
        </is>
      </c>
      <c r="C15" s="13" t="n">
        <v>31598</v>
      </c>
      <c r="D15" s="14" t="n">
        <v>23996</v>
      </c>
      <c r="E15" s="15">
        <f>IF(ISERROR((C15-D15)/ABS(D15)),"",(C15-D15)/ABS(D15))</f>
        <v>0.31680280046674447</v>
      </c>
      <c r="F15" s="11" t="inlineStr">
        <is>
          <t>PDF p.91 (印刷頁 90)</t>
        </is>
      </c>
      <c r="G15" s="11" t="inlineStr">
        <is>
          <t>Trade and other receivables 貿易及其他應收款項 19 31,598 23,996</t>
        </is>
      </c>
    </row>
    <row r="16">
      <c r="A16" s="8" t="inlineStr">
        <is>
          <t>Balance Sheet</t>
        </is>
      </c>
      <c r="B16" s="8" t="inlineStr">
        <is>
          <t>Cash and Equivalents</t>
        </is>
      </c>
      <c r="C16" s="13" t="n">
        <v>73641</v>
      </c>
      <c r="D16" s="14" t="n">
        <v>61182</v>
      </c>
      <c r="E16" s="15">
        <f>IF(ISERROR((C16-D16)/ABS(D16)),"",(C16-D16)/ABS(D16))</f>
        <v>0.2036383249975483</v>
      </c>
      <c r="F16" s="11" t="inlineStr">
        <is>
          <t>PDF p.91 (印刷頁 90)</t>
        </is>
      </c>
      <c r="G16" s="11" t="inlineStr">
        <is>
          <t>Cash and cash equivalents 現金及現金等價物 21 73,641 61,182</t>
        </is>
      </c>
    </row>
    <row r="17">
      <c r="A17" s="8" t="inlineStr">
        <is>
          <t>Balance Sheet</t>
        </is>
      </c>
      <c r="B17" s="8" t="inlineStr">
        <is>
          <t>Borrowings</t>
        </is>
      </c>
      <c r="C17" s="13" t="n">
        <v>543444</v>
      </c>
      <c r="D17" s="14" t="n">
        <v>651523</v>
      </c>
      <c r="E17" s="15">
        <f>IF(ISERROR((C17-D17)/ABS(D17)),"",(C17-D17)/ABS(D17))</f>
        <v>-0.16588669931836636</v>
      </c>
      <c r="F17" s="11" t="inlineStr">
        <is>
          <t>PDF p.91 (印刷頁 90)</t>
        </is>
      </c>
      <c r="G17" s="11" t="inlineStr">
        <is>
          <t>Bank borrowings 銀行借款 23 543,444 651,523</t>
        </is>
      </c>
    </row>
    <row r="18">
      <c r="A18" s="8" t="inlineStr">
        <is>
          <t>Balance Sheet</t>
        </is>
      </c>
      <c r="B18" s="8" t="inlineStr">
        <is>
          <t>Total Equity</t>
        </is>
      </c>
      <c r="C18" s="13" t="n">
        <v>46118</v>
      </c>
      <c r="D18" s="14" t="n">
        <v>44382</v>
      </c>
      <c r="E18" s="15">
        <f>IF(ISERROR((C18-D18)/ABS(D18)),"",(C18-D18)/ABS(D18))</f>
        <v>0.03911495651390203</v>
      </c>
      <c r="F18" s="11" t="inlineStr">
        <is>
          <t>PDF p.92 (印刷頁 91)</t>
        </is>
      </c>
      <c r="G18" s="11" t="inlineStr">
        <is>
          <t>Total equity 權益總額 46,118 44,382</t>
        </is>
      </c>
    </row>
    <row r="19">
      <c r="A19" s="8" t="inlineStr">
        <is>
          <t>Balance Sheet</t>
        </is>
      </c>
      <c r="B19" s="8" t="inlineStr">
        <is>
          <t>Total Current Assets</t>
        </is>
      </c>
      <c r="C19" s="13" t="n">
        <v>564633</v>
      </c>
      <c r="D19" s="14" t="n">
        <v>436597</v>
      </c>
      <c r="E19" s="15">
        <f>IF(ISERROR((C19-D19)/ABS(D19)),"",(C19-D19)/ABS(D19))</f>
        <v>0.29325900086349654</v>
      </c>
      <c r="F19" s="11" t="inlineStr">
        <is>
          <t>PDF p.91 (印刷頁 90)</t>
        </is>
      </c>
      <c r="G19" s="11" t="inlineStr">
        <is>
          <t>[current assets 區段小計] 564,633 436,597</t>
        </is>
      </c>
    </row>
    <row r="20">
      <c r="A20" s="8" t="inlineStr">
        <is>
          <t>Balance Sheet</t>
        </is>
      </c>
      <c r="B20" s="8" t="inlineStr">
        <is>
          <t>Total Current Liabilities</t>
        </is>
      </c>
      <c r="C20" s="13" t="n">
        <v>977854</v>
      </c>
      <c r="D20" s="14" t="n">
        <v>1080259</v>
      </c>
      <c r="E20" s="15">
        <f>IF(ISERROR((C20-D20)/ABS(D20)),"",(C20-D20)/ABS(D20))</f>
        <v>-0.09479671078880157</v>
      </c>
      <c r="F20" s="11" t="inlineStr">
        <is>
          <t>PDF p.91 (印刷頁 90)</t>
        </is>
      </c>
      <c r="G20" s="11" t="inlineStr">
        <is>
          <t>[current liabilities 區段小計] 977,854 1,080,259</t>
        </is>
      </c>
    </row>
    <row r="21">
      <c r="A21" s="8" t="inlineStr">
        <is>
          <t>Cash Flow</t>
        </is>
      </c>
      <c r="B21" s="8" t="inlineStr">
        <is>
          <t>Operating Cash Flow</t>
        </is>
      </c>
      <c r="C21" s="13" t="n">
        <v>1694939</v>
      </c>
      <c r="D21" s="14" t="n">
        <v>1462415</v>
      </c>
      <c r="E21" s="15">
        <f>IF(ISERROR((C21-D21)/ABS(D21)),"",(C21-D21)/ABS(D21))</f>
        <v>0.15900001025700639</v>
      </c>
      <c r="F21" s="11" t="inlineStr">
        <is>
          <t>PDF p.94 (印刷頁 93)</t>
        </is>
      </c>
      <c r="G21" s="11" t="inlineStr">
        <is>
          <t>NET CASH FROM OPERATING ACTIVITIES 經營活動所得現金淨額 1,694,939 1,462,415</t>
        </is>
      </c>
    </row>
    <row r="22">
      <c r="A22" s="8" t="inlineStr">
        <is>
          <t>Cash Flow</t>
        </is>
      </c>
      <c r="B22" s="8" t="inlineStr">
        <is>
          <t>Capital Expenditure</t>
        </is>
      </c>
      <c r="C22" s="13" t="n">
        <v>-36240</v>
      </c>
      <c r="D22" s="14" t="n">
        <v>-54870</v>
      </c>
      <c r="E22" s="15">
        <f>IF(ISERROR((C22-D22)/ABS(D22)),"",(C22-D22)/ABS(D22))</f>
        <v>0.3395297977036632</v>
      </c>
      <c r="F22" s="11" t="inlineStr">
        <is>
          <t>PDF p.95 (印刷頁 94)</t>
        </is>
      </c>
      <c r="G22" s="11" t="inlineStr">
        <is>
          <t>Purchase of property, plant and equipment 購買物業、廠房及設備 (36,240) (54,870)</t>
        </is>
      </c>
    </row>
    <row r="23">
      <c r="A23" s="8" t="inlineStr">
        <is>
          <t>Cash Flow</t>
        </is>
      </c>
      <c r="B23" s="8" t="inlineStr">
        <is>
          <t>Investing Cash Flow</t>
        </is>
      </c>
      <c r="C23" s="13" t="n">
        <v>-45572</v>
      </c>
      <c r="D23" s="14" t="n">
        <v>-93548</v>
      </c>
      <c r="E23" s="15">
        <f>IF(ISERROR((C23-D23)/ABS(D23)),"",(C23-D23)/ABS(D23))</f>
        <v>0.5128490186855945</v>
      </c>
      <c r="F23" s="11" t="inlineStr">
        <is>
          <t>PDF p.95 (印刷頁 94)</t>
        </is>
      </c>
      <c r="G23" s="11" t="inlineStr">
        <is>
          <t>NET CASH USED IN INVESTING ACTIVITIES 投資活動所用現金淨額 (45,572) (93,548)</t>
        </is>
      </c>
    </row>
    <row r="24">
      <c r="A24" s="8" t="inlineStr">
        <is>
          <t>Cash Flow</t>
        </is>
      </c>
      <c r="B24" s="8" t="inlineStr">
        <is>
          <t>Financing Cash Flow</t>
        </is>
      </c>
      <c r="C24" s="13" t="n">
        <v>-1544687</v>
      </c>
      <c r="D24" s="14" t="n">
        <v>-1350431</v>
      </c>
      <c r="E24" s="15">
        <f>IF(ISERROR((C24-D24)/ABS(D24)),"",(C24-D24)/ABS(D24))</f>
        <v>-0.14384740871618024</v>
      </c>
      <c r="F24" s="11" t="inlineStr">
        <is>
          <t>PDF p.95 (印刷頁 94)</t>
        </is>
      </c>
      <c r="G24" s="11" t="inlineStr">
        <is>
          <t>NET CASH USED IN FINANCING ACTIVITIES 融資活動所用現金淨額 (1,544,687) (1,350,431)</t>
        </is>
      </c>
    </row>
    <row r="26">
      <c r="A26"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6">
        <f>IF(ISERROR(INDEX('Financials 財務數據'!$C$5:$C$24,MATCH("Gross Profit",'Financials 財務數據'!$B$5:$B$24,0))/INDEX('Financials 財務數據'!$C$5:$C$24,MATCH("Revenue",'Financials 財務數據'!$B$5:$B$24,0))),"n/a",INDEX('Financials 財務數據'!$C$5:$C$24,MATCH("Gross Profit",'Financials 財務數據'!$B$5:$B$24,0))/INDEX('Financials 財務數據'!$C$5:$C$24,MATCH("Revenue",'Financials 財務數據'!$B$5:$B$24,0)))</f>
        <v>0.30984626585714237</v>
      </c>
      <c r="C5" s="16">
        <f>IF(ISERROR(INDEX('Financials 財務數據'!$D$5:$D$24,MATCH("Gross Profit",'Financials 財務數據'!$B$5:$B$24,0))/INDEX('Financials 財務數據'!$D$5:$D$24,MATCH("Revenue",'Financials 財務數據'!$B$5:$B$24,0))),"n/a",INDEX('Financials 財務數據'!$D$5:$D$24,MATCH("Gross Profit",'Financials 財務數據'!$B$5:$B$24,0))/INDEX('Financials 財務數據'!$D$5:$D$24,MATCH("Revenue",'Financials 財務數據'!$B$5:$B$24,0)))</f>
        <v>0.3160430615514546</v>
      </c>
      <c r="D5" s="2" t="inlineStr">
        <is>
          <t>毛利 ÷ 收入</t>
        </is>
      </c>
    </row>
    <row r="6">
      <c r="A6" s="4" t="inlineStr">
        <is>
          <t>Net Margin 淨利率</t>
        </is>
      </c>
      <c r="B6" s="16">
        <f>IF(ISERROR(INDEX('Financials 財務數據'!$C$5:$C$24,MATCH("Profit for the Year",'Financials 財務數據'!$B$5:$B$24,0))/INDEX('Financials 財務數據'!$C$5:$C$24,MATCH("Revenue",'Financials 財務數據'!$B$5:$B$24,0))),"n/a",INDEX('Financials 財務數據'!$C$5:$C$24,MATCH("Profit for the Year",'Financials 財務數據'!$B$5:$B$24,0))/INDEX('Financials 財務數據'!$C$5:$C$24,MATCH("Revenue",'Financials 財務數據'!$B$5:$B$24,0)))</f>
        <v>0.08211400695299056</v>
      </c>
      <c r="C6" s="16">
        <f>IF(ISERROR(INDEX('Financials 財務數據'!$D$5:$D$24,MATCH("Profit for the Year",'Financials 財務數據'!$B$5:$B$24,0))/INDEX('Financials 財務數據'!$D$5:$D$24,MATCH("Revenue",'Financials 財務數據'!$B$5:$B$24,0))),"n/a",INDEX('Financials 財務數據'!$D$5:$D$24,MATCH("Profit for the Year",'Financials 財務數據'!$B$5:$B$24,0))/INDEX('Financials 財務數據'!$D$5:$D$24,MATCH("Revenue",'Financials 財務數據'!$B$5:$B$24,0)))</f>
        <v>0.06926784145194552</v>
      </c>
      <c r="D6" s="2" t="inlineStr">
        <is>
          <t>年內溢利 ÷ 收入</t>
        </is>
      </c>
    </row>
    <row r="7">
      <c r="A7" s="4" t="inlineStr">
        <is>
          <t>Current Ratio 流動比率</t>
        </is>
      </c>
      <c r="B7" s="17">
        <f>IF(ISERROR(INDEX('Financials 財務數據'!$C$5:$C$24,MATCH("Total Current Assets",'Financials 財務數據'!$B$5:$B$24,0))/INDEX('Financials 財務數據'!$C$5:$C$24,MATCH("Total Current Liabilities",'Financials 財務數據'!$B$5:$B$24,0))),"n/a",INDEX('Financials 財務數據'!$C$5:$C$24,MATCH("Total Current Assets",'Financials 財務數據'!$B$5:$B$24,0))/INDEX('Financials 財務數據'!$C$5:$C$24,MATCH("Total Current Liabilities",'Financials 財務數據'!$B$5:$B$24,0)))</f>
        <v>0.5774205556248684</v>
      </c>
      <c r="C7" s="17">
        <f>IF(ISERROR(INDEX('Financials 財務數據'!$D$5:$D$24,MATCH("Total Current Assets",'Financials 財務數據'!$B$5:$B$24,0))/INDEX('Financials 財務數據'!$D$5:$D$24,MATCH("Total Current Liabilities",'Financials 財務數據'!$B$5:$B$24,0))),"n/a",INDEX('Financials 財務數據'!$D$5:$D$24,MATCH("Total Current Assets",'Financials 財務數據'!$B$5:$B$24,0))/INDEX('Financials 財務數據'!$D$5:$D$24,MATCH("Total Current Liabilities",'Financials 財務數據'!$B$5:$B$24,0)))</f>
        <v>0.40415955803191644</v>
      </c>
      <c r="D7" s="2" t="inlineStr">
        <is>
          <t>流動資產 ÷ 流動負債</t>
        </is>
      </c>
    </row>
    <row r="8">
      <c r="A8" s="4" t="inlineStr">
        <is>
          <t>Debt / Equity 負債權益比</t>
        </is>
      </c>
      <c r="B8" s="17" t="str">
        <f>IF(ISERROR(INDEX('Financials 財務數據'!$C$5:$C$24,MATCH("Total Liabilities",'Financials 財務數據'!$B$5:$B$24,0))/INDEX('Financials 財務數據'!$C$5:$C$24,MATCH("Total Equity",'Financials 財務數據'!$B$5:$B$24,0))),"n/a",INDEX('Financials 財務數據'!$C$5:$C$24,MATCH("Total Liabilities",'Financials 財務數據'!$B$5:$B$24,0))/INDEX('Financials 財務數據'!$C$5:$C$24,MATCH("Total Equity",'Financials 財務數據'!$B$5:$B$24,0)))</f>
        <v>n/a</v>
      </c>
      <c r="C8" s="17" t="str">
        <f>IF(ISERROR(INDEX('Financials 財務數據'!$D$5:$D$24,MATCH("Total Liabilities",'Financials 財務數據'!$B$5:$B$24,0))/INDEX('Financials 財務數據'!$D$5:$D$24,MATCH("Total Equity",'Financials 財務數據'!$B$5:$B$24,0))),"n/a",INDEX('Financials 財務數據'!$D$5:$D$24,MATCH("Total Liabilities",'Financials 財務數據'!$B$5:$B$24,0))/INDEX('Financials 財務數據'!$D$5:$D$24,MATCH("Total Equity",'Financials 財務數據'!$B$5:$B$24,0)))</f>
        <v>n/a</v>
      </c>
      <c r="D8" s="2" t="inlineStr">
        <is>
          <t>總負債 ÷ 總權益</t>
        </is>
      </c>
    </row>
    <row r="9">
      <c r="A9" s="4" t="inlineStr">
        <is>
          <t>Goodwill / Total Assets</t>
        </is>
      </c>
      <c r="B9" s="16" t="str">
        <f>IF(ISERROR(INDEX('Financials 財務數據'!$C$5:$C$24,MATCH("Goodwill",'Financials 財務數據'!$B$5:$B$24,0))/INDEX('Financials 財務數據'!$C$5:$C$24,MATCH("Total Assets",'Financials 財務數據'!$B$5:$B$24,0))),"n/a",INDEX('Financials 財務數據'!$C$5:$C$24,MATCH("Goodwill",'Financials 財務數據'!$B$5:$B$24,0))/INDEX('Financials 財務數據'!$C$5:$C$24,MATCH("Total Assets",'Financials 財務數據'!$B$5:$B$24,0)))</f>
        <v>n/a</v>
      </c>
      <c r="C9" s="16" t="str">
        <f>IF(ISERROR(INDEX('Financials 財務數據'!$D$5:$D$24,MATCH("Goodwill",'Financials 財務數據'!$B$5:$B$24,0))/INDEX('Financials 財務數據'!$D$5:$D$24,MATCH("Total Assets",'Financials 財務數據'!$B$5:$B$24,0))),"n/a",INDEX('Financials 財務數據'!$D$5:$D$24,MATCH("Goodwill",'Financials 財務數據'!$B$5:$B$24,0))/INDEX('Financials 財務數據'!$D$5:$D$24,MATCH("Total Assets",'Financials 財務數據'!$B$5:$B$24,0)))</f>
        <v>n/a</v>
      </c>
      <c r="D9" s="2" t="inlineStr">
        <is>
          <t>商譽佔總資產比重 — 減值風險指標</t>
        </is>
      </c>
    </row>
    <row r="10">
      <c r="A10" s="4" t="inlineStr">
        <is>
          <t>Intangibles / Total Assets</t>
        </is>
      </c>
      <c r="B10" s="16" t="str">
        <f>IF(ISERROR(INDEX('Financials 財務數據'!$C$5:$C$24,MATCH("Intangible Assets",'Financials 財務數據'!$B$5:$B$24,0))/INDEX('Financials 財務數據'!$C$5:$C$24,MATCH("Total Assets",'Financials 財務數據'!$B$5:$B$24,0))),"n/a",INDEX('Financials 財務數據'!$C$5:$C$24,MATCH("Intangible Assets",'Financials 財務數據'!$B$5:$B$24,0))/INDEX('Financials 財務數據'!$C$5:$C$24,MATCH("Total Assets",'Financials 財務數據'!$B$5:$B$24,0)))</f>
        <v>n/a</v>
      </c>
      <c r="C10" s="16" t="str">
        <f>IF(ISERROR(INDEX('Financials 財務數據'!$D$5:$D$24,MATCH("Intangible Assets",'Financials 財務數據'!$B$5:$B$24,0))/INDEX('Financials 財務數據'!$D$5:$D$24,MATCH("Total Assets",'Financials 財務數據'!$B$5:$B$24,0))),"n/a",INDEX('Financials 財務數據'!$D$5:$D$24,MATCH("Intangible Assets",'Financials 財務數據'!$B$5:$B$24,0))/INDEX('Financials 財務數據'!$D$5:$D$24,MATCH("Total Assets",'Financials 財務數據'!$B$5:$B$24,0)))</f>
        <v>n/a</v>
      </c>
      <c r="D10" s="2" t="inlineStr">
        <is>
          <t>無形資產佔比</t>
        </is>
      </c>
    </row>
    <row r="11">
      <c r="A11" s="4" t="inlineStr">
        <is>
          <t>ROE 股本回報率</t>
        </is>
      </c>
      <c r="B11" s="16">
        <f>IF(ISERROR(INDEX('Financials 財務數據'!$C$5:$C$24,MATCH("Profit for the Year",'Financials 財務數據'!$B$5:$B$24,0))/INDEX('Financials 財務數據'!$C$5:$C$24,MATCH("Total Equity",'Financials 財務數據'!$B$5:$B$24,0))),"n/a",INDEX('Financials 財務數據'!$C$5:$C$24,MATCH("Profit for the Year",'Financials 財務數據'!$B$5:$B$24,0))/INDEX('Financials 財務數據'!$C$5:$C$24,MATCH("Total Equity",'Financials 財務數據'!$B$5:$B$24,0)))</f>
        <v>5.83503187475606</v>
      </c>
      <c r="C11" s="16">
        <f>IF(ISERROR(INDEX('Financials 財務數據'!$D$5:$D$24,MATCH("Profit for the Year",'Financials 財務數據'!$B$5:$B$24,0))/INDEX('Financials 財務數據'!$D$5:$D$24,MATCH("Total Equity",'Financials 財務數據'!$B$5:$B$24,0))),"n/a",INDEX('Financials 財務數據'!$D$5:$D$24,MATCH("Profit for the Year",'Financials 財務數據'!$B$5:$B$24,0))/INDEX('Financials 財務數據'!$D$5:$D$24,MATCH("Total Equity",'Financials 財務數據'!$B$5:$B$24,0)))</f>
        <v>3.840115362083728</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8" t="inlineStr">
        <is>
          <t>Item</t>
        </is>
      </c>
      <c r="B4" s="18" t="inlineStr">
        <is>
          <t>Prior</t>
        </is>
      </c>
      <c r="C4" s="18" t="inlineStr">
        <is>
          <t>Current</t>
        </is>
      </c>
    </row>
    <row r="5">
      <c r="A5" s="4" t="inlineStr">
        <is>
          <t>Revenue</t>
        </is>
      </c>
      <c r="B5" s="19" t="n">
        <v>2460478</v>
      </c>
      <c r="C5" s="19" t="n">
        <v>3277151</v>
      </c>
    </row>
    <row r="6">
      <c r="A6" s="4" t="inlineStr">
        <is>
          <t>Gross Profit</t>
        </is>
      </c>
      <c r="B6" s="19" t="n">
        <v>777617</v>
      </c>
      <c r="C6" s="19" t="n">
        <v>1015413</v>
      </c>
    </row>
    <row r="7">
      <c r="A7" s="4" t="inlineStr">
        <is>
          <t>Profit Before Tax</t>
        </is>
      </c>
      <c r="B7" s="19" t="n">
        <v>218021</v>
      </c>
      <c r="C7" s="19" t="n">
        <v>326787</v>
      </c>
    </row>
    <row r="8">
      <c r="A8" s="4" t="inlineStr">
        <is>
          <t>Profit for the Year</t>
        </is>
      </c>
      <c r="B8" s="19" t="n">
        <v>170432</v>
      </c>
      <c r="C8" s="19" t="n">
        <v>269100</v>
      </c>
    </row>
    <row r="9">
      <c r="A9" s="4" t="inlineStr">
        <is>
          <t>Total Equity</t>
        </is>
      </c>
      <c r="B9" s="19" t="n">
        <v>44382</v>
      </c>
      <c r="C9" s="19" t="n">
        <v>46118</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83"/>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20" t="inlineStr">
        <is>
          <t>high</t>
        </is>
      </c>
      <c r="D4" s="11" t="inlineStr">
        <is>
          <t>valuation technique</t>
        </is>
      </c>
      <c r="E4" s="11" t="inlineStr">
        <is>
          <t>PDF p.154 (印刷頁 153)</t>
        </is>
      </c>
      <c r="F4" s="11" t="inlineStr">
        <is>
          <t>r values of the relevant properties, the 在釐定相關物業的公平值時，本集團管 management of the Group would determine the appropriate 理層將釐定適用的估值技術及公平值計 valuation techniques and inputs for fair value measurements. 量所需的輸入數據。 In estimating the fair values of the properties, the highest and 在估算物業的公平值時，物業的最高價 best use of the properties is their current use. 值及最佳用途為其現行用途。 Lung Fung Group Holdings Limited / Annual Report 2025/2026 153 龍豐集團控股有限公司 / 二零二五╱二零二六年年報</t>
        </is>
      </c>
    </row>
    <row r="5">
      <c r="A5" s="8" t="inlineStr">
        <is>
          <t>Fair Value Measurement</t>
        </is>
      </c>
      <c r="B5" s="8" t="inlineStr">
        <is>
          <t>公允價值計量</t>
        </is>
      </c>
      <c r="C5" s="20" t="inlineStr">
        <is>
          <t>high</t>
        </is>
      </c>
      <c r="D5" s="11" t="inlineStr">
        <is>
          <t>unobservable input</t>
        </is>
      </c>
      <c r="E5" s="11" t="inlineStr">
        <is>
          <t>PDF p.155 (印刷頁 154)</t>
        </is>
      </c>
      <c r="F5" s="11" t="inlineStr">
        <is>
          <t>the valuation techniques used in 下表載列釐定投資物業公平值所用估值 the determination of fair values for investment properties and 技術及估值模型所用不可觀察輸入數據。 unobservable inputs used in the valuation models. Relationship of Valuation Significant Range of significant unobservable inputs technique(s) unobservable input(s) unobservable input(s) to fair value 重大不可觀察 不可觀察輸入數據 估值技術 重大不可觀察輸入數據 輸入數據範圍 與公平值的關係 Retail shop units located in Income capitalization Capitalization rate, 3.55% to 3.80% An increase in the Hong Kong approach taking into account the (202</t>
        </is>
      </c>
    </row>
    <row r="6">
      <c r="A6" s="8" t="inlineStr">
        <is>
          <t>Fair Value Measurement</t>
        </is>
      </c>
      <c r="B6" s="8" t="inlineStr">
        <is>
          <t>公允價值計量</t>
        </is>
      </c>
      <c r="C6" s="20" t="inlineStr">
        <is>
          <t>high</t>
        </is>
      </c>
      <c r="D6" s="11" t="inlineStr">
        <is>
          <t>unobservable input</t>
        </is>
      </c>
      <c r="E6" s="11" t="inlineStr">
        <is>
          <t>PDF p.156 (印刷頁 155)</t>
        </is>
      </c>
      <c r="F6" s="11" t="inlineStr">
        <is>
          <t>ch 2026 截至2026年3月31日止年度 16. INVESTMENT PROPERTIES 16. 投資物業（續） (Continued) Relationship of Valuation Significant Range of significant unobservable inputs technique(s) unobservable input(s) unobservable input(s) to fair value 重大不可觀察 不可觀察輸入數據 估值技術 重大不可觀察輸入數據 輸入數據範圍 與公平值的關係 Residential units located in Direct comparison Market unit rate, taking HK$3,950 to HK$4,399 An increase in the Hong Kong approach into account the (2025: HK$3,768 to market unit rate used 位於香港的住宅單位 直接比較法 recent transaction HK$4,146) would result in an prices fo</t>
        </is>
      </c>
    </row>
    <row r="7">
      <c r="A7" s="8" t="inlineStr">
        <is>
          <t>Fair Value Measurement</t>
        </is>
      </c>
      <c r="B7" s="8" t="inlineStr">
        <is>
          <t>公允價值計量</t>
        </is>
      </c>
      <c r="C7" s="20" t="inlineStr">
        <is>
          <t>high</t>
        </is>
      </c>
      <c r="D7" s="11" t="inlineStr">
        <is>
          <t>level 3</t>
        </is>
      </c>
      <c r="E7" s="11" t="inlineStr">
        <is>
          <t>PDF p.157 (印刷頁 156)</t>
        </is>
      </c>
      <c r="F7" s="11" t="inlineStr">
        <is>
          <t>mparables and the 23港元至24港元） 亦然。 property 每月市場租金，經考慮 可資比較物業與該物 業位置及個別因素（例 如朝向及面積）的差 異 The fair value measurement is categorized into Level 3 fair value 公平值計量歸類於第三級公平值層級。 hierarchy. There were no transfers into or out of Level 3 during 截至2026及2025年3月31日止年度， the years ended 31 March 2026 and 2025. 並無轉入或轉出第三級。 As at 31 March 2026, investment properties amounting to 於2 0 2 6 年3 月3 1 日，投資物業 HK$144,410,000 (2025: HK$187,920,000) have been pledged 1 4 4 , 4 1 0 , 0 0 0 港元（2 0 2 5 年： to secure bank facilities granted to the Group. 187,</t>
        </is>
      </c>
    </row>
    <row r="8">
      <c r="A8" s="8" t="inlineStr">
        <is>
          <t>Impairment Testing</t>
        </is>
      </c>
      <c r="B8" s="8" t="inlineStr">
        <is>
          <t>減值測試</t>
        </is>
      </c>
      <c r="C8" s="20" t="inlineStr">
        <is>
          <t>high</t>
        </is>
      </c>
      <c r="D8" s="11" t="inlineStr">
        <is>
          <t>impairment loss</t>
        </is>
      </c>
      <c r="E8" s="11" t="inlineStr">
        <is>
          <t>PDF p.111 (印刷頁 110)</t>
        </is>
      </c>
      <c r="F8" s="11" t="inlineStr">
        <is>
          <t>air value model, right-of-use assets 量者外，使用權資產按成本減任何累計 are measured at cost, less any accumulated depreciation and 折舊及減值虧損計量，並就任何租賃負 impairment losses, and adjusted for any remeasurement of lease 債的重新計量進行調整。 liabilities. Right-of-use assets are depreciated on a straight-line basis over 使用權資產按其估計可使用年期及租賃 the shorter of its estimated useful life and the lease term. 期（以較短者為準）以直線法折舊。 The Group presents right-of-use assets that do not meet the 本集團於綜合財務狀況表中將不符合投 definition of investment property as a separate line item on the 資物業定義的使</t>
        </is>
      </c>
    </row>
    <row r="9">
      <c r="A9" s="8" t="inlineStr">
        <is>
          <t>Impairment Testing</t>
        </is>
      </c>
      <c r="B9" s="8" t="inlineStr">
        <is>
          <t>減值測試</t>
        </is>
      </c>
      <c r="C9" s="20" t="inlineStr">
        <is>
          <t>high</t>
        </is>
      </c>
      <c r="D9" s="11" t="inlineStr">
        <is>
          <t>impairment loss</t>
        </is>
      </c>
      <c r="E9" s="11" t="inlineStr">
        <is>
          <t>PDF p.120 (印刷頁 119)</t>
        </is>
      </c>
      <c r="F9" s="11" t="inlineStr">
        <is>
          <t>d statement of financial position at 累計減值虧損（如有）於綜合財務狀況表 cost less subsequent accumulated depreciation and subsequent 列賬。 accumulated impairment losses, if any. When the Group makes payments for ownership interests of 當本集團就物業所有權權益（包括租賃 properties which includes both leasehold land and building 土地及樓宇部分）付款時，全部代價按 elements, the entire consideration is allocated between the 初始確認時的相對公平值比例於租賃土 leasehold land and the building elements in proportion to 地及樓宇部分之間分配。倘相關付款能 the relative fair values at initial recognition. To the extent the</t>
        </is>
      </c>
    </row>
    <row r="10">
      <c r="A10" s="8" t="inlineStr">
        <is>
          <t>Impairment Testing</t>
        </is>
      </c>
      <c r="B10" s="8" t="inlineStr">
        <is>
          <t>減值測試</t>
        </is>
      </c>
      <c r="C10" s="20" t="inlineStr">
        <is>
          <t>high</t>
        </is>
      </c>
      <c r="D10" s="11" t="inlineStr">
        <is>
          <t>impairment loss</t>
        </is>
      </c>
      <c r="E10" s="11" t="inlineStr">
        <is>
          <t>PDF p.122 (印刷頁 121)</t>
        </is>
      </c>
      <c r="F10" s="11" t="inlineStr">
        <is>
          <t>以及使用權資產的賬面值，以確 right-of-use assets to determine whether there is any indication 定有否任何跡象顯示該等資產出現減值 that these assets have suffered an impairment loss. If any such 虧損。倘存在任何有關跡象，則估計相 indication exists, the recoverable amount of the relevant asset 關資產的可收回金額，以釐定減值虧損 is estimated in order to determine the extent of the impairment （如有）的程度。 loss (if any). The recoverable amount of property, plant and equipment 物業、廠房及設備以及使用權資產的可 and right-of-use assets are estimated individually. When it is 收回金額乃按個別估計。倘不能個別估 not possible to estimate the</t>
        </is>
      </c>
    </row>
    <row r="11">
      <c r="A11" s="8" t="inlineStr">
        <is>
          <t>Impairment Testing</t>
        </is>
      </c>
      <c r="B11" s="8" t="inlineStr">
        <is>
          <t>減值測試</t>
        </is>
      </c>
      <c r="C11" s="20" t="inlineStr">
        <is>
          <t>high</t>
        </is>
      </c>
      <c r="D11" s="11" t="inlineStr">
        <is>
          <t>impairment loss</t>
        </is>
      </c>
      <c r="E11" s="11" t="inlineStr">
        <is>
          <t>PDF p.123 (印刷頁 122)</t>
        </is>
      </c>
      <c r="F11" s="11" t="inlineStr">
        <is>
          <t>產生單位的可收回金額。 generating units, with the recoverable amount of the group 於分配減值虧損時，首先分配減值虧損 of cash-generating units. In allocating the impairment loss, the 以減少任何商譽的賬面值（如適用），然 impairment loss is allocated first to reduce the carrying amount 後按比例根據該單位或該組現金產生單 of any goodwill (if applicable) and then to the other assets on 位各資產的賬面值分配至其他資產。資 a pro-rata basis based on the carrying amount of each asset 產賬面值不得減少至低於其公平值減出 in the unit or the group of cash-generating units. The carrying 售成本（如可計量）、其使用價值（如可 amount of an asset is not reduced</t>
        </is>
      </c>
    </row>
    <row r="12">
      <c r="A12" s="8" t="inlineStr">
        <is>
          <t>Intangible Assets &amp; Goodwill</t>
        </is>
      </c>
      <c r="B12" s="8" t="inlineStr">
        <is>
          <t>無形資產及商譽</t>
        </is>
      </c>
      <c r="C12" s="20" t="inlineStr">
        <is>
          <t>high</t>
        </is>
      </c>
      <c r="D12" s="11" t="inlineStr">
        <is>
          <t>goodwill</t>
        </is>
      </c>
      <c r="E12" s="11" t="inlineStr">
        <is>
          <t>PDF p.109 (印刷頁 108)</t>
        </is>
      </c>
      <c r="F12" s="11" t="inlineStr">
        <is>
          <t>的資產淨值乃按控制方的現有 existing book values from the controlling party’s perspective. No 賬面值合併入賬。共同控制合併時，不 amount is recognized in respect of goodwill or bargain purchase 確認任何商譽或議價購買收益金額。 gain at the time of common control combination. Expenditure incurred in relation to a common control 就共同控制合併產生且須採用合併會計 combination that is to be accounted for by using merger 處理入賬之支出會於產生期間確認為開 accounting is recognized as an expense in the period in which it 支。 is incurred. The consolidated statement of profit or loss and other 綜合損益及其他全面收益表包含各合併 compreh</t>
        </is>
      </c>
    </row>
    <row r="13">
      <c r="A13" s="8" t="inlineStr">
        <is>
          <t>Intangible Assets &amp; Goodwill</t>
        </is>
      </c>
      <c r="B13" s="8" t="inlineStr">
        <is>
          <t>無形資產及商譽</t>
        </is>
      </c>
      <c r="C13" s="20" t="inlineStr">
        <is>
          <t>high</t>
        </is>
      </c>
      <c r="D13" s="11" t="inlineStr">
        <is>
          <t>useful life</t>
        </is>
      </c>
      <c r="E13" s="11" t="inlineStr">
        <is>
          <t>PDF p.111 (印刷頁 110)</t>
        </is>
      </c>
      <c r="F13" s="11" t="inlineStr">
        <is>
          <t>量進行調整。 liabilities. Right-of-use assets are depreciated on a straight-line basis over 使用權資產按其估計可使用年期及租賃 the shorter of its estimated useful life and the lease term. 期（以較短者為準）以直線法折舊。 The Group presents right-of-use assets that do not meet the 本集團於綜合財務狀況表中將不符合投 definition of investment property as a separate line item on the 資物業定義的使用權資產作為獨立項目 consolidated statement of financial position. Right-of-use assets 呈列。符合投資物業定義的使用權資產 that meet the definition of investment property is presented 在「投資物業」中呈列。 within “investment properties”. L</t>
        </is>
      </c>
    </row>
    <row r="14">
      <c r="A14" s="8" t="inlineStr">
        <is>
          <t>Intangible Assets &amp; Goodwill</t>
        </is>
      </c>
      <c r="B14" s="8" t="inlineStr">
        <is>
          <t>無形資產及商譽</t>
        </is>
      </c>
      <c r="C14" s="20" t="inlineStr">
        <is>
          <t>high</t>
        </is>
      </c>
      <c r="D14" s="11" t="inlineStr">
        <is>
          <t>可使用年期</t>
        </is>
      </c>
      <c r="E14" s="11" t="inlineStr">
        <is>
          <t>PDF p.120 (印刷頁 119)</t>
        </is>
      </c>
      <c r="F14" s="11" t="inlineStr">
        <is>
          <t>cognized so as to write off the cost of assets 折舊乃按直線法確認，以在資產的估計 less their residual values over their estimated useful lives, using 可使用年期內撇銷其成本減其剩餘價 the straight-line method. The estimated useful lives, residual 值。估計可使用年期、剩餘價值及折舊 values and depreciation method are reviewed at the end of each 方法會於各報告期末檢討，而任何估計 reporting period, with the effect of any changes in estimate 之變動影響按前瞻基準入賬。 accounted for on a prospective basis. An item of property, plant and equipment is derecognized upon 物業、廠房及設備項目於出售時或在預 disposal or when no future e</t>
        </is>
      </c>
    </row>
    <row r="15">
      <c r="A15" s="8" t="inlineStr">
        <is>
          <t>Intangible Assets &amp; Goodwill</t>
        </is>
      </c>
      <c r="B15" s="8" t="inlineStr">
        <is>
          <t>無形資產及商譽</t>
        </is>
      </c>
      <c r="C15" s="20" t="inlineStr">
        <is>
          <t>high</t>
        </is>
      </c>
      <c r="D15" s="11" t="inlineStr">
        <is>
          <t>goodwill</t>
        </is>
      </c>
      <c r="E15" s="11" t="inlineStr">
        <is>
          <t>PDF p.123 (印刷頁 122)</t>
        </is>
      </c>
      <c r="F15" s="11" t="inlineStr">
        <is>
          <t>he impairment loss, the 以減少任何商譽的賬面值（如適用），然 impairment loss is allocated first to reduce the carrying amount 後按比例根據該單位或該組現金產生單 of any goodwill (if applicable) and then to the other assets on 位各資產的賬面值分配至其他資產。資 a pro-rata basis based on the carrying amount of each asset 產賬面值不得減少至低於其公平值減出 in the unit or the group of cash-generating units. The carrying 售成本（如可計量）、其使用價值（如可 amount of an asset is not reduced below the highest of its fair 釐定）及零之中的最高值。原應分配至 value less costs of disposal (if measurable), its value in use (if 資產的減值虧損金額按比例分配至</t>
        </is>
      </c>
    </row>
    <row r="16">
      <c r="A16" s="8" t="inlineStr">
        <is>
          <t>Intangible Assets &amp; Goodwill</t>
        </is>
      </c>
      <c r="B16" s="8" t="inlineStr">
        <is>
          <t>無形資產及商譽</t>
        </is>
      </c>
      <c r="C16" s="20" t="inlineStr">
        <is>
          <t>high</t>
        </is>
      </c>
      <c r="D16" s="11" t="inlineStr">
        <is>
          <t>攤銷</t>
        </is>
      </c>
      <c r="E16" s="11" t="inlineStr">
        <is>
          <t>PDF p.126 (印刷頁 125)</t>
        </is>
      </c>
      <c r="F16" s="11" t="inlineStr">
        <is>
          <t>interest method is a method of calculating the 實際利率法為相關期間計算金融資產或 amortized cost of a financial asset or financial liability and 金融負債攤銷成本以及分配利息收入及 of allocating interest income and interest expense over the 利息開支的方法。實際利率為於初始確 relevant period. The effective interest rate is the rate that exactly 認時將估計未來現金收入及付款（包括 discounts estimated future cash receipts and payments (including 構成實際利率組成部分的所有已付或已 all fees and points paid or received that form an integral part of 收費用及點數、交易成本及其他溢價或 the effective interest rate, transaction costs and o</t>
        </is>
      </c>
    </row>
    <row r="17">
      <c r="A17" s="8" t="inlineStr">
        <is>
          <t>Intangible Assets &amp; Goodwill</t>
        </is>
      </c>
      <c r="B17" s="8" t="inlineStr">
        <is>
          <t>無形資產及商譽</t>
        </is>
      </c>
      <c r="C17" s="20" t="inlineStr">
        <is>
          <t>high</t>
        </is>
      </c>
      <c r="D17" s="11" t="inlineStr">
        <is>
          <t>攤銷</t>
        </is>
      </c>
      <c r="E17" s="11" t="inlineStr">
        <is>
          <t>PDF p.127 (印刷頁 126)</t>
        </is>
      </c>
      <c r="F17" s="11" t="inlineStr">
        <is>
          <t>MATION (Continued) Financial instruments 金融工具（續） (Continued) Financial assets (Continued) 金融資產（續） Amortized cost and interest income 攤銷成本及利息收入 Interest income is recognized using the effective interest method 就其後按攤銷成本計量的金融資產而 for financial assets measured subsequently at amortized cost. 言，利息收入採用實際利率法確認。利 Interest income is calculated by applying the effective interest 息收入透過對金融資產的賬面總值應用 rate to the gross carrying amount of a financial asset, except for 實際利率計算，惟其後出現信貸減值的 financial assets that have subsequently become credit-impai</t>
        </is>
      </c>
    </row>
    <row r="18">
      <c r="A18" s="8" t="inlineStr">
        <is>
          <t>Intangible Assets &amp; Goodwill</t>
        </is>
      </c>
      <c r="B18" s="8" t="inlineStr">
        <is>
          <t>無形資產及商譽</t>
        </is>
      </c>
      <c r="C18" s="20" t="inlineStr">
        <is>
          <t>high</t>
        </is>
      </c>
      <c r="D18" s="11" t="inlineStr">
        <is>
          <t>攤銷</t>
        </is>
      </c>
      <c r="E18" s="11" t="inlineStr">
        <is>
          <t>PDF p.134 (印刷頁 133)</t>
        </is>
      </c>
      <c r="F18" s="11" t="inlineStr">
        <is>
          <t>credit-impaired, in which case interest income is calculated 貸減值，在該情況下，利息收入 based on amortized cost of the financial asset. 乃根據金融資產的攤銷成本計算。 The Group recognizes an impairment gain or loss in profit 本集團透過虧損撥備賬調整所有 or loss for all financial instruments by adjusting their 金融工具之賬面值，以於損益中 carrying amount through a loss allowance account. 確認彼等之減值收益或虧損。 Lung Fung Group Holdings Limited / Annual Report 2025/2026 133 龍豐集團控股有限公司 / 二零二五╱二零二六年年報</t>
        </is>
      </c>
    </row>
    <row r="19">
      <c r="A19" s="8" t="inlineStr">
        <is>
          <t>Intangible Assets &amp; Goodwill</t>
        </is>
      </c>
      <c r="B19" s="8" t="inlineStr">
        <is>
          <t>無形資產及商譽</t>
        </is>
      </c>
      <c r="C19" s="20" t="inlineStr">
        <is>
          <t>high</t>
        </is>
      </c>
      <c r="D19" s="11" t="inlineStr">
        <is>
          <t>攤銷</t>
        </is>
      </c>
      <c r="E19" s="11" t="inlineStr">
        <is>
          <t>PDF p.135 (印刷頁 134)</t>
        </is>
      </c>
      <c r="F19" s="11" t="inlineStr">
        <is>
          <t>ual rights to the cash flows from the asset expire. 權利到期時終止確認金融資產。 On derecognition of a financial asset measured at amortized 於終止確認按攤銷成本計量的金融資產 cost, the difference between the asset’s carrying amount 時，該資產的賬面值與已收及應收代價 and the sum of the consideration received and receivable is 總和之間的差額於損益中確認。 recognized in profit or loss. Financial liabilities and equity 金融負債及權益 Classification as debt or equity 分類為債務或權益 Debt and equity instruments are classified as either financial 債務及權益工具根據合約安排的實質內 liabilities or as equity in accordance with</t>
        </is>
      </c>
    </row>
    <row r="20">
      <c r="A20" s="8" t="inlineStr">
        <is>
          <t>Intangible Assets &amp; Goodwill</t>
        </is>
      </c>
      <c r="B20" s="8" t="inlineStr">
        <is>
          <t>無形資產及商譽</t>
        </is>
      </c>
      <c r="C20" s="20" t="inlineStr">
        <is>
          <t>high</t>
        </is>
      </c>
      <c r="D20" s="11" t="inlineStr">
        <is>
          <t>amortisation</t>
        </is>
      </c>
      <c r="E20" s="11" t="inlineStr">
        <is>
          <t>PDF p.136 (印刷頁 135)</t>
        </is>
      </c>
      <c r="F20" s="11" t="inlineStr">
        <is>
          <t>則第9號釐定 accordance with HKFRS 9; and 的虧損撥備金額；及 • the amount initially recognized less, where appropriate, • 初始確認的金額減去於擔保期確 cumulative amortisation recognized over the guarantee 認的累計攤銷（如適用）。 period. Lung Fung Group Holdings Limited / Annual Report 2025/2026 135 龍豐集團控股有限公司 / 二零二五╱二零二六年年報</t>
        </is>
      </c>
    </row>
    <row r="21">
      <c r="A21" s="8" t="inlineStr">
        <is>
          <t>Intangible Assets &amp; Goodwill</t>
        </is>
      </c>
      <c r="B21" s="8" t="inlineStr">
        <is>
          <t>無形資產及商譽</t>
        </is>
      </c>
      <c r="C21" s="20" t="inlineStr">
        <is>
          <t>high</t>
        </is>
      </c>
      <c r="D21" s="11" t="inlineStr">
        <is>
          <t>攤銷</t>
        </is>
      </c>
      <c r="E21" s="11" t="inlineStr">
        <is>
          <t>PDF p.184 (印刷頁 183)</t>
        </is>
      </c>
      <c r="F21" s="11" t="inlineStr">
        <is>
          <t>ategories of financial instruments (a) 金融工具類別 2026 2025 2026年 2025年 HK$’000 HK$’000 千港元 千港元 Financial assets 金融資產 At amortized cost 按攤銷成本計量 185,813 412,366 Financial liabilities 金融負債 At amortized cost 按攤銷成本計量 704,914 894,901 (b) Financial risk management objectives and (b) 財務風險管理目標與政策 policies The Group’s financial instruments include trade and other 本集團的金融工具包括貿易及其 receivables, amounts due from (to) related parties, cash 他應收款項、應收（付）關聯方款 and cash equivalents, trade and other payables, bank 項、現金及現金等價物、貿易及其 borrowings and bank ove</t>
        </is>
      </c>
    </row>
    <row r="22">
      <c r="A22" s="8" t="inlineStr">
        <is>
          <t>Intangible Assets &amp; Goodwill</t>
        </is>
      </c>
      <c r="B22" s="8" t="inlineStr">
        <is>
          <t>無形資產及商譽</t>
        </is>
      </c>
      <c r="C22" s="20" t="inlineStr">
        <is>
          <t>high</t>
        </is>
      </c>
      <c r="D22" s="11" t="inlineStr">
        <is>
          <t>攤銷</t>
        </is>
      </c>
      <c r="E22" s="11" t="inlineStr">
        <is>
          <t>PDF p.188 (印刷頁 187)</t>
        </is>
      </c>
      <c r="F22" s="11" t="inlineStr">
        <is>
          <t>ed) （續） Market risk (Continued) 市場風險（續） Interest rate risk (Continued) 利率風險（續） Total interest income from financial assets that are 按攤銷成本計量的金融資產利息 measured at amortized cost and total expense from 收入總額及按攤銷成本計量的金 financial liabilities that are measured at amortized cost are 融負債開支總額如下： as follows: 2026 2025 2026年 2025年 HK$’000 HK$’000 千港元 千港元 Interest income on financial assets at 按攤銷成本計量的金融資產的 amortized cost 利息收入 20,715 16,157 Interest expenses on financial liabilities 按攤銷成本計量的金融負債的 at amortized cost 利息開支 21,892 33,399 Sensitivi</t>
        </is>
      </c>
    </row>
    <row r="23">
      <c r="A23" s="8" t="inlineStr">
        <is>
          <t>Intangible Assets &amp; Goodwill</t>
        </is>
      </c>
      <c r="B23" s="8" t="inlineStr">
        <is>
          <t>無形資產及商譽</t>
        </is>
      </c>
      <c r="C23" s="20" t="inlineStr">
        <is>
          <t>high</t>
        </is>
      </c>
      <c r="D23" s="11" t="inlineStr">
        <is>
          <t>攤銷</t>
        </is>
      </c>
      <c r="E23" s="11" t="inlineStr">
        <is>
          <t>PDF p.194 (印刷頁 193)</t>
        </is>
      </c>
      <c r="F23" s="11" t="inlineStr">
        <is>
          <t>lifetime ECL 2026 2025 12個月或 外部信貸評級 內部信貸評級 全期預期信貸虧損 2026年 2025年 Notes HK$’000 HK$’000 附註 千港元 千港元 Financial assets at amortized cost 按攤銷成本列賬的金融資產 Trade receivables 貿易應收款項 19 P-1 N/A Lifetime ECL 7,799 5,229 — not credit-impaired (individual assessment) P-1 不適用 全期預期信貸虧損 — 未信貸減值 （個別評估） N/A Low risk Lifetime ECL 2,671 2,964 — not credit-impaired (individual assessment) 不適用 低風險 全期預期信貸虧損 — 未信貸減值 （個別評估） 10,470 8,193 Other receivables and deposits 其他應收款項及按金 19 N/A Low risk 12m ECL 64,215 53,914 不適用 低風險 12個月預期信貸虧損 Amounts due from relat</t>
        </is>
      </c>
    </row>
    <row r="24">
      <c r="A24" s="8" t="inlineStr">
        <is>
          <t>Intangible Assets &amp; Goodwill</t>
        </is>
      </c>
      <c r="B24" s="8" t="inlineStr">
        <is>
          <t>無形資產及商譽</t>
        </is>
      </c>
      <c r="C24" s="20" t="inlineStr">
        <is>
          <t>high</t>
        </is>
      </c>
      <c r="D24" s="11" t="inlineStr">
        <is>
          <t>攤銷</t>
        </is>
      </c>
      <c r="E24" s="11" t="inlineStr">
        <is>
          <t>PDF p.199 (印刷頁 198)</t>
        </is>
      </c>
      <c r="F24" s="11" t="inlineStr">
        <is>
          <t>rectors of the Company consider that the Group’s 本公司董事認為，本集團於綜合 carrying amounts of financial assets and financial liabilities 財務報表中按攤銷成本列賬的金 recorded at amortized cost in the consolidated financial 融資產及金融負債的賬面值與其 statements approximate to their fair values. 公平值相若。 Lung Fung Group Holdings Limited / Annual Report 2025/2026 198 龍豐集團控股有限公司 / 二零二五╱二零二六年年報</t>
        </is>
      </c>
    </row>
    <row r="25">
      <c r="A25" s="8" t="inlineStr">
        <is>
          <t>Investment Properties</t>
        </is>
      </c>
      <c r="B25" s="8" t="inlineStr">
        <is>
          <t>投資物業</t>
        </is>
      </c>
      <c r="C25" s="20" t="inlineStr">
        <is>
          <t>high</t>
        </is>
      </c>
      <c r="D25" s="11" t="inlineStr">
        <is>
          <t>投資物業</t>
        </is>
      </c>
      <c r="E25" s="11" t="inlineStr">
        <is>
          <t>PDF p.6 (印刷頁 05)</t>
        </is>
      </c>
      <c r="F25" s="11" t="inlineStr">
        <is>
          <t>ear adjusted to exclude (i) decrease in fair value of investment 則計量，其計算方式為年內溢利（虧損）經調整 properties; and (ii) listing expenses. 後，排除(i)投資物業公平值減少；及(ii)上市開支。 3. Pro-forma earnings (loss) per share and pro-forma core earnings (loss) per 3. 備考每股盈利（虧損）及備考核心每股盈利（虧損） share are non-HKFRS measures. Pro-forma earnings (loss) per share and pro- 均屬非香港財務報告準則計量。備考每股盈利 forma core earnings (loss) per share are calculated based on the profit (loss) （虧損）及備考核心每股盈利（虧損）乃根據本年 for the year and the core net profit (loss), respectively, divided by the to</t>
        </is>
      </c>
    </row>
    <row r="26">
      <c r="A26" s="8" t="inlineStr">
        <is>
          <t>Investment Properties</t>
        </is>
      </c>
      <c r="B26" s="8" t="inlineStr">
        <is>
          <t>投資物業</t>
        </is>
      </c>
      <c r="C26" s="20" t="inlineStr">
        <is>
          <t>high</t>
        </is>
      </c>
      <c r="D26" s="11" t="inlineStr">
        <is>
          <t>gross floor area</t>
        </is>
      </c>
      <c r="E26" s="11" t="inlineStr">
        <is>
          <t>PDF p.14 (印刷頁 13)</t>
        </is>
      </c>
      <c r="F26" s="11" t="inlineStr">
        <is>
          <t>Our 提供種類繁多且物超所值的產品。我們位於 flagship store at Gala Place in Mong Kok provides a spacious shopping 旺角家樂坊的旗艦店提供寬敞舒適的購物環 environment with a gross floor area of approximately 17,500 sq. 境，建築面積約為17,500平方呎。我們的產 ft. Our product portfolio covers 11 categories: proprietary Chinese 品組合涵蓋11大類別：中成藥、西藥、保健 medicines, western medicines, health supplements, skincare products, 品、護膚品、化妝品、香水、個人護理、生活 cosmetics, perfume, personal care, household sundries, maternal and 雜品、母嬰護理產品、食品及寵物用品。我 infant care products, food and pet supplies. We also sell through</t>
        </is>
      </c>
    </row>
    <row r="27">
      <c r="A27" s="8" t="inlineStr">
        <is>
          <t>Investment Properties</t>
        </is>
      </c>
      <c r="B27" s="8" t="inlineStr">
        <is>
          <t>投資物業</t>
        </is>
      </c>
      <c r="C27" s="20" t="inlineStr">
        <is>
          <t>high</t>
        </is>
      </c>
      <c r="D27" s="11" t="inlineStr">
        <is>
          <t>投資物業</t>
        </is>
      </c>
      <c r="E27" s="11" t="inlineStr">
        <is>
          <t>PDF p.23 (印刷頁 22)</t>
        </is>
      </c>
      <c r="F27" s="11" t="inlineStr">
        <is>
          <t>SCUSSION AND ANALYSIS 管理層討論與分析 Core net profit 核心純利 Core net profit represents profit for the year adjusted to exclude 核心純利指經調整以排除(i)投資物業公平值 (i) decrease in fair value of investment properties; and (ii) listing 減少；及(ii)上市開支後的年內溢利。 expenses. The following table sets forth the calculation of core net profit as a 下表載列我們於所示年度的核心純利計算方 non-HKFRS measure: 法（作為非香港財務報告準則計量）： FY2026 FY2025 2026 2025 財政年度 財政年度 HK$000 HK$000 千港元 千港元 Profit for the year 年內溢利 269,100 170,432 Adjusted for: 就以下項目作出調整： — Decrease in fair value of investment — 投</t>
        </is>
      </c>
    </row>
    <row r="28">
      <c r="A28" s="8" t="inlineStr">
        <is>
          <t>Investment Properties</t>
        </is>
      </c>
      <c r="B28" s="8" t="inlineStr">
        <is>
          <t>投資物業</t>
        </is>
      </c>
      <c r="C28" s="20" t="inlineStr">
        <is>
          <t>high</t>
        </is>
      </c>
      <c r="D28" s="11" t="inlineStr">
        <is>
          <t>投資物業</t>
        </is>
      </c>
      <c r="E28" s="11" t="inlineStr">
        <is>
          <t>PDF p.65 (印刷頁 64)</t>
        </is>
      </c>
      <c r="F28" s="11" t="inlineStr">
        <is>
          <t>ar are set out in note 15 to the consolidated 情，載於本年報中綜合財務報表的附註15。 financial statements in this annual report. INVESTMENT PROPERTIES 投資物業 Details of the movements in the investment properties of the Group 本集團於本年度內投資物業變動的詳情，載 during the Year are set out in note 16 to the consolidated financial 於綜合財務報表附註16。 statements. COMPLIANCE WITH LAWS AND REGULATIONS 遵守法律及法規 The Group’s operations are mainly carried out by the Company’s 本集團的營運主要由本公司位於香港的附屬 subsidiaries in Hong Kong while the Company itself was incorporated 公司進行，而本公司乃於開曼群島註冊成</t>
        </is>
      </c>
    </row>
    <row r="29">
      <c r="A29" s="8" t="inlineStr">
        <is>
          <t>Investment Properties</t>
        </is>
      </c>
      <c r="B29" s="8" t="inlineStr">
        <is>
          <t>投資物業</t>
        </is>
      </c>
      <c r="C29" s="20" t="inlineStr">
        <is>
          <t>high</t>
        </is>
      </c>
      <c r="D29" s="11" t="inlineStr">
        <is>
          <t>投資物業</t>
        </is>
      </c>
      <c r="E29" s="11" t="inlineStr">
        <is>
          <t>PDF p.90 (印刷頁 89)</t>
        </is>
      </c>
      <c r="F29" s="11" t="inlineStr">
        <is>
          <t>3 777,617 Other income 其他收入 7 33,801 30,326 Other gains and losses, net 其他收益及虧損淨額 8 (381) (700) Decrease in fair value of investment 投資物業公平值減少 properties (16,720) (53,482) Selling and distribution expenses 銷售及分銷開支 (584,123) (431,606) Administrative expenses 行政開支 (64,281) (52,584) Finance costs 融資成本 9 (41,809) (51,550) Listing expenses 上市開支 (15,113) – Profit before tax 除稅前溢利 326,787 218,021 Income tax expense 所得稅開支 10 (57,687) (47,589) Profit for the year 年內溢利 11 269,100 170,432 Other comprehensive expense 年內其他全面開支 for the year</t>
        </is>
      </c>
    </row>
    <row r="30">
      <c r="A30" s="8" t="inlineStr">
        <is>
          <t>Investment Properties</t>
        </is>
      </c>
      <c r="B30" s="8" t="inlineStr">
        <is>
          <t>投資物業</t>
        </is>
      </c>
      <c r="C30" s="20" t="inlineStr">
        <is>
          <t>high</t>
        </is>
      </c>
      <c r="D30" s="11" t="inlineStr">
        <is>
          <t>投資物業</t>
        </is>
      </c>
      <c r="E30" s="11" t="inlineStr">
        <is>
          <t>PDF p.91 (印刷頁 90)</t>
        </is>
      </c>
      <c r="F30" s="11" t="inlineStr">
        <is>
          <t>s HK$’000 HK$’000 附註 千港元 千港元 Non-current assets 非流動資產 Property, plant and equipment 物業、廠房及設備 15 111,465 73,084 Investment properties 投資物業 16 145,270 189,470 Right-of-use assets 使用權資產 17 362,931 261,366 Deposits 按金 19 64,092 52,960 Amounts due from related parties 應收關聯方款項 20 – 273,696 Deferred tax assets 遞延稅項資產 26 6,090 1,798 689,848 852,374 Current assets 流動資產 Inventories 存貨 18 421,907 336,038 Trade and other receivables 貿易及其他應收款項 19 31,598 23,996 Amounts due from related parties 應收關聯方款項 20 37,487 15,381 Cash and cash equivalen</t>
        </is>
      </c>
    </row>
    <row r="31">
      <c r="A31" s="8" t="inlineStr">
        <is>
          <t>Investment Properties</t>
        </is>
      </c>
      <c r="B31" s="8" t="inlineStr">
        <is>
          <t>投資物業</t>
        </is>
      </c>
      <c r="C31" s="20" t="inlineStr">
        <is>
          <t>high</t>
        </is>
      </c>
      <c r="D31" s="11" t="inlineStr">
        <is>
          <t>投資物業</t>
        </is>
      </c>
      <c r="E31" s="11" t="inlineStr">
        <is>
          <t>PDF p.94 (印刷頁 93)</t>
        </is>
      </c>
      <c r="F31" s="11" t="inlineStr">
        <is>
          <t>物業、廠房及設備折舊 equipment 25,241 16,922 Depreciation of right-of-use assets 使用權資產折舊 201,689 157,420 Decrease in fair value of investment 投資物業公平值減少 properties 16,720 53,482 Net loss on disposal/write-off of property, 出售╱撇銷物業、廠房及設備的 plant and equipment 虧損淨額 3 79 Operating cash flows before movements 營運資金變動前的經營現金流量 in working capital 591,534 481,317 Increase in inventories 存貨增加 (85,871) (110,643) (Increase) decrease in trade and other 貿易及其他應收款項（增加）減少 receivables (7,717) 7,318 Increase in trade and other payables 貿易及其他應付款項增加 1,243,924</t>
        </is>
      </c>
    </row>
    <row r="32">
      <c r="A32" s="8" t="inlineStr">
        <is>
          <t>Investment Properties</t>
        </is>
      </c>
      <c r="B32" s="8" t="inlineStr">
        <is>
          <t>投資物業</t>
        </is>
      </c>
      <c r="C32" s="20" t="inlineStr">
        <is>
          <t>high</t>
        </is>
      </c>
      <c r="D32" s="11" t="inlineStr">
        <is>
          <t>investment property</t>
        </is>
      </c>
      <c r="E32" s="11" t="inlineStr">
        <is>
          <t>PDF p.111 (印刷頁 110)</t>
        </is>
      </c>
      <c r="F32" s="11" t="inlineStr">
        <is>
          <t>ife and the lease term. 期（以較短者為準）以直線法折舊。 The Group presents right-of-use assets that do not meet the 本集團於綜合財務狀況表中將不符合投 definition of investment property as a separate line item on the 資物業定義的使用權資產作為獨立項目 consolidated statement of financial position. Right-of-use assets 呈列。符合投資物業定義的使用權資產 that meet the definition of investment property is presented 在「投資物業」中呈列。 within “investment properties”. Lung Fung Group Holdings Limited / Annual Report 2025/2026 110 龍豐集團控股有限公司 / 二零二五╱二零二六年年報</t>
        </is>
      </c>
    </row>
    <row r="33">
      <c r="A33" s="8" t="inlineStr">
        <is>
          <t>Investment Properties</t>
        </is>
      </c>
      <c r="B33" s="8" t="inlineStr">
        <is>
          <t>投資物業</t>
        </is>
      </c>
      <c r="C33" s="20" t="inlineStr">
        <is>
          <t>high</t>
        </is>
      </c>
      <c r="D33" s="11" t="inlineStr">
        <is>
          <t>market rent</t>
        </is>
      </c>
      <c r="E33" s="11" t="inlineStr">
        <is>
          <t>PDF p.113 (印刷頁 112)</t>
        </is>
      </c>
      <c r="F33" s="11" t="inlineStr">
        <is>
          <t>率對經修訂 of reassessment; 租賃付款進行貼現以重新計量； • the lease payments change due to changes in market • 因市場租金檢討導致市場租金率 rental rates following a market rent review, in which case 變動而導致租賃付款改變，於該 the related lease liability is remeasured by discounting the 情況下，相關租賃負債會透過使 revised lease payments using the initial discount rate; and 用初始貼現率對經修訂租賃付款 進行貼現以重新計量；及 • a lease contract is modified and the lease modification is • 租賃合約經修改且該租賃修改並 not accounted for as a separate lease. 無入賬列作獨立租賃。 The Group presents lease liabilities as a separate line item</t>
        </is>
      </c>
    </row>
    <row r="34">
      <c r="A34" s="8" t="inlineStr">
        <is>
          <t>Investment Properties</t>
        </is>
      </c>
      <c r="B34" s="8" t="inlineStr">
        <is>
          <t>投資物業</t>
        </is>
      </c>
      <c r="C34" s="20" t="inlineStr">
        <is>
          <t>high</t>
        </is>
      </c>
      <c r="D34" s="11" t="inlineStr">
        <is>
          <t>investment property</t>
        </is>
      </c>
      <c r="E34" s="11" t="inlineStr">
        <is>
          <t>PDF p.119 (印刷頁 118)</t>
        </is>
      </c>
      <c r="F34" s="11" t="inlineStr">
        <is>
          <t>s model 的是隨時間耗用該投資物業所包含之絕 whose objective is to consume substantially all of the economic 大部分經濟利益，而非透過銷售取得經 benefits embodied in the investment property over time, rather 濟利益，則會推翻該假設。 than through sale. Deferred tax assets and liabilities are offset when there is a 倘有可依法強制執行權利將即期稅項資 legally enforceable right to set off current tax assets against 產與即期稅項負債相互抵銷，且與由同 current tax liabilities and when they relate to income taxes 一稅務機構向同一應課稅實體徵收的所 levied to the same taxable entity by the same taxation authority. 得稅相關，則遞延稅項資產及負債可相 互抵銷。</t>
        </is>
      </c>
    </row>
    <row r="35">
      <c r="A35" s="8" t="inlineStr">
        <is>
          <t>Investment Properties</t>
        </is>
      </c>
      <c r="B35" s="8" t="inlineStr">
        <is>
          <t>投資物業</t>
        </is>
      </c>
      <c r="C35" s="20" t="inlineStr">
        <is>
          <t>high</t>
        </is>
      </c>
      <c r="D35" s="11" t="inlineStr">
        <is>
          <t>investment property</t>
        </is>
      </c>
      <c r="E35" s="11" t="inlineStr">
        <is>
          <t>PDF p.121 (印刷頁 120)</t>
        </is>
      </c>
      <c r="F35" s="11" t="inlineStr">
        <is>
          <t>ir value of 投資物業公平值變動產生之收益或虧損 investment properties are included in profit or loss for the 計入產生期間之損益。 period in which they arise. An investment property is derecognized upon disposal or when 投資物業於出售時或在投資物業永久不 the investment property is permanently withdrawn from use and 再使用及預期出售不會產生任何未來經 no future economic benefits are expected from its disposal. Any 濟利益時終止確認。終止確認物業所產 gain or loss arising on derecognition of the property (calculated 生之任何收益或虧損（按出售所得款項 as the difference between the net disposal proceeds and the 淨額與資產賬面值兩者間之差額計算）</t>
        </is>
      </c>
    </row>
    <row r="36">
      <c r="A36" s="8" t="inlineStr">
        <is>
          <t>Investment Properties</t>
        </is>
      </c>
      <c r="B36" s="8" t="inlineStr">
        <is>
          <t>投資物業</t>
        </is>
      </c>
      <c r="C36" s="20" t="inlineStr">
        <is>
          <t>high</t>
        </is>
      </c>
      <c r="D36" s="11" t="inlineStr">
        <is>
          <t>投資物業</t>
        </is>
      </c>
      <c r="E36" s="11" t="inlineStr">
        <is>
          <t>PDF p.138 (印刷頁 137)</t>
        </is>
      </c>
      <c r="F36" s="11" t="inlineStr">
        <is>
          <t>38,000港元）。於2026年及2025 and 2025 and for each of the years then ended. 年3月31日以及截至該日止各年度並無 確認存貨撥備。 Fair values of investment properties 投資物業之公平值 Investment properties are stated at fair value based on the 投資物業乃根據獨立專業估值師所進 valuation performed by independent professional valuer. The 行之估值按公平值列賬。釐定公平值涉 determination of the fair value involves certain assumptions of 及若干市場狀況之假設，詳情載於附註 market conditions which are set out in note 16. 16。 In relying on the valuation report, the directors of the 在依賴估值報告時，本公司董事已行使 Company have exercised thei</t>
        </is>
      </c>
    </row>
    <row r="37">
      <c r="A37" s="8" t="inlineStr">
        <is>
          <t>Investment Properties</t>
        </is>
      </c>
      <c r="B37" s="8" t="inlineStr">
        <is>
          <t>投資物業</t>
        </is>
      </c>
      <c r="C37" s="20" t="inlineStr">
        <is>
          <t>high</t>
        </is>
      </c>
      <c r="D37" s="11" t="inlineStr">
        <is>
          <t>投資物業</t>
        </is>
      </c>
      <c r="E37" s="11" t="inlineStr">
        <is>
          <t>PDF p.152 (印刷頁 151)</t>
        </is>
      </c>
      <c r="F37" s="11" t="inlineStr">
        <is>
          <t>2025年3月31日 – 82,439 42,045 27,891 7,971 160,346 Additions 添置 – 11,051 18,411 5,834 944 36,240 Transfer from investment properties 轉撥自投資物業 27,480 – – – – 27,480 Disposals/write-off 出售╱撇銷 – (315) (40) (250) – (605) Exchange realignment 匯兌調整 – – – 28 – 28 At 31 March 2026 於2026年3月31日 27,480 93,175 60,416 33,503 8,915 223,489 DEPRECIATION 折舊 At 1 April 2024 於2024年4月1日 – 46,543 11,835 11,893 2,590 72,861 Provided for the year 年內撥備 – 8,610 4,654 2,710 948 16,922 Eliminated on disposals/write-off 於出售╱撇銷時撇除 – (1,910) (361) (247) – (2,5</t>
        </is>
      </c>
    </row>
    <row r="38">
      <c r="A38" s="8" t="inlineStr">
        <is>
          <t>Investment Properties</t>
        </is>
      </c>
      <c r="B38" s="8" t="inlineStr">
        <is>
          <t>投資物業</t>
        </is>
      </c>
      <c r="C38" s="20" t="inlineStr">
        <is>
          <t>high</t>
        </is>
      </c>
      <c r="D38" s="11" t="inlineStr">
        <is>
          <t>投資物業</t>
        </is>
      </c>
      <c r="E38" s="11" t="inlineStr">
        <is>
          <t>PDF p.153 (印刷頁 152)</t>
        </is>
      </c>
      <c r="F38" s="11" t="inlineStr">
        <is>
          <t>6,443,000港 March 2026 to secure bank facilities granted to the Group. 元（2025年：零）的自有物業，作為本集 團獲授銀行信貸的擔保。 16. INVESTMENT PROPERTIES 16. 投資物業 HK$’000 千港元 FAIR VALUE 公平值 At 1 April 2024 於2024年4月1日 242,140 Additions 添置 812 Decrease in fair value recognized in profit or loss, 於損益中確認的公平值減少，未變現 unrealized (53,482) At 31 March 2025 於2025年3月31日 189,470 Transfer to property, plant and equipment 轉撥至物業、廠房及設備 (27,480) Decrease in fair value recognized in profit or loss, 於損益中確認的公平值減少，未變現 unrealized (16,720) At 31 March 2026 於2026年3月31日 145,270</t>
        </is>
      </c>
    </row>
    <row r="39">
      <c r="A39" s="8" t="inlineStr">
        <is>
          <t>Investment Properties</t>
        </is>
      </c>
      <c r="B39" s="8" t="inlineStr">
        <is>
          <t>投資物業</t>
        </is>
      </c>
      <c r="C39" s="20" t="inlineStr">
        <is>
          <t>high</t>
        </is>
      </c>
      <c r="D39" s="11" t="inlineStr">
        <is>
          <t>投資物業</t>
        </is>
      </c>
      <c r="E39" s="11" t="inlineStr">
        <is>
          <t>PDF p.154 (印刷頁 153)</t>
        </is>
      </c>
      <c r="F39" s="11" t="inlineStr">
        <is>
          <t>NOTES TO THE CONSOLIDATED FINANCIAL STATEMENTS 綜合財務報表附註 Year ended 31 March 2026 截至2026年3月31日止年度 16. INVESTMENT PROPERTIES 16. 投資物業（續） (Continued) The Group leases out retail shop units and residential units 本集團根據經營租賃出租位於香港的零 located in Hong Kong under operating leases with rentals 售店單位及住宅單位，租金按月支付。 payable monthly. The leases typically run for an initial period 截至2026年3月31日止年度，租約初始 of 2 years to 3 years (2025: 2 years to 3 years) during the year 租期通常為2年至3年（2025年：2年至 ended 31 March 2026. 3年）。 The total cash outflow for le</t>
        </is>
      </c>
    </row>
    <row r="40">
      <c r="A40" s="8" t="inlineStr">
        <is>
          <t>Investment Properties</t>
        </is>
      </c>
      <c r="B40" s="8" t="inlineStr">
        <is>
          <t>投資物業</t>
        </is>
      </c>
      <c r="C40" s="20" t="inlineStr">
        <is>
          <t>high</t>
        </is>
      </c>
      <c r="D40" s="11" t="inlineStr">
        <is>
          <t>capitalization rate</t>
        </is>
      </c>
      <c r="E40" s="11" t="inlineStr">
        <is>
          <t>PDF p.155 (印刷頁 154)</t>
        </is>
      </c>
      <c r="F40" s="11" t="inlineStr">
        <is>
          <t>nobservable input(s) to fair value 重大不可觀察 不可觀察輸入數據 估值技術 重大不可觀察輸入數據 輸入數據範圍 與公平值的關係 Retail shop units located in Income capitalization Capitalization rate, 3.55% to 3.80% An increase in the Hong Kong approach taking into account the (2025: 3.05% to capitalization rate 位於香港的零售店單位 收入資本化法 capitalization of rental 3.30%) used would result in a income potential, 3.55%至3.80% decrease in fair value, HK$127,110,000 nature of the property （2025年：3.05%至 and vice versa. (2025: HK$171,620,000) and prevailing market 3.30%） 所用資本化率增加將導 127,110,</t>
        </is>
      </c>
    </row>
    <row r="41">
      <c r="A41" s="8" t="inlineStr">
        <is>
          <t>Investment Properties</t>
        </is>
      </c>
      <c r="B41" s="8" t="inlineStr">
        <is>
          <t>投資物業</t>
        </is>
      </c>
      <c r="C41" s="20" t="inlineStr">
        <is>
          <t>high</t>
        </is>
      </c>
      <c r="D41" s="11" t="inlineStr">
        <is>
          <t>capitalization rate</t>
        </is>
      </c>
      <c r="E41" s="11" t="inlineStr">
        <is>
          <t>PDF p.156 (印刷頁 155)</t>
        </is>
      </c>
      <c r="F41" s="11" t="inlineStr">
        <is>
          <t>平值增加，反之 （2025年： property 元） 亦然。 16,300,000港元） 市場單價，經考慮類似 物業近期成交價，因 應物業性質、位置及 狀況調整 Residential units located in Income capitalization Capitalization rate, 3.95% to 4.00% An increase in the Hong Kong approach taking into account the (2025: 3.95% to capitalization rate 位於香港的住宅單位 收入資本化法 capitalization of rental 4.20%) used would result in a income potential, 3.95%至4.00% decrease in fair value, HK$860,000 nature of the property （2025年：3.95%至 and vice versa. (2025: HK$1,550,000) and prevailing market 4.20%） 所用資本化率增加將導 860,000港元 condi</t>
        </is>
      </c>
    </row>
    <row r="42">
      <c r="A42" s="8" t="inlineStr">
        <is>
          <t>Investment Properties</t>
        </is>
      </c>
      <c r="B42" s="8" t="inlineStr">
        <is>
          <t>投資物業</t>
        </is>
      </c>
      <c r="C42" s="20" t="inlineStr">
        <is>
          <t>high</t>
        </is>
      </c>
      <c r="D42" s="11" t="inlineStr">
        <is>
          <t>market rent</t>
        </is>
      </c>
      <c r="E42" s="11" t="inlineStr">
        <is>
          <t>PDF p.157 (印刷頁 156)</t>
        </is>
      </c>
      <c r="F42" s="11" t="inlineStr">
        <is>
          <t>inputs technique(s) unobservable input(s) unobservable input(s) to fair value 重大不可觀察 不可觀察輸入數據 估值技術 重大不可觀察輸入數據 輸入數據範圍 與公平值的關係 Monthly market rent, HK$25 to HK$26 An increase in the market taking into account the (2025: HK$23 to rent used would result differences in location, HK$24) in an increase in fair and individual factors, per square foot value, and vice versa. such as frontage and 每平方呎25港元至 所用市場租金增加將導 size, between the 26港元（2025年： 致公平值增加，反之 comparables and the 23港元至24港元） 亦然。 property 每月市場租金，經考慮 可資比較物業與該物 業位置及個別因素（例 如朝向及面積）</t>
        </is>
      </c>
    </row>
    <row r="43">
      <c r="A43" s="8" t="inlineStr">
        <is>
          <t>Investment Properties</t>
        </is>
      </c>
      <c r="B43" s="8" t="inlineStr">
        <is>
          <t>投資物業</t>
        </is>
      </c>
      <c r="C43" s="20" t="inlineStr">
        <is>
          <t>high</t>
        </is>
      </c>
      <c r="D43" s="11" t="inlineStr">
        <is>
          <t>投資物業</t>
        </is>
      </c>
      <c r="E43" s="11" t="inlineStr">
        <is>
          <t>PDF p.169 (印刷頁 168)</t>
        </is>
      </c>
      <c r="F43" s="11" t="inlineStr">
        <is>
          <t>.05% to 6.32% 1.93%至4.41% 2.05%至6.32% Notes: 附註： (i) Mortgage loans are secured by the Group’s owned properties and (i) 按揭貸款由本集團自有物業及投資物業 investment properties and/or pledge of properties held by related 及╱或關聯方（為謝先生所控制實體）持 parties which are entities controlled by Mr. Tse, interest-bearing 有的物業質押作抵押，於2026年3月31 ranging from 1.80% to 2.50% (2025: 2.05% to 2.71%) per annum 日的年利率介乎1.80%至2.50%（2025 as at 31 March 2026, guaranteed by Mr. Tse, Mrs. Tse and related 年：2.05%至2.71%），由謝先生、謝夫 parties which are entities controlled by Mr. Tse,</t>
        </is>
      </c>
    </row>
    <row r="44">
      <c r="A44" s="8" t="inlineStr">
        <is>
          <t>Investment Properties</t>
        </is>
      </c>
      <c r="B44" s="8" t="inlineStr">
        <is>
          <t>投資物業</t>
        </is>
      </c>
      <c r="C44" s="20" t="inlineStr">
        <is>
          <t>high</t>
        </is>
      </c>
      <c r="D44" s="11" t="inlineStr">
        <is>
          <t>投資物業</t>
        </is>
      </c>
      <c r="E44" s="11" t="inlineStr">
        <is>
          <t>PDF p.170 (印刷頁 169)</t>
        </is>
      </c>
      <c r="F44" s="11" t="inlineStr">
        <is>
          <t>. The loans are secured by the Group’s motor vehicles, 借款。貸款由本集團汽車、自有物業及 owned properties and investment properties and/or pledge of 投資物業及╱或關聯方（為謝先生所控制 properties held by related parties which are entities controlled by 實體）持有的物業質押作抵押，於2026 Mr. Tse, interest-bearing ranging from 2.75% to 4.41% (2025: 年3月31日的年利率介乎2.75%至4.41% 2.75% to 5.92%) per annum as at 31 March 2026 and repayable （2025年：2.75%至5.92%），並須按要 on demand. Other than other borrowings of HK$2,302,000 (2025: 求償還。除於2026年3月31日的其他借 HK$3,900,000) as at 31 March 2026 which</t>
        </is>
      </c>
    </row>
    <row r="45">
      <c r="A45" s="8" t="inlineStr">
        <is>
          <t>Investment Properties</t>
        </is>
      </c>
      <c r="B45" s="8" t="inlineStr">
        <is>
          <t>投資物業</t>
        </is>
      </c>
      <c r="C45" s="20" t="inlineStr">
        <is>
          <t>high</t>
        </is>
      </c>
      <c r="D45" s="11" t="inlineStr">
        <is>
          <t>投資物業</t>
        </is>
      </c>
      <c r="E45" s="11" t="inlineStr">
        <is>
          <t>PDF p.205 (印刷頁 204)</t>
        </is>
      </c>
      <c r="F45" s="11" t="inlineStr">
        <is>
          <t>amounts of the respective assets 擔保，相關資產的賬面值如下： are as follows: 2026 2025 2026年 2025年 HK$’000 HK$’000 千港元 千港元 Investment properties 投資物業 144,410 187,920 Property, plant and equipment 物業、廠房及設備 30,515 4,432 174,925 192,352 Lung Fung Group Holdings Limited / Annual Report 2025/2026 204 龍豐集團控股有限公司 / 二零二五╱二零二六年年報</t>
        </is>
      </c>
    </row>
    <row r="46">
      <c r="A46" s="8" t="inlineStr">
        <is>
          <t>ESG Data</t>
        </is>
      </c>
      <c r="B46" s="8" t="inlineStr">
        <is>
          <t>環境社會及管治數據</t>
        </is>
      </c>
      <c r="C46" s="8" t="inlineStr">
        <is>
          <t>medium</t>
        </is>
      </c>
      <c r="D46" s="11" t="inlineStr">
        <is>
          <t>ESG</t>
        </is>
      </c>
      <c r="E46" s="11" t="inlineStr">
        <is>
          <t>PDF p.8 (印刷頁 07)</t>
        </is>
      </c>
      <c r="F46" s="11" t="inlineStr">
        <is>
          <t>附屬 公司的受託人）為受益人而訂立的彌償契據，其詳情載於招股章程「附錄五 — 法定及一般資料 —D.其他資料 —12.遺產稅、稅項及其他彌償保證」 “Director(s)” the director(s) of our Company 「董事」 指 本公司董事 “ESG” environmental, social and governance 「環境、社會及管治」 指 環境、社會及管治 “Full Group Corporation a company wholly-owned by Mr. Tse and therefore, is an associate of Mr. Tse Limited” and our connected person 「盟豐有限公司」 指 謝先生全資擁有的公司，因此為謝先生的聯繫人及我們的關連人士 “FY” the financial year ended 31 March of the relevant year 「財政年度」 指 截至相關年度3月31日止財政年度 “FY2023” the financial year ended 31 March 2023 「2023財政年度」 指 截至2023年3月31日止財</t>
        </is>
      </c>
    </row>
    <row r="47">
      <c r="A47" s="8" t="inlineStr">
        <is>
          <t>ESG Data</t>
        </is>
      </c>
      <c r="B47" s="8" t="inlineStr">
        <is>
          <t>環境社會及管治數據</t>
        </is>
      </c>
      <c r="C47" s="8" t="inlineStr">
        <is>
          <t>medium</t>
        </is>
      </c>
      <c r="D47" s="11" t="inlineStr">
        <is>
          <t>可持續</t>
        </is>
      </c>
      <c r="E47" s="11" t="inlineStr">
        <is>
          <t>PDF p.13 (印刷頁 12)</t>
        </is>
      </c>
      <c r="F47" s="11" t="inlineStr">
        <is>
          <t>ar strategy, sound management 憑藉清晰的策略、完善的管理以及嚴謹的執 and a disciplined approach to execution, the Group will continue to 行方針，本集團將持續致力於實現可持續增 strive for sustainable growth and the creation of long-term value and 長，並為股東創造長期價值及令人滿意的回報。 satisfactory return for its shareholders. In light of the Group’s solid operational foundation and performance 鑑於本集團本年度的營運基礎及表現超出本 during the Year which had exceeded the Group’s expectations, the 集團預期，本公司擬於2027財政年度（即上 Company intends to distribute not less than 60% of distributable 市後的首個財政年度）及之後各年度的可分配</t>
        </is>
      </c>
    </row>
    <row r="48">
      <c r="A48" s="8" t="inlineStr">
        <is>
          <t>ESG Data</t>
        </is>
      </c>
      <c r="B48" s="8" t="inlineStr">
        <is>
          <t>環境社會及管治數據</t>
        </is>
      </c>
      <c r="C48" s="8" t="inlineStr">
        <is>
          <t>medium</t>
        </is>
      </c>
      <c r="D48" s="11" t="inlineStr">
        <is>
          <t>環境、社會及管治</t>
        </is>
      </c>
      <c r="E48" s="11" t="inlineStr">
        <is>
          <t>PDF p.63 (印刷頁 62)</t>
        </is>
      </c>
      <c r="F48" s="11" t="inlineStr">
        <is>
          <t>on the environmental, social and governance 本集團所採納之環境、社會及治理措施之詳 practices adopted by the Group is set out in the standalone 細資料，載於獨立的環境、社會及管治報告中。 Environmental, Social and Governance Report. Relationship with Customers 與客戶的關係 The Group places great emphasis on maintaining good relationships 本集團極為重視與客戶維持良好關係。本集 with its customers. The Group serves a broad customer base primarily 團主要透過其零售店網絡及線上銷售平台， through its retail store network and online sales platforms, and 為廣泛的客戶群提供服務，並致力以具競爭 seeks to provide customers with a diverse range</t>
        </is>
      </c>
    </row>
    <row r="49">
      <c r="A49" s="8" t="inlineStr">
        <is>
          <t>Segment Information</t>
        </is>
      </c>
      <c r="B49" s="8" t="inlineStr">
        <is>
          <t>分部資料</t>
        </is>
      </c>
      <c r="C49" s="8" t="inlineStr">
        <is>
          <t>medium</t>
        </is>
      </c>
      <c r="D49" s="11" t="inlineStr">
        <is>
          <t>segment information</t>
        </is>
      </c>
      <c r="E49" s="11" t="inlineStr">
        <is>
          <t>PDF p.139 (印刷頁 138)</t>
        </is>
      </c>
      <c r="F49" s="11" t="inlineStr">
        <is>
          <t>NOTES TO THE CONSOLIDATED FINANCIAL STATEMENTS 綜合財務報表附註 Year ended 31 March 2026 截至2026年3月31日止年度 6. REVENUE AND SEGMENT INFORMATION 6. 收入及分部資料 Revenue 收入 Disaggregation of revenue from contracts with customers 客戶合約收入之細分 2026 2025 2026年 2025年 HK$’000 HK$’000 千港元 千港元 Sales channels 銷售渠道 Retail sales through retail stores 透過零售店進行的零售銷售 3,202,518 2,391,643 Retail sales through online platforms 透過線上平台進行的零售銷售 36,942 42,682 Wholesale sales 批發銷售 37,691 26,153 3,277,151 2,460,478 Product categories 產品類別 Beauty produc</t>
        </is>
      </c>
    </row>
    <row r="50">
      <c r="A50" s="8" t="inlineStr">
        <is>
          <t>Segment Information</t>
        </is>
      </c>
      <c r="B50" s="8" t="inlineStr">
        <is>
          <t>分部資料</t>
        </is>
      </c>
      <c r="C50" s="8" t="inlineStr">
        <is>
          <t>medium</t>
        </is>
      </c>
      <c r="D50" s="11" t="inlineStr">
        <is>
          <t>segment information</t>
        </is>
      </c>
      <c r="E50" s="11" t="inlineStr">
        <is>
          <t>PDF p.140 (印刷頁 139)</t>
        </is>
      </c>
      <c r="F50" s="11" t="inlineStr">
        <is>
          <t>NOTES TO THE CONSOLIDATED FINANCIAL STATEMENTS 綜合財務報表附註 Year ended 31 March 2026 截至2026年3月31日止年度 6. REVENUE AND SEGMENT INFORMATION 6. 收入及分部資料（續） (Continued) Revenue 收入（續） (Continued) Performance obligations for contracts with customers and 客戶合約的履約責任及收入確認政策 revenue recognition policies The Group is engaged in the sales of beauty products, health 本集團透過自有零售店、線上平台及批 products, pharmaceutical products and other consumer 發渠道從事銷售美妝產品、保健產品、 products through its own retail stores, online platforms and 藥品以及其他消費產品。 wh</t>
        </is>
      </c>
    </row>
    <row r="51">
      <c r="A51" s="8" t="inlineStr">
        <is>
          <t>Segment Information</t>
        </is>
      </c>
      <c r="B51" s="8" t="inlineStr">
        <is>
          <t>分部資料</t>
        </is>
      </c>
      <c r="C51" s="8" t="inlineStr">
        <is>
          <t>medium</t>
        </is>
      </c>
      <c r="D51" s="11" t="inlineStr">
        <is>
          <t>segment information</t>
        </is>
      </c>
      <c r="E51" s="11" t="inlineStr">
        <is>
          <t>PDF p.141 (印刷頁 140)</t>
        </is>
      </c>
      <c r="F51" s="11" t="inlineStr">
        <is>
          <t>NOTES TO THE CONSOLIDATED FINANCIAL STATEMENTS 綜合財務報表附註 Year ended 31 March 2026 截至2026年3月31日止年度 6. REVENUE AND SEGMENT INFORMATION 6. 收入及分部資料（續） (Continued) Revenue 收入（續） (Continued) Performance obligations for contracts with customers and 客戶合約的履約責任及收入確認政策 revenue recognition policies (Continued) （續） The Group operates a customer loyalty program for sales 本集團為銷售業務實施客戶忠誠計劃， through which retail customers accumulate points on purchases 零售客戶於本集團零售店購買產品時可 of products at the Group’s retail stores that entitle t</t>
        </is>
      </c>
    </row>
    <row r="52">
      <c r="A52" s="8" t="inlineStr">
        <is>
          <t>Segment Information</t>
        </is>
      </c>
      <c r="B52" s="8" t="inlineStr">
        <is>
          <t>分部資料</t>
        </is>
      </c>
      <c r="C52" s="8" t="inlineStr">
        <is>
          <t>medium</t>
        </is>
      </c>
      <c r="D52" s="11" t="inlineStr">
        <is>
          <t>segment information</t>
        </is>
      </c>
      <c r="E52" s="11" t="inlineStr">
        <is>
          <t>PDF p.142 (印刷頁 141)</t>
        </is>
      </c>
      <c r="F52" s="11" t="inlineStr">
        <is>
          <t>NOTES TO THE CONSOLIDATED FINANCIAL STATEMENTS 綜合財務報表附註 Year ended 31 March 2026 截至2026年3月31日止年度 6. REVENUE AND SEGMENT INFORMATION 6. 收入及分部資料（續） (Continued) Segment information 分部資料（續） (Continued) Geographical information 地區資料 The geographical information of the Group’s revenue based 本集團根據交付貨品所在地的收入地區 on the location of the goods delivered is disclosed above. The 資料於上文披露。本集團的非流動資產 Group’s non-current assets are all located in Hong Kong. 均位於香港。 Information about major customers 有關主要客戶的資料 None of the Group’s</t>
        </is>
      </c>
    </row>
    <row r="53">
      <c r="A53" s="8" t="inlineStr">
        <is>
          <t>Related Party Transactions</t>
        </is>
      </c>
      <c r="B53" s="8" t="inlineStr">
        <is>
          <t>關聯方交易</t>
        </is>
      </c>
      <c r="C53" s="8" t="inlineStr">
        <is>
          <t>low</t>
        </is>
      </c>
      <c r="D53" s="11" t="inlineStr">
        <is>
          <t>關連交易</t>
        </is>
      </c>
      <c r="E53" s="11" t="inlineStr">
        <is>
          <t>PDF p.8 (印刷頁 07)</t>
        </is>
      </c>
      <c r="F53" s="11" t="inlineStr">
        <is>
          <t>it under the Listing Rules 「關連人士」 指 具有上市規則賦予該詞的涵義 “connected has the meaning ascribed to it under the Listing Rules transaction(s)” 「關連交易」 指 具有上市規則賦予該詞的涵義 “Controlling has the meaning ascribed thereto in the Listing Rules, and unless the context Shareholders” otherwise requires, collectively refers to, Mr. Tse, Mrs. Tse, Ms. Tse and TTK Holding (for more details, see the section headed “Relationship with the Controlling Shareholders” in the Prospectus); and “Controlling Shareholder” means any one of them 「控股股東」 指 具有上市規則賦予該詞的涵義，</t>
        </is>
      </c>
    </row>
    <row r="54">
      <c r="A54" s="8" t="inlineStr">
        <is>
          <t>Related Party Transactions</t>
        </is>
      </c>
      <c r="B54" s="8" t="inlineStr">
        <is>
          <t>關聯方交易</t>
        </is>
      </c>
      <c r="C54" s="8" t="inlineStr">
        <is>
          <t>low</t>
        </is>
      </c>
      <c r="D54" s="11" t="inlineStr">
        <is>
          <t>關聯方</t>
        </is>
      </c>
      <c r="E54" s="11" t="inlineStr">
        <is>
          <t>PDF p.25 (印刷頁 24)</t>
        </is>
      </c>
      <c r="F54" s="11" t="inlineStr">
        <is>
          <t>K$23,000,000, which were settled by 股23 港元（合共23,000,000港元），該 way of offsetting with the Group’s amounts due from related 等股息已透過與本集團應收關聯方款項 parties. 進行抵銷的方式結清。 • Upon the Listing, the Company issued and allotted 374,000,000 • 於上市後，本公司因資本化發行而向 new shares to TTK Holding of HK$0.0001 each as a result of the TTK Holding發行及配發374,000,000股 Capitalization Issue, and issued and allotted 125,000,000 new 每股面值0.0001港元的新股份，並因進 shares at an offer price of HK$5.18 per share as a result of the 行全球發售而以每股5.18港元的發售價 Global Offering. 發行及配發125,000,0</t>
        </is>
      </c>
    </row>
    <row r="55">
      <c r="A55" s="8" t="inlineStr">
        <is>
          <t>Related Party Transactions</t>
        </is>
      </c>
      <c r="B55" s="8" t="inlineStr">
        <is>
          <t>關聯方交易</t>
        </is>
      </c>
      <c r="C55" s="8" t="inlineStr">
        <is>
          <t>low</t>
        </is>
      </c>
      <c r="D55" s="11" t="inlineStr">
        <is>
          <t>related party</t>
        </is>
      </c>
      <c r="E55" s="11" t="inlineStr">
        <is>
          <t>PDF p.26 (印刷頁 25)</t>
        </is>
      </c>
      <c r="F55" s="11" t="inlineStr">
        <is>
          <t>corporate guarantee 於2026年3月31日，本集團就授予關聯方的 to an unlimited extent to a bank for banking facilities granted to a 銀行融資，向一間銀行提供無上限的公司擔 related party. As at 31 March 2026, bank facilities utilized by the 保。於2026年3月31日，關聯方已動用的銀 related party amounted to HK$75.1 million. (31 March 2025: HK$92.4 行融資為75.1百萬港元（2025年3月31日： million). The aforesaid corporate guarantee has been released. Apart 92.4百萬港元）。上述公司擔保已獲解除。除 from this, the Group did not have other material contingent liabilities. 上述者外，本集團並無其他重大或然負債。 MAJOR INVESTMENTS, ACQUISITIONS</t>
        </is>
      </c>
    </row>
    <row r="56">
      <c r="A56" s="8" t="inlineStr">
        <is>
          <t>Related Party Transactions</t>
        </is>
      </c>
      <c r="B56" s="8" t="inlineStr">
        <is>
          <t>關聯方交易</t>
        </is>
      </c>
      <c r="C56" s="8" t="inlineStr">
        <is>
          <t>low</t>
        </is>
      </c>
      <c r="D56" s="11" t="inlineStr">
        <is>
          <t>related party</t>
        </is>
      </c>
      <c r="E56" s="11" t="inlineStr">
        <is>
          <t>PDF p.66 (印刷頁 65)</t>
        </is>
      </c>
      <c r="F56" s="11" t="inlineStr">
        <is>
          <t>of the Company are set 有關本公司附屬公司之詳情載於本年報綜合 out in note 38 to the consolidated financial statements in this annual 財務報表附註38。 report. RELATED PARTY TRANSACTIONS 關聯方交易 Details of the related party transactions of the Group during the Year 本集團於本年度的關聯方交易詳情載於本年 are set out in note 35 to the consolidated financial statements in this 報綜合財務報表附註35。 annual report. The directors confirm that, there will not be any other continuing 董事確認，緊隨上市後，除上市規則第14A.76 connected transactions with our Controlling Shareholders immediately 條所指獲全面豁免的微不足道交易外</t>
        </is>
      </c>
    </row>
    <row r="57">
      <c r="A57" s="8" t="inlineStr">
        <is>
          <t>Related Party Transactions</t>
        </is>
      </c>
      <c r="B57" s="8" t="inlineStr">
        <is>
          <t>關聯方交易</t>
        </is>
      </c>
      <c r="C57" s="8" t="inlineStr">
        <is>
          <t>low</t>
        </is>
      </c>
      <c r="D57" s="11" t="inlineStr">
        <is>
          <t>connected transaction</t>
        </is>
      </c>
      <c r="E57" s="11" t="inlineStr">
        <is>
          <t>PDF p.70 (印刷頁 69)</t>
        </is>
      </c>
      <c r="F57" s="11" t="inlineStr">
        <is>
          <t>構成本公司於一次性交易，且不會根據上 off transactions of the Company before the Listing and will not 市規則第14A章分類為持續關連交易。故此， be classified as continuing connected transactions under Chapter 上市規則第14A章有關持續關連交易的申報、 14A of the Listing Rules. Accordingly, the reporting, annual review, 年度審閱、公告、通函及獨立股東批准規定 announcement, circular and independent shareholders’ approval 將不適用於物業租賃協議。 requirements with regard to continuing connected transactions in Chapter 14A of the Listing Rules will not be applicable to the Property Leasing Agreements. The balance of the l</t>
        </is>
      </c>
    </row>
    <row r="58">
      <c r="A58" s="8" t="inlineStr">
        <is>
          <t>Related Party Transactions</t>
        </is>
      </c>
      <c r="B58" s="8" t="inlineStr">
        <is>
          <t>關聯方交易</t>
        </is>
      </c>
      <c r="C58" s="8" t="inlineStr">
        <is>
          <t>low</t>
        </is>
      </c>
      <c r="D58" s="11" t="inlineStr">
        <is>
          <t>關聯方</t>
        </is>
      </c>
      <c r="E58" s="11" t="inlineStr">
        <is>
          <t>PDF p.91 (印刷頁 90)</t>
        </is>
      </c>
      <c r="F58" s="11" t="inlineStr">
        <is>
          <t>投資物業 16 145,270 189,470 Right-of-use assets 使用權資產 17 362,931 261,366 Deposits 按金 19 64,092 52,960 Amounts due from related parties 應收關聯方款項 20 – 273,696 Deferred tax assets 遞延稅項資產 26 6,090 1,798 689,848 852,374 Current assets 流動資產 Inventories 存貨 18 421,907 336,038 Trade and other receivables 貿易及其他應收款項 19 31,598 23,996 Amounts due from related parties 應收關聯方款項 20 37,487 15,381 Cash and cash equivalents 現金及現金等價物 21 73,641 61,182 564,633 436,597 Current liabilities 流動負債 Trade and other payables 貿易及其他應付款項 22 184,150 154,992 Amounts d</t>
        </is>
      </c>
    </row>
    <row r="59">
      <c r="A59" s="8" t="inlineStr">
        <is>
          <t>Related Party Transactions</t>
        </is>
      </c>
      <c r="B59" s="8" t="inlineStr">
        <is>
          <t>關聯方交易</t>
        </is>
      </c>
      <c r="C59" s="8" t="inlineStr">
        <is>
          <t>low</t>
        </is>
      </c>
      <c r="D59" s="11" t="inlineStr">
        <is>
          <t>關聯方</t>
        </is>
      </c>
      <c r="E59" s="11" t="inlineStr">
        <is>
          <t>PDF p.95 (印刷頁 94)</t>
        </is>
      </c>
      <c r="F59" s="11" t="inlineStr">
        <is>
          <t>7 – Payments for rental deposits 支付租賃按金 (15,567) (22,710) Refund of rental deposits 退還租賃按金 5,127 12,568 Advances to related parties 向關聯方墊款 (37,960) (141,883) Repayments from related parties 關聯方還款 38,967 113,282 Interests received 已收利息 4 65 NET CASH USED IN INVESTING ACTIVITIES 投資活動所用現金淨額 (45,572) (93,548) FINANCING ACTIVITIES 融資活動 New bank borrowings raised 新籌集的銀行借款 251,944 311,594 Repayments of bank borrowings 償還銀行借款 (1,570,636) (1,400,013) Interests paid on bank borrowings 銀行借款的已付利息 (19,956) (29,073) Repayments of lease liabi</t>
        </is>
      </c>
    </row>
    <row r="60">
      <c r="A60" s="8" t="inlineStr">
        <is>
          <t>Related Party Transactions</t>
        </is>
      </c>
      <c r="B60" s="8" t="inlineStr">
        <is>
          <t>關聯方交易</t>
        </is>
      </c>
      <c r="C60" s="8" t="inlineStr">
        <is>
          <t>low</t>
        </is>
      </c>
      <c r="D60" s="11" t="inlineStr">
        <is>
          <t>related party</t>
        </is>
      </c>
      <c r="E60" s="11" t="inlineStr">
        <is>
          <t>PDF p.100 (印刷頁 99)</t>
        </is>
      </c>
      <c r="F60" s="11" t="inlineStr">
        <is>
          <t>t of changes in equity for 年度的綜合權益變動表中作為視 the year ended 31 March 2026, and was settled through 作分派予謝先生而於其他儲備扣 the amount due from a related party. 除，並透過應收關聯方款項結算。 Lung Fung Group Holdings Limited / Annual Report 2025/2026 99 龍豐集團控股有限公司 / 二零二五╱二零二六年年報</t>
        </is>
      </c>
    </row>
    <row r="61">
      <c r="A61" s="8" t="inlineStr">
        <is>
          <t>Related Party Transactions</t>
        </is>
      </c>
      <c r="B61" s="8" t="inlineStr">
        <is>
          <t>關聯方交易</t>
        </is>
      </c>
      <c r="C61" s="8" t="inlineStr">
        <is>
          <t>low</t>
        </is>
      </c>
      <c r="D61" s="11" t="inlineStr">
        <is>
          <t>關聯方</t>
        </is>
      </c>
      <c r="E61" s="11" t="inlineStr">
        <is>
          <t>PDF p.127 (印刷頁 126)</t>
        </is>
      </c>
      <c r="F61" s="11" t="inlineStr">
        <is>
          <t>ted parties and bank balances) and financial guarantee 易應收款項、其他應收款項及按金、應 contracts which are subject to impairment assessment under 收關聯方款項及銀行結餘）及財務擔保 HKFRS 9. The amount of ECL is updated at each reporting date 合約進行減值評估。預期信貸虧損金額 to reflect changes in credit risk since initial recognition. 於各報告日期更新，以反映自初始確認 以來信貸風險的變化。 Lung Fung Group Holdings Limited / Annual Report 2025/2026 126 龍豐集團控股有限公司 / 二零二五╱二零二六年年報</t>
        </is>
      </c>
    </row>
    <row r="62">
      <c r="A62" s="8" t="inlineStr">
        <is>
          <t>Related Party Transactions</t>
        </is>
      </c>
      <c r="B62" s="8" t="inlineStr">
        <is>
          <t>關聯方交易</t>
        </is>
      </c>
      <c r="C62" s="8" t="inlineStr">
        <is>
          <t>low</t>
        </is>
      </c>
      <c r="D62" s="11" t="inlineStr">
        <is>
          <t>關聯方</t>
        </is>
      </c>
      <c r="E62" s="11" t="inlineStr">
        <is>
          <t>PDF p.136 (印刷頁 135)</t>
        </is>
      </c>
      <c r="F62" s="11" t="inlineStr">
        <is>
          <t>ties including trade and other payables, amounts 金融負債（包括貿易及其他應付款項、 due to related parties, bank borrowings and bank overdrafts are 應付關聯方款項、銀行借款及銀行透支） subsequently measured at amortized cost, using the effective 其後以實際利率法按攤銷成本計量。 interest method. Derecognition of financial liabilities 終止確認金融負債 The Group derecognizes financial liabilities when, and only 當且僅當本集團的責任獲解除、註銷或 when, the Group’s obligations are discharged, cancelled or have 屆滿時，本集團方終止確認金融負債。 expired. The difference between the carrying amount of the 已終止確認金融負債的賬面值與已付及 fin</t>
        </is>
      </c>
    </row>
    <row r="63">
      <c r="A63" s="8" t="inlineStr">
        <is>
          <t>Related Party Transactions</t>
        </is>
      </c>
      <c r="B63" s="8" t="inlineStr">
        <is>
          <t>關聯方交易</t>
        </is>
      </c>
      <c r="C63" s="8" t="inlineStr">
        <is>
          <t>low</t>
        </is>
      </c>
      <c r="D63" s="11" t="inlineStr">
        <is>
          <t>關聯方</t>
        </is>
      </c>
      <c r="E63" s="11" t="inlineStr">
        <is>
          <t>PDF p.142 (印刷頁 141)</t>
        </is>
      </c>
      <c r="F63" s="11" t="inlineStr">
        <is>
          <t>6 2025 2026年 2025年 HK$’000 HK$’000 千港元 千港元 Interest income: 利息收入： — Bank balances — 銀行結餘 4 65 — Amounts due from related parties — 應收關聯方款項 16,417 14,707 — Rental deposits — 租賃按金 4,294 1,385 Management fee income from related 來自關聯方的管理費收入 parties 1,974 1,974 Fixed operating lease income 固定經營租賃收入 5,333 6,380 Others 其他 5,779 5,815 33,801 30,326 Lung Fung Group Holdings Limited / Annual Report 2025/2026 141 龍豐集團控股有限公司 / 二零二五╱二零二六年年報</t>
        </is>
      </c>
    </row>
    <row r="64">
      <c r="A64" s="8" t="inlineStr">
        <is>
          <t>Related Party Transactions</t>
        </is>
      </c>
      <c r="B64" s="8" t="inlineStr">
        <is>
          <t>關聯方交易</t>
        </is>
      </c>
      <c r="C64" s="8" t="inlineStr">
        <is>
          <t>low</t>
        </is>
      </c>
      <c r="D64" s="11" t="inlineStr">
        <is>
          <t>關聯方</t>
        </is>
      </c>
      <c r="E64" s="11" t="inlineStr">
        <is>
          <t>PDF p.147 (印刷頁 146)</t>
        </is>
      </c>
      <c r="F64" s="11" t="inlineStr">
        <is>
          <t>025年3月 from related parties to Mr. Tse for use by him and his 31日止年度，本集團免費為謝先 family members at no charge during the years ended 生提供向關聯方租用的住宿，供 31 March 2026 and 2025. The estimated money value 彼及其家人使用。截至2026 年3 of the benefit in kind amounted to HK$480,000 (2025: 月31日止年度，該實物福利的估 HK$569,000) for the year ended 31 March 2026. 計貨幣價值為480,000港元（2025 年：569,000港元）。 The directors’ emoluments shown above were for their 上文所示的董事酬金乃就彼等管 services in connection with the management of the affairs 理本集團事務所提供服務而支付。 of the Group. Lung Fung Group</t>
        </is>
      </c>
    </row>
    <row r="65">
      <c r="A65" s="8" t="inlineStr">
        <is>
          <t>Related Party Transactions</t>
        </is>
      </c>
      <c r="B65" s="8" t="inlineStr">
        <is>
          <t>關聯方交易</t>
        </is>
      </c>
      <c r="C65" s="8" t="inlineStr">
        <is>
          <t>low</t>
        </is>
      </c>
      <c r="D65" s="11" t="inlineStr">
        <is>
          <t>關聯方</t>
        </is>
      </c>
      <c r="E65" s="11" t="inlineStr">
        <is>
          <t>PDF p.151 (印刷頁 150)</t>
        </is>
      </c>
      <c r="F65" s="11" t="inlineStr">
        <is>
          <t>h 派股息每股130港元（合共130,000,000 were settled by way of an offsetting with the Group’s amounts 港元），該等股息已透過與本集團應收 due from related parties. 關聯方款項進行抵銷的方式結清。 During the year ended 31 March 2025, LFP, Top Harvest 截至2025 年3 月31 日止年度，龍豐 Pharmaceuticals Company Limited and Pearl Lake Global Limited 藥業、五豐藥業有限公司及Pearl Lake declared dividends of HK$200,000,000, HK$33,000,000 Global Limited分別向其當時各自的股東 and HK$22,000,000 respectively to their respective then 宣派股息200,000,000港元、33,000,000 shareholders. The rate of dividends and number of shares 港元及</t>
        </is>
      </c>
    </row>
    <row r="66">
      <c r="A66" s="8" t="inlineStr">
        <is>
          <t>Related Party Transactions</t>
        </is>
      </c>
      <c r="B66" s="8" t="inlineStr">
        <is>
          <t>關聯方交易</t>
        </is>
      </c>
      <c r="C66" s="8" t="inlineStr">
        <is>
          <t>low</t>
        </is>
      </c>
      <c r="D66" s="11" t="inlineStr">
        <is>
          <t>關聯方</t>
        </is>
      </c>
      <c r="E66" s="11" t="inlineStr">
        <is>
          <t>PDF p.162 (印刷頁 161)</t>
        </is>
      </c>
      <c r="F66" s="11" t="inlineStr">
        <is>
          <t>O THE CONSOLIDATED FINANCIAL STATEMENTS 綜合財務報表附註 Year ended 31 March 2026 截至2026年3月31日止年度 20. AMOUNTS DUE FROM (TO) RELATED 20. 應收（付）關聯方款項 PARTIES Maximum amounts outstanding 最高未償還金額 As at 31 March Year ended 31 March 於3月31日 截至3月31日止年度 2026 2025 2026 2025 2026年 2025年 2026年 2025年 HK$’000 HK$’000 HK$’000 HK$’000 千港元 千港元 千港元 千港元 Amount due from a director and 應收董事及控股股東款項 controlling shareholder (Note i) （附註i） Amount due from Mr. Tse 應收謝先生款項 – 12,252 14,463 69,891 Amounts due from related parties 應收關聯方款項（附註ii） (Note ii) Best Earn I</t>
        </is>
      </c>
    </row>
    <row r="67">
      <c r="A67" s="8" t="inlineStr">
        <is>
          <t>Related Party Transactions</t>
        </is>
      </c>
      <c r="B67" s="8" t="inlineStr">
        <is>
          <t>關聯方交易</t>
        </is>
      </c>
      <c r="C67" s="8" t="inlineStr">
        <is>
          <t>low</t>
        </is>
      </c>
      <c r="D67" s="11" t="inlineStr">
        <is>
          <t>關聯方</t>
        </is>
      </c>
      <c r="E67" s="11" t="inlineStr">
        <is>
          <t>PDF p.163 (印刷頁 162)</t>
        </is>
      </c>
      <c r="F67" s="11" t="inlineStr">
        <is>
          <t>O THE CONSOLIDATED FINANCIAL STATEMENTS 綜合財務報表附註 Year ended 31 March 2026 截至2026年3月31日止年度 20. AMOUNTS DUE FROM (TO) RELATED 20. 應收（付）關聯方款項（續） PARTIES (Continued) As at 31 March 於3月31日 2026 2025 2026年 2025年 HK$’000 HK$’000 千港元 千港元 Amount due to a director and controlling 應付董事及控股股東款項（附註i） shareholder (Note i) Amount due to Mr. Tse 應付謝先生款項 – 10,928 Amounts due to related parties (Note iii) 應付關聯方款項（附註iii） Dragon Grace Corporation Limited 采龍有限公司 1,346 979 Easy Hill International Limited Easy Hill International Limited – 17 Harbour H</t>
        </is>
      </c>
    </row>
    <row r="68">
      <c r="A68" s="8" t="inlineStr">
        <is>
          <t>Related Party Transactions</t>
        </is>
      </c>
      <c r="B68" s="8" t="inlineStr">
        <is>
          <t>關聯方交易</t>
        </is>
      </c>
      <c r="C68" s="8" t="inlineStr">
        <is>
          <t>low</t>
        </is>
      </c>
      <c r="D68" s="11" t="inlineStr">
        <is>
          <t>關聯方</t>
        </is>
      </c>
      <c r="E68" s="11" t="inlineStr">
        <is>
          <t>PDF p.164 (印刷頁 163)</t>
        </is>
      </c>
      <c r="F68" s="11" t="inlineStr">
        <is>
          <t>O THE CONSOLIDATED FINANCIAL STATEMENTS 綜合財務報表附註 Year ended 31 March 2026 截至2026年3月31日止年度 20. AMOUNTS DUE FROM (TO) RELATED 20. 應收（付）關聯方款項（續） PARTIES (Continued) Notes: 附註： (i) The amount due from (to) Mr. Tse is non-trade in nature, unsecured, (i) 應收（付）謝先生款項為非貿易性質、無 interest-free and repayable on demand. 抵押、免息及須按要求償還。 (ii) The amounts due from entities controlled by Mr. Tse are non-trade in (ii) 應收謝先生所控制實體款項為非貿易性 nature, unsecured and repayable on demand. As at 31 March 2026, 質、無抵押及須按要求償還。於2026年 the amounts are interest-free.</t>
        </is>
      </c>
    </row>
    <row r="69">
      <c r="A69" s="8" t="inlineStr">
        <is>
          <t>Related Party Transactions</t>
        </is>
      </c>
      <c r="B69" s="8" t="inlineStr">
        <is>
          <t>關聯方交易</t>
        </is>
      </c>
      <c r="C69" s="8" t="inlineStr">
        <is>
          <t>low</t>
        </is>
      </c>
      <c r="D69" s="11" t="inlineStr">
        <is>
          <t>關聯方</t>
        </is>
      </c>
      <c r="E69" s="11" t="inlineStr">
        <is>
          <t>PDF p.169 (印刷頁 168)</t>
        </is>
      </c>
      <c r="F69" s="11" t="inlineStr">
        <is>
          <t>cured by the Group’s owned properties and (i) 按揭貸款由本集團自有物業及投資物業 investment properties and/or pledge of properties held by related 及╱或關聯方（為謝先生所控制實體）持 parties which are entities controlled by Mr. Tse, interest-bearing 有的物業質押作抵押，於2026年3月31 ranging from 1.80% to 2.50% (2025: 2.05% to 2.71%) per annum 日的年利率介乎1.80%至2.50%（2025 as at 31 March 2026, guaranteed by Mr. Tse, Mrs. Tse and related 年：2.05%至2.71%），由謝先生、謝夫 parties which are entities controlled by Mr. Tse, including Lung Fung 人及關聯方（為謝先生所控制實體，包括 International Trading Limited, Ful</t>
        </is>
      </c>
    </row>
    <row r="70">
      <c r="A70" s="8" t="inlineStr">
        <is>
          <t>Related Party Transactions</t>
        </is>
      </c>
      <c r="B70" s="8" t="inlineStr">
        <is>
          <t>關聯方交易</t>
        </is>
      </c>
      <c r="C70" s="8" t="inlineStr">
        <is>
          <t>low</t>
        </is>
      </c>
      <c r="D70" s="11" t="inlineStr">
        <is>
          <t>related party</t>
        </is>
      </c>
      <c r="E70" s="11" t="inlineStr">
        <is>
          <t>PDF p.170 (印刷頁 169)</t>
        </is>
      </c>
      <c r="F70" s="11" t="inlineStr">
        <is>
          <t>eached a financial covenant 透支而言，本集團違反了相關銀行融資 of the relevant bank facility stipulating a maximum net value 的財務契諾，其中規定龍豐藥業的關聯 of the related party balances of LFP. The relevant bank had 方結餘的最高淨值。相關銀行已同意放 agreed to waive its right to demand immediate repayment 棄其要求即時償還於2025年3月31日 of the outstanding bank loans and bank overdrafts as at 31 的未償還銀行貸款及銀行透支的權利。 March 2025. Such waiver was only related to 31 March 2025 有關豁免僅與2025年3月31日有關，且 and did not stipulate a specific waiver period. As the carrying 並無訂明具體的豁免期限。由於相關銀 amounts of such</t>
        </is>
      </c>
    </row>
    <row r="71">
      <c r="A71" s="8" t="inlineStr">
        <is>
          <t>Related Party Transactions</t>
        </is>
      </c>
      <c r="B71" s="8" t="inlineStr">
        <is>
          <t>關聯方交易</t>
        </is>
      </c>
      <c r="C71" s="8" t="inlineStr">
        <is>
          <t>low</t>
        </is>
      </c>
      <c r="D71" s="11" t="inlineStr">
        <is>
          <t>關聯方</t>
        </is>
      </c>
      <c r="E71" s="11" t="inlineStr">
        <is>
          <t>PDF p.184 (印刷頁 183)</t>
        </is>
      </c>
      <c r="F71" s="11" t="inlineStr">
        <is>
          <t>p’s financial instruments include trade and other 本集團的金融工具包括貿易及其 receivables, amounts due from (to) related parties, cash 他應收款項、應收（付）關聯方款 and cash equivalents, trade and other payables, bank 項、現金及現金等價物、貿易及其 borrowings and bank overdrafts. Details of the financial 他應付款項、銀行借款及銀行透 instruments are disclosed in respective notes. The risks 支。金融工具的詳情於相關附註 associated with these financial instruments include 披露。與此等金融工具相關的風 market risk (currency risk and interest rate risk), credit 險包括市場風險（貨幣風險及利率 risk and liquidity risk. The policies on</t>
        </is>
      </c>
    </row>
    <row r="72">
      <c r="A72" s="8" t="inlineStr">
        <is>
          <t>Related Party Transactions</t>
        </is>
      </c>
      <c r="B72" s="8" t="inlineStr">
        <is>
          <t>關聯方交易</t>
        </is>
      </c>
      <c r="C72" s="8" t="inlineStr">
        <is>
          <t>low</t>
        </is>
      </c>
      <c r="D72" s="11" t="inlineStr">
        <is>
          <t>關聯方</t>
        </is>
      </c>
      <c r="E72" s="11" t="inlineStr">
        <is>
          <t>PDF p.187 (印刷頁 186)</t>
        </is>
      </c>
      <c r="F72" s="11" t="inlineStr">
        <is>
          <t>tinued) （續） Market risk (Continued) 市場風險（續） Interest rate risk 利率風險 The Group is exposed to fair value interest rate risk in 本集團面臨與應收關聯方款項、 relation to fixed-rate amounts due from related parties, 銀行借款以及租賃負債的固定利 bank borrowings and lease liabilities. The Group is also 率金額相關的公平值利率風險。 exposed to cash flow interest rate risk in relation to 本集團亦面臨與浮動利率銀行結 variable-rate bank balances, bank borrowings and bank 餘、銀行借款以及銀行透支相關 overdrafts. The Group’s cash flow interest rate risk is 的現金流量利率風險。本集團的 mainly concentrated on the fluctuation</t>
        </is>
      </c>
    </row>
    <row r="73">
      <c r="A73" s="8" t="inlineStr">
        <is>
          <t>Related Party Transactions</t>
        </is>
      </c>
      <c r="B73" s="8" t="inlineStr">
        <is>
          <t>關聯方交易</t>
        </is>
      </c>
      <c r="C73" s="8" t="inlineStr">
        <is>
          <t>low</t>
        </is>
      </c>
      <c r="D73" s="11" t="inlineStr">
        <is>
          <t>關聯方</t>
        </is>
      </c>
      <c r="E73" s="11" t="inlineStr">
        <is>
          <t>PDF p.189 (印刷頁 188)</t>
        </is>
      </c>
      <c r="F73" s="11" t="inlineStr">
        <is>
          <t>dit risk exposures are primarily attributable to trade 險主要來自貿易應收款項、其他 receivables, other receivables and deposits, amounts 應收款項及按金、應收關聯方款 due from related parties, bank balances and financial 項、銀行結餘及財務擔保合約。 guarantee contracts. The Group does not hold any 本集團並無持有任何抵押品或其 collateral or other credit enhancements to cover the credit 他信貸增強措施以抵銷與其金融 risk associated with their financial assets and financial 資產及財務擔保合約相關的信貸 guarantee contracts. 風險。 Lung Fung Group Holdings Limited / Annual Report 2025/2026 188 龍豐集團控股有限公司 / 二零二五╱二零二六年年報</t>
        </is>
      </c>
    </row>
    <row r="74">
      <c r="A74" s="8" t="inlineStr">
        <is>
          <t>Related Party Transactions</t>
        </is>
      </c>
      <c r="B74" s="8" t="inlineStr">
        <is>
          <t>關聯方交易</t>
        </is>
      </c>
      <c r="C74" s="8" t="inlineStr">
        <is>
          <t>low</t>
        </is>
      </c>
      <c r="D74" s="11" t="inlineStr">
        <is>
          <t>關聯方</t>
        </is>
      </c>
      <c r="E74" s="11" t="inlineStr">
        <is>
          <t>PDF p.191 (印刷頁 190)</t>
        </is>
      </c>
      <c r="F74" s="11" t="inlineStr">
        <is>
          <t>方款項 For other receivables and deposits and amounts due from 就其他應收款項及按金以及應收 related parties, the management makes periodic individual 關聯方款項而言，管理層基於過 assessment on the recoverability of other receivables, 往結算記錄、過往經驗以及合理 deposits and amounts due from related parties based on 且具支持性的定量及定性前瞻性 historical settlement records, past experience, and also 資料，定期對其他應收款項、按 quantitative and qualitative information that is reasonable 金以及應收關聯方款項的可收回 and supportive forward-looking information. 性進行個別評估。 As there is no significant change in the cred</t>
        </is>
      </c>
    </row>
    <row r="75">
      <c r="A75" s="8" t="inlineStr">
        <is>
          <t>Related Party Transactions</t>
        </is>
      </c>
      <c r="B75" s="8" t="inlineStr">
        <is>
          <t>關聯方交易</t>
        </is>
      </c>
      <c r="C75" s="8" t="inlineStr">
        <is>
          <t>low</t>
        </is>
      </c>
      <c r="D75" s="11" t="inlineStr">
        <is>
          <t>related party</t>
        </is>
      </c>
      <c r="E75" s="11" t="inlineStr">
        <is>
          <t>PDF p.192 (印刷頁 191)</t>
        </is>
      </c>
      <c r="F75" s="11" t="inlineStr">
        <is>
          <t>Financial guarantee contracts 財務擔保合約 For financial guarantee contracts, the amount of 就財務擔保合約而言，於2026年 bank facilities utilized by a related party in respect of 3 月31 日，本集團向銀行發出財 which financial guarantee contracts have been issued 務擔保合約所涉及之關聯方已動 to banks by the Group amounted to HK$75,077,000 用銀行融資額為75,077,000港元 (2025: HK$92,409,000) as at 31 March 2026. The fair （2025 年：92,409,000港元）。此 value of this financial guarantee, as at date of initial 財務擔保於初始確認日期的公平 recognition, was considered insignificant. At the end of 值被視為不重大。於報告期末</t>
        </is>
      </c>
    </row>
    <row r="76">
      <c r="A76" s="8" t="inlineStr">
        <is>
          <t>Related Party Transactions</t>
        </is>
      </c>
      <c r="B76" s="8" t="inlineStr">
        <is>
          <t>關聯方交易</t>
        </is>
      </c>
      <c r="C76" s="8" t="inlineStr">
        <is>
          <t>low</t>
        </is>
      </c>
      <c r="D76" s="11" t="inlineStr">
        <is>
          <t>關聯方</t>
        </is>
      </c>
      <c r="E76" s="11" t="inlineStr">
        <is>
          <t>PDF p.194 (印刷頁 193)</t>
        </is>
      </c>
      <c r="F76" s="11" t="inlineStr">
        <is>
          <t>Other receivables and deposits 其他應收款項及按金 19 N/A Low risk 12m ECL 64,215 53,914 不適用 低風險 12個月預期信貸虧損 Amounts due from related parties 應收關聯方款項 20 N/A Low risk 12m ECL 37,487 289,077 不適用 低風險 12個月預期信貸虧損 Bank balances 銀行結餘 21 P-1 N/A 12m ECL 65,700 55,967 P-1 不適用 12個月預期信貸虧損 Other item 其他項目 Financial guarantee contracts 財務擔保合約 35 N/A Low risk 12m ECL 75,077 92,409 不適用 低風險 12個月預期信貸虧損 Note: For financial guarantee contracts, the gross carrying amount 附註： 就財務擔保合約而言，賬面總值 represents the maximum amount the Group has guaranteed 指本集團根據相關合約所擔保的</t>
        </is>
      </c>
    </row>
    <row r="77">
      <c r="A77" s="8" t="inlineStr">
        <is>
          <t>Related Party Transactions</t>
        </is>
      </c>
      <c r="B77" s="8" t="inlineStr">
        <is>
          <t>關聯方交易</t>
        </is>
      </c>
      <c r="C77" s="8" t="inlineStr">
        <is>
          <t>low</t>
        </is>
      </c>
      <c r="D77" s="11" t="inlineStr">
        <is>
          <t>關聯方</t>
        </is>
      </c>
      <c r="E77" s="11" t="inlineStr">
        <is>
          <t>PDF p.197 (印刷頁 196)</t>
        </is>
      </c>
      <c r="F77" s="11" t="inlineStr">
        <is>
          <t>s at 31 March 2026 於2026年3月31日 Trade and other payables 貿易及其他應付款項 – 132,888 – – – – 132,888 132,888 Amounts due to related parties 應付關聯方款項 – 15,789 – – – – 15,789 15,789 Bank borrowings 銀行借款 — fixed-rate — 固定利率 3.49 315,848 – – – – 315,848 315,848 — variable-rate — 浮動利率 3.26 227,596 – – – – 227,596 227,596 Lease liabilities 租賃負債 5.74 19,331 36,150 144,483 194,514 4,119 398,597 372,747 Bank overdrafts 銀行透支 3.78 12,793 – – – – 12,793 12,793 724,245 36,150 144,483 194,514 4,119 1,103,511 1,077,661 Financial guarantee contracts 財務擔</t>
        </is>
      </c>
    </row>
    <row r="78">
      <c r="A78" s="8" t="inlineStr">
        <is>
          <t>Related Party Transactions</t>
        </is>
      </c>
      <c r="B78" s="8" t="inlineStr">
        <is>
          <t>關聯方交易</t>
        </is>
      </c>
      <c r="C78" s="8" t="inlineStr">
        <is>
          <t>low</t>
        </is>
      </c>
      <c r="D78" s="11" t="inlineStr">
        <is>
          <t>關聯方</t>
        </is>
      </c>
      <c r="E78" s="11" t="inlineStr">
        <is>
          <t>PDF p.200 (印刷頁 199)</t>
        </is>
      </c>
      <c r="F78" s="11" t="inlineStr">
        <is>
          <t>nancing 為融資活動現金流量項下的負債。 activities. Amounts due to related Lease Bank Accrued parties liabilities borrowings issue costs Total 應付 應計 關聯方款項 租賃負債 銀行借款 發行成本 總計 HK$’000 HK$’000 HK$’000 HK$’000 HK$’000 千港元 千港元 千港元 千港元 千港元 At 1 April 2024 於2024年4月1日 48,141 221,259 669,279 – 938,679 Financing cash flows 融資現金流量 (68,305) (164,634) (1,117,492) – (1,350,431) Borrowings raised under supplier 供應商融資安排下籌集的借款 finance arrangement – – 1,070,663 – 1,070,663 New leases entered/leases modified 新訂租賃╱經修改租賃 – 190,574 – – 190,574 Interest expenses 利息開支</t>
        </is>
      </c>
    </row>
    <row r="79">
      <c r="A79" s="8" t="inlineStr">
        <is>
          <t>Related Party Transactions</t>
        </is>
      </c>
      <c r="B79" s="8" t="inlineStr">
        <is>
          <t>關聯方交易</t>
        </is>
      </c>
      <c r="C79" s="8" t="inlineStr">
        <is>
          <t>low</t>
        </is>
      </c>
      <c r="D79" s="11" t="inlineStr">
        <is>
          <t>related party</t>
        </is>
      </c>
      <c r="E79" s="11" t="inlineStr">
        <is>
          <t>PDF p.202 (印刷頁 201)</t>
        </is>
      </c>
      <c r="F79" s="11" t="inlineStr">
        <is>
          <t>• 截至2 0 2 6 年3 月3 1 日止年 capital of LFP was reduced by HK$137,000,000, which 度，龍豐藥業的註冊資本減少 was settled through the amount due from a related party. 137,000,000港元，已透過應收一 名關聯方款項結清。 • During the year ended 31 March 2026, dividends declared • 截至2026年3月31日止年度，本 by the Company of HK$130,000,000 were settled by 公司宣派之股息130,000,000港元 way of an offsetting with the Group’s amounts due from 已透過與本集團應收關聯方款項 related parties. 進行抵銷的方式結清。 • During the year ended 31 March 2025, dividends declared • 截至2025 年3 月31 日止年度， by LFP, Top Harvest Pharmace</t>
        </is>
      </c>
    </row>
    <row r="80">
      <c r="A80" s="8" t="inlineStr">
        <is>
          <t>Related Party Transactions</t>
        </is>
      </c>
      <c r="B80" s="8" t="inlineStr">
        <is>
          <t>關聯方交易</t>
        </is>
      </c>
      <c r="C80" s="8" t="inlineStr">
        <is>
          <t>low</t>
        </is>
      </c>
      <c r="D80" s="11" t="inlineStr">
        <is>
          <t>related party</t>
        </is>
      </c>
      <c r="E80" s="11" t="inlineStr">
        <is>
          <t>PDF p.203 (印刷頁 202)</t>
        </is>
      </c>
      <c r="F80" s="11" t="inlineStr">
        <is>
          <t>NOTES TO THE CONSOLIDATED FINANCIAL STATEMENTS 綜合財務報表附註 Year ended 31 March 2026 截至2026年3月31日止年度 35. RELATED PARTY DISCLOSURES 35. 關聯方披露 (a) Related party transactions (a) 關聯方交易 Other than as disclosed elsewhere in the consolidated 除於綜合財務報表其他部分所披 financial statements, the Group has the following 露者外，本集團與關聯方（即董事 transactions with related parties which are entities 兼控股股東謝先生所控制的實體） controlled by Mr. Tse, a director and controlling 進行下列交易： shareholder: 2026 2025 2026年 2025年 HK$’000 HK$’000 千港元 千港元 Ma</t>
        </is>
      </c>
    </row>
    <row r="81">
      <c r="A81" s="8" t="inlineStr">
        <is>
          <t>Related Party Transactions</t>
        </is>
      </c>
      <c r="B81" s="8" t="inlineStr">
        <is>
          <t>關聯方交易</t>
        </is>
      </c>
      <c r="C81" s="8" t="inlineStr">
        <is>
          <t>low</t>
        </is>
      </c>
      <c r="D81" s="11" t="inlineStr">
        <is>
          <t>related party</t>
        </is>
      </c>
      <c r="E81" s="11" t="inlineStr">
        <is>
          <t>PDF p.204 (印刷頁 203)</t>
        </is>
      </c>
      <c r="F81" s="11" t="inlineStr">
        <is>
          <t>NOTES TO THE CONSOLIDATED FINANCIAL STATEMENTS 綜合財務報表附註 Year ended 31 March 2026 截至2026年3月31日止年度 35. RELATED PARTY DISCLOSURES 35. 關聯方披露（續） (Continued) (b) (Continued) (b) （續） Further information about the Group’s leases with related 本集團與關聯方的租賃的進一步 parties is as follows: 資料如下： 2026 2025 2026年 2025年 HK$’000 HK$’000 千港元 千港元 Additions to lease liabilities (including 租賃負債增加（包括租賃 adjustments on lease modifications) 修改調整） 63,734 19,330 Interest expenses on lease liabilities 租賃負債的利息開支 1,258 540 Lease pa</t>
        </is>
      </c>
    </row>
    <row r="82">
      <c r="A82" s="8" t="inlineStr">
        <is>
          <t>Related Party Transactions</t>
        </is>
      </c>
      <c r="B82" s="8" t="inlineStr">
        <is>
          <t>關聯方交易</t>
        </is>
      </c>
      <c r="C82" s="8" t="inlineStr">
        <is>
          <t>low</t>
        </is>
      </c>
      <c r="D82" s="11" t="inlineStr">
        <is>
          <t>related party</t>
        </is>
      </c>
      <c r="E82" s="11" t="inlineStr">
        <is>
          <t>PDF p.205 (印刷頁 204)</t>
        </is>
      </c>
      <c r="F82" s="11" t="inlineStr">
        <is>
          <t>NOTES TO THE CONSOLIDATED FINANCIAL STATEMENTS 綜合財務報表附註 Year ended 31 March 2026 截至2026年3月31日止年度 35. RELATED PARTY DISCLOSURES 35. 關聯方披露（續） (Continued) (g) The Group provided a corporate guarantee to an (g) 本集團就一名關聯方獲授的銀行 unlimited extent to a bank for banking facilities granted 融資，向銀行提供無上限的公司 to a related party. As at 31 March 2026, bank facilities 擔保。於2026 年3 月31 日，關聯 utilized by the related party amounted to HK$75,077,000 方動用的銀行融資為75,077,000 (2025: HK$92,409,000). The corporate guarantee has 港</t>
        </is>
      </c>
    </row>
    <row r="83">
      <c r="A83" s="8" t="inlineStr">
        <is>
          <t>Related Party Transactions</t>
        </is>
      </c>
      <c r="B83" s="8" t="inlineStr">
        <is>
          <t>關聯方交易</t>
        </is>
      </c>
      <c r="C83" s="8" t="inlineStr">
        <is>
          <t>low</t>
        </is>
      </c>
      <c r="D83" s="11" t="inlineStr">
        <is>
          <t>關聯方</t>
        </is>
      </c>
      <c r="E83" s="11" t="inlineStr">
        <is>
          <t>PDF p.212 (印刷頁 211)</t>
        </is>
      </c>
      <c r="F83" s="11" t="inlineStr">
        <is>
          <t>hich were 股息每股23港元（合共23,000,000 settled by way of an offsetting with the Group’s amounts 港元），該等股息已透過與本集團 due from related parties. 應收關聯方款項進行抵銷的方式 結清。 • On 18 May 2026, TTK Holding has resolved that, • 於2026年5月18日，TTK Holding conditional upon the share premium account of the 議決，待本公司股份溢價賬因根 Company being credited as a result of the issue of the 據全球發售發行發售股份而進賬 offer shares pursuant to the Global Offering, the directors 後，本公司董事獲授權將本公司 of the Company were authorized to capitalize HK$37,400 股份溢價賬的進賬金額37,400港 standing to the credit of</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3"/>
  <sheetViews>
    <sheetView workbookViewId="0">
      <pane ySplit="21" topLeftCell="A22"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Total Assets</t>
        </is>
      </c>
    </row>
    <row r="13">
      <c r="A13" s="8" t="inlineStr">
        <is>
          <t>Balance Sheet</t>
        </is>
      </c>
      <c r="B13" s="8" t="inlineStr">
        <is>
          <t>Goodwill</t>
        </is>
      </c>
    </row>
    <row r="14">
      <c r="A14" s="8" t="inlineStr">
        <is>
          <t>Balance Sheet</t>
        </is>
      </c>
      <c r="B14" s="8" t="inlineStr">
        <is>
          <t>Intangible Assets</t>
        </is>
      </c>
    </row>
    <row r="15">
      <c r="A15" s="8" t="inlineStr">
        <is>
          <t>Balance Sheet</t>
        </is>
      </c>
      <c r="B15" s="8" t="inlineStr">
        <is>
          <t>Total Liabilities</t>
        </is>
      </c>
    </row>
    <row r="18">
      <c r="A18" s="5" t="inlineStr">
        <is>
          <t>二、文字量過低的頁面(疑似掃描頁)</t>
        </is>
      </c>
    </row>
    <row r="19">
      <c r="A19" s="2" t="inlineStr">
        <is>
          <t>這些頁面幾乎抓不到文字,通常是掃描件或純圖表,建議人手翻閱或另行 OCR。</t>
        </is>
      </c>
    </row>
    <row r="21">
      <c r="A21" s="7" t="inlineStr">
        <is>
          <t>PDF 頁碼</t>
        </is>
      </c>
      <c r="B21" s="7" t="inlineStr">
        <is>
          <t>狀態</t>
        </is>
      </c>
    </row>
    <row r="22">
      <c r="A22" s="8" t="n">
        <v>1</v>
      </c>
      <c r="B22" s="8" t="inlineStr">
        <is>
          <t>文字量過低 — 可能為掃描頁/圖表頁</t>
        </is>
      </c>
    </row>
    <row r="23">
      <c r="A23" s="8" t="n">
        <v>214</v>
      </c>
      <c r="B23"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2026-08-30T14:16:04Z</dcterms:created>
  <dcterms:modified xsi:type="dcterms:W3CDTF">2026-08-30T14:16:04Z</dcterms:modified>
</cp:coreProperties>
</file>
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9">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FFFFFF"/>
      <sz val="10"/>
    </font>
    <font>
      <name val="Arial"/>
      <color rgb="000000FF"/>
      <sz val="10"/>
    </font>
  </fonts>
  <fills count="4">
    <fill>
      <patternFill/>
    </fill>
    <fill>
      <patternFill patternType="gray125"/>
    </fill>
    <fill>
      <patternFill patternType="solid">
        <fgColor rgb="001F4E5F"/>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0" applyAlignment="1" pivotButton="0" quotePrefix="0" xfId="0">
      <alignment vertical="center" wrapText="1"/>
    </xf>
    <xf numFmtId="0" fontId="4" fillId="0" borderId="1" applyAlignment="1" pivotButton="0" quotePrefix="0" xfId="0">
      <alignment vertical="top"/>
    </xf>
    <xf numFmtId="2" fontId="4" fillId="0" borderId="1" applyAlignment="1" pivotButton="0" quotePrefix="0" xfId="0">
      <alignment vertical="top"/>
    </xf>
    <xf numFmtId="2" fontId="4" fillId="0" borderId="1" applyAlignment="1" pivotButton="0" quotePrefix="0" xfId="0">
      <alignment vertical="top" wrapText="1"/>
    </xf>
    <xf numFmtId="0" fontId="4" fillId="0" borderId="1" applyAlignment="1" pivotButton="0" quotePrefix="0" xfId="0">
      <alignment vertical="top" wrapText="1"/>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165" fontId="4" fillId="0" borderId="0" pivotButton="0" quotePrefix="0" xfId="0"/>
    <xf numFmtId="2" fontId="4" fillId="0" borderId="0" pivotButton="0" quotePrefix="0" xfId="0"/>
    <xf numFmtId="0" fontId="7" fillId="2" borderId="0" pivotButton="0" quotePrefix="0" xfId="0"/>
    <xf numFmtId="164" fontId="0" fillId="0" borderId="0" pivotButton="0" quotePrefix="0" xfId="0"/>
    <xf numFmtId="0" fontId="4"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趨勢圖'!$A$5:$A$9</f>
            </numRef>
          </cat>
          <val>
            <numRef>
              <f>'Chart 趨勢圖'!$B$5:$B$9</f>
            </numRef>
          </val>
        </ser>
        <ser>
          <idx val="1"/>
          <order val="1"/>
          <tx>
            <strRef>
              <f>'Chart 趨勢圖'!C4</f>
            </strRef>
          </tx>
          <spPr>
            <a:ln>
              <a:prstDash val="solid"/>
            </a:ln>
          </spPr>
          <cat>
            <numRef>
              <f>'Chart 趨勢圖'!$A$5:$A$9</f>
            </numRef>
          </cat>
          <val>
            <numRef>
              <f>'Chart 趨勢圖'!$C$5:$C$9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00060_HK_FOOD_INV_20260729.pdf</t>
        </is>
      </c>
    </row>
    <row r="5">
      <c r="A5" s="3" t="inlineStr">
        <is>
          <t>產生時間 Generated</t>
        </is>
      </c>
      <c r="B5" s="4" t="inlineStr">
        <is>
          <t>2026-08-30 22:16</t>
        </is>
      </c>
    </row>
    <row r="6">
      <c r="A6" s="4" t="inlineStr"/>
      <c r="B6" s="4" t="inlineStr"/>
    </row>
    <row r="7">
      <c r="A7" s="3" t="inlineStr">
        <is>
          <t>總頁數 Total pages</t>
        </is>
      </c>
      <c r="B7" s="4" t="n">
        <v>142</v>
      </c>
    </row>
    <row r="8">
      <c r="A8" s="3" t="inlineStr">
        <is>
          <t>已擷取字元 Characters extracted</t>
        </is>
      </c>
      <c r="B8" s="4" t="n">
        <v>339740</v>
      </c>
    </row>
    <row r="9">
      <c r="A9" s="3" t="inlineStr">
        <is>
          <t>含表格頁數 Pages with tables</t>
        </is>
      </c>
      <c r="B9" s="4" t="n">
        <v>0</v>
      </c>
    </row>
    <row r="10">
      <c r="A10" s="3" t="inlineStr">
        <is>
          <t>需人手/OCR 頁數 Pages needing OCR</t>
        </is>
      </c>
      <c r="B10" s="4" t="n">
        <v>2</v>
      </c>
    </row>
    <row r="11">
      <c r="A11" s="4" t="inlineStr"/>
      <c r="B11" s="4" t="inlineStr"/>
    </row>
    <row r="12">
      <c r="A12" s="3" t="inlineStr">
        <is>
          <t>估值參數擷取筆數 Valuation parameters</t>
        </is>
      </c>
      <c r="B12" s="4" t="n">
        <v>7</v>
      </c>
    </row>
    <row r="13">
      <c r="A13" s="3" t="inlineStr">
        <is>
          <t>財務科目擷取筆數 Financial line items</t>
        </is>
      </c>
      <c r="B13" s="4" t="n">
        <v>17</v>
      </c>
    </row>
    <row r="14">
      <c r="A14" s="3" t="inlineStr">
        <is>
          <t>主題段落擷取筆數 Topic extracts</t>
        </is>
      </c>
      <c r="B14" s="4" t="n">
        <v>77</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流動資產 − 流動負債 = 淨流動資產</t>
        </is>
      </c>
      <c r="B19" s="4" t="inlineStr">
        <is>
          <t>152,893 − 36,903 = 115,990</t>
        </is>
      </c>
    </row>
    <row r="20">
      <c r="A20" s="6" t="inlineStr">
        <is>
          <t>✓ 收入 − 銷售成本 = 毛利</t>
        </is>
      </c>
      <c r="B20" s="4" t="inlineStr">
        <is>
          <t>158,329 − 143,063 = 15,266 vs 毛利 15,266</t>
        </is>
      </c>
    </row>
    <row r="21">
      <c r="A21" s="6" t="inlineStr">
        <is>
          <t>✓ 除稅前溢利 ± 稅項 = 年內溢利</t>
        </is>
      </c>
      <c r="B21" s="4" t="inlineStr">
        <is>
          <t>-17,537 + 772 = -18,309 vs -18,309</t>
        </is>
      </c>
    </row>
    <row r="22">
      <c r="A22" s="6" t="inlineStr">
        <is>
          <t>✓ 三大報表應相鄰</t>
        </is>
      </c>
      <c r="B22" s="4" t="inlineStr">
        <is>
          <t>Income Statement: p.55、Balance Sheet: p.57、Cash Flow: p.61(相距 6 頁)</t>
        </is>
      </c>
    </row>
    <row r="24">
      <c r="A24" s="5" t="inlineStr">
        <is>
          <t>方法論 Methodology</t>
        </is>
      </c>
    </row>
    <row r="25">
      <c r="A25" s="4" t="inlineStr">
        <is>
          <t>1. 逐頁擷取文字,全程保留 PDF 頁碼與年報印刷頁碼(可追溯性)。</t>
        </is>
      </c>
    </row>
    <row r="26">
      <c r="A26" s="4" t="inlineStr">
        <is>
          <t>2. 規則層(正則/關鍵字)先把全份文件縮減為少數相關頁面 —— 解決「文件太大」。</t>
        </is>
      </c>
    </row>
    <row r="27">
      <c r="A27" s="4" t="inlineStr">
        <is>
          <t>3. 數字由正則精確擷取並做合理性檢查,不由語言模型生成 —— 解決「準確度」。</t>
        </is>
      </c>
    </row>
    <row r="28">
      <c r="A28" s="4" t="inlineStr">
        <is>
          <t>4. AI 僅在縮減後的頁面上做語意判斷,且輸出頁碼須通過驗證才保留。</t>
        </is>
      </c>
    </row>
    <row r="29">
      <c r="A29" s="4" t="inlineStr">
        <is>
          <t>5. 所有結果附來源頁碼與原文行,供估值師覆核。信心度為 Low 者建議人手確認。</t>
        </is>
      </c>
    </row>
    <row r="30">
      <c r="A30"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7" t="inlineStr">
        <is>
          <t>參數 Parameter</t>
        </is>
      </c>
      <c r="B4" s="7" t="inlineStr">
        <is>
          <t>中文</t>
        </is>
      </c>
      <c r="C4" s="7" t="inlineStr">
        <is>
          <t>下限 Low (%)</t>
        </is>
      </c>
      <c r="D4" s="7" t="inlineStr">
        <is>
          <t>上限 High (%)</t>
        </is>
      </c>
      <c r="E4" s="7" t="inlineStr">
        <is>
          <t>原文數值</t>
        </is>
      </c>
      <c r="F4" s="7" t="inlineStr">
        <is>
          <t>信心度</t>
        </is>
      </c>
      <c r="G4" s="7" t="inlineStr">
        <is>
          <t>來源頁 Source Page</t>
        </is>
      </c>
      <c r="H4" s="7" t="inlineStr">
        <is>
          <t>上下文 Context</t>
        </is>
      </c>
    </row>
    <row r="5">
      <c r="A5" s="8" t="inlineStr">
        <is>
          <t>Discount Rate</t>
        </is>
      </c>
      <c r="B5" s="8" t="inlineStr">
        <is>
          <t>折現率</t>
        </is>
      </c>
      <c r="C5" s="9" t="n">
        <v>10</v>
      </c>
      <c r="D5" s="10" t="n">
        <v>10</v>
      </c>
      <c r="E5" s="11" t="inlineStr">
        <is>
          <t>10%</t>
        </is>
      </c>
      <c r="F5" s="11" t="inlineStr">
        <is>
          <t>High</t>
        </is>
      </c>
      <c r="G5" s="11" t="inlineStr">
        <is>
          <t>PDF p.106 (印刷頁 105)</t>
        </is>
      </c>
      <c r="H5" s="11" t="inlineStr">
        <is>
          <t xml:space="preserve">算的現金流量預測。現金流量 cash-generating units are determined based on value-in-use 預測採用的稅前貼現率為10%。 calculations using cash flow projections based on financial budgets covering a period of the remaining lease terms. The pre-tax discount rate applied for </t>
        </is>
      </c>
    </row>
    <row r="6">
      <c r="A6" s="8" t="inlineStr">
        <is>
          <t>Discount Rate</t>
        </is>
      </c>
      <c r="B6" s="8" t="inlineStr">
        <is>
          <t>折現率</t>
        </is>
      </c>
      <c r="C6" s="9" t="n">
        <v>12.8</v>
      </c>
      <c r="D6" s="10" t="n">
        <v>12.8</v>
      </c>
      <c r="E6" s="11" t="inlineStr">
        <is>
          <t>12.8%</t>
        </is>
      </c>
      <c r="F6" s="11" t="inlineStr">
        <is>
          <t>High</t>
        </is>
      </c>
      <c r="G6" s="11" t="inlineStr">
        <is>
          <t>PDF p.111 (印刷頁 110)</t>
        </is>
      </c>
      <c r="H6" s="11" t="inlineStr">
        <is>
          <t>g a five-year period approved by 算。現金流預測所使用之貼現率為11.5%（二零 senior management. The discount rate applied to the cash flow 二五年：12.8%）。超過五年期間之現金產生單 projection is 11.5% (2025: 12.8%). The growth rate used to 位之現金流增長率預測為2.0%（二零二五年： extrapolate the cash flows o</t>
        </is>
      </c>
    </row>
    <row r="7">
      <c r="A7" s="8" t="inlineStr">
        <is>
          <t>Discount Rate</t>
        </is>
      </c>
      <c r="B7" s="8" t="inlineStr">
        <is>
          <t>折現率</t>
        </is>
      </c>
      <c r="C7" s="9" t="n">
        <v>11.5</v>
      </c>
      <c r="D7" s="10" t="n">
        <v>11.5</v>
      </c>
      <c r="E7" s="11" t="inlineStr">
        <is>
          <t>11.5%</t>
        </is>
      </c>
      <c r="F7" s="11" t="inlineStr">
        <is>
          <t>High</t>
        </is>
      </c>
      <c r="G7" s="11" t="inlineStr">
        <is>
          <t>PDF p.111 (印刷頁 110)</t>
        </is>
      </c>
      <c r="H7" s="11" t="inlineStr">
        <is>
          <t>用現金流預測計 on financial budgets covering a five-year period approved by 算。現金流預測所使用之貼現率為11.5%（二零 senior management. The discount rate applied to the cash flow 二五年：12.8%）。超過五年期間之現金產生單 projection is 11.5% (2025: 12.8%). The growth rate used to 位之現金流</t>
        </is>
      </c>
    </row>
    <row r="8">
      <c r="A8" s="8" t="inlineStr">
        <is>
          <t>Gross Margin</t>
        </is>
      </c>
      <c r="B8" s="8" t="inlineStr">
        <is>
          <t>毛利率</t>
        </is>
      </c>
      <c r="C8" s="9" t="n">
        <v>9.6</v>
      </c>
      <c r="D8" s="10" t="n">
        <v>9.6</v>
      </c>
      <c r="E8" s="11" t="inlineStr">
        <is>
          <t>(%) 9.6</t>
        </is>
      </c>
      <c r="F8" s="11" t="inlineStr">
        <is>
          <t>Medium</t>
        </is>
      </c>
      <c r="G8" s="11" t="inlineStr">
        <is>
          <t>PDF p.13 (印刷頁 12)</t>
        </is>
      </c>
      <c r="H8" s="11" t="inlineStr">
        <is>
          <t>ch 截至三月三十一日止年度 2026 2025 二零二六年 二零二五年 Revenue (HK$’000) 收入（港幣千元） 158,329 186,787 Gross profit margin (%)(1) 毛利率（百分比）(1) 9.6 15.0 Trade receivables turnover (days)(2) 應收貿易賬款周轉（天數）(2) 31 33 Inventory turnover (days)(3) 存貨周轉（天數）(3) 84 92 Operating expenses to sal</t>
        </is>
      </c>
    </row>
    <row r="9">
      <c r="A9" s="8" t="inlineStr">
        <is>
          <t>Gross Margin</t>
        </is>
      </c>
      <c r="B9" s="8" t="inlineStr">
        <is>
          <t>毛利率</t>
        </is>
      </c>
      <c r="C9" s="9" t="n">
        <v>9.6</v>
      </c>
      <c r="D9" s="10" t="n">
        <v>9.6</v>
      </c>
      <c r="E9" s="11" t="inlineStr">
        <is>
          <t>9.6%</t>
        </is>
      </c>
      <c r="F9" s="11" t="inlineStr">
        <is>
          <t>High</t>
        </is>
      </c>
      <c r="G9" s="11" t="inlineStr">
        <is>
          <t>PDF p.14 (印刷頁 13)</t>
        </is>
      </c>
      <c r="H9" s="11" t="inlineStr">
        <is>
          <t>Discussion and Analysis 管理層討論及分析 13 Gross Profit Margin 毛利率 The Group’s overall gross profit margin compressed to 9.6% from 集團整體毛利率由上一財政年度的15.0%收窄至本年 15.0% in the previous financial year. This contraction was primarily 度的9.6%。此降幅主要受貿易業務所拖累，該分部 driven by the t</t>
        </is>
      </c>
    </row>
    <row r="10">
      <c r="A10" s="8" t="inlineStr">
        <is>
          <t>Gross Margin</t>
        </is>
      </c>
      <c r="B10" s="8" t="inlineStr">
        <is>
          <t>毛利率</t>
        </is>
      </c>
      <c r="C10" s="9" t="n">
        <v>67.09999999999999</v>
      </c>
      <c r="D10" s="10" t="n">
        <v>71</v>
      </c>
      <c r="E10" s="11" t="inlineStr">
        <is>
          <t>67.1% to 71.0%</t>
        </is>
      </c>
      <c r="F10" s="11" t="inlineStr">
        <is>
          <t>High</t>
        </is>
      </c>
      <c r="G10" s="11" t="inlineStr">
        <is>
          <t>PDF p.14 (印刷頁 13)</t>
        </is>
      </c>
      <c r="H10" s="11" t="inlineStr">
        <is>
          <t>thin a challenging 利率顯著下降。 economic climate. Conversely, the catering segment’s gross profit margin improved from 相反，餐飲業務的毛利率由67.1%上升至71.0%，反 67.1% to 71.0%, reflecting the successful implementation of stringent 映了實施嚴格成本控制及有效廚餘管理的成功。然 cost control protocols a</t>
        </is>
      </c>
    </row>
    <row r="11">
      <c r="A11" s="8" t="inlineStr">
        <is>
          <t>Gross Margin</t>
        </is>
      </c>
      <c r="B11" s="8" t="inlineStr">
        <is>
          <t>毛利率</t>
        </is>
      </c>
      <c r="C11" s="9" t="n">
        <v>15</v>
      </c>
      <c r="D11" s="10" t="n">
        <v>15</v>
      </c>
      <c r="E11" s="11" t="inlineStr">
        <is>
          <t>15.0%</t>
        </is>
      </c>
      <c r="F11" s="11" t="inlineStr">
        <is>
          <t>High</t>
        </is>
      </c>
      <c r="G11" s="11" t="inlineStr">
        <is>
          <t>PDF p.14 (印刷頁 13)</t>
        </is>
      </c>
      <c r="H11" s="11" t="inlineStr">
        <is>
          <t xml:space="preserve"> Margin 毛利率 The Group’s overall gross profit margin compressed to 9.6% from 集團整體毛利率由上一財政年度的15.0%收窄至本年 15.0% in the previous financial year. This contraction was primarily 度的9.6%。此降幅主要受貿易業務所拖累，該分部 driven by the trading segment, where the gross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3"/>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2026 / 2025; Balance Sheet: 2026 / 2025; Cash Flow: 2026 / 2025</t>
        </is>
      </c>
    </row>
    <row r="4">
      <c r="A4" s="7" t="inlineStr">
        <is>
          <t>報表 Statement</t>
        </is>
      </c>
      <c r="B4" s="7" t="inlineStr">
        <is>
          <t>科目 Item</t>
        </is>
      </c>
      <c r="C4" s="7" t="inlineStr">
        <is>
          <t>本年 Current</t>
        </is>
      </c>
      <c r="D4" s="7" t="inlineStr">
        <is>
          <t>上年 Prior</t>
        </is>
      </c>
      <c r="E4" s="7" t="inlineStr">
        <is>
          <t>變動 YoY %</t>
        </is>
      </c>
      <c r="F4" s="7" t="inlineStr">
        <is>
          <t>來源頁</t>
        </is>
      </c>
      <c r="G4" s="7" t="inlineStr">
        <is>
          <t>原文行 Source line</t>
        </is>
      </c>
    </row>
    <row r="5">
      <c r="A5" s="8" t="inlineStr">
        <is>
          <t>Income Statement</t>
        </is>
      </c>
      <c r="B5" s="8" t="inlineStr">
        <is>
          <t>Revenue</t>
        </is>
      </c>
      <c r="C5" s="12" t="n">
        <v>158329</v>
      </c>
      <c r="D5" s="13" t="n">
        <v>186787</v>
      </c>
      <c r="E5" s="14">
        <f>IF(ISERROR((C5-D5)/ABS(D5)),"",(C5-D5)/ABS(D5))</f>
        <v>-0.15235535663616848</v>
      </c>
      <c r="F5" s="11" t="inlineStr">
        <is>
          <t>PDF p.55 (印刷頁 54)</t>
        </is>
      </c>
      <c r="G5" s="11" t="inlineStr">
        <is>
          <t>REVENUE 收入 5 158,329 186,787</t>
        </is>
      </c>
    </row>
    <row r="6">
      <c r="A6" s="8" t="inlineStr">
        <is>
          <t>Income Statement</t>
        </is>
      </c>
      <c r="B6" s="8" t="inlineStr">
        <is>
          <t>Cost of Sales</t>
        </is>
      </c>
      <c r="C6" s="12" t="n">
        <v>-143063</v>
      </c>
      <c r="D6" s="13" t="n">
        <v>-158703</v>
      </c>
      <c r="E6" s="14">
        <f>IF(ISERROR((C6-D6)/ABS(D6)),"",(C6-D6)/ABS(D6))</f>
        <v>0.09854886171023862</v>
      </c>
      <c r="F6" s="11" t="inlineStr">
        <is>
          <t>PDF p.55 (印刷頁 54)</t>
        </is>
      </c>
      <c r="G6" s="11" t="inlineStr">
        <is>
          <t>Cost of sales 銷售成本 (143,063) (158,703)</t>
        </is>
      </c>
    </row>
    <row r="7">
      <c r="A7" s="8" t="inlineStr">
        <is>
          <t>Income Statement</t>
        </is>
      </c>
      <c r="B7" s="8" t="inlineStr">
        <is>
          <t>Gross Profit</t>
        </is>
      </c>
      <c r="C7" s="12" t="n">
        <v>15266</v>
      </c>
      <c r="D7" s="13" t="n">
        <v>28084</v>
      </c>
      <c r="E7" s="14">
        <f>IF(ISERROR((C7-D7)/ABS(D7)),"",(C7-D7)/ABS(D7))</f>
        <v>-0.45641646489104115</v>
      </c>
      <c r="F7" s="11" t="inlineStr">
        <is>
          <t>PDF p.55 (印刷頁 54)</t>
        </is>
      </c>
      <c r="G7" s="11" t="inlineStr">
        <is>
          <t>Gross profit 毛利 15,266 28,084</t>
        </is>
      </c>
    </row>
    <row r="8">
      <c r="A8" s="8" t="inlineStr">
        <is>
          <t>Income Statement</t>
        </is>
      </c>
      <c r="B8" s="8" t="inlineStr">
        <is>
          <t>Finance Costs</t>
        </is>
      </c>
      <c r="C8" s="12" t="n">
        <v>-1060</v>
      </c>
      <c r="D8" s="13" t="n">
        <v>-1720</v>
      </c>
      <c r="E8" s="14">
        <f>IF(ISERROR((C8-D8)/ABS(D8)),"",(C8-D8)/ABS(D8))</f>
        <v>0.38372093023255816</v>
      </c>
      <c r="F8" s="11" t="inlineStr">
        <is>
          <t>PDF p.55 (印刷頁 54)</t>
        </is>
      </c>
      <c r="G8" s="11" t="inlineStr">
        <is>
          <t>Finance costs 融資成本 6 (1,060) (1,720)</t>
        </is>
      </c>
    </row>
    <row r="9">
      <c r="A9" s="8" t="inlineStr">
        <is>
          <t>Income Statement</t>
        </is>
      </c>
      <c r="B9" s="8" t="inlineStr">
        <is>
          <t>Profit Before Tax</t>
        </is>
      </c>
      <c r="C9" s="12" t="n">
        <v>-17537</v>
      </c>
      <c r="D9" s="13" t="n">
        <v>-18443</v>
      </c>
      <c r="E9" s="14">
        <f>IF(ISERROR((C9-D9)/ABS(D9)),"",(C9-D9)/ABS(D9))</f>
        <v>0.049124329013717945</v>
      </c>
      <c r="F9" s="11" t="inlineStr">
        <is>
          <t>PDF p.55 (印刷頁 54)</t>
        </is>
      </c>
      <c r="G9" s="11" t="inlineStr">
        <is>
          <t>LOSS BEFORE TAX 除稅前虧損 7 (17,537) (18,443)</t>
        </is>
      </c>
    </row>
    <row r="10">
      <c r="A10" s="8" t="inlineStr">
        <is>
          <t>Income Statement</t>
        </is>
      </c>
      <c r="B10" s="8" t="inlineStr">
        <is>
          <t>Income Tax</t>
        </is>
      </c>
      <c r="C10" s="12" t="n">
        <v>-772</v>
      </c>
      <c r="D10" s="13" t="n">
        <v>-909</v>
      </c>
      <c r="E10" s="14">
        <f>IF(ISERROR((C10-D10)/ABS(D10)),"",(C10-D10)/ABS(D10))</f>
        <v>0.15071507150715072</v>
      </c>
      <c r="F10" s="11" t="inlineStr">
        <is>
          <t>PDF p.55 (印刷頁 54)</t>
        </is>
      </c>
      <c r="G10" s="11" t="inlineStr">
        <is>
          <t>Income tax expense 所得稅開支 10 (772) (909)</t>
        </is>
      </c>
    </row>
    <row r="11">
      <c r="A11" s="8" t="inlineStr">
        <is>
          <t>Income Statement</t>
        </is>
      </c>
      <c r="B11" s="8" t="inlineStr">
        <is>
          <t>Profit for the Year</t>
        </is>
      </c>
      <c r="C11" s="12" t="n">
        <v>-18309</v>
      </c>
      <c r="D11" s="13" t="n">
        <v>-19352</v>
      </c>
      <c r="E11" s="14">
        <f>IF(ISERROR((C11-D11)/ABS(D11)),"",(C11-D11)/ABS(D11))</f>
        <v>0.05389623811492352</v>
      </c>
      <c r="F11" s="11" t="inlineStr">
        <is>
          <t>PDF p.55 (印刷頁 54)</t>
        </is>
      </c>
      <c r="G11" s="11" t="inlineStr">
        <is>
          <t>LOSS FOR THE YEAR 本年度虧損 (18,309) (19,352)</t>
        </is>
      </c>
    </row>
    <row r="12">
      <c r="A12" s="8" t="inlineStr">
        <is>
          <t>Balance Sheet</t>
        </is>
      </c>
      <c r="B12" s="8" t="inlineStr">
        <is>
          <t>Property Plant and Equipment</t>
        </is>
      </c>
      <c r="C12" s="12" t="n">
        <v>14436</v>
      </c>
      <c r="D12" s="13" t="n">
        <v>37224</v>
      </c>
      <c r="E12" s="14">
        <f>IF(ISERROR((C12-D12)/ABS(D12)),"",(C12-D12)/ABS(D12))</f>
        <v>-0.6121856866537717</v>
      </c>
      <c r="F12" s="11" t="inlineStr">
        <is>
          <t>PDF p.57 (印刷頁 56)</t>
        </is>
      </c>
      <c r="G12" s="11" t="inlineStr">
        <is>
          <t>Property, plant and equipment 物業、廠房及設備 12 14,436 37,224</t>
        </is>
      </c>
    </row>
    <row r="13">
      <c r="A13" s="8" t="inlineStr">
        <is>
          <t>Balance Sheet</t>
        </is>
      </c>
      <c r="B13" s="8" t="inlineStr">
        <is>
          <t>Goodwill</t>
        </is>
      </c>
      <c r="C13" s="12" t="n">
        <v>2103</v>
      </c>
      <c r="D13" s="13" t="n">
        <v>2103</v>
      </c>
      <c r="E13" s="14">
        <f>IF(ISERROR((C13-D13)/ABS(D13)),"",(C13-D13)/ABS(D13))</f>
        <v>0.0</v>
      </c>
      <c r="F13" s="11" t="inlineStr">
        <is>
          <t>PDF p.57 (印刷頁 56)</t>
        </is>
      </c>
      <c r="G13" s="11" t="inlineStr">
        <is>
          <t>Goodwill 商譽 15 2,103 2,103</t>
        </is>
      </c>
    </row>
    <row r="14">
      <c r="A14" s="8" t="inlineStr">
        <is>
          <t>Balance Sheet</t>
        </is>
      </c>
      <c r="B14" s="8" t="inlineStr">
        <is>
          <t>Inventories</t>
        </is>
      </c>
      <c r="C14" s="12" t="n">
        <v>29384</v>
      </c>
      <c r="D14" s="13" t="n">
        <v>36453</v>
      </c>
      <c r="E14" s="14">
        <f>IF(ISERROR((C14-D14)/ABS(D14)),"",(C14-D14)/ABS(D14))</f>
        <v>-0.19392093929169066</v>
      </c>
      <c r="F14" s="11" t="inlineStr">
        <is>
          <t>PDF p.57 (印刷頁 56)</t>
        </is>
      </c>
      <c r="G14" s="11" t="inlineStr">
        <is>
          <t>Inventories 存貨 17 29,384 36,453</t>
        </is>
      </c>
    </row>
    <row r="15">
      <c r="A15" s="8" t="inlineStr">
        <is>
          <t>Balance Sheet</t>
        </is>
      </c>
      <c r="B15" s="8" t="inlineStr">
        <is>
          <t>Trade Receivables</t>
        </is>
      </c>
      <c r="C15" s="12" t="n">
        <v>11558</v>
      </c>
      <c r="D15" s="13" t="n">
        <v>15520</v>
      </c>
      <c r="E15" s="14">
        <f>IF(ISERROR((C15-D15)/ABS(D15)),"",(C15-D15)/ABS(D15))</f>
        <v>-0.25528350515463916</v>
      </c>
      <c r="F15" s="11" t="inlineStr">
        <is>
          <t>PDF p.57 (印刷頁 56)</t>
        </is>
      </c>
      <c r="G15" s="11" t="inlineStr">
        <is>
          <t>Trade receivables 應收貿易賬款 18 11,558 15,520</t>
        </is>
      </c>
    </row>
    <row r="16">
      <c r="A16" s="8" t="inlineStr">
        <is>
          <t>Balance Sheet</t>
        </is>
      </c>
      <c r="B16" s="8" t="inlineStr">
        <is>
          <t>Cash and Equivalents</t>
        </is>
      </c>
      <c r="C16" s="12" t="n">
        <v>66523</v>
      </c>
      <c r="D16" s="13" t="n">
        <v>80294</v>
      </c>
      <c r="E16" s="14">
        <f>IF(ISERROR((C16-D16)/ABS(D16)),"",(C16-D16)/ABS(D16))</f>
        <v>-0.17150721099957655</v>
      </c>
      <c r="F16" s="11" t="inlineStr">
        <is>
          <t>PDF p.57 (印刷頁 56)</t>
        </is>
      </c>
      <c r="G16" s="11" t="inlineStr">
        <is>
          <t>Cash and cash equivalents 現金及現金等值項目 21 66,523 80,294</t>
        </is>
      </c>
    </row>
    <row r="17">
      <c r="A17" s="8" t="inlineStr">
        <is>
          <t>Balance Sheet</t>
        </is>
      </c>
      <c r="B17" s="8" t="inlineStr">
        <is>
          <t>Total Current Assets</t>
        </is>
      </c>
      <c r="C17" s="12" t="n">
        <v>152893</v>
      </c>
      <c r="D17" s="13" t="n">
        <v>144126</v>
      </c>
      <c r="E17" s="14">
        <f>IF(ISERROR((C17-D17)/ABS(D17)),"",(C17-D17)/ABS(D17))</f>
        <v>0.06082871931504378</v>
      </c>
      <c r="F17" s="11" t="inlineStr">
        <is>
          <t>PDF p.57 (印刷頁 56)</t>
        </is>
      </c>
      <c r="G17" s="11" t="inlineStr">
        <is>
          <t>Total current assets 流動資產總值 152,893 144,126</t>
        </is>
      </c>
    </row>
    <row r="18">
      <c r="A18" s="8" t="inlineStr">
        <is>
          <t>Balance Sheet</t>
        </is>
      </c>
      <c r="B18" s="8" t="inlineStr">
        <is>
          <t>Total Current Liabilities</t>
        </is>
      </c>
      <c r="C18" s="12" t="n">
        <v>36903</v>
      </c>
      <c r="D18" s="13" t="n">
        <v>53561</v>
      </c>
      <c r="E18" s="14">
        <f>IF(ISERROR((C18-D18)/ABS(D18)),"",(C18-D18)/ABS(D18))</f>
        <v>-0.3110098765893094</v>
      </c>
      <c r="F18" s="11" t="inlineStr">
        <is>
          <t>PDF p.57 (印刷頁 56)</t>
        </is>
      </c>
      <c r="G18" s="11" t="inlineStr">
        <is>
          <t>Total current liabilities 流動負債總值 36,903 53,561</t>
        </is>
      </c>
    </row>
    <row r="19">
      <c r="A19" s="8" t="inlineStr">
        <is>
          <t>Balance Sheet</t>
        </is>
      </c>
      <c r="B19" s="8" t="inlineStr">
        <is>
          <t>Total Equity</t>
        </is>
      </c>
      <c r="C19" s="12" t="n">
        <v>514697</v>
      </c>
      <c r="D19" s="13" t="n">
        <v>527212</v>
      </c>
      <c r="E19" s="14">
        <f>IF(ISERROR((C19-D19)/ABS(D19)),"",(C19-D19)/ABS(D19))</f>
        <v>-0.02373807879942035</v>
      </c>
      <c r="F19" s="11" t="inlineStr">
        <is>
          <t>PDF p.58 (印刷頁 57)</t>
        </is>
      </c>
      <c r="G19" s="11" t="inlineStr">
        <is>
          <t>Total equity 權益總值 514,697 527,212</t>
        </is>
      </c>
    </row>
    <row r="20">
      <c r="A20" s="8" t="inlineStr">
        <is>
          <t>Cash Flow</t>
        </is>
      </c>
      <c r="B20" s="8" t="inlineStr">
        <is>
          <t>Operating Cash Flow</t>
        </is>
      </c>
      <c r="C20" s="12" t="n">
        <v>-7890</v>
      </c>
      <c r="D20" s="13" t="n">
        <v>7201</v>
      </c>
      <c r="E20" s="14">
        <f>IF(ISERROR((C20-D20)/ABS(D20)),"",(C20-D20)/ABS(D20))</f>
        <v>-2.095681155395084</v>
      </c>
      <c r="F20" s="11" t="inlineStr">
        <is>
          <t>PDF p.61 (印刷頁 60)</t>
        </is>
      </c>
      <c r="G20" s="11" t="inlineStr">
        <is>
          <t>Cash generated from/(used in) operations 經營業務流入╱（流出）之現金 (7,890) 7,201</t>
        </is>
      </c>
    </row>
    <row r="21">
      <c r="A21" s="8" t="inlineStr">
        <is>
          <t>Cash Flow</t>
        </is>
      </c>
      <c r="B21" s="8" t="inlineStr">
        <is>
          <t>Financing Cash Flow</t>
        </is>
      </c>
      <c r="C21" s="12" t="n">
        <v>-17546</v>
      </c>
      <c r="D21" s="13" t="n">
        <v>-12848</v>
      </c>
      <c r="E21" s="14">
        <f>IF(ISERROR((C21-D21)/ABS(D21)),"",(C21-D21)/ABS(D21))</f>
        <v>-0.36566002490660027</v>
      </c>
      <c r="F21" s="11" t="inlineStr">
        <is>
          <t>PDF p.62 (印刷頁 61)</t>
        </is>
      </c>
      <c r="G21" s="11" t="inlineStr">
        <is>
          <t>Net cash flows used in financing activities 融資活動之現金流出淨額 (17,546) (12,848)</t>
        </is>
      </c>
    </row>
    <row r="23">
      <c r="A23"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7" t="inlineStr">
        <is>
          <t>比率 Ratio</t>
        </is>
      </c>
      <c r="B4" s="7" t="inlineStr">
        <is>
          <t>本年 Current</t>
        </is>
      </c>
      <c r="C4" s="7" t="inlineStr">
        <is>
          <t>上年 Prior</t>
        </is>
      </c>
      <c r="D4" s="7" t="inlineStr">
        <is>
          <t>說明</t>
        </is>
      </c>
    </row>
    <row r="5">
      <c r="A5" s="4" t="inlineStr">
        <is>
          <t>Gross Margin 毛利率</t>
        </is>
      </c>
      <c r="B5" s="15">
        <f>IF(ISERROR(INDEX('Financials 財務數據'!$C$5:$C$21,MATCH("Gross Profit",'Financials 財務數據'!$B$5:$B$21,0))/INDEX('Financials 財務數據'!$C$5:$C$21,MATCH("Revenue",'Financials 財務數據'!$B$5:$B$21,0))),"n/a",INDEX('Financials 財務數據'!$C$5:$C$21,MATCH("Gross Profit",'Financials 財務數據'!$B$5:$B$21,0))/INDEX('Financials 財務數據'!$C$5:$C$21,MATCH("Revenue",'Financials 財務數據'!$B$5:$B$21,0)))</f>
        <v>0.09641948095421558</v>
      </c>
      <c r="C5" s="15">
        <f>IF(ISERROR(INDEX('Financials 財務數據'!$D$5:$D$21,MATCH("Gross Profit",'Financials 財務數據'!$B$5:$B$21,0))/INDEX('Financials 財務數據'!$D$5:$D$21,MATCH("Revenue",'Financials 財務數據'!$B$5:$B$21,0))),"n/a",INDEX('Financials 財務數據'!$D$5:$D$21,MATCH("Gross Profit",'Financials 財務數據'!$B$5:$B$21,0))/INDEX('Financials 財務數據'!$D$5:$D$21,MATCH("Revenue",'Financials 財務數據'!$B$5:$B$21,0)))</f>
        <v>0.15035307596353065</v>
      </c>
      <c r="D5" s="2" t="inlineStr">
        <is>
          <t>毛利 ÷ 收入</t>
        </is>
      </c>
    </row>
    <row r="6">
      <c r="A6" s="4" t="inlineStr">
        <is>
          <t>Net Margin 淨利率</t>
        </is>
      </c>
      <c r="B6" s="15">
        <f>IF(ISERROR(INDEX('Financials 財務數據'!$C$5:$C$21,MATCH("Profit for the Year",'Financials 財務數據'!$B$5:$B$21,0))/INDEX('Financials 財務數據'!$C$5:$C$21,MATCH("Revenue",'Financials 財務數據'!$B$5:$B$21,0))),"n/a",INDEX('Financials 財務數據'!$C$5:$C$21,MATCH("Profit for the Year",'Financials 財務數據'!$B$5:$B$21,0))/INDEX('Financials 財務數據'!$C$5:$C$21,MATCH("Revenue",'Financials 財務數據'!$B$5:$B$21,0)))</f>
        <v>-0.11563895432927639</v>
      </c>
      <c r="C6" s="15">
        <f>IF(ISERROR(INDEX('Financials 財務數據'!$D$5:$D$21,MATCH("Profit for the Year",'Financials 財務數據'!$B$5:$B$21,0))/INDEX('Financials 財務數據'!$D$5:$D$21,MATCH("Revenue",'Financials 財務數據'!$B$5:$B$21,0))),"n/a",INDEX('Financials 財務數據'!$D$5:$D$21,MATCH("Profit for the Year",'Financials 財務數據'!$B$5:$B$21,0))/INDEX('Financials 財務數據'!$D$5:$D$21,MATCH("Revenue",'Financials 財務數據'!$B$5:$B$21,0)))</f>
        <v>-0.10360464057991188</v>
      </c>
      <c r="D6" s="2" t="inlineStr">
        <is>
          <t>年內溢利 ÷ 收入</t>
        </is>
      </c>
    </row>
    <row r="7">
      <c r="A7" s="4" t="inlineStr">
        <is>
          <t>Current Ratio 流動比率</t>
        </is>
      </c>
      <c r="B7" s="16">
        <f>IF(ISERROR(INDEX('Financials 財務數據'!$C$5:$C$21,MATCH("Total Current Assets",'Financials 財務數據'!$B$5:$B$21,0))/INDEX('Financials 財務數據'!$C$5:$C$21,MATCH("Total Current Liabilities",'Financials 財務數據'!$B$5:$B$21,0))),"n/a",INDEX('Financials 財務數據'!$C$5:$C$21,MATCH("Total Current Assets",'Financials 財務數據'!$B$5:$B$21,0))/INDEX('Financials 財務數據'!$C$5:$C$21,MATCH("Total Current Liabilities",'Financials 財務數據'!$B$5:$B$21,0)))</f>
        <v>4.143104896620871</v>
      </c>
      <c r="C7" s="16">
        <f>IF(ISERROR(INDEX('Financials 財務數據'!$D$5:$D$21,MATCH("Total Current Assets",'Financials 財務數據'!$B$5:$B$21,0))/INDEX('Financials 財務數據'!$D$5:$D$21,MATCH("Total Current Liabilities",'Financials 財務數據'!$B$5:$B$21,0))),"n/a",INDEX('Financials 財務數據'!$D$5:$D$21,MATCH("Total Current Assets",'Financials 財務數據'!$B$5:$B$21,0))/INDEX('Financials 財務數據'!$D$5:$D$21,MATCH("Total Current Liabilities",'Financials 財務數據'!$B$5:$B$21,0)))</f>
        <v>2.6908758238270383</v>
      </c>
      <c r="D7" s="2" t="inlineStr">
        <is>
          <t>流動資產 ÷ 流動負債</t>
        </is>
      </c>
    </row>
    <row r="8">
      <c r="A8" s="4" t="inlineStr">
        <is>
          <t>Debt / Equity 負債權益比</t>
        </is>
      </c>
      <c r="B8" s="16" t="str">
        <f>IF(ISERROR(INDEX('Financials 財務數據'!$C$5:$C$21,MATCH("Total Liabilities",'Financials 財務數據'!$B$5:$B$21,0))/INDEX('Financials 財務數據'!$C$5:$C$21,MATCH("Total Equity",'Financials 財務數據'!$B$5:$B$21,0))),"n/a",INDEX('Financials 財務數據'!$C$5:$C$21,MATCH("Total Liabilities",'Financials 財務數據'!$B$5:$B$21,0))/INDEX('Financials 財務數據'!$C$5:$C$21,MATCH("Total Equity",'Financials 財務數據'!$B$5:$B$21,0)))</f>
        <v>n/a</v>
      </c>
      <c r="C8" s="16" t="str">
        <f>IF(ISERROR(INDEX('Financials 財務數據'!$D$5:$D$21,MATCH("Total Liabilities",'Financials 財務數據'!$B$5:$B$21,0))/INDEX('Financials 財務數據'!$D$5:$D$21,MATCH("Total Equity",'Financials 財務數據'!$B$5:$B$21,0))),"n/a",INDEX('Financials 財務數據'!$D$5:$D$21,MATCH("Total Liabilities",'Financials 財務數據'!$B$5:$B$21,0))/INDEX('Financials 財務數據'!$D$5:$D$21,MATCH("Total Equity",'Financials 財務數據'!$B$5:$B$21,0)))</f>
        <v>n/a</v>
      </c>
      <c r="D8" s="2" t="inlineStr">
        <is>
          <t>總負債 ÷ 總權益</t>
        </is>
      </c>
    </row>
    <row r="9">
      <c r="A9" s="4" t="inlineStr">
        <is>
          <t>Goodwill / Total Assets</t>
        </is>
      </c>
      <c r="B9" s="15" t="str">
        <f>IF(ISERROR(INDEX('Financials 財務數據'!$C$5:$C$21,MATCH("Goodwill",'Financials 財務數據'!$B$5:$B$21,0))/INDEX('Financials 財務數據'!$C$5:$C$21,MATCH("Total Assets",'Financials 財務數據'!$B$5:$B$21,0))),"n/a",INDEX('Financials 財務數據'!$C$5:$C$21,MATCH("Goodwill",'Financials 財務數據'!$B$5:$B$21,0))/INDEX('Financials 財務數據'!$C$5:$C$21,MATCH("Total Assets",'Financials 財務數據'!$B$5:$B$21,0)))</f>
        <v>n/a</v>
      </c>
      <c r="C9" s="15" t="str">
        <f>IF(ISERROR(INDEX('Financials 財務數據'!$D$5:$D$21,MATCH("Goodwill",'Financials 財務數據'!$B$5:$B$21,0))/INDEX('Financials 財務數據'!$D$5:$D$21,MATCH("Total Assets",'Financials 財務數據'!$B$5:$B$21,0))),"n/a",INDEX('Financials 財務數據'!$D$5:$D$21,MATCH("Goodwill",'Financials 財務數據'!$B$5:$B$21,0))/INDEX('Financials 財務數據'!$D$5:$D$21,MATCH("Total Assets",'Financials 財務數據'!$B$5:$B$21,0)))</f>
        <v>n/a</v>
      </c>
      <c r="D9" s="2" t="inlineStr">
        <is>
          <t>商譽佔總資產比重 — 減值風險指標</t>
        </is>
      </c>
    </row>
    <row r="10">
      <c r="A10" s="4" t="inlineStr">
        <is>
          <t>Intangibles / Total Assets</t>
        </is>
      </c>
      <c r="B10" s="15" t="str">
        <f>IF(ISERROR(INDEX('Financials 財務數據'!$C$5:$C$21,MATCH("Intangible Assets",'Financials 財務數據'!$B$5:$B$21,0))/INDEX('Financials 財務數據'!$C$5:$C$21,MATCH("Total Assets",'Financials 財務數據'!$B$5:$B$21,0))),"n/a",INDEX('Financials 財務數據'!$C$5:$C$21,MATCH("Intangible Assets",'Financials 財務數據'!$B$5:$B$21,0))/INDEX('Financials 財務數據'!$C$5:$C$21,MATCH("Total Assets",'Financials 財務數據'!$B$5:$B$21,0)))</f>
        <v>n/a</v>
      </c>
      <c r="C10" s="15" t="str">
        <f>IF(ISERROR(INDEX('Financials 財務數據'!$D$5:$D$21,MATCH("Intangible Assets",'Financials 財務數據'!$B$5:$B$21,0))/INDEX('Financials 財務數據'!$D$5:$D$21,MATCH("Total Assets",'Financials 財務數據'!$B$5:$B$21,0))),"n/a",INDEX('Financials 財務數據'!$D$5:$D$21,MATCH("Intangible Assets",'Financials 財務數據'!$B$5:$B$21,0))/INDEX('Financials 財務數據'!$D$5:$D$21,MATCH("Total Assets",'Financials 財務數據'!$B$5:$B$21,0)))</f>
        <v>n/a</v>
      </c>
      <c r="D10" s="2" t="inlineStr">
        <is>
          <t>無形資產佔比</t>
        </is>
      </c>
    </row>
    <row r="11">
      <c r="A11" s="4" t="inlineStr">
        <is>
          <t>ROE 股本回報率</t>
        </is>
      </c>
      <c r="B11" s="15">
        <f>IF(ISERROR(INDEX('Financials 財務數據'!$C$5:$C$21,MATCH("Profit for the Year",'Financials 財務數據'!$B$5:$B$21,0))/INDEX('Financials 財務數據'!$C$5:$C$21,MATCH("Total Equity",'Financials 財務數據'!$B$5:$B$21,0))),"n/a",INDEX('Financials 財務數據'!$C$5:$C$21,MATCH("Profit for the Year",'Financials 財務數據'!$B$5:$B$21,0))/INDEX('Financials 財務數據'!$C$5:$C$21,MATCH("Total Equity",'Financials 財務數據'!$B$5:$B$21,0)))</f>
        <v>-0.03557238530630643</v>
      </c>
      <c r="C11" s="15">
        <f>IF(ISERROR(INDEX('Financials 財務數據'!$D$5:$D$21,MATCH("Profit for the Year",'Financials 財務數據'!$B$5:$B$21,0))/INDEX('Financials 財務數據'!$D$5:$D$21,MATCH("Total Equity",'Financials 財務數據'!$B$5:$B$21,0))),"n/a",INDEX('Financials 財務數據'!$D$5:$D$21,MATCH("Profit for the Year",'Financials 財務數據'!$B$5:$B$21,0))/INDEX('Financials 財務數據'!$D$5:$D$21,MATCH("Total Equity",'Financials 財務數據'!$B$5:$B$21,0)))</f>
        <v>-0.03670629651828866</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7" t="inlineStr">
        <is>
          <t>Item</t>
        </is>
      </c>
      <c r="B4" s="17" t="inlineStr">
        <is>
          <t>Prior</t>
        </is>
      </c>
      <c r="C4" s="17" t="inlineStr">
        <is>
          <t>Current</t>
        </is>
      </c>
    </row>
    <row r="5">
      <c r="A5" s="4" t="inlineStr">
        <is>
          <t>Revenue</t>
        </is>
      </c>
      <c r="B5" s="18" t="n">
        <v>186787</v>
      </c>
      <c r="C5" s="18" t="n">
        <v>158329</v>
      </c>
    </row>
    <row r="6">
      <c r="A6" s="4" t="inlineStr">
        <is>
          <t>Gross Profit</t>
        </is>
      </c>
      <c r="B6" s="18" t="n">
        <v>28084</v>
      </c>
      <c r="C6" s="18" t="n">
        <v>15266</v>
      </c>
    </row>
    <row r="7">
      <c r="A7" s="4" t="inlineStr">
        <is>
          <t>Profit Before Tax</t>
        </is>
      </c>
      <c r="B7" s="18" t="n">
        <v>-18443</v>
      </c>
      <c r="C7" s="18" t="n">
        <v>-17537</v>
      </c>
    </row>
    <row r="8">
      <c r="A8" s="4" t="inlineStr">
        <is>
          <t>Profit for the Year</t>
        </is>
      </c>
      <c r="B8" s="18" t="n">
        <v>-19352</v>
      </c>
      <c r="C8" s="18" t="n">
        <v>-18309</v>
      </c>
    </row>
    <row r="9">
      <c r="A9" s="4" t="inlineStr">
        <is>
          <t>Total Equity</t>
        </is>
      </c>
      <c r="B9" s="18" t="n">
        <v>527212</v>
      </c>
      <c r="C9" s="18" t="n">
        <v>514697</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80"/>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7" t="inlineStr">
        <is>
          <t>主題 Topic</t>
        </is>
      </c>
      <c r="B3" s="7" t="inlineStr">
        <is>
          <t>中文</t>
        </is>
      </c>
      <c r="C3" s="7" t="inlineStr">
        <is>
          <t>優先</t>
        </is>
      </c>
      <c r="D3" s="7" t="inlineStr">
        <is>
          <t>命中詞</t>
        </is>
      </c>
      <c r="E3" s="7" t="inlineStr">
        <is>
          <t>來源頁</t>
        </is>
      </c>
      <c r="F3" s="7" t="inlineStr">
        <is>
          <t>段落 Snippet</t>
        </is>
      </c>
    </row>
    <row r="4">
      <c r="A4" s="8" t="inlineStr">
        <is>
          <t>Fair Value Measurement</t>
        </is>
      </c>
      <c r="B4" s="8" t="inlineStr">
        <is>
          <t>公允價值計量</t>
        </is>
      </c>
      <c r="C4" s="19" t="inlineStr">
        <is>
          <t>high</t>
        </is>
      </c>
      <c r="D4" s="11" t="inlineStr">
        <is>
          <t>公允價值</t>
        </is>
      </c>
      <c r="E4" s="11" t="inlineStr">
        <is>
          <t>PDF p.68 (印刷頁 67)</t>
        </is>
      </c>
      <c r="F4" s="11" t="inlineStr">
        <is>
          <t>res. Moreover, the amendments clarify the 資產和合同關聯工具的分類要求。這些修訂還 requirements for classifying financial assets with non-recourse 包括對指定以公允價值計量且其變動計入其他 features and contractually linked instruments. The amendments 綜合收益的權益工具投資以及具有條件特徵的 also include additional disclosures for investments in equity 金融工具的額外披露要求。這些修訂應追溯應 instruments designated at fair value through other comprehensive 用，並在首次應用日期對期初留存收益（或權 income and financial instruments with contingent features. The 益的其他組成部分）進行調整。不要求重述前 amendments shall be applied retrospectively with</t>
        </is>
      </c>
    </row>
    <row r="5">
      <c r="A5" s="8" t="inlineStr">
        <is>
          <t>Fair Value Measurement</t>
        </is>
      </c>
      <c r="B5" s="8" t="inlineStr">
        <is>
          <t>公允價值計量</t>
        </is>
      </c>
      <c r="C5" s="19" t="inlineStr">
        <is>
          <t>high</t>
        </is>
      </c>
      <c r="D5" s="11" t="inlineStr">
        <is>
          <t>fair value hierarchy</t>
        </is>
      </c>
      <c r="E5" s="11" t="inlineStr">
        <is>
          <t>PDF p.73 (印刷頁 72)</t>
        </is>
      </c>
      <c r="F5" s="11" t="inlineStr">
        <is>
          <t>fair value is measured or 所有載於本財務報告計量或披露的資產及負債 disclosed in the financial statements are categorised within the 乃基於對公平值計量整體而言屬重大的最低層 fair value hierarchy, described as follows, based on the lowest 輸入數據按以下公平值架構分類： level input that is significant to the fair value measurement as a whole: Level 1 – based on quoted prices (unadjusted) in active 第一級 – 基於相同資產或負債於活躍巿 markets for identical assets or liabilities 場的報價（未經調整） Level 2 – based on valuation techniques for which the lowest 第二級 – 基於對公平值計量而言屬重大 level input that is significant to</t>
        </is>
      </c>
    </row>
    <row r="6">
      <c r="A6" s="8" t="inlineStr">
        <is>
          <t>Fair Value Measurement</t>
        </is>
      </c>
      <c r="B6" s="8" t="inlineStr">
        <is>
          <t>公允價值計量</t>
        </is>
      </c>
      <c r="C6" s="19" t="inlineStr">
        <is>
          <t>high</t>
        </is>
      </c>
      <c r="D6" s="11" t="inlineStr">
        <is>
          <t>level 1</t>
        </is>
      </c>
      <c r="E6" s="11" t="inlineStr">
        <is>
          <t>PDF p.110 (印刷頁 109)</t>
        </is>
      </c>
      <c r="F6" s="11" t="inlineStr">
        <is>
          <t>March 2026 using 於二零二六年三月三十一日之 公平值計量採用 Quoted price in Significant Significant active observable unobservable market inputs inputs (Level 1) (Level 2) (Level 3) Total 活躍市場 重大可觀察 重大不可 報價 輸入值 觀察輸入值 （第一層） （第二層） （第三層） 總計 HK$’000 HK$’000 HK$’000 HK$’000 港幣千元 港幣千元 港幣千元 港幣千元 Commercial 商用 – – 13,394 13,394 Fair value measurement as at 31 March 2025 using 於二零二五年三月三十一日之 公平值計量採用 Quoted price in Significant Significant active observable unobservable market inputs inputs (Level 1) (Level 2) (Level 3) Total 活躍市場 重大可觀察 重大不可 報價 輸入值 觀察輸入值 （第一</t>
        </is>
      </c>
    </row>
    <row r="7">
      <c r="A7" s="8" t="inlineStr">
        <is>
          <t>Fair Value Measurement</t>
        </is>
      </c>
      <c r="B7" s="8" t="inlineStr">
        <is>
          <t>公允價值計量</t>
        </is>
      </c>
      <c r="C7" s="19" t="inlineStr">
        <is>
          <t>high</t>
        </is>
      </c>
      <c r="D7" s="11" t="inlineStr">
        <is>
          <t>unobservable input</t>
        </is>
      </c>
      <c r="E7" s="11" t="inlineStr">
        <is>
          <t>PDF p.111 (印刷頁 110)</t>
        </is>
      </c>
      <c r="F7" s="11" t="inlineStr">
        <is>
          <t>es used and the key 下文載列投資物業估值所用之估值方法及主要 inputs to the valuation of the investment property: 輸入值之概要： Significant Valuation technique unobservable inputs Weighted average 估值方法 重大不可觀察輸入值 加權平均數 Commercial property in Japan Direct comparison approach Estimated market value JPY6,608,000 (per square metre) 6,608,000日圓 (2025: JPY6,030,000) 於日本之商用物業 直接比較法 估計市值（每平方米） （二零二五年： 6,030,000日圓） Further particulars of the Group’s investment property are 有關本集團投資物業之進一步資料載於年報第 included on page 140 of the annual report. 140頁。 15. GOODWILL 15. 商譽 HK</t>
        </is>
      </c>
    </row>
    <row r="8">
      <c r="A8" s="8" t="inlineStr">
        <is>
          <t>Fair Value Measurement</t>
        </is>
      </c>
      <c r="B8" s="8" t="inlineStr">
        <is>
          <t>公允價值計量</t>
        </is>
      </c>
      <c r="C8" s="19" t="inlineStr">
        <is>
          <t>high</t>
        </is>
      </c>
      <c r="D8" s="11" t="inlineStr">
        <is>
          <t>fair value hierarchy</t>
        </is>
      </c>
      <c r="E8" s="11" t="inlineStr">
        <is>
          <t>PDF p.131 (印刷頁 130)</t>
        </is>
      </c>
      <c r="F8" s="11" t="inlineStr">
        <is>
          <t>Notes to Financial Statements 130 財務報告附註 31 March 2026 二零二六年三月三十一日 32. FAIR VALUE AND FAIR VALUE HIERARCHY OF 32. 金融工具之公平值及公平值層級 FINANCIAL INSTRUMENTS The Group’s financial assets at fair value through profit or loss 本集團之按公平值透過損益入賬之金融資產乃 were carried at fair value. 按公平值列賬。 Management has assessed that the fair values of cash and 管理層已評估，現金及現金等值項目、應收貿 cash equivalents, trade receivables, trade and bills payables, 易賬款、應付貿易賬款及票據、包括於預付款 financial assets included in prepayments, deposits</t>
        </is>
      </c>
    </row>
    <row r="9">
      <c r="A9" s="8" t="inlineStr">
        <is>
          <t>Fair Value Measurement</t>
        </is>
      </c>
      <c r="B9" s="8" t="inlineStr">
        <is>
          <t>公允價值計量</t>
        </is>
      </c>
      <c r="C9" s="19" t="inlineStr">
        <is>
          <t>high</t>
        </is>
      </c>
      <c r="D9" s="11" t="inlineStr">
        <is>
          <t>fair value hierarchy</t>
        </is>
      </c>
      <c r="E9" s="11" t="inlineStr">
        <is>
          <t>PDF p.132 (印刷頁 131)</t>
        </is>
      </c>
      <c r="F9" s="11" t="inlineStr">
        <is>
          <t>Notes to Financial Statements 財務報告附註 131 31 March 2026 二零二六年三月三十一日 32. FAIR VALUE AND FAIR VALUE HIERARCHY OF 32. 金融工具之公平值及公平值層級（續） FINANCIAL INSTRUMENTS (continued) Fair value hierarchy 公平值架構 The following tables illustrate the fair value measurement 下表顯示本集團金融工具的公平值計量架構： hierarchy of the Group’s financial instruments: Assets measured at fair value: 按公平值計量的資產： As at 31 March 2026 於二零二六年三月三十一日 Fair value measurement using 公平值計量採用 Quoted prices Significant Significant in active obser</t>
        </is>
      </c>
    </row>
    <row r="10">
      <c r="A10" s="8" t="inlineStr">
        <is>
          <t>Fair Value Measurement</t>
        </is>
      </c>
      <c r="B10" s="8" t="inlineStr">
        <is>
          <t>公允價值計量</t>
        </is>
      </c>
      <c r="C10" s="19" t="inlineStr">
        <is>
          <t>high</t>
        </is>
      </c>
      <c r="D10" s="11" t="inlineStr">
        <is>
          <t>fair value hierarchy</t>
        </is>
      </c>
      <c r="E10" s="11" t="inlineStr">
        <is>
          <t>PDF p.133 (印刷頁 132)</t>
        </is>
      </c>
      <c r="F10" s="11" t="inlineStr">
        <is>
          <t>Notes to Financial Statements 132 財務報告附註 31 March 2026 二零二六年三月三十一日 32. FAIR VALUE AND FAIR VALUE HIERARCHY OF 32. 金融工具之公平值及公平值層級（續） FINANCIAL INSTRUMENTS (continued) Fair value hierarchy (continued) 公平值架構（續） Assets measured at fair value: (continued) 按公平值計量的資產：（續） The movements in fair value measurements within Level 3 during 年內屬於第三層之公平值計量之變動如下： the year are as follows: Equity investments at fair value through profit or loss 按公平值透過損益入賬之權益投資 2026 2025 二零二六年 二零二五年 HK$’000 HK$’000 港幣千</t>
        </is>
      </c>
    </row>
    <row r="11">
      <c r="A11" s="8" t="inlineStr">
        <is>
          <t>Impairment Testing</t>
        </is>
      </c>
      <c r="B11" s="8" t="inlineStr">
        <is>
          <t>減值測試</t>
        </is>
      </c>
      <c r="C11" s="19" t="inlineStr">
        <is>
          <t>high</t>
        </is>
      </c>
      <c r="D11" s="11" t="inlineStr">
        <is>
          <t>impairment test</t>
        </is>
      </c>
      <c r="E11" s="11" t="inlineStr">
        <is>
          <t>PDF p.51 (印刷頁 50)</t>
        </is>
      </c>
      <c r="F11" s="11" t="inlineStr">
        <is>
          <t>貼現現金流量預測並進行敏 whether any impairment was required for the investment in 感性分析。我們其後將貼現現金流量預測之可收回金額與 FSMHL Group. For the purpose of the impairment test, the 賬面金額進行比較。我們已加入我們的內部估值專家協助 recoverable amount of the FSMHL Group was determined 我們評估用於釐定FSMHL集團可收回金額的方法及貼現率。 based on a value-in-use calculation using estimated cash flow forecast based on financial budgets applied with the suitable growth rate and discount rate. 於報告期末，管理層已評估於FSMHL集團之投資是否需要 減值處理。就減值測試而言，FSMHL集團的可收回金額乃 根據使用價值計算，使用根據應用適當增長率及貼現率的 財務預算作出的估計現金流量預測釐定。 The impairment</t>
        </is>
      </c>
    </row>
    <row r="12">
      <c r="A12" s="8" t="inlineStr">
        <is>
          <t>Impairment Testing</t>
        </is>
      </c>
      <c r="B12" s="8" t="inlineStr">
        <is>
          <t>減值測試</t>
        </is>
      </c>
      <c r="C12" s="19" t="inlineStr">
        <is>
          <t>high</t>
        </is>
      </c>
      <c r="D12" s="11" t="inlineStr">
        <is>
          <t>impairment loss</t>
        </is>
      </c>
      <c r="E12" s="11" t="inlineStr">
        <is>
          <t>PDF p.71 (印刷頁 70)</t>
        </is>
      </c>
      <c r="F12" s="11" t="inlineStr">
        <is>
          <t>osition at the Group’s share 淨額按權益法計算減去任何減值損失，列入本 of net assets under the equity method of accounting, less any 集團綜合財務狀況表內。任何可能存在的相異 impairment losses. Adjustments are made to bring into line any 會計政策已作出相應調整使之貫徹一致。本集 dissimilar accounting policies that may exist. The Group’s share 團應佔聯營公司之收購後業績及其他全面收益 of the post-acquisition results and other comprehensive income 分別計入綜合損益表及綜合其他全面收益。此 of associates is included in the consolidated statement of profit or 外，當於聯營公司之股權直接確認變動時，本 loss and consolidated other comprehensive income, respec</t>
        </is>
      </c>
    </row>
    <row r="13">
      <c r="A13" s="8" t="inlineStr">
        <is>
          <t>Impairment Testing</t>
        </is>
      </c>
      <c r="B13" s="8" t="inlineStr">
        <is>
          <t>減值測試</t>
        </is>
      </c>
      <c r="C13" s="19" t="inlineStr">
        <is>
          <t>high</t>
        </is>
      </c>
      <c r="D13" s="11" t="inlineStr">
        <is>
          <t>impairment test</t>
        </is>
      </c>
      <c r="E13" s="11" t="inlineStr">
        <is>
          <t>PDF p.72 (印刷頁 71)</t>
        </is>
      </c>
      <c r="F13" s="11" t="inlineStr">
        <is>
          <t>變動而顯示賬面值可能有損，則須更頻 circumstances indicate that the carrying value may be impaired. 密地作減值測試。本集團會於每年三月三十一 The Group performs its annual impairment test of goodwill as at 日進行減值測試。為了進行減值測試，因業務 31 March. For the purpose of impairment testing, goodwill 合併而購入的商譽自購入之日被分配至預期可 acquired in a business combination is, from the acquisition date, 從合併產生的協同效益中獲益的本集團各個現 allocated to each of the Group’s cash-generating units, or groups 金產生單位或現金產生單位組別，而無論本集 of cash-generating units, that are expected to benefit from the 團其他資產或負債是否已分配予該等單位或單 synergi</t>
        </is>
      </c>
    </row>
    <row r="14">
      <c r="A14" s="8" t="inlineStr">
        <is>
          <t>Impairment Testing</t>
        </is>
      </c>
      <c r="B14" s="8" t="inlineStr">
        <is>
          <t>減值測試</t>
        </is>
      </c>
      <c r="C14" s="19" t="inlineStr">
        <is>
          <t>high</t>
        </is>
      </c>
      <c r="D14" s="11" t="inlineStr">
        <is>
          <t>cash-generating unit</t>
        </is>
      </c>
      <c r="E14" s="11" t="inlineStr">
        <is>
          <t>PDF p.73 (印刷頁 72)</t>
        </is>
      </c>
      <c r="F14" s="11" t="inlineStr">
        <is>
          <t>POLICIES (continued) 2.4 重大會計政策（續） Business combinations and goodwill (continued) 業務合併及商譽（續） Where goodwill has been allocated to a cash-generating unit 當商譽構成一個現金產生單元（或現金產生單 (or group of cash-generating units) and part of the operation 元之組別）的一部份而該單元的某部份業務被 within that unit is disposed of, the goodwill associated with the 出售，並在決定出售業務的損益時，與出售業 operation disposed of is included in the carrying amount of the 務相關的商譽將包括在該業務的賬面值內。在 operation when determining the gain or loss on the disposal. 此情況下出售的商譽將以出售業務和現金產生 Goodwill disposed of</t>
        </is>
      </c>
    </row>
    <row r="15">
      <c r="A15" s="8" t="inlineStr">
        <is>
          <t>Impairment Testing</t>
        </is>
      </c>
      <c r="B15" s="8" t="inlineStr">
        <is>
          <t>減值測試</t>
        </is>
      </c>
      <c r="C15" s="19" t="inlineStr">
        <is>
          <t>high</t>
        </is>
      </c>
      <c r="D15" s="11" t="inlineStr">
        <is>
          <t>impairment test</t>
        </is>
      </c>
      <c r="E15" s="11" t="inlineStr">
        <is>
          <t>PDF p.74 (印刷頁 73)</t>
        </is>
      </c>
      <c r="F15" s="11" t="inlineStr">
        <is>
          <t>ting period. Impairment of non-financial assets 非金融資產減值 Where an indication of impairment exists, or when annual 倘有顯示出現減值，或當需要對非金融資產 impairment testing for an asset is required (other than inventories, （存貨、商譽及投資物業除外）作每年減值測 goodwill and an investment property), the asset’s recoverable 試，則須估計資產之可收回價值。資產之可收 amount is estimated. An asset’s recoverable amount is the higher 回價值按資產或現金產生單元之使用價值，以 of the asset’s or cash-generating unit’s value in use and its fair 及其公平值減出售成本之較高者計算，並就各 value less costs of disposal, and is determined for a</t>
        </is>
      </c>
    </row>
    <row r="16">
      <c r="A16" s="8" t="inlineStr">
        <is>
          <t>Impairment Testing</t>
        </is>
      </c>
      <c r="B16" s="8" t="inlineStr">
        <is>
          <t>減值測試</t>
        </is>
      </c>
      <c r="C16" s="19" t="inlineStr">
        <is>
          <t>high</t>
        </is>
      </c>
      <c r="D16" s="11" t="inlineStr">
        <is>
          <t>impairment loss</t>
        </is>
      </c>
      <c r="E16" s="11" t="inlineStr">
        <is>
          <t>PDF p.76 (印刷頁 75)</t>
        </is>
      </c>
      <c r="F16" s="11" t="inlineStr">
        <is>
          <t>depreciation 物業、廠房及設備及折舊 Property, plant and equipment are stated at cost less accumulated 物業、廠房及設備乃按成本扣除累計折舊及任 depreciation and any impairment losses. When an item of 何減值虧損列賬。當物業、廠房及設備項目被 property, plant and equipment is classified as held for sale, it is 分類為持作出售時將不予折舊，並根據香港財 not depreciated and is accounted for in accordance with HKFRS 務報告準則第5號列賬，更多詳情請參閱「持作 5, as further explained in the accounting policy for “Non-current 出售的非流動資產」的會計政策。物業、廠房 assets held for sale”. The cost of an item of property, plant 及設備之成本值包括其購入價及令資產達致符 a</t>
        </is>
      </c>
    </row>
    <row r="17">
      <c r="A17" s="8" t="inlineStr">
        <is>
          <t>Impairment Testing</t>
        </is>
      </c>
      <c r="B17" s="8" t="inlineStr">
        <is>
          <t>減值測試</t>
        </is>
      </c>
      <c r="C17" s="19" t="inlineStr">
        <is>
          <t>high</t>
        </is>
      </c>
      <c r="D17" s="11" t="inlineStr">
        <is>
          <t>impairment loss</t>
        </is>
      </c>
      <c r="E17" s="11" t="inlineStr">
        <is>
          <t>PDF p.78 (印刷頁 77)</t>
        </is>
      </c>
      <c r="F17" s="11" t="inlineStr">
        <is>
          <t>之日期）確認。使用權資產乃 available for use). Right-of-use assets are measured at cost, 按成本減累計折舊及任何減值虧損計量， less accumulated depreciation and any impairment losses, 並就租賃負債之任何重新計量作出調整。 and adjusted for any remeasurement of lease liabilities. 使用權資產之成本包括已確認租賃負債金 The cost of right-of-use assets includes the amount of lease 額、已產生初始直接成本及於開始日期或 liabilities recognised, initial direct costs incurred, and lease 之前作出之租賃付款減任何已收取之租賃 payments made at or before the commencement date less 優惠。倘適用，使用權資產的成本亦包括 any lease incentives received. Where applicable,</t>
        </is>
      </c>
    </row>
    <row r="18">
      <c r="A18" s="8" t="inlineStr">
        <is>
          <t>Impairment Testing</t>
        </is>
      </c>
      <c r="B18" s="8" t="inlineStr">
        <is>
          <t>減值測試</t>
        </is>
      </c>
      <c r="C18" s="19" t="inlineStr">
        <is>
          <t>high</t>
        </is>
      </c>
      <c r="D18" s="11" t="inlineStr">
        <is>
          <t>impairment test</t>
        </is>
      </c>
      <c r="E18" s="11" t="inlineStr">
        <is>
          <t>PDF p.90 (印刷頁 89)</t>
        </is>
      </c>
      <c r="F18" s="11" t="inlineStr">
        <is>
          <t>ure cash flows from the associates and chooses a suitable discount rate in order to calculate the present value of those cash flows. Impairment testing of property, plant and equipment and 物業、廠房及設備以及使用權資產之減值測試 right-of-use assets The Group determines whether property, plant and equipment and 倘有跡象顯示賬面值可能無法收回，則本集團 right-of-use assets are impaired when there are indicators that the 會釐定物業、廠房及設備以及使用權資產是否 carrying amounts may not be recoverable. An impairment exists 已減值。當該等資產之賬面值超過其可收回金 when the carrying values of these assets exceed</t>
        </is>
      </c>
    </row>
    <row r="19">
      <c r="A19" s="8" t="inlineStr">
        <is>
          <t>Impairment Testing</t>
        </is>
      </c>
      <c r="B19" s="8" t="inlineStr">
        <is>
          <t>減值測試</t>
        </is>
      </c>
      <c r="C19" s="19" t="inlineStr">
        <is>
          <t>high</t>
        </is>
      </c>
      <c r="D19" s="11" t="inlineStr">
        <is>
          <t>impairment loss</t>
        </is>
      </c>
      <c r="E19" s="11" t="inlineStr">
        <is>
          <t>PDF p.105 (印刷頁 104)</t>
        </is>
      </c>
      <c r="F19" s="11" t="inlineStr">
        <is>
          <t>tified certain 於上一年度，本集團管理層識別香港若干餐廳 restaurants in Hong Kong which were underperforming during 於本年度內表現欠佳，並對其擁有的資產進行 that year and an impairment loss of HK$104,000 was made on 減值，減值虧損為104,000港元。進一步詳情於 owned assets. Further details are disclosed in note 13(a) below. 下文附註13(a)中披露。 HONG KONG FOOD INVESTMENT HOLDINGS LIMITED | Annual Report 2026</t>
        </is>
      </c>
    </row>
    <row r="20">
      <c r="A20" s="8" t="inlineStr">
        <is>
          <t>Impairment Testing</t>
        </is>
      </c>
      <c r="B20" s="8" t="inlineStr">
        <is>
          <t>減值測試</t>
        </is>
      </c>
      <c r="C20" s="19" t="inlineStr">
        <is>
          <t>high</t>
        </is>
      </c>
      <c r="D20" s="11" t="inlineStr">
        <is>
          <t>impairment loss</t>
        </is>
      </c>
      <c r="E20" s="11" t="inlineStr">
        <is>
          <t>PDF p.106 (印刷頁 105)</t>
        </is>
      </c>
      <c r="F20" s="11" t="inlineStr">
        <is>
          <t>ble amounts based on their 根據估算，該年確認了減值虧損104,000 respective cash-generating units. Based on these estimates, 港元（誠如上文附註12所披露）及96,000港 impairment losses of HK$104,000, as disclosed in note 12 元，分別將物業、廠房及設備以及使用權 above, and HK$96,000 were recognised during that year 資產的賬面金額撇減至於二零二五年三月 to write down the carrying amounts of property, plant and 三十一日的可收回總金額2,623,000港元。 equipment and right-of-use assets, respectively, to their 各現金產生單位的可收回金額乃根據使用 aggregate recoverable amounts of HK$2,623,000 as at 31 價值計算釐定，並使用基於涵蓋剩餘租期 March 2025. The re</t>
        </is>
      </c>
    </row>
    <row r="21">
      <c r="A21" s="8" t="inlineStr">
        <is>
          <t>Impairment Testing</t>
        </is>
      </c>
      <c r="B21" s="8" t="inlineStr">
        <is>
          <t>減值測試</t>
        </is>
      </c>
      <c r="C21" s="19" t="inlineStr">
        <is>
          <t>high</t>
        </is>
      </c>
      <c r="D21" s="11" t="inlineStr">
        <is>
          <t>impairment test</t>
        </is>
      </c>
      <c r="E21" s="11" t="inlineStr">
        <is>
          <t>PDF p.111 (印刷頁 110)</t>
        </is>
      </c>
      <c r="F21" s="11" t="inlineStr">
        <is>
          <t>000 港幣千元 Cost at 1 April 2024, 31 March 2025, 1 April 2025 於二零二四年四月一日、二零二五年三月三十一日、 and 31 March 2026 二零二五年四月一日及二零二六年三月三十一日 之成本 2,103 Impairment testing of goodwill 商譽之減值測試 The carrying amount of goodwill is allocated to the cash-generating 商譽之賬面值已分配至傳訊及廣告設計現金產 unit of communication and advertising design for impairment 生單位以進行減值測試。 testing. Communication and advertising design 傳訊及廣告設計 The recoverable amount of the communication and advertising 傳訊及廣告設計現金產生單位之可收回款項乃 design cash-generating unit has been determined based on a 根據使用價值</t>
        </is>
      </c>
    </row>
    <row r="22">
      <c r="A22" s="8" t="inlineStr">
        <is>
          <t>Impairment Testing</t>
        </is>
      </c>
      <c r="B22" s="8" t="inlineStr">
        <is>
          <t>減值測試</t>
        </is>
      </c>
      <c r="C22" s="19" t="inlineStr">
        <is>
          <t>high</t>
        </is>
      </c>
      <c r="D22" s="11" t="inlineStr">
        <is>
          <t>impairment test</t>
        </is>
      </c>
      <c r="E22" s="11" t="inlineStr">
        <is>
          <t>PDF p.112 (印刷頁 111)</t>
        </is>
      </c>
      <c r="F22" s="11" t="inlineStr">
        <is>
          <t>Notes to Financial Statements 財務報告附註 111 31 March 2026 二零二六年三月三十一日 15. GOODWILL (continued) 15. 商譽（續） Impairment testing of goodwill (continued) 商譽之減值測試（續） Communication and advertising design (continued) 傳訊及廣告設計（續） Budgeted gross margins – The basis used to determine the value 預算毛利率－用以釐定預算毛利率之價值之基 assigned to the budgeted gross margins is the average gross 準為緊接預算年度前一年取得之平均毛利率。 margins achieved in the year immediately before the budget year. Discount rates – The discount rates used are before tax</t>
        </is>
      </c>
    </row>
    <row r="23">
      <c r="A23" s="8" t="inlineStr">
        <is>
          <t>Impairment Testing</t>
        </is>
      </c>
      <c r="B23" s="8" t="inlineStr">
        <is>
          <t>減值測試</t>
        </is>
      </c>
      <c r="C23" s="19" t="inlineStr">
        <is>
          <t>high</t>
        </is>
      </c>
      <c r="D23" s="11" t="inlineStr">
        <is>
          <t>impairment loss</t>
        </is>
      </c>
      <c r="E23" s="11" t="inlineStr">
        <is>
          <t>PDF p.118 (印刷頁 117)</t>
        </is>
      </c>
      <c r="F23" s="11" t="inlineStr">
        <is>
          <t>rade 應收貿易賬款減值之虧損撥備變動如下： receivables are as follows: 2026 2025 二零二六年 二零二五年 HK$’000 HK$’000 港幣千元 港幣千元 At beginning of year 於年初 287 172 Impairment losses/(reversal of impairment losses) 減值虧損╱（撥回減值虧損） (note 7) （附註7） (209) 115 At end of year 於年末 78 287 An impairment analysis is performed at each reporting date 於各報告日期均採用撥備矩陣進行減值分析， using a provision matrix to measure expected credit losses. 以計量預期信用損失。撥備率乃基於就擁有類 The provision rates are based on days past due for groupings 似虧損模式的多個客戶分部進行分組（即按客 of various customer segments with similar</t>
        </is>
      </c>
    </row>
    <row r="24">
      <c r="A24" s="8" t="inlineStr">
        <is>
          <t>Impairment Testing</t>
        </is>
      </c>
      <c r="B24" s="8" t="inlineStr">
        <is>
          <t>減值測試</t>
        </is>
      </c>
      <c r="C24" s="19" t="inlineStr">
        <is>
          <t>high</t>
        </is>
      </c>
      <c r="D24" s="11" t="inlineStr">
        <is>
          <t>減值虧損</t>
        </is>
      </c>
      <c r="E24" s="11" t="inlineStr">
        <is>
          <t>PDF p.119 (印刷頁 118)</t>
        </is>
      </c>
      <c r="F24" s="11" t="inlineStr">
        <is>
          <t>s. As at 31 March 2026 and 2025, the Group 及二零二五年三月三十一日，本集團已評估訂 assessed the impact of the loss allowance for impairment of 金及其他應收款項之減值虧損撥備影響，並認 deposits and other receivables and considered it insignificant. 為不重大。 20. FINANCIAL ASSETS AT FAIR VALUE THROUGH 20. 按公平值透過損益入賬之金融資產 PROFIT OR LOSS 2026 2025 二零二六年 二零二五年 HK$’000 HK$’000 港幣千元 港幣千元 Listed equity investments, at fair value 上市權益投資，按公平值 5,953 5,899 Other unlisted investments, at fair value 其他非上市投資，按公平值 – Equity investments － 權益投資 6,670 7,441 – Club debenture － 會所債券 2,051 2,</t>
        </is>
      </c>
    </row>
    <row r="25">
      <c r="A25" s="8" t="inlineStr">
        <is>
          <t>Intangible Assets &amp; Goodwill</t>
        </is>
      </c>
      <c r="B25" s="8" t="inlineStr">
        <is>
          <t>無形資產及商譽</t>
        </is>
      </c>
      <c r="C25" s="19" t="inlineStr">
        <is>
          <t>high</t>
        </is>
      </c>
      <c r="D25" s="11" t="inlineStr">
        <is>
          <t>goodwill</t>
        </is>
      </c>
      <c r="E25" s="11" t="inlineStr">
        <is>
          <t>PDF p.57 (印刷頁 56)</t>
        </is>
      </c>
      <c r="F25" s="11" t="inlineStr">
        <is>
          <t>a) 2,050 4,965 Investment property 投資物業 14 – 12,664 Investments in associates 於聯營公司之投資 16 370,012 370,590 Deposits 訂金 19 2,845 2,862 Goodwill 商譽 15 2,103 2,103 Financial assets at fair value through 按公平值透過損益入賬的 profit or loss 金融資產 20 8,721 9,492 Deferred tax assets 遞延稅項資產 26 405 675 Total non-current assets 非流動資產總值 400,572 440,575 CURRENT ASSETS 流動資產 Inventories 存貨 17 29,384 36,453 Trade receivables 應收貿易賬款 18 11,558 15,520 Prepayments, deposits and other receivables 預付款項、訂金及其他應收款項 19 5,928 4,928 Due from associates 應收聯營公司 16 86</t>
        </is>
      </c>
    </row>
    <row r="26">
      <c r="A26" s="8" t="inlineStr">
        <is>
          <t>Intangible Assets &amp; Goodwill</t>
        </is>
      </c>
      <c r="B26" s="8" t="inlineStr">
        <is>
          <t>無形資產及商譽</t>
        </is>
      </c>
      <c r="C26" s="19" t="inlineStr">
        <is>
          <t>high</t>
        </is>
      </c>
      <c r="D26" s="11" t="inlineStr">
        <is>
          <t>goodwill</t>
        </is>
      </c>
      <c r="E26" s="11" t="inlineStr">
        <is>
          <t>PDF p.65 (印刷頁 64)</t>
        </is>
      </c>
      <c r="F26" s="11" t="inlineStr">
        <is>
          <t>集團失去對一間附屬公司之控制權，則其 If the Group loses control over a subsidiary, it derecognises 終止確認相關資產（包括商譽）、負債、任何非 the related assets (including goodwill), liabilities, any 控股權益及匯兌波動儲備；以及確認所保留任 non-controlling interest and the exchange fluctuation reserve; 何投資之公平值及損益中任何因此產生之盈餘 and recognises the fair value of any investment retained and any 或虧絀。先前於其他全面收益表內確認之本集 resulting surplus or deficit in profit or loss. The Group’s share 團應佔部分按與假設本集團直接出售相關資產 of components previously recognised in other comprehensive 或負債所須採用之相同基準，在適當情況下重 income is recl</t>
        </is>
      </c>
    </row>
    <row r="27">
      <c r="A27" s="8" t="inlineStr">
        <is>
          <t>Intangible Assets &amp; Goodwill</t>
        </is>
      </c>
      <c r="B27" s="8" t="inlineStr">
        <is>
          <t>無形資產及商譽</t>
        </is>
      </c>
      <c r="C27" s="19" t="inlineStr">
        <is>
          <t>high</t>
        </is>
      </c>
      <c r="D27" s="11" t="inlineStr">
        <is>
          <t>goodwill</t>
        </is>
      </c>
      <c r="E27" s="11" t="inlineStr">
        <is>
          <t>PDF p.71 (印刷頁 70)</t>
        </is>
      </c>
      <c r="F27" s="11" t="inlineStr">
        <is>
          <t>Group’s investments in the associates, except 資。 where unrealised losses provide evidence of an impairment of the asset transferred. Goodwill arising from the acquisition of associates is included as part of the Group’s investments in associates. If an investment in an associate becomes an investment in a joint 倘對聯營公司的投資成為對合營公司的投資， venture or vice versa, the retained interest is not remeasured. 或對合營公司的投資成為對聯營公司的投資， Instead, the investment continues to be accounted for under 則不會重新計量保留權益，而是繼續按權益法 the equity method. In all other c</t>
        </is>
      </c>
    </row>
    <row r="28">
      <c r="A28" s="8" t="inlineStr">
        <is>
          <t>Intangible Assets &amp; Goodwill</t>
        </is>
      </c>
      <c r="B28" s="8" t="inlineStr">
        <is>
          <t>無形資產及商譽</t>
        </is>
      </c>
      <c r="C28" s="19" t="inlineStr">
        <is>
          <t>high</t>
        </is>
      </c>
      <c r="D28" s="11" t="inlineStr">
        <is>
          <t>goodwill</t>
        </is>
      </c>
      <c r="E28" s="11" t="inlineStr">
        <is>
          <t>PDF p.72 (印刷頁 71)</t>
        </is>
      </c>
      <c r="F28" s="11" t="inlineStr">
        <is>
          <t>Statements 財務報告附註 71 31 March 2026 二零二六年三月三十一日 2.4 MATERIAL ACCOUNTING POLICIES (continued) 2.4 重大會計政策（續） Business combinations and goodwill (continued) 業務合併及商譽（續） The Group determines that it has acquired a business when the 當所收購的一組活動及資產包括一項投入及一 acquired set of activities and assets includes an input and a 項實質過程，而兩者對創造產出的能力具重大 substantive process that together significantly contribute to the 貢獻，則本集團認為其已收購一項業務。 ability to create outputs. When the Group acquires a business, it assesses the financial 當本集團收購一項業務時，會根據合約條款、 assets</t>
        </is>
      </c>
    </row>
    <row r="29">
      <c r="A29" s="8" t="inlineStr">
        <is>
          <t>Intangible Assets &amp; Goodwill</t>
        </is>
      </c>
      <c r="B29" s="8" t="inlineStr">
        <is>
          <t>無形資產及商譽</t>
        </is>
      </c>
      <c r="C29" s="19" t="inlineStr">
        <is>
          <t>high</t>
        </is>
      </c>
      <c r="D29" s="11" t="inlineStr">
        <is>
          <t>goodwill</t>
        </is>
      </c>
      <c r="E29" s="11" t="inlineStr">
        <is>
          <t>PDF p.73 (印刷頁 72)</t>
        </is>
      </c>
      <c r="F29" s="11" t="inlineStr">
        <is>
          <t>Statements 72 財務報告附註 31 March 2026 二零二六年三月三十一日 2.4 MATERIAL ACCOUNTING POLICIES (continued) 2.4 重大會計政策（續） Business combinations and goodwill (continued) 業務合併及商譽（續） Where goodwill has been allocated to a cash-generating unit 當商譽構成一個現金產生單元（或現金產生單 (or group of cash-generating units) and part of the operation 元之組別）的一部份而該單元的某部份業務被 within that unit is disposed of, the goodwill associated with the 出售，並在決定出售業務的損益時，與出售業 operation disposed of is included in the carrying amount of the 務相關的商譽將包括在該業務的賬面值內。在 operation when determining the g</t>
        </is>
      </c>
    </row>
    <row r="30">
      <c r="A30" s="8" t="inlineStr">
        <is>
          <t>Intangible Assets &amp; Goodwill</t>
        </is>
      </c>
      <c r="B30" s="8" t="inlineStr">
        <is>
          <t>無形資產及商譽</t>
        </is>
      </c>
      <c r="C30" s="19" t="inlineStr">
        <is>
          <t>high</t>
        </is>
      </c>
      <c r="D30" s="11" t="inlineStr">
        <is>
          <t>goodwill</t>
        </is>
      </c>
      <c r="E30" s="11" t="inlineStr">
        <is>
          <t>PDF p.74 (印刷頁 73)</t>
        </is>
      </c>
      <c r="F30" s="11" t="inlineStr">
        <is>
          <t>exists, or when annual 倘有顯示出現減值，或當需要對非金融資產 impairment testing for an asset is required (other than inventories, （存貨、商譽及投資物業除外）作每年減值測 goodwill and an investment property), the asset’s recoverable 試，則須估計資產之可收回價值。資產之可收 amount is estimated. An asset’s recoverable amount is the higher 回價值按資產或現金產生單元之使用價值，以 of the asset’s or cash-generating unit’s value in use and its fair 及其公平值減出售成本之較高者計算，並就各 value less costs of disposal, and is determined for an individual 個別資產而釐訂，除非資產並未能在大致獨立 asset, unless the asset does not generate cash inflows t</t>
        </is>
      </c>
    </row>
    <row r="31">
      <c r="A31" s="8" t="inlineStr">
        <is>
          <t>Intangible Assets &amp; Goodwill</t>
        </is>
      </c>
      <c r="B31" s="8" t="inlineStr">
        <is>
          <t>無形資產及商譽</t>
        </is>
      </c>
      <c r="C31" s="19" t="inlineStr">
        <is>
          <t>high</t>
        </is>
      </c>
      <c r="D31" s="11" t="inlineStr">
        <is>
          <t>useful life</t>
        </is>
      </c>
      <c r="E31" s="11" t="inlineStr">
        <is>
          <t>PDF p.76 (印刷頁 75)</t>
        </is>
      </c>
      <c r="F31" s="11" t="inlineStr">
        <is>
          <t>線法計算，並按各物業、廠房及設 the cost of each item of property, plant and equipment to its 備項目之估計可使用期限撇銷其成本值至其餘 residual value over its estimated useful life. The principal annual 值。所採用之主要折舊年率如下： rates used for this purpose are as follows: Freehold land Not depreciated 永久業權土地 無折舊 Long term leasehold land Over the lease terms 長期租賃土地 按租期 Buildings 2.5% – 4% 樓宇 2.5%至4% Leasehold improvements 16.7% – 20% 租賃樓宇裝修 16.7%至20% Furniture and fixtures 10% – 20% 傢俬及裝置 10%至20% Motor vehicles 10% – 20% 汽車 10%至20% Computer systems 15% – 34% 電腦系統 15%至34% Eq</t>
        </is>
      </c>
    </row>
    <row r="32">
      <c r="A32" s="8" t="inlineStr">
        <is>
          <t>Intangible Assets &amp; Goodwill</t>
        </is>
      </c>
      <c r="B32" s="8" t="inlineStr">
        <is>
          <t>無形資產及商譽</t>
        </is>
      </c>
      <c r="C32" s="19" t="inlineStr">
        <is>
          <t>high</t>
        </is>
      </c>
      <c r="D32" s="11" t="inlineStr">
        <is>
          <t>useful life</t>
        </is>
      </c>
      <c r="E32" s="11" t="inlineStr">
        <is>
          <t>PDF p.78 (印刷頁 77)</t>
        </is>
      </c>
      <c r="F32" s="11" t="inlineStr">
        <is>
          <t>e cost reflects the exercise 至本集團或成本反映購買權之行使，折舊 of a purchase option, depreciation is calculated using the 則按資產之估計可使用年期計算。 estimated useful life of the asset. (b) Lease liabilities (b) 租賃負債 Lease liabilities are recognised at the commencement date 租賃負債於租賃開始日期按租賃期內作出 of the lease at the present value of lease payments to be 的租賃付款之現值確認。租賃付款包括固 made over the lease term. The lease payments include fixed 定付款（包括實質固定付款）減任何應收租 payments (including in-substance fixed payments) less 賃優惠、取決於某一指數或比率之浮動租 any lease incentives receivable, vari</t>
        </is>
      </c>
    </row>
    <row r="33">
      <c r="A33" s="8" t="inlineStr">
        <is>
          <t>Intangible Assets &amp; Goodwill</t>
        </is>
      </c>
      <c r="B33" s="8" t="inlineStr">
        <is>
          <t>無形資產及商譽</t>
        </is>
      </c>
      <c r="C33" s="19" t="inlineStr">
        <is>
          <t>high</t>
        </is>
      </c>
      <c r="D33" s="11" t="inlineStr">
        <is>
          <t>攤銷</t>
        </is>
      </c>
      <c r="E33" s="11" t="inlineStr">
        <is>
          <t>PDF p.79 (印刷頁 78)</t>
        </is>
      </c>
      <c r="F33" s="11" t="inlineStr">
        <is>
          <t>ts 投資及其他金融資產 Initial recognition and measurement 初始確認及計量 Financial assets are classified, at initial recognition, as 金融資產於初始確認時分類為其後按攤銷成 subsequently measured at amortised cost, fair value through other 本、按公平值透過其他全面收益入賬及按公平 comprehensive income, and fair value through profit or loss. 值透過損益入賬計量。 The classification of financial assets at initial recognition 金融資產於初始確認時的分類視乎金融資產合 depends on the financial asset’s contractual cash flow 約現金流量的特徵及本集團管理該等資產的業 characteristics and the Group’s business model for managing 務模式。除並無重大融資成分或本集團並</t>
        </is>
      </c>
    </row>
    <row r="34">
      <c r="A34" s="8" t="inlineStr">
        <is>
          <t>Intangible Assets &amp; Goodwill</t>
        </is>
      </c>
      <c r="B34" s="8" t="inlineStr">
        <is>
          <t>無形資產及商譽</t>
        </is>
      </c>
      <c r="C34" s="19" t="inlineStr">
        <is>
          <t>high</t>
        </is>
      </c>
      <c r="D34" s="11" t="inlineStr">
        <is>
          <t>攤銷</t>
        </is>
      </c>
      <c r="E34" s="11" t="inlineStr">
        <is>
          <t>PDF p.80 (印刷頁 79)</t>
        </is>
      </c>
      <c r="F34" s="11" t="inlineStr">
        <is>
          <t>續） Initial recognition and measurement (continued) 初始確認及計量（續） In order for a financial asset to be classified and measured at 為使金融資產按攤銷成本或按公平值透過其他 amortised cost or fair value through other comprehensive income, 全面收益入賬分類及計量，需就未償還本金產 it needs to give rise to cash flows that are solely payments 生僅為支付本金及利息（「SPPI」）的現金流量。 of principal and interest (“SPPI”) on the principal amount 現金流量並非SPPI之金融資產按公平值透過損 outstanding. Financial assets with cash flows that are not SPPI 益分類及計量，而不論業務模式。 are classified and measured at fair value through pr</t>
        </is>
      </c>
    </row>
    <row r="35">
      <c r="A35" s="8" t="inlineStr">
        <is>
          <t>Intangible Assets &amp; Goodwill</t>
        </is>
      </c>
      <c r="B35" s="8" t="inlineStr">
        <is>
          <t>無形資產及商譽</t>
        </is>
      </c>
      <c r="C35" s="19" t="inlineStr">
        <is>
          <t>high</t>
        </is>
      </c>
      <c r="D35" s="11" t="inlineStr">
        <is>
          <t>攤銷</t>
        </is>
      </c>
      <c r="E35" s="11" t="inlineStr">
        <is>
          <t>PDF p.82 (印刷頁 81)</t>
        </is>
      </c>
      <c r="F35" s="11" t="inlineStr">
        <is>
          <t>，則撇銷 expectation of recovering the contractual cash flows. 金融資產。 Financial assets at amortised cost are subject to impairment under 按攤銷成本計量的金融資產在一般方法下可能 the general approach and they are classified within the following 會減值，且除應用簡化法的應收貿易賬款（如 stages for measurement of ECLs except for trade receivables 下文詳述）外，有關資產於以下階段分類以計 which apply the simplified approach as detailed below. 量預期信用損失。 Stage 1 – Financial instruments for which credit risk has not 第一階段 －金融工具自初始確認以來信貸 increased significantly since initial recognition 風險並未顯著增加，且其虧損 an</t>
        </is>
      </c>
    </row>
    <row r="36">
      <c r="A36" s="8" t="inlineStr">
        <is>
          <t>Intangible Assets &amp; Goodwill</t>
        </is>
      </c>
      <c r="B36" s="8" t="inlineStr">
        <is>
          <t>無形資產及商譽</t>
        </is>
      </c>
      <c r="C36" s="19" t="inlineStr">
        <is>
          <t>high</t>
        </is>
      </c>
      <c r="D36" s="11" t="inlineStr">
        <is>
          <t>攤銷</t>
        </is>
      </c>
      <c r="E36" s="11" t="inlineStr">
        <is>
          <t>PDF p.83 (印刷頁 82)</t>
        </is>
      </c>
      <c r="F36" s="11" t="inlineStr">
        <is>
          <t>assified, at initial recognition, as 金融負債被分類為按公平值透過損益入賬之金 financial liabilities at fair value through profit or loss, financial 融負債、按攤銷成本計量之金融負債或指定作 liabilities at amortised cost, or as derivatives designated as 為效對沖之對沖工具之衍生工具（如適用）。 hedging instruments in an effective hedge, as appropriate. All financial liabilities are recognised initially at fair value and, 所有金融負債初步按公平值確認及倘為應付款 in the case of payables, loans and borrowings, net of directly 項、貸款及借貸，則扣除直接應佔交易成本。 attributable transaction costs. The Group’s financial liabilities</t>
        </is>
      </c>
    </row>
    <row r="37">
      <c r="A37" s="8" t="inlineStr">
        <is>
          <t>Intangible Assets &amp; Goodwill</t>
        </is>
      </c>
      <c r="B37" s="8" t="inlineStr">
        <is>
          <t>無形資產及商譽</t>
        </is>
      </c>
      <c r="C37" s="19" t="inlineStr">
        <is>
          <t>high</t>
        </is>
      </c>
      <c r="D37" s="11" t="inlineStr">
        <is>
          <t>amortisation</t>
        </is>
      </c>
      <c r="E37" s="11" t="inlineStr">
        <is>
          <t>PDF p.84 (印刷頁 83)</t>
        </is>
      </c>
      <c r="F37" s="11" t="inlineStr">
        <is>
          <t>in the statement 攤銷程序時在損益表確認。 of profit or loss when the liabilities are derecognised as well as through the effective interest rate amortisation process. Amortised cost is calculated by taking into account any discount 攤銷成本乃考慮收購事項任何折讓或溢價及屬 or premium on acquisition and fees or costs that are an integral 實際利率不可或缺一部份之費用或成本後計 part of the effective interest rate. The effective interest rate 算。實際利率攤銷計入損益表之融資成本內。 amortisation is included in finance costs in the statement of profit or loss. Derecognition of financial liabilities 不再確認</t>
        </is>
      </c>
    </row>
    <row r="38">
      <c r="A38" s="8" t="inlineStr">
        <is>
          <t>Intangible Assets &amp; Goodwill</t>
        </is>
      </c>
      <c r="B38" s="8" t="inlineStr">
        <is>
          <t>無形資產及商譽</t>
        </is>
      </c>
      <c r="C38" s="19" t="inlineStr">
        <is>
          <t>high</t>
        </is>
      </c>
      <c r="D38" s="11" t="inlineStr">
        <is>
          <t>goodwill</t>
        </is>
      </c>
      <c r="E38" s="11" t="inlineStr">
        <is>
          <t>PDF p.85 (印刷頁 84)</t>
        </is>
      </c>
      <c r="F38" s="11" t="inlineStr">
        <is>
          <t>為遞延稅項負 differences, except: 債，惟以下情況除外： • when the deferred tax liability arises from the initial • 當可被扣減之暫時性差額相關之遞延稅項 recognition of goodwill or an asset or liability in a 資產，因初次確認一項交易而該交易並非 transaction that is not a business combination and, at the 為商業合併之商譽或資產或負債而產生， time of the transaction, affects neither the accounting profit 及於進行交易時，不會對會計溢利或應課 nor taxable profit or loss and does not give rise to equal 稅溢利或虧損構成影響之遞延稅項負債， taxable and deductible temporary differences; and 且並不產生同等應課稅和可扣減暫時性差 額；及 • in respect of taxable tempora</t>
        </is>
      </c>
    </row>
    <row r="39">
      <c r="A39" s="8" t="inlineStr">
        <is>
          <t>Intangible Assets &amp; Goodwill</t>
        </is>
      </c>
      <c r="B39" s="8" t="inlineStr">
        <is>
          <t>無形資產及商譽</t>
        </is>
      </c>
      <c r="C39" s="19" t="inlineStr">
        <is>
          <t>high</t>
        </is>
      </c>
      <c r="D39" s="11" t="inlineStr">
        <is>
          <t>goodwill</t>
        </is>
      </c>
      <c r="E39" s="11" t="inlineStr">
        <is>
          <t>PDF p.89 (印刷頁 88)</t>
        </is>
      </c>
      <c r="F39" s="11" t="inlineStr">
        <is>
          <t>cumulative amount in the reserve relating to that particular foreign operation is recognised in the statement of profit or loss. Any goodwill arising on the acquisition of a foreign operation 收購一項海外業務產生之商譽及任何由收購所 and any fair value adjustments to the carrying amounts of assets 得之資產及負債賬面值之公平值調整均視為海 and liabilities arising on acquisition are treated as assets and 外業務之資產及負債及以收市價換算。 liabilities of the foreign operation and translated at the closing rate. For the purpose of the consolidated statement of cash flows, the 就綜合現金流量表而言，海外</t>
        </is>
      </c>
    </row>
    <row r="40">
      <c r="A40" s="8" t="inlineStr">
        <is>
          <t>Intangible Assets &amp; Goodwill</t>
        </is>
      </c>
      <c r="B40" s="8" t="inlineStr">
        <is>
          <t>無形資產及商譽</t>
        </is>
      </c>
      <c r="C40" s="19" t="inlineStr">
        <is>
          <t>high</t>
        </is>
      </c>
      <c r="D40" s="11" t="inlineStr">
        <is>
          <t>goodwill</t>
        </is>
      </c>
      <c r="E40" s="11" t="inlineStr">
        <is>
          <t>PDF p.111 (印刷頁 110)</t>
        </is>
      </c>
      <c r="F40" s="11" t="inlineStr">
        <is>
          <t>Further particulars of the Group’s investment property are 有關本集團投資物業之進一步資料載於年報第 included on page 140 of the annual report. 140頁。 15. GOODWILL 15. 商譽 HK$’000 港幣千元 Cost at 1 April 2024, 31 March 2025, 1 April 2025 於二零二四年四月一日、二零二五年三月三十一日、 and 31 March 2026 二零二五年四月一日及二零二六年三月三十一日 之成本 2,103 Impairment testing of goodwill 商譽之減值測試 The carrying amount of goodwill is allocated to the cash-generating 商譽之賬面值已分配至傳訊及廣告設計現金產 unit of communication and advertising design for impairment 生單位以進行減值測試。 testing. Communication and advertising design 傳</t>
        </is>
      </c>
    </row>
    <row r="41">
      <c r="A41" s="8" t="inlineStr">
        <is>
          <t>Intangible Assets &amp; Goodwill</t>
        </is>
      </c>
      <c r="B41" s="8" t="inlineStr">
        <is>
          <t>無形資產及商譽</t>
        </is>
      </c>
      <c r="C41" s="19" t="inlineStr">
        <is>
          <t>high</t>
        </is>
      </c>
      <c r="D41" s="11" t="inlineStr">
        <is>
          <t>goodwill</t>
        </is>
      </c>
      <c r="E41" s="11" t="inlineStr">
        <is>
          <t>PDF p.112 (印刷頁 111)</t>
        </is>
      </c>
      <c r="F41" s="11" t="inlineStr">
        <is>
          <t>Notes to Financial Statements 財務報告附註 111 31 March 2026 二零二六年三月三十一日 15. GOODWILL (continued) 15. 商譽（續） Impairment testing of goodwill (continued) 商譽之減值測試（續） Communication and advertising design (continued) 傳訊及廣告設計（續） Budgeted gross margins – The basis used to determine the value 預算毛利率－用以釐定預算毛利率之價值之基 assigned to the budgeted gross margins is the average gross 準為緊接預算年度前一年取得之平均毛利率。 margins achieved in the year immediately before the budget year. Discount rates – The disc</t>
        </is>
      </c>
    </row>
    <row r="42">
      <c r="A42" s="8" t="inlineStr">
        <is>
          <t>Intangible Assets &amp; Goodwill</t>
        </is>
      </c>
      <c r="B42" s="8" t="inlineStr">
        <is>
          <t>無形資產及商譽</t>
        </is>
      </c>
      <c r="C42" s="19" t="inlineStr">
        <is>
          <t>high</t>
        </is>
      </c>
      <c r="D42" s="11" t="inlineStr">
        <is>
          <t>goodwill</t>
        </is>
      </c>
      <c r="E42" s="11" t="inlineStr">
        <is>
          <t>PDF p.116 (印刷頁 115)</t>
        </is>
      </c>
      <c r="F42" s="11" t="inlineStr">
        <is>
          <t>： Proportion of the Group’s ownership 本集團擁有權之比例 29.70% 29.85% The Group’s share of net assets of the 本集團應佔聯營公司之 associate, excluding goodwill 資產淨值，不包括商譽 358,493 357,343 Goodwill on acquisition 收購時之商譽 11,519 13,247 Carrying amount of the investment in FSMHL 投資於四洲集團之賬面值 370,012 370,590 Revenue 收入 3,743,051 3,625,422 Profit for the year 年度溢利 14,253 8,789 Other comprehensive income for the year 年度其他全面收益 33,693 10,185 Total comprehensive income for the year 年度全面收益總額 47,946 18,974 Dividends received from the associate 已收聯營公司之股息 10,76</t>
        </is>
      </c>
    </row>
    <row r="43">
      <c r="A43" s="8" t="inlineStr">
        <is>
          <t>Intangible Assets &amp; Goodwill</t>
        </is>
      </c>
      <c r="B43" s="8" t="inlineStr">
        <is>
          <t>無形資產及商譽</t>
        </is>
      </c>
      <c r="C43" s="19" t="inlineStr">
        <is>
          <t>high</t>
        </is>
      </c>
      <c r="D43" s="11" t="inlineStr">
        <is>
          <t>攤銷</t>
        </is>
      </c>
      <c r="E43" s="11" t="inlineStr">
        <is>
          <t>PDF p.129 (印刷頁 128)</t>
        </is>
      </c>
      <c r="F43" s="11" t="inlineStr">
        <is>
          <t>assets at fair value through profit or loss 按公平值透過 損益入賬之 金融資產 Mandatory Financial designated assets at as such amortised cost Total 按攤銷 成本計量之 強制指定 金融資產 總計 HK$’000 HK$’000 HK$’000 港幣千元 港幣千元 港幣千元 Listed equity investments 上市權益投資 5,953 – 5,953 Unlisted club debenture 非上市會所債券 2,051 – 2,051 Unlisted equity investments 非上市權益投資 6,670 – 6,670 Trade receivables 應收貿易賬款 – 11,558 11,558 Financial assets included in prepayments, 包括於預付款項、訂金及 deposits and other receivables (note 19) 其他應收款項之 金融資產（附註19） – 5,543 5,543 Due from associates 應收聯營公司</t>
        </is>
      </c>
    </row>
    <row r="44">
      <c r="A44" s="8" t="inlineStr">
        <is>
          <t>Intangible Assets &amp; Goodwill</t>
        </is>
      </c>
      <c r="B44" s="8" t="inlineStr">
        <is>
          <t>無形資產及商譽</t>
        </is>
      </c>
      <c r="C44" s="19" t="inlineStr">
        <is>
          <t>high</t>
        </is>
      </c>
      <c r="D44" s="11" t="inlineStr">
        <is>
          <t>攤銷</t>
        </is>
      </c>
      <c r="E44" s="11" t="inlineStr">
        <is>
          <t>PDF p.130 (印刷頁 129)</t>
        </is>
      </c>
      <c r="F44" s="11" t="inlineStr">
        <is>
          <t>assets at fair value through profit or loss 按公平值透過 損益入賬之 金融資產 Mandatory Financial designated assets at as such amortised cost Total 按攤銷 成本計量之 強制指定 金融資產 總計 HK$’000 HK$’000 HK$’000 港幣千元 港幣千元 港幣千元 Listed equity investments 上市權益投資 5,899 – 5,899 Unlisted club debenture 非上市會所債券 2,051 – 2,051 Unlisted equity investments 非上市權益投資 7,441 – 7,441 Trade receivables 應收貿易賬款 – 15,520 15,520 Financial assets included in 包括於預付款項、訂金及 prepayments, deposits and 其他應收款項之 other receivables (note 19) 金融資產（附註19） – 4,465 4,465 Due from associates 應收聯營公司</t>
        </is>
      </c>
    </row>
    <row r="45">
      <c r="A45" s="8" t="inlineStr">
        <is>
          <t>Investment Properties</t>
        </is>
      </c>
      <c r="B45" s="8" t="inlineStr">
        <is>
          <t>投資物業</t>
        </is>
      </c>
      <c r="C45" s="19" t="inlineStr">
        <is>
          <t>high</t>
        </is>
      </c>
      <c r="D45" s="11" t="inlineStr">
        <is>
          <t>investment property</t>
        </is>
      </c>
      <c r="E45" s="11" t="inlineStr">
        <is>
          <t>PDF p.57 (印刷頁 56)</t>
        </is>
      </c>
      <c r="F45" s="11" t="inlineStr">
        <is>
          <t>千元 港幣千元 NON-CURRENT ASSETS 非流動資產 Property, plant and equipment 物業、廠房及設備 12 14,436 37,224 Right-of-use assets 使用權資產 13(a) 2,050 4,965 Investment property 投資物業 14 – 12,664 Investments in associates 於聯營公司之投資 16 370,012 370,590 Deposits 訂金 19 2,845 2,862 Goodwill 商譽 15 2,103 2,103 Financial assets at fair value through 按公平值透過損益入賬的 profit or loss 金融資產 20 8,721 9,492 Deferred tax assets 遞延稅項資產 26 405 675 Total non-current assets 非流動資產總值 400,572 440,575 CURRENT ASSETS 流動資產 Inventories 存貨 17 29,384 36,453 Trade receivables 應收貿易賬款 18 11</t>
        </is>
      </c>
    </row>
    <row r="46">
      <c r="A46" s="8" t="inlineStr">
        <is>
          <t>Investment Properties</t>
        </is>
      </c>
      <c r="B46" s="8" t="inlineStr">
        <is>
          <t>投資物業</t>
        </is>
      </c>
      <c r="C46" s="19" t="inlineStr">
        <is>
          <t>high</t>
        </is>
      </c>
      <c r="D46" s="11" t="inlineStr">
        <is>
          <t>investment property</t>
        </is>
      </c>
      <c r="E46" s="11" t="inlineStr">
        <is>
          <t>PDF p.61 (印刷頁 60)</t>
        </is>
      </c>
      <c r="F46" s="11" t="inlineStr">
        <is>
          <t>r value losses on financial assets at fair 按公平值透過損益入賬之金融 value through profit or loss, net 資產之公平值淨虧損 5 717 386 Fair value gain on an investment property 投資物業之公平值收益 5 (1,406) – Depreciation of items of property, plant 物業、廠房及設備項目之 and equipment 折舊 7 2,590 2,402 Depreciation of right-of-use assets 使用權資產之折舊 7 3,966 6,196 Write-down of inventories to net realisable 撇減存貨至可變現淨值 value 7 355 60 Impairment/(reversal of impairment) of 應收貿易賬款減值╱ trade receivables （撥回減值） 7 (209) 115 Loss on disposal of items of property, 出售物業、廠房及設備項目之 plant</t>
        </is>
      </c>
    </row>
    <row r="47">
      <c r="A47" s="8" t="inlineStr">
        <is>
          <t>Investment Properties</t>
        </is>
      </c>
      <c r="B47" s="8" t="inlineStr">
        <is>
          <t>投資物業</t>
        </is>
      </c>
      <c r="C47" s="19" t="inlineStr">
        <is>
          <t>high</t>
        </is>
      </c>
      <c r="D47" s="11" t="inlineStr">
        <is>
          <t>investment property</t>
        </is>
      </c>
      <c r="E47" s="11" t="inlineStr">
        <is>
          <t>PDF p.64 (印刷頁 63)</t>
        </is>
      </c>
      <c r="F47" s="11" t="inlineStr">
        <is>
          <t>動 under the historical cost convention, except for financial assets at 資產按其賬面值與公平值減出售成本的較低者 fair value through profit or loss and an investment property which 列賬。本財務報表以港幣（「港幣」）呈列，除另 have been measured at fair value. Non-current assets classified 有註明者外，所有數值均四捨五入至最接近千 as held for sale are stated at the lower of their carrying amounts 位數。 and fair values less costs to sell. These financial statements are presented in Hong Kong dollars (“HK$”) and all values are rounded to the nearest thousand except when otherwise indicated. 綜合賬目基</t>
        </is>
      </c>
    </row>
    <row r="48">
      <c r="A48" s="8" t="inlineStr">
        <is>
          <t>Investment Properties</t>
        </is>
      </c>
      <c r="B48" s="8" t="inlineStr">
        <is>
          <t>投資物業</t>
        </is>
      </c>
      <c r="C48" s="19" t="inlineStr">
        <is>
          <t>high</t>
        </is>
      </c>
      <c r="D48" s="11" t="inlineStr">
        <is>
          <t>investment property</t>
        </is>
      </c>
      <c r="E48" s="11" t="inlineStr">
        <is>
          <t>PDF p.73 (印刷頁 72)</t>
        </is>
      </c>
      <c r="F48" s="11" t="inlineStr">
        <is>
          <t>the operation disposed of and the portion of the cash-generating unit retained. Fair value measurement 公平值計量 The Group measures its investment property, equity investments 本集團於各報告期末按公平值計量其投資物 and club debenture at fair value at the end of each reporting 業、權益投資及會所債券。公平值為巿場參與 period. Fair value is the price that would be received to sell 者於計量日期在有序交易中出售資產所收取的 an asset or paid to transfer a liability in an orderly transaction 價格或轉讓負債所支付的價格。公平值計量乃 between market participants at the measurement date. The 根據假設出售資產或轉讓負債的交易於資產或 fair va</t>
        </is>
      </c>
    </row>
    <row r="49">
      <c r="A49" s="8" t="inlineStr">
        <is>
          <t>Investment Properties</t>
        </is>
      </c>
      <c r="B49" s="8" t="inlineStr">
        <is>
          <t>投資物業</t>
        </is>
      </c>
      <c r="C49" s="19" t="inlineStr">
        <is>
          <t>high</t>
        </is>
      </c>
      <c r="D49" s="11" t="inlineStr">
        <is>
          <t>investment property</t>
        </is>
      </c>
      <c r="E49" s="11" t="inlineStr">
        <is>
          <t>PDF p.74 (印刷頁 73)</t>
        </is>
      </c>
      <c r="F49" s="11" t="inlineStr">
        <is>
          <t>annual 倘有顯示出現減值，或當需要對非金融資產 impairment testing for an asset is required (other than inventories, （存貨、商譽及投資物業除外）作每年減值測 goodwill and an investment property), the asset’s recoverable 試，則須估計資產之可收回價值。資產之可收 amount is estimated. An asset’s recoverable amount is the higher 回價值按資產或現金產生單元之使用價值，以 of the asset’s or cash-generating unit’s value in use and its fair 及其公平值減出售成本之較高者計算，並就各 value less costs of disposal, and is determined for an individual 個別資產而釐訂，除非資產並未能在大致獨立 asset, unless the asset does not generate cash inflows that are 於其他資產或組別</t>
        </is>
      </c>
    </row>
    <row r="50">
      <c r="A50" s="8" t="inlineStr">
        <is>
          <t>Investment Properties</t>
        </is>
      </c>
      <c r="B50" s="8" t="inlineStr">
        <is>
          <t>投資物業</t>
        </is>
      </c>
      <c r="C50" s="19" t="inlineStr">
        <is>
          <t>high</t>
        </is>
      </c>
      <c r="D50" s="11" t="inlineStr">
        <is>
          <t>投資物業</t>
        </is>
      </c>
      <c r="E50" s="11" t="inlineStr">
        <is>
          <t>PDF p.77 (印刷頁 76)</t>
        </is>
      </c>
      <c r="F50" s="11" t="inlineStr">
        <is>
          <t>cial Statements 76 財務報告附註 31 March 2026 二零二六年三月三十一日 2.4 MATERIAL ACCOUNTING POLICIES (continued) 2.4 重大會計政策（續） Investment properties 投資物業 Investment properties are interests in land and buildings 投資物業為持作賺取租金收入及╱或用作資 (including right-of-use assets) held to earn rental income and/ 本增值的於土地及樓宇的權益（包括使用權資 or for capital appreciation. Such properties are measured 產）。該等物業初步以成本（包括交易成本）計 initially at cost, including transaction costs. Subsequent to initial 量。於初步確認後，投資物業乃按反映報告期 recognition, investment properties are stated at fair value,</t>
        </is>
      </c>
    </row>
    <row r="51">
      <c r="A51" s="8" t="inlineStr">
        <is>
          <t>Investment Properties</t>
        </is>
      </c>
      <c r="B51" s="8" t="inlineStr">
        <is>
          <t>投資物業</t>
        </is>
      </c>
      <c r="C51" s="19" t="inlineStr">
        <is>
          <t>high</t>
        </is>
      </c>
      <c r="D51" s="11" t="inlineStr">
        <is>
          <t>investment property</t>
        </is>
      </c>
      <c r="E51" s="11" t="inlineStr">
        <is>
          <t>PDF p.92 (印刷頁 91)</t>
        </is>
      </c>
      <c r="F51" s="11" t="inlineStr">
        <is>
          <t>ent assets classified as 項、遞延稅項資產、分類為持作待售的非流動 held for sale, certain items of property, plant and equipment, an 資產、若干物業、廠房及設備、投資物業、及 investment property, and corporate and other unallocated assets 公司及其他未分配資產，此乃由於該等資產作 as these assets are managed on a group basis. 為整體資產進行管理。 Segment liabilities exclude tax payable, deferred tax liabilities 分部負債不包括應付稅項、遞延稅項負債及公 and corporate and other unallocated liabilities as these liabilities 司及其他未分配負債，此乃由於該等負債作為 are managed on a group basis. 整體負債進行管理。 二零二六年年報 | 香港食品投資控股有限公司</t>
        </is>
      </c>
    </row>
    <row r="52">
      <c r="A52" s="8" t="inlineStr">
        <is>
          <t>Investment Properties</t>
        </is>
      </c>
      <c r="B52" s="8" t="inlineStr">
        <is>
          <t>投資物業</t>
        </is>
      </c>
      <c r="C52" s="19" t="inlineStr">
        <is>
          <t>high</t>
        </is>
      </c>
      <c r="D52" s="11" t="inlineStr">
        <is>
          <t>investment property</t>
        </is>
      </c>
      <c r="E52" s="11" t="inlineStr">
        <is>
          <t>PDF p.96 (印刷頁 95)</t>
        </is>
      </c>
      <c r="F52" s="11" t="inlineStr">
        <is>
          <t>partial interest 出售部份聯營公司權益 in an associate 之虧損 (459) (1,336) Gain on lease termination, net 終止租賃之淨收益 – 1,176 Fair value gain on an investment property 投資物業之公平值收益 1,406 – Foreign exchange differences, net 匯兌差異，淨額 1,319 616 Total gains, net 收益淨額總值 1,549 70 Total other income and gains, net 其他收入及收益，淨額總值 3,072 3,605 二零二六年年報 | 香港食品投資控股有限公司</t>
        </is>
      </c>
    </row>
    <row r="53">
      <c r="A53" s="8" t="inlineStr">
        <is>
          <t>Investment Properties</t>
        </is>
      </c>
      <c r="B53" s="8" t="inlineStr">
        <is>
          <t>投資物業</t>
        </is>
      </c>
      <c r="C53" s="19" t="inlineStr">
        <is>
          <t>high</t>
        </is>
      </c>
      <c r="D53" s="11" t="inlineStr">
        <is>
          <t>investment property</t>
        </is>
      </c>
      <c r="E53" s="11" t="inlineStr">
        <is>
          <t>PDF p.109 (印刷頁 108)</t>
        </is>
      </c>
      <c r="F53" s="11" t="inlineStr">
        <is>
          <t>Notes to Financial Statements 108 財務報告附註 31 March 2026 二零二六年三月三十一日 14. INVESTMENT PROPERTY 14. 投資物業 2026 2025 二零二六年 二零二五年 HK$’000 HK$’000 港幣千元 港幣千元 Carrying amount at beginning of year 於年初之賬面金額 12,664 12,615 Fair value gain 公平值收益 1,406 – Transfer to non-current assets classified 轉移至分類為持作待售的 as held for sale (note 22) 非流動資產（附註22） (13,394) – Exchange realignment 匯兌調整 (676) 49 Carrying amount at end of year 於年末之賬面金額 – 12,664 The Group’s investment property consists of a</t>
        </is>
      </c>
    </row>
    <row r="54">
      <c r="A54" s="8" t="inlineStr">
        <is>
          <t>Investment Properties</t>
        </is>
      </c>
      <c r="B54" s="8" t="inlineStr">
        <is>
          <t>投資物業</t>
        </is>
      </c>
      <c r="C54" s="19" t="inlineStr">
        <is>
          <t>high</t>
        </is>
      </c>
      <c r="D54" s="11" t="inlineStr">
        <is>
          <t>investment property</t>
        </is>
      </c>
      <c r="E54" s="11" t="inlineStr">
        <is>
          <t>PDF p.110 (印刷頁 109)</t>
        </is>
      </c>
      <c r="F54" s="11" t="inlineStr">
        <is>
          <t>Notes to Financial Statements 財務報告附註 109 31 March 2026 二零二六年三月三十一日 14. INVESTMENT PROPERTY (continued) 14. 投資物業（續） The following table illustrates the fair value measurement 下表顯示本集團投資物業之公平值計量等級架 hierarchy of the Group’s investment property: 構： Fair value measurement as at 31 March 2026 using 於二零二六年三月三十一日之 公平值計量採用 Quoted price in Significant Significant active observable unobservable market inputs inputs (Level 1) (Level 2) (Level 3) Total 活躍市場 重大可觀察 重大不可 報價 輸入值 觀察輸入值</t>
        </is>
      </c>
    </row>
    <row r="55">
      <c r="A55" s="8" t="inlineStr">
        <is>
          <t>Investment Properties</t>
        </is>
      </c>
      <c r="B55" s="8" t="inlineStr">
        <is>
          <t>投資物業</t>
        </is>
      </c>
      <c r="C55" s="19" t="inlineStr">
        <is>
          <t>high</t>
        </is>
      </c>
      <c r="D55" s="11" t="inlineStr">
        <is>
          <t>investment property</t>
        </is>
      </c>
      <c r="E55" s="11" t="inlineStr">
        <is>
          <t>PDF p.111 (印刷頁 110)</t>
        </is>
      </c>
      <c r="F55" s="11" t="inlineStr">
        <is>
          <t>Notes to Financial Statements 110 財務報告附註 31 March 2026 二零二六年三月三十一日 14. INVESTMENT PROPERTY (continued) 14. 投資物業（續） Below is a summary of the valuation techniques used and the key 下文載列投資物業估值所用之估值方法及主要 inputs to the valuation of the investment property: 輸入值之概要： Significant Valuation technique unobservable inputs Weighted average 估值方法 重大不可觀察輸入值 加權平均數 Commercial property in Japan Direct comparison approach Estimated market value JPY6,608,000 (per square metre) 6,608,000日</t>
        </is>
      </c>
    </row>
    <row r="56">
      <c r="A56" s="8" t="inlineStr">
        <is>
          <t>Investment Properties</t>
        </is>
      </c>
      <c r="B56" s="8" t="inlineStr">
        <is>
          <t>投資物業</t>
        </is>
      </c>
      <c r="C56" s="19" t="inlineStr">
        <is>
          <t>high</t>
        </is>
      </c>
      <c r="D56" s="11" t="inlineStr">
        <is>
          <t>investment property</t>
        </is>
      </c>
      <c r="E56" s="11" t="inlineStr">
        <is>
          <t>PDF p.120 (印刷頁 119)</t>
        </is>
      </c>
      <c r="F56" s="11" t="inlineStr">
        <is>
          <t>D AS HELD 22. 分類為持作待售的非流動資產 FOR SALE 2026 2025 二零二六年 二零二五年 HK$’000 HK$’000 港幣千元 港幣千元 Property, plant and equipment 物業、廠房及設備 19,288 – Investment property 投資物業 13,394 – 32,682 – On 12 February 2026, a wholly-owned subsidiary of the 於二零二六年二月十二日，本公司一間全資附 Company entered into a sale and purchase agreement with an 屬公司與一名獨立第三方訂立買賣協議，以 independent third party to dispose certain properties situated 1,250,000,000日圓（約63,092,000港元）的代價 in Japan (“Disposal”) for a consideration of JPY1,250,000,000 出售位於日本的若干物業（「出售事項」）。出售 (approximately HK$63,</t>
        </is>
      </c>
    </row>
    <row r="57">
      <c r="A57" s="8" t="inlineStr">
        <is>
          <t>Investment Properties</t>
        </is>
      </c>
      <c r="B57" s="8" t="inlineStr">
        <is>
          <t>投資物業</t>
        </is>
      </c>
      <c r="C57" s="19" t="inlineStr">
        <is>
          <t>high</t>
        </is>
      </c>
      <c r="D57" s="11" t="inlineStr">
        <is>
          <t>投資物業</t>
        </is>
      </c>
      <c r="E57" s="11" t="inlineStr">
        <is>
          <t>PDF p.122 (印刷頁 121)</t>
        </is>
      </c>
      <c r="F57" s="11" t="inlineStr">
        <is>
          <t>abilities during the year 於年內遞延稅項資產╱負債之變動如下： are as follows: Deferred tax liabilities 遞延稅項負債 Revaluation of an investment property 重估投資物業 HK$’000 港幣千元 At 1 April 2024, 31 March 2025 and 1 April 2025 於二零二四年四月一日、二零二五年 三月三十一日及二零二五年四月一日 1,383 Deferred tax charged to the statement of profit or 本年度於損益表內扣除之遞延稅項 loss during the year (note 10) （附註10） 482 At 31 March 2026 於二零二六年三月三十一日 1,865 Deferred tax assets 遞延稅項資產 Depreciation in Losses available excess of related for offsetting depreciation against future allowance taxable profits Ot</t>
        </is>
      </c>
    </row>
    <row r="58">
      <c r="A58" s="8" t="inlineStr">
        <is>
          <t>Investment Properties</t>
        </is>
      </c>
      <c r="B58" s="8" t="inlineStr">
        <is>
          <t>投資物業</t>
        </is>
      </c>
      <c r="C58" s="19" t="inlineStr">
        <is>
          <t>high</t>
        </is>
      </c>
      <c r="D58" s="11" t="inlineStr">
        <is>
          <t>investment property</t>
        </is>
      </c>
      <c r="E58" s="11" t="inlineStr">
        <is>
          <t>PDF p.124 (印刷頁 123)</t>
        </is>
      </c>
      <c r="F58" s="11" t="inlineStr">
        <is>
          <t>生之虧損。 losses incurred. The revaluation reserve arose from a change in use from an 重估儲備之產生乃由於往年因自用物業之用途 owner-occupies property to an investment property carried at fair 變更為按公平值列賬之投資物業。 value in the prior year. 二零二六年年報 | 香港食品投資控股有限公司</t>
        </is>
      </c>
    </row>
    <row r="59">
      <c r="A59" s="8" t="inlineStr">
        <is>
          <t>Investment Properties</t>
        </is>
      </c>
      <c r="B59" s="8" t="inlineStr">
        <is>
          <t>投資物業</t>
        </is>
      </c>
      <c r="C59" s="19" t="inlineStr">
        <is>
          <t>high</t>
        </is>
      </c>
      <c r="D59" s="11" t="inlineStr">
        <is>
          <t>investment property</t>
        </is>
      </c>
      <c r="E59" s="11" t="inlineStr">
        <is>
          <t>PDF p.141 (印刷頁 140)</t>
        </is>
      </c>
      <c r="F59" s="11" t="inlineStr">
        <is>
          <t>Particulars of Properties 140 物業詳情 31 March 2026 二零二六年三月三十一日 INVESTMENT PROPERTY CLASSIFIED AS 分類為持作待售的非流動資產之投資物業 NON-CURRENT ASSETS HELD FOR SALE Percentage of interest attributable to Location Use Tenure the Group 地點 用途 租期 本集團所佔權益百分比 112-11, Shimbashi 5-chome, Commercial Short term lease 100 Minato-ku, Tokyo, Japan 商業 短期租賃 日本東京都港區新橋五丁目112番地11 HONG KONG FOOD INVESTMENT HOLDINGS LIMITED | Annual Report 2026</t>
        </is>
      </c>
    </row>
    <row r="60">
      <c r="A60" s="8" t="inlineStr">
        <is>
          <t>ESG Data</t>
        </is>
      </c>
      <c r="B60" s="8" t="inlineStr">
        <is>
          <t>環境社會及管治數據</t>
        </is>
      </c>
      <c r="C60" s="8" t="inlineStr">
        <is>
          <t>medium</t>
        </is>
      </c>
      <c r="D60" s="11" t="inlineStr">
        <is>
          <t>可持續</t>
        </is>
      </c>
      <c r="E60" s="11" t="inlineStr">
        <is>
          <t>PDF p.8 (印刷頁 7)</t>
        </is>
      </c>
      <c r="F60" s="11" t="inlineStr">
        <is>
          <t>place of business to the high-rise Four 務。展望未來，這現代化的基礎設施有望為四洲集 Seas Group Centre in Kwun Tong. Moving forward, this modernised 團帶來更大的可持續回報。 infrastructure is expected to yield greater sustainable returns. Food Distribution is the main source of income for FSMHL. FSMHL 食品代理業務是四洲集團的主要收入來源。四洲集 continues to focus on developing high-quality food products related 團持續專注於開發民生相關的高品質食品，例如日 to people’s livelihoods. High-demand Japanese commodities like 本雞蛋、奶類製品、豆腐和日本米等高需求的日本 Japanese eggs, Japanese dairy products, tofu, and Japanese rice</t>
        </is>
      </c>
    </row>
    <row r="61">
      <c r="A61" s="8" t="inlineStr">
        <is>
          <t>ESG Data</t>
        </is>
      </c>
      <c r="B61" s="8" t="inlineStr">
        <is>
          <t>環境社會及管治數據</t>
        </is>
      </c>
      <c r="C61" s="8" t="inlineStr">
        <is>
          <t>medium</t>
        </is>
      </c>
      <c r="D61" s="11" t="inlineStr">
        <is>
          <t>可持續</t>
        </is>
      </c>
      <c r="E61" s="11" t="inlineStr">
        <is>
          <t>PDF p.9 (印刷頁 8)</t>
        </is>
      </c>
      <c r="F61" s="11" t="inlineStr">
        <is>
          <t>and expand our portfolio. At 新產品並豐富產品組合。同時，我們亦會全面提升 the same time, we will enhance our overall competitiveness to support 競爭優勢，支持長遠及可持續的發展，推動品牌建 sustainable long-term growth, further develop our brand, broaden 設、拓展客戶基礎，並積極捕捉新興商機。憑藉深 our customer base, and capture emerging opportunities. Building 厚的行業經驗及廣泛的業務網絡，本集團將進一步 on our deep industry expertise and extensive business network, we 鞏固與海外供應商的長期策略合作關係。此外，我 will also reinforce long-term strategic partnerships with overseas 們將加強在國際新興市場的佈局，拓展銷售渠道 suppliers. In addition, the Group</t>
        </is>
      </c>
    </row>
    <row r="62">
      <c r="A62" s="8" t="inlineStr">
        <is>
          <t>ESG Data</t>
        </is>
      </c>
      <c r="B62" s="8" t="inlineStr">
        <is>
          <t>環境社會及管治數據</t>
        </is>
      </c>
      <c r="C62" s="8" t="inlineStr">
        <is>
          <t>medium</t>
        </is>
      </c>
      <c r="D62" s="11" t="inlineStr">
        <is>
          <t>可持續</t>
        </is>
      </c>
      <c r="E62" s="11" t="inlineStr">
        <is>
          <t>PDF p.10 (印刷頁 9)</t>
        </is>
      </c>
      <c r="F62" s="11" t="inlineStr">
        <is>
          <t>the development and launch 拓展銷售版圖。即使在充滿挑戰的環境下，我們仍 of new products, and deepen collaboration with business partners to 致力於穩步前進，並為公司實現可持續增長。 broaden our sales reach. Even in challenging conditions, we remain committed to steady progress and to delivering sustainable growth for the company. The Group’s strategic partner, FSMHL is confident in its future 本集團的策略性投資夥伴四洲集團，對未來發展充 development. Even facing challenges posed by uncertainties in the 滿信心，即使面對環球市場不明朗因素的挑戰，將 global market, FSMHL will continue to uphold its business strategy</t>
        </is>
      </c>
    </row>
    <row r="63">
      <c r="A63" s="8" t="inlineStr">
        <is>
          <t>ESG Data</t>
        </is>
      </c>
      <c r="B63" s="8" t="inlineStr">
        <is>
          <t>環境社會及管治數據</t>
        </is>
      </c>
      <c r="C63" s="8" t="inlineStr">
        <is>
          <t>medium</t>
        </is>
      </c>
      <c r="D63" s="11" t="inlineStr">
        <is>
          <t>可持續</t>
        </is>
      </c>
      <c r="E63" s="11" t="inlineStr">
        <is>
          <t>PDF p.16 (印刷頁 15)</t>
        </is>
      </c>
      <c r="F63" s="11" t="inlineStr">
        <is>
          <t>e-commerce operations on Taobao, Tmall, and 略，四洲集團不斷提升品牌價值，並促進線上銷售 JD.com. Backed by diversified digital marketing initiatives and 的可持續發展。 innovative promotional strategies, the Group continues to enhance brand equity and stimulate sustainable online sales. Looking forward, FSMHL will also actively pursue cross-industry 展望未來，四洲集團也將積極開展跨界聯乘合作， collaborations to further expand its customer base. In addition, 進一步擴闊客戶群。四洲集團也將把握四年一度舉 FSMHL will seize business opportunities created by major 辦的世界盃和亞運會所帶來的商機。隨着香港經濟 international sport</t>
        </is>
      </c>
    </row>
    <row r="64">
      <c r="A64" s="8" t="inlineStr">
        <is>
          <t>ESG Data</t>
        </is>
      </c>
      <c r="B64" s="8" t="inlineStr">
        <is>
          <t>環境社會及管治數據</t>
        </is>
      </c>
      <c r="C64" s="8" t="inlineStr">
        <is>
          <t>medium</t>
        </is>
      </c>
      <c r="D64" s="11" t="inlineStr">
        <is>
          <t>環境、社會及管治</t>
        </is>
      </c>
      <c r="E64" s="11" t="inlineStr">
        <is>
          <t>PDF p.17 (印刷頁 16)</t>
        </is>
      </c>
      <c r="F64" s="11" t="inlineStr">
        <is>
          <t>and Analysis” set out on pages 4 to （「聯交所」）證券上市規則（「上市規則」）附錄C2所載 15 of this annual report. In light of the Environmental, Social and 之環境、社會及管治報告指引，本集團將於年報刊 Government Reporting Guide as set out in the Appendix C2 of the 發日期同日刊發環境、社會及管治報告。 Rules Governing the Listing of Securities on The Stock Exchange of Hong Kong Limited (the “Stock Exchange”) (the “Listing Rules”), a separate Environmental, Social and Governance Report will be published in on the same day with the annual report. RESULTS AND DIVIDEND 業績及股息 The Group’s loss for</t>
        </is>
      </c>
    </row>
    <row r="65">
      <c r="A65" s="8" t="inlineStr">
        <is>
          <t>ESG Data</t>
        </is>
      </c>
      <c r="B65" s="8" t="inlineStr">
        <is>
          <t>環境社會及管治數據</t>
        </is>
      </c>
      <c r="C65" s="8" t="inlineStr">
        <is>
          <t>medium</t>
        </is>
      </c>
      <c r="D65" s="11" t="inlineStr">
        <is>
          <t>可持續</t>
        </is>
      </c>
      <c r="E65" s="11" t="inlineStr">
        <is>
          <t>PDF p.34 (印刷頁 33)</t>
        </is>
      </c>
      <c r="F65" s="11" t="inlineStr">
        <is>
          <t>ly and responsibly across all levels of the Company. 配合。 To achieve the corporate purpose and sustainable long-term success, 為實現企業宗旨及可持續的長期成功，董事會已採 the Board adopted and implemented a corporate strategy with a view 納及實施企業策略，以期透過從世界各地採購美 to maintain its leading position in the food industry by sourcing 食、提供優質產品及服務、有效使用資源、以及持 delicacies from all over the world, delivery of high-quality products 續學習、改進及創新，以維持其於食品行業的領先 and services, efficient use of resources, and continuous learning, 地位。 improvement and innovation. The Board belie</t>
        </is>
      </c>
    </row>
    <row r="66">
      <c r="A66" s="8" t="inlineStr">
        <is>
          <t>ESG Data</t>
        </is>
      </c>
      <c r="B66" s="8" t="inlineStr">
        <is>
          <t>環境社會及管治數據</t>
        </is>
      </c>
      <c r="C66" s="8" t="inlineStr">
        <is>
          <t>medium</t>
        </is>
      </c>
      <c r="D66" s="11" t="inlineStr">
        <is>
          <t>ESG</t>
        </is>
      </c>
      <c r="E66" s="11" t="inlineStr">
        <is>
          <t>PDF p.35 (印刷頁 34)</t>
        </is>
      </c>
      <c r="F66" s="11" t="inlineStr">
        <is>
          <t>not 風險（包括但不限於業務、營運及環境、社會及管 limited to business, operation as well as environmental, social and 治（「環境、社會及管治」）風險）；授權管理人員管 governance (“ESG”) risks) to be assessed and managed; delegate 理及監督本集團業務；以及確保管理人員按已訂目 authorities to the management to manage and supervise the business 標監察表現。 of the Group; and ensure the management monitor performance against objectives being set. The Company has formalised a written guideline for the division 本公司已製備一套書面指引，區分董事會及管理層 of responsibilities between the Board and the management. Certain 之間之責任。董事會已</t>
        </is>
      </c>
    </row>
    <row r="67">
      <c r="A67" s="8" t="inlineStr">
        <is>
          <t>ESG Data</t>
        </is>
      </c>
      <c r="B67" s="8" t="inlineStr">
        <is>
          <t>環境社會及管治數據</t>
        </is>
      </c>
      <c r="C67" s="8" t="inlineStr">
        <is>
          <t>medium</t>
        </is>
      </c>
      <c r="D67" s="11" t="inlineStr">
        <is>
          <t>ESG</t>
        </is>
      </c>
      <c r="E67" s="11" t="inlineStr">
        <is>
          <t>PDF p.46 (印刷頁 45)</t>
        </is>
      </c>
      <c r="F67" s="11" t="inlineStr">
        <is>
          <t>ature and 估及釐定於實現本集團策略目標時所願意承擔之風 extent of risks (including but not limited to business, operation as well 險（包括但不限於業務、營運及環境、社會及管治 as ESG risks) the Group is willing to take in achieving the Group’s 風險）性質及程度，因此負責風險管理之有效性。 strategic objectives and therefore are accountable for the effectiveness of the risk management. Senior management from different departments identifies and 各部門的高級管理人員確定及評估風險（包括但不 evaluates the risks (including but not limited to business, operation 限於業務、營運及環境、社會及管治風險）可能對 as well as ESG risks) which may potenti</t>
        </is>
      </c>
    </row>
    <row r="68">
      <c r="A68" s="8" t="inlineStr">
        <is>
          <t>ESG Data</t>
        </is>
      </c>
      <c r="B68" s="8" t="inlineStr">
        <is>
          <t>環境社會及管治數據</t>
        </is>
      </c>
      <c r="C68" s="8" t="inlineStr">
        <is>
          <t>medium</t>
        </is>
      </c>
      <c r="D68" s="11" t="inlineStr">
        <is>
          <t>環境、社會及管治</t>
        </is>
      </c>
      <c r="E68" s="11" t="inlineStr">
        <is>
          <t>PDF p.68 (印刷頁 67)</t>
        </is>
      </c>
      <c r="F68" s="11" t="inlineStr">
        <is>
          <t>yment system before the settlement date if 金融負債進行終止確認。這些修訂說明了如何 specified criteria are met. The amendments clarify how to assess 評估具有環境、社會及管治以及其他類似條件 the contractual cash flow characteristics of financial assets 特徵的金融資產的合同現金流量特徵。此外， with environmental, social and governance and other similar 這些修訂還釐清了對具有無追索權特徵的金融 contingent features. Moreover, the amendments clarify the 資產和合同關聯工具的分類要求。這些修訂還 requirements for classifying financial assets with non-recourse 包括對指定以公允價值計量且其變動計入其他 features and contractually linked instruments. The amen</t>
        </is>
      </c>
    </row>
    <row r="69">
      <c r="A69" s="8" t="inlineStr">
        <is>
          <t>Segment Information</t>
        </is>
      </c>
      <c r="B69" s="8" t="inlineStr">
        <is>
          <t>分部資料</t>
        </is>
      </c>
      <c r="C69" s="8" t="inlineStr">
        <is>
          <t>medium</t>
        </is>
      </c>
      <c r="D69" s="11" t="inlineStr">
        <is>
          <t>segment information</t>
        </is>
      </c>
      <c r="E69" s="11" t="inlineStr">
        <is>
          <t>PDF p.13 (印刷頁 12)</t>
        </is>
      </c>
      <c r="F69" s="11" t="inlineStr">
        <is>
          <t>Revenue 收入 Overall revenue decreased by 15.2% compared to the previous 整體收入較上一個財政年度減少15.2%。誠如財務報 financial year. As disclosed in the Segment Information in Note 4 to 表附註4「分部資料」所披露，凍肉貿易業務為本集 the financial statements, the trading segment was the primary revenue 團的主要收入來源，錄得收入約141,900,000港元， driver, generating revenue of approximately HK$141,900,000. This 同比溫和下跌9.9%，主要是由於傳統核心產品的銷 represents a moderate 9.9% decline year-on-year, driven by a 13.8% 售收窄13.8%所致，惟該跌幅已被高端產品（如和 contraction in traditional core product sales, which was parti</t>
        </is>
      </c>
    </row>
    <row r="70">
      <c r="A70" s="8" t="inlineStr">
        <is>
          <t>Segment Information</t>
        </is>
      </c>
      <c r="B70" s="8" t="inlineStr">
        <is>
          <t>分部資料</t>
        </is>
      </c>
      <c r="C70" s="8" t="inlineStr">
        <is>
          <t>medium</t>
        </is>
      </c>
      <c r="D70" s="11" t="inlineStr">
        <is>
          <t>segment information</t>
        </is>
      </c>
      <c r="E70" s="11" t="inlineStr">
        <is>
          <t>PDF p.92 (印刷頁 91)</t>
        </is>
      </c>
      <c r="F70" s="11" t="inlineStr">
        <is>
          <t>Notes to Financial Statements 財務報告附註 91 31 March 2026 二零二六年三月三十一日 4. OPERATING SEGMENT INFORMATION 4. 經營分部資料 For management purposes, the Group is organised into business 就管理而言，本集團根據其產品及服務而劃分 units based on their products and services and has three 業務單位，截至二零二六年三月三十一日止有 reportable operating segments for the year ended 31 March 2026 以下三個須予報告之經營分部： as follows: (a) the trading segment is engaged in the trading of frozen (a) 貿易分部為在香港及日本從事冷凍肉類、 meats, seafood and vegetables in Hon</t>
        </is>
      </c>
    </row>
    <row r="71">
      <c r="A71" s="8" t="inlineStr">
        <is>
          <t>Segment Information</t>
        </is>
      </c>
      <c r="B71" s="8" t="inlineStr">
        <is>
          <t>分部資料</t>
        </is>
      </c>
      <c r="C71" s="8" t="inlineStr">
        <is>
          <t>medium</t>
        </is>
      </c>
      <c r="D71" s="11" t="inlineStr">
        <is>
          <t>segment information</t>
        </is>
      </c>
      <c r="E71" s="11" t="inlineStr">
        <is>
          <t>PDF p.93 (印刷頁 92)</t>
        </is>
      </c>
      <c r="F71" s="11" t="inlineStr">
        <is>
          <t>Notes to Financial Statements 92 財務報告附註 31 March 2026 二零二六年三月三十一日 4. OPERATING SEGMENT INFORMATION (continued) 4. 經營分部資料（續） Intersegment sales and transfers are transacted with reference to 各分部間之銷售及轉讓乃經參考與第三方交易 the selling prices used for sales made to third parties at the then 時之售價，按當時現行市價進行交易。 prevailing market prices. Trading Catering Others Total 貿易 餐飲 其他 總計 2026 2025 2026 2025 2026 2025 2026 2025 二零二六年 二零二五年 二零二六年 二零二五年 二零二六年 二零二五年 二零二六年 二零二五年 HK$’000 HK$’000 HK$’000 HK</t>
        </is>
      </c>
    </row>
    <row r="72">
      <c r="A72" s="8" t="inlineStr">
        <is>
          <t>Segment Information</t>
        </is>
      </c>
      <c r="B72" s="8" t="inlineStr">
        <is>
          <t>分部資料</t>
        </is>
      </c>
      <c r="C72" s="8" t="inlineStr">
        <is>
          <t>medium</t>
        </is>
      </c>
      <c r="D72" s="11" t="inlineStr">
        <is>
          <t>segment information</t>
        </is>
      </c>
      <c r="E72" s="11" t="inlineStr">
        <is>
          <t>PDF p.94 (印刷頁 93)</t>
        </is>
      </c>
      <c r="F72" s="11" t="inlineStr">
        <is>
          <t>Notes to Financial Statements 財務報告附註 93 31 March 2026 二零二六年三月三十一日 4. OPERATING SEGMENT INFORMATION (continued) 4. 經營分部資料（續） Trading Catering Others Total 貿易 餐飲 其他 總計 2026 2025 2026 2025 2026 2025 2026 2025 二零二六年 二零二五年 二零二六年 二零二五年 二零二六年 二零二五年 二零二六年 二零二五年 HK$’000 HK$’000 HK$’000 HK$’000 HK$’000 HK$’000 HK$’000 HK$’000 港幣千元 港幣千元 港幣千元 港幣千元 港幣千元 港幣千元 港幣千元 港幣千元 Segment assets 分部資產 100,874 124,220 11,532 14,765 7,672 7,614 120,078 146,599 Reconciliation: 對賬： Elimination of interseg</t>
        </is>
      </c>
    </row>
    <row r="73">
      <c r="A73" s="8" t="inlineStr">
        <is>
          <t>Segment Information</t>
        </is>
      </c>
      <c r="B73" s="8" t="inlineStr">
        <is>
          <t>分部資料</t>
        </is>
      </c>
      <c r="C73" s="8" t="inlineStr">
        <is>
          <t>medium</t>
        </is>
      </c>
      <c r="D73" s="11" t="inlineStr">
        <is>
          <t>segment information</t>
        </is>
      </c>
      <c r="E73" s="11" t="inlineStr">
        <is>
          <t>PDF p.95 (印刷頁 94)</t>
        </is>
      </c>
      <c r="F73" s="11" t="inlineStr">
        <is>
          <t>Notes to Financial Statements 94 財務報告附註 31 March 2026 二零二六年三月三十一日 4. OPERATING SEGMENT INFORMATION (continued) 4. 經營分部資料（續） Geographical information 區域資料 The Group’s revenue from external customers based on the 按外界客戶之地區劃分本集團之收入及按資產 location of its customers and information about the Group’s 之所在地區劃分分析本集團之非流動資產（金 non-current assets, excluding financial assets and deferred tax 融資產及遞延稅項資產除外）之資料如下： assets, analysed by the geographical area in which the assets are located, are as</t>
        </is>
      </c>
    </row>
    <row r="74">
      <c r="A74" s="8" t="inlineStr">
        <is>
          <t>Share-based Payment</t>
        </is>
      </c>
      <c r="B74" s="8" t="inlineStr">
        <is>
          <t>以股份為基礎的付款</t>
        </is>
      </c>
      <c r="C74" s="8" t="inlineStr">
        <is>
          <t>medium</t>
        </is>
      </c>
      <c r="D74" s="11" t="inlineStr">
        <is>
          <t>share option</t>
        </is>
      </c>
      <c r="E74" s="11" t="inlineStr">
        <is>
          <t>PDF p.26 (印刷頁 25)</t>
        </is>
      </c>
      <c r="F74" s="11" t="inlineStr">
        <is>
          <t>s of the Company as recorded in the 股份及相關股份之權益及╱或淡倉」分段中披露。 register required to be kept by the Company under Section 336 of the SFO. SHARE OPTION SCHEME 購股權計劃 The Company has no outstanding share options at the beginning and 本公司於回顧年度開始及結束時，並無任何未行使 at the end of the year under review. The share option scheme adopted 之購股權。本公司於二零一二年八月二十八日採納 by the Company on 28 August 2012 (the “Scheme”) which had a term 的購股權計劃（「計劃」）為期十年，已於二零二二年 of 10 years had expired on 27 August 2022. Since the expiration of the 八月二十七日屆滿。自該計劃屆滿以來，本公司並 Scheme, t</t>
        </is>
      </c>
    </row>
    <row r="75">
      <c r="A75" s="8" t="inlineStr">
        <is>
          <t>Related Party Transactions</t>
        </is>
      </c>
      <c r="B75" s="8" t="inlineStr">
        <is>
          <t>關聯方交易</t>
        </is>
      </c>
      <c r="C75" s="8" t="inlineStr">
        <is>
          <t>low</t>
        </is>
      </c>
      <c r="D75" s="11" t="inlineStr">
        <is>
          <t>connected transaction</t>
        </is>
      </c>
      <c r="E75" s="11" t="inlineStr">
        <is>
          <t>PDF p.30 (印刷頁 29)</t>
        </is>
      </c>
      <c r="F75" s="11" t="inlineStr">
        <is>
          <t>ssued shares) had any 無於本集團五位最大客戶及供應商中擁有任何實益 beneficial interest in the Group’s five largest customers and suppliers. 權益。 CONTINUING CONNECTED TRANSACTIONS 持續關連交易 During the year under review, the Group had the following continuing 於回顧年度內，本集團曾進行下列持續關連交易， connected transactions, certain details of which are disclosed in 若干交易之詳情已遵守上市規則第14A章之規定披 compliance with the requirements of Chapter 14A of the Listing Rules. 露。 The following continuing connected transactions are exempt from the 下列持續關連交易獲豁免遵守上市規則第14A章之 independent shareholder</t>
        </is>
      </c>
    </row>
    <row r="76">
      <c r="A76" s="8" t="inlineStr">
        <is>
          <t>Related Party Transactions</t>
        </is>
      </c>
      <c r="B76" s="8" t="inlineStr">
        <is>
          <t>關聯方交易</t>
        </is>
      </c>
      <c r="C76" s="8" t="inlineStr">
        <is>
          <t>low</t>
        </is>
      </c>
      <c r="D76" s="11" t="inlineStr">
        <is>
          <t>connected transaction</t>
        </is>
      </c>
      <c r="E76" s="11" t="inlineStr">
        <is>
          <t>PDF p.31 (印刷頁 30)</t>
        </is>
      </c>
      <c r="F76" s="11" t="inlineStr">
        <is>
          <t>Report of the Directors 30 董事會報告 CONTINUING CONNECTED TRANSACTIONS 持續關連交易（續） (continued) (b) Transactions with associated corporation (b) 與一名相聯法團的交易 On 31 March 2025, the Company entered into a master supply 於二零二五年三月三十一日，本公司與四洲集 agreement (the “2025 Master Supply and Services Agreement”) 團有限公司及╱或其附屬公司（「四洲集團」） with Four Seas Mercantile Holdings Limited and/or its subsidiary 訂立主要供應協議（「二零二五年主要供應及 (the “FSMHL Group”) pursuant to which the Group</t>
        </is>
      </c>
    </row>
    <row r="77">
      <c r="A77" s="8" t="inlineStr">
        <is>
          <t>Related Party Transactions</t>
        </is>
      </c>
      <c r="B77" s="8" t="inlineStr">
        <is>
          <t>關聯方交易</t>
        </is>
      </c>
      <c r="C77" s="8" t="inlineStr">
        <is>
          <t>low</t>
        </is>
      </c>
      <c r="D77" s="11" t="inlineStr">
        <is>
          <t>related party</t>
        </is>
      </c>
      <c r="E77" s="11" t="inlineStr">
        <is>
          <t>PDF p.32 (印刷頁 31)</t>
        </is>
      </c>
      <c r="F77" s="11" t="inlineStr">
        <is>
          <t>actions disclosed above by the Group in accordance with Rule 14A.56 of the Listing Rules. Save as disclosed above, other significant related party transactions 除上文披露者外，財務報告附註30所載本集團於截 entered into by the Group during the year ended 31 March 2026 set 至二零二六年三月三十一日止年度所訂立之其他重 out in the note 30 to the financial statements included transactions that 大關連人士交易包括構成持續關連交易及獲全面豁 constitute continuing connected transactions and are fully exempt from 免遵守上市規則第14A章項下之股東批准、年度審 shareholders’ approval, annual review and disclosure requirements 閱及</t>
        </is>
      </c>
    </row>
    <row r="78">
      <c r="A78" s="8" t="inlineStr">
        <is>
          <t>Related Party Transactions</t>
        </is>
      </c>
      <c r="B78" s="8" t="inlineStr">
        <is>
          <t>關聯方交易</t>
        </is>
      </c>
      <c r="C78" s="8" t="inlineStr">
        <is>
          <t>low</t>
        </is>
      </c>
      <c r="D78" s="11" t="inlineStr">
        <is>
          <t>related party</t>
        </is>
      </c>
      <c r="E78" s="11" t="inlineStr">
        <is>
          <t>PDF p.127 (印刷頁 126)</t>
        </is>
      </c>
      <c r="F78" s="11" t="inlineStr">
        <is>
          <t>Notes to Financial Statements 126 財務報告附註 31 March 2026 二零二六年三月三十一日 30. RELATED PARTY TRANSACTIONS 30. 關連人士交易 (a) The Group had the following material transactions with (a) 年內，本集團與其關連人士訂立下列重大 its related parties during the year: 交易： 2026 2025 二零二六年 二零二五年 Notes HK$’000 HK$’000 附註 港幣千元 港幣千元 Rental income received from related 向關連公司收取租金收入 companies (i) – 601 Sales of goods to associates 向聯營公司銷售貨品 (ii) 4,961 2,839 Rental income received from associates 向聯營公司收取租金收入 (iii) 6</t>
        </is>
      </c>
    </row>
    <row r="79">
      <c r="A79" s="8" t="inlineStr">
        <is>
          <t>Related Party Transactions</t>
        </is>
      </c>
      <c r="B79" s="8" t="inlineStr">
        <is>
          <t>關聯方交易</t>
        </is>
      </c>
      <c r="C79" s="8" t="inlineStr">
        <is>
          <t>low</t>
        </is>
      </c>
      <c r="D79" s="11" t="inlineStr">
        <is>
          <t>related party</t>
        </is>
      </c>
      <c r="E79" s="11" t="inlineStr">
        <is>
          <t>PDF p.128 (印刷頁 127)</t>
        </is>
      </c>
      <c r="F79" s="11" t="inlineStr">
        <is>
          <t>Notes to Financial Statements 財務報告附註 127 31 March 2026 二零二六年三月三十一日 30. RELATED PARTY TRANSACTIONS (continued) 30. 關連人士交易（續） (a) The Group had the following material transactions with (a) 年內，本集團與其關連人士訂立下列重大 its related parties during the year: (continued) 交易：（續） The related party transactions in respect of items (ii) 上文(ii)至(vi)及(viii)項有關之關連人士交 to (vi) and (viii) above constitute continuing connected 易構成持續關連交易（按上市規則第14A transactions as defined in Chapter 14A of the Li</t>
        </is>
      </c>
    </row>
    <row r="80">
      <c r="A80" s="8" t="inlineStr">
        <is>
          <t>Related Party Transactions</t>
        </is>
      </c>
      <c r="B80" s="8" t="inlineStr">
        <is>
          <t>關聯方交易</t>
        </is>
      </c>
      <c r="C80" s="8" t="inlineStr">
        <is>
          <t>low</t>
        </is>
      </c>
      <c r="D80" s="11" t="inlineStr">
        <is>
          <t>related party</t>
        </is>
      </c>
      <c r="E80" s="11" t="inlineStr">
        <is>
          <t>PDF p.129 (印刷頁 128)</t>
        </is>
      </c>
      <c r="F80" s="11" t="inlineStr">
        <is>
          <t>Notes to Financial Statements 128 財務報告附註 31 March 2026 二零二六年三月三十一日 30. RELATED PARTY TRANSACTIONS (continued) 30. 關連人士交易（續） (c) Compensation of key management personnel of the (c) 本集團主要管理人員之報酬： Group: 2026 2025 二零二六年 二零二五年 HK$’000 HK$’000 港幣千元 港幣千元 Short term employee benefits 短期僱員福利 6,129 6,020 Pension scheme contributions 退休金計劃之供款 73 70 Total compensation paid to key 已向主要管理人員支付之 management personnel 報酬總額 6,202 6,090 Further details of directors’ emoluments are incl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6"/>
  <sheetViews>
    <sheetView workbookViewId="0">
      <pane ySplit="24" topLeftCell="A25"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7" t="inlineStr">
        <is>
          <t>報表 Statement</t>
        </is>
      </c>
      <c r="B7" s="7" t="inlineStr">
        <is>
          <t>未擷取科目 Missing item</t>
        </is>
      </c>
    </row>
    <row r="8">
      <c r="A8" s="8" t="inlineStr">
        <is>
          <t>Income Statement</t>
        </is>
      </c>
      <c r="B8" s="8" t="inlineStr">
        <is>
          <t>Operating Profit</t>
        </is>
      </c>
    </row>
    <row r="9">
      <c r="A9" s="8" t="inlineStr">
        <is>
          <t>Income Statement</t>
        </is>
      </c>
      <c r="B9" s="8" t="inlineStr">
        <is>
          <t>R&amp;D Expenses</t>
        </is>
      </c>
    </row>
    <row r="10">
      <c r="A10" s="8" t="inlineStr">
        <is>
          <t>Income Statement</t>
        </is>
      </c>
      <c r="B10" s="8" t="inlineStr">
        <is>
          <t>Depreciation</t>
        </is>
      </c>
    </row>
    <row r="11">
      <c r="A11" s="8" t="inlineStr">
        <is>
          <t>Income Statement</t>
        </is>
      </c>
      <c r="B11" s="8" t="inlineStr">
        <is>
          <t>Amortisation</t>
        </is>
      </c>
    </row>
    <row r="12">
      <c r="A12" s="8" t="inlineStr">
        <is>
          <t>Balance Sheet</t>
        </is>
      </c>
      <c r="B12" s="8" t="inlineStr">
        <is>
          <t>Total Assets</t>
        </is>
      </c>
    </row>
    <row r="13">
      <c r="A13" s="8" t="inlineStr">
        <is>
          <t>Balance Sheet</t>
        </is>
      </c>
      <c r="B13" s="8" t="inlineStr">
        <is>
          <t>Intangible Assets</t>
        </is>
      </c>
    </row>
    <row r="14">
      <c r="A14" s="8" t="inlineStr">
        <is>
          <t>Balance Sheet</t>
        </is>
      </c>
      <c r="B14" s="8" t="inlineStr">
        <is>
          <t>Investment Properties</t>
        </is>
      </c>
    </row>
    <row r="15">
      <c r="A15" s="8" t="inlineStr">
        <is>
          <t>Balance Sheet</t>
        </is>
      </c>
      <c r="B15" s="8" t="inlineStr">
        <is>
          <t>Total Liabilities</t>
        </is>
      </c>
    </row>
    <row r="16">
      <c r="A16" s="8" t="inlineStr">
        <is>
          <t>Balance Sheet</t>
        </is>
      </c>
      <c r="B16" s="8" t="inlineStr">
        <is>
          <t>Borrowings</t>
        </is>
      </c>
    </row>
    <row r="17">
      <c r="A17" s="8" t="inlineStr">
        <is>
          <t>Cash Flow</t>
        </is>
      </c>
      <c r="B17" s="8" t="inlineStr">
        <is>
          <t>Investing Cash Flow</t>
        </is>
      </c>
    </row>
    <row r="18">
      <c r="A18" s="8" t="inlineStr">
        <is>
          <t>Cash Flow</t>
        </is>
      </c>
      <c r="B18" s="8" t="inlineStr">
        <is>
          <t>Capital Expenditure</t>
        </is>
      </c>
    </row>
    <row r="21">
      <c r="A21" s="5" t="inlineStr">
        <is>
          <t>二、文字量過低的頁面(疑似掃描頁)</t>
        </is>
      </c>
    </row>
    <row r="22">
      <c r="A22" s="2" t="inlineStr">
        <is>
          <t>這些頁面幾乎抓不到文字,通常是掃描件或純圖表,建議人手翻閱或另行 OCR。</t>
        </is>
      </c>
    </row>
    <row r="24">
      <c r="A24" s="7" t="inlineStr">
        <is>
          <t>PDF 頁碼</t>
        </is>
      </c>
      <c r="B24" s="7" t="inlineStr">
        <is>
          <t>狀態</t>
        </is>
      </c>
    </row>
    <row r="25">
      <c r="A25" s="8" t="n">
        <v>1</v>
      </c>
      <c r="B25" s="8" t="inlineStr">
        <is>
          <t>文字量過低 — 可能為掃描頁/圖表頁</t>
        </is>
      </c>
    </row>
    <row r="26">
      <c r="A26" s="8" t="n">
        <v>142</v>
      </c>
      <c r="B26" s="8" t="inlineStr">
        <is>
          <t>文字量過低 — 可能為掃描頁/圖表頁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2026-08-30T14:16:22Z</dcterms:created>
  <dcterms:modified xsi:type="dcterms:W3CDTF">2026-08-30T14:16:22Z</dcterms:modified>
</cp:coreProperties>
</file>
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01124_COASTAL_GL_20260731.pdf</t>
        </is>
      </c>
    </row>
    <row r="5">
      <c r="A5" s="3" t="inlineStr">
        <is>
          <t>產生時間 Generated</t>
        </is>
      </c>
      <c r="B5" s="4" t="inlineStr">
        <is>
          <t>2026-08-30 22:16</t>
        </is>
      </c>
    </row>
    <row r="6">
      <c r="A6" s="4" t="inlineStr"/>
      <c r="B6" s="4" t="inlineStr"/>
    </row>
    <row r="7">
      <c r="A7" s="3" t="inlineStr">
        <is>
          <t>總頁數 Total pages</t>
        </is>
      </c>
      <c r="B7" s="4" t="n">
        <v>167</v>
      </c>
    </row>
    <row r="8">
      <c r="A8" s="3" t="inlineStr">
        <is>
          <t>已擷取字元 Characters extracted</t>
        </is>
      </c>
      <c r="B8" s="4" t="n">
        <v>351849</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3</v>
      </c>
    </row>
    <row r="13">
      <c r="A13" s="3" t="inlineStr">
        <is>
          <t>財務科目擷取筆數 Financial line items</t>
        </is>
      </c>
      <c r="B13" s="4" t="n">
        <v>14</v>
      </c>
    </row>
    <row r="14">
      <c r="A14" s="3" t="inlineStr">
        <is>
          <t>主題段落擷取筆數 Topic extracts</t>
        </is>
      </c>
      <c r="B14" s="4" t="n">
        <v>68</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767,094 − 531,820 = 235,274</t>
        </is>
      </c>
    </row>
    <row r="20">
      <c r="A20" s="6" t="inlineStr">
        <is>
          <t>✓ 收入 − 銷售成本 = 毛利</t>
        </is>
      </c>
      <c r="B20" s="4" t="inlineStr">
        <is>
          <t>107,409 − 105,523 = 1,886 vs 毛利 1,886</t>
        </is>
      </c>
    </row>
    <row r="21">
      <c r="A21" s="6" t="inlineStr">
        <is>
          <t>✓ 除稅前溢利 ± 稅項 = 年內溢利</t>
        </is>
      </c>
      <c r="B21" s="4" t="inlineStr">
        <is>
          <t>-503,081 + 24,156 = -478,925 vs -478,925</t>
        </is>
      </c>
    </row>
    <row r="22">
      <c r="A22" s="6" t="inlineStr">
        <is>
          <t>✓ 三大報表應相鄰</t>
        </is>
      </c>
      <c r="B22" s="4" t="inlineStr">
        <is>
          <t>Income Statement: p.69、Balance Sheet: p.71、Cash Flow: p.75(相距 6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5</v>
      </c>
      <c r="D5" s="10" t="n">
        <v>5</v>
      </c>
      <c r="E5" s="11" t="inlineStr">
        <is>
          <t>5%</t>
        </is>
      </c>
      <c r="F5" s="11" t="inlineStr">
        <is>
          <t>Medium</t>
        </is>
      </c>
      <c r="G5" s="11" t="inlineStr">
        <is>
          <t>PDF p.160 (印刷頁 159)</t>
        </is>
      </c>
      <c r="H5" s="11" t="inlineStr">
        <is>
          <t>roximately HK$327,000 (2025: HK$433,000). Market 45,528 34,461 Discount Had the discount rate approach for lack of increased (decreased) marketability by 5%, the fair value of 20.4% would have (decreased) (2025: 20.4%) increased by approximately HK$2,86</t>
        </is>
      </c>
    </row>
    <row r="6">
      <c r="A6" s="8" t="inlineStr">
        <is>
          <t>Gross Margin</t>
        </is>
      </c>
      <c r="B6" s="8" t="inlineStr">
        <is>
          <t>毛利率</t>
        </is>
      </c>
      <c r="C6" s="9" t="n">
        <v>2</v>
      </c>
      <c r="D6" s="10" t="n">
        <v>2</v>
      </c>
      <c r="E6" s="11" t="inlineStr">
        <is>
          <t>2%</t>
        </is>
      </c>
      <c r="F6" s="11" t="inlineStr">
        <is>
          <t>High</t>
        </is>
      </c>
      <c r="G6" s="11" t="inlineStr">
        <is>
          <t>PDF p.11 (印刷頁 10)</t>
        </is>
      </c>
      <c r="H6" s="11" t="inlineStr">
        <is>
          <t>o a loss of approximately HK$1.1 million for last year. Gross Profit/(Loss) The gross profit margin for the Year was approximately 2% compared to the negative gross profit margin of 91% for last year. The gross profit margin of this year was primarily attribu</t>
        </is>
      </c>
    </row>
    <row r="7">
      <c r="A7" s="8" t="inlineStr">
        <is>
          <t>Gross Margin</t>
        </is>
      </c>
      <c r="B7" s="8" t="inlineStr">
        <is>
          <t>毛利率</t>
        </is>
      </c>
      <c r="C7" s="9" t="n">
        <v>91</v>
      </c>
      <c r="D7" s="10" t="n">
        <v>91</v>
      </c>
      <c r="E7" s="11" t="inlineStr">
        <is>
          <t>91%</t>
        </is>
      </c>
      <c r="F7" s="11" t="inlineStr">
        <is>
          <t>High</t>
        </is>
      </c>
      <c r="G7" s="11" t="inlineStr">
        <is>
          <t>PDF p.11 (印刷頁 10)</t>
        </is>
      </c>
      <c r="H7" s="11" t="inlineStr">
        <is>
          <t xml:space="preserve"> gross profit margin for the Year was approximately 2% compared to the negative gross profit margin of 91% for last year. The gross profit margin of this year was primarily attributable to the recognition of sales revenue from the sales of Rooms 38A and 38B,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107409</v>
      </c>
      <c r="D5" s="13" t="n">
        <v>115838</v>
      </c>
      <c r="E5" s="14">
        <f>IF(ISERROR((C5-D5)/ABS(D5)),"",(C5-D5)/ABS(D5))</f>
        <v>-0.0727654137675029</v>
      </c>
      <c r="F5" s="11" t="inlineStr">
        <is>
          <t>PDF p.69 (印刷頁 68)</t>
        </is>
      </c>
      <c r="G5" s="11" t="inlineStr">
        <is>
          <t>Revenue 7 107,409 115,838</t>
        </is>
      </c>
    </row>
    <row r="6">
      <c r="A6" s="8" t="inlineStr">
        <is>
          <t>Income Statement</t>
        </is>
      </c>
      <c r="B6" s="8" t="inlineStr">
        <is>
          <t>Cost of Sales</t>
        </is>
      </c>
      <c r="C6" s="12" t="n">
        <v>-105523</v>
      </c>
      <c r="D6" s="13" t="n">
        <v>-220737</v>
      </c>
      <c r="E6" s="14">
        <f>IF(ISERROR((C6-D6)/ABS(D6)),"",(C6-D6)/ABS(D6))</f>
        <v>0.521951462600289</v>
      </c>
      <c r="F6" s="11" t="inlineStr">
        <is>
          <t>PDF p.69 (印刷頁 68)</t>
        </is>
      </c>
      <c r="G6" s="11" t="inlineStr">
        <is>
          <t>Cost of sales (105,523) (220,737)</t>
        </is>
      </c>
    </row>
    <row r="7">
      <c r="A7" s="8" t="inlineStr">
        <is>
          <t>Income Statement</t>
        </is>
      </c>
      <c r="B7" s="8" t="inlineStr">
        <is>
          <t>Gross Profit</t>
        </is>
      </c>
      <c r="C7" s="12" t="n">
        <v>1886</v>
      </c>
      <c r="D7" s="13" t="n">
        <v>-104899</v>
      </c>
      <c r="E7" s="14">
        <f>IF(ISERROR((C7-D7)/ABS(D7)),"",(C7-D7)/ABS(D7))</f>
        <v>1.0179791990390756</v>
      </c>
      <c r="F7" s="11" t="inlineStr">
        <is>
          <t>PDF p.69 (印刷頁 68)</t>
        </is>
      </c>
      <c r="G7" s="11" t="inlineStr">
        <is>
          <t>Gross profit/(loss) 1,886 (104,899)</t>
        </is>
      </c>
    </row>
    <row r="8">
      <c r="A8" s="8" t="inlineStr">
        <is>
          <t>Income Statement</t>
        </is>
      </c>
      <c r="B8" s="8" t="inlineStr">
        <is>
          <t>Finance Costs</t>
        </is>
      </c>
      <c r="C8" s="12" t="n">
        <v>-20399</v>
      </c>
      <c r="D8" s="13" t="n">
        <v>-30839</v>
      </c>
      <c r="E8" s="14">
        <f>IF(ISERROR((C8-D8)/ABS(D8)),"",(C8-D8)/ABS(D8))</f>
        <v>0.33853237783326307</v>
      </c>
      <c r="F8" s="11" t="inlineStr">
        <is>
          <t>PDF p.69 (印刷頁 68)</t>
        </is>
      </c>
      <c r="G8" s="11" t="inlineStr">
        <is>
          <t>Finance costs 9 (20,399) (30,839)</t>
        </is>
      </c>
    </row>
    <row r="9">
      <c r="A9" s="8" t="inlineStr">
        <is>
          <t>Income Statement</t>
        </is>
      </c>
      <c r="B9" s="8" t="inlineStr">
        <is>
          <t>Profit Before Tax</t>
        </is>
      </c>
      <c r="C9" s="12" t="n">
        <v>-503081</v>
      </c>
      <c r="D9" s="13" t="n">
        <v>-378966</v>
      </c>
      <c r="E9" s="14">
        <f>IF(ISERROR((C9-D9)/ABS(D9)),"",(C9-D9)/ABS(D9))</f>
        <v>-0.3275095918895099</v>
      </c>
      <c r="F9" s="11" t="inlineStr">
        <is>
          <t>PDF p.69 (印刷頁 68)</t>
        </is>
      </c>
      <c r="G9" s="11" t="inlineStr">
        <is>
          <t>Loss before taxation 11 (503,081) (378,966)</t>
        </is>
      </c>
    </row>
    <row r="10">
      <c r="A10" s="8" t="inlineStr">
        <is>
          <t>Income Statement</t>
        </is>
      </c>
      <c r="B10" s="8" t="inlineStr">
        <is>
          <t>Income Tax</t>
        </is>
      </c>
      <c r="C10" s="12" t="n">
        <v>24156</v>
      </c>
      <c r="D10" s="13" t="n">
        <v>-2895</v>
      </c>
      <c r="E10" s="14">
        <f>IF(ISERROR((C10-D10)/ABS(D10)),"",(C10-D10)/ABS(D10))</f>
        <v>9.344041450777203</v>
      </c>
      <c r="F10" s="11" t="inlineStr">
        <is>
          <t>PDF p.69 (印刷頁 68)</t>
        </is>
      </c>
      <c r="G10" s="11" t="inlineStr">
        <is>
          <t>Income tax credit/(expense) 10 24,156 (2,895)</t>
        </is>
      </c>
    </row>
    <row r="11">
      <c r="A11" s="8" t="inlineStr">
        <is>
          <t>Income Statement</t>
        </is>
      </c>
      <c r="B11" s="8" t="inlineStr">
        <is>
          <t>Profit for the Year</t>
        </is>
      </c>
      <c r="C11" s="12" t="n">
        <v>-478925</v>
      </c>
      <c r="D11" s="13" t="n">
        <v>-381861</v>
      </c>
      <c r="E11" s="14">
        <f>IF(ISERROR((C11-D11)/ABS(D11)),"",(C11-D11)/ABS(D11))</f>
        <v>-0.25418673286876636</v>
      </c>
      <c r="F11" s="11" t="inlineStr">
        <is>
          <t>PDF p.69 (印刷頁 68)</t>
        </is>
      </c>
      <c r="G11" s="11" t="inlineStr">
        <is>
          <t>Loss for the year (478,925) (381,861)</t>
        </is>
      </c>
    </row>
    <row r="12">
      <c r="A12" s="8" t="inlineStr">
        <is>
          <t>Balance Sheet</t>
        </is>
      </c>
      <c r="B12" s="8" t="inlineStr">
        <is>
          <t>Property Plant and Equipment</t>
        </is>
      </c>
      <c r="C12" s="12" t="n">
        <v>83739</v>
      </c>
      <c r="D12" s="13" t="n">
        <v>92614</v>
      </c>
      <c r="E12" s="14">
        <f>IF(ISERROR((C12-D12)/ABS(D12)),"",(C12-D12)/ABS(D12))</f>
        <v>-0.09582784460232795</v>
      </c>
      <c r="F12" s="11" t="inlineStr">
        <is>
          <t>PDF p.71 (印刷頁 70)</t>
        </is>
      </c>
      <c r="G12" s="11" t="inlineStr">
        <is>
          <t>Property, plant and equipment 16 83,739 92,614</t>
        </is>
      </c>
    </row>
    <row r="13">
      <c r="A13" s="8" t="inlineStr">
        <is>
          <t>Balance Sheet</t>
        </is>
      </c>
      <c r="B13" s="8" t="inlineStr">
        <is>
          <t>Investment Properties</t>
        </is>
      </c>
      <c r="C13" s="12" t="n">
        <v>2152</v>
      </c>
      <c r="D13" s="13" t="n">
        <v>2059</v>
      </c>
      <c r="E13" s="14">
        <f>IF(ISERROR((C13-D13)/ABS(D13)),"",(C13-D13)/ABS(D13))</f>
        <v>0.045167557066537155</v>
      </c>
      <c r="F13" s="11" t="inlineStr">
        <is>
          <t>PDF p.71 (印刷頁 70)</t>
        </is>
      </c>
      <c r="G13" s="11" t="inlineStr">
        <is>
          <t>Investment properties 17 2,152 2,059</t>
        </is>
      </c>
    </row>
    <row r="14">
      <c r="A14" s="8" t="inlineStr">
        <is>
          <t>Balance Sheet</t>
        </is>
      </c>
      <c r="B14" s="8" t="inlineStr">
        <is>
          <t>Trade Receivables</t>
        </is>
      </c>
      <c r="C14" s="12" t="n">
        <v>35849</v>
      </c>
      <c r="D14" s="13" t="n">
        <v>67011</v>
      </c>
      <c r="E14" s="14">
        <f>IF(ISERROR((C14-D14)/ABS(D14)),"",(C14-D14)/ABS(D14))</f>
        <v>-0.4650281297100476</v>
      </c>
      <c r="F14" s="11" t="inlineStr">
        <is>
          <t>PDF p.71 (印刷頁 70)</t>
        </is>
      </c>
      <c r="G14" s="11" t="inlineStr">
        <is>
          <t>Trade receivables 25 35,849 67,011</t>
        </is>
      </c>
    </row>
    <row r="15">
      <c r="A15" s="8" t="inlineStr">
        <is>
          <t>Balance Sheet</t>
        </is>
      </c>
      <c r="B15" s="8" t="inlineStr">
        <is>
          <t>Total Equity</t>
        </is>
      </c>
      <c r="C15" s="12" t="n">
        <v>398274</v>
      </c>
      <c r="D15" s="13" t="n">
        <v>837754</v>
      </c>
      <c r="E15" s="14">
        <f>IF(ISERROR((C15-D15)/ABS(D15)),"",(C15-D15)/ABS(D15))</f>
        <v>-0.5245931383198409</v>
      </c>
      <c r="F15" s="11" t="inlineStr">
        <is>
          <t>PDF p.73 (印刷頁 72)</t>
        </is>
      </c>
      <c r="G15" s="11" t="inlineStr">
        <is>
          <t>TOTAL EQUITY 398,274 837,754</t>
        </is>
      </c>
    </row>
    <row r="16">
      <c r="A16" s="8" t="inlineStr">
        <is>
          <t>Balance Sheet</t>
        </is>
      </c>
      <c r="B16" s="8" t="inlineStr">
        <is>
          <t>Total Current Assets</t>
        </is>
      </c>
      <c r="C16" s="12" t="n">
        <v>767094</v>
      </c>
      <c r="D16" s="13" t="n">
        <v>1192747</v>
      </c>
      <c r="E16" s="14">
        <f>IF(ISERROR((C16-D16)/ABS(D16)),"",(C16-D16)/ABS(D16))</f>
        <v>-0.3568678018054122</v>
      </c>
      <c r="F16" s="11" t="inlineStr">
        <is>
          <t>PDF p.71 (印刷頁 70)</t>
        </is>
      </c>
      <c r="G16" s="11" t="inlineStr">
        <is>
          <t>[current assets 區段小計] 767,094 1,192,747</t>
        </is>
      </c>
    </row>
    <row r="17">
      <c r="A17" s="8" t="inlineStr">
        <is>
          <t>Balance Sheet</t>
        </is>
      </c>
      <c r="B17" s="8" t="inlineStr">
        <is>
          <t>Total Current Liabilities</t>
        </is>
      </c>
      <c r="C17" s="12" t="n">
        <v>531820</v>
      </c>
      <c r="D17" s="13" t="n">
        <v>454883</v>
      </c>
      <c r="E17" s="14">
        <f>IF(ISERROR((C17-D17)/ABS(D17)),"",(C17-D17)/ABS(D17))</f>
        <v>0.16913579975510187</v>
      </c>
      <c r="F17" s="11" t="inlineStr">
        <is>
          <t>PDF p.72 (印刷頁 71)</t>
        </is>
      </c>
      <c r="G17" s="11" t="inlineStr">
        <is>
          <t>[current liabilities 區段小計] 531,820 454,883</t>
        </is>
      </c>
    </row>
    <row r="18">
      <c r="A18" s="8" t="inlineStr">
        <is>
          <t>Cash Flow</t>
        </is>
      </c>
      <c r="B18" s="8" t="inlineStr">
        <is>
          <t>Operating Cash Flow</t>
        </is>
      </c>
      <c r="C18" s="12" t="n">
        <v>92526</v>
      </c>
      <c r="D18" s="13" t="n">
        <v>-51636</v>
      </c>
      <c r="E18" s="14">
        <f>IF(ISERROR((C18-D18)/ABS(D18)),"",(C18-D18)/ABS(D18))</f>
        <v>2.7918893795026727</v>
      </c>
      <c r="F18" s="11" t="inlineStr">
        <is>
          <t>PDF p.75 (印刷頁 74)</t>
        </is>
      </c>
      <c r="G18" s="11" t="inlineStr">
        <is>
          <t>Net cash flows generated from/(used in) operating activities 92,526 (51,636)</t>
        </is>
      </c>
    </row>
    <row r="20">
      <c r="A20"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財務數據'!$C$5:$C$18,MATCH("Gross Profit",'Financials 財務數據'!$B$5:$B$18,0))/INDEX('Financials 財務數據'!$C$5:$C$18,MATCH("Revenue",'Financials 財務數據'!$B$5:$B$18,0))),"n/a",INDEX('Financials 財務數據'!$C$5:$C$18,MATCH("Gross Profit",'Financials 財務數據'!$B$5:$B$18,0))/INDEX('Financials 財務數據'!$C$5:$C$18,MATCH("Revenue",'Financials 財務數據'!$B$5:$B$18,0)))</f>
        <v>0.0175590499865002</v>
      </c>
      <c r="C5" s="15">
        <f>IF(ISERROR(INDEX('Financials 財務數據'!$D$5:$D$18,MATCH("Gross Profit",'Financials 財務數據'!$B$5:$B$18,0))/INDEX('Financials 財務數據'!$D$5:$D$18,MATCH("Revenue",'Financials 財務數據'!$B$5:$B$18,0))),"n/a",INDEX('Financials 財務數據'!$D$5:$D$18,MATCH("Gross Profit",'Financials 財務數據'!$B$5:$B$18,0))/INDEX('Financials 財務數據'!$D$5:$D$18,MATCH("Revenue",'Financials 財務數據'!$B$5:$B$18,0)))</f>
        <v>-0.9055663944474179</v>
      </c>
      <c r="D5" s="2" t="inlineStr">
        <is>
          <t>毛利 ÷ 收入</t>
        </is>
      </c>
    </row>
    <row r="6">
      <c r="A6" s="4" t="inlineStr">
        <is>
          <t>Net Margin 淨利率</t>
        </is>
      </c>
      <c r="B6" s="15">
        <f>IF(ISERROR(INDEX('Financials 財務數據'!$C$5:$C$18,MATCH("Profit for the Year",'Financials 財務數據'!$B$5:$B$18,0))/INDEX('Financials 財務數據'!$C$5:$C$18,MATCH("Revenue",'Financials 財務數據'!$B$5:$B$18,0))),"n/a",INDEX('Financials 財務數據'!$C$5:$C$18,MATCH("Profit for the Year",'Financials 財務數據'!$B$5:$B$18,0))/INDEX('Financials 財務數據'!$C$5:$C$18,MATCH("Revenue",'Financials 財務數據'!$B$5:$B$18,0)))</f>
        <v>-4.458890781964268</v>
      </c>
      <c r="C6" s="15">
        <f>IF(ISERROR(INDEX('Financials 財務數據'!$D$5:$D$18,MATCH("Profit for the Year",'Financials 財務數據'!$B$5:$B$18,0))/INDEX('Financials 財務數據'!$D$5:$D$18,MATCH("Revenue",'Financials 財務數據'!$B$5:$B$18,0))),"n/a",INDEX('Financials 財務數據'!$D$5:$D$18,MATCH("Profit for the Year",'Financials 財務數據'!$B$5:$B$18,0))/INDEX('Financials 財務數據'!$D$5:$D$18,MATCH("Revenue",'Financials 財務數據'!$B$5:$B$18,0)))</f>
        <v>-3.29650891762634</v>
      </c>
      <c r="D6" s="2" t="inlineStr">
        <is>
          <t>年內溢利 ÷ 收入</t>
        </is>
      </c>
    </row>
    <row r="7">
      <c r="A7" s="4" t="inlineStr">
        <is>
          <t>Current Ratio 流動比率</t>
        </is>
      </c>
      <c r="B7" s="16">
        <f>IF(ISERROR(INDEX('Financials 財務數據'!$C$5:$C$18,MATCH("Total Current Assets",'Financials 財務數據'!$B$5:$B$18,0))/INDEX('Financials 財務數據'!$C$5:$C$18,MATCH("Total Current Liabilities",'Financials 財務數據'!$B$5:$B$18,0))),"n/a",INDEX('Financials 財務數據'!$C$5:$C$18,MATCH("Total Current Assets",'Financials 財務數據'!$B$5:$B$18,0))/INDEX('Financials 財務數據'!$C$5:$C$18,MATCH("Total Current Liabilities",'Financials 財務數據'!$B$5:$B$18,0)))</f>
        <v>1.4423940430972886</v>
      </c>
      <c r="C7" s="16">
        <f>IF(ISERROR(INDEX('Financials 財務數據'!$D$5:$D$18,MATCH("Total Current Assets",'Financials 財務數據'!$B$5:$B$18,0))/INDEX('Financials 財務數據'!$D$5:$D$18,MATCH("Total Current Liabilities",'Financials 財務數據'!$B$5:$B$18,0))),"n/a",INDEX('Financials 財務數據'!$D$5:$D$18,MATCH("Total Current Assets",'Financials 財務數據'!$B$5:$B$18,0))/INDEX('Financials 財務數據'!$D$5:$D$18,MATCH("Total Current Liabilities",'Financials 財務數據'!$B$5:$B$18,0)))</f>
        <v>2.622096231338608</v>
      </c>
      <c r="D7" s="2" t="inlineStr">
        <is>
          <t>流動資產 ÷ 流動負債</t>
        </is>
      </c>
    </row>
    <row r="8">
      <c r="A8" s="4" t="inlineStr">
        <is>
          <t>Debt / Equity 負債權益比</t>
        </is>
      </c>
      <c r="B8" s="16" t="str">
        <f>IF(ISERROR(INDEX('Financials 財務數據'!$C$5:$C$18,MATCH("Total Liabilities",'Financials 財務數據'!$B$5:$B$18,0))/INDEX('Financials 財務數據'!$C$5:$C$18,MATCH("Total Equity",'Financials 財務數據'!$B$5:$B$18,0))),"n/a",INDEX('Financials 財務數據'!$C$5:$C$18,MATCH("Total Liabilities",'Financials 財務數據'!$B$5:$B$18,0))/INDEX('Financials 財務數據'!$C$5:$C$18,MATCH("Total Equity",'Financials 財務數據'!$B$5:$B$18,0)))</f>
        <v>n/a</v>
      </c>
      <c r="C8" s="16" t="str">
        <f>IF(ISERROR(INDEX('Financials 財務數據'!$D$5:$D$18,MATCH("Total Liabilities",'Financials 財務數據'!$B$5:$B$18,0))/INDEX('Financials 財務數據'!$D$5:$D$18,MATCH("Total Equity",'Financials 財務數據'!$B$5:$B$18,0))),"n/a",INDEX('Financials 財務數據'!$D$5:$D$18,MATCH("Total Liabilities",'Financials 財務數據'!$B$5:$B$18,0))/INDEX('Financials 財務數據'!$D$5:$D$18,MATCH("Total Equity",'Financials 財務數據'!$B$5:$B$18,0)))</f>
        <v>n/a</v>
      </c>
      <c r="D8" s="2" t="inlineStr">
        <is>
          <t>總負債 ÷ 總權益</t>
        </is>
      </c>
    </row>
    <row r="9">
      <c r="A9" s="4" t="inlineStr">
        <is>
          <t>Goodwill / Total Assets</t>
        </is>
      </c>
      <c r="B9" s="15" t="str">
        <f>IF(ISERROR(INDEX('Financials 財務數據'!$C$5:$C$18,MATCH("Goodwill",'Financials 財務數據'!$B$5:$B$18,0))/INDEX('Financials 財務數據'!$C$5:$C$18,MATCH("Total Assets",'Financials 財務數據'!$B$5:$B$18,0))),"n/a",INDEX('Financials 財務數據'!$C$5:$C$18,MATCH("Goodwill",'Financials 財務數據'!$B$5:$B$18,0))/INDEX('Financials 財務數據'!$C$5:$C$18,MATCH("Total Assets",'Financials 財務數據'!$B$5:$B$18,0)))</f>
        <v>n/a</v>
      </c>
      <c r="C9" s="15" t="str">
        <f>IF(ISERROR(INDEX('Financials 財務數據'!$D$5:$D$18,MATCH("Goodwill",'Financials 財務數據'!$B$5:$B$18,0))/INDEX('Financials 財務數據'!$D$5:$D$18,MATCH("Total Assets",'Financials 財務數據'!$B$5:$B$18,0))),"n/a",INDEX('Financials 財務數據'!$D$5:$D$18,MATCH("Goodwill",'Financials 財務數據'!$B$5:$B$18,0))/INDEX('Financials 財務數據'!$D$5:$D$18,MATCH("Total Assets",'Financials 財務數據'!$B$5:$B$18,0)))</f>
        <v>n/a</v>
      </c>
      <c r="D9" s="2" t="inlineStr">
        <is>
          <t>商譽佔總資產比重 — 減值風險指標</t>
        </is>
      </c>
    </row>
    <row r="10">
      <c r="A10" s="4" t="inlineStr">
        <is>
          <t>Intangibles / Total Assets</t>
        </is>
      </c>
      <c r="B10" s="15" t="str">
        <f>IF(ISERROR(INDEX('Financials 財務數據'!$C$5:$C$18,MATCH("Intangible Assets",'Financials 財務數據'!$B$5:$B$18,0))/INDEX('Financials 財務數據'!$C$5:$C$18,MATCH("Total Assets",'Financials 財務數據'!$B$5:$B$18,0))),"n/a",INDEX('Financials 財務數據'!$C$5:$C$18,MATCH("Intangible Assets",'Financials 財務數據'!$B$5:$B$18,0))/INDEX('Financials 財務數據'!$C$5:$C$18,MATCH("Total Assets",'Financials 財務數據'!$B$5:$B$18,0)))</f>
        <v>n/a</v>
      </c>
      <c r="C10" s="15" t="str">
        <f>IF(ISERROR(INDEX('Financials 財務數據'!$D$5:$D$18,MATCH("Intangible Assets",'Financials 財務數據'!$B$5:$B$18,0))/INDEX('Financials 財務數據'!$D$5:$D$18,MATCH("Total Assets",'Financials 財務數據'!$B$5:$B$18,0))),"n/a",INDEX('Financials 財務數據'!$D$5:$D$18,MATCH("Intangible Assets",'Financials 財務數據'!$B$5:$B$18,0))/INDEX('Financials 財務數據'!$D$5:$D$18,MATCH("Total Assets",'Financials 財務數據'!$B$5:$B$18,0)))</f>
        <v>n/a</v>
      </c>
      <c r="D10" s="2" t="inlineStr">
        <is>
          <t>無形資產佔比</t>
        </is>
      </c>
    </row>
    <row r="11">
      <c r="A11" s="4" t="inlineStr">
        <is>
          <t>ROE 股本回報率</t>
        </is>
      </c>
      <c r="B11" s="15">
        <f>IF(ISERROR(INDEX('Financials 財務數據'!$C$5:$C$18,MATCH("Profit for the Year",'Financials 財務數據'!$B$5:$B$18,0))/INDEX('Financials 財務數據'!$C$5:$C$18,MATCH("Total Equity",'Financials 財務數據'!$B$5:$B$18,0))),"n/a",INDEX('Financials 財務數據'!$C$5:$C$18,MATCH("Profit for the Year",'Financials 財務數據'!$B$5:$B$18,0))/INDEX('Financials 財務數據'!$C$5:$C$18,MATCH("Total Equity",'Financials 財務數據'!$B$5:$B$18,0)))</f>
        <v>-1.2025012930796386</v>
      </c>
      <c r="C11" s="15">
        <f>IF(ISERROR(INDEX('Financials 財務數據'!$D$5:$D$18,MATCH("Profit for the Year",'Financials 財務數據'!$B$5:$B$18,0))/INDEX('Financials 財務數據'!$D$5:$D$18,MATCH("Total Equity",'Financials 財務數據'!$B$5:$B$18,0))),"n/a",INDEX('Financials 財務數據'!$D$5:$D$18,MATCH("Profit for the Year",'Financials 財務數據'!$B$5:$B$18,0))/INDEX('Financials 財務數據'!$D$5:$D$18,MATCH("Total Equity",'Financials 財務數據'!$B$5:$B$18,0)))</f>
        <v>-0.45581519157175016</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115838</v>
      </c>
      <c r="C5" s="18" t="n">
        <v>107409</v>
      </c>
    </row>
    <row r="6">
      <c r="A6" s="4" t="inlineStr">
        <is>
          <t>Gross Profit</t>
        </is>
      </c>
      <c r="B6" s="18" t="n">
        <v>-104899</v>
      </c>
      <c r="C6" s="18" t="n">
        <v>1886</v>
      </c>
    </row>
    <row r="7">
      <c r="A7" s="4" t="inlineStr">
        <is>
          <t>Profit Before Tax</t>
        </is>
      </c>
      <c r="B7" s="18" t="n">
        <v>-378966</v>
      </c>
      <c r="C7" s="18" t="n">
        <v>-503081</v>
      </c>
    </row>
    <row r="8">
      <c r="A8" s="4" t="inlineStr">
        <is>
          <t>Profit for the Year</t>
        </is>
      </c>
      <c r="B8" s="18" t="n">
        <v>-381861</v>
      </c>
      <c r="C8" s="18" t="n">
        <v>-478925</v>
      </c>
    </row>
    <row r="9">
      <c r="A9" s="4" t="inlineStr">
        <is>
          <t>Total Equity</t>
        </is>
      </c>
      <c r="B9" s="18" t="n">
        <v>837754</v>
      </c>
      <c r="C9" s="18" t="n">
        <v>398274</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71"/>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valuation technique</t>
        </is>
      </c>
      <c r="E4" s="11" t="inlineStr">
        <is>
          <t>PDF p.65 (印刷頁 64)</t>
        </is>
      </c>
      <c r="F4" s="11" t="inlineStr">
        <is>
          <t>by the independent • Involving an independent valuation specialist and qualified professional valuer (the “Valuer”). to evaluate the valuation techniques used The valuation is dependent on certain significant and tested the underlying key estimations inputs, including the recent market prices of similar and assumptions for selected samples properties, and the prevailing real estate market through enquiry with management and the condition in the People’s Republic of China (the Valuer, and by reference to the open market “PRC”).</t>
        </is>
      </c>
    </row>
    <row r="5">
      <c r="A5" s="8" t="inlineStr">
        <is>
          <t>Fair Value Measurement</t>
        </is>
      </c>
      <c r="B5" s="8" t="inlineStr">
        <is>
          <t>公允價值計量</t>
        </is>
      </c>
      <c r="C5" s="19" t="inlineStr">
        <is>
          <t>high</t>
        </is>
      </c>
      <c r="D5" s="11" t="inlineStr">
        <is>
          <t>unobservable input</t>
        </is>
      </c>
      <c r="E5" s="11" t="inlineStr">
        <is>
          <t>PDF p.85 (印刷頁 84)</t>
        </is>
      </c>
      <c r="F5" s="11" t="inlineStr">
        <is>
          <t>hich sufficient data are available to measure fair value, maximising the use of relevant observable inputs and minimising the use of unobservable inputs. 84 COASTAL GREENLAND LIMITED Annual Report 2025/26</t>
        </is>
      </c>
    </row>
    <row r="6">
      <c r="A6" s="8" t="inlineStr">
        <is>
          <t>Fair Value Measurement</t>
        </is>
      </c>
      <c r="B6" s="8" t="inlineStr">
        <is>
          <t>公允價值計量</t>
        </is>
      </c>
      <c r="C6" s="19" t="inlineStr">
        <is>
          <t>high</t>
        </is>
      </c>
      <c r="D6" s="11" t="inlineStr">
        <is>
          <t>fair value hierarchy</t>
        </is>
      </c>
      <c r="E6" s="11" t="inlineStr">
        <is>
          <t>PDF p.86 (印刷頁 85)</t>
        </is>
      </c>
      <c r="F6" s="11" t="inlineStr">
        <is>
          <t>ued) All assets and liabilities for which fair value is measured or disclosed in the financial statements are categorised within the fair value hierarchy, described as follows, based on the lowest level input that is significant to the fair value measurement as a whole: Level 1 – based on quoted prices (unadjusted) in active markets for identical assets or liabilities. Level 2 – based on valuation techniques for which the lowest level input that is significant to the fair value measurement is observable, either directly or indi</t>
        </is>
      </c>
    </row>
    <row r="7">
      <c r="A7" s="8" t="inlineStr">
        <is>
          <t>Fair Value Measurement</t>
        </is>
      </c>
      <c r="B7" s="8" t="inlineStr">
        <is>
          <t>公允價值計量</t>
        </is>
      </c>
      <c r="C7" s="19" t="inlineStr">
        <is>
          <t>high</t>
        </is>
      </c>
      <c r="D7" s="11" t="inlineStr">
        <is>
          <t>level 1</t>
        </is>
      </c>
      <c r="E7" s="11" t="inlineStr">
        <is>
          <t>PDF p.122 (印刷頁 121)</t>
        </is>
      </c>
      <c r="F7" s="11" t="inlineStr">
        <is>
          <t>measurement as at 31 March 2026 using Quoted prices Significant Significant in active observable unobservable markets inputs inputs (Level 1) (Level 2) (Level 3) Total HK$’000 HK$’000 HK$’000 HK$’000 Recurring fair value measurement for: Leasehold land and building in Hong Kong – – 81,000 81,000 Leasehold land and building in the PRC – – 2,265 2,265 – – 83,265 83,265 121 COASTAL GREENLAND LIMITED Annual Report 2025/26</t>
        </is>
      </c>
    </row>
    <row r="8">
      <c r="A8" s="8" t="inlineStr">
        <is>
          <t>Fair Value Measurement</t>
        </is>
      </c>
      <c r="B8" s="8" t="inlineStr">
        <is>
          <t>公允價值計量</t>
        </is>
      </c>
      <c r="C8" s="19" t="inlineStr">
        <is>
          <t>high</t>
        </is>
      </c>
      <c r="D8" s="11" t="inlineStr">
        <is>
          <t>level 1</t>
        </is>
      </c>
      <c r="E8" s="11" t="inlineStr">
        <is>
          <t>PDF p.123 (印刷頁 122)</t>
        </is>
      </c>
      <c r="F8" s="11" t="inlineStr">
        <is>
          <t>measurement as at 31 March 2025 using Quoted prices Significant Significant in active observable unobservable markets inputs inputs (Level 1) (Level 2) (Level 3) Total HK$’000 HK$’000 HK$’000 HK$’000 Recurring fair value measurement for: Leasehold land and building in Hong Kong – – 86,000 86,000 Leasehold land and building in the PRC – – 5,960 5,960 – – 91,960 91,960 122 COASTAL GREENLAND LIMITED Annual Report 2025/26</t>
        </is>
      </c>
    </row>
    <row r="9">
      <c r="A9" s="8" t="inlineStr">
        <is>
          <t>Fair Value Measurement</t>
        </is>
      </c>
      <c r="B9" s="8" t="inlineStr">
        <is>
          <t>公允價值計量</t>
        </is>
      </c>
      <c r="C9" s="19" t="inlineStr">
        <is>
          <t>high</t>
        </is>
      </c>
      <c r="D9" s="11" t="inlineStr">
        <is>
          <t>level 3</t>
        </is>
      </c>
      <c r="E9" s="11" t="inlineStr">
        <is>
          <t>PDF p.124 (印刷頁 123)</t>
        </is>
      </c>
      <c r="F9" s="11" t="inlineStr">
        <is>
          <t>e price in the PRC (2025: HK$12,464 per square meter, the – HK$32,568) higher the fair value. There were no transfers into or out of Level 3 during the year ended 31 March 2026 and 2025. In the opinion of the Directors, the allocation of leasehold land and buildings elements of certain properties located in the PRC cannot be made reliably, thus the entire amount is classified as a finance lease and accounted for as property, plant and equipment. Had the Group’s land and buildings been carried at historical cost less accumulated</t>
        </is>
      </c>
    </row>
    <row r="10">
      <c r="A10" s="8" t="inlineStr">
        <is>
          <t>Fair Value Measurement</t>
        </is>
      </c>
      <c r="B10" s="8" t="inlineStr">
        <is>
          <t>公允價值計量</t>
        </is>
      </c>
      <c r="C10" s="19" t="inlineStr">
        <is>
          <t>high</t>
        </is>
      </c>
      <c r="D10" s="11" t="inlineStr">
        <is>
          <t>level 1</t>
        </is>
      </c>
      <c r="E10" s="11" t="inlineStr">
        <is>
          <t>PDF p.126 (印刷頁 125)</t>
        </is>
      </c>
      <c r="F10" s="11" t="inlineStr">
        <is>
          <t>measurement as at 31 March 2026 using Quoted prices Significant Significant in active observable unobservable markets inputs inputs (Level 1) (Level 2) (Level 3) Total HK$’000 HK$’000 HK$’000 HK$’000 Recurring fair value measurement for: Investment properties at fair values in the PRC – – 2,152 2,152 Fair value measurement as at 31 March 2025 using Quoted prices Significant Significant in active observable unobservable markets inputs inputs (Level 1) (Level 2) (Level 3) Total HK$’000 HK$’000 HK$’000 HK$’000 Recurring fair value</t>
        </is>
      </c>
    </row>
    <row r="11">
      <c r="A11" s="8" t="inlineStr">
        <is>
          <t>Fair Value Measurement</t>
        </is>
      </c>
      <c r="B11" s="8" t="inlineStr">
        <is>
          <t>公允價值計量</t>
        </is>
      </c>
      <c r="C11" s="19" t="inlineStr">
        <is>
          <t>high</t>
        </is>
      </c>
      <c r="D11" s="11" t="inlineStr">
        <is>
          <t>level 3</t>
        </is>
      </c>
      <c r="E11" s="11" t="inlineStr">
        <is>
          <t>PDF p.127 (印刷頁 126)</t>
        </is>
      </c>
      <c r="F11" s="11" t="inlineStr">
        <is>
          <t>investment properties, the highest and best use of the properties is their current use. The fair value of investment properties is a level 3 recurring fair value measurement. A reconciliation of the opening and closing fair value balance is provided in the table above. 18. Right-of-use Assets Land use rights HK$’000 At 1 April 2024 9,833 Depreciation (750) Impairment (1,376) Exchange realignment (158) Transfer to completed properties for sale (7,549) At 31 March 2025, 1 April 2025 and 31 March 2026 – Note: (a) As disclosed in n</t>
        </is>
      </c>
    </row>
    <row r="12">
      <c r="A12" s="8" t="inlineStr">
        <is>
          <t>Fair Value Measurement</t>
        </is>
      </c>
      <c r="B12" s="8" t="inlineStr">
        <is>
          <t>公允價值計量</t>
        </is>
      </c>
      <c r="C12" s="19" t="inlineStr">
        <is>
          <t>high</t>
        </is>
      </c>
      <c r="D12" s="11" t="inlineStr">
        <is>
          <t>independent valuer</t>
        </is>
      </c>
      <c r="E12" s="11" t="inlineStr">
        <is>
          <t>PDF p.153 (印刷頁 152)</t>
        </is>
      </c>
      <c r="F12" s="11" t="inlineStr">
        <is>
          <t>he total ECL provided by the Group for other receivables was HK$617,452,000 (2025: HK$737,532,000) and ECL assessment provided by an independent valuer. As at 31 March 2026, as no collateral was held by the Group, the maximum exposure to loss of other receivables was HK$303,422,000 (2025: HK$403,836,000). 152 COASTAL GREENLAND LIMITED Annual Report 2025/26</t>
        </is>
      </c>
    </row>
    <row r="13">
      <c r="A13" s="8" t="inlineStr">
        <is>
          <t>Fair Value Measurement</t>
        </is>
      </c>
      <c r="B13" s="8" t="inlineStr">
        <is>
          <t>公允價值計量</t>
        </is>
      </c>
      <c r="C13" s="19" t="inlineStr">
        <is>
          <t>high</t>
        </is>
      </c>
      <c r="D13" s="11" t="inlineStr">
        <is>
          <t>fair value hierarchy</t>
        </is>
      </c>
      <c r="E13" s="11" t="inlineStr">
        <is>
          <t>PDF p.159 (印刷頁 158)</t>
        </is>
      </c>
      <c r="F13" s="11" t="inlineStr">
        <is>
          <t>ed on the relative reliability of significant inputs used in measuring the fair value of these financial assets and liabilities. The fair value hierarchy has the following levels: Level 1: Quoted prices (unadjusted) in active markets for identical assets or liabilities; Level 2: Inputs other than quoted prices included within level 1 that are observable for the asset or liability, either directly (i.e. as prices) or indirectly (i.e. derived from prices); and Level 3: Inputs for the asset or liability that are not based on obser</t>
        </is>
      </c>
    </row>
    <row r="14">
      <c r="A14" s="8" t="inlineStr">
        <is>
          <t>Fair Value Measurement</t>
        </is>
      </c>
      <c r="B14" s="8" t="inlineStr">
        <is>
          <t>公允價值計量</t>
        </is>
      </c>
      <c r="C14" s="19" t="inlineStr">
        <is>
          <t>high</t>
        </is>
      </c>
      <c r="D14" s="11" t="inlineStr">
        <is>
          <t>level 1</t>
        </is>
      </c>
      <c r="E14" s="11" t="inlineStr">
        <is>
          <t>PDF p.160 (印刷頁 159)</t>
        </is>
      </c>
      <c r="F14" s="11" t="inlineStr">
        <is>
          <t>measurement. During the years ended 31 March 2026 and 31 March 2025, there have been no transfers of fair value measurements between Level 1 and Level 2 and no transfers into or out of Level 3. The Directors consider that the carrying amounts of financial assets and financial liabilities recorded at amortised cost in the consolidated financial statements approximate their fair values. 159 COASTAL GREENLAND LIMITED Annual Report 2025/26</t>
        </is>
      </c>
    </row>
    <row r="15">
      <c r="A15" s="8" t="inlineStr">
        <is>
          <t>Impairment Testing</t>
        </is>
      </c>
      <c r="B15" s="8" t="inlineStr">
        <is>
          <t>減值測試</t>
        </is>
      </c>
      <c r="C15" s="19" t="inlineStr">
        <is>
          <t>high</t>
        </is>
      </c>
      <c r="D15" s="11" t="inlineStr">
        <is>
          <t>impairment loss</t>
        </is>
      </c>
      <c r="E15" s="11" t="inlineStr">
        <is>
          <t>PDF p.12 (印刷頁 11)</t>
        </is>
      </c>
      <c r="F15" s="11" t="inlineStr">
        <is>
          <t>MANAGEMENT DISCUSSION AND ANALYSIS Impairment Loss on Trade Receivables, Impairment Loss on Prepayments, Deposits and Other Receivables, net, Impairment Loss on Due from Associates, Write-down of Land held for Property Development for Sale, Write-down of Properties Under Development and Writedown of Completed Properties for Sale During the Year, the reversal of impairment loss on trade receivables was HK$0.05 million (2025: provi</t>
        </is>
      </c>
    </row>
    <row r="16">
      <c r="A16" s="8" t="inlineStr">
        <is>
          <t>Impairment Testing</t>
        </is>
      </c>
      <c r="B16" s="8" t="inlineStr">
        <is>
          <t>減值測試</t>
        </is>
      </c>
      <c r="C16" s="19" t="inlineStr">
        <is>
          <t>high</t>
        </is>
      </c>
      <c r="D16" s="11" t="inlineStr">
        <is>
          <t>impairment loss</t>
        </is>
      </c>
      <c r="E16" s="11" t="inlineStr">
        <is>
          <t>PDF p.69 (印刷頁 68)</t>
        </is>
      </c>
      <c r="F16" s="11" t="inlineStr">
        <is>
          <t>ns 8 6,799 20,692 Marketing and selling expenses (1,974) (109) Administrative expenses (34,202) (54,412) Reversal of/(provision for) impairment loss on trade receivables 46 (615) Impairment loss on prepayments, deposits and other receivables, net (120,364) (95,107) Impairment loss on due from associates – (27,888) Other expenses (56,549) (44,314) Write-down of land held for property development for sale (278,324) (41,475) Finance costs 9 (20,399) (30,839) Loss before taxation 11 (503,081) (378,966) Income tax credit/(expense) 1</t>
        </is>
      </c>
    </row>
    <row r="17">
      <c r="A17" s="8" t="inlineStr">
        <is>
          <t>Impairment Testing</t>
        </is>
      </c>
      <c r="B17" s="8" t="inlineStr">
        <is>
          <t>減值測試</t>
        </is>
      </c>
      <c r="C17" s="19" t="inlineStr">
        <is>
          <t>high</t>
        </is>
      </c>
      <c r="D17" s="11" t="inlineStr">
        <is>
          <t>impairment loss</t>
        </is>
      </c>
      <c r="E17" s="11" t="inlineStr">
        <is>
          <t>PDF p.75 (印刷頁 74)</t>
        </is>
      </c>
      <c r="F17" s="11" t="inlineStr">
        <is>
          <t>(2,680) Dividend income from equity investment at FVTOCI 8 (1,115) (7,114) Depreciation of property, plant and equipment 11 432 400 Impairment loss on property, plant and equipment 11 5,000 – Depreciation of right-of-use assets 11 – 750 Write-down of land held for property development for sale 11 278,324 41,475 Write-down of completed properties for sale 11 2,056 481 (Reversal of)/provision for impairment loss on trade receivables 11 (46) 615 Impairment loss on prepayment, deposits and other receivables, net 11 120,364 95,107</t>
        </is>
      </c>
    </row>
    <row r="18">
      <c r="A18" s="8" t="inlineStr">
        <is>
          <t>Impairment Testing</t>
        </is>
      </c>
      <c r="B18" s="8" t="inlineStr">
        <is>
          <t>減值測試</t>
        </is>
      </c>
      <c r="C18" s="19" t="inlineStr">
        <is>
          <t>high</t>
        </is>
      </c>
      <c r="D18" s="11" t="inlineStr">
        <is>
          <t>recoverable amount</t>
        </is>
      </c>
      <c r="E18" s="11" t="inlineStr">
        <is>
          <t>PDF p.79 (印刷頁 78)</t>
        </is>
      </c>
      <c r="F18" s="11" t="inlineStr">
        <is>
          <t>up be unable to continue to operate as a going concern, adjustments would have to be made to write down the value of assets to their recoverable amounts, to provide for further liabilities which might arise and to reclassify non-current assets and non-current liabilities as current assets and current liabilities respectively. The effects of these adjustments have not been reflected in the consolidated financial statements. 78 COASTAL GREENLAND LIMITED Annual Report 2025/26</t>
        </is>
      </c>
    </row>
    <row r="19">
      <c r="A19" s="8" t="inlineStr">
        <is>
          <t>Impairment Testing</t>
        </is>
      </c>
      <c r="B19" s="8" t="inlineStr">
        <is>
          <t>減值測試</t>
        </is>
      </c>
      <c r="C19" s="19" t="inlineStr">
        <is>
          <t>high</t>
        </is>
      </c>
      <c r="D19" s="11" t="inlineStr">
        <is>
          <t>impairment loss</t>
        </is>
      </c>
      <c r="E19" s="11" t="inlineStr">
        <is>
          <t>PDF p.83 (印刷頁 82)</t>
        </is>
      </c>
      <c r="F19" s="11" t="inlineStr">
        <is>
          <t>the consolidated statement of financial position at the Group’s share of net assets under the equity method of accounting, less any impairment losses. Adjustments are made to bring into line any dissimilar accounting policies that may exist. The Group’s share of the post-acquisition results and other comprehensive income of associates and a joint venture is included in the consolidated statement of profit or loss and other comprehensive income, respectively. In addition, when there has been a change recognised directly in the</t>
        </is>
      </c>
    </row>
    <row r="20">
      <c r="A20" s="8" t="inlineStr">
        <is>
          <t>Impairment Testing</t>
        </is>
      </c>
      <c r="B20" s="8" t="inlineStr">
        <is>
          <t>減值測試</t>
        </is>
      </c>
      <c r="C20" s="19" t="inlineStr">
        <is>
          <t>high</t>
        </is>
      </c>
      <c r="D20" s="11" t="inlineStr">
        <is>
          <t>impairment test</t>
        </is>
      </c>
      <c r="E20" s="11" t="inlineStr">
        <is>
          <t>PDF p.84 (印刷頁 83)</t>
        </is>
      </c>
      <c r="F20" s="11" t="inlineStr">
        <is>
          <t>ore frequently if events or changes in circumstances indicate that the carrying value may be impaired. The Group performs its annual impairment test of goodwill as at 31 December. For the purpose of impairment testing, goodwill acquired in a business combination is, from the acquisition date, allocated to each of the Group’s cash-generating units, or groups of cash-generating units, that are expected to benefit from the synergies of the combination, irrespective of whether other assets or liabilities of the Group are assigned t</t>
        </is>
      </c>
    </row>
    <row r="21">
      <c r="A21" s="8" t="inlineStr">
        <is>
          <t>Impairment Testing</t>
        </is>
      </c>
      <c r="B21" s="8" t="inlineStr">
        <is>
          <t>減值測試</t>
        </is>
      </c>
      <c r="C21" s="19" t="inlineStr">
        <is>
          <t>high</t>
        </is>
      </c>
      <c r="D21" s="11" t="inlineStr">
        <is>
          <t>impairment loss</t>
        </is>
      </c>
      <c r="E21" s="11" t="inlineStr">
        <is>
          <t>PDF p.85 (印刷頁 84)</t>
        </is>
      </c>
      <c r="F21" s="11" t="inlineStr">
        <is>
          <t>ates. Where the recoverable amount of the cash-generating unit (group of cash-generating units) is less than the carrying amount, an impairment loss is recognised. An impairment loss recognised for goodwill is not reversed in a subsequent period. Where goodwill has been allocated to a cash-generating unit (or group of cash-generating units) and part of the operation within that unit is disposed of, the goodwill associated with the operation disposed of is included in the carrying amount of the operation when determining the gai</t>
        </is>
      </c>
    </row>
    <row r="22">
      <c r="A22" s="8" t="inlineStr">
        <is>
          <t>Impairment Testing</t>
        </is>
      </c>
      <c r="B22" s="8" t="inlineStr">
        <is>
          <t>減值測試</t>
        </is>
      </c>
      <c r="C22" s="19" t="inlineStr">
        <is>
          <t>high</t>
        </is>
      </c>
      <c r="D22" s="11" t="inlineStr">
        <is>
          <t>impairment test</t>
        </is>
      </c>
      <c r="E22" s="11" t="inlineStr">
        <is>
          <t>PDF p.86 (印刷頁 85)</t>
        </is>
      </c>
      <c r="F22" s="11" t="inlineStr">
        <is>
          <t>at the end of each reporting period. (e) Impairment of non-financial assets Where an indication of impairment exists, or when annual impairment testing for an asset is required (other than inventories, financial assets, leasehold land and buildings and investment properties), the asset’s recoverable amount is estimated. An asset’s recoverable amount is the higher of the asset’s or cash-generating unit’s value in use and its fair value less costs of disposal, and is determined for an individual asset, unless the asset does not g</t>
        </is>
      </c>
    </row>
    <row r="23">
      <c r="A23" s="8" t="inlineStr">
        <is>
          <t>Impairment Testing</t>
        </is>
      </c>
      <c r="B23" s="8" t="inlineStr">
        <is>
          <t>減值測試</t>
        </is>
      </c>
      <c r="C23" s="19" t="inlineStr">
        <is>
          <t>high</t>
        </is>
      </c>
      <c r="D23" s="11" t="inlineStr">
        <is>
          <t>impairment loss</t>
        </is>
      </c>
      <c r="E23" s="11" t="inlineStr">
        <is>
          <t>PDF p.87 (印刷頁 86)</t>
        </is>
      </c>
      <c r="F23" s="11" t="inlineStr">
        <is>
          <t>continued) An assessment is made at the end of each reporting period as to whether there is an indication that previously recognised impairment losses may no longer exist or may have decreased. If such an indication exists, the recoverable amount is estimated. A previously recognised impairment loss of an asset other than goodwill is reversed only if there has been a change in the estimates used to determine the recoverable amount of that asset, but not to an amount higher than the carrying amount that would have been determine</t>
        </is>
      </c>
    </row>
    <row r="24">
      <c r="A24" s="8" t="inlineStr">
        <is>
          <t>Impairment Testing</t>
        </is>
      </c>
      <c r="B24" s="8" t="inlineStr">
        <is>
          <t>減值測試</t>
        </is>
      </c>
      <c r="C24" s="19" t="inlineStr">
        <is>
          <t>high</t>
        </is>
      </c>
      <c r="D24" s="11" t="inlineStr">
        <is>
          <t>impairment loss</t>
        </is>
      </c>
      <c r="E24" s="11" t="inlineStr">
        <is>
          <t>PDF p.88 (印刷頁 87)</t>
        </is>
      </c>
      <c r="F24" s="11" t="inlineStr">
        <is>
          <t>ent and depreciation Property, plant and equipment are stated at cost or fair value less subsequent accumulated depreciation and any impairment losses. The cost of an item of property, plant and equipment comprises its purchase price and any directly attributable costs of bringing the asset to its working condition and location for its intended use. Expenditure incurred after items of property, plant and equipment have been put into operation, such as repairs and maintenance, is normally charged to the statement of profit or lo</t>
        </is>
      </c>
    </row>
    <row r="25">
      <c r="A25" s="8" t="inlineStr">
        <is>
          <t>Impairment Testing</t>
        </is>
      </c>
      <c r="B25" s="8" t="inlineStr">
        <is>
          <t>減值測試</t>
        </is>
      </c>
      <c r="C25" s="19" t="inlineStr">
        <is>
          <t>high</t>
        </is>
      </c>
      <c r="D25" s="11" t="inlineStr">
        <is>
          <t>impairment loss</t>
        </is>
      </c>
      <c r="E25" s="11" t="inlineStr">
        <is>
          <t>PDF p.90 (印刷頁 89)</t>
        </is>
      </c>
      <c r="F25" s="11" t="inlineStr">
        <is>
          <t>cels of land owned by the Group for the purpose of development of properties for sale. The land is initially stated at cost less any impairment losses and is not depreciated. It is transferred to properties under development upon commencement of the related construction work in the property development project. (k) Properties under development Properties under development are stated at the lower of cost and Net Realisable Value (“NRV”). Cost includes the cost of land, development expenditures, borrowing costs capitalised, and o</t>
        </is>
      </c>
    </row>
    <row r="26">
      <c r="A26" s="8" t="inlineStr">
        <is>
          <t>Impairment Testing</t>
        </is>
      </c>
      <c r="B26" s="8" t="inlineStr">
        <is>
          <t>減值測試</t>
        </is>
      </c>
      <c r="C26" s="19" t="inlineStr">
        <is>
          <t>high</t>
        </is>
      </c>
      <c r="D26" s="11" t="inlineStr">
        <is>
          <t>impairment loss</t>
        </is>
      </c>
      <c r="E26" s="11" t="inlineStr">
        <is>
          <t>PDF p.91 (印刷頁 90)</t>
        </is>
      </c>
      <c r="F26" s="11" t="inlineStr">
        <is>
          <t>the date the underlying asset is available for use). Right-of-use assets are measured at cost, less accumulated depreciation and any impairment losses, and adjusted for any remeasurement of lease liabilities. The cost of right-of-use assets includes the amount of lease liabilities recognised, initial direct costs incurred, and lease payments made at or before the commencement date less any lease incentives received. Right-of-use assets are depreciated on a straight-line basis over the shorter of the lease terms and the estimate</t>
        </is>
      </c>
    </row>
    <row r="27">
      <c r="A27" s="8" t="inlineStr">
        <is>
          <t>Impairment Testing</t>
        </is>
      </c>
      <c r="B27" s="8" t="inlineStr">
        <is>
          <t>減值測試</t>
        </is>
      </c>
      <c r="C27" s="19" t="inlineStr">
        <is>
          <t>high</t>
        </is>
      </c>
      <c r="D27" s="11" t="inlineStr">
        <is>
          <t>impairment loss</t>
        </is>
      </c>
      <c r="E27" s="11" t="inlineStr">
        <is>
          <t>PDF p.107 (印刷頁 106)</t>
        </is>
      </c>
      <c r="F27" s="11" t="inlineStr">
        <is>
          <t>ccounting Judgments and Estimates (continued) (b) Estimated impairment of trade receivables and other receivables The measurement of impairment loss under HKFRS 9 across all categories of financial assets that requires judgement, in particular, the estimation of the amount and timing of future cash flows when determining impairment loss and the assessment of a significant increase in credit risk. These estimates are driven by a number of factors, changes in which can result in different levels of allowances. At the end of each</t>
        </is>
      </c>
    </row>
    <row r="28">
      <c r="A28" s="8" t="inlineStr">
        <is>
          <t>Impairment Testing</t>
        </is>
      </c>
      <c r="B28" s="8" t="inlineStr">
        <is>
          <t>減值測試</t>
        </is>
      </c>
      <c r="C28" s="19" t="inlineStr">
        <is>
          <t>high</t>
        </is>
      </c>
      <c r="D28" s="11" t="inlineStr">
        <is>
          <t>impairment loss</t>
        </is>
      </c>
      <c r="E28" s="11" t="inlineStr">
        <is>
          <t>PDF p.109 (印刷頁 108)</t>
        </is>
      </c>
      <c r="F28" s="11" t="inlineStr">
        <is>
          <t>1,071) (464,391) (286,361) Finance costs (20,399) (30,839) Interest income 4,479 2,690 Foreign exchange (losses)/gains, net (735) 22 Impairment loss on due from associates – (27,888) Other unallocated expenses, net (22,035) (36,590) Loss before taxation (503,081) (378,966) Segment results represent the loss before tax made by each reportable segment without allocation of income and expenses of the Group’s head office, finance costs, interest income, net foreign exchange difference and net impairment loss on due from associates.</t>
        </is>
      </c>
    </row>
    <row r="29">
      <c r="A29" s="8" t="inlineStr">
        <is>
          <t>Impairment Testing</t>
        </is>
      </c>
      <c r="B29" s="8" t="inlineStr">
        <is>
          <t>減值測試</t>
        </is>
      </c>
      <c r="C29" s="19" t="inlineStr">
        <is>
          <t>high</t>
        </is>
      </c>
      <c r="D29" s="11" t="inlineStr">
        <is>
          <t>impairment loss</t>
        </is>
      </c>
      <c r="E29" s="11" t="inlineStr">
        <is>
          <t>PDF p.110 (印刷頁 109)</t>
        </is>
      </c>
      <c r="F29" s="11" t="inlineStr">
        <is>
          <t>5 – – – – – – 278,324 41,475 Write-down of completed properties for sale 2,056 481 – – – – – – 2,056 481 (Reversal of)/provision for impairment loss on trade receivables (46) 615 – – – – – – (46) 615 Impairment loss on prepayments, deposits and other receivables, net 120,364 95,107 – – – – – – 120,364 95,107 Impairment loss on property, plant and equipment 5,000 – – – – – – – 5,000 – Impairment loss on due from associates and a joint venture – – – – – – – 27,888 – 27,888 Impairment loss on right-of-use assets – – – – – – – 1,37</t>
        </is>
      </c>
    </row>
    <row r="30">
      <c r="A30" s="8" t="inlineStr">
        <is>
          <t>Impairment Testing</t>
        </is>
      </c>
      <c r="B30" s="8" t="inlineStr">
        <is>
          <t>減值測試</t>
        </is>
      </c>
      <c r="C30" s="19" t="inlineStr">
        <is>
          <t>high</t>
        </is>
      </c>
      <c r="D30" s="11" t="inlineStr">
        <is>
          <t>impairment loss</t>
        </is>
      </c>
      <c r="E30" s="11" t="inlineStr">
        <is>
          <t>PDF p.115 (印刷頁 114)</t>
        </is>
      </c>
      <c r="F30" s="11" t="inlineStr">
        <is>
          <t>y development for sale (note a) 22 278,324 41,475 Write-down of completed properties for sale* 2,056 481 (Reversal of)/provision for impairment loss on trade receivables (46) 615 Impairment loss on prepayments, deposits and other receivables, net 120,364 95,107 Impairment loss on property, plant and equipment* 5,000 – Impairment loss on due from associates – 27,888 Impairment loss on right-of-use assets* 18 – 1,376 Loss on disposal of a subsidiary* 32 – 30,926 Loss on write-off of assets and liabilities upon deregistration of s</t>
        </is>
      </c>
    </row>
    <row r="31">
      <c r="A31" s="8" t="inlineStr">
        <is>
          <t>Impairment Testing</t>
        </is>
      </c>
      <c r="B31" s="8" t="inlineStr">
        <is>
          <t>減值測試</t>
        </is>
      </c>
      <c r="C31" s="19" t="inlineStr">
        <is>
          <t>high</t>
        </is>
      </c>
      <c r="D31" s="11" t="inlineStr">
        <is>
          <t>impairment loss</t>
        </is>
      </c>
      <c r="E31" s="11" t="inlineStr">
        <is>
          <t>PDF p.134 (印刷頁 133)</t>
        </is>
      </c>
      <c r="F31" s="11" t="inlineStr">
        <is>
          <t>(“Fund”) amounting to HK$145,873,000 (2025: HK$181,537,000) due from Beijing Industry Development Corporation after recognised a net impairment loss of approximately HK$45,757,000 (2025:HK$1,812,000). The receivable was unsecured and interest-free. According to co-operation agreement and its supplement entered into between Beijing Industry Development Corporation and Shanghai Coastal Commercial Investment Management Company Limited (“Coastal Shanghai”), a subsidiary of the Group, on 3 January 2008, Beijing Industry Development</t>
        </is>
      </c>
    </row>
    <row r="32">
      <c r="A32" s="8" t="inlineStr">
        <is>
          <t>Impairment Testing</t>
        </is>
      </c>
      <c r="B32" s="8" t="inlineStr">
        <is>
          <t>減值測試</t>
        </is>
      </c>
      <c r="C32" s="19" t="inlineStr">
        <is>
          <t>high</t>
        </is>
      </c>
      <c r="D32" s="11" t="inlineStr">
        <is>
          <t>impairment loss</t>
        </is>
      </c>
      <c r="E32" s="11" t="inlineStr">
        <is>
          <t>PDF p.152 (印刷頁 151)</t>
        </is>
      </c>
      <c r="F32" s="11" t="inlineStr">
        <is>
          <t>debts. In addition, the Group reviews regularly the recoverable amount of each individual trade receivables to ensure that adequate impairment losses are made for irrecoverable amounts. Of the trade receivables balance at the end of the year, HK$108,383,000 are due from Dalian Jinpu New District Natural Resource Bureau, the Group’s largest customer. Apart from this, the Group does not have significant credit risk exposure to any single counterparty or any group of counterparties having similar characteristics. The Group define</t>
        </is>
      </c>
    </row>
    <row r="33">
      <c r="A33" s="8" t="inlineStr">
        <is>
          <t>Impairment Testing</t>
        </is>
      </c>
      <c r="B33" s="8" t="inlineStr">
        <is>
          <t>減值測試</t>
        </is>
      </c>
      <c r="C33" s="19" t="inlineStr">
        <is>
          <t>high</t>
        </is>
      </c>
      <c r="D33" s="11" t="inlineStr">
        <is>
          <t>impairment loss</t>
        </is>
      </c>
      <c r="E33" s="11" t="inlineStr">
        <is>
          <t>PDF p.154 (印刷頁 153)</t>
        </is>
      </c>
      <c r="F33" s="11" t="inlineStr">
        <is>
          <t>non-credit- ECL (credit- ECL impaired) impaired) Total HK$’000 HK$’000 HK$’000 HK$’000 As at 31 March 2024 8,031 517 411,808 420,356 Impairment loss recognised 474 48,615 35,243 84,332 Exchange realignment (67) (8,806) (1,089) (9,962) Transfer from due to a former joint venture – – 242,806 242,806 Transfer to non-creditimpaired (4,882) 4,882 – – Transfer to credit-impaired – (517) 517 – As at 31 March 2025 3,556 44,691 689,285 737,532 (Reversal of)/provision for impairment loss recognised (2,564) 123,369 – 120,805 Exchange re</t>
        </is>
      </c>
    </row>
    <row r="34">
      <c r="A34" s="8" t="inlineStr">
        <is>
          <t>Impairment Testing</t>
        </is>
      </c>
      <c r="B34" s="8" t="inlineStr">
        <is>
          <t>減值測試</t>
        </is>
      </c>
      <c r="C34" s="19" t="inlineStr">
        <is>
          <t>high</t>
        </is>
      </c>
      <c r="D34" s="11" t="inlineStr">
        <is>
          <t>impairment loss</t>
        </is>
      </c>
      <c r="E34" s="11" t="inlineStr">
        <is>
          <t>PDF p.155 (印刷頁 154)</t>
        </is>
      </c>
      <c r="F34" s="11" t="inlineStr">
        <is>
          <t>t of loss allowance was therefore based on twelve months ECL. The Group has assessed the ECL for the due from associates and a fully impairment loss of HK$27,888,000 was recognised during the year ended 31 March 2025. The following table provides information about the Group’s exposure to credit risk and ECLs for due from associates: 2026 2025 HK$’000 HK$’000 Gross carrying amount 199,225 190,709 Provision for impairment (199,225) (190,709) Carrying amount net of ECLs – – Movements in the loss allowance account in respect of due</t>
        </is>
      </c>
    </row>
    <row r="35">
      <c r="A35" s="8" t="inlineStr">
        <is>
          <t>Impairment Testing</t>
        </is>
      </c>
      <c r="B35" s="8" t="inlineStr">
        <is>
          <t>減值測試</t>
        </is>
      </c>
      <c r="C35" s="19" t="inlineStr">
        <is>
          <t>high</t>
        </is>
      </c>
      <c r="D35" s="11" t="inlineStr">
        <is>
          <t>impairment loss</t>
        </is>
      </c>
      <c r="E35" s="11" t="inlineStr">
        <is>
          <t>PDF p.156 (印刷頁 155)</t>
        </is>
      </c>
      <c r="F35" s="11" t="inlineStr">
        <is>
          <t>ount in respect of financial guarantee contracts during the year is as follows: 2026 2025 HK$’000 HK$’000 At beginning of year 570 – Impairment loss recognised 29,155 574 Exchange realignment 1,097 (4) At end of year 30,822 570 The loss allowance for financial guarantee contracts is determined in accordance with HKFRS 9 Financial Instruments, and the carrying amount of the financial guarantee liabilities is measured at the higher of the ECL allowance and the amount initially recognised less cumulative income recognised. The ECL</t>
        </is>
      </c>
    </row>
    <row r="36">
      <c r="A36" s="8" t="inlineStr">
        <is>
          <t>Intangible Assets &amp; Goodwill</t>
        </is>
      </c>
      <c r="B36" s="8" t="inlineStr">
        <is>
          <t>無形資產及商譽</t>
        </is>
      </c>
      <c r="C36" s="19" t="inlineStr">
        <is>
          <t>high</t>
        </is>
      </c>
      <c r="D36" s="11" t="inlineStr">
        <is>
          <t>trademark</t>
        </is>
      </c>
      <c r="E36" s="11" t="inlineStr">
        <is>
          <t>PDF p.32 (印刷頁 31)</t>
        </is>
      </c>
      <c r="F36" s="11" t="inlineStr">
        <is>
          <t>aws and regulations such as the Advertising Law of the PRC, the Interim Measures for the Administration of Internet Advertising, the Trademark Law of the PRC and the Copyright Law of the PRC and has established internal regulations and implementation requirements on the use of brand logos to regulate the advertising of the Group’s head office and its subsidiaries. The Group cooperates with external professional trademark agents in trademark registration to prepare for the renewal of and handle renewal procedures in advance for</t>
        </is>
      </c>
    </row>
    <row r="37">
      <c r="A37" s="8" t="inlineStr">
        <is>
          <t>Intangible Assets &amp; Goodwill</t>
        </is>
      </c>
      <c r="B37" s="8" t="inlineStr">
        <is>
          <t>無形資產及商譽</t>
        </is>
      </c>
      <c r="C37" s="19" t="inlineStr">
        <is>
          <t>high</t>
        </is>
      </c>
      <c r="D37" s="11" t="inlineStr">
        <is>
          <t>goodwill</t>
        </is>
      </c>
      <c r="E37" s="11" t="inlineStr">
        <is>
          <t>PDF p.82 (印刷頁 81)</t>
        </is>
      </c>
      <c r="F37" s="11" t="inlineStr">
        <is>
          <t>accounted for as an equity transaction. If the Group loses control over a subsidiary, it derecognises the related assets (including goodwill), liabilities, any non-controlling interest and the exchange fluctuation reserve; and recognises the fair value of any investment retained and any resulting surplus or deficit in profit or loss. The Group’s share of components previously recognised in other comprehensive income is reclassified to profit or loss or retained profits, as appropriate, on the same basis as would be required if</t>
        </is>
      </c>
    </row>
    <row r="38">
      <c r="A38" s="8" t="inlineStr">
        <is>
          <t>Intangible Assets &amp; Goodwill</t>
        </is>
      </c>
      <c r="B38" s="8" t="inlineStr">
        <is>
          <t>無形資產及商譽</t>
        </is>
      </c>
      <c r="C38" s="19" t="inlineStr">
        <is>
          <t>high</t>
        </is>
      </c>
      <c r="D38" s="11" t="inlineStr">
        <is>
          <t>goodwill</t>
        </is>
      </c>
      <c r="E38" s="11" t="inlineStr">
        <is>
          <t>PDF p.83 (印刷頁 82)</t>
        </is>
      </c>
      <c r="F38" s="11" t="inlineStr">
        <is>
          <t>ts in the associates or a joint venture, except where unrealised losses provide evidence of an impairment of the assets transferred. Goodwill arising from the acquisition of associates or joint ventures is included as part of the Group’s investments in associates or a joint venture. Upon loss of significant influence over the associate or joint control over the joint venture, the Group measures and recognises any retained investment at its fair value. Any difference between the carrying amount of the associate or joint venture</t>
        </is>
      </c>
    </row>
    <row r="39">
      <c r="A39" s="8" t="inlineStr">
        <is>
          <t>Intangible Assets &amp; Goodwill</t>
        </is>
      </c>
      <c r="B39" s="8" t="inlineStr">
        <is>
          <t>無形資產及商譽</t>
        </is>
      </c>
      <c r="C39" s="19" t="inlineStr">
        <is>
          <t>high</t>
        </is>
      </c>
      <c r="D39" s="11" t="inlineStr">
        <is>
          <t>goodwill</t>
        </is>
      </c>
      <c r="E39" s="11" t="inlineStr">
        <is>
          <t>PDF p.84 (印刷頁 83)</t>
        </is>
      </c>
      <c r="F39" s="11" t="inlineStr">
        <is>
          <t>ATED FINANCIAL STATEMENTS For the year ended 31 March 2026 4. Material Accounting Policies (continued) (c) Business combinations and goodwill Business combinations are accounted for using the acquisition method. The consideration transferred is measured at the acquisition date fair value which is the sum of the acquisition date fair values of assets transferred by the Group, liabilities assumed by the Group to the former owners of the acquiree and the equity interests issued by the Group in exchange for control of the acquiree.</t>
        </is>
      </c>
    </row>
    <row r="40">
      <c r="A40" s="8" t="inlineStr">
        <is>
          <t>Intangible Assets &amp; Goodwill</t>
        </is>
      </c>
      <c r="B40" s="8" t="inlineStr">
        <is>
          <t>無形資產及商譽</t>
        </is>
      </c>
      <c r="C40" s="19" t="inlineStr">
        <is>
          <t>high</t>
        </is>
      </c>
      <c r="D40" s="11" t="inlineStr">
        <is>
          <t>goodwill</t>
        </is>
      </c>
      <c r="E40" s="11" t="inlineStr">
        <is>
          <t>PDF p.85 (印刷頁 84)</t>
        </is>
      </c>
      <c r="F40" s="11" t="inlineStr">
        <is>
          <t>ATED FINANCIAL STATEMENTS For the year ended 31 March 2026 4. Material Accounting Policies (continued) (c) Business combinations and goodwill (continued) Impairment is determined by assessing the recoverable amount of the cash-generating unit (group of cash generating units) to which the goodwill relates. Where the recoverable amount of the cash-generating unit (group of cash-generating units) is less than the carrying amount, an impairment loss is recognised. An impairment loss recognised for goodwill is not reversed in a subs</t>
        </is>
      </c>
    </row>
    <row r="41">
      <c r="A41" s="8" t="inlineStr">
        <is>
          <t>Intangible Assets &amp; Goodwill</t>
        </is>
      </c>
      <c r="B41" s="8" t="inlineStr">
        <is>
          <t>無形資產及商譽</t>
        </is>
      </c>
      <c r="C41" s="19" t="inlineStr">
        <is>
          <t>high</t>
        </is>
      </c>
      <c r="D41" s="11" t="inlineStr">
        <is>
          <t>goodwill</t>
        </is>
      </c>
      <c r="E41" s="11" t="inlineStr">
        <is>
          <t>PDF p.87 (印刷頁 86)</t>
        </is>
      </c>
      <c r="F41" s="11" t="inlineStr">
        <is>
          <t>d. If such an indication exists, the recoverable amount is estimated. A previously recognised impairment loss of an asset other than goodwill is reversed only if there has been a change in the estimates used to determine the recoverable amount of that asset, but not to an amount higher than the carrying amount that would have been determined (net of any depreciation/ amortisation) had no impairment loss been recognised for the asset in prior years. A reversal of such an impairment loss is credited to the statement of profit or</t>
        </is>
      </c>
    </row>
    <row r="42">
      <c r="A42" s="8" t="inlineStr">
        <is>
          <t>Intangible Assets &amp; Goodwill</t>
        </is>
      </c>
      <c r="B42" s="8" t="inlineStr">
        <is>
          <t>無形資產及商譽</t>
        </is>
      </c>
      <c r="C42" s="19" t="inlineStr">
        <is>
          <t>high</t>
        </is>
      </c>
      <c r="D42" s="11" t="inlineStr">
        <is>
          <t>useful life</t>
        </is>
      </c>
      <c r="E42" s="11" t="inlineStr">
        <is>
          <t>PDF p.89 (印刷頁 88)</t>
        </is>
      </c>
      <c r="F42" s="11" t="inlineStr">
        <is>
          <t>the straight-line basis to write off the cost of each item of property, plant and equipment to its residual value over its estimated useful life. The principal annual rates used for this purpose are as follows: Leasehold improvements 10%-20% or the shorter of the lease Furniture, fixtures and equipment 10%-20% Motor vehicles 20% Where parts of an item of property, plant and equipment have different useful lives, the cost of that item is allocated on a reasonable basis among the parts and each part is depreciated separately. Res</t>
        </is>
      </c>
    </row>
    <row r="43">
      <c r="A43" s="8" t="inlineStr">
        <is>
          <t>Intangible Assets &amp; Goodwill</t>
        </is>
      </c>
      <c r="B43" s="8" t="inlineStr">
        <is>
          <t>無形資產及商譽</t>
        </is>
      </c>
      <c r="C43" s="19" t="inlineStr">
        <is>
          <t>high</t>
        </is>
      </c>
      <c r="D43" s="11" t="inlineStr">
        <is>
          <t>amortisation</t>
        </is>
      </c>
      <c r="E43" s="11" t="inlineStr">
        <is>
          <t>PDF p.97 (印刷頁 96)</t>
        </is>
      </c>
      <c r="F43" s="11" t="inlineStr">
        <is>
          <t>e recognised in the statement of profit or loss when the liabilities are derecognised as well as through the effective interest rate amortisation process. Amortised cost is calculated by taking into account any discount or premium on acquisition and fees or costs that are an integral part of the effective interest rate. The effective interest rate amortisation is included in finance costs in the statement of profit or loss. 96 COASTAL GREENLAND LIMITED Annual Report 2025/26</t>
        </is>
      </c>
    </row>
    <row r="44">
      <c r="A44" s="8" t="inlineStr">
        <is>
          <t>Intangible Assets &amp; Goodwill</t>
        </is>
      </c>
      <c r="B44" s="8" t="inlineStr">
        <is>
          <t>無形資產及商譽</t>
        </is>
      </c>
      <c r="C44" s="19" t="inlineStr">
        <is>
          <t>high</t>
        </is>
      </c>
      <c r="D44" s="11" t="inlineStr">
        <is>
          <t>goodwill</t>
        </is>
      </c>
      <c r="E44" s="11" t="inlineStr">
        <is>
          <t>PDF p.99 (印刷頁 98)</t>
        </is>
      </c>
      <c r="F44" s="11" t="inlineStr">
        <is>
          <t>e recognised for all taxable temporary differences, except: • when the deferred tax liability arises from the initial recognition of goodwill or an asset or liability in a transaction that is not a business combination and, at the time of the transaction, affects neither the accounting profit nor taxable profit or loss and does not give rise to equal taxable and deductible temporary differences; and • in respect of taxable temporary differences associated with investments in subsidiaries, associates and joint ventures, when the</t>
        </is>
      </c>
    </row>
    <row r="45">
      <c r="A45" s="8" t="inlineStr">
        <is>
          <t>Intangible Assets &amp; Goodwill</t>
        </is>
      </c>
      <c r="B45" s="8" t="inlineStr">
        <is>
          <t>無形資產及商譽</t>
        </is>
      </c>
      <c r="C45" s="19" t="inlineStr">
        <is>
          <t>high</t>
        </is>
      </c>
      <c r="D45" s="11" t="inlineStr">
        <is>
          <t>intangible asset</t>
        </is>
      </c>
      <c r="E45" s="11" t="inlineStr">
        <is>
          <t>PDF p.103 (印刷頁 102)</t>
        </is>
      </c>
      <c r="F45" s="11" t="inlineStr">
        <is>
          <t>recognition (continued) Contract costs Other than the costs which are capitalised as inventories, property, plant and equipment and intangible assets, costs incurred to fulfil a contract with a customer are capitalised as an asset if all of the following criteria are met: (a) the costs relate directly to a contract or to an anticipated contract that the entity can specifically identify; (b) the costs generate or enhance resources of the entity that will be used in satisfying (or in continuing to satisfy) performance obligation</t>
        </is>
      </c>
    </row>
    <row r="46">
      <c r="A46" s="8" t="inlineStr">
        <is>
          <t>Intangible Assets &amp; Goodwill</t>
        </is>
      </c>
      <c r="B46" s="8" t="inlineStr">
        <is>
          <t>無形資產及商譽</t>
        </is>
      </c>
      <c r="C46" s="19" t="inlineStr">
        <is>
          <t>high</t>
        </is>
      </c>
      <c r="D46" s="11" t="inlineStr">
        <is>
          <t>goodwill</t>
        </is>
      </c>
      <c r="E46" s="11" t="inlineStr">
        <is>
          <t>PDF p.105 (印刷頁 104)</t>
        </is>
      </c>
      <c r="F46" s="11" t="inlineStr">
        <is>
          <t>cumulative amount in the reserve relating to that particular foreign operation is recognised in the statement of profit or loss. Any goodwill arising on the acquisition of a foreign operation and any fair value adjustments to the carrying amounts of assets and liabilities arising on acquisition are treated as assets and liabilities of the foreign operation and translated at the closing rate. For the purposes of presenting the consolidated financial statements, the assets and liabilities of the Group’s entities are translated in</t>
        </is>
      </c>
    </row>
    <row r="47">
      <c r="A47" s="8" t="inlineStr">
        <is>
          <t>Investment Properties</t>
        </is>
      </c>
      <c r="B47" s="8" t="inlineStr">
        <is>
          <t>投資物業</t>
        </is>
      </c>
      <c r="C47" s="19" t="inlineStr">
        <is>
          <t>high</t>
        </is>
      </c>
      <c r="D47" s="11" t="inlineStr">
        <is>
          <t>gross floor area</t>
        </is>
      </c>
      <c r="E47" s="11" t="inlineStr">
        <is>
          <t>PDF p.3 (印刷頁 2)</t>
        </is>
      </c>
      <c r="F47" s="11" t="inlineStr">
        <is>
          <t>es of which are listed on the Main Board of the Stock Exchange (stock code: 1124) “Director(s)” the director(s) of the Company “GFA” gross floor area “Group” the Company and its subsidiaries “HK$” and “HK cent(s)” Hong Kong dollar(s) and cent(s), the lawful currency of Hong Kong “Hong Kong” the Hong Kong Special Administrative Region of the PRC “Listing Rules” the Rules Governing the Listing of Securities on the Stock Exchange “Model Code” Model Code for Securities Transactions by Directors of Listed Issuers as set out in Appen</t>
        </is>
      </c>
    </row>
    <row r="48">
      <c r="A48" s="8" t="inlineStr">
        <is>
          <t>Investment Properties</t>
        </is>
      </c>
      <c r="B48" s="8" t="inlineStr">
        <is>
          <t>投資物業</t>
        </is>
      </c>
      <c r="C48" s="19" t="inlineStr">
        <is>
          <t>high</t>
        </is>
      </c>
      <c r="D48" s="11" t="inlineStr">
        <is>
          <t>investment property</t>
        </is>
      </c>
      <c r="E48" s="11" t="inlineStr">
        <is>
          <t>PDF p.90 (印刷頁 89)</t>
        </is>
      </c>
      <c r="F48" s="11" t="inlineStr">
        <is>
          <t>included in the statement of profit or loss in the year in which they arise. Any gains or losses on the retirement or disposal of an investment property are recognised in the statement of profit or loss in the year of the retirement or disposal. For a transfer from investment properties to owner-occupied properties or inventories, the deemed cost of a property for subsequent accounting is its fair value at the date of change in use. If a property occupied by the Group as an owner-occupied property becomes an investment property</t>
        </is>
      </c>
    </row>
    <row r="49">
      <c r="A49" s="8" t="inlineStr">
        <is>
          <t>Investment Properties</t>
        </is>
      </c>
      <c r="B49" s="8" t="inlineStr">
        <is>
          <t>投資物業</t>
        </is>
      </c>
      <c r="C49" s="19" t="inlineStr">
        <is>
          <t>high</t>
        </is>
      </c>
      <c r="D49" s="11" t="inlineStr">
        <is>
          <t>investment property</t>
        </is>
      </c>
      <c r="E49" s="11" t="inlineStr">
        <is>
          <t>PDF p.92 (印刷頁 91)</t>
        </is>
      </c>
      <c r="F49" s="11" t="inlineStr">
        <is>
          <t>when there is a lease modification) each of its leases as either an operating lease or a finance lease. The Group has leased out its investment property to a number of tenants. Leases in which the Group does not transfer substantially all the risks and rewards incidental to ownership of an asset are classified as operating leases. When a contract contains lease and non-lease components, the Group allocates the consideration in the contract to each component on a relative stand-alone selling price basis. Rental income is account</t>
        </is>
      </c>
    </row>
    <row r="50">
      <c r="A50" s="8" t="inlineStr">
        <is>
          <t>Investment Properties</t>
        </is>
      </c>
      <c r="B50" s="8" t="inlineStr">
        <is>
          <t>投資物業</t>
        </is>
      </c>
      <c r="C50" s="19" t="inlineStr">
        <is>
          <t>high</t>
        </is>
      </c>
      <c r="D50" s="11" t="inlineStr">
        <is>
          <t>capitalisation rate</t>
        </is>
      </c>
      <c r="E50" s="11" t="inlineStr">
        <is>
          <t>PDF p.125 (印刷頁 124)</t>
        </is>
      </c>
      <c r="F50" s="11" t="inlineStr">
        <is>
          <t>rty. The market rentals are also assessed by reference to the rentals achieved in other similar properties in the neighbourhood. The capitalisation rate adopted is made by reference to the yields achieved in analysed market sales transactions and the valuer’s knowledge of the market expectation from property investors. All of the Group’s property interests held under operating leases to earn rentals and being held to be leased out or for capital appreciation purpose are measured using the fair value model and are classified and</t>
        </is>
      </c>
    </row>
    <row r="51">
      <c r="A51" s="8" t="inlineStr">
        <is>
          <t>Investment Properties</t>
        </is>
      </c>
      <c r="B51" s="8" t="inlineStr">
        <is>
          <t>投資物業</t>
        </is>
      </c>
      <c r="C51" s="19" t="inlineStr">
        <is>
          <t>high</t>
        </is>
      </c>
      <c r="D51" s="11" t="inlineStr">
        <is>
          <t>reversionary</t>
        </is>
      </c>
      <c r="E51" s="11" t="inlineStr">
        <is>
          <t>PDF p.127 (印刷頁 126)</t>
        </is>
      </c>
      <c r="F51" s="11" t="inlineStr">
        <is>
          <t>bservable input to Investment properties Valuation technique input fair value Investment properties at fair value in Income approach Reversionary yield 5% The higher the reversionary the PRC HK$2,152,000 (2025: 5%) yield, the lower the fair (2025: HK$2,059,000) value In estimating the fair value of the investment properties, the highest and best use of the properties is their current use. The fair value of investment properties is a level 3 recurring fair value measurement. A reconciliation of the opening and closing fair value</t>
        </is>
      </c>
    </row>
    <row r="52">
      <c r="A52" s="8" t="inlineStr">
        <is>
          <t>ESG Data</t>
        </is>
      </c>
      <c r="B52" s="8" t="inlineStr">
        <is>
          <t>環境社會及管治數據</t>
        </is>
      </c>
      <c r="C52" s="8" t="inlineStr">
        <is>
          <t>medium</t>
        </is>
      </c>
      <c r="D52" s="11" t="inlineStr">
        <is>
          <t>ESG</t>
        </is>
      </c>
      <c r="E52" s="11" t="inlineStr">
        <is>
          <t>PDF p.15 (印刷頁 14)</t>
        </is>
      </c>
      <c r="F52" s="11" t="inlineStr">
        <is>
          <t>ENVIRONMENTAL, SOCIAL AND GOVERNANCE REPORT Introduction This environmental, social and governance (“ESG”) report (the “ESG Report”) demonstrates the Group’s concept and practice for sustainable development and social responsibility to its stakeholders from both environmental and social aspects. Reporting Scope The scope of this report is consistent with that of the annual report, with a focus on disclosing the performance of the Group with respect to ESG concepts and practice during the financia</t>
        </is>
      </c>
    </row>
    <row r="53">
      <c r="A53" s="8" t="inlineStr">
        <is>
          <t>ESG Data</t>
        </is>
      </c>
      <c r="B53" s="8" t="inlineStr">
        <is>
          <t>環境社會及管治數據</t>
        </is>
      </c>
      <c r="C53" s="8" t="inlineStr">
        <is>
          <t>medium</t>
        </is>
      </c>
      <c r="D53" s="11" t="inlineStr">
        <is>
          <t>ESG</t>
        </is>
      </c>
      <c r="E53" s="11" t="inlineStr">
        <is>
          <t>PDF p.16 (印刷頁 15)</t>
        </is>
      </c>
      <c r="F53" s="11" t="inlineStr">
        <is>
          <t>ND GOVERNANCE REPORT Managing Organisation Responsibilities Organisational Tasks The Board The highest decision-maker • Developing ESG management approaches, of ESG issues takes full strategies and goals; responsibility for the ESG strategies and reporting. • Regularly reviewing the performance on ESG targets of the Group; • Evaluating, prioritising, and managing important ESG-related issues and their risks to the Group’s business; and • Reviewing and approving the annual ESG Report. Senior management Arrange specific work fo</t>
        </is>
      </c>
    </row>
    <row r="54">
      <c r="A54" s="8" t="inlineStr">
        <is>
          <t>ESG Data</t>
        </is>
      </c>
      <c r="B54" s="8" t="inlineStr">
        <is>
          <t>環境社會及管治數據</t>
        </is>
      </c>
      <c r="C54" s="8" t="inlineStr">
        <is>
          <t>medium</t>
        </is>
      </c>
      <c r="D54" s="11" t="inlineStr">
        <is>
          <t>GHG emission</t>
        </is>
      </c>
      <c r="E54" s="11" t="inlineStr">
        <is>
          <t>PDF p.18 (印刷頁 17)</t>
        </is>
      </c>
      <c r="F54" s="11" t="inlineStr">
        <is>
          <t>ti-money laundering Supplier management Product quality STAKEHOLDERS management mechanism Air emissions Intellectual property rights GHG emissions TO Occupational health and safety IMPORTANCE Employees development Waste management and training Labour standards Environment and Employment and natural resources Energy consumption labour practices Water consumption Customer data privacy protection Community investment Climate change Green procurement Whistle-blowing policy concept High Low IMPORTANCE TO CORPORATE SUSTAINABILITY 17</t>
        </is>
      </c>
    </row>
    <row r="55">
      <c r="A55" s="8" t="inlineStr">
        <is>
          <t>ESG Data</t>
        </is>
      </c>
      <c r="B55" s="8" t="inlineStr">
        <is>
          <t>環境社會及管治數據</t>
        </is>
      </c>
      <c r="C55" s="8" t="inlineStr">
        <is>
          <t>medium</t>
        </is>
      </c>
      <c r="D55" s="11" t="inlineStr">
        <is>
          <t>carbon</t>
        </is>
      </c>
      <c r="E55" s="11" t="inlineStr">
        <is>
          <t>PDF p.19 (印刷頁 18)</t>
        </is>
      </c>
      <c r="F55" s="11" t="inlineStr">
        <is>
          <t>smoking is prohibited in all office area of the Group. Moreover, the Group has actively responded to the global development of a low-carbon economy and fulfilled its corporate social responsibilities by formulating the “Environmental Management Work Plan”. While improving operational efficiency, the Group also strives to reduce the impact of its business operations on the environment and actively promotes the sustainable development. The Group adopts the principles of “Prevention First and Combination of Prevention and Control”</t>
        </is>
      </c>
    </row>
    <row r="56">
      <c r="A56" s="8" t="inlineStr">
        <is>
          <t>ESG Data</t>
        </is>
      </c>
      <c r="B56" s="8" t="inlineStr">
        <is>
          <t>環境社會及管治數據</t>
        </is>
      </c>
      <c r="C56" s="8" t="inlineStr">
        <is>
          <t>medium</t>
        </is>
      </c>
      <c r="D56" s="11" t="inlineStr">
        <is>
          <t>greenhouse gas</t>
        </is>
      </c>
      <c r="E56" s="11" t="inlineStr">
        <is>
          <t>PDF p.20 (印刷頁 19)</t>
        </is>
      </c>
      <c r="F56" s="11" t="inlineStr">
        <is>
          <t>ENVIRONMENTAL, SOCIAL AND GOVERNANCE REPORT Greenhouse Gases (“GHG”) Emissions The Group advocates energy saving and consumption reduction. Committed to reducing the Group’s GHG emissions, the Group has set a target to reduce its GHG emissions intensity by 10% by FY2026, using the financial year ended 31 March 2021 (“FY2021”) as the baseline year 1. To achieve this target, the Group reduced the use of air-conditioners as far as possible, by</t>
        </is>
      </c>
    </row>
    <row r="57">
      <c r="A57" s="8" t="inlineStr">
        <is>
          <t>ESG Data</t>
        </is>
      </c>
      <c r="B57" s="8" t="inlineStr">
        <is>
          <t>環境社會及管治數據</t>
        </is>
      </c>
      <c r="C57" s="8" t="inlineStr">
        <is>
          <t>medium</t>
        </is>
      </c>
      <c r="D57" s="11" t="inlineStr">
        <is>
          <t>carbon</t>
        </is>
      </c>
      <c r="E57" s="11" t="inlineStr">
        <is>
          <t>PDF p.21 (印刷頁 20)</t>
        </is>
      </c>
      <c r="F57" s="11" t="inlineStr">
        <is>
          <t>tal Pollution by Solid Waste”, thereby further increasing all employees’ attention on issues concerning environmental protection and carbon reduction. Energy Consumption The Group has committed to promoting the mechanism for electricity conservation and consumption reduction by setting an energy target to reduce its energy consumption intensity by 10% by FY2026, using FY2021 as the baseline year 1. To achieve this target and raise employees’ awareness in respect of energy conservation, the Group has advocated the use of bus and</t>
        </is>
      </c>
    </row>
    <row r="58">
      <c r="A58" s="8" t="inlineStr">
        <is>
          <t>ESG Data</t>
        </is>
      </c>
      <c r="B58" s="8" t="inlineStr">
        <is>
          <t>環境社會及管治數據</t>
        </is>
      </c>
      <c r="C58" s="8" t="inlineStr">
        <is>
          <t>medium</t>
        </is>
      </c>
      <c r="D58" s="11" t="inlineStr">
        <is>
          <t>carbon</t>
        </is>
      </c>
      <c r="E58" s="11" t="inlineStr">
        <is>
          <t>PDF p.22 (印刷頁 21)</t>
        </is>
      </c>
      <c r="F58" s="11" t="inlineStr">
        <is>
          <t>ection, (3) outdoor ecological protection and landscape, (4) living quality and comfort, (5) architectural energy efficiency and low carbon, (6) water resources protection and energy conservation, (7) materials conservation and environmental protection, (8) green construction and management, (9) green interior design and health, and (10) property management and community culture. 21 COASTAL GREENLAND LIMITED Annual Report 2025/26</t>
        </is>
      </c>
    </row>
    <row r="59">
      <c r="A59" s="8" t="inlineStr">
        <is>
          <t>ESG Data</t>
        </is>
      </c>
      <c r="B59" s="8" t="inlineStr">
        <is>
          <t>環境社會及管治數據</t>
        </is>
      </c>
      <c r="C59" s="8" t="inlineStr">
        <is>
          <t>medium</t>
        </is>
      </c>
      <c r="D59" s="11" t="inlineStr">
        <is>
          <t>carbon</t>
        </is>
      </c>
      <c r="E59" s="11" t="inlineStr">
        <is>
          <t>PDF p.24 (印刷頁 23)</t>
        </is>
      </c>
      <c r="F59" s="11" t="inlineStr">
        <is>
          <t>rengthen its climate target and the Intended Nationally Determined Contributions regarding emission reduction, striving to reach the carbon peak by 2030, and aiming to achieve carbon neutrality by 2060. In addition, regulatory authorities and capital markets are also gradually imposing stricter requirements for information disclosure related to climate. In this context, the Group is actively studying the strategies and policies of the government in response to climate change, and actively pays attention to and prevents the effe</t>
        </is>
      </c>
    </row>
    <row r="60">
      <c r="A60" s="8" t="inlineStr">
        <is>
          <t>ESG Data</t>
        </is>
      </c>
      <c r="B60" s="8" t="inlineStr">
        <is>
          <t>環境社會及管治數據</t>
        </is>
      </c>
      <c r="C60" s="8" t="inlineStr">
        <is>
          <t>medium</t>
        </is>
      </c>
      <c r="D60" s="11" t="inlineStr">
        <is>
          <t>carbon</t>
        </is>
      </c>
      <c r="E60" s="11" t="inlineStr">
        <is>
          <t>PDF p.31 (印刷頁 30)</t>
        </is>
      </c>
      <c r="F60" s="11" t="inlineStr">
        <is>
          <t>al pollution and waste recycling. In the process of cooperating with various suppliers, the Group actively promotes a green and lowcarbon work model, and requires the use of “paperless office” and “online operation” methods for communication with suppliers as much as possible, which not only can improve work efficiency, but also can reduce the energy consumption of communication and operation. The green procurement concept and maximising paperless operation model of the Group have been widely recognised by suppliers. The Grou</t>
        </is>
      </c>
    </row>
    <row r="61">
      <c r="A61" s="8" t="inlineStr">
        <is>
          <t>ESG Data</t>
        </is>
      </c>
      <c r="B61" s="8" t="inlineStr">
        <is>
          <t>環境社會及管治數據</t>
        </is>
      </c>
      <c r="C61" s="8" t="inlineStr">
        <is>
          <t>medium</t>
        </is>
      </c>
      <c r="D61" s="11" t="inlineStr">
        <is>
          <t>ESG</t>
        </is>
      </c>
      <c r="E61" s="11" t="inlineStr">
        <is>
          <t>PDF p.49 (印刷頁 48)</t>
        </is>
      </c>
      <c r="F61" s="11" t="inlineStr">
        <is>
          <t>effectiveness of the Group’s risk management. The review covers all material risks, including financial, operational, compliance and ESG risks. The Board has also considered the adequacy of resources, staff qualifications and experience, training programmes and budget of the Group’s accounting and financial reporting function as well as those relating to the issuer’s ESG performance and reporting. The Board is not aware of any significant areas of concern which may affect the shareholders and considers the existing internal con</t>
        </is>
      </c>
    </row>
    <row r="62">
      <c r="A62" s="8" t="inlineStr">
        <is>
          <t>Segment Information</t>
        </is>
      </c>
      <c r="B62" s="8" t="inlineStr">
        <is>
          <t>分部資料</t>
        </is>
      </c>
      <c r="C62" s="8" t="inlineStr">
        <is>
          <t>medium</t>
        </is>
      </c>
      <c r="D62" s="11" t="inlineStr">
        <is>
          <t>geographical</t>
        </is>
      </c>
      <c r="E62" s="11" t="inlineStr">
        <is>
          <t>PDF p.25 (印刷頁 24)</t>
        </is>
      </c>
      <c r="F62" s="11" t="inlineStr">
        <is>
          <t>total of 28 (2025: 57) full-time employees. The breakdown of employees according to gender, age distribution, employee category and geographical region were as follows: Indicator 2026 2025 Unit By gender Male 18 33 person Female 10 24 person By age distribution Under 30 7 7 person 30 to 50 14 31 person Above 50 7 19 person By employee category Senior management 7 7 person Middle management 16 22 person General staff 5 28 person By geographical region Southern China region 6 35 person Northeastern China region 6 6 person Northe</t>
        </is>
      </c>
    </row>
    <row r="63">
      <c r="A63" s="8" t="inlineStr">
        <is>
          <t>Segment Information</t>
        </is>
      </c>
      <c r="B63" s="8" t="inlineStr">
        <is>
          <t>分部資料</t>
        </is>
      </c>
      <c r="C63" s="8" t="inlineStr">
        <is>
          <t>medium</t>
        </is>
      </c>
      <c r="D63" s="11" t="inlineStr">
        <is>
          <t>geographical</t>
        </is>
      </c>
      <c r="E63" s="11" t="inlineStr">
        <is>
          <t>PDF p.26 (印刷頁 25)</t>
        </is>
      </c>
      <c r="F63" s="11" t="inlineStr">
        <is>
          <t>overall turnover of approximately 49.1% (2025: 15.3%). The breakdown of employee turnover according to gender, age distribution and geographical region were as follows: Indicator 2026 2025 Unit By gender Male 28.3 10.6 % Female 20.8 4.7 % By age distribution Under 30 0 5.9 % 30 to 50 21.4 9.4 % Above 50 27.7 0 % By geographical region Southern China region 49.1 15.3 % Northern China region 0 0 % Northeastern China region 0 0 % Promotion and Performance Appraisal The Group has developed a comprehensive performance assessment me</t>
        </is>
      </c>
    </row>
    <row r="64">
      <c r="A64" s="8" t="inlineStr">
        <is>
          <t>Segment Information</t>
        </is>
      </c>
      <c r="B64" s="8" t="inlineStr">
        <is>
          <t>分部資料</t>
        </is>
      </c>
      <c r="C64" s="8" t="inlineStr">
        <is>
          <t>medium</t>
        </is>
      </c>
      <c r="D64" s="11" t="inlineStr">
        <is>
          <t>geographical</t>
        </is>
      </c>
      <c r="E64" s="11" t="inlineStr">
        <is>
          <t>PDF p.30 (印刷頁 29)</t>
        </is>
      </c>
      <c r="F64" s="11" t="inlineStr">
        <is>
          <t>mation database are mainly located in the cities where business has been deployed. The number of qualified suppliers of the Group by geographical region are as follows: Indicator 2026 2025 Unit Southern China region 5 9 supplier(s) Eastern China region 1 1 supplier(s) Northern China region 1 1 supplier(s) Northeastern China region 0 0 supplier(s) Southwestern China region 2 2 supplier(s) Total 9 13 supplier(s) 29 COASTAL GREENLAND LIMITED Annual Report 2025/26</t>
        </is>
      </c>
    </row>
    <row r="65">
      <c r="A65" s="8" t="inlineStr">
        <is>
          <t>Segment Information</t>
        </is>
      </c>
      <c r="B65" s="8" t="inlineStr">
        <is>
          <t>分部資料</t>
        </is>
      </c>
      <c r="C65" s="8" t="inlineStr">
        <is>
          <t>medium</t>
        </is>
      </c>
      <c r="D65" s="11" t="inlineStr">
        <is>
          <t>segment information</t>
        </is>
      </c>
      <c r="E65" s="11" t="inlineStr">
        <is>
          <t>PDF p.108 (印刷頁 107)</t>
        </is>
      </c>
      <c r="F65" s="11" t="inlineStr">
        <is>
          <t>NOTES TO THE CONSOLIDATED FINANCIAL STATEMENTS For the year ended 31 March 2026 6. Segment Information The Group’s operating businesses are structured and managed separately, according to the nature of their operations and the products and services they provide. Operating segments are identified on the basis of internal reports about components of the Group that are regularly reviewed by the board (the “Board”) of directors, being the chief operating decision maker (the “CODM”)</t>
        </is>
      </c>
    </row>
    <row r="66">
      <c r="A66" s="8" t="inlineStr">
        <is>
          <t>Segment Information</t>
        </is>
      </c>
      <c r="B66" s="8" t="inlineStr">
        <is>
          <t>分部資料</t>
        </is>
      </c>
      <c r="C66" s="8" t="inlineStr">
        <is>
          <t>medium</t>
        </is>
      </c>
      <c r="D66" s="11" t="inlineStr">
        <is>
          <t>segment information</t>
        </is>
      </c>
      <c r="E66" s="11" t="inlineStr">
        <is>
          <t>PDF p.109 (印刷頁 108)</t>
        </is>
      </c>
      <c r="F66" s="11" t="inlineStr">
        <is>
          <t>NOTES TO THE CONSOLIDATED FINANCIAL STATEMENTS For the year ended 31 March 2026 6. Segment Information (continued) Segment revenue and results The Group’s revenue and results are substantially derived from operations in the PRC. The following is an analysis of the Group’s revenue and results by reportable and operating segments: Project Property development Property investment management services Consolidated 2026 2025 2026 2025 2026 2025 2026 2025 HK$’000 HK$’000 HK$’000 HK$’00</t>
        </is>
      </c>
    </row>
    <row r="67">
      <c r="A67" s="8" t="inlineStr">
        <is>
          <t>Segment Information</t>
        </is>
      </c>
      <c r="B67" s="8" t="inlineStr">
        <is>
          <t>分部資料</t>
        </is>
      </c>
      <c r="C67" s="8" t="inlineStr">
        <is>
          <t>medium</t>
        </is>
      </c>
      <c r="D67" s="11" t="inlineStr">
        <is>
          <t>segment information</t>
        </is>
      </c>
      <c r="E67" s="11" t="inlineStr">
        <is>
          <t>PDF p.110 (印刷頁 109)</t>
        </is>
      </c>
      <c r="F67" s="11" t="inlineStr">
        <is>
          <t>NOTES TO THE CONSOLIDATED FINANCIAL STATEMENTS For the year ended 31 March 2026 6. Segment Information (continued) Other segment information Amounts included in the measure of segment loss: Property Property Management development investment services Unallocate Consolidated 2026 2025 2026 2025 2026 2025 2026 2025 2026 2025 HK$’000 HK$’000 HK$’000 HK$’000 HK$’000 HK$’000 HK$’000 HK$’000 HK$’000 HK$’000 Depreciation of property, plant and equipment 135 99 – – 14 8 283 293 432 400</t>
        </is>
      </c>
    </row>
    <row r="68">
      <c r="A68" s="8" t="inlineStr">
        <is>
          <t>Segment Information</t>
        </is>
      </c>
      <c r="B68" s="8" t="inlineStr">
        <is>
          <t>分部資料</t>
        </is>
      </c>
      <c r="C68" s="8" t="inlineStr">
        <is>
          <t>medium</t>
        </is>
      </c>
      <c r="D68" s="11" t="inlineStr">
        <is>
          <t>segment information</t>
        </is>
      </c>
      <c r="E68" s="11" t="inlineStr">
        <is>
          <t>PDF p.111 (印刷頁 110)</t>
        </is>
      </c>
      <c r="F68" s="11" t="inlineStr">
        <is>
          <t>NOTES TO THE CONSOLIDATED FINANCIAL STATEMENTS For the year ended 31 March 2026 6. Segment Information (continued) Information about geographical areas Information about the Group’s non-current assets, excluding due from associates, financial assets at FVTOCI and trade receivables, determined based on the geographical location of the assets, is as follows: 2026 2025 HK$’000 HK$’000 The PRC 4,874 8,560 Hong Kong 81,017 86,113 85,891 94,673 7. Revenue 2026 2025 HK$’000 HK$’000 Rev</t>
        </is>
      </c>
    </row>
    <row r="69">
      <c r="A69" s="8" t="inlineStr">
        <is>
          <t>Share-based Payment</t>
        </is>
      </c>
      <c r="B69" s="8" t="inlineStr">
        <is>
          <t>以股份為基礎的付款</t>
        </is>
      </c>
      <c r="C69" s="8" t="inlineStr">
        <is>
          <t>medium</t>
        </is>
      </c>
      <c r="D69" s="11" t="inlineStr">
        <is>
          <t>share option</t>
        </is>
      </c>
      <c r="E69" s="11" t="inlineStr">
        <is>
          <t>PDF p.57 (印刷頁 56)</t>
        </is>
      </c>
      <c r="F69" s="11" t="inlineStr">
        <is>
          <t>ails of bank and other borrowings during the Year are set out in note 29 to the consolidated financial statements. Share Capital and Share Options Details of shares issued of the Company during the Year are set out in note 30 to the consolidated financial statements. As at 31 March 2026, the Company and the subsidiaries had no share option scheme. Equity-Linked Agreements No equity-linked agreements that will or may result in the Company issuing shares or that require the Company to enter into any agreements that will or may re</t>
        </is>
      </c>
    </row>
    <row r="70">
      <c r="A70" s="8" t="inlineStr">
        <is>
          <t>Related Party Transactions</t>
        </is>
      </c>
      <c r="B70" s="8" t="inlineStr">
        <is>
          <t>關聯方交易</t>
        </is>
      </c>
      <c r="C70" s="8" t="inlineStr">
        <is>
          <t>low</t>
        </is>
      </c>
      <c r="D70" s="11" t="inlineStr">
        <is>
          <t>related party</t>
        </is>
      </c>
      <c r="E70" s="11" t="inlineStr">
        <is>
          <t>PDF p.60 (印刷頁 59)</t>
        </is>
      </c>
      <c r="F70" s="11" t="inlineStr">
        <is>
          <t>connected entity was materially interested, whether directly or indirectly, subsisted at any time during or at the end of the Year. Related Party Transactions Details of the significant related party transactions undertaken in the usual course of business are set out in note 39 to the consolidated financial statements. None of these related party transactions constitutes a discloseable connected transaction under the Listing Rules. Directors’ Interests in Securities As at 31 March 2026, the interests and short positions of the</t>
        </is>
      </c>
    </row>
    <row r="71">
      <c r="A71" s="8" t="inlineStr">
        <is>
          <t>Related Party Transactions</t>
        </is>
      </c>
      <c r="B71" s="8" t="inlineStr">
        <is>
          <t>關聯方交易</t>
        </is>
      </c>
      <c r="C71" s="8" t="inlineStr">
        <is>
          <t>low</t>
        </is>
      </c>
      <c r="D71" s="11" t="inlineStr">
        <is>
          <t>related party</t>
        </is>
      </c>
      <c r="E71" s="11" t="inlineStr">
        <is>
          <t>PDF p.161 (印刷頁 160)</t>
        </is>
      </c>
      <c r="F71" s="11" t="inlineStr">
        <is>
          <t>t amortised cost 414,234 486,258 At FVTOCI 51,232 41,986 Financial liabilities At amortised costs 499,674 514,559 At FVTPL – 570 39. Related Party Transactions In addition to the transactions and balances disclosed elsewhere in the notes to the consolidated financial statements, the Group had the following significant transactions with related parties: (a) Outstanding balances with related parties Due to a substantial shareholder of the Company represents due to Coastal International Holdings Limited, which holds 36.93% (2025: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8"/>
  <sheetViews>
    <sheetView workbookViewId="0">
      <pane ySplit="27" topLeftCell="A28"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Total Assets</t>
        </is>
      </c>
    </row>
    <row r="13">
      <c r="A13" s="8" t="inlineStr">
        <is>
          <t>Balance Sheet</t>
        </is>
      </c>
      <c r="B13" s="8" t="inlineStr">
        <is>
          <t>Cash and Equivalents</t>
        </is>
      </c>
    </row>
    <row r="14">
      <c r="A14" s="8" t="inlineStr">
        <is>
          <t>Balance Sheet</t>
        </is>
      </c>
      <c r="B14" s="8" t="inlineStr">
        <is>
          <t>Inventories</t>
        </is>
      </c>
    </row>
    <row r="15">
      <c r="A15" s="8" t="inlineStr">
        <is>
          <t>Balance Sheet</t>
        </is>
      </c>
      <c r="B15" s="8" t="inlineStr">
        <is>
          <t>Goodwill</t>
        </is>
      </c>
    </row>
    <row r="16">
      <c r="A16" s="8" t="inlineStr">
        <is>
          <t>Balance Sheet</t>
        </is>
      </c>
      <c r="B16" s="8" t="inlineStr">
        <is>
          <t>Intangible Assets</t>
        </is>
      </c>
    </row>
    <row r="17">
      <c r="A17" s="8" t="inlineStr">
        <is>
          <t>Balance Sheet</t>
        </is>
      </c>
      <c r="B17" s="8" t="inlineStr">
        <is>
          <t>Total Liabilities</t>
        </is>
      </c>
    </row>
    <row r="18">
      <c r="A18" s="8" t="inlineStr">
        <is>
          <t>Balance Sheet</t>
        </is>
      </c>
      <c r="B18" s="8" t="inlineStr">
        <is>
          <t>Borrowings</t>
        </is>
      </c>
    </row>
    <row r="19">
      <c r="A19" s="8" t="inlineStr">
        <is>
          <t>Cash Flow</t>
        </is>
      </c>
      <c r="B19" s="8" t="inlineStr">
        <is>
          <t>Investing Cash Flow</t>
        </is>
      </c>
    </row>
    <row r="20">
      <c r="A20" s="8" t="inlineStr">
        <is>
          <t>Cash Flow</t>
        </is>
      </c>
      <c r="B20" s="8" t="inlineStr">
        <is>
          <t>Financing Cash Flow</t>
        </is>
      </c>
    </row>
    <row r="21">
      <c r="A21" s="8" t="inlineStr">
        <is>
          <t>Cash Flow</t>
        </is>
      </c>
      <c r="B21" s="8" t="inlineStr">
        <is>
          <t>Capital Expenditure</t>
        </is>
      </c>
    </row>
    <row r="24">
      <c r="A24" s="5" t="inlineStr">
        <is>
          <t>二、文字量過低的頁面(疑似掃描頁)</t>
        </is>
      </c>
    </row>
    <row r="25">
      <c r="A25" s="2" t="inlineStr">
        <is>
          <t>這些頁面幾乎抓不到文字,通常是掃描件或純圖表,建議人手翻閱或另行 OCR。</t>
        </is>
      </c>
    </row>
    <row r="27">
      <c r="A27" s="7" t="inlineStr">
        <is>
          <t>PDF 頁碼</t>
        </is>
      </c>
      <c r="B27" s="7" t="inlineStr">
        <is>
          <t>狀態</t>
        </is>
      </c>
    </row>
    <row r="28">
      <c r="A28" s="8" t="n">
        <v>1</v>
      </c>
      <c r="B28"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2026-08-30T14:16:47Z</dcterms:created>
  <dcterms:modified xsi:type="dcterms:W3CDTF">2026-08-30T14:16:47Z</dcterms:modified>
</cp:coreProperties>
</file>
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f>
            </numRef>
          </cat>
          <val>
            <numRef>
              <f>'Chart 趨勢圖'!$B$5</f>
            </numRef>
          </val>
        </ser>
        <ser>
          <idx val="1"/>
          <order val="1"/>
          <tx>
            <strRef>
              <f>'Chart 趨勢圖'!C4</f>
            </strRef>
          </tx>
          <spPr>
            <a:ln>
              <a:prstDash val="solid"/>
            </a:ln>
          </spPr>
          <cat>
            <numRef>
              <f>'Chart 趨勢圖'!$A$5</f>
            </numRef>
          </cat>
          <val>
            <numRef>
              <f>'Chart 趨勢圖'!$C$5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08448_UNI_PRINTSHOP_20260731.pdf</t>
        </is>
      </c>
    </row>
    <row r="5">
      <c r="A5" s="3" t="inlineStr">
        <is>
          <t>產生時間 Generated</t>
        </is>
      </c>
      <c r="B5" s="4" t="inlineStr">
        <is>
          <t>2026-08-30 22:17</t>
        </is>
      </c>
    </row>
    <row r="6">
      <c r="A6" s="4" t="inlineStr"/>
      <c r="B6" s="4" t="inlineStr"/>
    </row>
    <row r="7">
      <c r="A7" s="3" t="inlineStr">
        <is>
          <t>總頁數 Total pages</t>
        </is>
      </c>
      <c r="B7" s="4" t="n">
        <v>128</v>
      </c>
    </row>
    <row r="8">
      <c r="A8" s="3" t="inlineStr">
        <is>
          <t>已擷取字元 Characters extracted</t>
        </is>
      </c>
      <c r="B8" s="4" t="n">
        <v>330694</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5</v>
      </c>
    </row>
    <row r="13">
      <c r="A13" s="3" t="inlineStr">
        <is>
          <t>財務科目擷取筆數 Financial line items</t>
        </is>
      </c>
      <c r="B13" s="4" t="n">
        <v>11</v>
      </c>
    </row>
    <row r="14">
      <c r="A14" s="3" t="inlineStr">
        <is>
          <t>主題段落擷取筆數 Topic extracts</t>
        </is>
      </c>
      <c r="B14" s="4" t="n">
        <v>59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52,585,584 − 53,133,807 = -548,223</t>
        </is>
      </c>
    </row>
    <row r="20">
      <c r="A20" s="6" t="inlineStr">
        <is>
          <t>✓ 三大報表應相鄰</t>
        </is>
      </c>
      <c r="B20" s="4" t="inlineStr">
        <is>
          <t>Balance Sheet: p.75、Cash Flow: p.78(相距 3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14.3</v>
      </c>
      <c r="D5" s="10" t="n">
        <v>14.3</v>
      </c>
      <c r="E5" s="11" t="inlineStr">
        <is>
          <t>14.3%</t>
        </is>
      </c>
      <c r="F5" s="11" t="inlineStr">
        <is>
          <t>High</t>
        </is>
      </c>
      <c r="G5" s="11" t="inlineStr">
        <is>
          <t>PDF p.103 (印刷頁 101)</t>
        </is>
      </c>
      <c r="H5" s="11" t="inlineStr">
        <is>
          <t>.6%; (ii) gross profit margin ranged between 17.55% to 18.50% and (iii) pre-tax discount rate of 14.3%. Based on the result of the impairment assessment, the recoverable amount of the CGU was estimated to be higher than its carrying amount. Accordingly,</t>
        </is>
      </c>
    </row>
    <row r="6">
      <c r="A6" s="8" t="inlineStr">
        <is>
          <t>Discount Rate</t>
        </is>
      </c>
      <c r="B6" s="8" t="inlineStr">
        <is>
          <t>折現率</t>
        </is>
      </c>
      <c r="C6" s="9" t="n">
        <v>14.02</v>
      </c>
      <c r="D6" s="10" t="n">
        <v>14.02</v>
      </c>
      <c r="E6" s="11" t="inlineStr">
        <is>
          <t>14.02%</t>
        </is>
      </c>
      <c r="F6" s="11" t="inlineStr">
        <is>
          <t>High</t>
        </is>
      </c>
      <c r="G6" s="11" t="inlineStr">
        <is>
          <t>PDF p.104 (印刷頁 102)</t>
        </is>
      </c>
      <c r="H6" s="11" t="inlineStr">
        <is>
          <t>.5%; (ii) gross profit margin ranged between 17.76% to 23.22% and (iii) pre-tax discount rate of 14.02%. Based on the result of the impairment assessment, the recoverable amount of the CGU was estimated to be higher than its carrying amount. Accordingly</t>
        </is>
      </c>
    </row>
    <row r="7">
      <c r="A7" s="8" t="inlineStr">
        <is>
          <t>Gross Margin</t>
        </is>
      </c>
      <c r="B7" s="8" t="inlineStr">
        <is>
          <t>毛利率</t>
        </is>
      </c>
      <c r="C7" s="9" t="n">
        <v>20.8</v>
      </c>
      <c r="D7" s="10" t="n">
        <v>20.8</v>
      </c>
      <c r="E7" s="11" t="inlineStr">
        <is>
          <t>20.8%</t>
        </is>
      </c>
      <c r="F7" s="11" t="inlineStr">
        <is>
          <t>High</t>
        </is>
      </c>
      <c r="G7" s="11" t="inlineStr">
        <is>
          <t>PDF p.8 (印刷頁 6)</t>
        </is>
      </c>
      <c r="H7" s="11" t="inlineStr">
        <is>
          <t>ofit despite the headwinds of intense market price competition. Conversely, the gross profit margin compressed to approximately 20.8% in FY2026 from approximately 21.3% in FY2025. This decline directly reflects the impact of the market price competition, whic</t>
        </is>
      </c>
    </row>
    <row r="8">
      <c r="A8" s="8" t="inlineStr">
        <is>
          <t>Gross Margin</t>
        </is>
      </c>
      <c r="B8" s="8" t="inlineStr">
        <is>
          <t>毛利率</t>
        </is>
      </c>
      <c r="C8" s="9" t="n">
        <v>17.55</v>
      </c>
      <c r="D8" s="10" t="n">
        <v>18.5</v>
      </c>
      <c r="E8" s="11" t="inlineStr">
        <is>
          <t>17.55% to 18.50%</t>
        </is>
      </c>
      <c r="F8" s="11" t="inlineStr">
        <is>
          <t>High</t>
        </is>
      </c>
      <c r="G8" s="11" t="inlineStr">
        <is>
          <t>PDF p.103 (印刷頁 101)</t>
        </is>
      </c>
      <c r="H8" s="11" t="inlineStr">
        <is>
          <t>the CGU include: (i) annual sales growth rates ranged from -12.9% to 5.6%; (ii) gross profit margin ranged between 17.55% to 18.50% and (iii) pre-tax discount rate of 14.3%. Based on the result of the impairment assessment, the recoverable amount of the CGU w</t>
        </is>
      </c>
    </row>
    <row r="9">
      <c r="A9" s="8" t="inlineStr">
        <is>
          <t>Gross Margin</t>
        </is>
      </c>
      <c r="B9" s="8" t="inlineStr">
        <is>
          <t>毛利率</t>
        </is>
      </c>
      <c r="C9" s="9" t="n">
        <v>17.76</v>
      </c>
      <c r="D9" s="10" t="n">
        <v>23.22</v>
      </c>
      <c r="E9" s="11" t="inlineStr">
        <is>
          <t>17.76% to 23.22%</t>
        </is>
      </c>
      <c r="F9" s="11" t="inlineStr">
        <is>
          <t>High</t>
        </is>
      </c>
      <c r="G9" s="11" t="inlineStr">
        <is>
          <t>PDF p.104 (印刷頁 102)</t>
        </is>
      </c>
      <c r="H9" s="11" t="inlineStr">
        <is>
          <t xml:space="preserve">f the CGU include: (i) annual sales growth rates ranged from 1.8% to 2.5%; (ii) gross profit margin ranged between 17.76% to 23.22% and (iii) pre-tax discount rate of 14.02%. Based on the result of the impairment assessment, the recoverable amount of the CGU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Balance Sheet</t>
        </is>
      </c>
      <c r="B5" s="8" t="inlineStr">
        <is>
          <t>Property Plant and Equipment</t>
        </is>
      </c>
      <c r="C5" s="12" t="n">
        <v>3319567</v>
      </c>
      <c r="D5" s="13" t="n">
        <v>7036966</v>
      </c>
      <c r="E5" s="14">
        <f>IF(ISERROR((C5-D5)/ABS(D5)),"",(C5-D5)/ABS(D5))</f>
        <v>-0.5282672958772289</v>
      </c>
      <c r="F5" s="11" t="inlineStr">
        <is>
          <t>PDF p.75 (印刷頁 73)</t>
        </is>
      </c>
      <c r="G5" s="11" t="inlineStr">
        <is>
          <t>Property, plant and equipment 13 3,319,567 7,036,966</t>
        </is>
      </c>
    </row>
    <row r="6">
      <c r="A6" s="8" t="inlineStr">
        <is>
          <t>Balance Sheet</t>
        </is>
      </c>
      <c r="B6" s="8" t="inlineStr">
        <is>
          <t>Intangible Assets</t>
        </is>
      </c>
      <c r="C6" s="12" t="n">
        <v>786722</v>
      </c>
      <c r="D6" s="13" t="n">
        <v>856611</v>
      </c>
      <c r="E6" s="14">
        <f>IF(ISERROR((C6-D6)/ABS(D6)),"",(C6-D6)/ABS(D6))</f>
        <v>-0.08158779189153537</v>
      </c>
      <c r="F6" s="11" t="inlineStr">
        <is>
          <t>PDF p.75 (印刷頁 73)</t>
        </is>
      </c>
      <c r="G6" s="11" t="inlineStr">
        <is>
          <t>Intangible assets 14 786,722 856,611</t>
        </is>
      </c>
    </row>
    <row r="7">
      <c r="A7" s="8" t="inlineStr">
        <is>
          <t>Balance Sheet</t>
        </is>
      </c>
      <c r="B7" s="8" t="inlineStr">
        <is>
          <t>Inventories</t>
        </is>
      </c>
      <c r="C7" s="12" t="n">
        <v>1266507</v>
      </c>
      <c r="D7" s="13" t="n">
        <v>196406</v>
      </c>
      <c r="E7" s="14">
        <f>IF(ISERROR((C7-D7)/ABS(D7)),"",(C7-D7)/ABS(D7))</f>
        <v>5.448412981273485</v>
      </c>
      <c r="F7" s="11" t="inlineStr">
        <is>
          <t>PDF p.75 (印刷頁 73)</t>
        </is>
      </c>
      <c r="G7" s="11" t="inlineStr">
        <is>
          <t>Inventories 16 1,266,507 196,406</t>
        </is>
      </c>
    </row>
    <row r="8">
      <c r="A8" s="8" t="inlineStr">
        <is>
          <t>Balance Sheet</t>
        </is>
      </c>
      <c r="B8" s="8" t="inlineStr">
        <is>
          <t>Trade Receivables</t>
        </is>
      </c>
      <c r="C8" s="12" t="n">
        <v>48476349</v>
      </c>
      <c r="D8" s="13" t="n">
        <v>63897965</v>
      </c>
      <c r="E8" s="14">
        <f>IF(ISERROR((C8-D8)/ABS(D8)),"",(C8-D8)/ABS(D8))</f>
        <v>-0.24134752961224978</v>
      </c>
      <c r="F8" s="11" t="inlineStr">
        <is>
          <t>PDF p.75 (印刷頁 73)</t>
        </is>
      </c>
      <c r="G8" s="11" t="inlineStr">
        <is>
          <t>Trade and other receivables, prepayments and deposits 17 48,476,349 63,897,965</t>
        </is>
      </c>
    </row>
    <row r="9">
      <c r="A9" s="8" t="inlineStr">
        <is>
          <t>Balance Sheet</t>
        </is>
      </c>
      <c r="B9" s="8" t="inlineStr">
        <is>
          <t>Cash and Equivalents</t>
        </is>
      </c>
      <c r="C9" s="12" t="n">
        <v>974898</v>
      </c>
      <c r="D9" s="13" t="n">
        <v>1769519</v>
      </c>
      <c r="E9" s="14">
        <f>IF(ISERROR((C9-D9)/ABS(D9)),"",(C9-D9)/ABS(D9))</f>
        <v>-0.4490604508908918</v>
      </c>
      <c r="F9" s="11" t="inlineStr">
        <is>
          <t>PDF p.75 (印刷頁 73)</t>
        </is>
      </c>
      <c r="G9" s="11" t="inlineStr">
        <is>
          <t>Cash and cash equivalents 18(a) 974,898 1,769,519</t>
        </is>
      </c>
    </row>
    <row r="10">
      <c r="A10" s="8" t="inlineStr">
        <is>
          <t>Balance Sheet</t>
        </is>
      </c>
      <c r="B10" s="8" t="inlineStr">
        <is>
          <t>Total Equity</t>
        </is>
      </c>
      <c r="C10" s="12" t="n">
        <v>10013495</v>
      </c>
      <c r="D10" s="13" t="n">
        <v>7737868</v>
      </c>
      <c r="E10" s="14">
        <f>IF(ISERROR((C10-D10)/ABS(D10)),"",(C10-D10)/ABS(D10))</f>
        <v>0.29408966397462455</v>
      </c>
      <c r="F10" s="11" t="inlineStr">
        <is>
          <t>PDF p.76 (印刷頁 74)</t>
        </is>
      </c>
      <c r="G10" s="11" t="inlineStr">
        <is>
          <t>Total equity 10,013,495 7,737,868</t>
        </is>
      </c>
    </row>
    <row r="11">
      <c r="A11" s="8" t="inlineStr">
        <is>
          <t>Balance Sheet</t>
        </is>
      </c>
      <c r="B11" s="8" t="inlineStr">
        <is>
          <t>Total Current Assets</t>
        </is>
      </c>
      <c r="C11" s="12" t="n">
        <v>52585584</v>
      </c>
      <c r="D11" s="13" t="n">
        <v>83282613</v>
      </c>
      <c r="E11" s="14">
        <f>IF(ISERROR((C11-D11)/ABS(D11)),"",(C11-D11)/ABS(D11))</f>
        <v>-0.36858868729298877</v>
      </c>
      <c r="F11" s="11" t="inlineStr">
        <is>
          <t>PDF p.75 (印刷頁 73)</t>
        </is>
      </c>
      <c r="G11" s="11" t="inlineStr">
        <is>
          <t>[current assets 區段小計] 52,585,584 83,282,613</t>
        </is>
      </c>
    </row>
    <row r="12">
      <c r="A12" s="8" t="inlineStr">
        <is>
          <t>Balance Sheet</t>
        </is>
      </c>
      <c r="B12" s="8" t="inlineStr">
        <is>
          <t>Total Current Liabilities</t>
        </is>
      </c>
      <c r="C12" s="12" t="n">
        <v>53133807</v>
      </c>
      <c r="D12" s="13" t="n">
        <v>91263587</v>
      </c>
      <c r="E12" s="14">
        <f>IF(ISERROR((C12-D12)/ABS(D12)),"",(C12-D12)/ABS(D12))</f>
        <v>-0.41779839313131534</v>
      </c>
      <c r="F12" s="11" t="inlineStr">
        <is>
          <t>PDF p.75 (印刷頁 73)</t>
        </is>
      </c>
      <c r="G12" s="11" t="inlineStr">
        <is>
          <t>[current liabilities 區段小計] 53,133,807 91,263,587</t>
        </is>
      </c>
    </row>
    <row r="13">
      <c r="A13" s="8" t="inlineStr">
        <is>
          <t>Cash Flow</t>
        </is>
      </c>
      <c r="B13" s="8" t="inlineStr">
        <is>
          <t>Operating Cash Flow</t>
        </is>
      </c>
      <c r="C13" s="12" t="n">
        <v>10606010</v>
      </c>
      <c r="D13" s="13" t="n">
        <v>6153316</v>
      </c>
      <c r="E13" s="14">
        <f>IF(ISERROR((C13-D13)/ABS(D13)),"",(C13-D13)/ABS(D13))</f>
        <v>0.7236251153036835</v>
      </c>
      <c r="F13" s="11" t="inlineStr">
        <is>
          <t>PDF p.78 (印刷頁 76)</t>
        </is>
      </c>
      <c r="G13" s="11" t="inlineStr">
        <is>
          <t>Net cash generated from operating activities 10,606,010 6,153,316</t>
        </is>
      </c>
    </row>
    <row r="14">
      <c r="A14" s="8" t="inlineStr">
        <is>
          <t>Cash Flow</t>
        </is>
      </c>
      <c r="B14" s="8" t="inlineStr">
        <is>
          <t>Investing Cash Flow</t>
        </is>
      </c>
      <c r="C14" s="12" t="n">
        <v>-31176</v>
      </c>
      <c r="D14" s="13" t="n">
        <v>-5315337</v>
      </c>
      <c r="E14" s="14">
        <f>IF(ISERROR((C14-D14)/ABS(D14)),"",(C14-D14)/ABS(D14))</f>
        <v>0.9941347086741631</v>
      </c>
      <c r="F14" s="11" t="inlineStr">
        <is>
          <t>PDF p.78 (印刷頁 76)</t>
        </is>
      </c>
      <c r="G14" s="11" t="inlineStr">
        <is>
          <t>Net cash used in investing activities (31,176) (5,315,337)</t>
        </is>
      </c>
    </row>
    <row r="15">
      <c r="A15" s="8" t="inlineStr">
        <is>
          <t>Cash Flow</t>
        </is>
      </c>
      <c r="B15" s="8" t="inlineStr">
        <is>
          <t>Financing Cash Flow</t>
        </is>
      </c>
      <c r="C15" s="12" t="n">
        <v>-12039071</v>
      </c>
      <c r="D15" s="13" t="n">
        <v>-8890806</v>
      </c>
      <c r="E15" s="14">
        <f>IF(ISERROR((C15-D15)/ABS(D15)),"",(C15-D15)/ABS(D15))</f>
        <v>-0.3541034412403105</v>
      </c>
      <c r="F15" s="11" t="inlineStr">
        <is>
          <t>PDF p.78 (印刷頁 76)</t>
        </is>
      </c>
      <c r="G15" s="11" t="inlineStr">
        <is>
          <t>Net cash used in financing activities (12,039,071) (8,890,806)</t>
        </is>
      </c>
    </row>
    <row r="17">
      <c r="A17"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財務數據'!$C$5:$C$15,MATCH("Gross Profit",'Financials 財務數據'!$B$5:$B$15,0))/INDEX('Financials 財務數據'!$C$5:$C$15,MATCH("Revenue",'Financials 財務數據'!$B$5:$B$15,0))),"n/a",INDEX('Financials 財務數據'!$C$5:$C$15,MATCH("Gross Profit",'Financials 財務數據'!$B$5:$B$15,0))/INDEX('Financials 財務數據'!$C$5:$C$15,MATCH("Revenue",'Financials 財務數據'!$B$5:$B$15,0)))</f>
        <v>n/a</v>
      </c>
      <c r="C5" s="15" t="str">
        <f>IF(ISERROR(INDEX('Financials 財務數據'!$D$5:$D$15,MATCH("Gross Profit",'Financials 財務數據'!$B$5:$B$15,0))/INDEX('Financials 財務數據'!$D$5:$D$15,MATCH("Revenue",'Financials 財務數據'!$B$5:$B$15,0))),"n/a",INDEX('Financials 財務數據'!$D$5:$D$15,MATCH("Gross Profit",'Financials 財務數據'!$B$5:$B$15,0))/INDEX('Financials 財務數據'!$D$5:$D$15,MATCH("Revenue",'Financials 財務數據'!$B$5:$B$15,0)))</f>
        <v>n/a</v>
      </c>
      <c r="D5" s="2" t="inlineStr">
        <is>
          <t>毛利 ÷ 收入</t>
        </is>
      </c>
    </row>
    <row r="6">
      <c r="A6" s="4" t="inlineStr">
        <is>
          <t>Net Margin 淨利率</t>
        </is>
      </c>
      <c r="B6" s="15" t="str">
        <f>IF(ISERROR(INDEX('Financials 財務數據'!$C$5:$C$15,MATCH("Profit for the Year",'Financials 財務數據'!$B$5:$B$15,0))/INDEX('Financials 財務數據'!$C$5:$C$15,MATCH("Revenue",'Financials 財務數據'!$B$5:$B$15,0))),"n/a",INDEX('Financials 財務數據'!$C$5:$C$15,MATCH("Profit for the Year",'Financials 財務數據'!$B$5:$B$15,0))/INDEX('Financials 財務數據'!$C$5:$C$15,MATCH("Revenue",'Financials 財務數據'!$B$5:$B$15,0)))</f>
        <v>n/a</v>
      </c>
      <c r="C6" s="15" t="str">
        <f>IF(ISERROR(INDEX('Financials 財務數據'!$D$5:$D$15,MATCH("Profit for the Year",'Financials 財務數據'!$B$5:$B$15,0))/INDEX('Financials 財務數據'!$D$5:$D$15,MATCH("Revenue",'Financials 財務數據'!$B$5:$B$15,0))),"n/a",INDEX('Financials 財務數據'!$D$5:$D$15,MATCH("Profit for the Year",'Financials 財務數據'!$B$5:$B$15,0))/INDEX('Financials 財務數據'!$D$5:$D$15,MATCH("Revenue",'Financials 財務數據'!$B$5:$B$15,0)))</f>
        <v>n/a</v>
      </c>
      <c r="D6" s="2" t="inlineStr">
        <is>
          <t>年內溢利 ÷ 收入</t>
        </is>
      </c>
    </row>
    <row r="7">
      <c r="A7" s="4" t="inlineStr">
        <is>
          <t>Current Ratio 流動比率</t>
        </is>
      </c>
      <c r="B7" s="16">
        <f>IF(ISERROR(INDEX('Financials 財務數據'!$C$5:$C$15,MATCH("Total Current Assets",'Financials 財務數據'!$B$5:$B$15,0))/INDEX('Financials 財務數據'!$C$5:$C$15,MATCH("Total Current Liabilities",'Financials 財務數據'!$B$5:$B$15,0))),"n/a",INDEX('Financials 財務數據'!$C$5:$C$15,MATCH("Total Current Assets",'Financials 財務數據'!$B$5:$B$15,0))/INDEX('Financials 財務數據'!$C$5:$C$15,MATCH("Total Current Liabilities",'Financials 財務數據'!$B$5:$B$15,0)))</f>
        <v>0.9896822187049387</v>
      </c>
      <c r="C7" s="16">
        <f>IF(ISERROR(INDEX('Financials 財務數據'!$D$5:$D$15,MATCH("Total Current Assets",'Financials 財務數據'!$B$5:$B$15,0))/INDEX('Financials 財務數據'!$D$5:$D$15,MATCH("Total Current Liabilities",'Financials 財務數據'!$B$5:$B$15,0))),"n/a",INDEX('Financials 財務數據'!$D$5:$D$15,MATCH("Total Current Assets",'Financials 財務數據'!$B$5:$B$15,0))/INDEX('Financials 財務數據'!$D$5:$D$15,MATCH("Total Current Liabilities",'Financials 財務數據'!$B$5:$B$15,0)))</f>
        <v>0.912550292374548</v>
      </c>
      <c r="D7" s="2" t="inlineStr">
        <is>
          <t>流動資產 ÷ 流動負債</t>
        </is>
      </c>
    </row>
    <row r="8">
      <c r="A8" s="4" t="inlineStr">
        <is>
          <t>Debt / Equity 負債權益比</t>
        </is>
      </c>
      <c r="B8" s="16" t="str">
        <f>IF(ISERROR(INDEX('Financials 財務數據'!$C$5:$C$15,MATCH("Total Liabilities",'Financials 財務數據'!$B$5:$B$15,0))/INDEX('Financials 財務數據'!$C$5:$C$15,MATCH("Total Equity",'Financials 財務數據'!$B$5:$B$15,0))),"n/a",INDEX('Financials 財務數據'!$C$5:$C$15,MATCH("Total Liabilities",'Financials 財務數據'!$B$5:$B$15,0))/INDEX('Financials 財務數據'!$C$5:$C$15,MATCH("Total Equity",'Financials 財務數據'!$B$5:$B$15,0)))</f>
        <v>n/a</v>
      </c>
      <c r="C8" s="16" t="str">
        <f>IF(ISERROR(INDEX('Financials 財務數據'!$D$5:$D$15,MATCH("Total Liabilities",'Financials 財務數據'!$B$5:$B$15,0))/INDEX('Financials 財務數據'!$D$5:$D$15,MATCH("Total Equity",'Financials 財務數據'!$B$5:$B$15,0))),"n/a",INDEX('Financials 財務數據'!$D$5:$D$15,MATCH("Total Liabilities",'Financials 財務數據'!$B$5:$B$15,0))/INDEX('Financials 財務數據'!$D$5:$D$15,MATCH("Total Equity",'Financials 財務數據'!$B$5:$B$15,0)))</f>
        <v>n/a</v>
      </c>
      <c r="D8" s="2" t="inlineStr">
        <is>
          <t>總負債 ÷ 總權益</t>
        </is>
      </c>
    </row>
    <row r="9">
      <c r="A9" s="4" t="inlineStr">
        <is>
          <t>Goodwill / Total Assets</t>
        </is>
      </c>
      <c r="B9" s="15" t="str">
        <f>IF(ISERROR(INDEX('Financials 財務數據'!$C$5:$C$15,MATCH("Goodwill",'Financials 財務數據'!$B$5:$B$15,0))/INDEX('Financials 財務數據'!$C$5:$C$15,MATCH("Total Assets",'Financials 財務數據'!$B$5:$B$15,0))),"n/a",INDEX('Financials 財務數據'!$C$5:$C$15,MATCH("Goodwill",'Financials 財務數據'!$B$5:$B$15,0))/INDEX('Financials 財務數據'!$C$5:$C$15,MATCH("Total Assets",'Financials 財務數據'!$B$5:$B$15,0)))</f>
        <v>n/a</v>
      </c>
      <c r="C9" s="15" t="str">
        <f>IF(ISERROR(INDEX('Financials 財務數據'!$D$5:$D$15,MATCH("Goodwill",'Financials 財務數據'!$B$5:$B$15,0))/INDEX('Financials 財務數據'!$D$5:$D$15,MATCH("Total Assets",'Financials 財務數據'!$B$5:$B$15,0))),"n/a",INDEX('Financials 財務數據'!$D$5:$D$15,MATCH("Goodwill",'Financials 財務數據'!$B$5:$B$15,0))/INDEX('Financials 財務數據'!$D$5:$D$15,MATCH("Total Assets",'Financials 財務數據'!$B$5:$B$15,0)))</f>
        <v>n/a</v>
      </c>
      <c r="D9" s="2" t="inlineStr">
        <is>
          <t>商譽佔總資產比重 — 減值風險指標</t>
        </is>
      </c>
    </row>
    <row r="10">
      <c r="A10" s="4" t="inlineStr">
        <is>
          <t>Intangibles / Total Assets</t>
        </is>
      </c>
      <c r="B10" s="15" t="str">
        <f>IF(ISERROR(INDEX('Financials 財務數據'!$C$5:$C$15,MATCH("Intangible Assets",'Financials 財務數據'!$B$5:$B$15,0))/INDEX('Financials 財務數據'!$C$5:$C$15,MATCH("Total Assets",'Financials 財務數據'!$B$5:$B$15,0))),"n/a",INDEX('Financials 財務數據'!$C$5:$C$15,MATCH("Intangible Assets",'Financials 財務數據'!$B$5:$B$15,0))/INDEX('Financials 財務數據'!$C$5:$C$15,MATCH("Total Assets",'Financials 財務數據'!$B$5:$B$15,0)))</f>
        <v>n/a</v>
      </c>
      <c r="C10" s="15" t="str">
        <f>IF(ISERROR(INDEX('Financials 財務數據'!$D$5:$D$15,MATCH("Intangible Assets",'Financials 財務數據'!$B$5:$B$15,0))/INDEX('Financials 財務數據'!$D$5:$D$15,MATCH("Total Assets",'Financials 財務數據'!$B$5:$B$15,0))),"n/a",INDEX('Financials 財務數據'!$D$5:$D$15,MATCH("Intangible Assets",'Financials 財務數據'!$B$5:$B$15,0))/INDEX('Financials 財務數據'!$D$5:$D$15,MATCH("Total Assets",'Financials 財務數據'!$B$5:$B$15,0)))</f>
        <v>n/a</v>
      </c>
      <c r="D10" s="2" t="inlineStr">
        <is>
          <t>無形資產佔比</t>
        </is>
      </c>
    </row>
    <row r="11">
      <c r="A11" s="4" t="inlineStr">
        <is>
          <t>ROE 股本回報率</t>
        </is>
      </c>
      <c r="B11" s="15" t="str">
        <f>IF(ISERROR(INDEX('Financials 財務數據'!$C$5:$C$15,MATCH("Profit for the Year",'Financials 財務數據'!$B$5:$B$15,0))/INDEX('Financials 財務數據'!$C$5:$C$15,MATCH("Total Equity",'Financials 財務數據'!$B$5:$B$15,0))),"n/a",INDEX('Financials 財務數據'!$C$5:$C$15,MATCH("Profit for the Year",'Financials 財務數據'!$B$5:$B$15,0))/INDEX('Financials 財務數據'!$C$5:$C$15,MATCH("Total Equity",'Financials 財務數據'!$B$5:$B$15,0)))</f>
        <v>n/a</v>
      </c>
      <c r="C11" s="15" t="str">
        <f>IF(ISERROR(INDEX('Financials 財務數據'!$D$5:$D$15,MATCH("Profit for the Year",'Financials 財務數據'!$B$5:$B$15,0))/INDEX('Financials 財務數據'!$D$5:$D$15,MATCH("Total Equity",'Financials 財務數據'!$B$5:$B$15,0))),"n/a",INDEX('Financials 財務數據'!$D$5:$D$15,MATCH("Profit for the Year",'Financials 財務數據'!$B$5:$B$15,0))/INDEX('Financials 財務數據'!$D$5:$D$15,MATCH("Total Equity",'Financials 財務數據'!$B$5:$B$15,0)))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Total Equity</t>
        </is>
      </c>
      <c r="B5" s="18" t="n">
        <v>7737868</v>
      </c>
      <c r="C5" s="18" t="n">
        <v>10013495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Impairment Testing</t>
        </is>
      </c>
      <c r="B4" s="8" t="inlineStr">
        <is>
          <t>減值測試</t>
        </is>
      </c>
      <c r="C4" s="19" t="inlineStr">
        <is>
          <t>high</t>
        </is>
      </c>
      <c r="D4" s="11" t="inlineStr">
        <is>
          <t>impairment loss</t>
        </is>
      </c>
      <c r="E4" s="11" t="inlineStr">
        <is>
          <t>PDF p.9 (印刷頁 7)</t>
        </is>
      </c>
      <c r="F4" s="11" t="inlineStr">
        <is>
          <t>Management Discussion and Analysis FINANCIAL REVIEW (CONTINUED) Impairment Loss Recognised on Trade Receivables The Group recognised a net impairment loss on trade receivables of approximately HK$0.1 million in FY2026, representing a substantial decrease compared to the net impairment loss of approximately HK$2.5 million recognised in FY2025. The significant impairment loss recognised in FY2025 was primarily due to a significant trade receivables year-end bala</t>
        </is>
      </c>
    </row>
    <row r="5">
      <c r="A5" s="8" t="inlineStr">
        <is>
          <t>Impairment Testing</t>
        </is>
      </c>
      <c r="B5" s="8" t="inlineStr">
        <is>
          <t>減值測試</t>
        </is>
      </c>
      <c r="C5" s="19" t="inlineStr">
        <is>
          <t>high</t>
        </is>
      </c>
      <c r="D5" s="11" t="inlineStr">
        <is>
          <t>impairment loss</t>
        </is>
      </c>
      <c r="E5" s="11" t="inlineStr">
        <is>
          <t>PDF p.70 (印刷頁 68)</t>
        </is>
      </c>
      <c r="F5" s="11" t="inlineStr">
        <is>
          <t>ated financial statements as a whole, and in forming our opinion thereon, and we do not provide a separate opinion on these matters. Impairment loss recognised on trade receivables Refer to Note 17 to the consolidated financial statements. The Group has trade receivables of approximately HK$30,388,758 (net of allowance for expected credit losses). Provision is made for lifetime expected credit losses on trade receivables. Management applied judgement in assessing the expected credit losses. Receivables relating to customers wit</t>
        </is>
      </c>
    </row>
    <row r="6">
      <c r="A6" s="8" t="inlineStr">
        <is>
          <t>Impairment Testing</t>
        </is>
      </c>
      <c r="B6" s="8" t="inlineStr">
        <is>
          <t>減值測試</t>
        </is>
      </c>
      <c r="C6" s="19" t="inlineStr">
        <is>
          <t>high</t>
        </is>
      </c>
      <c r="D6" s="11" t="inlineStr">
        <is>
          <t>impairment loss</t>
        </is>
      </c>
      <c r="E6" s="11" t="inlineStr">
        <is>
          <t>PDF p.74 (印刷頁 72)</t>
        </is>
      </c>
      <c r="F6" s="11" t="inlineStr">
        <is>
          <t>0,439) 264,754 Distribution and selling expenses (5,098,378) (4,199,008) Administrative and other expenses (27,554,177) (25,329,748) Impairment loss recognised on trade receivables 17(b) (127,723) (2,497,080) Profit from operations 2,730,106 3,273,320 Finance cost 8(a) (1,059,810) (1,387,772) Profit before taxation 8 1,670,296 1,885,548 Income tax expense 9 (51,564) (1,208,459) Profit for the year 1,618,732 677,089 Other comprehensive income Item that may be reclassified to profit or loss: Currency translation differences 656,8</t>
        </is>
      </c>
    </row>
    <row r="7">
      <c r="A7" s="8" t="inlineStr">
        <is>
          <t>Impairment Testing</t>
        </is>
      </c>
      <c r="B7" s="8" t="inlineStr">
        <is>
          <t>減值測試</t>
        </is>
      </c>
      <c r="C7" s="19" t="inlineStr">
        <is>
          <t>high</t>
        </is>
      </c>
      <c r="D7" s="11" t="inlineStr">
        <is>
          <t>impairment loss</t>
        </is>
      </c>
      <c r="E7" s="11" t="inlineStr">
        <is>
          <t>PDF p.82 (印刷頁 80)</t>
        </is>
      </c>
      <c r="F7" s="11" t="inlineStr">
        <is>
          <t>ED) (b) Property, plant and equipment Property, plant and equipment are stated at cost less accumulated depreciation and accumulated impairment losses, if any. The cost of property, plant and equipment includes its purchase price and the costs directly attributable to the acquisition of the items. Subsequent costs are included in the asset’s carrying amount or recognised as a separate asset, as appropriate, only when it is probable that future economic benefits associated with the item will flow to the Group and the cost of the</t>
        </is>
      </c>
    </row>
    <row r="8">
      <c r="A8" s="8" t="inlineStr">
        <is>
          <t>Impairment Testing</t>
        </is>
      </c>
      <c r="B8" s="8" t="inlineStr">
        <is>
          <t>減值測試</t>
        </is>
      </c>
      <c r="C8" s="19" t="inlineStr">
        <is>
          <t>high</t>
        </is>
      </c>
      <c r="D8" s="11" t="inlineStr">
        <is>
          <t>impairment loss</t>
        </is>
      </c>
      <c r="E8" s="11" t="inlineStr">
        <is>
          <t>PDF p.83 (印刷頁 81)</t>
        </is>
      </c>
      <c r="F8" s="11" t="inlineStr">
        <is>
          <t>s are incurred to produce inventories. The Group measures the right-of-use assets at cost, less any accumulated depreciation and any impairment losses, and adjusted for any remeasurement of lease liability. Right-of-use asset is generally depreciated over the shorter of the asset’s useful life and the lease term on a straight-line basis. If the Group is reasonably certain to exercise a purchase option if so included in the lease agreement, the right-of-use asset is depreciated over the underlying asset’s useful life. Lease liab</t>
        </is>
      </c>
    </row>
    <row r="9">
      <c r="A9" s="8" t="inlineStr">
        <is>
          <t>Impairment Testing</t>
        </is>
      </c>
      <c r="B9" s="8" t="inlineStr">
        <is>
          <t>減值測試</t>
        </is>
      </c>
      <c r="C9" s="19" t="inlineStr">
        <is>
          <t>high</t>
        </is>
      </c>
      <c r="D9" s="11" t="inlineStr">
        <is>
          <t>impairment loss</t>
        </is>
      </c>
      <c r="E9" s="11" t="inlineStr">
        <is>
          <t>PDF p.84 (印刷頁 82)</t>
        </is>
      </c>
      <c r="F9" s="11" t="inlineStr">
        <is>
          <t>and losses and impairment are recognised in profit or loss. Any gain or loss on derecognition is recognised in profit or loss. (ii) Impairment loss on financial assets The Group recognises loss allowances for expected credit loss (“ECL”) on trade receivables and other financial assets measured at amortised cost. ECL is a probability-weighted estimate of credit losses. Credit losses are measured as the difference between all contractual cash flows that are due to the Group in accordance with the contract and all the cash flows</t>
        </is>
      </c>
    </row>
    <row r="10">
      <c r="A10" s="8" t="inlineStr">
        <is>
          <t>Impairment Testing</t>
        </is>
      </c>
      <c r="B10" s="8" t="inlineStr">
        <is>
          <t>減值測試</t>
        </is>
      </c>
      <c r="C10" s="19" t="inlineStr">
        <is>
          <t>high</t>
        </is>
      </c>
      <c r="D10" s="11" t="inlineStr">
        <is>
          <t>impairment loss</t>
        </is>
      </c>
      <c r="E10" s="11" t="inlineStr">
        <is>
          <t>PDF p.85 (印刷頁 83)</t>
        </is>
      </c>
      <c r="F10" s="11" t="inlineStr">
        <is>
          <t>nts For the year ended 31 March 2026 4 MATERIAL ACCOUNTING POLICY INFORMATION (CONTINUED) (e) Financial instruments (Continued) (ii) Impairment loss on financial assets (Continued) A financial asset is credit-impaired when one or more events that have a detrimental impact on the estimated future cash flows of that financial asset have occurred. Evidence that a financial asset is credit-impaired includes observable data about the following events: (a) significant financial difficulty of the issuer or the borrower; (b) a breach o</t>
        </is>
      </c>
    </row>
    <row r="11">
      <c r="A11" s="8" t="inlineStr">
        <is>
          <t>Impairment Testing</t>
        </is>
      </c>
      <c r="B11" s="8" t="inlineStr">
        <is>
          <t>減值測試</t>
        </is>
      </c>
      <c r="C11" s="19" t="inlineStr">
        <is>
          <t>high</t>
        </is>
      </c>
      <c r="D11" s="11" t="inlineStr">
        <is>
          <t>impairment loss</t>
        </is>
      </c>
      <c r="E11" s="11" t="inlineStr">
        <is>
          <t>PDF p.86 (印刷頁 84)</t>
        </is>
      </c>
      <c r="F11" s="11" t="inlineStr">
        <is>
          <t>mounts of the following assets to determine whether there is any indication that those assets have suffered an impairment loss or an impairment loss previously recognised no longer exists or may have decreased: • Investment in a subsidiary; • property, plant and equipment; • right-of-use assets; and • intangible assets When it is not possible to estimate the recoverable amount individually, the Group estimates the recoverable amount of the cash-generating unit to which the asset belongs. In testing a cash-generating unit for im</t>
        </is>
      </c>
    </row>
    <row r="12">
      <c r="A12" s="8" t="inlineStr">
        <is>
          <t>Impairment Testing</t>
        </is>
      </c>
      <c r="B12" s="8" t="inlineStr">
        <is>
          <t>減值測試</t>
        </is>
      </c>
      <c r="C12" s="19" t="inlineStr">
        <is>
          <t>high</t>
        </is>
      </c>
      <c r="D12" s="11" t="inlineStr">
        <is>
          <t>impairment loss</t>
        </is>
      </c>
      <c r="E12" s="11" t="inlineStr">
        <is>
          <t>PDF p.87 (印刷頁 85)</t>
        </is>
      </c>
      <c r="F12" s="11" t="inlineStr">
        <is>
          <t>026 4 MATERIAL ACCOUNTING POLICY INFORMATION (CONTINUED) (f) Impairment of assets (other than financial assets) (Continued) Where an impairment loss subsequently reverses, the carrying amount of the asset (or cashgenerating unit or a group of cash-generating units) is increased to the revised estimate of its recoverable amount, but so that the increased carrying amount does not exceed the carrying amount that would have been determined had no impairment loss been recognised for the asset (or a cash-generating unit or a group</t>
        </is>
      </c>
    </row>
    <row r="13">
      <c r="A13" s="8" t="inlineStr">
        <is>
          <t>Impairment Testing</t>
        </is>
      </c>
      <c r="B13" s="8" t="inlineStr">
        <is>
          <t>減值測試</t>
        </is>
      </c>
      <c r="C13" s="19" t="inlineStr">
        <is>
          <t>high</t>
        </is>
      </c>
      <c r="D13" s="11" t="inlineStr">
        <is>
          <t>impairment loss</t>
        </is>
      </c>
      <c r="E13" s="11" t="inlineStr">
        <is>
          <t>PDF p.93 (印刷頁 91)</t>
        </is>
      </c>
      <c r="F13" s="11" t="inlineStr">
        <is>
          <t>e recoverable amount of that CGU is determined using value-in-use calculation. Based on the value-in-use calculation of that CGU, no impairment loss was recognised for both years. UNIVERSE PRINTSHOP HOLDINGS LIMITED | Annual Report 2026 91</t>
        </is>
      </c>
    </row>
    <row r="14">
      <c r="A14" s="8" t="inlineStr">
        <is>
          <t>Impairment Testing</t>
        </is>
      </c>
      <c r="B14" s="8" t="inlineStr">
        <is>
          <t>減值測試</t>
        </is>
      </c>
      <c r="C14" s="19" t="inlineStr">
        <is>
          <t>high</t>
        </is>
      </c>
      <c r="D14" s="11" t="inlineStr">
        <is>
          <t>recoverable amount</t>
        </is>
      </c>
      <c r="E14" s="11" t="inlineStr">
        <is>
          <t>PDF p.94 (印刷頁 92)</t>
        </is>
      </c>
      <c r="F14" s="11" t="inlineStr">
        <is>
          <t>ation uncertainty. Future changes in the events and conditions underlying the estimates and judgement would affect the estimation of recoverable amount and may result in adjustment to the carrying amounts of the property, plant and equipment, right-of-use assets and intangible assets under the CGU. Details about the estimates used in assessing the impairment are set out in note 13. (d) Estimates of current and deferred tax Deferred taxation relating to certain deductible temporary differences and tax losses are recognised as ma</t>
        </is>
      </c>
    </row>
    <row r="15">
      <c r="A15" s="8" t="inlineStr">
        <is>
          <t>Impairment Testing</t>
        </is>
      </c>
      <c r="B15" s="8" t="inlineStr">
        <is>
          <t>減值測試</t>
        </is>
      </c>
      <c r="C15" s="19" t="inlineStr">
        <is>
          <t>high</t>
        </is>
      </c>
      <c r="D15" s="11" t="inlineStr">
        <is>
          <t>impairment loss</t>
        </is>
      </c>
      <c r="E15" s="11" t="inlineStr">
        <is>
          <t>PDF p.95 (印刷頁 93)</t>
        </is>
      </c>
      <c r="F15" s="11" t="inlineStr">
        <is>
          <t>income 15,025 Other losses (1,930,439) Distribution and selling expenses (5,098,378) Administrative and other expenses (27,554,177) Impairment loss recognised on trade receivables (127,723) Operating profit 2,730,106 Finance costs (1,059,810) Profit before income tax 1,670,296 Income tax expense (51,564) Profit for the year 1,618,732 UNIVERSE PRINTSHOP HOLDINGS LIMITED | Annual Report 2026 93</t>
        </is>
      </c>
    </row>
    <row r="16">
      <c r="A16" s="8" t="inlineStr">
        <is>
          <t>Impairment Testing</t>
        </is>
      </c>
      <c r="B16" s="8" t="inlineStr">
        <is>
          <t>減值測試</t>
        </is>
      </c>
      <c r="C16" s="19" t="inlineStr">
        <is>
          <t>high</t>
        </is>
      </c>
      <c r="D16" s="11" t="inlineStr">
        <is>
          <t>impairment loss</t>
        </is>
      </c>
      <c r="E16" s="11" t="inlineStr">
        <is>
          <t>PDF p.96 (印刷頁 94)</t>
        </is>
      </c>
      <c r="F16" s="11" t="inlineStr">
        <is>
          <t>Other income 61,438 Other gains 264,754 Distribution and selling expenses (4,199,008) Administrative and other expenses (25,329,748) Impairment loss recognised on trade receivables (2,497,080) Operating profit 3,273,320 Finance costs (1,387,772) Profit before income tax 1,885,548 Income tax expense (1,208,459) Profit for the year 677,089 Revenue by geographic location is disclosed as follows: 2026 2025 HK$ HK$ Hong Kong 61,519,665 115,473,008 Mainland China 26,533,358 35,011,009 USA 91,692,313 – Others 526,648 13,377,798 180,27</t>
        </is>
      </c>
    </row>
    <row r="17">
      <c r="A17" s="8" t="inlineStr">
        <is>
          <t>Impairment Testing</t>
        </is>
      </c>
      <c r="B17" s="8" t="inlineStr">
        <is>
          <t>減值測試</t>
        </is>
      </c>
      <c r="C17" s="19" t="inlineStr">
        <is>
          <t>high</t>
        </is>
      </c>
      <c r="D17" s="11" t="inlineStr">
        <is>
          <t>impairment loss</t>
        </is>
      </c>
      <c r="E17" s="11" t="inlineStr">
        <is>
          <t>PDF p.103 (印刷頁 101)</t>
        </is>
      </c>
      <c r="F17" s="11" t="inlineStr">
        <is>
          <t>ction and their financial impact arising are as follows: (i) reducing the annual sales growth rates to ranging from -17.3% to 3% and impairment loss of HK$1,769,000 would arise; and (ii) increasing discount rate by 1% and the recoverable amount of the CGU is still higher than its carrying value. UNIVERSE PRINTSHOP HOLDINGS LIMITED | Annual Report 2026 101</t>
        </is>
      </c>
    </row>
    <row r="18">
      <c r="A18" s="8" t="inlineStr">
        <is>
          <t>Impairment Testing</t>
        </is>
      </c>
      <c r="B18" s="8" t="inlineStr">
        <is>
          <t>減值測試</t>
        </is>
      </c>
      <c r="C18" s="19" t="inlineStr">
        <is>
          <t>high</t>
        </is>
      </c>
      <c r="D18" s="11" t="inlineStr">
        <is>
          <t>recoverable amount</t>
        </is>
      </c>
      <c r="E18" s="11" t="inlineStr">
        <is>
          <t>PDF p.104 (印刷頁 102)</t>
        </is>
      </c>
      <c r="F18" s="11" t="inlineStr">
        <is>
          <t>dication existed for the CGU engaging in provision of general printing services and performed impairment assessment for the CGU. The recoverable amount of the CGU was determined based on value-in-use calculation, which comprise cash flow projection prepared based on the financial budget approved by the management. The period covered by the financial budget is five years. Having regard to the high level of estimation uncertainty, management had considered multiple scenarios in the cash flow projection, each of which were probabi</t>
        </is>
      </c>
    </row>
    <row r="19">
      <c r="A19" s="8" t="inlineStr">
        <is>
          <t>Impairment Testing</t>
        </is>
      </c>
      <c r="B19" s="8" t="inlineStr">
        <is>
          <t>減值測試</t>
        </is>
      </c>
      <c r="C19" s="19" t="inlineStr">
        <is>
          <t>high</t>
        </is>
      </c>
      <c r="D19" s="11" t="inlineStr">
        <is>
          <t>impairment loss</t>
        </is>
      </c>
      <c r="E19" s="11" t="inlineStr">
        <is>
          <t>PDF p.108 (印刷頁 106)</t>
        </is>
      </c>
      <c r="F19" s="11" t="inlineStr">
        <is>
          <t>ceivables during the reporting period are as follows: 2026 2025 HK$ HK$ At the beginning of the reporting period 3,794,156 1,319,366 Impairment loss recognised 127,723 2,497,080 Exchange difference (106,619) (22,290) At the end of the reporting period 3,815,260 3,794,156 The Group measures impairment provision for trade receivables at the amount equal to lifetime ECLs. Further details on the Group’s credit policy and credit risk arising from trade receivables are set out in note 30(a). 106 UNIVERSE PRINTSHOP HOLDINGS LIMITED |</t>
        </is>
      </c>
    </row>
    <row r="20">
      <c r="A20" s="8" t="inlineStr">
        <is>
          <t>Impairment Testing</t>
        </is>
      </c>
      <c r="B20" s="8" t="inlineStr">
        <is>
          <t>減值測試</t>
        </is>
      </c>
      <c r="C20" s="19" t="inlineStr">
        <is>
          <t>high</t>
        </is>
      </c>
      <c r="D20" s="11" t="inlineStr">
        <is>
          <t>impairment loss</t>
        </is>
      </c>
      <c r="E20" s="11" t="inlineStr">
        <is>
          <t>PDF p.110 (印刷頁 108)</t>
        </is>
      </c>
      <c r="F20" s="11" t="inlineStr">
        <is>
          <t>termination of leases 7 45,510 – Interest income 7 (1,424) (6,089) Reversal of provision for reinstatement cost 23 (20,000) (10,000) Impairment loss recognised on trade receivables 127,723 2,497,080 Reversal of provision for long service payments 19 – (374,928) 10,847,345 12,919,732 Changes in working capital: (Increase)/Decrease in inventories (1,070,101) 556,804 Decrease/(Increase) in trade and other receivables, prepayments and deposits 16,309,371 (53,186,863) Increase/(Decrease) in amounts due from a related company 7,805,9</t>
        </is>
      </c>
    </row>
    <row r="21">
      <c r="A21" s="8" t="inlineStr">
        <is>
          <t>Intangible Assets &amp; Goodwill</t>
        </is>
      </c>
      <c r="B21" s="8" t="inlineStr">
        <is>
          <t>無形資產及商譽</t>
        </is>
      </c>
      <c r="C21" s="19" t="inlineStr">
        <is>
          <t>high</t>
        </is>
      </c>
      <c r="D21" s="11" t="inlineStr">
        <is>
          <t>intangible asset</t>
        </is>
      </c>
      <c r="E21" s="11" t="inlineStr">
        <is>
          <t>PDF p.75 (印刷頁 73)</t>
        </is>
      </c>
      <c r="F21" s="11" t="inlineStr">
        <is>
          <t>AND LIABILITIES Non-current assets Property, plant and equipment 13 3,319,567 7,036,966 Right-of-use assets 13 13,103,418 16,826,417 Intangible assets 14 786,722 856,611 Deposits paid 17 2,546,244 1,048,428 Deferred tax assets 22 211,378 300,953 19,967,329 26,069,375 Current assets Inventories 16 1,266,507 196,406 Trade and other receivables, prepayments and deposits 17 48,476,349 63,897,965 Amount due from a related company 27 – 7,580,838 Value-added tax recoverable 1,867,830 9,837,885 Cash and cash equivalents 18(a) 974,898 1</t>
        </is>
      </c>
    </row>
    <row r="22">
      <c r="A22" s="8" t="inlineStr">
        <is>
          <t>Intangible Assets &amp; Goodwill</t>
        </is>
      </c>
      <c r="B22" s="8" t="inlineStr">
        <is>
          <t>無形資產及商譽</t>
        </is>
      </c>
      <c r="C22" s="19" t="inlineStr">
        <is>
          <t>high</t>
        </is>
      </c>
      <c r="D22" s="11" t="inlineStr">
        <is>
          <t>intangible asset</t>
        </is>
      </c>
      <c r="E22" s="11" t="inlineStr">
        <is>
          <t>PDF p.78 (印刷頁 76)</t>
        </is>
      </c>
      <c r="F22" s="11" t="inlineStr">
        <is>
          <t>from investing activities Payment for the purchase of property, plant and equipment (32,600) (4,817,303) Payment for the purchase of intangible asset – (601,123) Proceeds from disposal of property, plant and equipment – 97,000 Interest received 1,424 6,089 Net cash used in investing activities (31,176) (5,315,337) Cash flows from financing activities Capital element of lease payments 18(c) (4,511,248) (9,264,521) Interest element of lease payments 18(c) (873,683) (1,387,772) Proceeds from shareholder’s loan 18(c) – 12,036,269 R</t>
        </is>
      </c>
    </row>
    <row r="23">
      <c r="A23" s="8" t="inlineStr">
        <is>
          <t>Intangible Assets &amp; Goodwill</t>
        </is>
      </c>
      <c r="B23" s="8" t="inlineStr">
        <is>
          <t>無形資產及商譽</t>
        </is>
      </c>
      <c r="C23" s="19" t="inlineStr">
        <is>
          <t>high</t>
        </is>
      </c>
      <c r="D23" s="11" t="inlineStr">
        <is>
          <t>useful life</t>
        </is>
      </c>
      <c r="E23" s="11" t="inlineStr">
        <is>
          <t>PDF p.83 (印刷頁 81)</t>
        </is>
      </c>
      <c r="F23" s="11" t="inlineStr">
        <is>
          <t>, and adjusted for any remeasurement of lease liability. Right-of-use asset is generally depreciated over the shorter of the asset’s useful life and the lease term on a straight-line basis. If the Group is reasonably certain to exercise a purchase option if so included in the lease agreement, the right-of-use asset is depreciated over the underlying asset’s useful life. Lease liability Lease liability is recognised at the present value of the lease payments that are not paid at the date of commencement of the lease. The lease p</t>
        </is>
      </c>
    </row>
    <row r="24">
      <c r="A24" s="8" t="inlineStr">
        <is>
          <t>Intangible Assets &amp; Goodwill</t>
        </is>
      </c>
      <c r="B24" s="8" t="inlineStr">
        <is>
          <t>無形資產及商譽</t>
        </is>
      </c>
      <c r="C24" s="19" t="inlineStr">
        <is>
          <t>high</t>
        </is>
      </c>
      <c r="D24" s="11" t="inlineStr">
        <is>
          <t>amortisation</t>
        </is>
      </c>
      <c r="E24" s="11" t="inlineStr">
        <is>
          <t>PDF p.85 (印刷頁 83)</t>
        </is>
      </c>
      <c r="F24" s="11" t="inlineStr">
        <is>
          <t>sed in profit or loss. Gains or losses are recognised in profit or loss when the liabilities are derecognised as well as through the amortisation process. (iv) Equity instruments Equity instruments issued by the Company are recorded at the proceeds received, net of direct issue costs. UNIVERSE PRINTSHOP HOLDINGS LIMITED | Annual Report 2026 83</t>
        </is>
      </c>
    </row>
    <row r="25">
      <c r="A25" s="8" t="inlineStr">
        <is>
          <t>Intangible Assets &amp; Goodwill</t>
        </is>
      </c>
      <c r="B25" s="8" t="inlineStr">
        <is>
          <t>無形資產及商譽</t>
        </is>
      </c>
      <c r="C25" s="19" t="inlineStr">
        <is>
          <t>high</t>
        </is>
      </c>
      <c r="D25" s="11" t="inlineStr">
        <is>
          <t>intangible asset</t>
        </is>
      </c>
      <c r="E25" s="11" t="inlineStr">
        <is>
          <t>PDF p.86 (印刷頁 84)</t>
        </is>
      </c>
      <c r="F25" s="11" t="inlineStr">
        <is>
          <t>no longer exists or may have decreased: • Investment in a subsidiary; • property, plant and equipment; • right-of-use assets; and • intangible assets When it is not possible to estimate the recoverable amount individually, the Group estimates the recoverable amount of the cash-generating unit to which the asset belongs. In testing a cash-generating unit for impairment, corporate assets are allocated to the relevant cash-generating unit when a reasonable and consistent basis of allocation can be established, or otherwise they a</t>
        </is>
      </c>
    </row>
    <row r="26">
      <c r="A26" s="8" t="inlineStr">
        <is>
          <t>Intangible Assets &amp; Goodwill</t>
        </is>
      </c>
      <c r="B26" s="8" t="inlineStr">
        <is>
          <t>無形資產及商譽</t>
        </is>
      </c>
      <c r="C26" s="19" t="inlineStr">
        <is>
          <t>high</t>
        </is>
      </c>
      <c r="D26" s="11" t="inlineStr">
        <is>
          <t>intangible asset</t>
        </is>
      </c>
      <c r="E26" s="11" t="inlineStr">
        <is>
          <t>PDF p.93 (印刷頁 91)</t>
        </is>
      </c>
      <c r="F26" s="11" t="inlineStr">
        <is>
          <t>n the Group’s trade receivables is disclosed in note 30(a). (c) Impairment of property, plant and equipment, right-of-use assets and intangible assets For the year ended 31 March 2026 and 2025, the Group has two CGUs which engage in provision of general printing services and trading of printing equipment and consumables. The directors assessed that impairment indication existed for the CGU engaging in provision of general printing services and performed impairment assessment for the CGU. Management performed impairment testing</t>
        </is>
      </c>
    </row>
    <row r="27">
      <c r="A27" s="8" t="inlineStr">
        <is>
          <t>Intangible Assets &amp; Goodwill</t>
        </is>
      </c>
      <c r="B27" s="8" t="inlineStr">
        <is>
          <t>無形資產及商譽</t>
        </is>
      </c>
      <c r="C27" s="19" t="inlineStr">
        <is>
          <t>high</t>
        </is>
      </c>
      <c r="D27" s="11" t="inlineStr">
        <is>
          <t>intangible asset</t>
        </is>
      </c>
      <c r="E27" s="11" t="inlineStr">
        <is>
          <t>PDF p.94 (印刷頁 92)</t>
        </is>
      </c>
      <c r="F27" s="11" t="inlineStr">
        <is>
          <t>D JUDGEMENTS (CONTINUED) Estimation uncertainty (Continued) (c) Impairment of property, plant and equipment, right-of-use assets and intangible assets (Continued) The cash flow projection adopted under the value-in-use calculation incorporates a number of key estimates and assumptions about future events and therefore, are subject to uncertainty and might materially differ from the actual results. In making these key estimates and judgments, the directors take into consideration assumptions that are mainly based on market condi</t>
        </is>
      </c>
    </row>
    <row r="28">
      <c r="A28" s="8" t="inlineStr">
        <is>
          <t>Intangible Assets &amp; Goodwill</t>
        </is>
      </c>
      <c r="B28" s="8" t="inlineStr">
        <is>
          <t>無形資產及商譽</t>
        </is>
      </c>
      <c r="C28" s="19" t="inlineStr">
        <is>
          <t>high</t>
        </is>
      </c>
      <c r="D28" s="11" t="inlineStr">
        <is>
          <t>intangible asset</t>
        </is>
      </c>
      <c r="E28" s="11" t="inlineStr">
        <is>
          <t>PDF p.98 (印刷頁 96)</t>
        </is>
      </c>
      <c r="F28" s="11" t="inlineStr">
        <is>
          <t>lant and equipment# (note 13) 2,136,130 1,839,785 Depreciation of right-of-use assets# (note 13) 4,111,361 5,457,759 Amortisation of intangible assets (note 14) 69,727 86,682 Short-term leases expense 980,000 1,660,602 # Cost of inventories included the amounts of HK$481,221, HK$1,767,995 and HK$3,367,969 (2025: HK$2,047,674, HK$1,346,627 and HK$4,071,853) respectively relating to staff costs, depreciation of property, plant and equipment and depreciation of right-of-use assets, which amounts are also included in the respective</t>
        </is>
      </c>
    </row>
    <row r="29">
      <c r="A29" s="8" t="inlineStr">
        <is>
          <t>Intangible Assets &amp; Goodwill</t>
        </is>
      </c>
      <c r="B29" s="8" t="inlineStr">
        <is>
          <t>無形資產及商譽</t>
        </is>
      </c>
      <c r="C29" s="19" t="inlineStr">
        <is>
          <t>high</t>
        </is>
      </c>
      <c r="D29" s="11" t="inlineStr">
        <is>
          <t>intangible asset</t>
        </is>
      </c>
      <c r="E29" s="11" t="inlineStr">
        <is>
          <t>PDF p.103 (印刷頁 101)</t>
        </is>
      </c>
      <c r="F29" s="11" t="inlineStr">
        <is>
          <t>assets and the lease liabilities recognised are disclosed in note 21. Notes: Property, plant and equipment, right-of-use assets and intangible assets are assessed for impairment at cash-generating unit (CGU) level as it was not possible to estimate the recoverable amount of the assets individually. 31 March 2025 For the year ended 31 March 2025, the Group has two CGUs which engage in provision of general printing services and trading of printing equipment and consumables. The directors assessed that impairment indication exist</t>
        </is>
      </c>
    </row>
    <row r="30">
      <c r="A30" s="8" t="inlineStr">
        <is>
          <t>Intangible Assets &amp; Goodwill</t>
        </is>
      </c>
      <c r="B30" s="8" t="inlineStr">
        <is>
          <t>無形資產及商譽</t>
        </is>
      </c>
      <c r="C30" s="19" t="inlineStr">
        <is>
          <t>high</t>
        </is>
      </c>
      <c r="D30" s="11" t="inlineStr">
        <is>
          <t>intangible asset</t>
        </is>
      </c>
      <c r="E30" s="11" t="inlineStr">
        <is>
          <t>PDF p.104 (印刷頁 102)</t>
        </is>
      </c>
      <c r="F30" s="11" t="inlineStr">
        <is>
          <t>s estimated to be higher than its carrying amount. Accordingly, no impairment provision was made for the CGU in the current year. 14 INTANGIBLE ASSETS Software HK$ Cost: At 1 April 2024 992,691 Addition 601,123 Translation difference (5,220) At 31 March 2025 and 1 April 2025 1,588,594 Translation difference (4,176) At 31 March 2026 1,584,418 Accumulated amortisation and impairment: At 1 April 2024 (645,716) Charge for the year (86,682) Translation difference 415 At 31 March and 1 April 2025 (731,983) Charge for the year (69,727</t>
        </is>
      </c>
    </row>
    <row r="31">
      <c r="A31" s="8" t="inlineStr">
        <is>
          <t>Intangible Assets &amp; Goodwill</t>
        </is>
      </c>
      <c r="B31" s="8" t="inlineStr">
        <is>
          <t>無形資產及商譽</t>
        </is>
      </c>
      <c r="C31" s="19" t="inlineStr">
        <is>
          <t>high</t>
        </is>
      </c>
      <c r="D31" s="11" t="inlineStr">
        <is>
          <t>intangible asset</t>
        </is>
      </c>
      <c r="E31" s="11" t="inlineStr">
        <is>
          <t>PDF p.110 (印刷頁 108)</t>
        </is>
      </c>
      <c r="F31" s="11" t="inlineStr">
        <is>
          <t>property, plant and equipment 8(c) 2,136,130 1,839,785 Depreciation of right-of-use assets 8(c) 4,111,361 5,457,759 Amortisation of intangible assets 8(c) 69,727 86,682 Loss on disposal of property, plant and equipment 7 1,648,212 156,123 Loss on derecognised on early termination of leases 7 45,510 – Interest income 7 (1,424) (6,089) Reversal of provision for reinstatement cost 23 (20,000) (10,000) Impairment loss recognised on trade receivables 127,723 2,497,080 Reversal of provision for long service payments 19 – (374,928) 1</t>
        </is>
      </c>
    </row>
    <row r="32">
      <c r="A32" s="8" t="inlineStr">
        <is>
          <t>Investment Properties</t>
        </is>
      </c>
      <c r="B32" s="8" t="inlineStr">
        <is>
          <t>投資物業</t>
        </is>
      </c>
      <c r="C32" s="19" t="inlineStr">
        <is>
          <t>high</t>
        </is>
      </c>
      <c r="D32" s="11" t="inlineStr">
        <is>
          <t>capitalisation rate</t>
        </is>
      </c>
      <c r="E32" s="11" t="inlineStr">
        <is>
          <t>PDF p.90 (印刷頁 88)</t>
        </is>
      </c>
      <c r="F32" s="11" t="inlineStr">
        <is>
          <t>tstanding after the related asset is ready for its intended use or sale is included in the general borrowing pool for calculation of capitalisation rate on general borrowings. Investment income earned on the temporary investment of specific borrowings pending their expenditure on qualifying assets is deducted from the borrowing costs eligible for capitalisation. All other borrowing costs are recognised in profit or loss in the period in which they are incurred. 88 UNIVERSE PRINTSHOP HOLDINGS LIMITED | Annual Report 2026</t>
        </is>
      </c>
    </row>
    <row r="33">
      <c r="A33" s="8" t="inlineStr">
        <is>
          <t>ESG Data</t>
        </is>
      </c>
      <c r="B33" s="8" t="inlineStr">
        <is>
          <t>環境社會及管治數據</t>
        </is>
      </c>
      <c r="C33" s="8" t="inlineStr">
        <is>
          <t>medium</t>
        </is>
      </c>
      <c r="D33" s="11" t="inlineStr">
        <is>
          <t>ESG</t>
        </is>
      </c>
      <c r="E33" s="11" t="inlineStr">
        <is>
          <t>PDF p.20 (印刷頁 18)</t>
        </is>
      </c>
      <c r="F33" s="11" t="inlineStr">
        <is>
          <t>artered Governance Institute respectively, a member of the Hong Kong Independent non-executive Director Association, and a Certified ESG Planner of the International Chamber of Sustainable Development. SENIOR MANAGEMENT Mr. SO Hang Fung (蘇恒峯), aged 41, joined the Group in 2018 as a financial controller. Mr. So was appointed as chief financial officer and company secretary of our Group in February 2021. He is primarily responsible for financial reporting, financial control matters and corporate secretarial matters of our Group.</t>
        </is>
      </c>
    </row>
    <row r="34">
      <c r="A34" s="8" t="inlineStr">
        <is>
          <t>ESG Data</t>
        </is>
      </c>
      <c r="B34" s="8" t="inlineStr">
        <is>
          <t>環境社會及管治數據</t>
        </is>
      </c>
      <c r="C34" s="8" t="inlineStr">
        <is>
          <t>medium</t>
        </is>
      </c>
      <c r="D34" s="11" t="inlineStr">
        <is>
          <t>ESG</t>
        </is>
      </c>
      <c r="E34" s="11" t="inlineStr">
        <is>
          <t>PDF p.50 (印刷頁 48)</t>
        </is>
      </c>
      <c r="F34" s="11" t="inlineStr">
        <is>
          <t>ur customers, employees, and the communities. REPORTING FRAMEWORK We are pleased to issue our Environmental, Social and Governance (“ESG”) report for the year ended 31 March 2026. This report is an important channel for us to communicate to our stakeholders regarding the efforts we have made and our achievement in social responsibility and sustainability. This report covers our major business activities and operations of our headquarter and our major sales and production facilities in Hong Kong. This report is prepared in accor</t>
        </is>
      </c>
    </row>
    <row r="35">
      <c r="A35" s="8" t="inlineStr">
        <is>
          <t>ESG Data</t>
        </is>
      </c>
      <c r="B35" s="8" t="inlineStr">
        <is>
          <t>環境社會及管治數據</t>
        </is>
      </c>
      <c r="C35" s="8" t="inlineStr">
        <is>
          <t>medium</t>
        </is>
      </c>
      <c r="D35" s="11" t="inlineStr">
        <is>
          <t>ESG</t>
        </is>
      </c>
      <c r="E35" s="11" t="inlineStr">
        <is>
          <t>PDF p.51 (印刷頁 49)</t>
        </is>
      </c>
      <c r="F35" s="11" t="inlineStr">
        <is>
          <t>Environmental, Social and Governance Report BOARD’S OVERSIGHT OF ESG The Group has developed its own corporate governance code (the “CG code”) according to the principles as set out in the Corporate Governance Code contained in Appendix C1 to the GEM Listing Rules. The CG code sets out the corporate governance principles applied by the Group and which is regularly reviewed to ensure transparency, accountability and independence. For details, please refer to sec</t>
        </is>
      </c>
    </row>
    <row r="36">
      <c r="A36" s="8" t="inlineStr">
        <is>
          <t>ESG Data</t>
        </is>
      </c>
      <c r="B36" s="8" t="inlineStr">
        <is>
          <t>環境社會及管治數據</t>
        </is>
      </c>
      <c r="C36" s="8" t="inlineStr">
        <is>
          <t>medium</t>
        </is>
      </c>
      <c r="D36" s="11" t="inlineStr">
        <is>
          <t>carbon</t>
        </is>
      </c>
      <c r="E36" s="11" t="inlineStr">
        <is>
          <t>PDF p.52 (印刷頁 50)</t>
        </is>
      </c>
      <c r="F36" s="11" t="inlineStr">
        <is>
          <t>hannel to our stakeholders. 3 Climate change Identifying and managing risks arising from extreme weather and the transition to a low-carbon operation. 50 UNIVERSE PRINTSHOP HOLDINGS LIMITED | Annual Report 2026</t>
        </is>
      </c>
    </row>
    <row r="37">
      <c r="A37" s="8" t="inlineStr">
        <is>
          <t>ESG Data</t>
        </is>
      </c>
      <c r="B37" s="8" t="inlineStr">
        <is>
          <t>環境社會及管治數據</t>
        </is>
      </c>
      <c r="C37" s="8" t="inlineStr">
        <is>
          <t>medium</t>
        </is>
      </c>
      <c r="D37" s="11" t="inlineStr">
        <is>
          <t>energy consumption</t>
        </is>
      </c>
      <c r="E37" s="11" t="inlineStr">
        <is>
          <t>PDF p.53 (印刷頁 51)</t>
        </is>
      </c>
      <c r="F37" s="11" t="inlineStr">
        <is>
          <t>our business model and stakeholder interests, the Group faces relatively low environmental and climate-related risks associated with energy consumption and emissions. We set our sustainability targets based on our material issues. They are: Targets 2026 progress made Our plan 1. Employment We set up a two hours in- Enhance professional Achieve 100% gender- house formal forum inviting development through regular inspecific training coverage external professional as speaker house workshops to strengthen across all staff categor</t>
        </is>
      </c>
    </row>
    <row r="38">
      <c r="A38" s="8" t="inlineStr">
        <is>
          <t>ESG Data</t>
        </is>
      </c>
      <c r="B38" s="8" t="inlineStr">
        <is>
          <t>環境社會及管治數據</t>
        </is>
      </c>
      <c r="C38" s="8" t="inlineStr">
        <is>
          <t>medium</t>
        </is>
      </c>
      <c r="D38" s="11" t="inlineStr">
        <is>
          <t>ESG</t>
        </is>
      </c>
      <c r="E38" s="11" t="inlineStr">
        <is>
          <t>PDF p.54 (印刷頁 52)</t>
        </is>
      </c>
      <c r="F38" s="11" t="inlineStr">
        <is>
          <t>pportunities affecting the Group. The Board has delegated the day-to-day monitoring and management of climate-related matters to the ESG working group. (i) Skills and competencies — The Board and the ESG working group determine whether appropriate skills and competencies are available to oversee climate-related strategies by considering the professional backgrounds, industry experience and ongoing training of their members. During the year ended 31 March 2026, all directors participated in continuous professional development se</t>
        </is>
      </c>
    </row>
    <row r="39">
      <c r="A39" s="8" t="inlineStr">
        <is>
          <t>ESG Data</t>
        </is>
      </c>
      <c r="B39" s="8" t="inlineStr">
        <is>
          <t>環境社會及管治數據</t>
        </is>
      </c>
      <c r="C39" s="8" t="inlineStr">
        <is>
          <t>medium</t>
        </is>
      </c>
      <c r="D39" s="11" t="inlineStr">
        <is>
          <t>carbon</t>
        </is>
      </c>
      <c r="E39" s="11" t="inlineStr">
        <is>
          <t>PDF p.55 (印刷頁 53)</t>
        </is>
      </c>
      <c r="F39" s="11" t="inlineStr">
        <is>
          <t>her events) is limited to temporary operational disruptions at its office premises. Transition risks associated with moving to a low-carbon economy are similarly limited, as the Group’s primary operational emissions are indirect emissions from purchased electricity consumption, which are not significant in the context of the Group’s overall financial position. Phased Approach: The Group intends to adopt a phased approach to climate-related disclosures. The Board of Directors holds ultimate oversight responsibility for climate-r</t>
        </is>
      </c>
    </row>
    <row r="40">
      <c r="A40" s="8" t="inlineStr">
        <is>
          <t>ESG Data</t>
        </is>
      </c>
      <c r="B40" s="8" t="inlineStr">
        <is>
          <t>環境社會及管治數據</t>
        </is>
      </c>
      <c r="C40" s="8" t="inlineStr">
        <is>
          <t>medium</t>
        </is>
      </c>
      <c r="D40" s="11" t="inlineStr">
        <is>
          <t>GHG emission</t>
        </is>
      </c>
      <c r="E40" s="11" t="inlineStr">
        <is>
          <t>PDF p.56 (印刷頁 54)</t>
        </is>
      </c>
      <c r="F40" s="11" t="inlineStr">
        <is>
          <t>closures: Notwithstanding the above, the Group has voluntarily disclosed the following climate-related information in this Report: • GHG emissions (Scope 1, 2 and 3) • Total energy consumption • Targets for reducing electricity consumption (5% reduction by 2035 from 2023 baseline) • Initiatives to address climate change, including technology upgrades, LED lighting replacement, electronic office workplace promotion, and remote working arrangements Assets vulnerable to climate risks – As a service-based company with no physical a</t>
        </is>
      </c>
    </row>
    <row r="41">
      <c r="A41" s="8" t="inlineStr">
        <is>
          <t>ESG Data</t>
        </is>
      </c>
      <c r="B41" s="8" t="inlineStr">
        <is>
          <t>環境社會及管治數據</t>
        </is>
      </c>
      <c r="C41" s="8" t="inlineStr">
        <is>
          <t>medium</t>
        </is>
      </c>
      <c r="D41" s="11" t="inlineStr">
        <is>
          <t>greenhouse gas</t>
        </is>
      </c>
      <c r="E41" s="11" t="inlineStr">
        <is>
          <t>PDF p.64 (印刷頁 62)</t>
        </is>
      </c>
      <c r="F41" s="11" t="inlineStr">
        <is>
          <t>) to minimise consumption and enhance overall efficiency. Our major environmental impact on the environment and natural resources is greenhouse gas (“GHG”) emissions which was mainly attributable to the consumption of electricity and paper. The related KPIs are presented in the section headed “ENVIRONMENTAL KEY PERFORMANCE INDICATORS”. Electricity consumption accounts for a major part of our GHG emissions. To reduce our carbon footprint and energy usage to achieve the targets, we have implemented the following measures: • Remin</t>
        </is>
      </c>
    </row>
    <row r="42">
      <c r="A42" s="8" t="inlineStr">
        <is>
          <t>ESG Data</t>
        </is>
      </c>
      <c r="B42" s="8" t="inlineStr">
        <is>
          <t>環境社會及管治數據</t>
        </is>
      </c>
      <c r="C42" s="8" t="inlineStr">
        <is>
          <t>medium</t>
        </is>
      </c>
      <c r="D42" s="11" t="inlineStr">
        <is>
          <t>carbon</t>
        </is>
      </c>
      <c r="E42" s="11" t="inlineStr">
        <is>
          <t>PDF p.65 (印刷頁 63)</t>
        </is>
      </c>
      <c r="F42" s="11" t="inlineStr">
        <is>
          <t>market changes to address mitigation and adaptation requirements related to climate change in the course of transitioning to a lower-carbon economy. There are four sub-risks, namely Policy and Legal Risks, Technology Risk, Market Risk and Reputation Risk. 2. Physical risks that may have financial implications for the Group, such as direct damage to assets and indirect impacts from supply chain disruption, which can be driven by acute events (“Acute Events”) or longer-term chronic shifts (“Chronic Shift”) in climate patterns. UN</t>
        </is>
      </c>
    </row>
    <row r="43">
      <c r="A43" s="8" t="inlineStr">
        <is>
          <t>ESG Data</t>
        </is>
      </c>
      <c r="B43" s="8" t="inlineStr">
        <is>
          <t>環境社會及管治數據</t>
        </is>
      </c>
      <c r="C43" s="8" t="inlineStr">
        <is>
          <t>medium</t>
        </is>
      </c>
      <c r="D43" s="11" t="inlineStr">
        <is>
          <t>ESG</t>
        </is>
      </c>
      <c r="E43" s="11" t="inlineStr">
        <is>
          <t>PDF p.66 (印刷頁 64)</t>
        </is>
      </c>
      <c r="F43" s="11" t="inlineStr">
        <is>
          <t>change-related risks and opportunities of the Group is considered low. Climate Change impact assessment The board has instructed the ESG Working Committee to perform an assessment on the climate-changerelated risks and opportunities of the Group. The following table presents the summary of the Group’s assessment. Climate-related risks and Potential financial impacts Type opportunities Our measures or approach when risks are realised Policy and Legal The Group is of the view that there Possible – are no regulatory or market po</t>
        </is>
      </c>
    </row>
    <row r="44">
      <c r="A44" s="8" t="inlineStr">
        <is>
          <t>ESG Data</t>
        </is>
      </c>
      <c r="B44" s="8" t="inlineStr">
        <is>
          <t>環境社會及管治數據</t>
        </is>
      </c>
      <c r="C44" s="8" t="inlineStr">
        <is>
          <t>medium</t>
        </is>
      </c>
      <c r="D44" s="11" t="inlineStr">
        <is>
          <t>greenhouse gas</t>
        </is>
      </c>
      <c r="E44" s="11" t="inlineStr">
        <is>
          <t>PDF p.68 (印刷頁 66)</t>
        </is>
      </c>
      <c r="F44" s="11" t="inlineStr">
        <is>
          <t>Type Indicator 2025 2026 Intensity5 Direct emissions – Scope 12 NA 12 0.06 (tonnes CO2) Indirect emissions – Scope 22 3.42 431 2.06 Greenhouse gas2 (tonnes CO2) Indirect emissions – Scope 33 0.04 2 0.01 (tonnes CO2) Total GHG Emissions (tonnes CO2) 2.18 445 2.13 2026 Major resource consumed Unit 2025 2026 Intensity5 Paper Kg N/A 471.52 2.25 Electricity kWh 4,884.15 683,721.00 3,268 Diesel Oil Liter N/A 4,546,299.00 21,732 Notes to above table: 1 GHG emissions data is presented in terms of carbon dioxide equivalent and are base</t>
        </is>
      </c>
    </row>
    <row r="45">
      <c r="A45" s="8" t="inlineStr">
        <is>
          <t>ESG Data</t>
        </is>
      </c>
      <c r="B45" s="8" t="inlineStr">
        <is>
          <t>環境社會及管治數據</t>
        </is>
      </c>
      <c r="C45" s="8" t="inlineStr">
        <is>
          <t>medium</t>
        </is>
      </c>
      <c r="D45" s="11" t="inlineStr">
        <is>
          <t>ESG</t>
        </is>
      </c>
      <c r="E45" s="11" t="inlineStr">
        <is>
          <t>PDF p.105 (印刷頁 103)</t>
        </is>
      </c>
      <c r="F45" s="11" t="inlineStr">
        <is>
          <t>0 60% – 60% Provision of printing Limited limited liability shares of services and solutions company HK$10,000 in Hong Kong Universe ESG Solutions Limited Hong Kong, 10,000 100% – 100% Investment holding in limited liability shares of (2025: –) (2025: –) Hong Kong company HK$10,000 Universe Supply Chain (Hong Kong) Hong Kong 10,000 100% – 100% Trading of printing Limited limited liability shares of (2025: –) (2025: –) products in Hong company HK$10,000 Kong 雲集數科（重慶）企業管理有限公司 People’s – 100% – 100% Investment holding in Republic</t>
        </is>
      </c>
    </row>
    <row r="46">
      <c r="A46" s="8" t="inlineStr">
        <is>
          <t>Segment Information</t>
        </is>
      </c>
      <c r="B46" s="8" t="inlineStr">
        <is>
          <t>分部資料</t>
        </is>
      </c>
      <c r="C46" s="8" t="inlineStr">
        <is>
          <t>medium</t>
        </is>
      </c>
      <c r="D46" s="11" t="inlineStr">
        <is>
          <t>geographical</t>
        </is>
      </c>
      <c r="E46" s="11" t="inlineStr">
        <is>
          <t>PDF p.57 (印刷頁 55)</t>
        </is>
      </c>
      <c r="F46" s="11" t="inlineStr">
        <is>
          <t>base for each major type of key raw materials. The breakdown of our suppliers for the Reporting Period are as follows: Breakdown by geographical region No. of suppliers Hong Kong 6 Guangdong 1 Taiwan 1 All of the above 8 suppliers are subject to relevant supply chain policies and practices relating to engaging suppliers mentioned in the section headed “Supply chain management” and this section headed “Product quality management”. Intellectual property We protect intellectual property rights, and strictly abides by the Copyrigh</t>
        </is>
      </c>
    </row>
    <row r="47">
      <c r="A47" s="8" t="inlineStr">
        <is>
          <t>Segment Information</t>
        </is>
      </c>
      <c r="B47" s="8" t="inlineStr">
        <is>
          <t>分部資料</t>
        </is>
      </c>
      <c r="C47" s="8" t="inlineStr">
        <is>
          <t>medium</t>
        </is>
      </c>
      <c r="D47" s="11" t="inlineStr">
        <is>
          <t>geographical</t>
        </is>
      </c>
      <c r="E47" s="11" t="inlineStr">
        <is>
          <t>PDF p.67 (印刷頁 65)</t>
        </is>
      </c>
      <c r="F47" s="11" t="inlineStr">
        <is>
          <t>21 26 By age group Below 30 years old 4 1 30 to 50 years old 25 41 Above 50 years old 10 9 By ranking Management 8 18 Staff 31 33 By geographical region Hong Kong 29 29 Mainland China 10 22 Note 1 employees here refer to regular staff with employment contractual relationship with the Group. Employee turnover rate1 2025 2026 General turnover rate 64% 45% By gender Female 43% 38% Male 89% 52% By age group Aged 50 or above 25% 22% Between 30 and 49 64% 37% Between 18 and 29 10% 600% By ranking Management 0% 35% Staff 64% 58% By ge</t>
        </is>
      </c>
    </row>
    <row r="48">
      <c r="A48" s="8" t="inlineStr">
        <is>
          <t>Segment Information</t>
        </is>
      </c>
      <c r="B48" s="8" t="inlineStr">
        <is>
          <t>分部資料</t>
        </is>
      </c>
      <c r="C48" s="8" t="inlineStr">
        <is>
          <t>medium</t>
        </is>
      </c>
      <c r="D48" s="11" t="inlineStr">
        <is>
          <t>segment information</t>
        </is>
      </c>
      <c r="E48" s="11" t="inlineStr">
        <is>
          <t>PDF p.95 (印刷頁 93)</t>
        </is>
      </c>
      <c r="F48" s="11" t="inlineStr">
        <is>
          <t>Notes to the Financial Statements For the year ended 31 March 2026 6 REVENUE AND SEGMENT REPORTING (CONTINUED) (b) Segment reporting Segment information represents those information reported to the Group’s executive Directors who are the chief operating decision makers (the “CODM”) for the purposes of resources allocation and assessment of performance. The CODM reviews the Group’s internal reporting in order to assess performance and allocate resources. Management has determined the operating segments based on these reports. Pr</t>
        </is>
      </c>
    </row>
    <row r="49">
      <c r="A49" s="8" t="inlineStr">
        <is>
          <t>Share-based Payment</t>
        </is>
      </c>
      <c r="B49" s="8" t="inlineStr">
        <is>
          <t>以股份為基礎的付款</t>
        </is>
      </c>
      <c r="C49" s="8" t="inlineStr">
        <is>
          <t>medium</t>
        </is>
      </c>
      <c r="D49" s="11" t="inlineStr">
        <is>
          <t>share option</t>
        </is>
      </c>
      <c r="E49" s="11" t="inlineStr">
        <is>
          <t>PDF p.21 (印刷頁 19)</t>
        </is>
      </c>
      <c r="F49" s="11" t="inlineStr">
        <is>
          <t>n (as defined therein) and Capital Reduction (as defined therein). EQUITY-LINKED AGREEMENTS Save as disclosed in the section headed “Share Option Scheme”, no equity-linked agreements were entered into by the Company at any time during the year ended 31 March 2026 or subsisted at the end of the year. DISTRIBUTABLE RESERVES As at 31 March 2026, the Company did not have any reserve available for distribution. UNIVERSE PRINTSHOP HOLDINGS LIMITED | Annual Report 2026 19</t>
        </is>
      </c>
    </row>
    <row r="50">
      <c r="A50" s="8" t="inlineStr">
        <is>
          <t>Share-based Payment</t>
        </is>
      </c>
      <c r="B50" s="8" t="inlineStr">
        <is>
          <t>以股份為基礎的付款</t>
        </is>
      </c>
      <c r="C50" s="8" t="inlineStr">
        <is>
          <t>medium</t>
        </is>
      </c>
      <c r="D50" s="11" t="inlineStr">
        <is>
          <t>share option</t>
        </is>
      </c>
      <c r="E50" s="11" t="inlineStr">
        <is>
          <t>PDF p.22 (印刷頁 20)</t>
        </is>
      </c>
      <c r="F50" s="11" t="inlineStr">
        <is>
          <t>d any of the Company’s listed securities (including sale of treasury share, if any) during FY2026 and up to the date of this report. SHARE OPTION SCHEME The Company adopted a share option scheme by written resolutions of shareholders passed on 26 February 2018. The purpose of the share option scheme is to attract and retain the best available personnel, to provide additional incentive to employees (full-time and part-time), directors, consultants, advisers, distributors, contractors, suppliers, agents, customers, business partn</t>
        </is>
      </c>
    </row>
    <row r="51">
      <c r="A51" s="8" t="inlineStr">
        <is>
          <t>Share-based Payment</t>
        </is>
      </c>
      <c r="B51" s="8" t="inlineStr">
        <is>
          <t>以股份為基礎的付款</t>
        </is>
      </c>
      <c r="C51" s="8" t="inlineStr">
        <is>
          <t>medium</t>
        </is>
      </c>
      <c r="D51" s="11" t="inlineStr">
        <is>
          <t>share option</t>
        </is>
      </c>
      <c r="E51" s="11" t="inlineStr">
        <is>
          <t>PDF p.23 (印刷頁 21)</t>
        </is>
      </c>
      <c r="F51" s="11" t="inlineStr">
        <is>
          <t>Directors’ Report SHARE OPTION SCHEME (CONTINUED) The Board may, at its absolute discretion and on such terms as it may think fit, grant any employee (fulltime or part-time), director, consultant or adviser of the Group, or any substantial shareholder of the Group, or any distributor, contractor, supplier, agent, customer, business partner or service provider of the Group, options to subscribe for such number of</t>
        </is>
      </c>
    </row>
    <row r="52">
      <c r="A52" s="8" t="inlineStr">
        <is>
          <t>Share-based Payment</t>
        </is>
      </c>
      <c r="B52" s="8" t="inlineStr">
        <is>
          <t>以股份為基礎的付款</t>
        </is>
      </c>
      <c r="C52" s="8" t="inlineStr">
        <is>
          <t>medium</t>
        </is>
      </c>
      <c r="D52" s="11" t="inlineStr">
        <is>
          <t>share option</t>
        </is>
      </c>
      <c r="E52" s="11" t="inlineStr">
        <is>
          <t>PDF p.41 (印刷頁 39)</t>
        </is>
      </c>
      <c r="F52" s="11" t="inlineStr">
        <is>
          <t>of the service contracts of executive Directors. During the year ended 31 March 2026, there were no material matters relating to the share option scheme of the Company which required review or approval by the Remuneration Committee. The attendance of each member of the Remuneration Committee at the Remuneration Committee meeting during the year ended 31 March 2026 is as follows: Number of attendance/ Director Number of meetings Mr. Ho Kar Ming (Chairman) 1/1 Mr. Wong Chun Kwok (ceased to be a member from 2 October 2025) 1/1 Mr.</t>
        </is>
      </c>
    </row>
    <row r="53">
      <c r="A53" s="8" t="inlineStr">
        <is>
          <t>Share-based Payment</t>
        </is>
      </c>
      <c r="B53" s="8" t="inlineStr">
        <is>
          <t>以股份為基礎的付款</t>
        </is>
      </c>
      <c r="C53" s="8" t="inlineStr">
        <is>
          <t>medium</t>
        </is>
      </c>
      <c r="D53" s="11" t="inlineStr">
        <is>
          <t>share option</t>
        </is>
      </c>
      <c r="E53" s="11" t="inlineStr">
        <is>
          <t>PDF p.125 (印刷頁 123)</t>
        </is>
      </c>
      <c r="F53" s="11" t="inlineStr">
        <is>
          <t>Notes to the Financial Statements For the year ended 31 March 2026 33 SHARE OPTION SCHEME The Company adopted a share option scheme by written resolutions of shareholders passed on 26 February 2018. The purpose of the share option scheme is to attract and retain the best available personnel, to provide additional incentive to employees (full-time and part-time), directors, consultants, advisers, distributors, contractors, suppliers, agents, customers, business partn</t>
        </is>
      </c>
    </row>
    <row r="54">
      <c r="A54" s="8" t="inlineStr">
        <is>
          <t>Related Party Transactions</t>
        </is>
      </c>
      <c r="B54" s="8" t="inlineStr">
        <is>
          <t>關聯方交易</t>
        </is>
      </c>
      <c r="C54" s="8" t="inlineStr">
        <is>
          <t>low</t>
        </is>
      </c>
      <c r="D54" s="11" t="inlineStr">
        <is>
          <t>connected transaction</t>
        </is>
      </c>
      <c r="E54" s="11" t="inlineStr">
        <is>
          <t>PDF p.8 (印刷頁 6)</t>
        </is>
      </c>
      <c r="F54" s="11" t="inlineStr">
        <is>
          <t>was mainly attributable to a significant increase in legal and professional fees incurred in connection with the Group’s continuing connected transactions and response to the recent mandatory cash offer by Digital Intelligence Holdings Limited as detailed in the section headed “Directors’ Report – Unconditional Mandatory Cash Offer” in this report and an increase in staff costs resulting from the overall growth of the business. 6 UNIVERSE PRINTSHOP HOLDINGS LIMITED | Annual Report 2026</t>
        </is>
      </c>
    </row>
    <row r="55">
      <c r="A55" s="8" t="inlineStr">
        <is>
          <t>Related Party Transactions</t>
        </is>
      </c>
      <c r="B55" s="8" t="inlineStr">
        <is>
          <t>關聯方交易</t>
        </is>
      </c>
      <c r="C55" s="8" t="inlineStr">
        <is>
          <t>low</t>
        </is>
      </c>
      <c r="D55" s="11" t="inlineStr">
        <is>
          <t>connected transaction</t>
        </is>
      </c>
      <c r="E55" s="11" t="inlineStr">
        <is>
          <t>PDF p.9 (印刷頁 7)</t>
        </is>
      </c>
      <c r="F55" s="11" t="inlineStr">
        <is>
          <t>and (ii) An increase in one-off legal and professional fees of approximately HK$1.2 million, incurred in connection with continuing connected transactions and the mandatory cash offer. UNIVERSE PRINTSHOP HOLDINGS LIMITED | Annual Report 2026 7</t>
        </is>
      </c>
    </row>
    <row r="56">
      <c r="A56" s="8" t="inlineStr">
        <is>
          <t>Related Party Transactions</t>
        </is>
      </c>
      <c r="B56" s="8" t="inlineStr">
        <is>
          <t>關聯方交易</t>
        </is>
      </c>
      <c r="C56" s="8" t="inlineStr">
        <is>
          <t>low</t>
        </is>
      </c>
      <c r="D56" s="11" t="inlineStr">
        <is>
          <t>related party</t>
        </is>
      </c>
      <c r="E56" s="11" t="inlineStr">
        <is>
          <t>PDF p.24 (印刷頁 22)</t>
        </is>
      </c>
      <c r="F56" s="11" t="inlineStr">
        <is>
          <t>tory compensation. DIRECTORS’ MATERIAL INTERESTS IN TRANSACTIONS, ARRANGEMENTS AND CONTRACTS OF SIGNIFICANCE Other than the material related party transaction disclosed in Note 32 to the consolidated financial statements, there were no transactions, arrangements and contracts of significance to which the Group was a party nor in which a Director or an entity connected with a Director had a material interest, whether directly or indirectly, subsisted at the end of the year or at anytime during the year ended 31 March 2026. 22 UN</t>
        </is>
      </c>
    </row>
    <row r="57">
      <c r="A57" s="8" t="inlineStr">
        <is>
          <t>Related Party Transactions</t>
        </is>
      </c>
      <c r="B57" s="8" t="inlineStr">
        <is>
          <t>關聯方交易</t>
        </is>
      </c>
      <c r="C57" s="8" t="inlineStr">
        <is>
          <t>low</t>
        </is>
      </c>
      <c r="D57" s="11" t="inlineStr">
        <is>
          <t>related party</t>
        </is>
      </c>
      <c r="E57" s="11" t="inlineStr">
        <is>
          <t>PDF p.25 (印刷頁 23)</t>
        </is>
      </c>
      <c r="F57" s="11" t="inlineStr">
        <is>
          <t>Directors’ Report CONTROLLING SHAREHOLDERS’ INTERESTS IN CONTRACTS OF SIGNIFICANCE Other than the material related party transaction disclosed in Note 32 to the consolidated financial statements and the section headed “Connected Transactions” below which relate to transaction entered into with related entity of Mr. Lam Shing Tai (a former controlling shareholder of the Company), neither the Company nor any of its subsidiaries had entered into any contract of significance with the Company’s controlling</t>
        </is>
      </c>
    </row>
    <row r="58">
      <c r="A58" s="8" t="inlineStr">
        <is>
          <t>Related Party Transactions</t>
        </is>
      </c>
      <c r="B58" s="8" t="inlineStr">
        <is>
          <t>關聯方交易</t>
        </is>
      </c>
      <c r="C58" s="8" t="inlineStr">
        <is>
          <t>low</t>
        </is>
      </c>
      <c r="D58" s="11" t="inlineStr">
        <is>
          <t>related party</t>
        </is>
      </c>
      <c r="E58" s="11" t="inlineStr">
        <is>
          <t>PDF p.30 (印刷頁 28)</t>
        </is>
      </c>
      <c r="F58" s="11" t="inlineStr">
        <is>
          <t>duction capacity, financial capability and experience. The Group views suppliers as partners who contribute to our business success. RELATED PARTY TRANSACTIONS A summary of the material related party transactions which were conducted in the ordinary course of business are set out in Note 32 to the consolidated financial statements. Save as disclosed below under the section headed “Directors’ Report – Connected Transactions” in this report, none of these related party transactions constitute a discloseable connected transactions</t>
        </is>
      </c>
    </row>
    <row r="59">
      <c r="A59" s="8" t="inlineStr">
        <is>
          <t>Related Party Transactions</t>
        </is>
      </c>
      <c r="B59" s="8" t="inlineStr">
        <is>
          <t>關聯方交易</t>
        </is>
      </c>
      <c r="C59" s="8" t="inlineStr">
        <is>
          <t>low</t>
        </is>
      </c>
      <c r="D59" s="11" t="inlineStr">
        <is>
          <t>connected transaction</t>
        </is>
      </c>
      <c r="E59" s="11" t="inlineStr">
        <is>
          <t>PDF p.31 (印刷頁 29)</t>
        </is>
      </c>
      <c r="F59" s="11" t="inlineStr">
        <is>
          <t>r the three financial years ending 31 March 2028. As the completion of the Acquisition took place after 31 March 2026, no continuing connected transactions were conducted by the Group under the Framework Agreement during the year ended 31 March 2026. For details, please refer to section headed “Directors’ Report – Events after the reporting period” in this report. Save as disclosed above, during the year ended 31 March 2026, there were no other connected transactions or continuing connected transactions of the Company under Cha</t>
        </is>
      </c>
    </row>
    <row r="60">
      <c r="A60" s="8" t="inlineStr">
        <is>
          <t>Related Party Transactions</t>
        </is>
      </c>
      <c r="B60" s="8" t="inlineStr">
        <is>
          <t>關聯方交易</t>
        </is>
      </c>
      <c r="C60" s="8" t="inlineStr">
        <is>
          <t>low</t>
        </is>
      </c>
      <c r="D60" s="11" t="inlineStr">
        <is>
          <t>connected transaction</t>
        </is>
      </c>
      <c r="E60" s="11" t="inlineStr">
        <is>
          <t>PDF p.33 (印刷頁 31)</t>
        </is>
      </c>
      <c r="F60" s="11" t="inlineStr">
        <is>
          <t>n PE in relation to the procurement of printing services by the Group from the Target Group since 3 April 2026 constitute continuing connected transactions for the Company. For further details, please refer to the section headed “Directors’ Report – Connected transactions” in this report, the announcement of the Company dated 5 December 2025 and the circular of the Company dated 16 January 2026. Save as disclosed in the “Directors’ Report” of this report, the Board is not aware of any events after the reporting period that requ</t>
        </is>
      </c>
    </row>
    <row r="61">
      <c r="A61" s="8" t="inlineStr">
        <is>
          <t>Related Party Transactions</t>
        </is>
      </c>
      <c r="B61" s="8" t="inlineStr">
        <is>
          <t>關聯方交易</t>
        </is>
      </c>
      <c r="C61" s="8" t="inlineStr">
        <is>
          <t>low</t>
        </is>
      </c>
      <c r="D61" s="11" t="inlineStr">
        <is>
          <t>related party</t>
        </is>
      </c>
      <c r="E61" s="11" t="inlineStr">
        <is>
          <t>PDF p.124 (印刷頁 122)</t>
        </is>
      </c>
      <c r="F61" s="11" t="inlineStr">
        <is>
          <t>L COMMITMENTS As at 31 March 2026, the Group does not have material capital commitments that have not been disclosed (2025: nil). 32 RELATED PARTY TRANSACTIONS In addition to the transactions and balances disclosed elsewhere in these consolidated financial statements, the Group entered into the following material related party transactions. (a) Key management personnel remuneration All members of key management personnel are the directors of the Group and their remuneration is disclosed in note 10. (b) Transactions with related</t>
        </is>
      </c>
    </row>
    <row r="62">
      <c r="A62" s="8" t="inlineStr">
        <is>
          <t>Related Party Transactions</t>
        </is>
      </c>
      <c r="B62" s="8" t="inlineStr">
        <is>
          <t>關聯方交易</t>
        </is>
      </c>
      <c r="C62" s="8" t="inlineStr">
        <is>
          <t>low</t>
        </is>
      </c>
      <c r="D62" s="11" t="inlineStr">
        <is>
          <t>connected transaction</t>
        </is>
      </c>
      <c r="E62" s="11" t="inlineStr">
        <is>
          <t>PDF p.127 (印刷頁 125)</t>
        </is>
      </c>
      <c r="F62" s="11" t="inlineStr">
        <is>
          <t>n PE in relation to the procurement of printing services by the Group from the Target Group since 3 April 2026 constitute continuing connected transactions. For further details, please refer to announcements of the Company dated 5 December 2025 and 15 January 2026. 37 COMPARATIVE FIGURES Certain comparative figures have been adjusted to conform to current year’s presentation and to provide comparative amounts in respect of items disclosed. UNIVERSE PRINTSHOP HOLDINGS LIMITED | Annual Report 2026 125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0"/>
  <sheetViews>
    <sheetView workbookViewId="0">
      <pane ySplit="19" topLeftCell="A20"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Balance Sheet</t>
        </is>
      </c>
      <c r="B8" s="8" t="inlineStr">
        <is>
          <t>Total Assets</t>
        </is>
      </c>
    </row>
    <row r="9">
      <c r="A9" s="8" t="inlineStr">
        <is>
          <t>Balance Sheet</t>
        </is>
      </c>
      <c r="B9" s="8" t="inlineStr">
        <is>
          <t>Goodwill</t>
        </is>
      </c>
    </row>
    <row r="10">
      <c r="A10" s="8" t="inlineStr">
        <is>
          <t>Balance Sheet</t>
        </is>
      </c>
      <c r="B10" s="8" t="inlineStr">
        <is>
          <t>Investment Properties</t>
        </is>
      </c>
    </row>
    <row r="11">
      <c r="A11" s="8" t="inlineStr">
        <is>
          <t>Balance Sheet</t>
        </is>
      </c>
      <c r="B11" s="8" t="inlineStr">
        <is>
          <t>Total Liabilities</t>
        </is>
      </c>
    </row>
    <row r="12">
      <c r="A12" s="8" t="inlineStr">
        <is>
          <t>Balance Sheet</t>
        </is>
      </c>
      <c r="B12" s="8" t="inlineStr">
        <is>
          <t>Borrowings</t>
        </is>
      </c>
    </row>
    <row r="13">
      <c r="A13" s="8" t="inlineStr">
        <is>
          <t>Cash Flow</t>
        </is>
      </c>
      <c r="B13" s="8" t="inlineStr">
        <is>
          <t>Capital Expenditure</t>
        </is>
      </c>
    </row>
    <row r="16">
      <c r="A16" s="5" t="inlineStr">
        <is>
          <t>二、文字量過低的頁面(疑似掃描頁)</t>
        </is>
      </c>
    </row>
    <row r="17">
      <c r="A17" s="2" t="inlineStr">
        <is>
          <t>這些頁面幾乎抓不到文字,通常是掃描件或純圖表,建議人手翻閱或另行 OCR。</t>
        </is>
      </c>
    </row>
    <row r="19">
      <c r="A19" s="7" t="inlineStr">
        <is>
          <t>PDF 頁碼</t>
        </is>
      </c>
      <c r="B19" s="7" t="inlineStr">
        <is>
          <t>狀態</t>
        </is>
      </c>
    </row>
    <row r="20">
      <c r="A20" s="8" t="n">
        <v>1</v>
      </c>
      <c r="B20"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2026-08-30T14:17:11Z</dcterms:created>
  <dcterms:modified xsi:type="dcterms:W3CDTF">2026-08-30T14:17:11Z</dcterms:modified>
</cp:coreProperties>
</file>
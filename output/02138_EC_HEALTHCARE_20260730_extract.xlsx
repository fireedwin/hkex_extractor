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5">
    <fill>
      <patternFill/>
    </fill>
    <fill>
      <patternFill patternType="gray125"/>
    </fill>
    <fill>
      <patternFill patternType="solid">
        <fgColor rgb="001F4E5F"/>
      </patternFill>
    </fill>
    <fill>
      <patternFill patternType="solid">
        <fgColor rgb="00FFF2CC"/>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0" fontId="4" fillId="3"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趨勢圖'!$A$5:$A$8</f>
            </numRef>
          </cat>
          <val>
            <numRef>
              <f>'Chart 趨勢圖'!$B$5:$B$8</f>
            </numRef>
          </val>
        </ser>
        <ser>
          <idx val="1"/>
          <order val="1"/>
          <tx>
            <strRef>
              <f>'Chart 趨勢圖'!C4</f>
            </strRef>
          </tx>
          <spPr>
            <a:ln>
              <a:prstDash val="solid"/>
            </a:ln>
          </spPr>
          <cat>
            <numRef>
              <f>'Chart 趨勢圖'!$A$5:$A$8</f>
            </numRef>
          </cat>
          <val>
            <numRef>
              <f>'Chart 趨勢圖'!$C$5:$C$8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02138_EC_HEALTHCARE_20260730.pdf</t>
        </is>
      </c>
    </row>
    <row r="5">
      <c r="A5" s="3" t="inlineStr">
        <is>
          <t>產生時間 Generated</t>
        </is>
      </c>
      <c r="B5" s="4" t="inlineStr">
        <is>
          <t>2026-08-30 22:15</t>
        </is>
      </c>
    </row>
    <row r="6">
      <c r="A6" s="4" t="inlineStr"/>
      <c r="B6" s="4" t="inlineStr"/>
    </row>
    <row r="7">
      <c r="A7" s="3" t="inlineStr">
        <is>
          <t>總頁數 Total pages</t>
        </is>
      </c>
      <c r="B7" s="4" t="n">
        <v>304</v>
      </c>
    </row>
    <row r="8">
      <c r="A8" s="3" t="inlineStr">
        <is>
          <t>已擷取字元 Characters extracted</t>
        </is>
      </c>
      <c r="B8" s="4" t="n">
        <v>623546</v>
      </c>
    </row>
    <row r="9">
      <c r="A9" s="3" t="inlineStr">
        <is>
          <t>含表格頁數 Pages with tables</t>
        </is>
      </c>
      <c r="B9" s="4" t="n">
        <v>0</v>
      </c>
    </row>
    <row r="10">
      <c r="A10" s="3" t="inlineStr">
        <is>
          <t>需人手/OCR 頁數 Pages needing OCR</t>
        </is>
      </c>
      <c r="B10" s="4" t="n">
        <v>2</v>
      </c>
    </row>
    <row r="11">
      <c r="A11" s="4" t="inlineStr"/>
      <c r="B11" s="4" t="inlineStr"/>
    </row>
    <row r="12">
      <c r="A12" s="3" t="inlineStr">
        <is>
          <t>估值參數擷取筆數 Valuation parameters</t>
        </is>
      </c>
      <c r="B12" s="4" t="n">
        <v>9</v>
      </c>
    </row>
    <row r="13">
      <c r="A13" s="3" t="inlineStr">
        <is>
          <t>財務科目擷取筆數 Financial line items</t>
        </is>
      </c>
      <c r="B13" s="4" t="n">
        <v>20</v>
      </c>
    </row>
    <row r="14">
      <c r="A14" s="3" t="inlineStr">
        <is>
          <t>主題段落擷取筆數 Topic extracts</t>
        </is>
      </c>
      <c r="B14" s="4" t="n">
        <v>181</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1,658,755 − 1,762,025 = -103,270</t>
        </is>
      </c>
    </row>
    <row r="20">
      <c r="A20" s="6" t="inlineStr">
        <is>
          <t>✓ 除稅前溢利 ± 稅項 = 年內溢利</t>
        </is>
      </c>
      <c r="B20" s="4" t="inlineStr">
        <is>
          <t>-410,161 + 2,706 = -412,867 vs -412,867</t>
        </is>
      </c>
    </row>
    <row r="21">
      <c r="A21" s="6" t="inlineStr">
        <is>
          <t>✓ 三大報表應相鄰</t>
        </is>
      </c>
      <c r="B21" s="4" t="inlineStr">
        <is>
          <t>Income Statement: p.120、Balance Sheet: p.122、Cash Flow: p.125(相距 5 頁)</t>
        </is>
      </c>
    </row>
    <row r="23">
      <c r="A23" s="5" t="inlineStr">
        <is>
          <t>方法論 Methodology</t>
        </is>
      </c>
    </row>
    <row r="24">
      <c r="A24" s="4" t="inlineStr">
        <is>
          <t>1. 逐頁擷取文字,全程保留 PDF 頁碼與年報印刷頁碼(可追溯性)。</t>
        </is>
      </c>
    </row>
    <row r="25">
      <c r="A25" s="4" t="inlineStr">
        <is>
          <t>2. 規則層(正則/關鍵字)先把全份文件縮減為少數相關頁面 —— 解決「文件太大」。</t>
        </is>
      </c>
    </row>
    <row r="26">
      <c r="A26" s="4" t="inlineStr">
        <is>
          <t>3. 數字由正則精確擷取並做合理性檢查,不由語言模型生成 —— 解決「準確度」。</t>
        </is>
      </c>
    </row>
    <row r="27">
      <c r="A27" s="4" t="inlineStr">
        <is>
          <t>4. AI 僅在縮減後的頁面上做語意判斷,且輸出頁碼須通過驗證才保留。</t>
        </is>
      </c>
    </row>
    <row r="28">
      <c r="A28" s="4" t="inlineStr">
        <is>
          <t>5. 所有結果附來源頁碼與原文行,供估值師覆核。信心度為 Low 者建議人手確認。</t>
        </is>
      </c>
    </row>
    <row r="29">
      <c r="A29"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Capitalisation Rate</t>
        </is>
      </c>
      <c r="B5" s="8" t="inlineStr">
        <is>
          <t>資本化率</t>
        </is>
      </c>
      <c r="C5" s="9" t="n">
        <v>5</v>
      </c>
      <c r="D5" s="10" t="n">
        <v>5</v>
      </c>
      <c r="E5" s="11" t="inlineStr">
        <is>
          <t>5%</t>
        </is>
      </c>
      <c r="F5" s="11" t="inlineStr">
        <is>
          <t>High</t>
        </is>
      </c>
      <c r="G5" s="11" t="inlineStr">
        <is>
          <t>PDF p.194 (印刷頁 6)</t>
        </is>
      </c>
      <c r="H5" s="11" t="inlineStr">
        <is>
          <t>cases, made provisions for reversionary income potential. The key input was the capitalisation rate of 5%. (b) 投資物業的公平值計量 (b) Fair value measurement of investment properties (i) 公平值層級 (i) Fair value hierarchy The following table presents the fair value of the</t>
        </is>
      </c>
    </row>
    <row r="6">
      <c r="A6" s="8" t="inlineStr">
        <is>
          <t>Discount Rate</t>
        </is>
      </c>
      <c r="B6" s="8" t="inlineStr">
        <is>
          <t>折現率</t>
        </is>
      </c>
      <c r="C6" s="9" t="n">
        <v>14.7</v>
      </c>
      <c r="D6" s="10" t="n">
        <v>14.7</v>
      </c>
      <c r="E6" s="11" t="inlineStr">
        <is>
          <t>14.7%</t>
        </is>
      </c>
      <c r="F6" s="11" t="inlineStr">
        <is>
          <t>Medium</t>
        </is>
      </c>
      <c r="G6" s="11" t="inlineStr">
        <is>
          <t>PDF p.202 (印刷頁 6)</t>
        </is>
      </c>
      <c r="H6" s="11" t="inlineStr">
        <is>
          <t xml:space="preserve"> the cash flow projections of these CGUs/groups of CGUs, the 計算使用價值而釐定。就該等現金產生單 discount rates applied to the cash flow projections ranged from 14.7% 位╱現金產生單位組別的現金流量預測 to 17.9% and the growth rate used to extrapolate the cash flows of the 而言，用於現金流量預測的貼現</t>
        </is>
      </c>
    </row>
    <row r="7">
      <c r="A7" s="8" t="inlineStr">
        <is>
          <t>Discount Rate</t>
        </is>
      </c>
      <c r="B7" s="8" t="inlineStr">
        <is>
          <t>折現率</t>
        </is>
      </c>
      <c r="C7" s="9" t="n">
        <v>14.7</v>
      </c>
      <c r="D7" s="10" t="n">
        <v>17.9</v>
      </c>
      <c r="E7" s="11" t="inlineStr">
        <is>
          <t>14.7%至17.9%</t>
        </is>
      </c>
      <c r="F7" s="11" t="inlineStr">
        <is>
          <t>Medium</t>
        </is>
      </c>
      <c r="G7" s="11" t="inlineStr">
        <is>
          <t>PDF p.202 (印刷頁 6)</t>
        </is>
      </c>
      <c r="H7" s="11" t="inlineStr">
        <is>
          <t>17.9% and the growth rate used to extrapolate the cash flows of the 而言，用於現金流量預測的貼現率介乎 CGUs/groups of CGUs beyond the five-year period was 2.5%. 14.7%至17.9%，而用以推算該等現金產 生單位╱現金產生單位組別五年期以後現 金流量的增長率為2.5%。 醫思健康 201 年度報告 2 0 2 5 / 2 6</t>
        </is>
      </c>
    </row>
    <row r="8">
      <c r="A8" s="8" t="inlineStr">
        <is>
          <t>Discount Rate</t>
        </is>
      </c>
      <c r="B8" s="8" t="inlineStr">
        <is>
          <t>折現率</t>
        </is>
      </c>
      <c r="C8" s="9" t="n">
        <v>14.7</v>
      </c>
      <c r="D8" s="10" t="n">
        <v>18.8</v>
      </c>
      <c r="E8" s="11" t="inlineStr">
        <is>
          <t>14.7% to 18.8%</t>
        </is>
      </c>
      <c r="F8" s="11" t="inlineStr">
        <is>
          <t>High</t>
        </is>
      </c>
      <c r="G8" s="11" t="inlineStr">
        <is>
          <t>PDF p.203 (印刷頁 6)</t>
        </is>
      </c>
      <c r="H8" s="11" t="inlineStr">
        <is>
          <t>The discount rates applied to the cash flow projections range from 年）。適用於現金流量推算的貼現率介乎 14.7% to 18.8% (2025: 12.7% to 17.0%) and the growth rates used 14.7%至18.8%（二零二五年：12.7%至 to extrapolate the cash flows of the CGUs beyond the five-year 17.0%</t>
        </is>
      </c>
    </row>
    <row r="9">
      <c r="A9" s="8" t="inlineStr">
        <is>
          <t>Discount Rate</t>
        </is>
      </c>
      <c r="B9" s="8" t="inlineStr">
        <is>
          <t>折現率</t>
        </is>
      </c>
      <c r="C9" s="9" t="n">
        <v>17.9</v>
      </c>
      <c r="D9" s="10" t="n">
        <v>17.9</v>
      </c>
      <c r="E9" s="11" t="inlineStr">
        <is>
          <t>17.9%</t>
        </is>
      </c>
      <c r="F9" s="11" t="inlineStr">
        <is>
          <t>High</t>
        </is>
      </c>
      <c r="G9" s="11" t="inlineStr">
        <is>
          <t>PDF p.204 (印刷頁 6)</t>
        </is>
      </c>
      <c r="H9" s="11" t="inlineStr">
        <is>
          <t xml:space="preserve">五年 二零二六年 二零二五年 二零二六年 二零二五年 Duration of forecast period 預測期限 5 5 5 5 5 5 5 5 5 5 Discount rate 貼現率 17.9% 15.5% 17.1% 14.1% 14.7% 12.7% 16.5% 13.7% 18.8% 17.0% Long term growth rate 預測期後的長期增長率 beyond the forecast period 2.5% 3.0% 2.5% 3.0% 2.5% 3.0% 2.5% </t>
        </is>
      </c>
    </row>
    <row r="10">
      <c r="A10" s="8" t="inlineStr">
        <is>
          <t>Discount Rate</t>
        </is>
      </c>
      <c r="B10" s="8" t="inlineStr">
        <is>
          <t>折現率</t>
        </is>
      </c>
      <c r="C10" s="9" t="n">
        <v>14.8</v>
      </c>
      <c r="D10" s="10" t="n">
        <v>14.8</v>
      </c>
      <c r="E10" s="11" t="inlineStr">
        <is>
          <t>14.8%</t>
        </is>
      </c>
      <c r="F10" s="11" t="inlineStr">
        <is>
          <t>High</t>
        </is>
      </c>
      <c r="G10" s="11" t="inlineStr">
        <is>
          <t>PDF p.206 (印刷頁 6)</t>
        </is>
      </c>
      <c r="H10" s="11" t="inlineStr">
        <is>
          <t>other non-current assets relating to 其他非流動資產確認減值虧損總額107.4 PMG’s operations. The discount rate used for its value in use is 14.8%. 百萬港元。其使用價值所採用的貼現率為 14.8%。 ~ The impairment loss recognised for Pangenia reflected softer-than- ~ 就新亞確認的減值虧損反映其年內經營業 expecte</t>
        </is>
      </c>
    </row>
    <row r="11">
      <c r="A11" s="8" t="inlineStr">
        <is>
          <t>Discount Rate</t>
        </is>
      </c>
      <c r="B11" s="8" t="inlineStr">
        <is>
          <t>折現率</t>
        </is>
      </c>
      <c r="C11" s="9" t="n">
        <v>18.5</v>
      </c>
      <c r="D11" s="10" t="n">
        <v>18.5</v>
      </c>
      <c r="E11" s="11" t="inlineStr">
        <is>
          <t>18.5%</t>
        </is>
      </c>
      <c r="F11" s="11" t="inlineStr">
        <is>
          <t>High</t>
        </is>
      </c>
      <c r="G11" s="11" t="inlineStr">
        <is>
          <t>PDF p.206 (印刷頁 6)</t>
        </is>
      </c>
      <c r="H11" s="11" t="inlineStr">
        <is>
          <t>026 was nil, which 日，新亞的可收回金額為零，該金額乃按 was determined based on value in use with discount rate of 18.5% used in 使用價值釐定，計量中採用的貼現率為 measurement.” 18.5%。 Management has assessed whether a reasonably possible change 管理層已評估關鍵假設、貼現率、五年 in key assumptions, disc</t>
        </is>
      </c>
    </row>
    <row r="12">
      <c r="A12" s="8" t="inlineStr">
        <is>
          <t>Discount Rate</t>
        </is>
      </c>
      <c r="B12" s="8" t="inlineStr">
        <is>
          <t>折現率</t>
        </is>
      </c>
      <c r="C12" s="9" t="n">
        <v>10.5</v>
      </c>
      <c r="D12" s="10" t="n">
        <v>10.5</v>
      </c>
      <c r="E12" s="11" t="inlineStr">
        <is>
          <t>10.5%</t>
        </is>
      </c>
      <c r="F12" s="11" t="inlineStr">
        <is>
          <t>High</t>
        </is>
      </c>
      <c r="G12" s="11" t="inlineStr">
        <is>
          <t>PDF p.276 (印刷頁 6)</t>
        </is>
      </c>
      <c r="H12" s="11" t="inlineStr">
        <is>
          <t>orrelated to the discount rate (2026: 92%；二零二五年：95%）呈正相關，與 10.5%; 2025: 10.1%). 貼現率（二零二六年：10.5%；二零二五 年：10.1%）呈負相關。 醫思健康 275 年度報告 2 0 2 5 / 2 6</t>
        </is>
      </c>
    </row>
    <row r="13">
      <c r="A13" s="8" t="inlineStr">
        <is>
          <t>Terminal Growth Rate</t>
        </is>
      </c>
      <c r="B13" s="8" t="inlineStr">
        <is>
          <t>永續增長率</t>
        </is>
      </c>
      <c r="C13" s="9" t="n">
        <v>2.5</v>
      </c>
      <c r="D13" s="10" t="n">
        <v>0</v>
      </c>
      <c r="E13" s="11" t="inlineStr">
        <is>
          <t>2.5% – 0.0%</t>
        </is>
      </c>
      <c r="F13" s="12" t="inlineStr">
        <is>
          <t>Low</t>
        </is>
      </c>
      <c r="G13" s="11" t="inlineStr">
        <is>
          <t>PDF p.204 (印刷頁 6)</t>
        </is>
      </c>
      <c r="H13" s="11" t="inlineStr">
        <is>
          <t>5.5% 17.1% 14.1% 14.7% 12.7% 16.5% 13.7% 18.8% 17.0% Long term growth rate 預測期後的長期增長率 beyond the forecast period 2.5% 3.0% 2.5% 3.0% 2.5% 3.0% 2.5% 3.0% 1.7% 3.0% Revenue growth rate during 預測期間的收增益長率 2.5% – 0.0% – 3.0% – 0.0% – 0.0% to 2.5% – 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3" t="n">
        <v>3770192</v>
      </c>
      <c r="D5" s="14" t="n">
        <v>4140212</v>
      </c>
      <c r="E5" s="15">
        <f>IF(ISERROR((C5-D5)/ABS(D5)),"",(C5-D5)/ABS(D5))</f>
        <v>-0.08937223504496872</v>
      </c>
      <c r="F5" s="11" t="inlineStr">
        <is>
          <t>PDF p.120 (印刷頁 6)</t>
        </is>
      </c>
      <c r="G5" s="11" t="inlineStr">
        <is>
          <t>REVENUE 收入 5 3,770,192 4,140,212</t>
        </is>
      </c>
    </row>
    <row r="6">
      <c r="A6" s="8" t="inlineStr">
        <is>
          <t>Income Statement</t>
        </is>
      </c>
      <c r="B6" s="8" t="inlineStr">
        <is>
          <t>Depreciation</t>
        </is>
      </c>
      <c r="C6" s="13" t="n">
        <v>0</v>
      </c>
      <c r="D6" s="14" t="n">
        <v>-267832</v>
      </c>
      <c r="E6" s="15">
        <f>IF(ISERROR((C6-D6)/ABS(D6)),"",(C6-D6)/ABS(D6))</f>
        <v>1.0</v>
      </c>
      <c r="F6" s="11" t="inlineStr">
        <is>
          <t>PDF p.120 (印刷頁 6)</t>
        </is>
      </c>
      <c r="G6" s="11" t="inlineStr">
        <is>
          <t>Depreciation – right-of-use assets 折舊—使用權資產 (267,832) (294,033)</t>
        </is>
      </c>
    </row>
    <row r="7">
      <c r="A7" s="8" t="inlineStr">
        <is>
          <t>Income Statement</t>
        </is>
      </c>
      <c r="B7" s="8" t="inlineStr">
        <is>
          <t>Amortisation</t>
        </is>
      </c>
      <c r="C7" s="13" t="n">
        <v>-92106</v>
      </c>
      <c r="D7" s="14" t="n">
        <v>-118182</v>
      </c>
      <c r="E7" s="15">
        <f>IF(ISERROR((C7-D7)/ABS(D7)),"",(C7-D7)/ABS(D7))</f>
        <v>0.22064273747271157</v>
      </c>
      <c r="F7" s="11" t="inlineStr">
        <is>
          <t>PDF p.120 (印刷頁 6)</t>
        </is>
      </c>
      <c r="G7" s="11" t="inlineStr">
        <is>
          <t>Amortisation of intangible assets 無形資產攤銷 (92,106) (118,182)</t>
        </is>
      </c>
    </row>
    <row r="8">
      <c r="A8" s="8" t="inlineStr">
        <is>
          <t>Income Statement</t>
        </is>
      </c>
      <c r="B8" s="8" t="inlineStr">
        <is>
          <t>Finance Costs</t>
        </is>
      </c>
      <c r="C8" s="13" t="n">
        <v>-71673</v>
      </c>
      <c r="D8" s="14" t="n">
        <v>-89442</v>
      </c>
      <c r="E8" s="15">
        <f>IF(ISERROR((C8-D8)/ABS(D8)),"",(C8-D8)/ABS(D8))</f>
        <v>0.19866505668477896</v>
      </c>
      <c r="F8" s="11" t="inlineStr">
        <is>
          <t>PDF p.120 (印刷頁 6)</t>
        </is>
      </c>
      <c r="G8" s="11" t="inlineStr">
        <is>
          <t>Finance costs 財務成本 7 (71,673) (89,442)</t>
        </is>
      </c>
    </row>
    <row r="9">
      <c r="A9" s="8" t="inlineStr">
        <is>
          <t>Income Statement</t>
        </is>
      </c>
      <c r="B9" s="8" t="inlineStr">
        <is>
          <t>Profit Before Tax</t>
        </is>
      </c>
      <c r="C9" s="13" t="n">
        <v>-410161</v>
      </c>
      <c r="D9" s="14" t="n">
        <v>-101140</v>
      </c>
      <c r="E9" s="15">
        <f>IF(ISERROR((C9-D9)/ABS(D9)),"",(C9-D9)/ABS(D9))</f>
        <v>-3.0553786830136445</v>
      </c>
      <c r="F9" s="11" t="inlineStr">
        <is>
          <t>PDF p.120 (印刷頁 6)</t>
        </is>
      </c>
      <c r="G9" s="11" t="inlineStr">
        <is>
          <t>LOSS BEFORE TAX 除稅前虧損 8 (410,161) (101,140)</t>
        </is>
      </c>
    </row>
    <row r="10">
      <c r="A10" s="8" t="inlineStr">
        <is>
          <t>Income Statement</t>
        </is>
      </c>
      <c r="B10" s="8" t="inlineStr">
        <is>
          <t>Income Tax</t>
        </is>
      </c>
      <c r="C10" s="13" t="n">
        <v>-2706</v>
      </c>
      <c r="D10" s="14" t="n">
        <v>-10778</v>
      </c>
      <c r="E10" s="15">
        <f>IF(ISERROR((C10-D10)/ABS(D10)),"",(C10-D10)/ABS(D10))</f>
        <v>0.7489330116904807</v>
      </c>
      <c r="F10" s="11" t="inlineStr">
        <is>
          <t>PDF p.120 (印刷頁 6)</t>
        </is>
      </c>
      <c r="G10" s="11" t="inlineStr">
        <is>
          <t>Income tax expense 所得稅支出 11(a) (2,706) (10,778)</t>
        </is>
      </c>
    </row>
    <row r="11">
      <c r="A11" s="8" t="inlineStr">
        <is>
          <t>Income Statement</t>
        </is>
      </c>
      <c r="B11" s="8" t="inlineStr">
        <is>
          <t>Profit for the Year</t>
        </is>
      </c>
      <c r="C11" s="13" t="n">
        <v>-412867</v>
      </c>
      <c r="D11" s="14" t="n">
        <v>-111918</v>
      </c>
      <c r="E11" s="15">
        <f>IF(ISERROR((C11-D11)/ABS(D11)),"",(C11-D11)/ABS(D11))</f>
        <v>-2.6890133847995856</v>
      </c>
      <c r="F11" s="11" t="inlineStr">
        <is>
          <t>PDF p.120 (印刷頁 6)</t>
        </is>
      </c>
      <c r="G11" s="11" t="inlineStr">
        <is>
          <t>LOSS FOR THE YEAR 年內虧損 (412,867) (111,918)</t>
        </is>
      </c>
    </row>
    <row r="12">
      <c r="A12" s="8" t="inlineStr">
        <is>
          <t>Balance Sheet</t>
        </is>
      </c>
      <c r="B12" s="8" t="inlineStr">
        <is>
          <t>Property Plant and Equipment</t>
        </is>
      </c>
      <c r="C12" s="13" t="n">
        <v>824350</v>
      </c>
      <c r="D12" s="14" t="n">
        <v>1059432</v>
      </c>
      <c r="E12" s="15">
        <f>IF(ISERROR((C12-D12)/ABS(D12)),"",(C12-D12)/ABS(D12))</f>
        <v>-0.2218943735888665</v>
      </c>
      <c r="F12" s="11" t="inlineStr">
        <is>
          <t>PDF p.122 (印刷頁 6)</t>
        </is>
      </c>
      <c r="G12" s="11" t="inlineStr">
        <is>
          <t>Property, plant and equipment 物業、廠房及設備 13 824,350 1,059,432</t>
        </is>
      </c>
    </row>
    <row r="13">
      <c r="A13" s="8" t="inlineStr">
        <is>
          <t>Balance Sheet</t>
        </is>
      </c>
      <c r="B13" s="8" t="inlineStr">
        <is>
          <t>Investment Properties</t>
        </is>
      </c>
      <c r="C13" s="13" t="n">
        <v>196480</v>
      </c>
      <c r="D13" s="14" t="n">
        <v>104230</v>
      </c>
      <c r="E13" s="15">
        <f>IF(ISERROR((C13-D13)/ABS(D13)),"",(C13-D13)/ABS(D13))</f>
        <v>0.8850618823755156</v>
      </c>
      <c r="F13" s="11" t="inlineStr">
        <is>
          <t>PDF p.122 (印刷頁 6)</t>
        </is>
      </c>
      <c r="G13" s="11" t="inlineStr">
        <is>
          <t>Investment properties 投資物業 13 196,480 104,230</t>
        </is>
      </c>
    </row>
    <row r="14">
      <c r="A14" s="8" t="inlineStr">
        <is>
          <t>Balance Sheet</t>
        </is>
      </c>
      <c r="B14" s="8" t="inlineStr">
        <is>
          <t>Goodwill</t>
        </is>
      </c>
      <c r="C14" s="13" t="n">
        <v>556298</v>
      </c>
      <c r="D14" s="14" t="n">
        <v>754546</v>
      </c>
      <c r="E14" s="15">
        <f>IF(ISERROR((C14-D14)/ABS(D14)),"",(C14-D14)/ABS(D14))</f>
        <v>-0.26273812332183855</v>
      </c>
      <c r="F14" s="11" t="inlineStr">
        <is>
          <t>PDF p.122 (印刷頁 6)</t>
        </is>
      </c>
      <c r="G14" s="11" t="inlineStr">
        <is>
          <t>Goodwill 商譽 14 556,298 754,546</t>
        </is>
      </c>
    </row>
    <row r="15">
      <c r="A15" s="8" t="inlineStr">
        <is>
          <t>Balance Sheet</t>
        </is>
      </c>
      <c r="B15" s="8" t="inlineStr">
        <is>
          <t>Intangible Assets</t>
        </is>
      </c>
      <c r="C15" s="13" t="n">
        <v>377416</v>
      </c>
      <c r="D15" s="14" t="n">
        <v>543834</v>
      </c>
      <c r="E15" s="15">
        <f>IF(ISERROR((C15-D15)/ABS(D15)),"",(C15-D15)/ABS(D15))</f>
        <v>-0.30600881886752207</v>
      </c>
      <c r="F15" s="11" t="inlineStr">
        <is>
          <t>PDF p.122 (印刷頁 6)</t>
        </is>
      </c>
      <c r="G15" s="11" t="inlineStr">
        <is>
          <t>Intangible assets 無形資產 15 377,416 543,834</t>
        </is>
      </c>
    </row>
    <row r="16">
      <c r="A16" s="8" t="inlineStr">
        <is>
          <t>Balance Sheet</t>
        </is>
      </c>
      <c r="B16" s="8" t="inlineStr">
        <is>
          <t>Inventories</t>
        </is>
      </c>
      <c r="C16" s="13" t="n">
        <v>153175</v>
      </c>
      <c r="D16" s="14" t="n">
        <v>152545</v>
      </c>
      <c r="E16" s="15">
        <f>IF(ISERROR((C16-D16)/ABS(D16)),"",(C16-D16)/ABS(D16))</f>
        <v>0.00412992887344718</v>
      </c>
      <c r="F16" s="11" t="inlineStr">
        <is>
          <t>PDF p.122 (印刷頁 6)</t>
        </is>
      </c>
      <c r="G16" s="11" t="inlineStr">
        <is>
          <t>Inventories 存貨 18 153,175 152,545</t>
        </is>
      </c>
    </row>
    <row r="17">
      <c r="A17" s="8" t="inlineStr">
        <is>
          <t>Balance Sheet</t>
        </is>
      </c>
      <c r="B17" s="8" t="inlineStr">
        <is>
          <t>Trade Receivables</t>
        </is>
      </c>
      <c r="C17" s="13" t="n">
        <v>267753</v>
      </c>
      <c r="D17" s="14" t="n">
        <v>323708</v>
      </c>
      <c r="E17" s="15">
        <f>IF(ISERROR((C17-D17)/ABS(D17)),"",(C17-D17)/ABS(D17))</f>
        <v>-0.17285640144821876</v>
      </c>
      <c r="F17" s="11" t="inlineStr">
        <is>
          <t>PDF p.122 (印刷頁 6)</t>
        </is>
      </c>
      <c r="G17" s="11" t="inlineStr">
        <is>
          <t>Trade receivables 貿易應收款項 19 267,753 323,708</t>
        </is>
      </c>
    </row>
    <row r="18">
      <c r="A18" s="8" t="inlineStr">
        <is>
          <t>Balance Sheet</t>
        </is>
      </c>
      <c r="B18" s="8" t="inlineStr">
        <is>
          <t>Cash and Equivalents</t>
        </is>
      </c>
      <c r="C18" s="13" t="n">
        <v>766937</v>
      </c>
      <c r="D18" s="14" t="n">
        <v>1003913</v>
      </c>
      <c r="E18" s="15">
        <f>IF(ISERROR((C18-D18)/ABS(D18)),"",(C18-D18)/ABS(D18))</f>
        <v>-0.2360523272434962</v>
      </c>
      <c r="F18" s="11" t="inlineStr">
        <is>
          <t>PDF p.122 (印刷頁 6)</t>
        </is>
      </c>
      <c r="G18" s="11" t="inlineStr">
        <is>
          <t>Cash and cash equivalents 現金及現金等價物 22 766,937 1,003,913</t>
        </is>
      </c>
    </row>
    <row r="19">
      <c r="A19" s="8" t="inlineStr">
        <is>
          <t>Balance Sheet</t>
        </is>
      </c>
      <c r="B19" s="8" t="inlineStr">
        <is>
          <t>Total Current Assets</t>
        </is>
      </c>
      <c r="C19" s="13" t="n">
        <v>1658755</v>
      </c>
      <c r="D19" s="14" t="n">
        <v>1880921</v>
      </c>
      <c r="E19" s="15">
        <f>IF(ISERROR((C19-D19)/ABS(D19)),"",(C19-D19)/ABS(D19))</f>
        <v>-0.11811554020610116</v>
      </c>
      <c r="F19" s="11" t="inlineStr">
        <is>
          <t>PDF p.122 (印刷頁 6)</t>
        </is>
      </c>
      <c r="G19" s="11" t="inlineStr">
        <is>
          <t>Total current assets 流動資產總值 1,658,755 1,880,921</t>
        </is>
      </c>
    </row>
    <row r="20">
      <c r="A20" s="8" t="inlineStr">
        <is>
          <t>Balance Sheet</t>
        </is>
      </c>
      <c r="B20" s="8" t="inlineStr">
        <is>
          <t>Borrowings</t>
        </is>
      </c>
      <c r="C20" s="13" t="n">
        <v>600949</v>
      </c>
      <c r="D20" s="14" t="n">
        <v>252955</v>
      </c>
      <c r="E20" s="15">
        <f>IF(ISERROR((C20-D20)/ABS(D20)),"",(C20-D20)/ABS(D20))</f>
        <v>1.3757150481310905</v>
      </c>
      <c r="F20" s="11" t="inlineStr">
        <is>
          <t>PDF p.122 (印刷頁 6)</t>
        </is>
      </c>
      <c r="G20" s="11" t="inlineStr">
        <is>
          <t>Bank borrowings 銀行借款 25 600,949 252,955</t>
        </is>
      </c>
    </row>
    <row r="21">
      <c r="A21" s="8" t="inlineStr">
        <is>
          <t>Balance Sheet</t>
        </is>
      </c>
      <c r="B21" s="8" t="inlineStr">
        <is>
          <t>Total Current Liabilities</t>
        </is>
      </c>
      <c r="C21" s="13" t="n">
        <v>1762025</v>
      </c>
      <c r="D21" s="14" t="n">
        <v>1886017</v>
      </c>
      <c r="E21" s="15">
        <f>IF(ISERROR((C21-D21)/ABS(D21)),"",(C21-D21)/ABS(D21))</f>
        <v>-0.06574277962499808</v>
      </c>
      <c r="F21" s="11" t="inlineStr">
        <is>
          <t>PDF p.122 (印刷頁 6)</t>
        </is>
      </c>
      <c r="G21" s="11" t="inlineStr">
        <is>
          <t>Total current liabilities 流動負債總額 1,762,025 1,886,017</t>
        </is>
      </c>
    </row>
    <row r="22">
      <c r="A22" s="8" t="inlineStr">
        <is>
          <t>Balance Sheet</t>
        </is>
      </c>
      <c r="B22" s="8" t="inlineStr">
        <is>
          <t>Total Equity</t>
        </is>
      </c>
      <c r="C22" s="13" t="n">
        <v>1384988</v>
      </c>
      <c r="D22" s="14" t="n">
        <v>1793377</v>
      </c>
      <c r="E22" s="15">
        <f>IF(ISERROR((C22-D22)/ABS(D22)),"",(C22-D22)/ABS(D22))</f>
        <v>-0.22772066330726892</v>
      </c>
      <c r="F22" s="11" t="inlineStr">
        <is>
          <t>PDF p.123 (印刷頁 6)</t>
        </is>
      </c>
      <c r="G22" s="11" t="inlineStr">
        <is>
          <t>Total equity attributable to equity 本公司權益股東應佔權益 … shareholders of the Company 總額 1,384,988 1,793,377</t>
        </is>
      </c>
    </row>
    <row r="23">
      <c r="A23" s="8" t="inlineStr">
        <is>
          <t>Cash Flow</t>
        </is>
      </c>
      <c r="B23" s="8" t="inlineStr">
        <is>
          <t>Operating Cash Flow</t>
        </is>
      </c>
      <c r="C23" s="13" t="n">
        <v>606559</v>
      </c>
      <c r="D23" s="14" t="n">
        <v>743241</v>
      </c>
      <c r="E23" s="15">
        <f>IF(ISERROR((C23-D23)/ABS(D23)),"",(C23-D23)/ABS(D23))</f>
        <v>-0.18389997322537374</v>
      </c>
      <c r="F23" s="11" t="inlineStr">
        <is>
          <t>PDF p.126 (印刷頁 6)</t>
        </is>
      </c>
      <c r="G23" s="11" t="inlineStr">
        <is>
          <t>Net cash flows from operating activities 經營活動所得現金流量淨額 606,559 743,241</t>
        </is>
      </c>
    </row>
    <row r="24">
      <c r="A24" s="8" t="inlineStr">
        <is>
          <t>Cash Flow</t>
        </is>
      </c>
      <c r="B24" s="8" t="inlineStr">
        <is>
          <t>Financing Cash Flow</t>
        </is>
      </c>
      <c r="C24" s="13" t="n">
        <v>-570484</v>
      </c>
      <c r="D24" s="14" t="n">
        <v>-633787</v>
      </c>
      <c r="E24" s="15">
        <f>IF(ISERROR((C24-D24)/ABS(D24)),"",(C24-D24)/ABS(D24))</f>
        <v>0.09988055924151173</v>
      </c>
      <c r="F24" s="11" t="inlineStr">
        <is>
          <t>PDF p.127 (印刷頁 6)</t>
        </is>
      </c>
      <c r="G24" s="11" t="inlineStr">
        <is>
          <t>Net cash flows used in financing activities 融資活動所用現金流量淨額 (570,484) (633,787)</t>
        </is>
      </c>
    </row>
    <row r="26">
      <c r="A26"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6" t="str">
        <f>IF(ISERROR(INDEX('Financials 財務數據'!$C$5:$C$24,MATCH("Gross Profit",'Financials 財務數據'!$B$5:$B$24,0))/INDEX('Financials 財務數據'!$C$5:$C$24,MATCH("Revenue",'Financials 財務數據'!$B$5:$B$24,0))),"n/a",INDEX('Financials 財務數據'!$C$5:$C$24,MATCH("Gross Profit",'Financials 財務數據'!$B$5:$B$24,0))/INDEX('Financials 財務數據'!$C$5:$C$24,MATCH("Revenue",'Financials 財務數據'!$B$5:$B$24,0)))</f>
        <v>n/a</v>
      </c>
      <c r="C5" s="16" t="str">
        <f>IF(ISERROR(INDEX('Financials 財務數據'!$D$5:$D$24,MATCH("Gross Profit",'Financials 財務數據'!$B$5:$B$24,0))/INDEX('Financials 財務數據'!$D$5:$D$24,MATCH("Revenue",'Financials 財務數據'!$B$5:$B$24,0))),"n/a",INDEX('Financials 財務數據'!$D$5:$D$24,MATCH("Gross Profit",'Financials 財務數據'!$B$5:$B$24,0))/INDEX('Financials 財務數據'!$D$5:$D$24,MATCH("Revenue",'Financials 財務數據'!$B$5:$B$24,0)))</f>
        <v>n/a</v>
      </c>
      <c r="D5" s="2" t="inlineStr">
        <is>
          <t>毛利 ÷ 收入</t>
        </is>
      </c>
    </row>
    <row r="6">
      <c r="A6" s="4" t="inlineStr">
        <is>
          <t>Net Margin 淨利率</t>
        </is>
      </c>
      <c r="B6" s="16">
        <f>IF(ISERROR(INDEX('Financials 財務數據'!$C$5:$C$24,MATCH("Profit for the Year",'Financials 財務數據'!$B$5:$B$24,0))/INDEX('Financials 財務數據'!$C$5:$C$24,MATCH("Revenue",'Financials 財務數據'!$B$5:$B$24,0))),"n/a",INDEX('Financials 財務數據'!$C$5:$C$24,MATCH("Profit for the Year",'Financials 財務數據'!$B$5:$B$24,0))/INDEX('Financials 財務數據'!$C$5:$C$24,MATCH("Revenue",'Financials 財務數據'!$B$5:$B$24,0)))</f>
        <v>-0.10950821602719438</v>
      </c>
      <c r="C6" s="16">
        <f>IF(ISERROR(INDEX('Financials 財務數據'!$D$5:$D$24,MATCH("Profit for the Year",'Financials 財務數據'!$B$5:$B$24,0))/INDEX('Financials 財務數據'!$D$5:$D$24,MATCH("Revenue",'Financials 財務數據'!$B$5:$B$24,0))),"n/a",INDEX('Financials 財務數據'!$D$5:$D$24,MATCH("Profit for the Year",'Financials 財務數據'!$B$5:$B$24,0))/INDEX('Financials 財務數據'!$D$5:$D$24,MATCH("Revenue",'Financials 財務數據'!$B$5:$B$24,0)))</f>
        <v>-0.027031949088597396</v>
      </c>
      <c r="D6" s="2" t="inlineStr">
        <is>
          <t>年內溢利 ÷ 收入</t>
        </is>
      </c>
    </row>
    <row r="7">
      <c r="A7" s="4" t="inlineStr">
        <is>
          <t>Current Ratio 流動比率</t>
        </is>
      </c>
      <c r="B7" s="17">
        <f>IF(ISERROR(INDEX('Financials 財務數據'!$C$5:$C$24,MATCH("Total Current Assets",'Financials 財務數據'!$B$5:$B$24,0))/INDEX('Financials 財務數據'!$C$5:$C$24,MATCH("Total Current Liabilities",'Financials 財務數據'!$B$5:$B$24,0))),"n/a",INDEX('Financials 財務數據'!$C$5:$C$24,MATCH("Total Current Assets",'Financials 財務數據'!$B$5:$B$24,0))/INDEX('Financials 財務數據'!$C$5:$C$24,MATCH("Total Current Liabilities",'Financials 財務數據'!$B$5:$B$24,0)))</f>
        <v>0.941391296945276</v>
      </c>
      <c r="C7" s="17">
        <f>IF(ISERROR(INDEX('Financials 財務數據'!$D$5:$D$24,MATCH("Total Current Assets",'Financials 財務數據'!$B$5:$B$24,0))/INDEX('Financials 財務數據'!$D$5:$D$24,MATCH("Total Current Liabilities",'Financials 財務數據'!$B$5:$B$24,0))),"n/a",INDEX('Financials 財務數據'!$D$5:$D$24,MATCH("Total Current Assets",'Financials 財務數據'!$B$5:$B$24,0))/INDEX('Financials 財務數據'!$D$5:$D$24,MATCH("Total Current Liabilities",'Financials 財務數據'!$B$5:$B$24,0)))</f>
        <v>0.9972980095089281</v>
      </c>
      <c r="D7" s="2" t="inlineStr">
        <is>
          <t>流動資產 ÷ 流動負債</t>
        </is>
      </c>
    </row>
    <row r="8">
      <c r="A8" s="4" t="inlineStr">
        <is>
          <t>Debt / Equity 負債權益比</t>
        </is>
      </c>
      <c r="B8" s="17" t="str">
        <f>IF(ISERROR(INDEX('Financials 財務數據'!$C$5:$C$24,MATCH("Total Liabilities",'Financials 財務數據'!$B$5:$B$24,0))/INDEX('Financials 財務數據'!$C$5:$C$24,MATCH("Total Equity",'Financials 財務數據'!$B$5:$B$24,0))),"n/a",INDEX('Financials 財務數據'!$C$5:$C$24,MATCH("Total Liabilities",'Financials 財務數據'!$B$5:$B$24,0))/INDEX('Financials 財務數據'!$C$5:$C$24,MATCH("Total Equity",'Financials 財務數據'!$B$5:$B$24,0)))</f>
        <v>n/a</v>
      </c>
      <c r="C8" s="17" t="str">
        <f>IF(ISERROR(INDEX('Financials 財務數據'!$D$5:$D$24,MATCH("Total Liabilities",'Financials 財務數據'!$B$5:$B$24,0))/INDEX('Financials 財務數據'!$D$5:$D$24,MATCH("Total Equity",'Financials 財務數據'!$B$5:$B$24,0))),"n/a",INDEX('Financials 財務數據'!$D$5:$D$24,MATCH("Total Liabilities",'Financials 財務數據'!$B$5:$B$24,0))/INDEX('Financials 財務數據'!$D$5:$D$24,MATCH("Total Equity",'Financials 財務數據'!$B$5:$B$24,0)))</f>
        <v>n/a</v>
      </c>
      <c r="D8" s="2" t="inlineStr">
        <is>
          <t>總負債 ÷ 總權益</t>
        </is>
      </c>
    </row>
    <row r="9">
      <c r="A9" s="4" t="inlineStr">
        <is>
          <t>Goodwill / Total Assets</t>
        </is>
      </c>
      <c r="B9" s="16" t="str">
        <f>IF(ISERROR(INDEX('Financials 財務數據'!$C$5:$C$24,MATCH("Goodwill",'Financials 財務數據'!$B$5:$B$24,0))/INDEX('Financials 財務數據'!$C$5:$C$24,MATCH("Total Assets",'Financials 財務數據'!$B$5:$B$24,0))),"n/a",INDEX('Financials 財務數據'!$C$5:$C$24,MATCH("Goodwill",'Financials 財務數據'!$B$5:$B$24,0))/INDEX('Financials 財務數據'!$C$5:$C$24,MATCH("Total Assets",'Financials 財務數據'!$B$5:$B$24,0)))</f>
        <v>n/a</v>
      </c>
      <c r="C9" s="16" t="str">
        <f>IF(ISERROR(INDEX('Financials 財務數據'!$D$5:$D$24,MATCH("Goodwill",'Financials 財務數據'!$B$5:$B$24,0))/INDEX('Financials 財務數據'!$D$5:$D$24,MATCH("Total Assets",'Financials 財務數據'!$B$5:$B$24,0))),"n/a",INDEX('Financials 財務數據'!$D$5:$D$24,MATCH("Goodwill",'Financials 財務數據'!$B$5:$B$24,0))/INDEX('Financials 財務數據'!$D$5:$D$24,MATCH("Total Assets",'Financials 財務數據'!$B$5:$B$24,0)))</f>
        <v>n/a</v>
      </c>
      <c r="D9" s="2" t="inlineStr">
        <is>
          <t>商譽佔總資產比重 — 減值風險指標</t>
        </is>
      </c>
    </row>
    <row r="10">
      <c r="A10" s="4" t="inlineStr">
        <is>
          <t>Intangibles / Total Assets</t>
        </is>
      </c>
      <c r="B10" s="16" t="str">
        <f>IF(ISERROR(INDEX('Financials 財務數據'!$C$5:$C$24,MATCH("Intangible Assets",'Financials 財務數據'!$B$5:$B$24,0))/INDEX('Financials 財務數據'!$C$5:$C$24,MATCH("Total Assets",'Financials 財務數據'!$B$5:$B$24,0))),"n/a",INDEX('Financials 財務數據'!$C$5:$C$24,MATCH("Intangible Assets",'Financials 財務數據'!$B$5:$B$24,0))/INDEX('Financials 財務數據'!$C$5:$C$24,MATCH("Total Assets",'Financials 財務數據'!$B$5:$B$24,0)))</f>
        <v>n/a</v>
      </c>
      <c r="C10" s="16" t="str">
        <f>IF(ISERROR(INDEX('Financials 財務數據'!$D$5:$D$24,MATCH("Intangible Assets",'Financials 財務數據'!$B$5:$B$24,0))/INDEX('Financials 財務數據'!$D$5:$D$24,MATCH("Total Assets",'Financials 財務數據'!$B$5:$B$24,0))),"n/a",INDEX('Financials 財務數據'!$D$5:$D$24,MATCH("Intangible Assets",'Financials 財務數據'!$B$5:$B$24,0))/INDEX('Financials 財務數據'!$D$5:$D$24,MATCH("Total Assets",'Financials 財務數據'!$B$5:$B$24,0)))</f>
        <v>n/a</v>
      </c>
      <c r="D10" s="2" t="inlineStr">
        <is>
          <t>無形資產佔比</t>
        </is>
      </c>
    </row>
    <row r="11">
      <c r="A11" s="4" t="inlineStr">
        <is>
          <t>ROE 股本回報率</t>
        </is>
      </c>
      <c r="B11" s="16">
        <f>IF(ISERROR(INDEX('Financials 財務數據'!$C$5:$C$24,MATCH("Profit for the Year",'Financials 財務數據'!$B$5:$B$24,0))/INDEX('Financials 財務數據'!$C$5:$C$24,MATCH("Total Equity",'Financials 財務數據'!$B$5:$B$24,0))),"n/a",INDEX('Financials 財務數據'!$C$5:$C$24,MATCH("Profit for the Year",'Financials 財務數據'!$B$5:$B$24,0))/INDEX('Financials 財務數據'!$C$5:$C$24,MATCH("Total Equity",'Financials 財務數據'!$B$5:$B$24,0)))</f>
        <v>-0.2981014997963881</v>
      </c>
      <c r="C11" s="16">
        <f>IF(ISERROR(INDEX('Financials 財務數據'!$D$5:$D$24,MATCH("Profit for the Year",'Financials 財務數據'!$B$5:$B$24,0))/INDEX('Financials 財務數據'!$D$5:$D$24,MATCH("Total Equity",'Financials 財務數據'!$B$5:$B$24,0))),"n/a",INDEX('Financials 財務數據'!$D$5:$D$24,MATCH("Profit for the Year",'Financials 財務數據'!$B$5:$B$24,0))/INDEX('Financials 財務數據'!$D$5:$D$24,MATCH("Total Equity",'Financials 財務數據'!$B$5:$B$24,0)))</f>
        <v>-0.062406287133157164</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8" t="inlineStr">
        <is>
          <t>Item</t>
        </is>
      </c>
      <c r="B4" s="18" t="inlineStr">
        <is>
          <t>Prior</t>
        </is>
      </c>
      <c r="C4" s="18" t="inlineStr">
        <is>
          <t>Current</t>
        </is>
      </c>
    </row>
    <row r="5">
      <c r="A5" s="4" t="inlineStr">
        <is>
          <t>Revenue</t>
        </is>
      </c>
      <c r="B5" s="19" t="n">
        <v>4140212</v>
      </c>
      <c r="C5" s="19" t="n">
        <v>3770192</v>
      </c>
    </row>
    <row r="6">
      <c r="A6" s="4" t="inlineStr">
        <is>
          <t>Profit Before Tax</t>
        </is>
      </c>
      <c r="B6" s="19" t="n">
        <v>-101140</v>
      </c>
      <c r="C6" s="19" t="n">
        <v>-410161</v>
      </c>
    </row>
    <row r="7">
      <c r="A7" s="4" t="inlineStr">
        <is>
          <t>Profit for the Year</t>
        </is>
      </c>
      <c r="B7" s="19" t="n">
        <v>-111918</v>
      </c>
      <c r="C7" s="19" t="n">
        <v>-412867</v>
      </c>
    </row>
    <row r="8">
      <c r="A8" s="4" t="inlineStr">
        <is>
          <t>Total Equity</t>
        </is>
      </c>
      <c r="B8" s="19" t="n">
        <v>1793377</v>
      </c>
      <c r="C8" s="19" t="n">
        <v>1384988</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84"/>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20" t="inlineStr">
        <is>
          <t>high</t>
        </is>
      </c>
      <c r="D4" s="11" t="inlineStr">
        <is>
          <t>unobservable input</t>
        </is>
      </c>
      <c r="E4" s="11" t="inlineStr">
        <is>
          <t>PDF p.141 (印刷頁 6)</t>
        </is>
      </c>
      <c r="F4" s="11" t="inlineStr">
        <is>
          <t>o measure 夠可利用數據支持的估值技術以計量公 fair value, maximising the use of relevant observable inputs and 平值，盡量使用相關可觀察輸入數據及 minimising the use of unobservable inputs. 盡量減少使用不可觀察輸入數據。 E C H e a l t h c a r e 140 A n n u a l R e p o r t 2 0 2 5 / 2 6</t>
        </is>
      </c>
    </row>
    <row r="5">
      <c r="A5" s="8" t="inlineStr">
        <is>
          <t>Fair Value Measurement</t>
        </is>
      </c>
      <c r="B5" s="8" t="inlineStr">
        <is>
          <t>公允價值計量</t>
        </is>
      </c>
      <c r="C5" s="20" t="inlineStr">
        <is>
          <t>high</t>
        </is>
      </c>
      <c r="D5" s="11" t="inlineStr">
        <is>
          <t>level 1</t>
        </is>
      </c>
      <c r="E5" s="11" t="inlineStr">
        <is>
          <t>PDF p.142 (印刷頁 6)</t>
        </is>
      </c>
      <c r="F5" s="11" t="inlineStr">
        <is>
          <t>follows, based on the lowest level input that 而言屬重大的最低層級輸入數據在下述 is significant to the fair value measurement as a whole: 公平值等級進行分類： Level 1 – based on quoted prices (unadjusted) in active markets 第一層級 －基於相同資產或負債在活 for identical assets or liabilities 躍市場上的報價（未經調 整） Level 2 – based on valuation techniques for which the 第二層級 －基於對公平值計量而言屬 lowest level input that is significant to the fair value 重大的可觀察（直接或間 measurement is observable, either directly or indirectly 接）最低層級輸入數據的 估值技術 Level 3 – based on valuation techniques for which th</t>
        </is>
      </c>
    </row>
    <row r="6">
      <c r="A6" s="8" t="inlineStr">
        <is>
          <t>Fair Value Measurement</t>
        </is>
      </c>
      <c r="B6" s="8" t="inlineStr">
        <is>
          <t>公允價值計量</t>
        </is>
      </c>
      <c r="C6" s="20" t="inlineStr">
        <is>
          <t>high</t>
        </is>
      </c>
      <c r="D6" s="11" t="inlineStr">
        <is>
          <t>公允價值</t>
        </is>
      </c>
      <c r="E6" s="11" t="inlineStr">
        <is>
          <t>PDF p.173 (印刷頁 6)</t>
        </is>
      </c>
      <c r="F6" s="11" t="inlineStr">
        <is>
          <t>sured in terms of historical cost 以歷史成本計量的外幣非貨幣項目，按 in a foreign currency are translated using the exchange rates at the 初始交易日的匯率換算。以公允價值計 dates of the initial transactions. Non-monetary items measured at 量的外幣非貨幣項目，按公允價值的計 fair value in a foreign currency are translated using the exchange 量日的匯率換算。換算以公允價值計量 rates at the date when the fair value was measured. The gain or loss 的非貨幣項目所產生的收益或虧損，按 arising on translation of a non-monetary item measured at fair value 該項目公允價值變動的收益或虧損的確 is treated in line with the recognition of the gain</t>
        </is>
      </c>
    </row>
    <row r="7">
      <c r="A7" s="8" t="inlineStr">
        <is>
          <t>Fair Value Measurement</t>
        </is>
      </c>
      <c r="B7" s="8" t="inlineStr">
        <is>
          <t>公允價值計量</t>
        </is>
      </c>
      <c r="C7" s="20" t="inlineStr">
        <is>
          <t>high</t>
        </is>
      </c>
      <c r="D7" s="11" t="inlineStr">
        <is>
          <t>fair value hierarchy</t>
        </is>
      </c>
      <c r="E7" s="11" t="inlineStr">
        <is>
          <t>PDF p.194 (印刷頁 6)</t>
        </is>
      </c>
      <c r="F7" s="11" t="inlineStr">
        <is>
          <t>l. The key input was the capitalisation rate of 5%. (b) 投資物業的公平值計量 (b) Fair value measurement of investment properties (i) 公平值層級 (i) Fair value hierarchy The following table presents the fair value of the Group’s 下表呈列本集團投資物業於 investment properties measured at the end of the 報告期末按經常性基準計量 reporting period on a recurring basis, categorised into 之公平值，並按照香港財務 報告準則第13 號公平值計 the three-level fair value hierarchy as defined in HKFRS 13 Fair Value Measurement. The level into which a fair 量的定義分為三個公平值等 value measurement is classified is de</t>
        </is>
      </c>
    </row>
    <row r="8">
      <c r="A8" s="8" t="inlineStr">
        <is>
          <t>Fair Value Measurement</t>
        </is>
      </c>
      <c r="B8" s="8" t="inlineStr">
        <is>
          <t>公允價值計量</t>
        </is>
      </c>
      <c r="C8" s="20" t="inlineStr">
        <is>
          <t>high</t>
        </is>
      </c>
      <c r="D8" s="11" t="inlineStr">
        <is>
          <t>fair value hierarchy</t>
        </is>
      </c>
      <c r="E8" s="11" t="inlineStr">
        <is>
          <t>PDF p.195 (印刷頁 6)</t>
        </is>
      </c>
      <c r="F8" s="11" t="inlineStr">
        <is>
          <t>設備以及投資物 INVESTMENT PROPERTIES 業（續） (Continued) (b) Fair value measurement of investment (b) 投資物業的公平值計量（續） properties (Continued) (i) Fair value hierarchy (Continued) (i) 公平值層級（續） • Level 2 valuations: Fair value measured using • 第二層級估值：使用第 Level 2 inputs, i.e. observable inputs which 二層級輸入數據計量的 fail to meet Level 1, and not using significant 公平值，即不符合第一 unobservable inputs. Unobservable inputs are 層級的可觀察輸入數據 inputs for which market data are not available 及未有採用不可觀察的 重要輸入數據。不可觀 察輸入數據乃指無法取 得市場資料的輸入數據 • Level 3 valuations: Fair valu</t>
        </is>
      </c>
    </row>
    <row r="9">
      <c r="A9" s="8" t="inlineStr">
        <is>
          <t>Fair Value Measurement</t>
        </is>
      </c>
      <c r="B9" s="8" t="inlineStr">
        <is>
          <t>公允價值計量</t>
        </is>
      </c>
      <c r="C9" s="20" t="inlineStr">
        <is>
          <t>high</t>
        </is>
      </c>
      <c r="D9" s="11" t="inlineStr">
        <is>
          <t>fair value hierarchy</t>
        </is>
      </c>
      <c r="E9" s="11" t="inlineStr">
        <is>
          <t>PDF p.196 (印刷頁 6)</t>
        </is>
      </c>
      <c r="F9" s="11" t="inlineStr">
        <is>
          <t>設備以及投資物 INVESTMENT PROPERTIES 業（續） (Continued) (b) Fair value measurement of investment (b) 投資物業的公平值計量（續） properties (Continued) (i) Fair value hierarchy (Continued) (i) 公平值層級（續） During the years ended 31 March 2026 and 2025, 於截至二零二六年及二零二五 there were no transfers between Level 1 and Level 2, or 年三月三十一日止年度，第一 transfers into or out of Level 3. The Group’s policy is to 層級與第二層級之間並無轉 recognise transfers between levels of fair value hierarchy 移，亦無轉入或轉出第三層 as at the end of the reporting period in which they occur. 級。本集團之政策為於公平值 層級之間發生</t>
        </is>
      </c>
    </row>
    <row r="10">
      <c r="A10" s="8" t="inlineStr">
        <is>
          <t>Fair Value Measurement</t>
        </is>
      </c>
      <c r="B10" s="8" t="inlineStr">
        <is>
          <t>公允價值計量</t>
        </is>
      </c>
      <c r="C10" s="20" t="inlineStr">
        <is>
          <t>high</t>
        </is>
      </c>
      <c r="D10" s="11" t="inlineStr">
        <is>
          <t>level 3</t>
        </is>
      </c>
      <c r="E10" s="11" t="inlineStr">
        <is>
          <t>PDF p.197 (印刷頁 6)</t>
        </is>
      </c>
      <c r="F10" s="11" t="inlineStr">
        <is>
          <t>PROPERTIES 業（續） (Continued) (b) Fair value measurement of investment (b) 投資物業的公平值計量（續） properties (Continued) (ii) Information about Level 3 fair value (ii) 第三層級公平值計量資料 measurement The fair value of properties is determined using the 物業之公平值乃使用市場比 market comparison approach by reference to recent 較法釐定，其經參考可供比 sales price of comparable properties on a price per 較物業按每平方呎價格基準 square foot basis, adjusted for a premium or a discount 計算之近期售價，且已就本 specific to the quality of the Group’s properties 集團物業質量之特定溢價或 compared to the recent sal</t>
        </is>
      </c>
    </row>
    <row r="11">
      <c r="A11" s="8" t="inlineStr">
        <is>
          <t>Fair Value Measurement</t>
        </is>
      </c>
      <c r="B11" s="8" t="inlineStr">
        <is>
          <t>公允價值計量</t>
        </is>
      </c>
      <c r="C11" s="20" t="inlineStr">
        <is>
          <t>high</t>
        </is>
      </c>
      <c r="D11" s="11" t="inlineStr">
        <is>
          <t>fair value hierarchy</t>
        </is>
      </c>
      <c r="E11" s="11" t="inlineStr">
        <is>
          <t>PDF p.273 (印刷頁 6)</t>
        </is>
      </c>
      <c r="F11" s="11" t="inlineStr">
        <is>
          <t>ital during the 或流程作出任何變動。 year. Fair value measurement 公平值計量 Financial assets and liabilities measured at fair value 按公平值計量的金融資產及負債 Fair value hierarchy 公平值層級 The following table presents the fair value of the Group’s financial 下表呈列本集團金融工具於報告期末按 instruments measured at the end of the reporting period on a 經常性基準計量的公平值，並按照香港 recurring basis, categorised into the three-level fair value hierarchy 財務報告準則第13號公平值計量的定義 as defined in HKFRS 13 Fair Value Measurement. The level into 分為三個公平值層級。公平值計量的層 which a fair value measurement is cla</t>
        </is>
      </c>
    </row>
    <row r="12">
      <c r="A12" s="8" t="inlineStr">
        <is>
          <t>Fair Value Measurement</t>
        </is>
      </c>
      <c r="B12" s="8" t="inlineStr">
        <is>
          <t>公允價值計量</t>
        </is>
      </c>
      <c r="C12" s="20" t="inlineStr">
        <is>
          <t>high</t>
        </is>
      </c>
      <c r="D12" s="11" t="inlineStr">
        <is>
          <t>fair value hierarchy</t>
        </is>
      </c>
      <c r="E12" s="11" t="inlineStr">
        <is>
          <t>PDF p.274 (印刷頁 6)</t>
        </is>
      </c>
      <c r="F12" s="11" t="inlineStr">
        <is>
          <t>d) Fair value measurement (Continued) 公平值計量（續） Financial assets and liabilities measured at fair value 按公平值計量的金融資產及負債（續） (Continued) Fair value hierarchy (Continued) 公平值層級（續） The following tables illustrate the fair value measurement hierarchy 下表列示本集團金融工具的公平值計量 of the Group’s financial instruments: 層級： Assets measured at fair value 按公平值計量的資產 Fair value measurement using 使用下列者進行公平值計量 Quoted prices Significant Significant in active observable unobservable markets inputs inputs (Level 1) (Level 2) (Level 3) Total 於活躍市場 重大可觀察 重大不可觀</t>
        </is>
      </c>
    </row>
    <row r="13">
      <c r="A13" s="8" t="inlineStr">
        <is>
          <t>Fair Value Measurement</t>
        </is>
      </c>
      <c r="B13" s="8" t="inlineStr">
        <is>
          <t>公允價值計量</t>
        </is>
      </c>
      <c r="C13" s="20" t="inlineStr">
        <is>
          <t>high</t>
        </is>
      </c>
      <c r="D13" s="11" t="inlineStr">
        <is>
          <t>fair value hierarchy</t>
        </is>
      </c>
      <c r="E13" s="11" t="inlineStr">
        <is>
          <t>PDF p.275 (印刷頁 6)</t>
        </is>
      </c>
      <c r="F13" s="11" t="inlineStr">
        <is>
          <t>d) Fair value measurement (Continued) 公平值計量（續） Financial assets and liabilities measured at fair value 按公平值計量的金融資產及負債（續） (Continued) Fair value hierarchy (Continued) 公平值層級（續） Assets measured at fair value (Continued) 按公平值計量的資產（續） During the year, there were no transfers of fair value measurements 本年度，金融資產的第一層級與第二層 between Level 1 and Level 2 and no transfers into or out of Level 3 級之間並無公平值計量轉撥，亦無進行 for financial assets (2025: Nil). 第三層級轉入或轉出（二零二五年：無）。 Liabilities measured at fair value 以公平值計量的負債 Fair value measurement using 使用下</t>
        </is>
      </c>
    </row>
    <row r="14">
      <c r="A14" s="8" t="inlineStr">
        <is>
          <t>Fair Value Measurement</t>
        </is>
      </c>
      <c r="B14" s="8" t="inlineStr">
        <is>
          <t>公允價值計量</t>
        </is>
      </c>
      <c r="C14" s="20" t="inlineStr">
        <is>
          <t>high</t>
        </is>
      </c>
      <c r="D14" s="11" t="inlineStr">
        <is>
          <t>level 2</t>
        </is>
      </c>
      <c r="E14" s="11" t="inlineStr">
        <is>
          <t>PDF p.276 (印刷頁 6)</t>
        </is>
      </c>
      <c r="F14" s="11" t="inlineStr">
        <is>
          <t>RISK MANAGEMENT AND FAIR 37. 金融風險管理及金融工具的公 VALUE OF FINANCIAL INSTRUMENTS 平值（續） (Continued) Valuation techniques and inputs used in Level 2 第二層級公平值計量所用的估值 fair value measurements 技術及輸入數據 The unlisted fund investments are not quoted in an active market 非上市基金投資在活躍市場並無報價， and may be subject to restrictions on redemptions. Management 可能受到贖回限制。管理層將對該等投 considers the valuation techniques and inputs used in valuing these 資基金進行估值時所使用的估值技術及 investment funds as part of its due diligence prior to investing to 輸入數據視為其於投資前的盡職審查的 ensure the</t>
        </is>
      </c>
    </row>
    <row r="15">
      <c r="A15" s="8" t="inlineStr">
        <is>
          <t>Fair Value Measurement</t>
        </is>
      </c>
      <c r="B15" s="8" t="inlineStr">
        <is>
          <t>公允價值計量</t>
        </is>
      </c>
      <c r="C15" s="20" t="inlineStr">
        <is>
          <t>high</t>
        </is>
      </c>
      <c r="D15" s="11" t="inlineStr">
        <is>
          <t>level 3</t>
        </is>
      </c>
      <c r="E15" s="11" t="inlineStr">
        <is>
          <t>PDF p.277 (印刷頁 6)</t>
        </is>
      </c>
      <c r="F15" s="11" t="inlineStr">
        <is>
          <t>RISK MANAGEMENT AND FAIR 37. 金融風險管理及金融工具的公 VALUE OF FINANCIAL INSTRUMENTS 平值（續） (Continued) Valuation techniques and inputs used in Level 3 第三層級公平值計量所用的估值 fair value measurements (Continued) 技術及輸入數據（續） As at 31 March 2026, it is estimated that with all other variables 於二零二六年三月三十一日，估計於所 held constant, a decrease/increase in average occupancy rate for 有其他變量不變的情況下，未來五年 the next five years by 5% would increase/decrease the Group’s loss 的平均入住率下跌╱增加5%，本集團 for the year by approximately HK$16,202,000 and HK$16,207,000 的年內虧損增加╱減少約16,20</t>
        </is>
      </c>
    </row>
    <row r="16">
      <c r="A16" s="8" t="inlineStr">
        <is>
          <t>Fair Value Measurement</t>
        </is>
      </c>
      <c r="B16" s="8" t="inlineStr">
        <is>
          <t>公允價值計量</t>
        </is>
      </c>
      <c r="C16" s="20" t="inlineStr">
        <is>
          <t>high</t>
        </is>
      </c>
      <c r="D16" s="11" t="inlineStr">
        <is>
          <t>level 3</t>
        </is>
      </c>
      <c r="E16" s="11" t="inlineStr">
        <is>
          <t>PDF p.278 (印刷頁 6)</t>
        </is>
      </c>
      <c r="F16" s="11" t="inlineStr">
        <is>
          <t>RISK MANAGEMENT AND FAIR 37. 金融風險管理及金融工具的公 VALUE OF FINANCIAL INSTRUMENTS 平值（續） (Continued) Valuation techniques and inputs used in Level 3 第三層級公平值計量所用的估值 fair value measurements (Continued) 技術及輸入數據（續） The fair value of other receivables measured at fair value is 按公平值計量的其他應收款項的公平值 determined with reference to present value of forecast of future 乃根據相關銷售及購買協議中所列條 cash flows in accordance with the terms set out in underlying sales 款，參考未來現金流量的預測現值釐 and purchase agreements. The fair value of other receivables is 定。其他應收款項的公平值與被投資公 n</t>
        </is>
      </c>
    </row>
    <row r="17">
      <c r="A17" s="8" t="inlineStr">
        <is>
          <t>Fair Value Measurement</t>
        </is>
      </c>
      <c r="B17" s="8" t="inlineStr">
        <is>
          <t>公允價值計量</t>
        </is>
      </c>
      <c r="C17" s="20" t="inlineStr">
        <is>
          <t>high</t>
        </is>
      </c>
      <c r="D17" s="11" t="inlineStr">
        <is>
          <t>level 3</t>
        </is>
      </c>
      <c r="E17" s="11" t="inlineStr">
        <is>
          <t>PDF p.279 (印刷頁 6)</t>
        </is>
      </c>
      <c r="F17" s="11" t="inlineStr">
        <is>
          <t>RISK MANAGEMENT AND FAIR 37. 金融風險管理及金融工具的公 VALUE OF FINANCIAL INSTRUMENTS 平值（續） (Continued) Valuation techniques and inputs used in Level 3 第三層級公平值計量所用的估值 fair value measurements (Continued) 技術及輸入數據（續） The movements during the year in the balance of the Level 3 年內第三層級計量結餘變動如下： measurements are as follows: Financial assets 金融資產 Unlisted Investments Unlisted equity Unlisted in life equity investments fund insurance Interest rate investment Other – FVTPL investments policies swap – FVOCI receivables Total 非上市 非上市 股本投資 股本投資 －按公平值</t>
        </is>
      </c>
    </row>
    <row r="18">
      <c r="A18" s="8" t="inlineStr">
        <is>
          <t>Fair Value Measurement</t>
        </is>
      </c>
      <c r="B18" s="8" t="inlineStr">
        <is>
          <t>公允價值計量</t>
        </is>
      </c>
      <c r="C18" s="20" t="inlineStr">
        <is>
          <t>high</t>
        </is>
      </c>
      <c r="D18" s="11" t="inlineStr">
        <is>
          <t>level 3</t>
        </is>
      </c>
      <c r="E18" s="11" t="inlineStr">
        <is>
          <t>PDF p.280 (印刷頁 6)</t>
        </is>
      </c>
      <c r="F18" s="11" t="inlineStr">
        <is>
          <t>RISK MANAGEMENT AND FAIR 37. 金融風險管理及金融工具的公 VALUE OF FINANCIAL INSTRUMENTS 平值（續） (Continued) Valuation techniques and inputs used in Level 3 第三層級公平值計量所用的估值 fair value measurements (Continued) 技術及輸入數據（續） Financial liabilities 金融負債 Other payables 其他應付款項 HK$’000 千港元 At 1 April 2024 於二零二四年四月一日 17,023 Fair value changes 公平值變動 (4,818) At 31 March 2025 and 1 April 2025 於二零二五年三月三十一日及二零二五年四月一日 12,205 Fair value changes 公平值變動 12,795 At 31 March 2026 於二零二六年三月三十一日 25,000 During the year ended 31 March 2026 and 2025, there were no 截至二零二六年及二</t>
        </is>
      </c>
    </row>
    <row r="19">
      <c r="A19" s="8" t="inlineStr">
        <is>
          <t>Impairment Testing</t>
        </is>
      </c>
      <c r="B19" s="8" t="inlineStr">
        <is>
          <t>減值測試</t>
        </is>
      </c>
      <c r="C19" s="20" t="inlineStr">
        <is>
          <t>high</t>
        </is>
      </c>
      <c r="D19" s="11" t="inlineStr">
        <is>
          <t>impairment loss</t>
        </is>
      </c>
      <c r="E19" s="11" t="inlineStr">
        <is>
          <t>PDF p.5 (印刷頁 6)</t>
        </is>
      </c>
      <c r="F19" s="11" t="inlineStr">
        <is>
          <t>through 金融資產的利息收入 profit or loss (901) – – – – (LBITDA)/EBITDA （息稅折舊及攤銷前之 虧損）╱息稅折舊及 攤銷前之盈利 (110,103) 307,846 388,132 430,270 536,364 Impairment loss on goodwill 商譽減值虧損 198,248 115,599 – 7,481 – Impairment loss on property, 物業、廠房及設備減值 plant and equipment 虧損 71,223 – – – – Impairment loss on intangible 無形資產減值虧損 assets 74,575 – – – – Impairment loss on interest in 於一間合營企業的權益 a joint venture 減值虧損 – 9,892 – – – Share of impairment loss on 分佔於一間聯營公司的 interest in an associate# 權益減值虧損# – 87,979 – – – Unrealised and realised losses 按公平值</t>
        </is>
      </c>
    </row>
    <row r="20">
      <c r="A20" s="8" t="inlineStr">
        <is>
          <t>Impairment Testing</t>
        </is>
      </c>
      <c r="B20" s="8" t="inlineStr">
        <is>
          <t>減值測試</t>
        </is>
      </c>
      <c r="C20" s="20" t="inlineStr">
        <is>
          <t>high</t>
        </is>
      </c>
      <c r="D20" s="11" t="inlineStr">
        <is>
          <t>impairment loss</t>
        </is>
      </c>
      <c r="E20" s="11" t="inlineStr">
        <is>
          <t>PDF p.22 (印刷頁 6)</t>
        </is>
      </c>
      <c r="F20" s="11" t="inlineStr">
        <is>
          <t>益的 government grants, unrealised and realised losses on financial 金融資產的已變現及未變現虧損、商譽的減值虧 assets at fair value through profit or loss, impairment losses on 損、無形資產、物業、廠房及設備、投資物業及 goodwill, intangible assets, property, plant and equipment, fair 其他應收款項的公平值虧損，以及出售及撇銷 value losses on investment properties and other receivables, 物業、廠房及設備的虧損）後，經調整EBITDA為 and losses on disposals and write-off of property, plant and 280.3百萬港元，同比下跌25.3%。有關跌幅主要 equipment, adjusted EBITDA amounted to HK$280.3 million, 由於收入及銷售額下降、若干業務單位的經營槓 representing a yea</t>
        </is>
      </c>
    </row>
    <row r="21">
      <c r="A21" s="8" t="inlineStr">
        <is>
          <t>Impairment Testing</t>
        </is>
      </c>
      <c r="B21" s="8" t="inlineStr">
        <is>
          <t>減值測試</t>
        </is>
      </c>
      <c r="C21" s="20" t="inlineStr">
        <is>
          <t>high</t>
        </is>
      </c>
      <c r="D21" s="11" t="inlineStr">
        <is>
          <t>impairment loss</t>
        </is>
      </c>
      <c r="E21" s="11" t="inlineStr">
        <is>
          <t>PDF p.115 (印刷頁 6)</t>
        </is>
      </c>
      <c r="F21" s="11" t="inlineStr">
        <is>
          <t>iscounted cash flow forecasts or fair value less costs key assumptions made by the external valuers/ of disposal to determine if any impairment loss should be management including, inter alia, the discount rate and recognised. The Group engaged external valuers to assist in long term growth rate, in the value in use calculation of evaluating the recoverable amounts of certain CGUs/groups certain CGUs or groups of CGUs. of CGUs based on the discounted cash flow forecasts • 引入我們的內部估值專家，協助我們評估外部估值 prepared by management. 師╱管理層在若干現</t>
        </is>
      </c>
    </row>
    <row r="22">
      <c r="A22" s="8" t="inlineStr">
        <is>
          <t>Impairment Testing</t>
        </is>
      </c>
      <c r="B22" s="8" t="inlineStr">
        <is>
          <t>減值測試</t>
        </is>
      </c>
      <c r="C22" s="20" t="inlineStr">
        <is>
          <t>high</t>
        </is>
      </c>
      <c r="D22" s="11" t="inlineStr">
        <is>
          <t>impairment loss</t>
        </is>
      </c>
      <c r="E22" s="11" t="inlineStr">
        <is>
          <t>PDF p.120 (印刷頁 6)</t>
        </is>
      </c>
      <c r="F22" s="11" t="inlineStr">
        <is>
          <t>es HK$’000 HK$’000 附註 千港元 千港元 REVENUE 收入 5 3,770,192 4,140,212 Other net income and (losses)/gains 其他收入及（虧損）╱收益淨額 6 (37,528) 186,785 Impairment loss on non-financial assets 非金融資產減值虧損 (344,046) (125,491) Cost of inventories sold and consumed 已售及已消耗存貨成本 (817,998) (797,951) Registered practitioner expenses 註冊醫生開支 (829,965) (1,075,846) Employee benefit expenses 僱員福利開支 (1,009,658) (1,016,496) Marketing and advertising expenses 市場推廣及廣告開支 (152,211) (177,469) Rental and related expenses 租金及相關開支 (104,108) (91,633) Depreciation – right-o</t>
        </is>
      </c>
    </row>
    <row r="23">
      <c r="A23" s="8" t="inlineStr">
        <is>
          <t>Impairment Testing</t>
        </is>
      </c>
      <c r="B23" s="8" t="inlineStr">
        <is>
          <t>減值測試</t>
        </is>
      </c>
      <c r="C23" s="20" t="inlineStr">
        <is>
          <t>high</t>
        </is>
      </c>
      <c r="D23" s="11" t="inlineStr">
        <is>
          <t>impairment loss</t>
        </is>
      </c>
      <c r="E23" s="11" t="inlineStr">
        <is>
          <t>PDF p.125 (印刷頁 6)</t>
        </is>
      </c>
      <c r="F23" s="11" t="inlineStr">
        <is>
          <t>n lease liabilities 租賃負債利息 7 26,241 24,339 Reversal of imputed interest expenses on 應付代價之估算利息 consideration payable 開支撥回 7 – (1,253) Impairment loss on goodwill 商譽減值虧損 8 198,248 115,599 Impairment loss on property, plant and 物業、廠房及設備減值 equipment 虧損 8 71,223 – Impairment loss on intangible assets 無形資產減值虧損 8 74,575 – Impairment loss on interest in a joint 於一間合營企業的權益 venture 減值虧損 8 – 9,892 Depreciation 折舊 8 420,135 512,795 Amortisation of intangible assets 無形資產攤銷 8 92,106 118,182 Equity-settled share-based payment 以權益結算以股份為基礎之 exp</t>
        </is>
      </c>
    </row>
    <row r="24">
      <c r="A24" s="8" t="inlineStr">
        <is>
          <t>Impairment Testing</t>
        </is>
      </c>
      <c r="B24" s="8" t="inlineStr">
        <is>
          <t>減值測試</t>
        </is>
      </c>
      <c r="C24" s="20" t="inlineStr">
        <is>
          <t>high</t>
        </is>
      </c>
      <c r="D24" s="11" t="inlineStr">
        <is>
          <t>impairment loss</t>
        </is>
      </c>
      <c r="E24" s="11" t="inlineStr">
        <is>
          <t>PDF p.138 (印刷頁 6)</t>
        </is>
      </c>
      <c r="F24" s="11" t="inlineStr">
        <is>
          <t>ncial position at the Group’s 乃根據權益會計法按本集團所佔資產淨 share of net assets under the equity method of accounting, less 值減任何減值虧損列入綜合財務狀況 any impairment losses. Adjustments are made to bring into line any 表。本集團會就會計政策中可能存在的 dissimilar accounting policies that may exist. 相異之處作出相應調整。 The Group’s share of the post-acquisition results and other 本集團所佔聯營公司及合營企業的收購 comprehensive income of associates and joint ventures is 後業績及其他全面收益分別列入綜合損 included in the consolidated profit or loss and consolidated other 益及綜合其他全面收益。此外，倘聯營 comprehensive income,</t>
        </is>
      </c>
    </row>
    <row r="25">
      <c r="A25" s="8" t="inlineStr">
        <is>
          <t>Impairment Testing</t>
        </is>
      </c>
      <c r="B25" s="8" t="inlineStr">
        <is>
          <t>減值測試</t>
        </is>
      </c>
      <c r="C25" s="20" t="inlineStr">
        <is>
          <t>high</t>
        </is>
      </c>
      <c r="D25" s="11" t="inlineStr">
        <is>
          <t>impairment test</t>
        </is>
      </c>
      <c r="E25" s="11" t="inlineStr">
        <is>
          <t>PDF p.140 (印刷頁 6)</t>
        </is>
      </c>
      <c r="F25" s="11" t="inlineStr">
        <is>
          <t>in circumstances 表明賬面值可能減值，每年或更頻繁地 indicate that the carrying value may be impaired. The Group 對商譽進行減值測試。本集團每年於三 performs its annual impairment test of goodwill as at 31 March. For 月三十一日進行商譽減值測試。就減值 the purpose of impairment testing, goodwill acquired in a business 測試而言，於業務合併時收購的商譽自 combination is, from the acquisition date, allocated to each of the 收購日起分配至預期將從合併的協同效 Group’s cash-generating units, or groups of cash-generating units, 應受益的本集團各現金產生單位或現金 that are expected to benefit from the synergies of the combination, 產生單位組別，而不論</t>
        </is>
      </c>
    </row>
    <row r="26">
      <c r="A26" s="8" t="inlineStr">
        <is>
          <t>Impairment Testing</t>
        </is>
      </c>
      <c r="B26" s="8" t="inlineStr">
        <is>
          <t>減值測試</t>
        </is>
      </c>
      <c r="C26" s="20" t="inlineStr">
        <is>
          <t>high</t>
        </is>
      </c>
      <c r="D26" s="11" t="inlineStr">
        <is>
          <t>impairment test</t>
        </is>
      </c>
      <c r="E26" s="11" t="inlineStr">
        <is>
          <t>PDF p.143 (印刷頁 6)</t>
        </is>
      </c>
      <c r="F26" s="11" t="inlineStr">
        <is>
          <t>） (Continued) Impairment of non-financial assets 非金融資產減值 Where an indication of impairment exists, or when annual 倘一項資產（存貨、可收回稅項、遞延稅 impairment testing for an asset is required (other than inventories, 項資產、金融資產及投資物業除外）存在 tax recoverable, deferred tax assets, financial assets and investment 減值跡象，或需要進行年度減值測試， properties), the asset’s recoverable amount is estimated. An asset’s 則會估計資產的可收回金額。一項資產 recoverable amount is the higher of the asset’s or cash-generating 的可收回金額乃根據資產或現金產生單 unit’s value in use and its fair value less costs of</t>
        </is>
      </c>
    </row>
    <row r="27">
      <c r="A27" s="8" t="inlineStr">
        <is>
          <t>Impairment Testing</t>
        </is>
      </c>
      <c r="B27" s="8" t="inlineStr">
        <is>
          <t>減值測試</t>
        </is>
      </c>
      <c r="C27" s="20" t="inlineStr">
        <is>
          <t>high</t>
        </is>
      </c>
      <c r="D27" s="11" t="inlineStr">
        <is>
          <t>impairment loss</t>
        </is>
      </c>
      <c r="E27" s="11" t="inlineStr">
        <is>
          <t>PDF p.145 (印刷頁 6)</t>
        </is>
      </c>
      <c r="F27" s="11" t="inlineStr">
        <is>
          <t>d depreciation 物業、廠房及設備以及折舊 Property, plant and equipment are stated at cost less accumulated 物業、廠房及設備按成本減累計折舊及 depreciation and any impairment losses. The cost of an item of 任何減值虧損入賬。物業、廠房及設備 property, plant and equipment comprises its purchase price and 項目的成本包括其購買價以及使該資產 any directly attributable costs of bringing the asset to its working 達至營運狀況及擬定用途地點的任何直 condition and location for its intended use. 接應佔成本。 Expenditure incurred after items of property, plant and equipment 物業、廠房及設備項目投入運作後產生 have been put into operation, such a</t>
        </is>
      </c>
    </row>
    <row r="28">
      <c r="A28" s="8" t="inlineStr">
        <is>
          <t>Impairment Testing</t>
        </is>
      </c>
      <c r="B28" s="8" t="inlineStr">
        <is>
          <t>減值測試</t>
        </is>
      </c>
      <c r="C28" s="20" t="inlineStr">
        <is>
          <t>high</t>
        </is>
      </c>
      <c r="D28" s="11" t="inlineStr">
        <is>
          <t>impairment loss</t>
        </is>
      </c>
      <c r="E28" s="11" t="inlineStr">
        <is>
          <t>PDF p.147 (印刷頁 6)</t>
        </is>
      </c>
      <c r="F28" s="11" t="inlineStr">
        <is>
          <t>是否持續可靠。否則，使用年期評估由 finite is accounted for on a prospective basis. 無限轉至有限時則按未來基準入賬。 Licences 牌照 Licences are stated at cost less any impairment losses and are 所購入的牌照按成本減任何減值虧損列 amortised on the straight-line basis over their estimated useful lives 賬，並按直線法於其5年期的估計可使用 of 5 years. 年期內攤銷。 Trademarks 商標 Trademarks are stated at cost less any impairment losses and are 商標按成本減任何減值虧損列賬，並於 amortised on the straight-line basis over their estimated useful lives 10至20年的估計可使用年期內按直線基 of 10 to 20 years. 準攤銷。 Club memberships and school debentu</t>
        </is>
      </c>
    </row>
    <row r="29">
      <c r="A29" s="8" t="inlineStr">
        <is>
          <t>Impairment Testing</t>
        </is>
      </c>
      <c r="B29" s="8" t="inlineStr">
        <is>
          <t>減值測試</t>
        </is>
      </c>
      <c r="C29" s="20" t="inlineStr">
        <is>
          <t>high</t>
        </is>
      </c>
      <c r="D29" s="11" t="inlineStr">
        <is>
          <t>impairment loss</t>
        </is>
      </c>
      <c r="E29" s="11" t="inlineStr">
        <is>
          <t>PDF p.148 (印刷頁 6)</t>
        </is>
      </c>
      <c r="F29" s="11" t="inlineStr">
        <is>
          <t>ther than goodwill) (Continued) 無形資產（商譽除外） （續） IT applications platform 資訊科技應用平台 IT applications platform is stated at cost less any impairment losses 資訊科技應用平台按成本減任何減值虧 and is amortised on the straight-line basis over its estimated useful 損列賬，並於7年的估計可使用年期內按 life of 7 years. 直線基準攤銷。 Other intangible assets 其他無形資產 Other intangible assets are stated at cost less any impairment 其他無形資產按成本減任何減值虧損列 losses and are amortised on the straight-line basis over their 賬，並於8年的估計可使用年期內按直線 estimated useful lives of 8 years. 基準攤銷。 Leases 租賃 The G</t>
        </is>
      </c>
    </row>
    <row r="30">
      <c r="A30" s="8" t="inlineStr">
        <is>
          <t>Impairment Testing</t>
        </is>
      </c>
      <c r="B30" s="8" t="inlineStr">
        <is>
          <t>減值測試</t>
        </is>
      </c>
      <c r="C30" s="20" t="inlineStr">
        <is>
          <t>high</t>
        </is>
      </c>
      <c r="D30" s="11" t="inlineStr">
        <is>
          <t>recoverable amount</t>
        </is>
      </c>
      <c r="E30" s="11" t="inlineStr">
        <is>
          <t>PDF p.176 (印刷頁 6)</t>
        </is>
      </c>
      <c r="F30" s="11" t="inlineStr">
        <is>
          <t>現率計 suitable discount rate in order to calculate the present value of 算該等現金流量的現值。於釐定若干現 those cash flows. In determining whether the recoverable amounts 金產生單位組別的可收回金額是否按公 of certain groups of cash-generating units are the fair value less 平值減出售成本計量時，亦採用貼現現 costs of disposal, discounted cash flow projections are also used 金流量預測，以計量其公平值減出售成 for measuring their fair value less costs of disposal. The carrying 本。於二零二六年三月三十一日，商譽 amount of goodwill at 31 March 2026 was HK$556,298,000 (2025: 的賬面值為556,298,000港元（二零二五 HK$754,546,000). Furt</t>
        </is>
      </c>
    </row>
    <row r="31">
      <c r="A31" s="8" t="inlineStr">
        <is>
          <t>Impairment Testing</t>
        </is>
      </c>
      <c r="B31" s="8" t="inlineStr">
        <is>
          <t>減值測試</t>
        </is>
      </c>
      <c r="C31" s="20" t="inlineStr">
        <is>
          <t>high</t>
        </is>
      </c>
      <c r="D31" s="11" t="inlineStr">
        <is>
          <t>impairment loss</t>
        </is>
      </c>
      <c r="E31" s="11" t="inlineStr">
        <is>
          <t>PDF p.179 (印刷頁 6)</t>
        </is>
      </c>
      <c r="F31" s="11" t="inlineStr">
        <is>
          <t>e through profit or loss, other 損益的金融資產之利息收入、其他利息 interest income, dividend income from unlisted investment funds, 收入、非上市投資資金的股息收入丶商 impairment losses on goodwill, property, plant and equipment, 譽、物業、廠房及設備、無形資產以及 intangible assets and interest in a joint venture, unrealised losses 一間合營企業的權益減值虧損、按公平 on financial assets at fair value through profit or loss, net, fair value 值計入損益的金融資產之未變現虧損淨 loss on other receivables, fair value loss on investment properties, 額丶其他應收款項公平值虧損、投資物 remeasurement loss on previously-held interest in an a</t>
        </is>
      </c>
    </row>
    <row r="32">
      <c r="A32" s="8" t="inlineStr">
        <is>
          <t>Impairment Testing</t>
        </is>
      </c>
      <c r="B32" s="8" t="inlineStr">
        <is>
          <t>減值測試</t>
        </is>
      </c>
      <c r="C32" s="20" t="inlineStr">
        <is>
          <t>high</t>
        </is>
      </c>
      <c r="D32" s="11" t="inlineStr">
        <is>
          <t>impairment loss</t>
        </is>
      </c>
      <c r="E32" s="11" t="inlineStr">
        <is>
          <t>PDF p.180 (印刷頁 6)</t>
        </is>
      </c>
      <c r="F32" s="11" t="inlineStr">
        <is>
          <t>t or loss 金融資產之利息收入 901 – Other interest income 其他利息收入 493 1,558 Dividend income from unlisted 非上市投資資金的 investment funds 股息收入 69 225 Impairment loss on goodwill 商譽減值虧損 (198,248) (115,599) Impairment loss on property, 物業、廠房及設備減值 plant and equipment 虧損 (71,223) – Impairment loss on intangible assets 無形資產減值虧損 (74,575) – Impairment loss on interest in a joint 一間合營企業的權益 venture 減值虧損 – (9,892) Unrealised losses on financial 按公平值計入損益的 assets at fair value through 金融資產的未變現 profit or loss, net 虧損淨額 (4,127) (10,939) Fair value loss on ot</t>
        </is>
      </c>
    </row>
    <row r="33">
      <c r="A33" s="8" t="inlineStr">
        <is>
          <t>Impairment Testing</t>
        </is>
      </c>
      <c r="B33" s="8" t="inlineStr">
        <is>
          <t>減值測試</t>
        </is>
      </c>
      <c r="C33" s="20" t="inlineStr">
        <is>
          <t>high</t>
        </is>
      </c>
      <c r="D33" s="11" t="inlineStr">
        <is>
          <t>impairment loss</t>
        </is>
      </c>
      <c r="E33" s="11" t="inlineStr">
        <is>
          <t>PDF p.184 (印刷頁 6)</t>
        </is>
      </c>
      <c r="F33" s="11" t="inlineStr">
        <is>
          <t>零二六年三月三十一日止年 incremental costs charged to profit or loss was HK$226,129,777 度，於損益扣除的有關增量成本的金 (2025: HK$295,414,000) and there was no impairment loss in 額為226,129,777 港元（二零二五年： relation to the costs capitalised. 295,414,000港元），且並無有關資本化 成本的減值虧損。 醫思健康 183 年度報告 2 0 2 5 / 2 6</t>
        </is>
      </c>
    </row>
    <row r="34">
      <c r="A34" s="8" t="inlineStr">
        <is>
          <t>Impairment Testing</t>
        </is>
      </c>
      <c r="B34" s="8" t="inlineStr">
        <is>
          <t>減值測試</t>
        </is>
      </c>
      <c r="C34" s="20" t="inlineStr">
        <is>
          <t>high</t>
        </is>
      </c>
      <c r="D34" s="11" t="inlineStr">
        <is>
          <t>impairment loss</t>
        </is>
      </c>
      <c r="E34" s="11" t="inlineStr">
        <is>
          <t>PDF p.186 (印刷頁 6)</t>
        </is>
      </c>
      <c r="F34" s="11" t="inlineStr">
        <is>
          <t>ent —自有物業、廠房及設備 152,303 218,762 – right-of-use assets —使用權資產 267,832 294,033 Amortisation of intangible assets 無形資產攤銷 92,106 118,182 Impairment loss on goodwill 商譽減值虧損 198,248 115,599 Impairment loss on property, plant and 物業、廠房及設備減值虧損 equipment 71,223 – Impairment loss on intangible assets 無形資產減值虧損 74,575 – Impairment loss on interest in a joint venture 於一間合營企業的權益減值虧損 – 9,892 Provision for loss allowance for trade 貿易應收款項虧損撥備* receivables* – 1,816 Foreign exchange differences, net* 外匯差額淨額* 77 2,564 Rental income from investment</t>
        </is>
      </c>
    </row>
    <row r="35">
      <c r="A35" s="8" t="inlineStr">
        <is>
          <t>Impairment Testing</t>
        </is>
      </c>
      <c r="B35" s="8" t="inlineStr">
        <is>
          <t>減值測試</t>
        </is>
      </c>
      <c r="C35" s="20" t="inlineStr">
        <is>
          <t>high</t>
        </is>
      </c>
      <c r="D35" s="11" t="inlineStr">
        <is>
          <t>impairment test</t>
        </is>
      </c>
      <c r="E35" s="11" t="inlineStr">
        <is>
          <t>PDF p.193 (印刷頁 6)</t>
        </is>
      </c>
      <c r="F35" s="11" t="inlineStr">
        <is>
          <t>30 At 31 March 2025 於二零二五年三月 三十一日 29,530 504,864 182,949 53,159 269,478 8,824 8,941 1,687 1,059,432 104,230 1,163,662 Details of the impairment tests of cash-generating units of 所收購業務現金產生單位的減值測 the acquired businesses, for which impairment losses have 試詳情載於財務報表附註14，而 been recognised during the current year for both owned 本年度已就該等單位的自有資產及 and leased assets, are set out in note 14 to the financial 租賃資產確認減值虧損。 statements. E C H e a l t h c a r e 192 A n n u a l R e p o r t 2 0 2 5 / 2 6</t>
        </is>
      </c>
    </row>
    <row r="36">
      <c r="A36" s="8" t="inlineStr">
        <is>
          <t>Impairment Testing</t>
        </is>
      </c>
      <c r="B36" s="8" t="inlineStr">
        <is>
          <t>減值測試</t>
        </is>
      </c>
      <c r="C36" s="20" t="inlineStr">
        <is>
          <t>high</t>
        </is>
      </c>
      <c r="D36" s="11" t="inlineStr">
        <is>
          <t>impairment loss</t>
        </is>
      </c>
      <c r="E36" s="11" t="inlineStr">
        <is>
          <t>PDF p.194 (印刷頁 6)</t>
        </is>
      </c>
      <c r="F36" s="11" t="inlineStr">
        <is>
          <t>assessment, the recoverable 業的可收回金額為64,312,000港 amount of the leased property was HK$64,312,000. 元。因此，減值虧損25,241,000 Accordingly, an impairment loss of HK$25,241,000 (2025: 港元（二零二五年：無）已於截至二 零二六年三月三十一日止年度的綜 Nil) was recognised in the consolidated statement of profit 合損益表中確認。可收回金額乃基 or loss during the year ended 31 March 2026. The estimate 於公平值減出售成本估算。公平值 of the recoverable amount was based on the fair value less 歸類為第三層級計量，並按淨收入 costs of disposal. The fair value is categorised as a Level 3 資本化基準估算，並已計及支銷， measurement, and is esti</t>
        </is>
      </c>
    </row>
    <row r="37">
      <c r="A37" s="8" t="inlineStr">
        <is>
          <t>Impairment Testing</t>
        </is>
      </c>
      <c r="B37" s="8" t="inlineStr">
        <is>
          <t>減值測試</t>
        </is>
      </c>
      <c r="C37" s="20" t="inlineStr">
        <is>
          <t>high</t>
        </is>
      </c>
      <c r="D37" s="11" t="inlineStr">
        <is>
          <t>impairment loss</t>
        </is>
      </c>
      <c r="E37" s="11" t="inlineStr">
        <is>
          <t>PDF p.198 (印刷頁 6)</t>
        </is>
      </c>
      <c r="F37" s="11" t="inlineStr">
        <is>
          <t>,339 Expense relating to short-term leases 與短期租賃相關的開支 35,074 23,546 Gain on early termination of leases, net 提早終止租賃的收益淨額 (283) (298) Impairment losses on properties leased 租賃作自用的物業的減值虧損 for own use – A commercial property leased from —自一間聯營公司租賃的商用 an associate 物業 25,241 – – Other properties —其他物業 28,807 – 醫思健康 197 年度報告 2 0 2 5 / 2 6</t>
        </is>
      </c>
    </row>
    <row r="38">
      <c r="A38" s="8" t="inlineStr">
        <is>
          <t>Impairment Testing</t>
        </is>
      </c>
      <c r="B38" s="8" t="inlineStr">
        <is>
          <t>減值測試</t>
        </is>
      </c>
      <c r="C38" s="20" t="inlineStr">
        <is>
          <t>high</t>
        </is>
      </c>
      <c r="D38" s="11" t="inlineStr">
        <is>
          <t>CGU</t>
        </is>
      </c>
      <c r="E38" s="11" t="inlineStr">
        <is>
          <t>PDF p.201 (印刷頁 6)</t>
        </is>
      </c>
      <c r="F38" s="11" t="inlineStr">
        <is>
          <t>ing amount 賬面淨值 556,298 754,546 The carrying amounts of goodwill allocated to each of the cash- 分配至各現金產生單位（「現金產生單 generating units (“CGUs”)/groups of CGUs are as follows: 位」）╱現金產生單位組別的商譽賬面值 如下： 2026 2025 二零二六年 二零二五年 HK$’000 HK$’000 千港元 千港元 Distribution of aesthetic devices and beauty 分銷美容設備及美容相關消耗品 related consumables and leasing of 以及租賃美容設備－怡天國際 aesthetic devices – Beautisky 183,337 192,334 Provision of laboratory testing services 提供化驗服務－栢立（「栢立現金 – Pathlab (“Pathlab CGU”) 產生單位」） 134,437 134,437 Provision of aesthetic and beaut</t>
        </is>
      </c>
    </row>
    <row r="39">
      <c r="A39" s="8" t="inlineStr">
        <is>
          <t>Impairment Testing</t>
        </is>
      </c>
      <c r="B39" s="8" t="inlineStr">
        <is>
          <t>減值測試</t>
        </is>
      </c>
      <c r="C39" s="20" t="inlineStr">
        <is>
          <t>high</t>
        </is>
      </c>
      <c r="D39" s="11" t="inlineStr">
        <is>
          <t>recoverable amount</t>
        </is>
      </c>
      <c r="E39" s="11" t="inlineStr">
        <is>
          <t>PDF p.202 (印刷頁 6)</t>
        </is>
      </c>
      <c r="F39" s="11" t="inlineStr">
        <is>
          <t>vices in Hong Kong 香港治療服務－麥堅時 – McKenzie – 18,736 Other insignificant goodwill 其他並不重大的商譽 9,178 13,777 Total 合計 556,298 754,546 * The recoverable amounts of these CGUs as at 31 March 2026 have been * 該等現金產生單位於二零二六年三月 determined based on value in use calculation using discounted cash 三十一日的可收回金額，乃經參考外部估 flows by reference to valuation reports prepared by external valuers. With 值師編製的估值報告，採用貼現現金流量 respect to the cash flow projections of these CGUs/groups of CGUs, the 計算使用價值而釐定。就該等現金產生單 discount rates applied to the cash flow project</t>
        </is>
      </c>
    </row>
    <row r="40">
      <c r="A40" s="8" t="inlineStr">
        <is>
          <t>Impairment Testing</t>
        </is>
      </c>
      <c r="B40" s="8" t="inlineStr">
        <is>
          <t>減值測試</t>
        </is>
      </c>
      <c r="C40" s="20" t="inlineStr">
        <is>
          <t>high</t>
        </is>
      </c>
      <c r="D40" s="11" t="inlineStr">
        <is>
          <t>impairment test</t>
        </is>
      </c>
      <c r="E40" s="11" t="inlineStr">
        <is>
          <t>PDF p.203 (印刷頁 6)</t>
        </is>
      </c>
      <c r="F40" s="11" t="inlineStr">
        <is>
          <t>Notes to the Financial Statements 財務報表附註 14. GOODWILL 14. 商譽（續） (Continued) Impairment testing of goodwill and other non- 商譽及其他非金融資產減值測試 financial assets The recoverable amounts of the above CGUs have been determined 上述現金產生單位的可收回金額乃根據 based on value-in-use calculations. The value-in-use calculations 使用價值法而釐定。使用價值法乃使用 use cash flow projections from financial budgets approved by 高級管理層批准的財務預算所推算的 senior management covering a five-year period (2025: five years). 五年期間內現金流量（二零二</t>
        </is>
      </c>
    </row>
    <row r="41">
      <c r="A41" s="8" t="inlineStr">
        <is>
          <t>Impairment Testing</t>
        </is>
      </c>
      <c r="B41" s="8" t="inlineStr">
        <is>
          <t>減值測試</t>
        </is>
      </c>
      <c r="C41" s="20" t="inlineStr">
        <is>
          <t>high</t>
        </is>
      </c>
      <c r="D41" s="11" t="inlineStr">
        <is>
          <t>impairment test</t>
        </is>
      </c>
      <c r="E41" s="11" t="inlineStr">
        <is>
          <t>PDF p.204 (印刷頁 6)</t>
        </is>
      </c>
      <c r="F41" s="11" t="inlineStr">
        <is>
          <t>Notes to the Financial Statements 財務報表附註 14. GOODWILL 14. 商譽（續） (Continued) Impairment testing of goodwill and other non- 商譽及其他非金融資產減值測試 financial assets (Continued) （續） The details of assumptions adopted in value-in-use calculations for 就五個商譽賬面值最高的現金產生單位 CGUs with the five largest carrying amounts of goodwill and those 及在關鍵假設合理變動後其估計可收回 CGUs with estimated recoverable amounts below their carrying 金額低於賬面值的現金產生單位（如上 amounts following a reasonable change in key assumptions</t>
        </is>
      </c>
    </row>
    <row r="42">
      <c r="A42" s="8" t="inlineStr">
        <is>
          <t>Impairment Testing</t>
        </is>
      </c>
      <c r="B42" s="8" t="inlineStr">
        <is>
          <t>減值測試</t>
        </is>
      </c>
      <c r="C42" s="20" t="inlineStr">
        <is>
          <t>high</t>
        </is>
      </c>
      <c r="D42" s="11" t="inlineStr">
        <is>
          <t>impairment test</t>
        </is>
      </c>
      <c r="E42" s="11" t="inlineStr">
        <is>
          <t>PDF p.205 (印刷頁 6)</t>
        </is>
      </c>
      <c r="F42" s="11" t="inlineStr">
        <is>
          <t>Notes to the Financial Statements 財務報表附註 14. GOODWILL 14. 商譽（續） (Continued) Impairment testing of goodwill and other non- 商譽及其他非金融資產減值測試 financial assets (Continued) （續） As at 31 March 2026, management identified CGUs whose 於二零二六年三月三十一日，管理層識 performance continued to be below expectations, primarily due 別出表現持續低於預期的現金產生單 to subdued demand across the healthcare, aesthetic medical, 位，主要由於醫療保健、醫美、美容及 beauty and wellness-related sectors, as well as changes in market 健康相關行業的需求疲軟</t>
        </is>
      </c>
    </row>
    <row r="43">
      <c r="A43" s="8" t="inlineStr">
        <is>
          <t>Impairment Testing</t>
        </is>
      </c>
      <c r="B43" s="8" t="inlineStr">
        <is>
          <t>減值測試</t>
        </is>
      </c>
      <c r="C43" s="20" t="inlineStr">
        <is>
          <t>high</t>
        </is>
      </c>
      <c r="D43" s="11" t="inlineStr">
        <is>
          <t>impairment test</t>
        </is>
      </c>
      <c r="E43" s="11" t="inlineStr">
        <is>
          <t>PDF p.206 (印刷頁 6)</t>
        </is>
      </c>
      <c r="F43" s="11" t="inlineStr">
        <is>
          <t>Notes to the Financial Statements 財務報表附註 14. GOODWILL 14. 商譽（續） (Continued) Impairment testing of goodwill and other non- 商譽及其他非金融資產減值測試 financial assets (Continued) （續） Based on the recoverable amount assessment, impairment losses 根據可收回金額評估，本年度內亦主要 of other non-current assets were also recognised during the current 就以下現金產生單位確認其他非流動資 year mainly for the following CGUs: 產減值虧損： Property, plant Intangible Total Goodwill and equipment assets impairment 物業、 商譽 廠房及設備 無形資產 減值總額</t>
        </is>
      </c>
    </row>
    <row r="44">
      <c r="A44" s="8" t="inlineStr">
        <is>
          <t>Impairment Testing</t>
        </is>
      </c>
      <c r="B44" s="8" t="inlineStr">
        <is>
          <t>減值測試</t>
        </is>
      </c>
      <c r="C44" s="20" t="inlineStr">
        <is>
          <t>high</t>
        </is>
      </c>
      <c r="D44" s="11" t="inlineStr">
        <is>
          <t>impairment test</t>
        </is>
      </c>
      <c r="E44" s="11" t="inlineStr">
        <is>
          <t>PDF p.207 (印刷頁 6)</t>
        </is>
      </c>
      <c r="F44" s="11" t="inlineStr">
        <is>
          <t>Notes to the Financial Statements 財務報表附註 14. GOODWILL 14. 商譽（續） (Continued) Impairment testing of goodwill and other non- 商譽及其他非金融資產減值測試 financial assets (Continued) （續） As at 31 March 2026, the estimated recoverable amounts of 於二零二六年三月三十一日，栢立、 Pathlab, Mobile Medical, BP Biotech and BMF exceeded their Mobile Medical 、BP Biotech 及BMF 的 carrying amounts by approximately HK$57 million, HK$4 million, 估計可收回金額分別超出其賬面值約57 HK$21 million and HK$37 million, respectively. The growt</t>
        </is>
      </c>
    </row>
    <row r="45">
      <c r="A45" s="8" t="inlineStr">
        <is>
          <t>Impairment Testing</t>
        </is>
      </c>
      <c r="B45" s="8" t="inlineStr">
        <is>
          <t>減值測試</t>
        </is>
      </c>
      <c r="C45" s="20" t="inlineStr">
        <is>
          <t>high</t>
        </is>
      </c>
      <c r="D45" s="11" t="inlineStr">
        <is>
          <t>減值虧損</t>
        </is>
      </c>
      <c r="E45" s="11" t="inlineStr">
        <is>
          <t>PDF p.208 (印刷頁 6)</t>
        </is>
      </c>
      <c r="F45" s="11" t="inlineStr">
        <is>
          <t>港的 memberships and school debentures in Hong Kong. No impairment 會所會籍及學校債券有關。年內並無確 loss was recognised during the year (2025: nil). 認減值虧損（二零二五年：零）。 Details of impairment recognised against intangible assets with 就有限可使用年期的無形資產確認的減 definite useful lives are set out in note 14 to the financial statements. 值詳情載於財務報表附註14。 醫思健康 207 年度報告 2 0 2 5 / 2 6</t>
        </is>
      </c>
    </row>
    <row r="46">
      <c r="A46" s="8" t="inlineStr">
        <is>
          <t>Impairment Testing</t>
        </is>
      </c>
      <c r="B46" s="8" t="inlineStr">
        <is>
          <t>減值測試</t>
        </is>
      </c>
      <c r="C46" s="20" t="inlineStr">
        <is>
          <t>high</t>
        </is>
      </c>
      <c r="D46" s="11" t="inlineStr">
        <is>
          <t>impairment loss</t>
        </is>
      </c>
      <c r="E46" s="11" t="inlineStr">
        <is>
          <t>PDF p.212 (印刷頁 6)</t>
        </is>
      </c>
      <c r="F46" s="11" t="inlineStr">
        <is>
          <t>of 此，此筆貸款構成本集團於該聯營公司 the Group’s equity investment in this associate and is recognised as such. 的股權投資的一部分並作出相關確認。年 During the year, Impairment loss of HK$nil (2025: HK$87,979,000) was 內，已確認減值虧損零港元（二零二五年： recognised. 87,979,000港元）。 (a) Details of the Group’s associates, which are accounted (a) 下文載列本集團的聯營公司詳情， for using the equity method in the consolidated financial 其乃使用權益法於綜合財務報表中 statements are as follows: 入賬： Proportion of ownership interest 所有權權益的比例 Place of Particulars of Group’s Held Held incorporation issued and effectiv</t>
        </is>
      </c>
    </row>
    <row r="47">
      <c r="A47" s="8" t="inlineStr">
        <is>
          <t>Impairment Testing</t>
        </is>
      </c>
      <c r="B47" s="8" t="inlineStr">
        <is>
          <t>減值測試</t>
        </is>
      </c>
      <c r="C47" s="20" t="inlineStr">
        <is>
          <t>high</t>
        </is>
      </c>
      <c r="D47" s="11" t="inlineStr">
        <is>
          <t>減值虧損</t>
        </is>
      </c>
      <c r="E47" s="11" t="inlineStr">
        <is>
          <t>PDF p.216 (印刷頁 6)</t>
        </is>
      </c>
      <c r="F47" s="11" t="inlineStr">
        <is>
          <t>Statements 財務報表附註 19. TRADE RECEIVABLES 19. 貿易應收款項（續） (Continued) The movements in the loss allowance for impairment of trade 貿易應收款項減值虧損撥備的變動如下： receivables are as follows: 2026 2025 二零二六年 二零二五年 HK$’000 HK$’000 千港元 千港元 At beginning of year 於年初 17,901 – Provision for loss allowance for trade 貿易應收款項減值虧損 receivables (note 8) 撥備（附註8） – 1,816 Acquisitions of subsidiaries 收購附屬公司 – 16,085 At end of year 於年末 17,901 17,901 An impairment analysis is performed at each reporting date using a 在各報告日期均會使用撥備矩陣進行減 provision matrix to measure e</t>
        </is>
      </c>
    </row>
    <row r="48">
      <c r="A48" s="8" t="inlineStr">
        <is>
          <t>Intangible Assets &amp; Goodwill</t>
        </is>
      </c>
      <c r="B48" s="8" t="inlineStr">
        <is>
          <t>無形資產及商譽</t>
        </is>
      </c>
      <c r="C48" s="20" t="inlineStr">
        <is>
          <t>high</t>
        </is>
      </c>
      <c r="D48" s="11" t="inlineStr">
        <is>
          <t>攤銷</t>
        </is>
      </c>
      <c r="E48" s="11" t="inlineStr">
        <is>
          <t>PDF p.3 (印刷頁 6)</t>
        </is>
      </c>
      <c r="F48" s="11" t="inlineStr">
        <is>
          <t>00 HK$’000 HK$’000 HK$’000 千港元 千港元 千港元 千港元 千港元 Revenue 收入 3,770,192 4,140,212 4,211,034 3,875,377 2,919,500 (LBITDA)/EBITDA(1) （息稅折舊及攤銷前之 虧損）╱息稅折舊及 攤銷前之盈利(1) (110,103) 307,846 388,132 430,270 536,364 Adjusted EBITDA 經調整息稅折舊及 攤銷前之盈利 280,330 375,150 441,643 385,571 519,526 (Loss)/profit before tax 除稅前（虧損）╱溢利 (410,161) (101,140) 16,874 136,189 321,411 (Loss)/profit for the year 年內（虧損）╱溢利 (412,867) (111,918) 15,695 107,027 270,503 (Loss)/profit attributable to 本公司擁有人應佔 owners of the Company （虧損）╱溢利 (402,718) (167,186) (18,947) 69,6</t>
        </is>
      </c>
    </row>
    <row r="49">
      <c r="A49" s="8" t="inlineStr">
        <is>
          <t>Intangible Assets &amp; Goodwill</t>
        </is>
      </c>
      <c r="B49" s="8" t="inlineStr">
        <is>
          <t>無形資產及商譽</t>
        </is>
      </c>
      <c r="C49" s="20" t="inlineStr">
        <is>
          <t>high</t>
        </is>
      </c>
      <c r="D49" s="11" t="inlineStr">
        <is>
          <t>amortisation</t>
        </is>
      </c>
      <c r="E49" s="11" t="inlineStr">
        <is>
          <t>PDF p.4 (印刷頁 6)</t>
        </is>
      </c>
      <c r="F49" s="11" t="inlineStr">
        <is>
          <t>ITDA equals loss/earnings before interests, taxation, depreciation- 1. 息稅折舊及攤銷前之虧損╱盈利等於未計利息、 owned property, plant and equipment and amortisation. LBITDA/EBITDA is not 稅項、折舊－自有物業、廠房及設備及攤銷前的 standard measure under HKFRS. The Company’s management believes that 虧損╱盈利。息稅折舊及攤銷前之虧損╱盈利並 LBITDA/EBITDA, as a proxy of operating cash flow generated by the Group’s 非香港財務報告準則下的標準計量方法。本公司 businesses, provide investors with useful supplementary information to assess 管理層認為，息稅折舊及攤銷前之虧損╱盈利作 the performance of the Group. 為本集團業務所得經營現金流的代表，為投資者 提供有用</t>
        </is>
      </c>
    </row>
    <row r="50">
      <c r="A50" s="8" t="inlineStr">
        <is>
          <t>Intangible Assets &amp; Goodwill</t>
        </is>
      </c>
      <c r="B50" s="8" t="inlineStr">
        <is>
          <t>無形資產及商譽</t>
        </is>
      </c>
      <c r="C50" s="20" t="inlineStr">
        <is>
          <t>high</t>
        </is>
      </c>
      <c r="D50" s="11" t="inlineStr">
        <is>
          <t>intangible asset</t>
        </is>
      </c>
      <c r="E50" s="11" t="inlineStr">
        <is>
          <t>PDF p.5 (印刷頁 6)</t>
        </is>
      </c>
      <c r="F50" s="11" t="inlineStr">
        <is>
          <t>,636 48,907 Depreciation – owned property, 折舊－自有物業、 plant and equipment 廠房及設備 152,303 218,762 177,073 137,204 96,031 Amortisation of intangible assets 無形資產攤銷 92,106 118,182 108,921 97,767 71,379 Bank and other interest income 銀行及其他利息收入 (15,123) (17,400) (15,573) (4,526) (1,364) Interest income on financial 按公平值計入損益的 assets at fair value through 金融資產的利息收入 profit or loss (901) – – – – (LBITDA)/EBITDA （息稅折舊及攤銷前之 虧損）╱息稅折舊及 攤銷前之盈利 (110,103) 307,846 388,132 430,270 536,364 Impairment loss on goodwill 商譽減值虧損 198,248 115,599 – 7,481 –</t>
        </is>
      </c>
    </row>
    <row r="51">
      <c r="A51" s="8" t="inlineStr">
        <is>
          <t>Intangible Assets &amp; Goodwill</t>
        </is>
      </c>
      <c r="B51" s="8" t="inlineStr">
        <is>
          <t>無形資產及商譽</t>
        </is>
      </c>
      <c r="C51" s="20" t="inlineStr">
        <is>
          <t>high</t>
        </is>
      </c>
      <c r="D51" s="11" t="inlineStr">
        <is>
          <t>amortisation</t>
        </is>
      </c>
      <c r="E51" s="11" t="inlineStr">
        <is>
          <t>PDF p.6</t>
        </is>
      </c>
      <c r="F51" s="11" t="inlineStr">
        <is>
          <t>argin equals loss/earnings before interests, taxation, 2. 息稅折舊及攤銷前之虧損率╱息稅折舊及攤銷前 depreciation-owned property, plant and equipment and amortisation over total 之盈利率等於財政年度內未計利息、稅項、自有 revenue of the financial year. 物業、廠房及設備折舊及攤銷前的虧損╱盈利除 以總收入。 3. Net loss/profit margin equals loss/profit for the year divided by revenue for the 3. 淨虧損╱溢利率等於年內虧損╱溢利除以同期的 same period. 收入。 4. Current ratio equals current assets divided by current liabilities as at the end of the 4. 流動比率等於財政年度末的流動資產除以流動負 financial year. 債。 5. Quick ratio equals current ass</t>
        </is>
      </c>
    </row>
    <row r="52">
      <c r="A52" s="8" t="inlineStr">
        <is>
          <t>Intangible Assets &amp; Goodwill</t>
        </is>
      </c>
      <c r="B52" s="8" t="inlineStr">
        <is>
          <t>無形資產及商譽</t>
        </is>
      </c>
      <c r="C52" s="20" t="inlineStr">
        <is>
          <t>high</t>
        </is>
      </c>
      <c r="D52" s="11" t="inlineStr">
        <is>
          <t>customer relationship</t>
        </is>
      </c>
      <c r="E52" s="11" t="inlineStr">
        <is>
          <t>PDF p.14 (印刷頁 6)</t>
        </is>
      </c>
      <c r="F52" s="11" t="inlineStr">
        <is>
          <t>二零零八年至二零二零年期間擔任國泰航 General Manager Product, managerial positions in airline planning, cargo, 空有限公司的行政管理人員，其擔任的職位曾 flight operations, customer relationship management as well as oversea 包括數碼總經理、產品總經理、與航線規劃、 station at Thailand, Vietnam and United States. 貨運、航班運營、客戶關係管理以及駐泰國、 越南和美國海外航站有關的管理職位。 Mr. Lu graduated from The Hong Kong University of Science and 於二零零一年及二零零九年，呂先生分別獲得 Technology (“HKUST”) with a Bachelor’s degree in Civil Engineering in 由香港科技大學（「港科大」）授予的土木工程學 2001 and a master’s degree in Global Finance in 2009 from New Yo</t>
        </is>
      </c>
    </row>
    <row r="53">
      <c r="A53" s="8" t="inlineStr">
        <is>
          <t>Intangible Assets &amp; Goodwill</t>
        </is>
      </c>
      <c r="B53" s="8" t="inlineStr">
        <is>
          <t>無形資產及商譽</t>
        </is>
      </c>
      <c r="C53" s="20" t="inlineStr">
        <is>
          <t>high</t>
        </is>
      </c>
      <c r="D53" s="11" t="inlineStr">
        <is>
          <t>intangible asset</t>
        </is>
      </c>
      <c r="E53" s="11" t="inlineStr">
        <is>
          <t>PDF p.22 (印刷頁 6)</t>
        </is>
      </c>
      <c r="F53" s="11" t="inlineStr">
        <is>
          <t>on financial 金融資產的已變現及未變現虧損、商譽的減值虧 assets at fair value through profit or loss, impairment losses on 損、無形資產、物業、廠房及設備、投資物業及 goodwill, intangible assets, property, plant and equipment, fair 其他應收款項的公平值虧損，以及出售及撇銷 value losses on investment properties and other receivables, 物業、廠房及設備的虧損）後，經調整EBITDA為 and losses on disposals and write-off of property, plant and 280.3百萬港元，同比下跌25.3%。有關跌幅主要 equipment, adjusted EBITDA amounted to HK$280.3 million, 由於收入及銷售額下降、若干業務單位的經營槓 representing a year-on-year decrease of 25.3%. The decrease 桿下降，以及已出售醫療</t>
        </is>
      </c>
    </row>
    <row r="54">
      <c r="A54" s="8" t="inlineStr">
        <is>
          <t>Intangible Assets &amp; Goodwill</t>
        </is>
      </c>
      <c r="B54" s="8" t="inlineStr">
        <is>
          <t>無形資產及商譽</t>
        </is>
      </c>
      <c r="C54" s="20" t="inlineStr">
        <is>
          <t>high</t>
        </is>
      </c>
      <c r="D54" s="11" t="inlineStr">
        <is>
          <t>intangible asset</t>
        </is>
      </c>
      <c r="E54" s="11" t="inlineStr">
        <is>
          <t>PDF p.23 (印刷頁 6)</t>
        </is>
      </c>
      <c r="F54" s="11" t="inlineStr">
        <is>
          <t>d 務確認非現金減值開支約344.0百萬港元（涉及 non-cash impairment charges of approximately HK$344.0 商譽╱無形資產╱物業、廠房及設備）。此外， million in respect of goodwill/intangible assets/property, plant 就投資物業╱金融資產╱其他應收款項確認非現 and equipment relating to certain medical/veterinary/other 金公平值虧損及其他非經常性開支約76.8百萬港 businesses. In addition, non-cash fair value losses and other 元。由於該等出售收益、減值及公平值調整，加 non-recurring charges of approximately HK$76.8 million were 上經調整EBITDA下跌所反映的基礎經營貢獻減 recognised in respect of investment properties/financial assets/ 少，本集團錄得本公司權益股東應佔虧損402.7 othe</t>
        </is>
      </c>
    </row>
    <row r="55">
      <c r="A55" s="8" t="inlineStr">
        <is>
          <t>Intangible Assets &amp; Goodwill</t>
        </is>
      </c>
      <c r="B55" s="8" t="inlineStr">
        <is>
          <t>無形資產及商譽</t>
        </is>
      </c>
      <c r="C55" s="20" t="inlineStr">
        <is>
          <t>high</t>
        </is>
      </c>
      <c r="D55" s="11" t="inlineStr">
        <is>
          <t>攤銷</t>
        </is>
      </c>
      <c r="E55" s="11" t="inlineStr">
        <is>
          <t>PDF p.48 (印刷頁 6)</t>
        </is>
      </c>
      <c r="F55" s="11" t="inlineStr">
        <is>
          <t>on feasibility, EBITDA contribution, 點考量策略契合度、整合可行性、綜合息稅折 clinical quality, cash flow contribution and long-term shareholder value 舊及攤銷前之盈利貢獻貢獻、臨床品質、現金 creation. 流貢獻及長期股東價值創造。 EC Healthcare’s Vision 醫思健康的願景 The Group’s long-term vision is to build a trusted, multidisciplinary and 本集團的長期願景是建立一個值得信賴、多學 technology-enabled private healthcare platform serving patients across 科且科技賦能的私人醫療保健平台，為患者提 the full continuum of care. As Hong Kong’s healthcare market evolves 供貫穿全人全程照護的服務。隨著香港醫療保 under the combined factors of ageing demographics</t>
        </is>
      </c>
    </row>
    <row r="56">
      <c r="A56" s="8" t="inlineStr">
        <is>
          <t>Intangible Assets &amp; Goodwill</t>
        </is>
      </c>
      <c r="B56" s="8" t="inlineStr">
        <is>
          <t>無形資產及商譽</t>
        </is>
      </c>
      <c r="C56" s="20" t="inlineStr">
        <is>
          <t>high</t>
        </is>
      </c>
      <c r="D56" s="11" t="inlineStr">
        <is>
          <t>攤銷</t>
        </is>
      </c>
      <c r="E56" s="11" t="inlineStr">
        <is>
          <t>PDF p.63 (印刷頁 6)</t>
        </is>
      </c>
      <c r="F56" s="11" t="inlineStr">
        <is>
          <t>(being the EBITDA of the Group for 二六年三月三十一日止財政年度之息稅折舊及 the said 3 financial years divided by the revenue of the Group for the said 攤銷前之盈利率總額（即本集團於上述三個財 3 financial years multiplied by 100) being greater than or equal to 18%, 政年度的息稅折舊及攤銷前之盈利除以本集團 (ii) the revenue of the Group for the financial year ending 31 March 2026 於上述三個財政年度的收益乘以100）大於或等 being greater than or equal to HK$7,713 million, and (iii) the closing price 於18%，(ii)本集團截至二零二六年三月三十一 of the Share on the Stock Exchange on the business day immediately 日止財政年度之收益大於或等於7,713</t>
        </is>
      </c>
    </row>
    <row r="57">
      <c r="A57" s="8" t="inlineStr">
        <is>
          <t>Intangible Assets &amp; Goodwill</t>
        </is>
      </c>
      <c r="B57" s="8" t="inlineStr">
        <is>
          <t>無形資產及商譽</t>
        </is>
      </c>
      <c r="C57" s="20" t="inlineStr">
        <is>
          <t>high</t>
        </is>
      </c>
      <c r="D57" s="11" t="inlineStr">
        <is>
          <t>intangible asset</t>
        </is>
      </c>
      <c r="E57" s="11" t="inlineStr">
        <is>
          <t>PDF p.115 (印刷頁 6)</t>
        </is>
      </c>
      <c r="F57" s="11" t="inlineStr">
        <is>
          <t>產生單位的非流動資產的減值評估 As at 31 March 2026, the carrying values of the Group’s Our audit procedures for the impairment assessment goodwill, intangible assets and property, plant and included: equipment of the acquired businesses amounted to 我們就減值評估執行的審計程序包括： HK$556.3 million, HK$339.8 million and HK$184.8 million, respectively, which in total represented 25% of the Group’s • evaluating management’s assessment of impairment total assets. indicators, identification of CGUs of the acquired 於二零二六年三月三十一日，貴集團的商譽、無形資產以及 businesses and the al</t>
        </is>
      </c>
    </row>
    <row r="58">
      <c r="A58" s="8" t="inlineStr">
        <is>
          <t>Intangible Assets &amp; Goodwill</t>
        </is>
      </c>
      <c r="B58" s="8" t="inlineStr">
        <is>
          <t>無形資產及商譽</t>
        </is>
      </c>
      <c r="C58" s="20" t="inlineStr">
        <is>
          <t>high</t>
        </is>
      </c>
      <c r="D58" s="11" t="inlineStr">
        <is>
          <t>intangible asset</t>
        </is>
      </c>
      <c r="E58" s="11" t="inlineStr">
        <is>
          <t>PDF p.120 (印刷頁 6)</t>
        </is>
      </c>
      <c r="F58" s="11" t="inlineStr">
        <is>
          <t>ts 折舊—使用權資產 (267,832) (294,033) Depreciation – owned property, plant and 折舊—自有物業、廠房及設備 equipment (152,303) (218,762) Amortisation of intangible assets 無形資產攤銷 (92,106) (118,182) Charitable donations 慈善捐贈 (242) (138) Finance costs 財務成本 7 (71,673) (89,442) Credit card expenses 信用卡開支 (62,049) (72,363) Administrative and other expenses 行政及其他開支 (247,135) (254,900) Share of results of joint ventures 分佔合營企業業績 6,458 1,284 Share of results of associates 分佔聯營公司業績 2,043 (96,715) LOSS BEFORE TAX 除稅前虧損 8 (410,161) (101,140) Income tax expens</t>
        </is>
      </c>
    </row>
    <row r="59">
      <c r="A59" s="8" t="inlineStr">
        <is>
          <t>Intangible Assets &amp; Goodwill</t>
        </is>
      </c>
      <c r="B59" s="8" t="inlineStr">
        <is>
          <t>無形資產及商譽</t>
        </is>
      </c>
      <c r="C59" s="20" t="inlineStr">
        <is>
          <t>high</t>
        </is>
      </c>
      <c r="D59" s="11" t="inlineStr">
        <is>
          <t>intangible asset</t>
        </is>
      </c>
      <c r="E59" s="11" t="inlineStr">
        <is>
          <t>PDF p.122 (印刷頁 6)</t>
        </is>
      </c>
      <c r="F59" s="11" t="inlineStr">
        <is>
          <t>erty, plant and equipment 物業、廠房及設備 13 824,350 1,059,432 Investment properties 投資物業 13 196,480 104,230 Goodwill 商譽 14 556,298 754,546 Intangible assets 無形資產 15 377,416 543,834 Interests in joint ventures 於合營企業的權益 16 32,481 31,473 Interests in associates 於聯營公司的權益 17 234,815 201,838 Rental and other deposits 租金及其他按金 20 89,037 102,052 Prepayments and other receivables 預付款項及其他應收款項 20 114,991 132,255 Financial assets at fair value through other 按公平值計入其他全面收益的 comprehensive income 金融資產 21(a) 3,637 3,637 Financial assets at fair value t</t>
        </is>
      </c>
    </row>
    <row r="60">
      <c r="A60" s="8" t="inlineStr">
        <is>
          <t>Intangible Assets &amp; Goodwill</t>
        </is>
      </c>
      <c r="B60" s="8" t="inlineStr">
        <is>
          <t>無形資產及商譽</t>
        </is>
      </c>
      <c r="C60" s="20" t="inlineStr">
        <is>
          <t>high</t>
        </is>
      </c>
      <c r="D60" s="11" t="inlineStr">
        <is>
          <t>intangible asset</t>
        </is>
      </c>
      <c r="E60" s="11" t="inlineStr">
        <is>
          <t>PDF p.125 (印刷頁 6)</t>
        </is>
      </c>
      <c r="F60" s="11" t="inlineStr">
        <is>
          <t>ss on goodwill 商譽減值虧損 8 198,248 115,599 Impairment loss on property, plant and 物業、廠房及設備減值 equipment 虧損 8 71,223 – Impairment loss on intangible assets 無形資產減值虧損 8 74,575 – Impairment loss on interest in a joint 於一間合營企業的權益 venture 減值虧損 8 – 9,892 Depreciation 折舊 8 420,135 512,795 Amortisation of intangible assets 無形資產攤銷 8 92,106 118,182 Equity-settled share-based payment 以權益結算以股份為基礎之 expenses 付款開支 8 15,135 20,270 Share of results of joint ventures 分佔合營企業業績 (6,458) (1,284) Share of results of associates 分佔聯營公司業績 (2,043) 96,715 Fore</t>
        </is>
      </c>
    </row>
    <row r="61">
      <c r="A61" s="8" t="inlineStr">
        <is>
          <t>Intangible Assets &amp; Goodwill</t>
        </is>
      </c>
      <c r="B61" s="8" t="inlineStr">
        <is>
          <t>無形資產及商譽</t>
        </is>
      </c>
      <c r="C61" s="20" t="inlineStr">
        <is>
          <t>high</t>
        </is>
      </c>
      <c r="D61" s="11" t="inlineStr">
        <is>
          <t>goodwill</t>
        </is>
      </c>
      <c r="E61" s="11" t="inlineStr">
        <is>
          <t>PDF p.130 (印刷頁 6)</t>
        </is>
      </c>
      <c r="F61" s="11" t="inlineStr">
        <is>
          <t>ansaction. 變動會按權益交易入賬。 If the Group loses control over a subsidiary, it derecognises the 倘本集團失去附屬公司的控制權，則會 related assets (including goodwill), liabilities, any non-controlling 終止確認相關資產（包括商譽）、負債、 interest and the exchange reserve; and recognises the fair value of 任何非控股權益及外匯準備金；並確認 any investment retained and any resulting surplus or deficit in profit 任何獲保留投資的公平值及計入損益的 or loss. The Group’s share of components previously recognised 任何相關盈餘或虧絀。先前已於其他全 in other comprehensive income is reclassified to profit or loss or 面收益確認的本集團應佔部分，</t>
        </is>
      </c>
    </row>
    <row r="62">
      <c r="A62" s="8" t="inlineStr">
        <is>
          <t>Intangible Assets &amp; Goodwill</t>
        </is>
      </c>
      <c r="B62" s="8" t="inlineStr">
        <is>
          <t>無形資產及商譽</t>
        </is>
      </c>
      <c r="C62" s="20" t="inlineStr">
        <is>
          <t>high</t>
        </is>
      </c>
      <c r="D62" s="11" t="inlineStr">
        <is>
          <t>goodwill</t>
        </is>
      </c>
      <c r="E62" s="11" t="inlineStr">
        <is>
          <t>PDF p.138 (印刷頁 6)</t>
        </is>
      </c>
      <c r="F62" s="11" t="inlineStr">
        <is>
          <t>轉讓資產減值的證據。產生 ventures, except where unrealised losses provide evidence of an 自收購聯營公司或合營企業的商譽乃計 impairment of the assets transferred. Goodwill arising from the 入本集團於聯營公司或合營企業的投資 acquisition of associates or joint ventures is included as part of the 的一部份。 Group’s investments in associates or joint ventures. 醫思健康 137 年度報告 2 0 2 5 / 2 6</t>
        </is>
      </c>
    </row>
    <row r="63">
      <c r="A63" s="8" t="inlineStr">
        <is>
          <t>Intangible Assets &amp; Goodwill</t>
        </is>
      </c>
      <c r="B63" s="8" t="inlineStr">
        <is>
          <t>無形資產及商譽</t>
        </is>
      </c>
      <c r="C63" s="20" t="inlineStr">
        <is>
          <t>high</t>
        </is>
      </c>
      <c r="D63" s="11" t="inlineStr">
        <is>
          <t>goodwill</t>
        </is>
      </c>
      <c r="E63" s="11" t="inlineStr">
        <is>
          <t>PDF p.139 (印刷頁 6)</t>
        </is>
      </c>
      <c r="F63" s="11" t="inlineStr">
        <is>
          <t>Notes to the Financial Statements 財務報表附註 3.1 MATERIAL ACCOUNTING POLICIES 3.1 重大會計政策（續） (Continued) Business combinations and goodwill 業務合併及商譽 Business combinations are accounted for using the acquisition 業務合併按收購法列賬。轉讓代價乃按 method. The consideration transferred is measured at the 收購日期的公平值計量，該公平值為本 acquisition date fair value which is the sum of the acquisition date 集團轉讓的資產於收購日期的公平值、 fair values of assets transferred by the Group, liabilities assumed 本集團對被收購方的原擁有人承擔的負 by the Group to the former owners of the acquiree and t</t>
        </is>
      </c>
    </row>
    <row r="64">
      <c r="A64" s="8" t="inlineStr">
        <is>
          <t>Intangible Assets &amp; Goodwill</t>
        </is>
      </c>
      <c r="B64" s="8" t="inlineStr">
        <is>
          <t>無形資產及商譽</t>
        </is>
      </c>
      <c r="C64" s="20" t="inlineStr">
        <is>
          <t>high</t>
        </is>
      </c>
      <c r="D64" s="11" t="inlineStr">
        <is>
          <t>goodwill</t>
        </is>
      </c>
      <c r="E64" s="11" t="inlineStr">
        <is>
          <t>PDF p.140 (印刷頁 6)</t>
        </is>
      </c>
      <c r="F64" s="11" t="inlineStr">
        <is>
          <t>Notes to the Financial Statements 財務報表附註 3.1 MATERIAL ACCOUNTING POLICIES 3.1 重大會計政策（續） (Continued) Business combinations and goodwill (Continued) 業務合併及商譽（續） After initial recognition, goodwill is measured at cost less any 初始確認後，商譽按成本減任何累計減 accumulated impairment losses. Goodwill is tested for impairment 值虧損計量。如有任何事件或情況變動 annually or more frequently if events or changes in circumstances 表明賬面值可能減值，每年或更頻繁地 indicate that the carrying value may be impaired. The Group 對商譽進行減值測試。本集團每年於三 performs its annual impairment test of g</t>
        </is>
      </c>
    </row>
    <row r="65">
      <c r="A65" s="8" t="inlineStr">
        <is>
          <t>Intangible Assets &amp; Goodwill</t>
        </is>
      </c>
      <c r="B65" s="8" t="inlineStr">
        <is>
          <t>無形資產及商譽</t>
        </is>
      </c>
      <c r="C65" s="20" t="inlineStr">
        <is>
          <t>high</t>
        </is>
      </c>
      <c r="D65" s="11" t="inlineStr">
        <is>
          <t>goodwill</t>
        </is>
      </c>
      <c r="E65" s="11" t="inlineStr">
        <is>
          <t>PDF p.143 (印刷頁 6)</t>
        </is>
      </c>
      <c r="F65" s="11" t="inlineStr">
        <is>
          <t>recoverable amount is estimated. 收回金額。倘用以釐定資產可收回金額 A previously recognised impairment loss of an asset other than 的估計值有變時，方會撥回過往確認的 goodwill is reversed only if there has been a change in the estimates 資產（商譽除外）減值虧損，惟撥回的金 used to determine the recoverable amount of that asset, but not 額不可高於倘以往年度並無就資產確認 to an amount higher than the carrying amount that would have 減值虧損而應已釐定的賬面值（扣除任何 been determined (net of any depreciation/amortisation) had no 折舊╱攤銷）。減值虧損撥回於產生期間 impairment loss been recognised for the asset in prior years. A 計入損益</t>
        </is>
      </c>
    </row>
    <row r="66">
      <c r="A66" s="8" t="inlineStr">
        <is>
          <t>Intangible Assets &amp; Goodwill</t>
        </is>
      </c>
      <c r="B66" s="8" t="inlineStr">
        <is>
          <t>無形資產及商譽</t>
        </is>
      </c>
      <c r="C66" s="20" t="inlineStr">
        <is>
          <t>high</t>
        </is>
      </c>
      <c r="D66" s="11" t="inlineStr">
        <is>
          <t>useful life</t>
        </is>
      </c>
      <c r="E66" s="11" t="inlineStr">
        <is>
          <t>PDF p.145 (印刷頁 6)</t>
        </is>
      </c>
      <c r="F66" s="11" t="inlineStr">
        <is>
          <t>the 折舊乃按其估計可使用年期以直線法計 cost of each item of property, plant and equipment to its residual 算，將物業、廠房及設備（包括使用權資 value over its estimated useful life. The principal annual rates used 產）各項目的成本撇銷至其剩餘價值。就 for this purpose are as follows: 此所使用的主要年比率如下： Buildings Over the shorter of the lease term and 樓宇 租賃年期及其估計可使用 their estimated useful lives 年期（以較短者為準） Leasehold improvements Over the shorter of the lease terms 租賃物業裝修 租賃年期或25% and 25% （以較短者為準） Furniture and fixtures 10% to 25% 傢具及裝置 10至25% Operation equipment 10% to 20% 營運設備 10至20% Off</t>
        </is>
      </c>
    </row>
    <row r="67">
      <c r="A67" s="8" t="inlineStr">
        <is>
          <t>Intangible Assets &amp; Goodwill</t>
        </is>
      </c>
      <c r="B67" s="8" t="inlineStr">
        <is>
          <t>無形資產及商譽</t>
        </is>
      </c>
      <c r="C67" s="20" t="inlineStr">
        <is>
          <t>high</t>
        </is>
      </c>
      <c r="D67" s="11" t="inlineStr">
        <is>
          <t>可使用年期</t>
        </is>
      </c>
      <c r="E67" s="11" t="inlineStr">
        <is>
          <t>PDF p.146 (印刷頁 6)</t>
        </is>
      </c>
      <c r="F67" s="11" t="inlineStr">
        <is>
          <t>s of an item of property, plant and equipment have 倘物業、廠房及設備項目的不同部分的 different useful lives, the cost of that item is allocated on a 可使用年期有別，該項目的成本乃按合 reasonable basis among the parts and each part is depreciated 理基準分配至不同部分且個別進行折 separately. Residual values, useful lives and the depreciation 舊。剩餘價值、可使用年期及折舊方法 method are reviewed, and adjusted if appropriate, at least at each 最少須於各財政年度末進行審查及調整 financial year end. （如適用）。 An item of property, plant and equipment including any significant 一項物業、廠房及設備項目（包括已作初 part initially recognise</t>
        </is>
      </c>
    </row>
    <row r="68">
      <c r="A68" s="8" t="inlineStr">
        <is>
          <t>Intangible Assets &amp; Goodwill</t>
        </is>
      </c>
      <c r="B68" s="8" t="inlineStr">
        <is>
          <t>無形資產及商譽</t>
        </is>
      </c>
      <c r="C68" s="20" t="inlineStr">
        <is>
          <t>high</t>
        </is>
      </c>
      <c r="D68" s="11" t="inlineStr">
        <is>
          <t>intangible asset</t>
        </is>
      </c>
      <c r="E68" s="11" t="inlineStr">
        <is>
          <t>PDF p.147 (印刷頁 6)</t>
        </is>
      </c>
      <c r="F68" s="11" t="inlineStr">
        <is>
          <t>Notes to the Financial Statements 財務報表附註 3.1 MATERIAL ACCOUNTING POLICIES 3.1 重大會計政策（續） (Continued) Intangible assets (other than goodwill) 無形資產（商譽除外） Intangible assets acquired separately are measured on initial 單獨取得的無形資產於初始確認時按成 recognition at cost. The cost of intangible assets acquired in a 本計量。通過業務合併取得的無形資產 business combination is the fair value at the date of acquisition. 的成本為收購日期的公平值。無形資產 The useful lives of intangible assets are assessed to be either finite 的可使用年期評定為有限期或無限期。 or indefinit</t>
        </is>
      </c>
    </row>
    <row r="69">
      <c r="A69" s="8" t="inlineStr">
        <is>
          <t>Intangible Assets &amp; Goodwill</t>
        </is>
      </c>
      <c r="B69" s="8" t="inlineStr">
        <is>
          <t>無形資產及商譽</t>
        </is>
      </c>
      <c r="C69" s="20" t="inlineStr">
        <is>
          <t>high</t>
        </is>
      </c>
      <c r="D69" s="11" t="inlineStr">
        <is>
          <t>intangible asset</t>
        </is>
      </c>
      <c r="E69" s="11" t="inlineStr">
        <is>
          <t>PDF p.148 (印刷頁 6)</t>
        </is>
      </c>
      <c r="F69" s="11" t="inlineStr">
        <is>
          <t>Notes to the Financial Statements 財務報表附註 3.1 MATERIAL ACCOUNTING POLICIES 3.1 重大會計政策（續） (Continued) Intangible assets (other than goodwill) (Continued) 無形資產（商譽除外） （續） IT applications platform 資訊科技應用平台 IT applications platform is stated at cost less any impairment losses 資訊科技應用平台按成本減任何減值虧 and is amortised on the straight-line basis over its estimated useful 損列賬，並於7年的估計可使用年期內按 life of 7 years. 直線基準攤銷。 Other intangible assets 其他無形資產 Other intangible assets are stated at cost less any impairment 其他無</t>
        </is>
      </c>
    </row>
    <row r="70">
      <c r="A70" s="8" t="inlineStr">
        <is>
          <t>Intangible Assets &amp; Goodwill</t>
        </is>
      </c>
      <c r="B70" s="8" t="inlineStr">
        <is>
          <t>無形資產及商譽</t>
        </is>
      </c>
      <c r="C70" s="20" t="inlineStr">
        <is>
          <t>high</t>
        </is>
      </c>
      <c r="D70" s="11" t="inlineStr">
        <is>
          <t>useful life</t>
        </is>
      </c>
      <c r="E70" s="11" t="inlineStr">
        <is>
          <t>PDF p.149 (印刷頁 6)</t>
        </is>
      </c>
      <c r="F70" s="11" t="inlineStr">
        <is>
          <t>the cost reflects the exercise 轉讓予本集團或成本反映購買選擇 of a purchase option, depreciation is calculated using the 權獲行使，則使用資產的估計可使 estimated useful life of the asset. 用年期計算折舊。 When a right-of-use asset meets the definition of investment 當使用權資產符合投資物業的定義 property, it is included in investment properties. The 時，則計入投資物業。相應的使用 corresponding right-of-use asset is initially measured at cost, 權資產按成本進行初始計量，其後 and subsequently measured at fair value, in accordance with 根據本集團「投資物業」的會計政策 the Group’s policy for “investment properties”. 按公平值計量。 (b)</t>
        </is>
      </c>
    </row>
    <row r="71">
      <c r="A71" s="8" t="inlineStr">
        <is>
          <t>Intangible Assets &amp; Goodwill</t>
        </is>
      </c>
      <c r="B71" s="8" t="inlineStr">
        <is>
          <t>無形資產及商譽</t>
        </is>
      </c>
      <c r="C71" s="20" t="inlineStr">
        <is>
          <t>high</t>
        </is>
      </c>
      <c r="D71" s="11" t="inlineStr">
        <is>
          <t>攤銷</t>
        </is>
      </c>
      <c r="E71" s="11" t="inlineStr">
        <is>
          <t>PDF p.151 (印刷頁 6)</t>
        </is>
      </c>
      <c r="F71" s="11" t="inlineStr">
        <is>
          <t>ets 投資及其他金融資產 Initial recognition and measurement 初步確認及計量 Financial assets are classified, at initial recognition, as 金融資產於初步確認時分類其後按攤銷 subsequently measured at amortised cost, fair value through other 成本、按公平值計入其他全面收益及通 comprehensive income, and fair value through profit or loss. 過損益以反映公平值計量。 The classification of financial assets at initial recognition depends 於初始確認時，金融資產分類取決於金 on the financial asset’s contractual cash flow characteristics and 融資產的合約現金流量特點及本集團管 the Group’s business model for managing them. With the exception 理</t>
        </is>
      </c>
    </row>
    <row r="72">
      <c r="A72" s="8" t="inlineStr">
        <is>
          <t>Intangible Assets &amp; Goodwill</t>
        </is>
      </c>
      <c r="B72" s="8" t="inlineStr">
        <is>
          <t>無形資產及商譽</t>
        </is>
      </c>
      <c r="C72" s="20" t="inlineStr">
        <is>
          <t>high</t>
        </is>
      </c>
      <c r="D72" s="11" t="inlineStr">
        <is>
          <t>攤銷</t>
        </is>
      </c>
      <c r="E72" s="11" t="inlineStr">
        <is>
          <t>PDF p.152 (印刷頁 6)</t>
        </is>
      </c>
      <c r="F72" s="11" t="inlineStr">
        <is>
          <t>ntractual cash flows, selling the financial 合約現金流量、出售金融資產或因前述 assets, or both. Financial assets classified and measured at 兩者而引起。分類為按攤銷成本計量的 amortised cost are held within a business model with the objective 金融資產乃以持有金融資產為目標的業 to hold financial assets in order to collect contractual cash flows, 務模式內持有，旨在收取合約現金流 while financial assets classified and measured at fair value through 量，而分類為通過其他全面收益以反映 other comprehensive income are held within a business model 公平值計量的金融資產乃於以持有作收 with the objective of both holding to collect contractua</t>
        </is>
      </c>
    </row>
    <row r="73">
      <c r="A73" s="8" t="inlineStr">
        <is>
          <t>Intangible Assets &amp; Goodwill</t>
        </is>
      </c>
      <c r="B73" s="8" t="inlineStr">
        <is>
          <t>無形資產及商譽</t>
        </is>
      </c>
      <c r="C73" s="20" t="inlineStr">
        <is>
          <t>high</t>
        </is>
      </c>
      <c r="D73" s="11" t="inlineStr">
        <is>
          <t>攤銷</t>
        </is>
      </c>
      <c r="E73" s="11" t="inlineStr">
        <is>
          <t>PDF p.157 (印刷頁 6)</t>
        </is>
      </c>
      <c r="F73" s="11" t="inlineStr">
        <is>
          <t>同現金 expectation of recovering the contractual cash flows. 流量時撇銷。 Financial assets at amortised cost are subject to impairment under 按攤銷成本計量的金融資產按一般方法 the general approach and they are classified within the following 進行減值，並按下列階段預期信貸虧損 stages for measurement of ECLs except for trade receivables and 計量分類，惟下文詳述應用簡化方法的 lease receivables which apply the simplified approach as detailed 貿易應收款項及應收租賃款項除外。 below. Stage 1 – Financial instruments for which credit risk has not 階段1 －金融工具的信貸風險自初始 increased significantly since initial recogniti</t>
        </is>
      </c>
    </row>
    <row r="74">
      <c r="A74" s="8" t="inlineStr">
        <is>
          <t>Intangible Assets &amp; Goodwill</t>
        </is>
      </c>
      <c r="B74" s="8" t="inlineStr">
        <is>
          <t>無形資產及商譽</t>
        </is>
      </c>
      <c r="C74" s="20" t="inlineStr">
        <is>
          <t>high</t>
        </is>
      </c>
      <c r="D74" s="11" t="inlineStr">
        <is>
          <t>amortisation</t>
        </is>
      </c>
      <c r="E74" s="11" t="inlineStr">
        <is>
          <t>PDF p.159 (印刷頁 6)</t>
        </is>
      </c>
      <c r="F74" s="11" t="inlineStr">
        <is>
          <t>profit or 於負債終止確認時於損益表內確認，以 loss when the liabilities are derecognised as well as through the 及於實際利率攤銷過程中確認。 effective interest rate amortisation process. Amortised cost is calculated by taking into account any discount or 攤銷成本經計及任何收購折讓或溢價及 premium on acquisition and fees or costs that are an integral part of 屬於實際利率的組成部分的各項費用或 the effective interest rate. The effective interest rate amortisation is 成本後計算。實際利率攤銷計入損益表 included in finance costs in the statement of profit or loss. 內的融資成本。 E C H e a l t h c a r e 158 A n n u a l R e</t>
        </is>
      </c>
    </row>
    <row r="75">
      <c r="A75" s="8" t="inlineStr">
        <is>
          <t>Intangible Assets &amp; Goodwill</t>
        </is>
      </c>
      <c r="B75" s="8" t="inlineStr">
        <is>
          <t>無形資產及商譽</t>
        </is>
      </c>
      <c r="C75" s="20" t="inlineStr">
        <is>
          <t>high</t>
        </is>
      </c>
      <c r="D75" s="11" t="inlineStr">
        <is>
          <t>攤銷</t>
        </is>
      </c>
      <c r="E75" s="11" t="inlineStr">
        <is>
          <t>PDF p.160 (印刷頁 6)</t>
        </is>
      </c>
      <c r="F75" s="11" t="inlineStr">
        <is>
          <t>ability component is determined using a market 同等的不可轉換債券的市場利率計算， rate for an equivalent non-convertible bond; and this amount is 此金額按攤銷成本為基礎列賬為長期負 carried as a long term liability on the amortised cost basis until 債，直至其到期轉換或贖回為止。所得 extinguished on conversion or redemption. The remainder of the 款項剩餘部分將分配至轉換權，且確認 proceeds is allocated to the conversion option that is recognised 為及計入股東權益（扣除交易成本）。換 and included in shareholders’ equity, net of transaction costs. The 股權的賬面值將不會在隨後年度重新計 carrying amount of the conversion option is not r</t>
        </is>
      </c>
    </row>
    <row r="76">
      <c r="A76" s="8" t="inlineStr">
        <is>
          <t>Intangible Assets &amp; Goodwill</t>
        </is>
      </c>
      <c r="B76" s="8" t="inlineStr">
        <is>
          <t>無形資產及商譽</t>
        </is>
      </c>
      <c r="C76" s="20" t="inlineStr">
        <is>
          <t>high</t>
        </is>
      </c>
      <c r="D76" s="11" t="inlineStr">
        <is>
          <t>goodwill</t>
        </is>
      </c>
      <c r="E76" s="11" t="inlineStr">
        <is>
          <t>PDF p.163 (印刷頁 6)</t>
        </is>
      </c>
      <c r="F76" s="11" t="inlineStr">
        <is>
          <t>應課稅暫時差額 differences, except: 而確認，惟下列情況除外： • when the deferred tax liability arises from the initial recognition • 遞延稅項負債乃因初次確認一項交 of goodwill or an asset or liability in a transaction that is not 易（並非業務合併）的商譽或資產或 a business combination and, at the time of the transaction, 負債而產生，且於交易時並不影響 affects neither the accounting profit nor taxable profit or 會計利潤或應課稅損益，亦不會導 loss and does not give rise to equal taxable and deductible 致相同的應課稅及可扣減的暫時差 temporary differences; and 額；及 • in respect of taxable temporary differences associated with</t>
        </is>
      </c>
    </row>
    <row r="77">
      <c r="A77" s="8" t="inlineStr">
        <is>
          <t>Intangible Assets &amp; Goodwill</t>
        </is>
      </c>
      <c r="B77" s="8" t="inlineStr">
        <is>
          <t>無形資產及商譽</t>
        </is>
      </c>
      <c r="C77" s="20" t="inlineStr">
        <is>
          <t>high</t>
        </is>
      </c>
      <c r="D77" s="11" t="inlineStr">
        <is>
          <t>goodwill</t>
        </is>
      </c>
      <c r="E77" s="11" t="inlineStr">
        <is>
          <t>PDF p.174 (印刷頁 6)</t>
        </is>
      </c>
      <c r="F77" s="11" t="inlineStr">
        <is>
          <t>ount in the reserve relating to that particular foreign 累計金額在損益表中確認。 operation is recognised in the statement of profit or loss. Any goodwill arising on the acquisition of a foreign operation and 任何因收購海外業務產生的商譽及於收 any fair value adjustments to the carrying amounts of assets and 購時產生的對資產及負債的賬面值作出 liabilities arising on acquisition are treated as assets and liabilities of 的任何公平值調整均視為海外業務的資 the foreign operation and translated at the closing rate. 產及負債，並按期末匯率換算。 For the purpose of the consolidated statement of cash flows, the 就綜合現</t>
        </is>
      </c>
    </row>
    <row r="78">
      <c r="A78" s="8" t="inlineStr">
        <is>
          <t>Intangible Assets &amp; Goodwill</t>
        </is>
      </c>
      <c r="B78" s="8" t="inlineStr">
        <is>
          <t>無形資產及商譽</t>
        </is>
      </c>
      <c r="C78" s="20" t="inlineStr">
        <is>
          <t>high</t>
        </is>
      </c>
      <c r="D78" s="11" t="inlineStr">
        <is>
          <t>intangible asset</t>
        </is>
      </c>
      <c r="E78" s="11" t="inlineStr">
        <is>
          <t>PDF p.176 (印刷頁 6)</t>
        </is>
      </c>
      <c r="F78" s="11" t="inlineStr">
        <is>
          <t>all non-financial assets (including the right-of-use assets) at the 產（包括使用權資產）是否存在任何減值 end of each reporting period. Indefinite life intangible assets are 跡象。具無限可使用年期的無形資產每 tested for impairment annually and at other times when such an 年及在存在減值跡象的其他時間進行減 indicator exists. Other non-financial assets are tested for impairment 值測試。當有跡象顯示其他非金融資產 when there are indicators that the carrying amounts may not be 賬面值可能不可收回時進行減值測試。 recoverable. An impairment exists when the carrying value of an 當一項資產或現金產生單位╱現金產生 asset or a cash-generating</t>
        </is>
      </c>
    </row>
    <row r="79">
      <c r="A79" s="8" t="inlineStr">
        <is>
          <t>Intangible Assets &amp; Goodwill</t>
        </is>
      </c>
      <c r="B79" s="8" t="inlineStr">
        <is>
          <t>無形資產及商譽</t>
        </is>
      </c>
      <c r="C79" s="20" t="inlineStr">
        <is>
          <t>high</t>
        </is>
      </c>
      <c r="D79" s="11" t="inlineStr">
        <is>
          <t>intangible asset</t>
        </is>
      </c>
      <c r="E79" s="11" t="inlineStr">
        <is>
          <t>PDF p.178 (印刷頁 6)</t>
        </is>
      </c>
      <c r="F79" s="11" t="inlineStr">
        <is>
          <t>以下基準監察各 the results attributable to each reportable segment on the following 可報告分部的應佔業績： bases: Segment assets include all tangible, intangible assets and current 分部資產包括所有有形和無形資產以及 assets with the exception of investment properties, interests in 流動資產，但投資物業、於聯營公司及 associates and joint ventures, financial assets at fair value through 合營企業的權益、按公平值計入損益的 profit or loss and financial assets at fair value through other 金融資產及按公平值計入其他全面收益 comprehensive income. Segment liabilities include trade payables, 的金融資產除外。分部負債包括貿易應 other payables</t>
        </is>
      </c>
    </row>
    <row r="80">
      <c r="A80" s="8" t="inlineStr">
        <is>
          <t>Intangible Assets &amp; Goodwill</t>
        </is>
      </c>
      <c r="B80" s="8" t="inlineStr">
        <is>
          <t>無形資產及商譽</t>
        </is>
      </c>
      <c r="C80" s="20" t="inlineStr">
        <is>
          <t>high</t>
        </is>
      </c>
      <c r="D80" s="11" t="inlineStr">
        <is>
          <t>intangible asset</t>
        </is>
      </c>
      <c r="E80" s="11" t="inlineStr">
        <is>
          <t>PDF p.179 (印刷頁 6)</t>
        </is>
      </c>
      <c r="F80" s="11" t="inlineStr">
        <is>
          <t>me from unlisted investment funds, 收入、非上市投資資金的股息收入丶商 impairment losses on goodwill, property, plant and equipment, 譽、物業、廠房及設備、無形資產以及 intangible assets and interest in a joint venture, unrealised losses 一間合營企業的權益減值虧損、按公平 on financial assets at fair value through profit or loss, net, fair value 值計入損益的金融資產之未變現虧損淨 loss on other receivables, fair value loss on investment properties, 額丶其他應收款項公平值虧損、投資物 remeasurement loss on previously-held interest in an associate, 業公平值虧損丶先前持有一間聯營公司 provision for loss allowance for other receivables,</t>
        </is>
      </c>
    </row>
    <row r="81">
      <c r="A81" s="8" t="inlineStr">
        <is>
          <t>Intangible Assets &amp; Goodwill</t>
        </is>
      </c>
      <c r="B81" s="8" t="inlineStr">
        <is>
          <t>無形資產及商譽</t>
        </is>
      </c>
      <c r="C81" s="20" t="inlineStr">
        <is>
          <t>high</t>
        </is>
      </c>
      <c r="D81" s="11" t="inlineStr">
        <is>
          <t>intangible asset</t>
        </is>
      </c>
      <c r="E81" s="11" t="inlineStr">
        <is>
          <t>PDF p.180 (印刷頁 6)</t>
        </is>
      </c>
      <c r="F81" s="11" t="inlineStr">
        <is>
          <t>on goodwill 商譽減值虧損 (198,248) (115,599) Impairment loss on property, 物業、廠房及設備減值 plant and equipment 虧損 (71,223) – Impairment loss on intangible assets 無形資產減值虧損 (74,575) – Impairment loss on interest in a joint 一間合營企業的權益 venture 減值虧損 – (9,892) Unrealised losses on financial 按公平值計入損益的 assets at fair value through 金融資產的未變現 profit or loss, net 虧損淨額 (4,127) (10,939) Fair value loss on other receivables 其他應收款項公平值虧損 (6,906) (36,039) Fair value loss on investment 投資物業公平值虧損 properties (65,721) (68,692) Remeasurement loss on previously-</t>
        </is>
      </c>
    </row>
    <row r="82">
      <c r="A82" s="8" t="inlineStr">
        <is>
          <t>Intangible Assets &amp; Goodwill</t>
        </is>
      </c>
      <c r="B82" s="8" t="inlineStr">
        <is>
          <t>無形資產及商譽</t>
        </is>
      </c>
      <c r="C82" s="20" t="inlineStr">
        <is>
          <t>high</t>
        </is>
      </c>
      <c r="D82" s="11" t="inlineStr">
        <is>
          <t>intangible asset</t>
        </is>
      </c>
      <c r="E82" s="11" t="inlineStr">
        <is>
          <t>PDF p.182 (印刷頁 6)</t>
        </is>
      </c>
      <c r="F82" s="11" t="inlineStr">
        <is>
          <t>ernal customers; and (ii) 料：(i)本集團來自外部客戶的收入；及 the Group’s investment properties, property, plant and equipment, (ii)本集團的投資物業、物業、廠房及設 intangible assets, goodwill and interests in joint ventures and 備、無形資產、商譽及於合營企業及聯 associates and the non-current portion of prepayments (collectively, 營公司的權益以及預付款項的非流動部 “specified non-current assets”). The geographical location of 分（統稱「特定非流動資產」）。客戶的地 customers is based on the location at which the services were 理位置基於所提供服務或所交付貨品的 provided or the goods delivered. The geographical location of the 位置。</t>
        </is>
      </c>
    </row>
    <row r="83">
      <c r="A83" s="8" t="inlineStr">
        <is>
          <t>Intangible Assets &amp; Goodwill</t>
        </is>
      </c>
      <c r="B83" s="8" t="inlineStr">
        <is>
          <t>無形資產及商譽</t>
        </is>
      </c>
      <c r="C83" s="20" t="inlineStr">
        <is>
          <t>high</t>
        </is>
      </c>
      <c r="D83" s="11" t="inlineStr">
        <is>
          <t>intangible asset</t>
        </is>
      </c>
      <c r="E83" s="11" t="inlineStr">
        <is>
          <t>PDF p.186 (印刷頁 6)</t>
        </is>
      </c>
      <c r="F83" s="11" t="inlineStr">
        <is>
          <t>on 折舊 – owned property, plant and equipment —自有物業、廠房及設備 152,303 218,762 – right-of-use assets —使用權資產 267,832 294,033 Amortisation of intangible assets 無形資產攤銷 92,106 118,182 Impairment loss on goodwill 商譽減值虧損 198,248 115,599 Impairment loss on property, plant and 物業、廠房及設備減值虧損 equipment 71,223 – Impairment loss on intangible assets 無形資產減值虧損 74,575 – Impairment loss on interest in a joint venture 於一間合營企業的權益減值虧損 – 9,892 Provision for loss allowance for trade 貿易應收款項虧損撥備* receivables* – 1,816 Foreign exchange differences, net* 外匯差額淨額</t>
        </is>
      </c>
    </row>
    <row r="84">
      <c r="A84" s="8" t="inlineStr">
        <is>
          <t>Intangible Assets &amp; Goodwill</t>
        </is>
      </c>
      <c r="B84" s="8" t="inlineStr">
        <is>
          <t>無形資產及商譽</t>
        </is>
      </c>
      <c r="C84" s="20" t="inlineStr">
        <is>
          <t>high</t>
        </is>
      </c>
      <c r="D84" s="11" t="inlineStr">
        <is>
          <t>goodwill</t>
        </is>
      </c>
      <c r="E84" s="11" t="inlineStr">
        <is>
          <t>PDF p.201 (印刷頁 6)</t>
        </is>
      </c>
      <c r="F84" s="11" t="inlineStr">
        <is>
          <t>Notes to the Financial Statements 財務報表附註 14. GOODWILL 14. 商譽 2026 2025 二零二六年 二零二五年 Notes HK$’000 HK$’000 附註 千港元 千港元 At beginning of year 年初 754,546 947,176 Acquisitions of subsidiaries 收購附屬公司 33 – 111,569 Disposal of subsidiaries 出售附屬公司 – (188,600) Impairment during the year 年內減值 (198,248) (115,599) At end of year 年末 556,298 754,546 2026 2025 二零二六年 二零二五年 HK$’000 HK$’000 千港元 千港元 Cost 成本 868,444 887,251 Accumulated impairment 累計減值 (312,146) (1</t>
        </is>
      </c>
    </row>
    <row r="85">
      <c r="A85" s="8" t="inlineStr">
        <is>
          <t>Intangible Assets &amp; Goodwill</t>
        </is>
      </c>
      <c r="B85" s="8" t="inlineStr">
        <is>
          <t>無形資產及商譽</t>
        </is>
      </c>
      <c r="C85" s="20" t="inlineStr">
        <is>
          <t>high</t>
        </is>
      </c>
      <c r="D85" s="11" t="inlineStr">
        <is>
          <t>goodwill</t>
        </is>
      </c>
      <c r="E85" s="11" t="inlineStr">
        <is>
          <t>PDF p.202 (印刷頁 6)</t>
        </is>
      </c>
      <c r="F85" s="11" t="inlineStr">
        <is>
          <t>Notes to the Financial Statements 財務報表附註 14. GOODWILL 14. 商譽（續） (Continued) 2026 2025 二零二六年 二零二五年 HK$’000 HK$’000 千港元 千港元 Spine treatment services in Hong Kong 香港脊椎療程服務 24,546* 24,546 Provision of comprehensive health screening 於香港提供全面健康篩查服務 services in Hong Kong – Mobile Medical －Mobile Medical 15,312 15,312 Provision of veterinary services 提供獸醫服務－張獸醫診所 – Dr. Tiong’s Clinics 14,090* 33,830 Child clinic operations and medical 香港幼兒診所營運及醫療服務－</t>
        </is>
      </c>
    </row>
    <row r="86">
      <c r="A86" s="8" t="inlineStr">
        <is>
          <t>Intangible Assets &amp; Goodwill</t>
        </is>
      </c>
      <c r="B86" s="8" t="inlineStr">
        <is>
          <t>無形資產及商譽</t>
        </is>
      </c>
      <c r="C86" s="20" t="inlineStr">
        <is>
          <t>high</t>
        </is>
      </c>
      <c r="D86" s="11" t="inlineStr">
        <is>
          <t>intangible asset</t>
        </is>
      </c>
      <c r="E86" s="11" t="inlineStr">
        <is>
          <t>PDF p.203 (印刷頁 6)</t>
        </is>
      </c>
      <c r="F86" s="11" t="inlineStr">
        <is>
          <t>,599,000 for goodwill) were 度分別就商譽、物業、廠房及設備以及 recognised for the goodwill, property, plant and equipment, and 無形資產確認減值虧損198,248,000港 intangible assets, respectively, for the year ended 31 March 2026. 元、45,982,000港元及74,575,000港元 （二零二五年：就商譽確認115,599,000 港元）。 Assumptions were adopted in the value-in-use calculations of all 於計算所有現金產生單位的使用價值時 CGUs, which include discount rate, long term growth rate and 採用假設，包括貼現率、長期增長率及 revenue growth rate, on which management has based its cash flow 收益增長率，管理層根據其現金流量推 projections to perform impairme</t>
        </is>
      </c>
    </row>
    <row r="87">
      <c r="A87" s="8" t="inlineStr">
        <is>
          <t>Intangible Assets &amp; Goodwill</t>
        </is>
      </c>
      <c r="B87" s="8" t="inlineStr">
        <is>
          <t>無形資產及商譽</t>
        </is>
      </c>
      <c r="C87" s="20" t="inlineStr">
        <is>
          <t>high</t>
        </is>
      </c>
      <c r="D87" s="11" t="inlineStr">
        <is>
          <t>goodwill</t>
        </is>
      </c>
      <c r="E87" s="11" t="inlineStr">
        <is>
          <t>PDF p.204 (印刷頁 6)</t>
        </is>
      </c>
      <c r="F87" s="11" t="inlineStr">
        <is>
          <t>Notes to the Financial Statements 財務報表附註 14. GOODWILL 14. 商譽（續） (Continued) Impairment testing of goodwill and other non- 商譽及其他非金融資產減值測試 financial assets (Continued) （續） The details of assumptions adopted in value-in-use calculations for 就五個商譽賬面值最高的現金產生單位 CGUs with the five largest carrying amounts of goodwill and those 及在關鍵假設合理變動後其估計可收回 CGUs with estimated recoverable amounts below their carrying 金額低於賬面值的現金產生單位（如上 amounts following a reason</t>
        </is>
      </c>
    </row>
    <row r="88">
      <c r="A88" s="8" t="inlineStr">
        <is>
          <t>Investment Properties</t>
        </is>
      </c>
      <c r="B88" s="8" t="inlineStr">
        <is>
          <t>投資物業</t>
        </is>
      </c>
      <c r="C88" s="20" t="inlineStr">
        <is>
          <t>high</t>
        </is>
      </c>
      <c r="D88" s="11" t="inlineStr">
        <is>
          <t>投資物業</t>
        </is>
      </c>
      <c r="E88" s="11" t="inlineStr">
        <is>
          <t>PDF p.5 (印刷頁 6)</t>
        </is>
      </c>
      <c r="F88" s="11" t="inlineStr">
        <is>
          <t>93 11,565 Fair value loss/(gain) on other 其他應收款項的公平值 receivables 虧損╱（收益） 6,906 36,039 1,254 (13,560) 3,792 Fair value loss/(gain) on 投資物業的公平值 investment properties 虧損╱（收益） 65,721 68,692 26,378 (2,200) (10,800) Remeasurement loss on 先前於一間聯營公司 previously-held interest in 持有的權益重新計量 an associate 虧損 – 5,921 – – – (Gain)/loss on disposals of 出售附屬公司的 subsidiaries, net （收益）╱虧損淨額 (24,882) (268,214) 84 – – Settlement income 結算收入 (7,132) – – – – Loss/(gain) on disposals and 出售及撇銷物業、 write-off of property, plant 廠房及設備的 and equipment 虧損╱（收益</t>
        </is>
      </c>
    </row>
    <row r="89">
      <c r="A89" s="8" t="inlineStr">
        <is>
          <t>Investment Properties</t>
        </is>
      </c>
      <c r="B89" s="8" t="inlineStr">
        <is>
          <t>投資物業</t>
        </is>
      </c>
      <c r="C89" s="20" t="inlineStr">
        <is>
          <t>high</t>
        </is>
      </c>
      <c r="D89" s="11" t="inlineStr">
        <is>
          <t>投資物業</t>
        </is>
      </c>
      <c r="E89" s="11" t="inlineStr">
        <is>
          <t>PDF p.22 (印刷頁 6)</t>
        </is>
      </c>
      <c r="F89" s="11" t="inlineStr">
        <is>
          <t>realised losses on financial 金融資產的已變現及未變現虧損、商譽的減值虧 assets at fair value through profit or loss, impairment losses on 損、無形資產、物業、廠房及設備、投資物業及 goodwill, intangible assets, property, plant and equipment, fair 其他應收款項的公平值虧損，以及出售及撇銷 value losses on investment properties and other receivables, 物業、廠房及設備的虧損）後，經調整EBITDA為 and losses on disposals and write-off of property, plant and 280.3百萬港元，同比下跌25.3%。有關跌幅主要 equipment, adjusted EBITDA amounted to HK$280.3 million, 由於收入及銷售額下降、若干業務單位的經營槓 representing a year-on-year decrease of 25.3%. The decr</t>
        </is>
      </c>
    </row>
    <row r="90">
      <c r="A90" s="8" t="inlineStr">
        <is>
          <t>Investment Properties</t>
        </is>
      </c>
      <c r="B90" s="8" t="inlineStr">
        <is>
          <t>投資物業</t>
        </is>
      </c>
      <c r="C90" s="20" t="inlineStr">
        <is>
          <t>high</t>
        </is>
      </c>
      <c r="D90" s="11" t="inlineStr">
        <is>
          <t>投資物業</t>
        </is>
      </c>
      <c r="E90" s="11" t="inlineStr">
        <is>
          <t>PDF p.23 (印刷頁 6)</t>
        </is>
      </c>
      <c r="F90" s="11" t="inlineStr">
        <is>
          <t>impairment charges of approximately HK$344.0 商譽╱無形資產╱物業、廠房及設備）。此外， million in respect of goodwill/intangible assets/property, plant 就投資物業╱金融資產╱其他應收款項確認非現 and equipment relating to certain medical/veterinary/other 金公平值虧損及其他非經常性開支約76.8百萬港 businesses. In addition, non-cash fair value losses and other 元。由於該等出售收益、減值及公平值調整，加 non-recurring charges of approximately HK$76.8 million were 上經調整EBITDA下跌所反映的基礎經營貢獻減 recognised in respect of investment properties/financial assets/ 少，本集團錄得本公司權益股東應佔虧損402.7 other receivables. As a result of these</t>
        </is>
      </c>
    </row>
    <row r="91">
      <c r="A91" s="8" t="inlineStr">
        <is>
          <t>Investment Properties</t>
        </is>
      </c>
      <c r="B91" s="8" t="inlineStr">
        <is>
          <t>投資物業</t>
        </is>
      </c>
      <c r="C91" s="20" t="inlineStr">
        <is>
          <t>high</t>
        </is>
      </c>
      <c r="D91" s="11" t="inlineStr">
        <is>
          <t>gross floor area</t>
        </is>
      </c>
      <c r="E91" s="11" t="inlineStr">
        <is>
          <t>PDF p.24 (印刷頁 6)</t>
        </is>
      </c>
      <c r="F91" s="11" t="inlineStr">
        <is>
          <t>零二六年三月三十一日，本集團經營由148 network of 148 service points, including 144 in Hong Kong 個服務點組成的全面網絡，其中144個位於香 and 4 in Macau. Overall service gross floor area amounted to 港及4個位於澳門。整體服務總建築面積為約 approximately 600,335 sq ft, representing a slight increase 600,335平方呎，較二零二五年三月三十一日的 from approximately 590,854 sq ft as at 31 March 2025. The 約590,854平方呎略微增加。該增加乃主要由於 increase was primarily attributable to the commencement of 尖沙咀金馬倫道37號項目投運，其加強本集團旗 operation of the 37 Cameron Road, Tsim Sha Tsui project, 艦醫療樞紐能力及多專科服務能力。 which strengthened the Gro</t>
        </is>
      </c>
    </row>
    <row r="92">
      <c r="A92" s="8" t="inlineStr">
        <is>
          <t>Investment Properties</t>
        </is>
      </c>
      <c r="B92" s="8" t="inlineStr">
        <is>
          <t>投資物業</t>
        </is>
      </c>
      <c r="C92" s="20" t="inlineStr">
        <is>
          <t>high</t>
        </is>
      </c>
      <c r="D92" s="11" t="inlineStr">
        <is>
          <t>gross floor area</t>
        </is>
      </c>
      <c r="E92" s="11" t="inlineStr">
        <is>
          <t>PDF p.33 (印刷頁 6)</t>
        </is>
      </c>
      <c r="F92" s="11" t="inlineStr">
        <is>
          <t>營運。第一期佔地約33,000平方呎，約佔該大 approximately 33,000 sq ft, representing approximately one- 樓總建築樓面面積三分之一。該大樓總建築樓面 third of the Tower’s total gross floor area. The Tower comprises 面積約為103,000平方呎，並為本集團整體網絡轉 approximately 103,000 sq ft of gross floor area and forms a key 型策略的重要組成部分。 part of the Group’s broader network transformation strategy. The 37 Cameron Road, Tsim Sha Tsui project houses a curated 尖沙咀金馬倫道37號項目匯聚多項精選醫療專 mix of medical specialties and healthcare services, anchored by 科及醫療服務，以診斷影像、牙科服務及提供內 diagnostic imaging, dental serv</t>
        </is>
      </c>
    </row>
    <row r="93">
      <c r="A93" s="8" t="inlineStr">
        <is>
          <t>Investment Properties</t>
        </is>
      </c>
      <c r="B93" s="8" t="inlineStr">
        <is>
          <t>投資物業</t>
        </is>
      </c>
      <c r="C93" s="20" t="inlineStr">
        <is>
          <t>high</t>
        </is>
      </c>
      <c r="D93" s="11" t="inlineStr">
        <is>
          <t>投資物業</t>
        </is>
      </c>
      <c r="E93" s="11" t="inlineStr">
        <is>
          <t>PDF p.55 (印刷頁 6)</t>
        </is>
      </c>
      <c r="F93" s="11" t="inlineStr">
        <is>
          <t>日，本集團並無重大 and guarantees. 或然負債及擔保。 CHARGE OF ASSETS 資產抵押 As at 31 March 2026, investment properties of HK$96.3 million, 於二零二六年三月三十一日，投資物業96.3百 ownership interests in land and building held for own use of HK$28.2 萬港元、持有作自用的土地及樓宇的所有權權 million, operating equipment of HK$97.3 million and financial assets at fair 益28.2百萬港元、經營設備97.3百萬港元及按 value through profit or loss of HK$127.0 million were pledged for bank 公平值計入損益的金融資產127.0百萬港元已 borrowings. 就銀行借款作出抵押。 GEARING RATIO 資產負債比率 Gearing ratio equals total debt (total debt refers to the ag</t>
        </is>
      </c>
    </row>
    <row r="94">
      <c r="A94" s="8" t="inlineStr">
        <is>
          <t>Investment Properties</t>
        </is>
      </c>
      <c r="B94" s="8" t="inlineStr">
        <is>
          <t>投資物業</t>
        </is>
      </c>
      <c r="C94" s="20" t="inlineStr">
        <is>
          <t>high</t>
        </is>
      </c>
      <c r="D94" s="11" t="inlineStr">
        <is>
          <t>投資物業</t>
        </is>
      </c>
      <c r="E94" s="11" t="inlineStr">
        <is>
          <t>PDF p.122 (印刷頁 6)</t>
        </is>
      </c>
      <c r="F94" s="11" t="inlineStr">
        <is>
          <t>K$’000 HK$’000 附註 千港元 千港元 NON-CURRENT ASSETS 非流動資產 Property, plant and equipment 物業、廠房及設備 13 824,350 1,059,432 Investment properties 投資物業 13 196,480 104,230 Goodwill 商譽 14 556,298 754,546 Intangible assets 無形資產 15 377,416 543,834 Interests in joint ventures 於合營企業的權益 16 32,481 31,473 Interests in associates 於聯營公司的權益 17 234,815 201,838 Rental and other deposits 租金及其他按金 20 89,037 102,052 Prepayments and other receivables 預付款項及其他應收款項 20 114,991 132,255 Financial assets at fair value through other 按公平值計入其他全面收益的 comprehensive income</t>
        </is>
      </c>
    </row>
    <row r="95">
      <c r="A95" s="8" t="inlineStr">
        <is>
          <t>Investment Properties</t>
        </is>
      </c>
      <c r="B95" s="8" t="inlineStr">
        <is>
          <t>投資物業</t>
        </is>
      </c>
      <c r="C95" s="20" t="inlineStr">
        <is>
          <t>high</t>
        </is>
      </c>
      <c r="D95" s="11" t="inlineStr">
        <is>
          <t>投資物業</t>
        </is>
      </c>
      <c r="E95" s="11" t="inlineStr">
        <is>
          <t>PDF p.125 (印刷頁 6)</t>
        </is>
      </c>
      <c r="F95" s="11" t="inlineStr">
        <is>
          <t>cial assets at 按公平值計入損益的金融 fair value through profit or loss, net 資產的未變現虧損淨額 6 4,127 10,939 Fair value loss on investment properties 投資物業的公平值虧損 6 65,721 68,692 Fair value loss on other receivables 其他應收款項的公平值虧損 6 6,906 36,039 Remeasurement loss on previously-held 先前持有聯營公司權益的 interest in an associate 重新計量虧損 6 – 5,921 Gain on disposal of subsidiaries, net 出售附屬公司的收益淨額 6 (24,882) (268,214) Settlement income 結算收入 6 (7,132) – Loss on deregistration of subsidiaries, net 註銷附屬公司的虧損淨額 61 – Gain on early termination of leases, net 提前終止租約的收</t>
        </is>
      </c>
    </row>
    <row r="96">
      <c r="A96" s="8" t="inlineStr">
        <is>
          <t>Investment Properties</t>
        </is>
      </c>
      <c r="B96" s="8" t="inlineStr">
        <is>
          <t>投資物業</t>
        </is>
      </c>
      <c r="C96" s="20" t="inlineStr">
        <is>
          <t>high</t>
        </is>
      </c>
      <c r="D96" s="11" t="inlineStr">
        <is>
          <t>投資物業</t>
        </is>
      </c>
      <c r="E96" s="11" t="inlineStr">
        <is>
          <t>PDF p.128 (印刷頁 6)</t>
        </is>
      </c>
      <c r="F96" s="11" t="inlineStr">
        <is>
          <t>of the Hong Kong Companies Ordinance. They have 製。該等財務報表乃按歷史成本準則列 been prepared under the historical cost convention, except for 賬，惟投資物業、若干其他應收款項、 investment properties, certain other receivables, financial assets at 按公平值計入損益的金融資產及指定為 fair value through profit or loss and financial assets designated at 按公平值計入其他全面收益的金融資產 fair value through other comprehensive income and certain other 以及若干其他應付款項是以公平值計 payables which have been measured at fair value. These financial 量。除另有指明外，該等財務報表均以 statements are presented in Hong Kong dollars</t>
        </is>
      </c>
    </row>
    <row r="97">
      <c r="A97" s="8" t="inlineStr">
        <is>
          <t>Investment Properties</t>
        </is>
      </c>
      <c r="B97" s="8" t="inlineStr">
        <is>
          <t>投資物業</t>
        </is>
      </c>
      <c r="C97" s="20" t="inlineStr">
        <is>
          <t>high</t>
        </is>
      </c>
      <c r="D97" s="11" t="inlineStr">
        <is>
          <t>投資物業</t>
        </is>
      </c>
      <c r="E97" s="11" t="inlineStr">
        <is>
          <t>PDF p.141 (印刷頁 6)</t>
        </is>
      </c>
      <c r="F97" s="11" t="inlineStr">
        <is>
          <t>p measures its investment properties, certain other 於各報告期間末，本集團按公平值計量 receivables, financial assets at fair value through profit or 其投資物業、若干其他應收款項、按公 loss, financial assets designated at fair value through other 平值計入損益的金融資產、指定為按公 comprehensive income and certain other payables at fair value at 平值計入其他全面收益的金融資產以及 the end of each reporting period. Fair value is the price that would 若干其他應付款項。公平值為市場參與 be received to sell an asset or paid to transfer a liability in an orderly 者於計量日期在有序交易中出售資產所 transaction between market participants</t>
        </is>
      </c>
    </row>
    <row r="98">
      <c r="A98" s="8" t="inlineStr">
        <is>
          <t>Investment Properties</t>
        </is>
      </c>
      <c r="B98" s="8" t="inlineStr">
        <is>
          <t>投資物業</t>
        </is>
      </c>
      <c r="C98" s="20" t="inlineStr">
        <is>
          <t>high</t>
        </is>
      </c>
      <c r="D98" s="11" t="inlineStr">
        <is>
          <t>投資物業</t>
        </is>
      </c>
      <c r="E98" s="11" t="inlineStr">
        <is>
          <t>PDF p.143 (印刷頁 6)</t>
        </is>
      </c>
      <c r="F98" s="11" t="inlineStr">
        <is>
          <t>f impairment exists, or when annual 倘一項資產（存貨、可收回稅項、遞延稅 impairment testing for an asset is required (other than inventories, 項資產、金融資產及投資物業除外）存在 tax recoverable, deferred tax assets, financial assets and investment 減值跡象，或需要進行年度減值測試， properties), the asset’s recoverable amount is estimated. An asset’s 則會估計資產的可收回金額。一項資產 recoverable amount is the higher of the asset’s or cash-generating 的可收回金額乃根據資產或現金產生單 unit’s value in use and its fair value less costs of disposal, and 位的使用價值與其公平值減出售成本兩 is determined for an individual asset, unless</t>
        </is>
      </c>
    </row>
    <row r="99">
      <c r="A99" s="8" t="inlineStr">
        <is>
          <t>Investment Properties</t>
        </is>
      </c>
      <c r="B99" s="8" t="inlineStr">
        <is>
          <t>投資物業</t>
        </is>
      </c>
      <c r="C99" s="20" t="inlineStr">
        <is>
          <t>high</t>
        </is>
      </c>
      <c r="D99" s="11" t="inlineStr">
        <is>
          <t>投資物業</t>
        </is>
      </c>
      <c r="E99" s="11" t="inlineStr">
        <is>
          <t>PDF p.146 (印刷頁 6)</t>
        </is>
      </c>
      <c r="F99" s="11" t="inlineStr">
        <is>
          <t>收 between the net sales proceeds and the carrying amount of the 益或虧損，乃有關資產的出售所得款項 relevant asset. 淨額與賬面值之間的差額。 Investment properties 投資物業 Investment properties are interests in land and buildings (including 投資物業是以獲得租賃收入及╱或資本 right-of-use assets) held to earn rental income and/or for capital 增值為目的而持有的土地及樓宇（包括使 appreciation. Such properties are measured initially at cost, 用權資產）權益。投資物業初始時按成本 including transaction costs. Subsequent to initial recognition, 計量，包括交易成本。於初步確認後， investment properties are stated at fair value, which refle</t>
        </is>
      </c>
    </row>
    <row r="100">
      <c r="A100" s="8" t="inlineStr">
        <is>
          <t>Investment Properties</t>
        </is>
      </c>
      <c r="B100" s="8" t="inlineStr">
        <is>
          <t>投資物業</t>
        </is>
      </c>
      <c r="C100" s="20" t="inlineStr">
        <is>
          <t>high</t>
        </is>
      </c>
      <c r="D100" s="11" t="inlineStr">
        <is>
          <t>投資物業</t>
        </is>
      </c>
      <c r="E100" s="11" t="inlineStr">
        <is>
          <t>PDF p.149 (印刷頁 6)</t>
        </is>
      </c>
      <c r="F100" s="11" t="inlineStr">
        <is>
          <t>he 權獲行使，則使用資產的估計可使 estimated useful life of the asset. 用年期計算折舊。 When a right-of-use asset meets the definition of investment 當使用權資產符合投資物業的定義 property, it is included in investment properties. The 時，則計入投資物業。相應的使用 corresponding right-of-use asset is initially measured at cost, 權資產按成本進行初始計量，其後 and subsequently measured at fair value, in accordance with 根據本集團「投資物業」的會計政策 the Group’s policy for “investment properties”. 按公平值計量。 (b) Lease liabilities (b) 租賃負債 Lease liabilities are recognised at the commencement date 租賃負債於租賃開始日期按租賃期 of</t>
        </is>
      </c>
    </row>
    <row r="101">
      <c r="A101" s="8" t="inlineStr">
        <is>
          <t>Investment Properties</t>
        </is>
      </c>
      <c r="B101" s="8" t="inlineStr">
        <is>
          <t>投資物業</t>
        </is>
      </c>
      <c r="C101" s="20" t="inlineStr">
        <is>
          <t>high</t>
        </is>
      </c>
      <c r="D101" s="11" t="inlineStr">
        <is>
          <t>投資物業</t>
        </is>
      </c>
      <c r="E101" s="11" t="inlineStr">
        <is>
          <t>PDF p.178 (印刷頁 6)</t>
        </is>
      </c>
      <c r="F101" s="11" t="inlineStr">
        <is>
          <t>all tangible, intangible assets and current 分部資產包括所有有形和無形資產以及 assets with the exception of investment properties, interests in 流動資產，但投資物業、於聯營公司及 associates and joint ventures, financial assets at fair value through 合營企業的權益、按公平值計入損益的 profit or loss and financial assets at fair value through other 金融資產及按公平值計入其他全面收益 comprehensive income. Segment liabilities include trade payables, 的金融資產除外。分部負債包括貿易應 other payables and accruals, provision for reinstatement costs, 付款項、其他應付款項及應計費用、重 lease liabilities, deferred revenue, current tax pay</t>
        </is>
      </c>
    </row>
    <row r="102">
      <c r="A102" s="8" t="inlineStr">
        <is>
          <t>Investment Properties</t>
        </is>
      </c>
      <c r="B102" s="8" t="inlineStr">
        <is>
          <t>投資物業</t>
        </is>
      </c>
      <c r="C102" s="20" t="inlineStr">
        <is>
          <t>high</t>
        </is>
      </c>
      <c r="D102" s="11" t="inlineStr">
        <is>
          <t>投資物業</t>
        </is>
      </c>
      <c r="E102" s="11" t="inlineStr">
        <is>
          <t>PDF p.179 (印刷頁 6)</t>
        </is>
      </c>
      <c r="F102" s="11" t="inlineStr">
        <is>
          <t>nce for other receivables, rental income 權益的重新計量虧損、就其他應收款項 from investment properties, gain on disposal of subsidiaries, net, 計提虧損撥備、投資物業租金收入、出 settlement income, share of results of joint ventures and associates 售附屬公司的收益淨額丶結算收入、分 and head office and other corporate expenses are excluded from 佔合營企業及聯營公司的業績及總辦事 such measurement. 處及其他企業開支均不計入該計量內。 E C H e a l t h c a r e 178 A n n u a l R e p o r t 2 0 2 5 / 2 6</t>
        </is>
      </c>
    </row>
    <row r="103">
      <c r="A103" s="8" t="inlineStr">
        <is>
          <t>Investment Properties</t>
        </is>
      </c>
      <c r="B103" s="8" t="inlineStr">
        <is>
          <t>投資物業</t>
        </is>
      </c>
      <c r="C103" s="20" t="inlineStr">
        <is>
          <t>high</t>
        </is>
      </c>
      <c r="D103" s="11" t="inlineStr">
        <is>
          <t>投資物業</t>
        </is>
      </c>
      <c r="E103" s="11" t="inlineStr">
        <is>
          <t>PDF p.180 (印刷頁 6)</t>
        </is>
      </c>
      <c r="F103" s="11" t="inlineStr">
        <is>
          <t>t or loss, net 虧損淨額 (4,127) (10,939) Fair value loss on other receivables 其他應收款項公平值虧損 (6,906) (36,039) Fair value loss on investment 投資物業公平值虧損 properties (65,721) (68,692) Remeasurement loss on previously- 先前持有一間聯營公司 held interest in an associate 權益的重新計量虧損 – (5,921) Rental income from investment 投資物業租金收入 properties 3,559 3,849 Gain on disposal of subsidiaries, net 出售附屬公司的收益淨額 24,882 268,214 Settlement income 結算收入 7,132 – Share of results of joint ventures 分佔合營企業業績 6,458 1,284 Share of results of associates 分佔聯營公司業績 2,043 (96,71</t>
        </is>
      </c>
    </row>
    <row r="104">
      <c r="A104" s="8" t="inlineStr">
        <is>
          <t>Investment Properties</t>
        </is>
      </c>
      <c r="B104" s="8" t="inlineStr">
        <is>
          <t>投資物業</t>
        </is>
      </c>
      <c r="C104" s="20" t="inlineStr">
        <is>
          <t>high</t>
        </is>
      </c>
      <c r="D104" s="11" t="inlineStr">
        <is>
          <t>投資物業</t>
        </is>
      </c>
      <c r="E104" s="11" t="inlineStr">
        <is>
          <t>PDF p.181 (印刷頁 6)</t>
        </is>
      </c>
      <c r="F104" s="11" t="inlineStr">
        <is>
          <t>港元 Reportable segment assets 可報告分部資產 1,881,441 2,391,793 911,803 1,709,179 718,294 465,437 3,511,538 4,566,409 Investment properties 投資物業 196,480 104,230 Interests in joint ventures 於合營企業的權益 32,481 31,473 Interests in associates 於聯營公司的權益 234,815 201,838 Financial assets at fair value through 按公平值計入其他全面 other comprehensive income 收益的金融資產 3,637 3,637 Financial assets at fair value through 按公平值計入損益的 profit or loss 金融資產 370,424 119,301 Consolidated total assets 綜合資產總值 4,349,375 5,026,888 Additions to non-current segment 年內添置非流動 ass</t>
        </is>
      </c>
    </row>
    <row r="105">
      <c r="A105" s="8" t="inlineStr">
        <is>
          <t>Investment Properties</t>
        </is>
      </c>
      <c r="B105" s="8" t="inlineStr">
        <is>
          <t>投資物業</t>
        </is>
      </c>
      <c r="C105" s="20" t="inlineStr">
        <is>
          <t>high</t>
        </is>
      </c>
      <c r="D105" s="11" t="inlineStr">
        <is>
          <t>投資物業</t>
        </is>
      </c>
      <c r="E105" s="11" t="inlineStr">
        <is>
          <t>PDF p.182 (印刷頁 6)</t>
        </is>
      </c>
      <c r="F105" s="11" t="inlineStr">
        <is>
          <t>enue from external customers; and (ii) 料：(i)本集團來自外部客戶的收入；及 the Group’s investment properties, property, plant and equipment, (ii)本集團的投資物業、物業、廠房及設 intangible assets, goodwill and interests in joint ventures and 備、無形資產、商譽及於合營企業及聯 associates and the non-current portion of prepayments (collectively, 營公司的權益以及預付款項的非流動部 “specified non-current assets”). The geographical location of 分（統稱「特定非流動資產」）。客戶的地 customers is based on the location at which the services were 理位置基於所提供服務或所交付貨品的 provided or the goods delivered. The geographical locati</t>
        </is>
      </c>
    </row>
    <row r="106">
      <c r="A106" s="8" t="inlineStr">
        <is>
          <t>Investment Properties</t>
        </is>
      </c>
      <c r="B106" s="8" t="inlineStr">
        <is>
          <t>投資物業</t>
        </is>
      </c>
      <c r="C106" s="20" t="inlineStr">
        <is>
          <t>high</t>
        </is>
      </c>
      <c r="D106" s="11" t="inlineStr">
        <is>
          <t>投資物業</t>
        </is>
      </c>
      <c r="E106" s="11" t="inlineStr">
        <is>
          <t>PDF p.185 (印刷頁 6)</t>
        </is>
      </c>
      <c r="F106" s="11" t="inlineStr">
        <is>
          <t>al assets at fair 按公平值計入損益的金融資產的 value through profit or loss, net 未變現虧損淨額 (4,127) (10,939) Fair value loss on investment properties 投資物業的公平值虧損 (65,721) (68,692) Fair value loss on other receivables 其他應收款項的公平值虧損 (6,906) (36,039) Provision for loss allowance for other 其他應收款項的虧損撥備 receivables (20,650) – Write-off of other receivables 撇銷其他應收款項 (3,852) – Remeasurement loss on previously-held 先前持有一間聯營公司權益的 interest in an associate 重新計量虧損 – (5,921) Rental income from investment properties 投資物業租金收入 3,559 3,849 Gain on disposal of subs</t>
        </is>
      </c>
    </row>
    <row r="107">
      <c r="A107" s="8" t="inlineStr">
        <is>
          <t>Investment Properties</t>
        </is>
      </c>
      <c r="B107" s="8" t="inlineStr">
        <is>
          <t>投資物業</t>
        </is>
      </c>
      <c r="C107" s="20" t="inlineStr">
        <is>
          <t>high</t>
        </is>
      </c>
      <c r="D107" s="11" t="inlineStr">
        <is>
          <t>投資物業</t>
        </is>
      </c>
      <c r="E107" s="11" t="inlineStr">
        <is>
          <t>PDF p.186 (印刷頁 6)</t>
        </is>
      </c>
      <c r="F107" s="11" t="inlineStr">
        <is>
          <t>trade 貿易應收款項虧損撥備* receivables* – 1,816 Foreign exchange differences, net* 外匯差額淨額* 77 2,564 Rental income from investment properties 投資物業租金收入減直接 less direct outgoings of HK$495,000 支銷495,000港元 (2025: HK$587,000) （二零二五年：587,000港元） (3,064) (3,262) Utilities* 水電費* 29,455 31,287 Legal and professional fees* 法律及專業費用* 9,591 14,762 Repairs and maintenance expenses* 維修及保養費用* 40,801 33,787 IT related and office expenses* 資訊科技相關及辦公室開支* 30,780 30,148 Laundry and cleaning expenses* 洗衣及清潔開支* 9,197 9,973 Bank charges* 銀行費用* 3,505 3,451 Insur</t>
        </is>
      </c>
    </row>
    <row r="108">
      <c r="A108" s="8" t="inlineStr">
        <is>
          <t>Investment Properties</t>
        </is>
      </c>
      <c r="B108" s="8" t="inlineStr">
        <is>
          <t>投資物業</t>
        </is>
      </c>
      <c r="C108" s="20" t="inlineStr">
        <is>
          <t>high</t>
        </is>
      </c>
      <c r="D108" s="11" t="inlineStr">
        <is>
          <t>投資物業</t>
        </is>
      </c>
      <c r="E108" s="11" t="inlineStr">
        <is>
          <t>PDF p.193 (印刷頁 6)</t>
        </is>
      </c>
      <c r="F108" s="11" t="inlineStr">
        <is>
          <t>res equipment equipment Computers vehicles Sub-total properties Total 持作自用的 土地及樓宇的 用作自用的 所有權權益 租賃物業 租賃物業裝修 傢具及裝置 營運設備 辦公設備 計算機 汽車 小計 投資物業 總計 HK$’000 HK$’000 HK$’000 HK$’000 HK$’000 HK$’000 HK$’000 HK$’000 HK$’000 HK$’000 HK$’000 千港元 千港元 千港元 千港元 千港元 千港元 千港元 千港元 千港元 千港元 千港元 Cost or valuation: 成本或估值： At 1 April 2024 於二零二四年四月一日 37,000 1,905,545 617,912 119,969 622,144 22,658 35,160 8,838 3,369,226 172,922 3,542,148 Additions 添置 – 155,519 22,988 3,430 26,897 1,903 1,137 817 212,691 – 212,691 Business acquisitions 業務收購 – 25,319 5,307</t>
        </is>
      </c>
    </row>
    <row r="109">
      <c r="A109" s="8" t="inlineStr">
        <is>
          <t>Investment Properties</t>
        </is>
      </c>
      <c r="B109" s="8" t="inlineStr">
        <is>
          <t>投資物業</t>
        </is>
      </c>
      <c r="C109" s="20" t="inlineStr">
        <is>
          <t>high</t>
        </is>
      </c>
      <c r="D109" s="11" t="inlineStr">
        <is>
          <t>capitalisation rate</t>
        </is>
      </c>
      <c r="E109" s="11" t="inlineStr">
        <is>
          <t>PDF p.194 (印刷頁 6)</t>
        </is>
      </c>
      <c r="F109" s="11" t="inlineStr">
        <is>
          <t>or outgoings and, in 出撥備。主要輸入數據為資本化率 5%。 appropriate cases, made provisions for reversionary income potential. The key input was the capitalisation rate of 5%. (b) 投資物業的公平值計量 (b) Fair value measurement of investment properties (i) 公平值層級 (i) Fair value hierarchy The following table presents the fair value of the Group’s 下表呈列本集團投資物業於 investment properties measured at the end of the 報告期末按經常性基準計量 reporting period on a recurring basis, categorised into 之公平值，並按照香港財務 報告準則第13 號公平值計 the three-level fair value hierarchy as defined in HKF</t>
        </is>
      </c>
    </row>
    <row r="110">
      <c r="A110" s="8" t="inlineStr">
        <is>
          <t>Investment Properties</t>
        </is>
      </c>
      <c r="B110" s="8" t="inlineStr">
        <is>
          <t>投資物業</t>
        </is>
      </c>
      <c r="C110" s="20" t="inlineStr">
        <is>
          <t>high</t>
        </is>
      </c>
      <c r="D110" s="11" t="inlineStr">
        <is>
          <t>投資物業</t>
        </is>
      </c>
      <c r="E110" s="11" t="inlineStr">
        <is>
          <t>PDF p.195 (印刷頁 6)</t>
        </is>
      </c>
      <c r="F110" s="11" t="inlineStr">
        <is>
          <t>PERTY, PLANT AND EQUIPMENT AND 13. 物業、廠房及設備以及投資物 INVESTMENT PROPERTIES 業（續） (Continued) (b) Fair value measurement of investment (b) 投資物業的公平值計量（續） properties (Continued) (i) Fair value hierarchy (Continued) (i) 公平值層級（續） • Level 2 valuations: Fair value measured using • 第二層級估值：使用第 Level 2 inputs, i.e. observable inputs which 二層級輸入數據計量的 fail to meet Level 1, and not using significant 公平值，即不符合第一 unobservable inputs. Unobservable inputs are 層級的可觀察輸入數據 inputs for which market data are not available 及未有採用不可觀察的 重要輸入數據。不可觀 察輸入數據乃指無法取 得</t>
        </is>
      </c>
    </row>
    <row r="111">
      <c r="A111" s="8" t="inlineStr">
        <is>
          <t>Investment Properties</t>
        </is>
      </c>
      <c r="B111" s="8" t="inlineStr">
        <is>
          <t>投資物業</t>
        </is>
      </c>
      <c r="C111" s="20" t="inlineStr">
        <is>
          <t>high</t>
        </is>
      </c>
      <c r="D111" s="11" t="inlineStr">
        <is>
          <t>投資物業</t>
        </is>
      </c>
      <c r="E111" s="11" t="inlineStr">
        <is>
          <t>PDF p.196 (印刷頁 6)</t>
        </is>
      </c>
      <c r="F111" s="11" t="inlineStr">
        <is>
          <t>PERTY, PLANT AND EQUIPMENT AND 13. 物業、廠房及設備以及投資物 INVESTMENT PROPERTIES 業（續） (Continued) (b) Fair value measurement of investment (b) 投資物業的公平值計量（續） properties (Continued) (i) Fair value hierarchy (Continued) (i) 公平值層級（續） During the years ended 31 March 2026 and 2025, 於截至二零二六年及二零二五 there were no transfers between Level 1 and Level 2, or 年三月三十一日止年度，第一 transfers into or out of Level 3. The Group’s policy is to 層級與第二層級之間並無轉 recognise transfers between levels of fair value hierarchy 移，亦無轉入或轉出第三層 as at the end of the reporting period</t>
        </is>
      </c>
    </row>
    <row r="112">
      <c r="A112" s="8" t="inlineStr">
        <is>
          <t>Investment Properties</t>
        </is>
      </c>
      <c r="B112" s="8" t="inlineStr">
        <is>
          <t>投資物業</t>
        </is>
      </c>
      <c r="C112" s="20" t="inlineStr">
        <is>
          <t>high</t>
        </is>
      </c>
      <c r="D112" s="11" t="inlineStr">
        <is>
          <t>投資物業</t>
        </is>
      </c>
      <c r="E112" s="11" t="inlineStr">
        <is>
          <t>PDF p.197 (印刷頁 6)</t>
        </is>
      </c>
      <c r="F112" s="11" t="inlineStr">
        <is>
          <t>PERTY, PLANT AND EQUIPMENT AND 13. 物業、廠房及設備以及投資物 INVESTMENT PROPERTIES 業（續） (Continued) (b) Fair value measurement of investment (b) 投資物業的公平值計量（續） properties (Continued) (ii) Information about Level 3 fair value (ii) 第三層級公平值計量資料 measurement The fair value of properties is determined using the 物業之公平值乃使用市場比 market comparison approach by reference to recent 較法釐定，其經參考可供比 sales price of comparable properties on a price per 較物業按每平方呎價格基準 square foot basis, adjusted for a premium or a discount 計算之近期售價，且已就本 specific to the quality of th</t>
        </is>
      </c>
    </row>
    <row r="113">
      <c r="A113" s="8" t="inlineStr">
        <is>
          <t>Investment Properties</t>
        </is>
      </c>
      <c r="B113" s="8" t="inlineStr">
        <is>
          <t>投資物業</t>
        </is>
      </c>
      <c r="C113" s="20" t="inlineStr">
        <is>
          <t>high</t>
        </is>
      </c>
      <c r="D113" s="11" t="inlineStr">
        <is>
          <t>market rent</t>
        </is>
      </c>
      <c r="E113" s="11" t="inlineStr">
        <is>
          <t>PDF p.200 (印刷頁 6)</t>
        </is>
      </c>
      <c r="F113" s="11" t="inlineStr">
        <is>
          <t>重續租賃，於該日後所 which time all terms are renegotiated. Lease payments are 有條款會重新磋商。租賃付款通常 usually increased every 2 to 3 years to reflect market rentals. 每2至3年上調一次，以反映市場租 None of the leases includes variable lease payment. 金。該等租賃概無包括可變租賃付 款。 Undiscounted lease payments under operating leases in place 本集團於未來期間應收於報告日期 at the reporting date will be receivable by the Group in future 存在的經營租賃下的未貼現租賃付 periods as follows: 款如下： 2026 2025 二零二六年 二零二五年 HK$’000 HK$’000 千港元 千港元 Within 1 year 1年內 4,176 3,172 1 to 2 years 1至2年 3,105 2,656 2 to 3 ye</t>
        </is>
      </c>
    </row>
    <row r="114">
      <c r="A114" s="8" t="inlineStr">
        <is>
          <t>Investment Properties</t>
        </is>
      </c>
      <c r="B114" s="8" t="inlineStr">
        <is>
          <t>投資物業</t>
        </is>
      </c>
      <c r="C114" s="20" t="inlineStr">
        <is>
          <t>high</t>
        </is>
      </c>
      <c r="D114" s="11" t="inlineStr">
        <is>
          <t>投資物業</t>
        </is>
      </c>
      <c r="E114" s="11" t="inlineStr">
        <is>
          <t>PDF p.227 (印刷頁 6)</t>
        </is>
      </c>
      <c r="F114" s="11" t="inlineStr">
        <is>
          <t>0港 policies with respective carrying amount of approximately 元及126,974,000港元的若干營運設備、 HK$97,315,000, HK$96,270,000, HK$28,203,000 and 投資物業、持作自用的土地及樓宇業主 HK$126,974,000. 權益以及保單作為抵押。 In respect of bank borrowings with an aggregate carrying amount 於二零二六年三月三十一日，就賬面總 of HK$598,190,000 (2025: nil) as at 31 March 2026, the Group 值為598,190,000 港元（二零二五年：無） is required to comply with certain financial covenants throughout 的銀行借款而言，本集團須於借款有效 the tenure of the borrowings and while such borrowings remain 期內及該等借款尚未償還期間遵守若干 outstanding. During t</t>
        </is>
      </c>
    </row>
    <row r="115">
      <c r="A115" s="8" t="inlineStr">
        <is>
          <t>Investment Properties</t>
        </is>
      </c>
      <c r="B115" s="8" t="inlineStr">
        <is>
          <t>投資物業</t>
        </is>
      </c>
      <c r="C115" s="20" t="inlineStr">
        <is>
          <t>high</t>
        </is>
      </c>
      <c r="D115" s="11" t="inlineStr">
        <is>
          <t>投資物業</t>
        </is>
      </c>
      <c r="E115" s="11" t="inlineStr">
        <is>
          <t>PDF p.283 (印刷頁 6)</t>
        </is>
      </c>
      <c r="F115" s="11" t="inlineStr">
        <is>
          <t>re and beauty products 提供醫療、準醫療及傳統美容 服務以及銷售護膚及 美容產品 Billion Energy Limited Hong Kong HK$1 – 100% Property investment (兆泰有限公司) 香港 1港元 投資物業 Centre of Rehabilitation &amp; Exercising Hong Kong HK$10,000 – 51% Provision of rehabilitation Specialist Limited 香港 10,000港元 services (健衡物理治療及專項訓練有限公司) 提供康復服務 Crown Leader Limited Hong Kong HK$10,000 – 51% Provision of veterinary medical (鋒冠有限公司) 香港 10,000港元 services 提供獸醫醫療服務 Conya Group Limited Hong Kong HK$11,000 – 60% Provision of dental services (康雅集團有限公司) 香港 11,000港元 提供牙科服務 Cosmetic Care M</t>
        </is>
      </c>
    </row>
    <row r="116">
      <c r="A116" s="8" t="inlineStr">
        <is>
          <t>Investment Properties</t>
        </is>
      </c>
      <c r="B116" s="8" t="inlineStr">
        <is>
          <t>投資物業</t>
        </is>
      </c>
      <c r="C116" s="20" t="inlineStr">
        <is>
          <t>high</t>
        </is>
      </c>
      <c r="D116" s="11" t="inlineStr">
        <is>
          <t>gross floor area</t>
        </is>
      </c>
      <c r="E116" s="11" t="inlineStr">
        <is>
          <t>PDF p.300 (印刷頁 6)</t>
        </is>
      </c>
      <c r="F116" s="11" t="inlineStr">
        <is>
          <t>ests, taxation, depreciation-owned property, plant and equipment and amortisation 「息稅折舊及攤銷前之盈利」 未計入利息、稅項、自有物業、廠房及設備折舊及攤銷之盈利 “g.f.a.” gross floor area 「總樓面面積」 總樓面面積 醫思健康 299 年度報告 2 0 2 5 / 2 6</t>
        </is>
      </c>
    </row>
    <row r="117">
      <c r="A117" s="8" t="inlineStr">
        <is>
          <t>ESG Data</t>
        </is>
      </c>
      <c r="B117" s="8" t="inlineStr">
        <is>
          <t>環境社會及管治數據</t>
        </is>
      </c>
      <c r="C117" s="8" t="inlineStr">
        <is>
          <t>medium</t>
        </is>
      </c>
      <c r="D117" s="11" t="inlineStr">
        <is>
          <t>sustainability</t>
        </is>
      </c>
      <c r="E117" s="11" t="inlineStr">
        <is>
          <t>PDF p.2 (印刷頁 6)</t>
        </is>
      </c>
      <c r="F117" s="11" t="inlineStr">
        <is>
          <t>airman’s Statement 主席報告 9 Biography of Directors and Senior Management 董事及高級管理人員簡歷 12 Management Discussion and Analysis 管理層討論及分析 20 Sustainability Approach 可持續發展方針 55 Co-Owners 持股管理人 58 Investor Relations Report 投資者關係報告 66 Corporate Governance Report 企業管治報告 69 Report of the Directors 董事會報告 84 Independent Auditor’s Report 獨立核數師報告 112 Consolidated Statement of Profit or Loss 綜合損益表 119 Consolidated Statement of Comprehensive Income 綜合全面收益表 120 Consolidated Statement of Financial Position 綜合財務狀況表 121 Consolidated Statement of Chan</t>
        </is>
      </c>
    </row>
    <row r="118">
      <c r="A118" s="8" t="inlineStr">
        <is>
          <t>ESG Data</t>
        </is>
      </c>
      <c r="B118" s="8" t="inlineStr">
        <is>
          <t>環境社會及管治數據</t>
        </is>
      </c>
      <c r="C118" s="8" t="inlineStr">
        <is>
          <t>medium</t>
        </is>
      </c>
      <c r="D118" s="11" t="inlineStr">
        <is>
          <t>可持續</t>
        </is>
      </c>
      <c r="E118" s="11" t="inlineStr">
        <is>
          <t>PDF p.10 (印刷頁 6)</t>
        </is>
      </c>
      <c r="F118" s="11" t="inlineStr">
        <is>
          <t>ed on network expansion towards one 轉向更加重視資產使用率、生產力、業務整合 that places greater emphasis on utilisation, productivity, integration and 及可持續回報。我們持續優化服務網絡、強化 sustainable returns. We continued to optimise our service network, 中央營運職能，並改善綜合醫療健康生態系統 strengthen centralised operating functions and improve coordination 內各業務之間的協同與銜接。 across our multidisciplinary healthcare ecosystem. Despite the challenging operating environment, the Group maintained 儘管經營環境充滿挑戰，本集團仍維持穩健的 healthy operating cash generation and continued to strengthen its 經營現金</t>
        </is>
      </c>
    </row>
    <row r="119">
      <c r="A119" s="8" t="inlineStr">
        <is>
          <t>ESG Data</t>
        </is>
      </c>
      <c r="B119" s="8" t="inlineStr">
        <is>
          <t>環境社會及管治數據</t>
        </is>
      </c>
      <c r="C119" s="8" t="inlineStr">
        <is>
          <t>medium</t>
        </is>
      </c>
      <c r="D119" s="11" t="inlineStr">
        <is>
          <t>可持續</t>
        </is>
      </c>
      <c r="E119" s="11" t="inlineStr">
        <is>
          <t>PDF p.12 (印刷頁 6)</t>
        </is>
      </c>
      <c r="F119" s="11" t="inlineStr">
        <is>
          <t>inventory management and 絡的臨床管治、採購、存貨管理及營運流程， operating workflows across the network, supporting consistent service 以維持一致的服務質素，並支持業務的可持續 quality and sustainable long-term development. 長遠發展。 Digital Transformation remained a critical enabler of our strategy. 數碼轉型繼續是推動我們策略的重要支柱。年 During the year, we continued to integrate customer engagement, 內，我們持續整合客戶互動、人力資源、財 human resources, finance, procurement, clinical operations and data 務、採購、臨床營運及數據管治系統。該等措 governance systems across the Group. These initiatives are strengthening 施正逐步提升營運</t>
        </is>
      </c>
    </row>
    <row r="120">
      <c r="A120" s="8" t="inlineStr">
        <is>
          <t>ESG Data</t>
        </is>
      </c>
      <c r="B120" s="8" t="inlineStr">
        <is>
          <t>環境社會及管治數據</t>
        </is>
      </c>
      <c r="C120" s="8" t="inlineStr">
        <is>
          <t>medium</t>
        </is>
      </c>
      <c r="D120" s="11" t="inlineStr">
        <is>
          <t>可持續</t>
        </is>
      </c>
      <c r="E120" s="11" t="inlineStr">
        <is>
          <t>PDF p.21 (印刷頁 6)</t>
        </is>
      </c>
      <c r="F120" s="11" t="inlineStr">
        <is>
          <t>nalysis 管理層討論及分析 BUSINESS REVIEW 業務回顧 Fully committed in delivering sustainable bottom-line growth and productivity improvements 致力實現可持續利潤增長及提升生產力 Overview 概覽 The year ended 31 March 2026 (the “Reporting Period”) was 截至二零二六年三月三十一日止年度（「報告期 a year of disciplined platform reinforcement and operating 間」）對本集團而言，是嚴謹強化平台及鞏固營 consolidation for the Group. During the Reporting Period, 運的一年。於報告期間，香港私營醫療保健、美 Hong Kong’s private healthcare, aesthetic medical, beauty and 學醫療、美容及養生市場繼續面對具挑戰的經營 wellness markets continued to face a challenging</t>
        </is>
      </c>
    </row>
    <row r="121">
      <c r="A121" s="8" t="inlineStr">
        <is>
          <t>ESG Data</t>
        </is>
      </c>
      <c r="B121" s="8" t="inlineStr">
        <is>
          <t>環境社會及管治數據</t>
        </is>
      </c>
      <c r="C121" s="8" t="inlineStr">
        <is>
          <t>medium</t>
        </is>
      </c>
      <c r="D121" s="11" t="inlineStr">
        <is>
          <t>可持續</t>
        </is>
      </c>
      <c r="E121" s="11" t="inlineStr">
        <is>
          <t>PDF p.23 (印刷頁 6)</t>
        </is>
      </c>
      <c r="F121" s="11" t="inlineStr">
        <is>
          <t>latform into a more disciplined, 優化、成本管理、B2I/B2B/B2G渠道開發及數位 integrated and partnership-driven healthcare platform. 化轉型，本集團加強其運營基礎，為實現可持續 Through network optimisation, cost management, B2I/B2B/ 盈利能力做了更充分的準備。 B2G channel development and digital transformation, the Group strengthened its operating foundation and improved its readiness for sustainable profitability. E C H e a l t h c a r e 22 A n n u a l R e p o r t 2 0 2 5 / 2 6</t>
        </is>
      </c>
    </row>
    <row r="122">
      <c r="A122" s="8" t="inlineStr">
        <is>
          <t>ESG Data</t>
        </is>
      </c>
      <c r="B122" s="8" t="inlineStr">
        <is>
          <t>環境社會及管治數據</t>
        </is>
      </c>
      <c r="C122" s="8" t="inlineStr">
        <is>
          <t>medium</t>
        </is>
      </c>
      <c r="D122" s="11" t="inlineStr">
        <is>
          <t>可持續</t>
        </is>
      </c>
      <c r="E122" s="11" t="inlineStr">
        <is>
          <t>PDF p.27 (印刷頁 6)</t>
        </is>
      </c>
      <c r="F122" s="11" t="inlineStr">
        <is>
          <t>ilding a leaner, more integrated and more 整合及更具生產力的營運平台。該等結構性改進 productive operating platform. These structural improvements 強化了本集團實現可持續盈利能力、更佳資產運 strengthened the Group’s foundation for sustainable 用及長期營運韌性的基礎。 profitability, better asset utilisation and long-term operating resilience. Business Development – Strengthening 業務發展—強化渠道可擴展性及生態系 Channel Scalability and Ecosystem Integration 統整合 During the Reporting Period, the Group continued to advance 於報告期間，本集團繼續推進其業務發展策略， its business development strategy as a key pillar of its p</t>
        </is>
      </c>
    </row>
    <row r="123">
      <c r="A123" s="8" t="inlineStr">
        <is>
          <t>ESG Data</t>
        </is>
      </c>
      <c r="B123" s="8" t="inlineStr">
        <is>
          <t>環境社會及管治數據</t>
        </is>
      </c>
      <c r="C123" s="8" t="inlineStr">
        <is>
          <t>medium</t>
        </is>
      </c>
      <c r="D123" s="11" t="inlineStr">
        <is>
          <t>可持續</t>
        </is>
      </c>
      <c r="E123" s="11" t="inlineStr">
        <is>
          <t>PDF p.36 (印刷頁 6)</t>
        </is>
      </c>
      <c r="F123" s="11" t="inlineStr">
        <is>
          <t>iciency and return profile of its existing 產基礎的質素、效率及回報水平，從而強化財務 asset base, thereby strengthening its financial discipline and 紀律，夯實可持續盈利的根基。 foundation for sustainable profitability. 醫思健康 35 年度報告 2 0 2 5 / 2 6</t>
        </is>
      </c>
    </row>
    <row r="124">
      <c r="A124" s="8" t="inlineStr">
        <is>
          <t>ESG Data</t>
        </is>
      </c>
      <c r="B124" s="8" t="inlineStr">
        <is>
          <t>環境社會及管治數據</t>
        </is>
      </c>
      <c r="C124" s="8" t="inlineStr">
        <is>
          <t>medium</t>
        </is>
      </c>
      <c r="D124" s="11" t="inlineStr">
        <is>
          <t>sustainability</t>
        </is>
      </c>
      <c r="E124" s="11" t="inlineStr">
        <is>
          <t>PDF p.43 (印刷頁 6)</t>
        </is>
      </c>
      <c r="F124" s="11" t="inlineStr">
        <is>
          <t>收費及費用改革，亦旨在引導公眾善用醫 guide the public to make optimal use of healthcare resources, reduce 療資源，減少浪費，並提升公營醫療系統的可 wastage and enhance the sustainability of the public healthcare system. 持續性。 At the same time, regulatory standards for private healthcare operators 與此同時，私營醫療機構營運者的監管標準亦 are becoming more stringent. The regulatory regime for clinics and 日趨嚴格。《私營醫療機構條例》 （第633章）下 small practice clinics under the Private Healthcare Facilities Ordinance 有關診所及小型執業診所的規管制度已於二零 (Cap. 633) came into effect on 13 October 2025. Operators of clinics</t>
        </is>
      </c>
    </row>
    <row r="125">
      <c r="A125" s="8" t="inlineStr">
        <is>
          <t>ESG Data</t>
        </is>
      </c>
      <c r="B125" s="8" t="inlineStr">
        <is>
          <t>環境社會及管治數據</t>
        </is>
      </c>
      <c r="C125" s="8" t="inlineStr">
        <is>
          <t>medium</t>
        </is>
      </c>
      <c r="D125" s="11" t="inlineStr">
        <is>
          <t>可持續</t>
        </is>
      </c>
      <c r="E125" s="11" t="inlineStr">
        <is>
          <t>PDF p.44 (印刷頁 6)</t>
        </is>
      </c>
      <c r="F125" s="11" t="inlineStr">
        <is>
          <t>流程及患者體驗。 experience. Medical Services 醫療服務 For the Medical Services segment, the Group will continue to prioritise 就醫療服務分部而言，本集團將繼續以可持續 sustainable growth, service quality and operating efficiency. The Group 增長、服務質素及營運效率為優先。本集團將 will focus on strengthening its specialty, diagnostic, dental, health 專注強化其專科、診斷、牙科、健康篩檢及慢 screening and chronic disease management capabilities, while enhancing 性疾病管理能力，同時加強基層醫療、專科醫 coordination between primary care, specialist care, diagnostics and allied 療、診斷及輔助醫療服務之間的協調。 health services. 醫思健康 43 年度</t>
        </is>
      </c>
    </row>
    <row r="126">
      <c r="A126" s="8" t="inlineStr">
        <is>
          <t>ESG Data</t>
        </is>
      </c>
      <c r="B126" s="8" t="inlineStr">
        <is>
          <t>環境社會及管治數據</t>
        </is>
      </c>
      <c r="C126" s="8" t="inlineStr">
        <is>
          <t>medium</t>
        </is>
      </c>
      <c r="D126" s="11" t="inlineStr">
        <is>
          <t>可持續</t>
        </is>
      </c>
      <c r="E126" s="11" t="inlineStr">
        <is>
          <t>PDF p.45 (印刷頁 6)</t>
        </is>
      </c>
      <c r="F126" s="11" t="inlineStr">
        <is>
          <t>ogramme-based, the Group 險及項目為本，本集團相信其規模化平台、臨 believes its scaled platform, clinical breadth and service network provide 床服務廣度及服務網絡，為可持續的患者獲取 a strong foundation for sustainable patient acquisition and recurring 及持續性需求提供了堅實基礎。 demand. Operational execution will remain a key priority for the medical segment. 營運執行將仍為醫療分部的重點優先事項。本 The Group will place greater emphasis on practitioner productivity, service 集團將更加重視醫生生產力、服務組合優化、 mix optimisation, cross-referral conversion and utilisation improvement 跨專科轉介轉化，以及普通科、專科、診斷、 across genera</t>
        </is>
      </c>
    </row>
    <row r="127">
      <c r="A127" s="8" t="inlineStr">
        <is>
          <t>ESG Data</t>
        </is>
      </c>
      <c r="B127" s="8" t="inlineStr">
        <is>
          <t>環境社會及管治數據</t>
        </is>
      </c>
      <c r="C127" s="8" t="inlineStr">
        <is>
          <t>medium</t>
        </is>
      </c>
      <c r="D127" s="11" t="inlineStr">
        <is>
          <t>energy consumption</t>
        </is>
      </c>
      <c r="E127" s="11" t="inlineStr">
        <is>
          <t>PDF p.56 (印刷頁 6)</t>
        </is>
      </c>
      <c r="F127" s="11" t="inlineStr">
        <is>
          <t>Energy Formalize the adoption of energy-efficient • Phasing roll-out of energy-efficient lighting 環境 能源 lighting and IoT to optimize energy consumption and IoT devices, including new service across our service network points 規範採用節能照明及物聯網，以優化整個服務 分階段推出節能照明及物聯網設備，包括 網絡的能源消耗 新服務點 Water Standardize the installation of equipment with • Implementing a water-efficient design for 水 water-efficient features to reduce the impact of our upcoming medical building, leveraging water consumption advanced IoT systems for real-time 規範安裝節水設備，以減少</t>
        </is>
      </c>
    </row>
    <row r="128">
      <c r="A128" s="8" t="inlineStr">
        <is>
          <t>ESG Data</t>
        </is>
      </c>
      <c r="B128" s="8" t="inlineStr">
        <is>
          <t>環境社會及管治數據</t>
        </is>
      </c>
      <c r="C128" s="8" t="inlineStr">
        <is>
          <t>medium</t>
        </is>
      </c>
      <c r="D128" s="11" t="inlineStr">
        <is>
          <t>ESG</t>
        </is>
      </c>
      <c r="E128" s="11" t="inlineStr">
        <is>
          <t>PDF p.57 (印刷頁 6)</t>
        </is>
      </c>
      <c r="F128" s="11" t="inlineStr">
        <is>
          <t>導維護患 者安全 Stakeholder Continuous involvement of our stakeholders to • Incorporated the insights from stakeholder engagement steer our ESG strategy engagement exercise into the ESG targets 持份者參與 持份者持續參與，為我們的環境、社會及管治 of the sustainability-linked loans 策略提供指導 將持份者參與活動的見解納入可持續發展 掛鈎貸款的環境、社會及管治目標 Community Increase total volunteer service hours and • Operates two dedicated nurse clinics, which investment provide healthcare services the underprivileged have served over 1,000 individuals to date 社區投資 through community outreach program 營</t>
        </is>
      </c>
    </row>
    <row r="129">
      <c r="A129" s="8" t="inlineStr">
        <is>
          <t>ESG Data</t>
        </is>
      </c>
      <c r="B129" s="8" t="inlineStr">
        <is>
          <t>環境社會及管治數據</t>
        </is>
      </c>
      <c r="C129" s="8" t="inlineStr">
        <is>
          <t>medium</t>
        </is>
      </c>
      <c r="D129" s="11" t="inlineStr">
        <is>
          <t>ESG</t>
        </is>
      </c>
      <c r="E129" s="11" t="inlineStr">
        <is>
          <t>PDF p.58 (印刷頁 6)</t>
        </is>
      </c>
      <c r="F129" s="11" t="inlineStr">
        <is>
          <t>ase the Board’s participation in • Quarterly meeting held by the Sustainability 管治 董事會 sustainability issues Working Group, reported ESG progress to 增加董事會對可持續發展事宜的參與 the Board at each regular board meeting 可持續發展工作小組每季度召開會議，在 每次董事會例會上向董事會報告環境、社 會及管治進展 Anti-corruption Implement anti-corruption policy to strengthen • Arranged seminars by ICAC to enhance the 反貪污 internal control knowledge of our employees 實施反貪污政策以加強內部控制 安排廉政公署講座以增長員工知識 • Reviewed AML policy in accordance with our strategies and development on governance issues 根據我們</t>
        </is>
      </c>
    </row>
    <row r="130">
      <c r="A130" s="8" t="inlineStr">
        <is>
          <t>ESG Data</t>
        </is>
      </c>
      <c r="B130" s="8" t="inlineStr">
        <is>
          <t>環境社會及管治數據</t>
        </is>
      </c>
      <c r="C130" s="8" t="inlineStr">
        <is>
          <t>medium</t>
        </is>
      </c>
      <c r="D130" s="11" t="inlineStr">
        <is>
          <t>sustainability</t>
        </is>
      </c>
      <c r="E130" s="11" t="inlineStr">
        <is>
          <t>PDF p.70 (印刷頁 6)</t>
        </is>
      </c>
      <c r="F130" s="11" t="inlineStr">
        <is>
          <t>ANCE PRACTICES 企業管治常規 The Board acknowledges the vital importance of good governance to 董事會深明良好管治能為本公司提供框架以制 the Group’s success and sustainability by providing a framework for 定其業務策略及政策，同時提高其透明度、問 the Company to formulate its business strategies and policies, and to 責性及股東價值，對本集團達致成功及持續發 enhance its transparency, accountability and shareholder value. 展至關重要。 The Board is committed to maintaining statutory and regulatory standards 董事會致力保持法定及法規標準，並謹守強調 and adhering to the principles of corporate governance emphasising on 透明、獨立、問責、</t>
        </is>
      </c>
    </row>
    <row r="131">
      <c r="A131" s="8" t="inlineStr">
        <is>
          <t>ESG Data</t>
        </is>
      </c>
      <c r="B131" s="8" t="inlineStr">
        <is>
          <t>環境社會及管治數據</t>
        </is>
      </c>
      <c r="C131" s="8" t="inlineStr">
        <is>
          <t>medium</t>
        </is>
      </c>
      <c r="D131" s="11" t="inlineStr">
        <is>
          <t>可持續</t>
        </is>
      </c>
      <c r="E131" s="11" t="inlineStr">
        <is>
          <t>PDF p.80 (印刷頁 6)</t>
        </is>
      </c>
      <c r="F131" s="11" t="inlineStr">
        <is>
          <t>orce diversity policy. The Company 本公司已採取員工多元化政策。本公司認為， considers workforce diversity as an important element in maintaining 員工多元化是維持可持續增長、營運成功以及 sustainable growth and operational success and driving high performance 推動本集團上下高績效的重要因素。 across the Group. The Company is committed to fostering an inclusive, diverse, and 本公司致力於營造一個包容、多元化且互助互 supportive workplace where all employees, regardless of gender, age, 利的工作環境，所有員工，無論性別、年齡、 family status, race ethnicity, religion, sexual orientation, disability or other 家庭狀況、種族、宗教、性取向、殘疾或其他 ch</t>
        </is>
      </c>
    </row>
    <row r="132">
      <c r="A132" s="8" t="inlineStr">
        <is>
          <t>ESG Data</t>
        </is>
      </c>
      <c r="B132" s="8" t="inlineStr">
        <is>
          <t>環境社會及管治數據</t>
        </is>
      </c>
      <c r="C132" s="8" t="inlineStr">
        <is>
          <t>medium</t>
        </is>
      </c>
      <c r="D132" s="11" t="inlineStr">
        <is>
          <t>可持續</t>
        </is>
      </c>
      <c r="E132" s="11" t="inlineStr">
        <is>
          <t>PDF p.87 (印刷頁 6)</t>
        </is>
      </c>
      <c r="F132" s="11" t="inlineStr">
        <is>
          <t>with our staff, enhancing 緊密聯繫，與供應商協力同心，為顧客提供優 cooperation with our suppliers and providing high-quality services to our 質的服務，以實現本集團的可持續發展。 customers so as to ensure the Group’s sustainable development. Staff 員工 Our staff members are regarded as one of the most important assets of 本集團視員工為本集團最重要的資產之一，為 the Group. The Group has been endeavouring to provide our staff with 員工提供公平及和諧的工作環境。本集團提供 a fair and harmonious workplace. We offer competitive remuneration 具競爭力的薪酬待遇，並根據員工的表現，提 packages and great opportunities for career advancem</t>
        </is>
      </c>
    </row>
    <row r="133">
      <c r="A133" s="8" t="inlineStr">
        <is>
          <t>ESG Data</t>
        </is>
      </c>
      <c r="B133" s="8" t="inlineStr">
        <is>
          <t>環境社會及管治數據</t>
        </is>
      </c>
      <c r="C133" s="8" t="inlineStr">
        <is>
          <t>medium</t>
        </is>
      </c>
      <c r="D133" s="11" t="inlineStr">
        <is>
          <t>環境、社會及管治</t>
        </is>
      </c>
      <c r="E133" s="11" t="inlineStr">
        <is>
          <t>PDF p.112 (印刷頁 6)</t>
        </is>
      </c>
      <c r="F133" s="11" t="inlineStr">
        <is>
          <t>rate governance report is set out on pages 69 to 83 of this 企業管治報告載於本年報第69頁至83頁。 annual report. ENVIRONMENTAL, SOCIAL AND GOVERNANCE 環境、社會及管治報告 REPORT The environmental, social and governance report of the Company for the 本公司截至二零二六年三月三十一日止年度之 year ended 31 March 2026 is published on the Stock Exchange’s website 環境、社會及管治報告於聯交所網站及本公司 and the Company’s website. 網站刊發。 AUDITOR 核數師 The financial statements for the years ended 31 March 2025 and 截至二零二五年三月三十一日及二零二六年三 31 March 2026 have been audited by Ernst &amp; Young, who will retire 月三十一</t>
        </is>
      </c>
    </row>
    <row r="134">
      <c r="A134" s="8" t="inlineStr">
        <is>
          <t>ESG Data</t>
        </is>
      </c>
      <c r="B134" s="8" t="inlineStr">
        <is>
          <t>環境社會及管治數據</t>
        </is>
      </c>
      <c r="C134" s="8" t="inlineStr">
        <is>
          <t>medium</t>
        </is>
      </c>
      <c r="D134" s="11" t="inlineStr">
        <is>
          <t>可持續</t>
        </is>
      </c>
      <c r="E134" s="11" t="inlineStr">
        <is>
          <t>PDF p.273 (印刷頁 6)</t>
        </is>
      </c>
      <c r="F134" s="11" t="inlineStr">
        <is>
          <t>id and stable financing structure to support 持穩固的融資架構，以支持其持續的業 its ongoing business growth so that it can continue to maximise 務增長以讓其可持續將股東回報最大 shareholders’ return, and providing an adequate return to the 化，以及透過將產品及服務的價格設定 shareholders by pricing products and services commensurate with 為與風險水平相稱來為股東提供充足回 the level of risk. 報。 The Group regularly reviews and manages its capital structure and 本集團定期審閱及管理其資本架構並就 makes adjustments to it in light of changes in economic conditions 經濟狀況的變動及相關資產的風險特性 and the risk characteristics of the</t>
        </is>
      </c>
    </row>
    <row r="135">
      <c r="A135" s="8" t="inlineStr">
        <is>
          <t>R&amp;D Expenditure</t>
        </is>
      </c>
      <c r="B135" s="8" t="inlineStr">
        <is>
          <t>研發開支</t>
        </is>
      </c>
      <c r="C135" s="8" t="inlineStr">
        <is>
          <t>medium</t>
        </is>
      </c>
      <c r="D135" s="11" t="inlineStr">
        <is>
          <t>研發</t>
        </is>
      </c>
      <c r="E135" s="11" t="inlineStr">
        <is>
          <t>PDF p.16 (印刷頁 6)</t>
        </is>
      </c>
      <c r="F135" s="11" t="inlineStr">
        <is>
          <t>ce in June 2003. Mr. Luk 月於史丹福大學取得電腦科學理學碩士學位。 was appointed as the Engineering Site Lead at Google Beijing in 2017. 陸先生於二零一七年被任命為谷歌北京研發中 The Board believes that his role in Google Beijing will allow him to be in 心總經理。董事會相信，彼於谷歌北京的角色 touch with the state-of-the-art technology and Mr. Luk will continue to 將使彼接觸到最先進的科技，並相信陸先生將 advise the Company to enhance its IT systems and access to the latest IT 繼續給予本公司意見以加強本公司資訊科技系 resources. 統和獲取最新的資訊科技資源。 醫思健康 15 年度報告 2 0 2 5 / 2 6</t>
        </is>
      </c>
    </row>
    <row r="136">
      <c r="A136" s="8" t="inlineStr">
        <is>
          <t>Segment Information</t>
        </is>
      </c>
      <c r="B136" s="8" t="inlineStr">
        <is>
          <t>分部資料</t>
        </is>
      </c>
      <c r="C136" s="8" t="inlineStr">
        <is>
          <t>medium</t>
        </is>
      </c>
      <c r="D136" s="11" t="inlineStr">
        <is>
          <t>geographical</t>
        </is>
      </c>
      <c r="E136" s="11" t="inlineStr">
        <is>
          <t>PDF p.2 (印刷頁 6)</t>
        </is>
      </c>
      <c r="F136" s="11" t="inlineStr">
        <is>
          <t>Contents 目錄 Financial Highlights and Five-Year Summary 財務摘要及五年概要 2 EC Healthcare at a Glance 醫思健康一覽 6 Geographical Coverage 地域覆蓋 7 One-Stop, Multi-Brand Ecosystem 一站式多品牌生態系統 8 Chairman’s Statement 主席報告 9 Biography of Directors and Senior Management 董事及高級管理人員簡歷 12 Management Discussion and Analysis 管理層討論及分析 20 Sustainability Approach 可持續發展方針 55 Co-Owners 持股管理人 58 Investor Relations Report 投資者關係報告 66 Corporate Governance Report 企業管治報告 69 Report of the Directors 董事會報告 84 Independent Auditor’s Report</t>
        </is>
      </c>
    </row>
    <row r="137">
      <c r="A137" s="8" t="inlineStr">
        <is>
          <t>Segment Information</t>
        </is>
      </c>
      <c r="B137" s="8" t="inlineStr">
        <is>
          <t>分部資料</t>
        </is>
      </c>
      <c r="C137" s="8" t="inlineStr">
        <is>
          <t>medium</t>
        </is>
      </c>
      <c r="D137" s="11" t="inlineStr">
        <is>
          <t>geographical</t>
        </is>
      </c>
      <c r="E137" s="11" t="inlineStr">
        <is>
          <t>PDF p.8 (印刷頁 6)</t>
        </is>
      </c>
      <c r="F137" s="11" t="inlineStr">
        <is>
          <t>Geographical Coverage 地域覆蓋 Total of 148 service points across 600,335 sq ft covering Greater China (as of 31 March 2026) 大中華區實現廣泛布局共運營600,335平方呎148個服務點（截至二零二六年三月三十一日） Greater Bay Area, China (exclude Hong Kong) 4 中國大灣區（除香港外） 4 Macau 澳門 Hong Kong, China 中國香港 144 1 2 1 New Territories North 新界北 New Territories North East 新界東北 4 2 7 4 New Territories North West 新界西北 8 2 2 New Territories South West 新</t>
        </is>
      </c>
    </row>
    <row r="138">
      <c r="A138" s="8" t="inlineStr">
        <is>
          <t>Segment Information</t>
        </is>
      </c>
      <c r="B138" s="8" t="inlineStr">
        <is>
          <t>分部資料</t>
        </is>
      </c>
      <c r="C138" s="8" t="inlineStr">
        <is>
          <t>medium</t>
        </is>
      </c>
      <c r="D138" s="11" t="inlineStr">
        <is>
          <t>segment information</t>
        </is>
      </c>
      <c r="E138" s="11" t="inlineStr">
        <is>
          <t>PDF p.85 (印刷頁 6)</t>
        </is>
      </c>
      <c r="F138" s="11" t="inlineStr">
        <is>
          <t>s. An analysis of the Group’s performance for the year ended 31 March 本集團於截至二零二六年三月三十一日止年度 2026 by businesses including geographical segment information is set 按業務劃分的業績分析其中包括地區分部資料 out in note 4 to the consolidated financial statements. The geographical 載於綜合財務報表附註4。客戶的地理位置乃 location of customers is determined based on the location where our 按我們提供服務或所交付貨品的位置釐定。 services or goods are provided or delivered. BUSINESS REVIEW 業務回顧 A fair review of the Group’s business and an indication of the likely future 有關本集團業務的中肯審視及本集團業務之可 develo</t>
        </is>
      </c>
    </row>
    <row r="139">
      <c r="A139" s="8" t="inlineStr">
        <is>
          <t>Segment Information</t>
        </is>
      </c>
      <c r="B139" s="8" t="inlineStr">
        <is>
          <t>分部資料</t>
        </is>
      </c>
      <c r="C139" s="8" t="inlineStr">
        <is>
          <t>medium</t>
        </is>
      </c>
      <c r="D139" s="11" t="inlineStr">
        <is>
          <t>segment information</t>
        </is>
      </c>
      <c r="E139" s="11" t="inlineStr">
        <is>
          <t>PDF p.88 (印刷頁 6)</t>
        </is>
      </c>
      <c r="F139" s="11" t="inlineStr">
        <is>
          <t>零二六年三月三十一日止年度的 the consolidated financial statements on pages 119 to 296 of this annual 業績載於本年報第119頁至296頁的綜合財務報 report. 表。 Operating Segment Information 經營分部資料 The Group is principally engaged in the provision of medical and 本集團主要從事在香港、澳門及中國內地提供 healthcare services in Hong Kong, Macau and the Mainland China. 醫療及保健服務。 Financial Summary 財務概要 A summary of the results and of the assets and liabilities of the Group for 本集團過去五個財政年度的業績以及資產及負 the last five financial years is set out on page 2 of this annual report. 債概要載於本年報第2頁。 The Boa</t>
        </is>
      </c>
    </row>
    <row r="140">
      <c r="A140" s="8" t="inlineStr">
        <is>
          <t>Segment Information</t>
        </is>
      </c>
      <c r="B140" s="8" t="inlineStr">
        <is>
          <t>分部資料</t>
        </is>
      </c>
      <c r="C140" s="8" t="inlineStr">
        <is>
          <t>medium</t>
        </is>
      </c>
      <c r="D140" s="11" t="inlineStr">
        <is>
          <t>segment information</t>
        </is>
      </c>
      <c r="E140" s="11" t="inlineStr">
        <is>
          <t>PDF p.178 (印刷頁 6)</t>
        </is>
      </c>
      <c r="F140" s="11" t="inlineStr">
        <is>
          <t>Notes to the Financial Statements 財務報表附註 4. OPERATING SEGMENT INFORMATION 4. 經營分部資料 For management purpose, the Group is organised into business 就管理而言，本集團按其服務及產品將 units based on their services and products. Accordingly, the Group 業務單位分類。因此，本集團的三個報 has three reporting segments as follows: 告分部如下： (a) Medical; (a) 醫療服務； (b) Aesthetic medical and beauty and wellness; and (b) 美學醫療以及美容及養生服務；及 (c) Veterinary and other. (c) 獸醫及其他。 Segment results, assets and</t>
        </is>
      </c>
    </row>
    <row r="141">
      <c r="A141" s="8" t="inlineStr">
        <is>
          <t>Segment Information</t>
        </is>
      </c>
      <c r="B141" s="8" t="inlineStr">
        <is>
          <t>分部資料</t>
        </is>
      </c>
      <c r="C141" s="8" t="inlineStr">
        <is>
          <t>medium</t>
        </is>
      </c>
      <c r="D141" s="11" t="inlineStr">
        <is>
          <t>segment information</t>
        </is>
      </c>
      <c r="E141" s="11" t="inlineStr">
        <is>
          <t>PDF p.179 (印刷頁 6)</t>
        </is>
      </c>
      <c r="F141" s="11" t="inlineStr">
        <is>
          <t>Notes to the Financial Statements 財務報表附註 4. OPERATING SEGMENT INFORMATION 4. 經營分部資料（續） (Continued) Segment results, assets and liabilities (Continued) 分部業績、資產及負債（續） The segment revenue of the Group is based on the type of goods 本集團的分部收入乃以提供予客戶的商 and services provided to the customers. Revenue and expenses 品及服務種類為基準。管理層參照該等 are allocated to the reportable segments with reference to sales 分部取得的銷售和產生的開支，或由於 generated by those segments and the expenses i</t>
        </is>
      </c>
    </row>
    <row r="142">
      <c r="A142" s="8" t="inlineStr">
        <is>
          <t>Segment Information</t>
        </is>
      </c>
      <c r="B142" s="8" t="inlineStr">
        <is>
          <t>分部資料</t>
        </is>
      </c>
      <c r="C142" s="8" t="inlineStr">
        <is>
          <t>medium</t>
        </is>
      </c>
      <c r="D142" s="11" t="inlineStr">
        <is>
          <t>segment information</t>
        </is>
      </c>
      <c r="E142" s="11" t="inlineStr">
        <is>
          <t>PDF p.180 (印刷頁 6)</t>
        </is>
      </c>
      <c r="F142" s="11" t="inlineStr">
        <is>
          <t>Notes to the Financial Statements 財務報表附註 4. OPERATING SEGMENT INFORMATION 4. 經營分部資料（續） (Continued) Segment results, assets and liabilities (Continued) 分部業績、資產及負債（續） Aesthetic medical and Medical beauty and wellness Veterinary and other Total 美學醫療以及美容及 醫療服務 養生服務 獸醫及其他 總計 2026 2025 2026 2025 2026 2025 2026 2025 二零二六年 二零二六年 二零二六年 二零二六年 二零二五年 二零二五年 二零二五年 二零二五年 HK$’000 HK$’000 HK$’000 HK$’000 HK$’000 HK$’000 HK$’000 HK$’000 千港元 千港元 千港元 千港元 千港元 千港元 千港元 千港元</t>
        </is>
      </c>
    </row>
    <row r="143">
      <c r="A143" s="8" t="inlineStr">
        <is>
          <t>Segment Information</t>
        </is>
      </c>
      <c r="B143" s="8" t="inlineStr">
        <is>
          <t>分部資料</t>
        </is>
      </c>
      <c r="C143" s="8" t="inlineStr">
        <is>
          <t>medium</t>
        </is>
      </c>
      <c r="D143" s="11" t="inlineStr">
        <is>
          <t>segment information</t>
        </is>
      </c>
      <c r="E143" s="11" t="inlineStr">
        <is>
          <t>PDF p.181 (印刷頁 6)</t>
        </is>
      </c>
      <c r="F143" s="11" t="inlineStr">
        <is>
          <t>Notes to the Financial Statements 財務報表附註 4. OPERATING SEGMENT INFORMATION 4. 經營分部資料（續） (Continued) Segment results, assets and liabilities (Continued) 分部業績、資產及負債（續） Aesthetic medical and Medical beauty and wellness Veterinary and other Total 美學醫療以及美容及 醫療服務 養生服務 獸醫及其他 總計 2026 2025 2026 2025 2026 2025 2026 2025 二零二六年 二零二六年 二零二六年 二零二六年 二零二五年 二零二五年 二零二五年 二零二五年 HK$’000 HK$’000 HK$’000 HK$’000 HK$’000 HK$’000 HK$’000 HK$’000 千港元 千港元 千港元 千港元 千港元 千港元 千港元 千港元</t>
        </is>
      </c>
    </row>
    <row r="144">
      <c r="A144" s="8" t="inlineStr">
        <is>
          <t>Segment Information</t>
        </is>
      </c>
      <c r="B144" s="8" t="inlineStr">
        <is>
          <t>分部資料</t>
        </is>
      </c>
      <c r="C144" s="8" t="inlineStr">
        <is>
          <t>medium</t>
        </is>
      </c>
      <c r="D144" s="11" t="inlineStr">
        <is>
          <t>segment information</t>
        </is>
      </c>
      <c r="E144" s="11" t="inlineStr">
        <is>
          <t>PDF p.182 (印刷頁 6)</t>
        </is>
      </c>
      <c r="F144" s="11" t="inlineStr">
        <is>
          <t>Notes to the Financial Statements 財務報表附註 4. OPERATING SEGMENT INFORMATION 4. 經營分部資料（續） (Continued) Segment results, assets and liabilities (Continued) 分部業績、資產及負債（續） The following table sets out information about the geographical 下表載列有關以下各項的地理位置的資 location of (i) the Group’s revenue from external customers; and (ii) 料：(i)本集團來自外部客戶的收入；及 the Group’s investment properties, property, plant and equipment, (ii)本集團的投資物業、物業、廠房及設 intangible assets, goodwill an</t>
        </is>
      </c>
    </row>
    <row r="145">
      <c r="A145" s="8" t="inlineStr">
        <is>
          <t>Share-based Payment</t>
        </is>
      </c>
      <c r="B145" s="8" t="inlineStr">
        <is>
          <t>以股份為基礎的付款</t>
        </is>
      </c>
      <c r="C145" s="8" t="inlineStr">
        <is>
          <t>medium</t>
        </is>
      </c>
      <c r="D145" s="11" t="inlineStr">
        <is>
          <t>share option</t>
        </is>
      </c>
      <c r="E145" s="11" t="inlineStr">
        <is>
          <t>PDF p.62 (印刷頁 6)</t>
        </is>
      </c>
      <c r="F145" s="11" t="inlineStr">
        <is>
          <t>30,281份。 The aggregate number of new awards/options available for grant under 根據(i)於二零二五年四月一日及二零二六年 the Co-ownership Plan 2, the New Share Option Scheme and other share 三月三十一日的現有計劃授權，持股管理人 schemes of the Company under (i) the existing scheme mandate as at 計劃2、新購股權計劃及本公司其他股份計劃 1 April 2025 and 31 March 2026 was 118,521,126 and 118,521,126 項下可供授出的新獎勵╱購股權總數分別為 respectively, representing 10% and 10% of the entire issued share 118,521,126份及118,521,126份，佔本公司全 capital of the Company; and (ii) the service provider sublimit granted as 部</t>
        </is>
      </c>
    </row>
    <row r="146">
      <c r="A146" s="8" t="inlineStr">
        <is>
          <t>Share-based Payment</t>
        </is>
      </c>
      <c r="B146" s="8" t="inlineStr">
        <is>
          <t>以股份為基礎的付款</t>
        </is>
      </c>
      <c r="C146" s="8" t="inlineStr">
        <is>
          <t>medium</t>
        </is>
      </c>
      <c r="D146" s="11" t="inlineStr">
        <is>
          <t>share-based payment</t>
        </is>
      </c>
      <c r="E146" s="11" t="inlineStr">
        <is>
          <t>PDF p.66 (印刷頁 6)</t>
        </is>
      </c>
      <c r="F146" s="11" t="inlineStr">
        <is>
          <t>ants) within the price range of （使用合資格參與者出資的現金）以3.9805港元至 HK$3.9805 and HK$4.7647. 4.7647港元的價格範圍購得。 The Group has not recognised any share-based payment expenses in 本集團尚未確認任何與持股管理人計劃2有關 connection with the Co-Ownership Plan 2. 的以股份為基礎之付款開支。 During the meeting of the remuneration committee of the Company held 於二零二六年六月二十九日舉行的本公司薪酬 on 29 June 2026, the committee has reviewed the Co-ownership Plan 2, 委員會會議上，委員會已審閱持股管理人計劃 and considered that there is no specific matter that need to be adjusted, 2，並認為概無具體事項需要調整、修訂或廢 amended or abolis</t>
        </is>
      </c>
    </row>
    <row r="147">
      <c r="A147" s="8" t="inlineStr">
        <is>
          <t>Share-based Payment</t>
        </is>
      </c>
      <c r="B147" s="8" t="inlineStr">
        <is>
          <t>以股份為基礎的付款</t>
        </is>
      </c>
      <c r="C147" s="8" t="inlineStr">
        <is>
          <t>medium</t>
        </is>
      </c>
      <c r="D147" s="11" t="inlineStr">
        <is>
          <t>share option</t>
        </is>
      </c>
      <c r="E147" s="11" t="inlineStr">
        <is>
          <t>PDF p.87 (印刷頁 6)</t>
        </is>
      </c>
      <c r="F147" s="11" t="inlineStr">
        <is>
          <t>ages and great opportunities for career advancement based on 供不同的晉升機會。本集團擬向表現優秀的員 employees’ performance. The Group intends to grant share options to 工授予購股權，以表揚及獎勵對本集團的發展 outstanding employees to recognise and reward the employees who have 做出貢獻的員工。本集團為員工提供定期培 contributed to the Group’s development. The Group also provides our 訓，使員工對本公司、我們的行業的最新發展 staff with regular trainings to keep them abreast of the latest development 以及醫療相關知識及技能有所了解。 of the Company and our industry, and medical related knowledge and skill sets. Customers 客戶</t>
        </is>
      </c>
    </row>
    <row r="148">
      <c r="A148" s="8" t="inlineStr">
        <is>
          <t>Share-based Payment</t>
        </is>
      </c>
      <c r="B148" s="8" t="inlineStr">
        <is>
          <t>以股份為基礎的付款</t>
        </is>
      </c>
      <c r="C148" s="8" t="inlineStr">
        <is>
          <t>medium</t>
        </is>
      </c>
      <c r="D148" s="11" t="inlineStr">
        <is>
          <t>share option</t>
        </is>
      </c>
      <c r="E148" s="11" t="inlineStr">
        <is>
          <t>PDF p.90 (印刷頁 6)</t>
        </is>
      </c>
      <c r="F148" s="11" t="inlineStr">
        <is>
          <t>to the consolidated financial statements. 於綜合財務報表附註25、28及32。 SHARE SCHEMES 股份計劃 During the Reporting Period, the Company operated a share option 於報告期間，本公司設立購股權計劃、股份獎 scheme, a share award scheme and the Co-Ownership Plan 2 for the 勵計劃及持股管理人計劃2，旨在為本集團的 purposes of providing incentives and rewards to eligible participants who 成功作出貢獻的合資格參與人提供激勵及回 contribute to the success of the Group. 報。 醫思健康 89 年度報告 2 0 2 5 / 2 6</t>
        </is>
      </c>
    </row>
    <row r="149">
      <c r="A149" s="8" t="inlineStr">
        <is>
          <t>Share-based Payment</t>
        </is>
      </c>
      <c r="B149" s="8" t="inlineStr">
        <is>
          <t>以股份為基礎的付款</t>
        </is>
      </c>
      <c r="C149" s="8" t="inlineStr">
        <is>
          <t>medium</t>
        </is>
      </c>
      <c r="D149" s="11" t="inlineStr">
        <is>
          <t>share option</t>
        </is>
      </c>
      <c r="E149" s="11" t="inlineStr">
        <is>
          <t>PDF p.91 (印刷頁 6)</t>
        </is>
      </c>
      <c r="F149" s="11" t="inlineStr">
        <is>
          <t>Report of the Directors 董事會報告 Share Option Scheme 購股權計劃 As disclosed in the Prospectus, the Company adopted a share option 誠如招股章程所披露，本公司於二零一六年二 scheme (the “Share Option Scheme”) on 19 February 2016 by way of a 月十九日透過本公司當時唯一股東的書面決議 written resolution of the then sole shareholder of the Company and the 案採納購股權計劃（「購股權計劃」），而購股 Share Option Scheme is valid and effective for 10 years from the Listing 權計劃於上市日期起計十年內（包括首尾兩日） Date (both</t>
        </is>
      </c>
    </row>
    <row r="150">
      <c r="A150" s="8" t="inlineStr">
        <is>
          <t>Share-based Payment</t>
        </is>
      </c>
      <c r="B150" s="8" t="inlineStr">
        <is>
          <t>以股份為基礎的付款</t>
        </is>
      </c>
      <c r="C150" s="8" t="inlineStr">
        <is>
          <t>medium</t>
        </is>
      </c>
      <c r="D150" s="11" t="inlineStr">
        <is>
          <t>share option</t>
        </is>
      </c>
      <c r="E150" s="11" t="inlineStr">
        <is>
          <t>PDF p.92 (印刷頁 6)</t>
        </is>
      </c>
      <c r="F150" s="11" t="inlineStr">
        <is>
          <t>Report of the Directors 董事會報告 Notes: 附註： 1. The total of 10,000,000 share options shall be exercisable in ten tranches from 26 1. 合共10,000,000份購股權可於二零二二年九月 September 2022 to 23 September 2031. 二十六日至二零三一年九月二十三日分十批予以 行使。 2. The original total of 840,000 share options shall be exercisable in four equal 2. 原合共840,000份購股權可於二零一九年一月二 tranches from 2 January 2019 to 1 October 2028. 日至二零二八年十月一日分四批等額予以行使。 3. The total of 1,000,000 share options shall be exercisable in five</t>
        </is>
      </c>
    </row>
    <row r="151">
      <c r="A151" s="8" t="inlineStr">
        <is>
          <t>Share-based Payment</t>
        </is>
      </c>
      <c r="B151" s="8" t="inlineStr">
        <is>
          <t>以股份為基礎的付款</t>
        </is>
      </c>
      <c r="C151" s="8" t="inlineStr">
        <is>
          <t>medium</t>
        </is>
      </c>
      <c r="D151" s="11" t="inlineStr">
        <is>
          <t>share option</t>
        </is>
      </c>
      <c r="E151" s="11" t="inlineStr">
        <is>
          <t>PDF p.93 (印刷頁 6)</t>
        </is>
      </c>
      <c r="F151" s="11" t="inlineStr">
        <is>
          <t>Report of the Directors 董事會報告 Purpose 目的 The Share Option Scheme is to provide an incentive or reward for the 購股權計劃旨在向承授人（定義見下文）就彼等 Grantees (as defined below) for their contribution or potential contribution 對本集團的貢獻或潛在貢獻提供激勵或獎勵。 to the Group. Eligible Persons 合資格人士 Under the Share Option Scheme, eligible persons include any full-time 根據購股權計劃，合資格人士包括本公司或其 or part-time employees, potential employees, executives or officers 任何附屬公司之任何全職或兼職僱員、潛在</t>
        </is>
      </c>
    </row>
    <row r="152">
      <c r="A152" s="8" t="inlineStr">
        <is>
          <t>Share-based Payment</t>
        </is>
      </c>
      <c r="B152" s="8" t="inlineStr">
        <is>
          <t>以股份為基礎的付款</t>
        </is>
      </c>
      <c r="C152" s="8" t="inlineStr">
        <is>
          <t>medium</t>
        </is>
      </c>
      <c r="D152" s="11" t="inlineStr">
        <is>
          <t>share option</t>
        </is>
      </c>
      <c r="E152" s="11" t="inlineStr">
        <is>
          <t>PDF p.94 (印刷頁 6)</t>
        </is>
      </c>
      <c r="F152" s="11" t="inlineStr">
        <is>
          <t>Eligible Participant 每名合資格參與者的配額上限 Subject to the requirements under the Listing Rules relating to the grant of 在有關授予董事、主要行政人員或主要股東購 share options to the Directors, chief executive or substantial shareholders, 股權的上市規則的規定的規限下，除非股東於 unless approved by the shareholders at general meeting in the manner 股東大會按上市規則規定的方式批准，否則每 prescribed in the Listing Rules, the maximum entitlement of each Eligible 名合資格參與者的配額上限為因根據購股權計 Participant is that the total number of shares issued and to be issued upon 劃及本集團其他計劃於任何十二個月期間向承 exercise of the outs</t>
        </is>
      </c>
    </row>
    <row r="153">
      <c r="A153" s="8" t="inlineStr">
        <is>
          <t>Share-based Payment</t>
        </is>
      </c>
      <c r="B153" s="8" t="inlineStr">
        <is>
          <t>以股份為基礎的付款</t>
        </is>
      </c>
      <c r="C153" s="8" t="inlineStr">
        <is>
          <t>medium</t>
        </is>
      </c>
      <c r="D153" s="11" t="inlineStr">
        <is>
          <t>share option</t>
        </is>
      </c>
      <c r="E153" s="11" t="inlineStr">
        <is>
          <t>PDF p.95 (印刷頁 6)</t>
        </is>
      </c>
      <c r="F153" s="11" t="inlineStr">
        <is>
          <t>Report of the Directors 董事會報告 Basis of Determining the Subscription Price 釐定認購價的基準 The subscription price for shares under the Share Option Scheme shall 購股權計劃所涉股份的認購價將由董事會全權 be at the absolute discretion of the Board, provided that it must be at 酌情釐定，惟須至少為以下各項的最高者：(i) least the highest of (i) the closing price of the shares as stated in the Stock 股份於要約日期在聯交所每日報價表所報的收 Exchange’s daily quotation sheets on the date of offer; (ii) the average of 市價；(ii)股份於緊接要約日期前五個交易日在 the closing prices of the shares as stated in the Stock E</t>
        </is>
      </c>
    </row>
    <row r="154">
      <c r="A154" s="8" t="inlineStr">
        <is>
          <t>Share-based Payment</t>
        </is>
      </c>
      <c r="B154" s="8" t="inlineStr">
        <is>
          <t>以股份為基礎的付款</t>
        </is>
      </c>
      <c r="C154" s="8" t="inlineStr">
        <is>
          <t>medium</t>
        </is>
      </c>
      <c r="D154" s="11" t="inlineStr">
        <is>
          <t>share option</t>
        </is>
      </c>
      <c r="E154" s="11" t="inlineStr">
        <is>
          <t>PDF p.96 (印刷頁 6)</t>
        </is>
      </c>
      <c r="F154" s="11" t="inlineStr">
        <is>
          <t>ort of the Directors 董事會報告 The maximum number of shares in respect of which options may be 根據新購股權計劃可授出購股權涉及的股份 granted under the New Share Option Scheme shall not exceed 5% of 數目上限不得超過本公司於二零二三年五月 the issued share capital of the Company as at 29 May 2023, which is 二十九日已發行股本的5%（即59,260,563股股 59,260,563 shares and the maximum number which may be granted 份），而向服務供應商可授出數目上限將不會 to the service providers shall not exceed 2% of the issued share capital 超過本公司於二零二三年五月二十九日已發行 of the Company as at 29 May 2023, which is 23,704,225 shares. The</t>
        </is>
      </c>
    </row>
    <row r="155">
      <c r="A155" s="8" t="inlineStr">
        <is>
          <t>Share-based Payment</t>
        </is>
      </c>
      <c r="B155" s="8" t="inlineStr">
        <is>
          <t>以股份為基礎的付款</t>
        </is>
      </c>
      <c r="C155" s="8" t="inlineStr">
        <is>
          <t>medium</t>
        </is>
      </c>
      <c r="D155" s="11" t="inlineStr">
        <is>
          <t>share option</t>
        </is>
      </c>
      <c r="E155" s="11" t="inlineStr">
        <is>
          <t>PDF p.97 (印刷頁 6)</t>
        </is>
      </c>
      <c r="F155" s="11" t="inlineStr">
        <is>
          <t>Report of the Directors 董事會報告 SHARE OPTIONS GRANTED OTHER THAN 已授出購股權（惟根據購股權計劃 THOSE UNDER SHARE OPTION SCHEME 授出者除外） Pursuant to the sale and purchase agreement in connection with 根據有關收購Hong Kong Pain and Wellness the acquisition of additional 24% equity interest in Hong Kong Pain Solution Limited（本公司的非全資附屬公司）的 and Wellness Solution Limited, a non-wholly owned subsidiary of the 額外24%股權所訂立的買賣協議，截至二零 Company, during the year en</t>
        </is>
      </c>
    </row>
    <row r="156">
      <c r="A156" s="8" t="inlineStr">
        <is>
          <t>Share-based Payment</t>
        </is>
      </c>
      <c r="B156" s="8" t="inlineStr">
        <is>
          <t>以股份為基礎的付款</t>
        </is>
      </c>
      <c r="C156" s="8" t="inlineStr">
        <is>
          <t>medium</t>
        </is>
      </c>
      <c r="D156" s="11" t="inlineStr">
        <is>
          <t>購股權</t>
        </is>
      </c>
      <c r="E156" s="11" t="inlineStr">
        <is>
          <t>PDF p.98 (印刷頁 6)</t>
        </is>
      </c>
      <c r="F156" s="11" t="inlineStr">
        <is>
          <t>res granted were forfeited. 收。自二零二零年四月一日至二零二六年三月 During the period from 1 April 2020 to 31 March 2026, no awarded shares 三十一日止期間，概無根據購股權計劃可供授 were granted and no share has been issued under the Share Award 予的獎勵股份，亦概無根據購股權計劃發行股 Scheme. 份。 The Board shall not make any further award of awarded shares which 董事會不得進一步授出獎勵股份，以致董事會 will result in the nominal value of the shares awarded by the Board under 根據股份獎勵計劃授出的股份面值超過本公 the Share Award Scheme exceeding 10% of the issued share capital of 司不時已發行股本10%。自採納股份獎勵計 the Company from time to</t>
        </is>
      </c>
    </row>
    <row r="157">
      <c r="A157" s="8" t="inlineStr">
        <is>
          <t>Share-based Payment</t>
        </is>
      </c>
      <c r="B157" s="8" t="inlineStr">
        <is>
          <t>以股份為基礎的付款</t>
        </is>
      </c>
      <c r="C157" s="8" t="inlineStr">
        <is>
          <t>medium</t>
        </is>
      </c>
      <c r="D157" s="11" t="inlineStr">
        <is>
          <t>share option</t>
        </is>
      </c>
      <c r="E157" s="11" t="inlineStr">
        <is>
          <t>PDF p.99 (印刷頁 6)</t>
        </is>
      </c>
      <c r="F157" s="11" t="inlineStr">
        <is>
          <t>rt. 管理人」一節。 The aggregate number of Shares that may be issued in respect of options 於報告期間內根據購股權計劃、新購股權計 and awards granted under the Share Option Scheme, the New Share 劃、股份獎勵計劃及持股管理人計劃2授出的 Option Scheme, the Share Award Scheme and the Co-Ownership Plan 購股權及獎勵所涉及的可獲發行股份總數佔報 2 during the Reporting Period represented nil of the weighted average 告期內已發行加權平均股份數目為零。 number of Shares in issue during the Reporting Period. DIRECTORS 董事 The Directors during the Reporting Period and up to the date of this 於報告期間內及直至本年報日期的董事為： annual report</t>
        </is>
      </c>
    </row>
    <row r="158">
      <c r="A158" s="8" t="inlineStr">
        <is>
          <t>Share-based Payment</t>
        </is>
      </c>
      <c r="B158" s="8" t="inlineStr">
        <is>
          <t>以股份為基礎的付款</t>
        </is>
      </c>
      <c r="C158" s="8" t="inlineStr">
        <is>
          <t>medium</t>
        </is>
      </c>
      <c r="D158" s="11" t="inlineStr">
        <is>
          <t>share option</t>
        </is>
      </c>
      <c r="E158" s="11" t="inlineStr">
        <is>
          <t>PDF p.106 (印刷頁 6)</t>
        </is>
      </c>
      <c r="F158" s="11" t="inlineStr">
        <is>
          <t>20,610 shares under Part XV of Union Medical Care持有，因此，根據證券及期貨 SFO. 條例第XV部，鄧先生被視為於相關4,181,000股 股份及712,620,610股股份中擁有權益。 3. 10,000,000 share options (with their exercise period) include (i) 1,500,000 3. 10,000,000 份購股權（及其行使期）包括(i) share options (26 September 2022 to 23 September 2031); (ii) 1,500,000 1,500,000份購股權（於二零二二年九月二十六日 share options (25 September 2023 to 23 September 2031); (iii) 1,500,000 至二零三一年九月二十三日）；(ii) 1,500,000份購 share options (24 September 2024 to 23 September 2031); (iv) 1,500,000 股權（於二零二三年九月二十五日至二零三一年九 share opt</t>
        </is>
      </c>
    </row>
    <row r="159">
      <c r="A159" s="8" t="inlineStr">
        <is>
          <t>Share-based Payment</t>
        </is>
      </c>
      <c r="B159" s="8" t="inlineStr">
        <is>
          <t>以股份為基礎的付款</t>
        </is>
      </c>
      <c r="C159" s="8" t="inlineStr">
        <is>
          <t>medium</t>
        </is>
      </c>
      <c r="D159" s="11" t="inlineStr">
        <is>
          <t>share option</t>
        </is>
      </c>
      <c r="E159" s="11" t="inlineStr">
        <is>
          <t>PDF p.107 (印刷頁 6)</t>
        </is>
      </c>
      <c r="F159" s="11" t="inlineStr">
        <is>
          <t>Report of the Directors 董事會報告 4. 6,100,000 share options (with their exercise period) include (i) 25,000 share 4. 6,100,000份購股權（及其行使期）包括(i) 25,000 options (2 January 2019 to 1 October 2028); (ii) 25,000 share options (2 January 份購股權（於二零一九年一月二日至二零二八年 2020 to 1 October 2028); (iii) 25,000 share options (4 January 2021 to 1 October 十月一日）；(ii) 25,000份購股權（於二零二零年一 2028); (iv) 25,000 share options (3 January 2022 to 1 October 2028); (v) 200,000 月</t>
        </is>
      </c>
    </row>
    <row r="160">
      <c r="A160" s="8" t="inlineStr">
        <is>
          <t>Share-based Payment</t>
        </is>
      </c>
      <c r="B160" s="8" t="inlineStr">
        <is>
          <t>以股份為基礎的付款</t>
        </is>
      </c>
      <c r="C160" s="8" t="inlineStr">
        <is>
          <t>medium</t>
        </is>
      </c>
      <c r="D160" s="11" t="inlineStr">
        <is>
          <t>share option</t>
        </is>
      </c>
      <c r="E160" s="11" t="inlineStr">
        <is>
          <t>PDF p.110 (印刷頁 6)</t>
        </is>
      </c>
      <c r="F160" s="11" t="inlineStr">
        <is>
          <t>Report of the Directors 董事會報告 ARRANGEMENTS TO ACQUIRE SHARES OR 購買股份或債權證的安排 DEBENTURES Save and except the Share Option Scheme, the Share Award Scheme, 除購股權計劃、股份獎勵計劃、持股管理人計 the Co-Ownership Plan 1 (which has been terminated) and the Co- 劃1（已終止）及持股管理人計劃2外，本公司 Ownership Plan 2, at no time during or at the end of the Reporting 或其任何附屬公司於報告期間內或報告期末任 Period was the Company or any of its subsidiaries was a party to any 何時間概無訂立任何安排，以致董事藉購入本 arrangement to enable the Directors to acquire benefits by means of th</t>
        </is>
      </c>
    </row>
    <row r="161">
      <c r="A161" s="8" t="inlineStr">
        <is>
          <t>Share-based Payment</t>
        </is>
      </c>
      <c r="B161" s="8" t="inlineStr">
        <is>
          <t>以股份為基礎的付款</t>
        </is>
      </c>
      <c r="C161" s="8" t="inlineStr">
        <is>
          <t>medium</t>
        </is>
      </c>
      <c r="D161" s="11" t="inlineStr">
        <is>
          <t>share-based payment</t>
        </is>
      </c>
      <c r="E161" s="11" t="inlineStr">
        <is>
          <t>PDF p.124 (印刷頁 6)</t>
        </is>
      </c>
      <c r="F161" s="11" t="inlineStr">
        <is>
          <t>of equity-settled share-based compensation: Share 確認以權益結算以股份為基礎酬金：購股權 options – – 13,009 – – – – – – 13,009 – 13,009 Recognition of share-based payment for shares of 確認授予非控股權益的附屬公司股份的 subsidiaries granted to non-controlling interests 以股份為基礎付款 – – 3,962 – – – – – – 3,962 3,299 7,261 Change in consideration payable arising from 授予非控股權益的認沽期權所產生的 the put options granted to non-controlling interests 應付代價變動 – – – – – – – (27,890) – (27,890) – (27,890) Changes in actuarial assumptions of long service payment 長期服務金精算假設變動 – – – – – – –</t>
        </is>
      </c>
    </row>
    <row r="162">
      <c r="A162" s="8" t="inlineStr">
        <is>
          <t>Share-based Payment</t>
        </is>
      </c>
      <c r="B162" s="8" t="inlineStr">
        <is>
          <t>以股份為基礎的付款</t>
        </is>
      </c>
      <c r="C162" s="8" t="inlineStr">
        <is>
          <t>medium</t>
        </is>
      </c>
      <c r="D162" s="11" t="inlineStr">
        <is>
          <t>share-based payment</t>
        </is>
      </c>
      <c r="E162" s="11" t="inlineStr">
        <is>
          <t>PDF p.125 (印刷頁 6)</t>
        </is>
      </c>
      <c r="F162" s="11" t="inlineStr">
        <is>
          <t>權益 venture 減值虧損 8 – 9,892 Depreciation 折舊 8 420,135 512,795 Amortisation of intangible assets 無形資產攤銷 8 92,106 118,182 Equity-settled share-based payment 以權益結算以股份為基礎之 expenses 付款開支 8 15,135 20,270 Share of results of joint ventures 分佔合營企業業績 (6,458) (1,284) Share of results of associates 分佔聯營公司業績 (2,043) 96,715 Foreign exchange differences 外匯差額 264 (993) E C H e a l t h c a r e 124 A n n u a l R e p o r t 2 0 2 5 / 2 6</t>
        </is>
      </c>
    </row>
    <row r="163">
      <c r="A163" s="8" t="inlineStr">
        <is>
          <t>Share-based Payment</t>
        </is>
      </c>
      <c r="B163" s="8" t="inlineStr">
        <is>
          <t>以股份為基礎的付款</t>
        </is>
      </c>
      <c r="C163" s="8" t="inlineStr">
        <is>
          <t>medium</t>
        </is>
      </c>
      <c r="D163" s="11" t="inlineStr">
        <is>
          <t>share-based payment</t>
        </is>
      </c>
      <c r="E163" s="11" t="inlineStr">
        <is>
          <t>PDF p.168 (印刷頁 6)</t>
        </is>
      </c>
      <c r="F163" s="11" t="inlineStr">
        <is>
          <t>Notes to the Financial Statements 財務報表附註 3.1 MATERIAL ACCOUNTING POLICIES 3.1 重大會計政策（續） (Continued) Share-based payments 以股份為基礎之付款 Share option scheme 購股權計劃 The Company operates a share option scheme. Employees 本公司實行購股權計劃。本集團僱員（包 (including directors) of the Group receive remuneration in the form 括董事）以股份為基礎之付款的形式收取 of share-based payments, whereby employees render services in 薪酬，僱員據此提供服務以換取權益工 exchange for equity instruments (“equity-settled transactions”). The 具（「權益結算交易」）。與僱員進行權益 cost of equity</t>
        </is>
      </c>
    </row>
    <row r="164">
      <c r="A164" s="8" t="inlineStr">
        <is>
          <t>Share-based Payment</t>
        </is>
      </c>
      <c r="B164" s="8" t="inlineStr">
        <is>
          <t>以股份為基礎的付款</t>
        </is>
      </c>
      <c r="C164" s="8" t="inlineStr">
        <is>
          <t>medium</t>
        </is>
      </c>
      <c r="D164" s="11" t="inlineStr">
        <is>
          <t>share-based payment</t>
        </is>
      </c>
      <c r="E164" s="11" t="inlineStr">
        <is>
          <t>PDF p.169 (印刷頁 6)</t>
        </is>
      </c>
      <c r="F164" s="11" t="inlineStr">
        <is>
          <t>Notes to the Financial Statements 財務報表附註 3.1 MATERIAL ACCOUNTING POLICIES 3.1 重大會計政策（續） (Continued) Share-based payments (Continued) 以股份為基礎之付款（續） Share option scheme (Continued) 購股權計劃（續） For awards that do not ultimately vest because non-market 就因未達成非市場表現及╱或服務條件 performance and/or service conditions have not been met, 而最終未歸屬的獎勵而言，並不會確認 no expense is recognised. Where awards include a market or 開支。倘獎勵包括一項市場或非歸屬條 non-vesting condition, the transactions are treated as vesting 件，只要所有其他表現及╱或服務條件 irre</t>
        </is>
      </c>
    </row>
    <row r="165">
      <c r="A165" s="8" t="inlineStr">
        <is>
          <t>Share-based Payment</t>
        </is>
      </c>
      <c r="B165" s="8" t="inlineStr">
        <is>
          <t>以股份為基礎的付款</t>
        </is>
      </c>
      <c r="C165" s="8" t="inlineStr">
        <is>
          <t>medium</t>
        </is>
      </c>
      <c r="D165" s="11" t="inlineStr">
        <is>
          <t>share-based payment</t>
        </is>
      </c>
      <c r="E165" s="11" t="inlineStr">
        <is>
          <t>PDF p.170 (印刷頁 6)</t>
        </is>
      </c>
      <c r="F165" s="11" t="inlineStr">
        <is>
          <t>Notes to the Financial Statements 財務報表附註 3.1 MATERIAL ACCOUNTING POLICIES 3.1 重大會計政策（續） (Continued) Share-based payments (Continued) 以股份為基礎之付款（續） Share award scheme 股份獎勵計劃 The Group operates an equity-settled, share-based compensation 本集團設有一項以權益結算、以股份為 plan (the “Share Award Scheme”), under which the Group receives 基礎的酬金計劃（「股份獎勵計劃」），據 services from employees as consideration for equity instruments 此，本集團收取來自僱員之服務作為本 (shares) of the Group. The fair value of the employee services 集團股本工具（股份）之代價。為換取股</t>
        </is>
      </c>
    </row>
    <row r="166">
      <c r="A166" s="8" t="inlineStr">
        <is>
          <t>Share-based Payment</t>
        </is>
      </c>
      <c r="B166" s="8" t="inlineStr">
        <is>
          <t>以股份為基礎的付款</t>
        </is>
      </c>
      <c r="C166" s="8" t="inlineStr">
        <is>
          <t>medium</t>
        </is>
      </c>
      <c r="D166" s="11" t="inlineStr">
        <is>
          <t>share-based payment</t>
        </is>
      </c>
      <c r="E166" s="11" t="inlineStr">
        <is>
          <t>PDF p.171 (印刷頁 6)</t>
        </is>
      </c>
      <c r="F166" s="11" t="inlineStr">
        <is>
          <t>Notes to the Financial Statements 財務報表附註 3.1 MATERIAL ACCOUNTING POLICIES 3.1 重大會計政策（續） (Continued) Share-based payments (Continued) 以股份為基礎之付款（續） Share awards given by the Group’s subsidiaries 本集團附屬公司作出之股份獎勵 Shares in subsidiaries of the Group are awarded to certain 本集團附屬公司的股份已就若干註冊醫 registered practitioners in respect of their future services for the 生未來為本集團提供服務獎勵予彼等。 Group. The fair value of such shares is recognised as registered 該等股份的公平值確認為註冊醫生開 practitioner expenses with a corresponding inc</t>
        </is>
      </c>
    </row>
    <row r="167">
      <c r="A167" s="8" t="inlineStr">
        <is>
          <t>Share-based Payment</t>
        </is>
      </c>
      <c r="B167" s="8" t="inlineStr">
        <is>
          <t>以股份為基礎的付款</t>
        </is>
      </c>
      <c r="C167" s="8" t="inlineStr">
        <is>
          <t>medium</t>
        </is>
      </c>
      <c r="D167" s="11" t="inlineStr">
        <is>
          <t>share-based payment</t>
        </is>
      </c>
      <c r="E167" s="11" t="inlineStr">
        <is>
          <t>PDF p.186 (印刷頁 6)</t>
        </is>
      </c>
      <c r="F167" s="11" t="inlineStr">
        <is>
          <t>ts)#: Salaries, wages, allowances, bonuses, 薪金、工資、津貼、花紅、 commissions and benefits in kind 佣金及實物利益 1,086,072 1,196,436 Equity-settled share-based payment 以權益結算以股份為基礎之 expenses 付款開支 11,173 16,308 Pension scheme contributions 退休金計劃供款 (defined contribution schemes) （界定供款計劃） 42,639 60,218 1,139,884 1,272,962 Equity-settled share-based payment 向註冊醫生支付以權益結算 expenses to registered practitioners 以股份為基礎的付款開支 (excluding those included in staff costs) （計入員工成本者除外） 3,962 3,962 Auditors’ remuneration* 核數師酬金* 4,616 5,954 Depreciation 折舊 – owne</t>
        </is>
      </c>
    </row>
    <row r="168">
      <c r="A168" s="8" t="inlineStr">
        <is>
          <t>Share-based Payment</t>
        </is>
      </c>
      <c r="B168" s="8" t="inlineStr">
        <is>
          <t>以股份為基礎的付款</t>
        </is>
      </c>
      <c r="C168" s="8" t="inlineStr">
        <is>
          <t>medium</t>
        </is>
      </c>
      <c r="D168" s="11" t="inlineStr">
        <is>
          <t>share option</t>
        </is>
      </c>
      <c r="E168" s="11" t="inlineStr">
        <is>
          <t>PDF p.187 (印刷頁 6)</t>
        </is>
      </c>
      <c r="F168" s="11" t="inlineStr">
        <is>
          <t>– – 220 Au Tsun 區雋 120 – – 120 Subtotal 小計 580 – – 580 Total 合計 820 11,702 60 12,582 In prior years, certain directors were granted share options in 於過往年度，若干董事根據本公司的購 respect of their services to the Group, under the share option 股權計劃就其對本集團的服務獲授購股 scheme of the Company. Further details of the share option scheme 權。購股權計劃的進一步詳情載於財務 are set out in note 31 to the financial statements. The fair value of 報表附註31。該等購股權的公平值已於 such options, which has been recognised in the statement of profit 歸屬期內在損益表中確認，並於授出日 or loss over the vesting p</t>
        </is>
      </c>
    </row>
    <row r="169">
      <c r="A169" s="8" t="inlineStr">
        <is>
          <t>Share-based Payment</t>
        </is>
      </c>
      <c r="B169" s="8" t="inlineStr">
        <is>
          <t>以股份為基礎的付款</t>
        </is>
      </c>
      <c r="C169" s="8" t="inlineStr">
        <is>
          <t>medium</t>
        </is>
      </c>
      <c r="D169" s="11" t="inlineStr">
        <is>
          <t>share option</t>
        </is>
      </c>
      <c r="E169" s="11" t="inlineStr">
        <is>
          <t>PDF p.192 (印刷頁 6)</t>
        </is>
      </c>
      <c r="F169" s="11" t="inlineStr">
        <is>
          <t>發行在外購股權及認股權證（二零 presented for the years ended 31 March 2026 and 2025 in respect 二五年：購股權、認股權證及可換股債 of a dilution as the impact of the share options and warrants (2025: 券）對所呈列的每股基本虧損金額具有反 share options, warrants and convertible bonds) outstanding had an 攤薄影響，故並無對截至二零二六年及 anti-dilutive effect on the basic loss per share amounts presented. 二零二五年三月三十一日止年度所呈列 的每股基本虧損金額作出任何調整。 醫思健康 191 年度報告 2 0 2 5 / 2 6</t>
        </is>
      </c>
    </row>
    <row r="170">
      <c r="A170" s="8" t="inlineStr">
        <is>
          <t>Share-based Payment</t>
        </is>
      </c>
      <c r="B170" s="8" t="inlineStr">
        <is>
          <t>以股份為基礎的付款</t>
        </is>
      </c>
      <c r="C170" s="8" t="inlineStr">
        <is>
          <t>medium</t>
        </is>
      </c>
      <c r="D170" s="11" t="inlineStr">
        <is>
          <t>share-based payment</t>
        </is>
      </c>
      <c r="E170" s="11" t="inlineStr">
        <is>
          <t>PDF p.236 (印刷頁 6)</t>
        </is>
      </c>
      <c r="F170" s="11" t="inlineStr">
        <is>
          <t>ioners or other third 所確認授予本集團僱員、註 parties of the Group recognised in accordance with the 冊醫生或其他第三方的實際 accounting policy adopted for share-based payments in 或估計未行使購股權數目及 note 3.1. 股份獎勵的公平值。 (vi) Capital reserve (vi) 股本儲備 The capital reserve comprises: 股本儲備包括： (i) the amount allocated to the unexercised equity (i) 根據附註3.1的會計政 component of convertible bonds and related 策確認過往年度本公司 warrants issued by the Company in the prior year, 發行可換股債券及相 recognised in accordance with the accounting 關認股權證的未獲行使 policy in note 3.1; and 權益部分所獲分配的金 額</t>
        </is>
      </c>
    </row>
    <row r="171">
      <c r="A171" s="8" t="inlineStr">
        <is>
          <t>Share-based Payment</t>
        </is>
      </c>
      <c r="B171" s="8" t="inlineStr">
        <is>
          <t>以股份為基礎的付款</t>
        </is>
      </c>
      <c r="C171" s="8" t="inlineStr">
        <is>
          <t>medium</t>
        </is>
      </c>
      <c r="D171" s="11" t="inlineStr">
        <is>
          <t>share-based payment</t>
        </is>
      </c>
      <c r="E171" s="11" t="inlineStr">
        <is>
          <t>PDF p.240 (印刷頁 6)</t>
        </is>
      </c>
      <c r="F171" s="11" t="inlineStr">
        <is>
          <t>trust by the trustee on behalf of the employees. 託人代表僱員以信託的形式持有 9,964,493股股份（二零二五年： 9,964,493股股份）。 The Group has not recognised any share-based payment 本集團尚未就持股管理人計劃確認 expenses in connection with the Co-ownership Scheme. 任何以股份為基礎付款開支。 醫思健康 239 年度報告 2 0 2 5 / 2 6</t>
        </is>
      </c>
    </row>
    <row r="172">
      <c r="A172" s="8" t="inlineStr">
        <is>
          <t>Share-based Payment</t>
        </is>
      </c>
      <c r="B172" s="8" t="inlineStr">
        <is>
          <t>以股份為基礎的付款</t>
        </is>
      </c>
      <c r="C172" s="8" t="inlineStr">
        <is>
          <t>medium</t>
        </is>
      </c>
      <c r="D172" s="11" t="inlineStr">
        <is>
          <t>share option</t>
        </is>
      </c>
      <c r="E172" s="11" t="inlineStr">
        <is>
          <t>PDF p.241 (印刷頁 6)</t>
        </is>
      </c>
      <c r="F172" s="11" t="inlineStr">
        <is>
          <t>Notes to the Financial Statements 財務報表附註 31. SHARE OPTION SCHEME 31. 購股權計劃 The Company has a share option scheme which was adopted on 本公司於二零一六年九月二十六日採納 26 September 2016 whereby the directors of the Company are 購股權計劃，本公司董事據此獲授權酌 authorised, at their discretion, to invite employees of the Group, 情邀請本集團僱員（包括本集團任何公司 including directors of any company in the Group, to take up 董事）以代價3.03港元至13.30港元承購 options at considerations ranging from HK$3.03</t>
        </is>
      </c>
    </row>
    <row r="173">
      <c r="A173" s="8" t="inlineStr">
        <is>
          <t>Share-based Payment</t>
        </is>
      </c>
      <c r="B173" s="8" t="inlineStr">
        <is>
          <t>以股份為基礎的付款</t>
        </is>
      </c>
      <c r="C173" s="8" t="inlineStr">
        <is>
          <t>medium</t>
        </is>
      </c>
      <c r="D173" s="11" t="inlineStr">
        <is>
          <t>share option</t>
        </is>
      </c>
      <c r="E173" s="11" t="inlineStr">
        <is>
          <t>PDF p.242 (印刷頁 6)</t>
        </is>
      </c>
      <c r="F173" s="11" t="inlineStr">
        <is>
          <t>Notes to the Financial Statements 財務報表附註 31. SHARE OPTION SCHEME 31. 購股權計劃（續） (Continued) (a) (Continued) (a) （續） Number of Contractual life instruments Vesting conditions of options 工具數目 歸屬條件 購股權合約年期 – On 21 August 2018 500,000 Exercisable in four tranches from 10 years 2 January 2019 to 20 August 2028 －於二零一八年八月二十一日 可分為四批於二零一九年一月二日 10年 至二零二八年八月二十日 期間行使 – On 2 October 2018 100,000 Exercisable in four tranches from 10 years 2 January 2019 to</t>
        </is>
      </c>
    </row>
    <row r="174">
      <c r="A174" s="8" t="inlineStr">
        <is>
          <t>Share-based Payment</t>
        </is>
      </c>
      <c r="B174" s="8" t="inlineStr">
        <is>
          <t>以股份為基礎的付款</t>
        </is>
      </c>
      <c r="C174" s="8" t="inlineStr">
        <is>
          <t>medium</t>
        </is>
      </c>
      <c r="D174" s="11" t="inlineStr">
        <is>
          <t>share option</t>
        </is>
      </c>
      <c r="E174" s="11" t="inlineStr">
        <is>
          <t>PDF p.243 (印刷頁 6)</t>
        </is>
      </c>
      <c r="F174" s="11" t="inlineStr">
        <is>
          <t>Notes to the Financial Statements 財務報表附註 31. SHARE OPTION SCHEME 31. 購股權計劃（續） (Continued) (a) (Continued) (a) （續） Number of Contractual life instruments Vesting conditions of options 工具數目 歸屬條件 購股權合約年期 – On 16 October 2019 735,000 Exercisable in one tranche from 10 years 2 January 2029 to 15 October 2029 －於二零一九年十月十六日 可分為一批於二零二九年一月二日 10年 至二零二九年十月十五日 期間行使 – On 16 October 2019 1,000,000 Exercisable in five tranches from 10 years 16 October 2019</t>
        </is>
      </c>
    </row>
    <row r="175">
      <c r="A175" s="8" t="inlineStr">
        <is>
          <t>Share-based Payment</t>
        </is>
      </c>
      <c r="B175" s="8" t="inlineStr">
        <is>
          <t>以股份為基礎的付款</t>
        </is>
      </c>
      <c r="C175" s="8" t="inlineStr">
        <is>
          <t>medium</t>
        </is>
      </c>
      <c r="D175" s="11" t="inlineStr">
        <is>
          <t>share option</t>
        </is>
      </c>
      <c r="E175" s="11" t="inlineStr">
        <is>
          <t>PDF p.244 (印刷頁 6)</t>
        </is>
      </c>
      <c r="F175" s="11" t="inlineStr">
        <is>
          <t>Notes to the Financial Statements 財務報表附註 31. SHARE OPTION SCHEME 31. 購股權計劃（續） (Continued) (a) (Continued) (a) （續） Number of Contractual life instruments Vesting conditions of options 工具數目 歸屬條件 購股權合約年期 Options granted to employees: 授予僱員的購股權： – On 18 September 2017 655,000 Exercisable in four tranches from 4 years 1 January 2018 to 31 December 2021 －於二零一七年九月十八日 可分為四批於二零一八年 4年 一月一日至二零二一年 十二月三十一日期間行使 – On 10 July 2018 100,000 Exercisable in five</t>
        </is>
      </c>
    </row>
    <row r="176">
      <c r="A176" s="8" t="inlineStr">
        <is>
          <t>Share-based Payment</t>
        </is>
      </c>
      <c r="B176" s="8" t="inlineStr">
        <is>
          <t>以股份為基礎的付款</t>
        </is>
      </c>
      <c r="C176" s="8" t="inlineStr">
        <is>
          <t>medium</t>
        </is>
      </c>
      <c r="D176" s="11" t="inlineStr">
        <is>
          <t>share option</t>
        </is>
      </c>
      <c r="E176" s="11" t="inlineStr">
        <is>
          <t>PDF p.245 (印刷頁 6)</t>
        </is>
      </c>
      <c r="F176" s="11" t="inlineStr">
        <is>
          <t>Notes to the Financial Statements 財務報表附註 31. SHARE OPTION SCHEME 31. 購股權計劃（續） (Continued) (a) (Continued) (a) （續） Number of Contractual life instruments Vesting conditions of options 工具數目 歸屬條件 購股權合約年期 – On 2 July 2019 150,000 Exercisable in three tranches from 2 4 years January 2020 to 1 July 2023 －於二零一九年七月二日 可分為三批於二零二零年一月二日 4年 至二零二三年七月一日期間行使 – On 5 March 2020 150,000 Exercisable in one tranche from 5 10 years March 2020 to 7 November 2029 －</t>
        </is>
      </c>
    </row>
    <row r="177">
      <c r="A177" s="8" t="inlineStr">
        <is>
          <t>Share-based Payment</t>
        </is>
      </c>
      <c r="B177" s="8" t="inlineStr">
        <is>
          <t>以股份為基礎的付款</t>
        </is>
      </c>
      <c r="C177" s="8" t="inlineStr">
        <is>
          <t>medium</t>
        </is>
      </c>
      <c r="D177" s="11" t="inlineStr">
        <is>
          <t>share option</t>
        </is>
      </c>
      <c r="E177" s="11" t="inlineStr">
        <is>
          <t>PDF p.246 (印刷頁 6)</t>
        </is>
      </c>
      <c r="F177" s="11" t="inlineStr">
        <is>
          <t>Notes to the Financial Statements 財務報表附註 31. SHARE OPTION SCHEME 31. 購股權計劃（續） (Continued) (b) The number and weighted average exercise prices of share (b) 購股權數目及加權平均行使價如 options are as follows: 下： 2026 2025 二零二六年 二零二五年 Weighted Weighted Number of average Number of average options exercise price options exercise price 購股權數目加權平均行使價 購股權數目加權平均行使價 Outstanding at the beginning of the 年初未行使 year 11,167,500 HK$9.90港元 22,262,500 HK$10.09港元 Forfeited</t>
        </is>
      </c>
    </row>
    <row r="178">
      <c r="A178" s="8" t="inlineStr">
        <is>
          <t>Share-based Payment</t>
        </is>
      </c>
      <c r="B178" s="8" t="inlineStr">
        <is>
          <t>以股份為基礎的付款</t>
        </is>
      </c>
      <c r="C178" s="8" t="inlineStr">
        <is>
          <t>medium</t>
        </is>
      </c>
      <c r="D178" s="11" t="inlineStr">
        <is>
          <t>share option</t>
        </is>
      </c>
      <c r="E178" s="11" t="inlineStr">
        <is>
          <t>PDF p.247 (印刷頁 6)</t>
        </is>
      </c>
      <c r="F178" s="11" t="inlineStr">
        <is>
          <t>) dividends rate volatility the interest of government price yield at price 31. value date Exercise Expected life Expected Risk-free Share Option on Fair E C H e a l t h c a r e 246 A n n u a l R e p o r t 2 0 2 5 / 2 6</t>
        </is>
      </c>
    </row>
    <row r="179">
      <c r="A179" s="8" t="inlineStr">
        <is>
          <t>Share-based Payment</t>
        </is>
      </c>
      <c r="B179" s="8" t="inlineStr">
        <is>
          <t>以股份為基礎的付款</t>
        </is>
      </c>
      <c r="C179" s="8" t="inlineStr">
        <is>
          <t>medium</t>
        </is>
      </c>
      <c r="D179" s="11" t="inlineStr">
        <is>
          <t>share option</t>
        </is>
      </c>
      <c r="E179" s="11" t="inlineStr">
        <is>
          <t>PDF p.248 (印刷頁 6)</t>
        </is>
      </c>
      <c r="F179" s="11" t="inlineStr">
        <is>
          <t>Notes to the Financial Statements 財務報表附註 31. SHARE OPTION SCHEME 31. 購股權計劃（續） (Continued) (d) Share options granted other than those under (d) 已授出購股權（惟根據購股權 the Share Option Scheme 計劃授出者除外） Pursuant to the sale and purchase agreement in connection 根據就收購Hong Kong Pain and with the acquisition of an additional 24% equity interest in Wellness Solution Limited（本公司 Hong Kong Pain and Wellness Solution Limited, a non- wholly 的非全資附屬公司）的額外24%股 owned</t>
        </is>
      </c>
    </row>
    <row r="180">
      <c r="A180" s="8" t="inlineStr">
        <is>
          <t>Related Party Transactions</t>
        </is>
      </c>
      <c r="B180" s="8" t="inlineStr">
        <is>
          <t>關聯方交易</t>
        </is>
      </c>
      <c r="C180" s="8" t="inlineStr">
        <is>
          <t>low</t>
        </is>
      </c>
      <c r="D180" s="11" t="inlineStr">
        <is>
          <t>connected transaction</t>
        </is>
      </c>
      <c r="E180" s="11" t="inlineStr">
        <is>
          <t>PDF p.78 (印刷頁 6)</t>
        </is>
      </c>
      <c r="F180" s="11" t="inlineStr">
        <is>
          <t>Company’s internal 計職能的有效性、外聘核數師的工作範圍及委 audit functions, the scope of work and appointment of external auditor, 任，關連交易及本公司讓僱員關注可能出現不 connected transactions and arrangements of the Company for employees 當行為的安排等重大事項。 to raise concerns about possible improprieties. 醫思健康 77 年度報告 2 0 2 5 / 2 6</t>
        </is>
      </c>
    </row>
    <row r="181">
      <c r="A181" s="8" t="inlineStr">
        <is>
          <t>Related Party Transactions</t>
        </is>
      </c>
      <c r="B181" s="8" t="inlineStr">
        <is>
          <t>關聯方交易</t>
        </is>
      </c>
      <c r="C181" s="8" t="inlineStr">
        <is>
          <t>low</t>
        </is>
      </c>
      <c r="D181" s="11" t="inlineStr">
        <is>
          <t>related party</t>
        </is>
      </c>
      <c r="E181" s="11" t="inlineStr">
        <is>
          <t>PDF p.110 (印刷頁 6)</t>
        </is>
      </c>
      <c r="F181" s="11" t="inlineStr">
        <is>
          <t>cheme are in place to reward individual employees for their 勵。 outstanding performance and contribution to the success of the Group. RELATED PARTY TRANSACTIONS 關聯方交易 Details of material related party transactions of the Group undertaken 於報告期間本集團於一般業務過程中進行的重 in the normal course of business during the Reporting Period are set 大關聯方交易詳情載於綜合財務報表附註36。 out in note 36 to the consolidated financial statements. None of these 概無該等交易須根據上市規則第14A章作出披 transactions is required to be disclosed under Chapter 14A of the Listing 露。 Rules. 醫思健康 10</t>
        </is>
      </c>
    </row>
    <row r="182">
      <c r="A182" s="8" t="inlineStr">
        <is>
          <t>Related Party Transactions</t>
        </is>
      </c>
      <c r="B182" s="8" t="inlineStr">
        <is>
          <t>關聯方交易</t>
        </is>
      </c>
      <c r="C182" s="8" t="inlineStr">
        <is>
          <t>low</t>
        </is>
      </c>
      <c r="D182" s="11" t="inlineStr">
        <is>
          <t>關聯方</t>
        </is>
      </c>
      <c r="E182" s="11" t="inlineStr">
        <is>
          <t>PDF p.144 (印刷頁 6)</t>
        </is>
      </c>
      <c r="F182" s="11" t="inlineStr">
        <is>
          <t>Notes to the Financial Statements 財務報表附註 3.1 MATERIAL ACCOUNTING POLICIES 3.1 重大會計政策（續） (Continued) Related parties 關聯方 A party is considered to be related to the Group if: 下列有關方將被視為與本集團有關聯， 倘： (a) the party is a person or a close member of that person’s family (a) 該方為該人士家族的一名人士或近 and that person 親，而該人士 (i) has control or joint control over the Group; (i) 控制或共同控制本集團； (ii) has significant influence over the Group; or (ii) 對本集團有重大影響力；或 (iii) is a member of the key management personnel of the (iii) 為本集團或本集團母公司的 Gr</t>
        </is>
      </c>
    </row>
    <row r="183">
      <c r="A183" s="8" t="inlineStr">
        <is>
          <t>Related Party Transactions</t>
        </is>
      </c>
      <c r="B183" s="8" t="inlineStr">
        <is>
          <t>關聯方交易</t>
        </is>
      </c>
      <c r="C183" s="8" t="inlineStr">
        <is>
          <t>low</t>
        </is>
      </c>
      <c r="D183" s="11" t="inlineStr">
        <is>
          <t>related party</t>
        </is>
      </c>
      <c r="E183" s="11" t="inlineStr">
        <is>
          <t>PDF p.265 (印刷頁 6)</t>
        </is>
      </c>
      <c r="F183" s="11" t="inlineStr">
        <is>
          <t>Notes to the Financial Statements 財務報表附註 36. RELATED PARTY TRANSACTIONS 36. 關聯方交易 (a) The Group had the following material transactions with related (a) 本集團年內與關聯方訂有下列重大 parties during the year: 交易： 2026 2025 二零二六年 二零二五年 HK$’000 HK$’000 千港元 千港元 Companies beneficially owned by 由鄧志輝實益 Tang Chi Fai 擁有的公司 Lease rental payments 租賃租金付款 (i) 240 1,770 Companies beneficially owned by 由鄧志輝配偶實益 the spouse of Tang Chi Fai 擁有的公司 Lease rental payments 租賃租金</t>
        </is>
      </c>
    </row>
    <row r="184">
      <c r="A184" s="8" t="inlineStr">
        <is>
          <t>Related Party Transactions</t>
        </is>
      </c>
      <c r="B184" s="8" t="inlineStr">
        <is>
          <t>關聯方交易</t>
        </is>
      </c>
      <c r="C184" s="8" t="inlineStr">
        <is>
          <t>low</t>
        </is>
      </c>
      <c r="D184" s="11" t="inlineStr">
        <is>
          <t>related party</t>
        </is>
      </c>
      <c r="E184" s="11" t="inlineStr">
        <is>
          <t>PDF p.266 (印刷頁 6)</t>
        </is>
      </c>
      <c r="F184" s="11" t="inlineStr">
        <is>
          <t>Notes to the Financial Statements 財務報表附註 36. RELATED PARTY TRANSACTIONS 36. 關聯方交易（續） (Continued) (a) (Continued) (a) （續） Notes: 附註： (i) The lease rentals were charged from the related parties according (i) 租賃租金乃根據雙方協定的條款向 to mutually agreed terms. 關聯方收取。 (ii) Purchases were made with the joint ventures according to the (ii) 購買乃根據雙方協定的條款向合營 mutually agreed terms. 企業收取。 (iii) Items of property, plant and equipment were purchased from joint (ii</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3"/>
  <sheetViews>
    <sheetView workbookViewId="0">
      <pane ySplit="21" topLeftCell="A22"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Cost of Sales</t>
        </is>
      </c>
    </row>
    <row r="9">
      <c r="A9" s="8" t="inlineStr">
        <is>
          <t>Income Statement</t>
        </is>
      </c>
      <c r="B9" s="8" t="inlineStr">
        <is>
          <t>Gross Profit</t>
        </is>
      </c>
    </row>
    <row r="10">
      <c r="A10" s="8" t="inlineStr">
        <is>
          <t>Income Statement</t>
        </is>
      </c>
      <c r="B10" s="8" t="inlineStr">
        <is>
          <t>Operating Profit</t>
        </is>
      </c>
    </row>
    <row r="11">
      <c r="A11" s="8" t="inlineStr">
        <is>
          <t>Income Statement</t>
        </is>
      </c>
      <c r="B11" s="8" t="inlineStr">
        <is>
          <t>R&amp;D Expenses</t>
        </is>
      </c>
    </row>
    <row r="12">
      <c r="A12" s="8" t="inlineStr">
        <is>
          <t>Balance Sheet</t>
        </is>
      </c>
      <c r="B12" s="8" t="inlineStr">
        <is>
          <t>Total Assets</t>
        </is>
      </c>
    </row>
    <row r="13">
      <c r="A13" s="8" t="inlineStr">
        <is>
          <t>Balance Sheet</t>
        </is>
      </c>
      <c r="B13" s="8" t="inlineStr">
        <is>
          <t>Total Liabilities</t>
        </is>
      </c>
    </row>
    <row r="14">
      <c r="A14" s="8" t="inlineStr">
        <is>
          <t>Cash Flow</t>
        </is>
      </c>
      <c r="B14" s="8" t="inlineStr">
        <is>
          <t>Investing Cash Flow</t>
        </is>
      </c>
    </row>
    <row r="15">
      <c r="A15" s="8" t="inlineStr">
        <is>
          <t>Cash Flow</t>
        </is>
      </c>
      <c r="B15" s="8" t="inlineStr">
        <is>
          <t>Capital Expenditure</t>
        </is>
      </c>
    </row>
    <row r="18">
      <c r="A18" s="5" t="inlineStr">
        <is>
          <t>二、文字量過低的頁面(疑似掃描頁)</t>
        </is>
      </c>
    </row>
    <row r="19">
      <c r="A19" s="2" t="inlineStr">
        <is>
          <t>這些頁面幾乎抓不到文字,通常是掃描件或純圖表,建議人手翻閱或另行 OCR。</t>
        </is>
      </c>
    </row>
    <row r="21">
      <c r="A21" s="7" t="inlineStr">
        <is>
          <t>PDF 頁碼</t>
        </is>
      </c>
      <c r="B21" s="7" t="inlineStr">
        <is>
          <t>狀態</t>
        </is>
      </c>
    </row>
    <row r="22">
      <c r="A22" s="8" t="n">
        <v>1</v>
      </c>
      <c r="B22" s="8" t="inlineStr">
        <is>
          <t>文字量過低 — 可能為掃描頁/圖表頁</t>
        </is>
      </c>
    </row>
    <row r="23">
      <c r="A23" s="8" t="n">
        <v>304</v>
      </c>
      <c r="B23"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2026-08-30T14:15:36Z</dcterms:created>
  <dcterms:modified xsi:type="dcterms:W3CDTF">2026-08-30T14:15:36Z</dcterms:modified>
</cp:coreProperties>
</file>
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01536_YUK_WING_GP_20260730.pdf</t>
        </is>
      </c>
    </row>
    <row r="5">
      <c r="A5" s="3" t="inlineStr">
        <is>
          <t>產生時間 Generated</t>
        </is>
      </c>
      <c r="B5" s="4" t="inlineStr">
        <is>
          <t>2026-08-30 22:15</t>
        </is>
      </c>
    </row>
    <row r="6">
      <c r="A6" s="4" t="inlineStr"/>
      <c r="B6" s="4" t="inlineStr"/>
    </row>
    <row r="7">
      <c r="A7" s="3" t="inlineStr">
        <is>
          <t>總頁數 Total pages</t>
        </is>
      </c>
      <c r="B7" s="4" t="n">
        <v>154</v>
      </c>
    </row>
    <row r="8">
      <c r="A8" s="3" t="inlineStr">
        <is>
          <t>已擷取字元 Characters extracted</t>
        </is>
      </c>
      <c r="B8" s="4" t="n">
        <v>308160</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2</v>
      </c>
    </row>
    <row r="13">
      <c r="A13" s="3" t="inlineStr">
        <is>
          <t>財務科目擷取筆數 Financial line items</t>
        </is>
      </c>
      <c r="B13" s="4" t="n">
        <v>10</v>
      </c>
    </row>
    <row r="14">
      <c r="A14" s="3" t="inlineStr">
        <is>
          <t>主題段落擷取筆數 Topic extracts</t>
        </is>
      </c>
      <c r="B14" s="4" t="n">
        <v>55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172,379 − 59,919 = 112,460</t>
        </is>
      </c>
    </row>
    <row r="20">
      <c r="A20" s="6" t="inlineStr">
        <is>
          <t>✓ 三大報表應相鄰</t>
        </is>
      </c>
      <c r="B20" s="4" t="inlineStr">
        <is>
          <t>Income Statement: p.66、Balance Sheet: p.58、Cash Flow: p.61(相距 8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7.5</v>
      </c>
      <c r="D5" s="10" t="n">
        <v>7.5</v>
      </c>
      <c r="E5" s="11" t="inlineStr">
        <is>
          <t>7.5%</t>
        </is>
      </c>
      <c r="F5" s="11" t="inlineStr">
        <is>
          <t>High</t>
        </is>
      </c>
      <c r="G5" s="11" t="inlineStr">
        <is>
          <t>PDF p.7</t>
        </is>
      </c>
      <c r="H5" s="11" t="inlineStr">
        <is>
          <t>動及可施工項目數量 expected demand for our products. 減少，使得對我們產品的需求低於預期。 Gross Profit and Gross Profit Margin 毛利及毛利率 Gross profit decreased 7.5% to HK$40.5 million, though gross margin 毛利減少7.5% 至40.5 百萬港元，但由於產 slightly increased to 22.7% (2025: 20.2%) due to product mi</t>
        </is>
      </c>
    </row>
    <row r="6">
      <c r="A6" s="8" t="inlineStr">
        <is>
          <t>Gross Margin</t>
        </is>
      </c>
      <c r="B6" s="8" t="inlineStr">
        <is>
          <t>毛利率</t>
        </is>
      </c>
      <c r="C6" s="9" t="n">
        <v>22.7</v>
      </c>
      <c r="D6" s="10" t="n">
        <v>22.7</v>
      </c>
      <c r="E6" s="11" t="inlineStr">
        <is>
          <t>22.7%</t>
        </is>
      </c>
      <c r="F6" s="11" t="inlineStr">
        <is>
          <t>High</t>
        </is>
      </c>
      <c r="G6" s="11" t="inlineStr">
        <is>
          <t>PDF p.7</t>
        </is>
      </c>
      <c r="H6" s="11" t="inlineStr">
        <is>
          <t>slightly increased to 22.7% (2025: 20.2%) due to product mix changes 品組合變化及定價策略，毛利率輕微增加至 and pricing strategy. 22.7%（二零二五年：20.2%）。 6 Yuk Wing Group Holdings Limited ANNUAL REPORT 2025/26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Balance Sheet</t>
        </is>
      </c>
      <c r="B5" s="8" t="inlineStr">
        <is>
          <t>Property Plant and Equipment</t>
        </is>
      </c>
      <c r="C5" s="12" t="n">
        <v>19576</v>
      </c>
      <c r="D5" s="13" t="n">
        <v>11979</v>
      </c>
      <c r="E5" s="14">
        <f>IF(ISERROR((C5-D5)/ABS(D5)),"",(C5-D5)/ABS(D5))</f>
        <v>0.634193171383254</v>
      </c>
      <c r="F5" s="11" t="inlineStr">
        <is>
          <t>PDF p.58 (印刷頁 57)</t>
        </is>
      </c>
      <c r="G5" s="11" t="inlineStr">
        <is>
          <t>Property, plant and equipment 物業、廠房及設備 14 19,576 11,979</t>
        </is>
      </c>
    </row>
    <row r="6">
      <c r="A6" s="8" t="inlineStr">
        <is>
          <t>Balance Sheet</t>
        </is>
      </c>
      <c r="B6" s="8" t="inlineStr">
        <is>
          <t>Inventories</t>
        </is>
      </c>
      <c r="C6" s="12" t="n">
        <v>52970</v>
      </c>
      <c r="D6" s="13" t="n">
        <v>49471</v>
      </c>
      <c r="E6" s="14">
        <f>IF(ISERROR((C6-D6)/ABS(D6)),"",(C6-D6)/ABS(D6))</f>
        <v>0.07072830547189263</v>
      </c>
      <c r="F6" s="11" t="inlineStr">
        <is>
          <t>PDF p.58 (印刷頁 57)</t>
        </is>
      </c>
      <c r="G6" s="11" t="inlineStr">
        <is>
          <t>Inventories 存貨 16 52,970 49,471</t>
        </is>
      </c>
    </row>
    <row r="7">
      <c r="A7" s="8" t="inlineStr">
        <is>
          <t>Balance Sheet</t>
        </is>
      </c>
      <c r="B7" s="8" t="inlineStr">
        <is>
          <t>Trade Receivables</t>
        </is>
      </c>
      <c r="C7" s="12" t="n">
        <v>67953</v>
      </c>
      <c r="D7" s="13" t="n">
        <v>66611</v>
      </c>
      <c r="E7" s="14">
        <f>IF(ISERROR((C7-D7)/ABS(D7)),"",(C7-D7)/ABS(D7))</f>
        <v>0.020146822596868386</v>
      </c>
      <c r="F7" s="11" t="inlineStr">
        <is>
          <t>PDF p.58 (印刷頁 57)</t>
        </is>
      </c>
      <c r="G7" s="11" t="inlineStr">
        <is>
          <t>Trade and other receivables 貿易及其他應收款項 17 67,953 66,611</t>
        </is>
      </c>
    </row>
    <row r="8">
      <c r="A8" s="8" t="inlineStr">
        <is>
          <t>Balance Sheet</t>
        </is>
      </c>
      <c r="B8" s="8" t="inlineStr">
        <is>
          <t>Total Equity</t>
        </is>
      </c>
      <c r="C8" s="12" t="n">
        <v>144731</v>
      </c>
      <c r="D8" s="13" t="n">
        <v>144567</v>
      </c>
      <c r="E8" s="14">
        <f>IF(ISERROR((C8-D8)/ABS(D8)),"",(C8-D8)/ABS(D8))</f>
        <v>0.0011344221018628042</v>
      </c>
      <c r="F8" s="11" t="inlineStr">
        <is>
          <t>PDF p.59</t>
        </is>
      </c>
      <c r="G8" s="11" t="inlineStr">
        <is>
          <t>Total equity 總權益 144,731 144,567</t>
        </is>
      </c>
    </row>
    <row r="9">
      <c r="A9" s="8" t="inlineStr">
        <is>
          <t>Balance Sheet</t>
        </is>
      </c>
      <c r="B9" s="8" t="inlineStr">
        <is>
          <t>Total Current Assets</t>
        </is>
      </c>
      <c r="C9" s="12" t="n">
        <v>172379</v>
      </c>
      <c r="D9" s="13" t="n">
        <v>185678</v>
      </c>
      <c r="E9" s="14">
        <f>IF(ISERROR((C9-D9)/ABS(D9)),"",(C9-D9)/ABS(D9))</f>
        <v>-0.07162399422656426</v>
      </c>
      <c r="F9" s="11" t="inlineStr">
        <is>
          <t>PDF p.58 (印刷頁 57)</t>
        </is>
      </c>
      <c r="G9" s="11" t="inlineStr">
        <is>
          <t>[current assets 區段小計] 172,379 185,678</t>
        </is>
      </c>
    </row>
    <row r="10">
      <c r="A10" s="8" t="inlineStr">
        <is>
          <t>Balance Sheet</t>
        </is>
      </c>
      <c r="B10" s="8" t="inlineStr">
        <is>
          <t>Total Current Liabilities</t>
        </is>
      </c>
      <c r="C10" s="12" t="n">
        <v>59919</v>
      </c>
      <c r="D10" s="13" t="n">
        <v>55606</v>
      </c>
      <c r="E10" s="14">
        <f>IF(ISERROR((C10-D10)/ABS(D10)),"",(C10-D10)/ABS(D10))</f>
        <v>0.07756357227637305</v>
      </c>
      <c r="F10" s="11" t="inlineStr">
        <is>
          <t>PDF p.58 (印刷頁 57)</t>
        </is>
      </c>
      <c r="G10" s="11" t="inlineStr">
        <is>
          <t>[current liabilities 區段小計] 59,919 55,606</t>
        </is>
      </c>
    </row>
    <row r="11">
      <c r="A11" s="8" t="inlineStr">
        <is>
          <t>Cash Flow</t>
        </is>
      </c>
      <c r="B11" s="8" t="inlineStr">
        <is>
          <t>Operating Cash Flow</t>
        </is>
      </c>
      <c r="C11" s="12" t="n">
        <v>-4499</v>
      </c>
      <c r="D11" s="13" t="n">
        <v>11454</v>
      </c>
      <c r="E11" s="14">
        <f>IF(ISERROR((C11-D11)/ABS(D11)),"",(C11-D11)/ABS(D11))</f>
        <v>-1.392788545486293</v>
      </c>
      <c r="F11" s="11" t="inlineStr">
        <is>
          <t>PDF p.61</t>
        </is>
      </c>
      <c r="G11" s="11" t="inlineStr">
        <is>
          <t>Net cash (used in) from operating activities 經營活動（所用） 所得現金淨額 (4,499) 11,454</t>
        </is>
      </c>
    </row>
    <row r="12">
      <c r="A12" s="8" t="inlineStr">
        <is>
          <t>Cash Flow</t>
        </is>
      </c>
      <c r="B12" s="8" t="inlineStr">
        <is>
          <t>Capital Expenditure</t>
        </is>
      </c>
      <c r="C12" s="12" t="n">
        <v>-10572</v>
      </c>
      <c r="D12" s="13" t="n">
        <v>-9454</v>
      </c>
      <c r="E12" s="14">
        <f>IF(ISERROR((C12-D12)/ABS(D12)),"",(C12-D12)/ABS(D12))</f>
        <v>-0.1182568225089909</v>
      </c>
      <c r="F12" s="11" t="inlineStr">
        <is>
          <t>PDF p.62 (印刷頁 61)</t>
        </is>
      </c>
      <c r="G12" s="11" t="inlineStr">
        <is>
          <t>Purchase of property, plant and equipment 購買物業、廠房及設備 (10,572) (9,454)</t>
        </is>
      </c>
    </row>
    <row r="13">
      <c r="A13" s="8" t="inlineStr">
        <is>
          <t>Cash Flow</t>
        </is>
      </c>
      <c r="B13" s="8" t="inlineStr">
        <is>
          <t>Investing Cash Flow</t>
        </is>
      </c>
      <c r="C13" s="12" t="n">
        <v>-8751</v>
      </c>
      <c r="D13" s="13" t="n">
        <v>-6254</v>
      </c>
      <c r="E13" s="14">
        <f>IF(ISERROR((C13-D13)/ABS(D13)),"",(C13-D13)/ABS(D13))</f>
        <v>-0.39926447073872723</v>
      </c>
      <c r="F13" s="11" t="inlineStr">
        <is>
          <t>PDF p.62 (印刷頁 61)</t>
        </is>
      </c>
      <c r="G13" s="11" t="inlineStr">
        <is>
          <t>Net cash used in investing activities 投資活動所用現金淨額 (8,751) (6,254)</t>
        </is>
      </c>
    </row>
    <row r="14">
      <c r="A14" s="8" t="inlineStr">
        <is>
          <t>Cash Flow</t>
        </is>
      </c>
      <c r="B14" s="8" t="inlineStr">
        <is>
          <t>Financing Cash Flow</t>
        </is>
      </c>
      <c r="C14" s="12" t="n">
        <v>-9867</v>
      </c>
      <c r="D14" s="13" t="n">
        <v>-7487</v>
      </c>
      <c r="E14" s="14">
        <f>IF(ISERROR((C14-D14)/ABS(D14)),"",(C14-D14)/ABS(D14))</f>
        <v>-0.3178843328435956</v>
      </c>
      <c r="F14" s="11" t="inlineStr">
        <is>
          <t>PDF p.62 (印刷頁 61)</t>
        </is>
      </c>
      <c r="G14" s="11" t="inlineStr">
        <is>
          <t>Net cash used in financing activities 融資活動所用現金淨額 (9,867) (7,487)</t>
        </is>
      </c>
    </row>
    <row r="16">
      <c r="A1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財務數據'!$C$5:$C$14,MATCH("Gross Profit",'Financials 財務數據'!$B$5:$B$14,0))/INDEX('Financials 財務數據'!$C$5:$C$14,MATCH("Revenue",'Financials 財務數據'!$B$5:$B$14,0))),"n/a",INDEX('Financials 財務數據'!$C$5:$C$14,MATCH("Gross Profit",'Financials 財務數據'!$B$5:$B$14,0))/INDEX('Financials 財務數據'!$C$5:$C$14,MATCH("Revenue",'Financials 財務數據'!$B$5:$B$14,0)))</f>
        <v>n/a</v>
      </c>
      <c r="C5" s="15" t="str">
        <f>IF(ISERROR(INDEX('Financials 財務數據'!$D$5:$D$14,MATCH("Gross Profit",'Financials 財務數據'!$B$5:$B$14,0))/INDEX('Financials 財務數據'!$D$5:$D$14,MATCH("Revenue",'Financials 財務數據'!$B$5:$B$14,0))),"n/a",INDEX('Financials 財務數據'!$D$5:$D$14,MATCH("Gross Profit",'Financials 財務數據'!$B$5:$B$14,0))/INDEX('Financials 財務數據'!$D$5:$D$14,MATCH("Revenue",'Financials 財務數據'!$B$5:$B$14,0)))</f>
        <v>n/a</v>
      </c>
      <c r="D5" s="2" t="inlineStr">
        <is>
          <t>毛利 ÷ 收入</t>
        </is>
      </c>
    </row>
    <row r="6">
      <c r="A6" s="4" t="inlineStr">
        <is>
          <t>Net Margin 淨利率</t>
        </is>
      </c>
      <c r="B6" s="15" t="str">
        <f>IF(ISERROR(INDEX('Financials 財務數據'!$C$5:$C$14,MATCH("Profit for the Year",'Financials 財務數據'!$B$5:$B$14,0))/INDEX('Financials 財務數據'!$C$5:$C$14,MATCH("Revenue",'Financials 財務數據'!$B$5:$B$14,0))),"n/a",INDEX('Financials 財務數據'!$C$5:$C$14,MATCH("Profit for the Year",'Financials 財務數據'!$B$5:$B$14,0))/INDEX('Financials 財務數據'!$C$5:$C$14,MATCH("Revenue",'Financials 財務數據'!$B$5:$B$14,0)))</f>
        <v>n/a</v>
      </c>
      <c r="C6" s="15" t="str">
        <f>IF(ISERROR(INDEX('Financials 財務數據'!$D$5:$D$14,MATCH("Profit for the Year",'Financials 財務數據'!$B$5:$B$14,0))/INDEX('Financials 財務數據'!$D$5:$D$14,MATCH("Revenue",'Financials 財務數據'!$B$5:$B$14,0))),"n/a",INDEX('Financials 財務數據'!$D$5:$D$14,MATCH("Profit for the Year",'Financials 財務數據'!$B$5:$B$14,0))/INDEX('Financials 財務數據'!$D$5:$D$14,MATCH("Revenue",'Financials 財務數據'!$B$5:$B$14,0)))</f>
        <v>n/a</v>
      </c>
      <c r="D6" s="2" t="inlineStr">
        <is>
          <t>年內溢利 ÷ 收入</t>
        </is>
      </c>
    </row>
    <row r="7">
      <c r="A7" s="4" t="inlineStr">
        <is>
          <t>Current Ratio 流動比率</t>
        </is>
      </c>
      <c r="B7" s="16">
        <f>IF(ISERROR(INDEX('Financials 財務數據'!$C$5:$C$14,MATCH("Total Current Assets",'Financials 財務數據'!$B$5:$B$14,0))/INDEX('Financials 財務數據'!$C$5:$C$14,MATCH("Total Current Liabilities",'Financials 財務數據'!$B$5:$B$14,0))),"n/a",INDEX('Financials 財務數據'!$C$5:$C$14,MATCH("Total Current Assets",'Financials 財務數據'!$B$5:$B$14,0))/INDEX('Financials 財務數據'!$C$5:$C$14,MATCH("Total Current Liabilities",'Financials 財務數據'!$B$5:$B$14,0)))</f>
        <v>2.8768671039236304</v>
      </c>
      <c r="C7" s="16">
        <f>IF(ISERROR(INDEX('Financials 財務數據'!$D$5:$D$14,MATCH("Total Current Assets",'Financials 財務數據'!$B$5:$B$14,0))/INDEX('Financials 財務數據'!$D$5:$D$14,MATCH("Total Current Liabilities",'Financials 財務數據'!$B$5:$B$14,0))),"n/a",INDEX('Financials 財務數據'!$D$5:$D$14,MATCH("Total Current Assets",'Financials 財務數據'!$B$5:$B$14,0))/INDEX('Financials 財務數據'!$D$5:$D$14,MATCH("Total Current Liabilities",'Financials 財務數據'!$B$5:$B$14,0)))</f>
        <v>3.33917203179513</v>
      </c>
      <c r="D7" s="2" t="inlineStr">
        <is>
          <t>流動資產 ÷ 流動負債</t>
        </is>
      </c>
    </row>
    <row r="8">
      <c r="A8" s="4" t="inlineStr">
        <is>
          <t>Debt / Equity 負債權益比</t>
        </is>
      </c>
      <c r="B8" s="16" t="str">
        <f>IF(ISERROR(INDEX('Financials 財務數據'!$C$5:$C$14,MATCH("Total Liabilities",'Financials 財務數據'!$B$5:$B$14,0))/INDEX('Financials 財務數據'!$C$5:$C$14,MATCH("Total Equity",'Financials 財務數據'!$B$5:$B$14,0))),"n/a",INDEX('Financials 財務數據'!$C$5:$C$14,MATCH("Total Liabilities",'Financials 財務數據'!$B$5:$B$14,0))/INDEX('Financials 財務數據'!$C$5:$C$14,MATCH("Total Equity",'Financials 財務數據'!$B$5:$B$14,0)))</f>
        <v>n/a</v>
      </c>
      <c r="C8" s="16" t="str">
        <f>IF(ISERROR(INDEX('Financials 財務數據'!$D$5:$D$14,MATCH("Total Liabilities",'Financials 財務數據'!$B$5:$B$14,0))/INDEX('Financials 財務數據'!$D$5:$D$14,MATCH("Total Equity",'Financials 財務數據'!$B$5:$B$14,0))),"n/a",INDEX('Financials 財務數據'!$D$5:$D$14,MATCH("Total Liabilities",'Financials 財務數據'!$B$5:$B$14,0))/INDEX('Financials 財務數據'!$D$5:$D$14,MATCH("Total Equity",'Financials 財務數據'!$B$5:$B$14,0)))</f>
        <v>n/a</v>
      </c>
      <c r="D8" s="2" t="inlineStr">
        <is>
          <t>總負債 ÷ 總權益</t>
        </is>
      </c>
    </row>
    <row r="9">
      <c r="A9" s="4" t="inlineStr">
        <is>
          <t>Goodwill / Total Assets</t>
        </is>
      </c>
      <c r="B9" s="15" t="str">
        <f>IF(ISERROR(INDEX('Financials 財務數據'!$C$5:$C$14,MATCH("Goodwill",'Financials 財務數據'!$B$5:$B$14,0))/INDEX('Financials 財務數據'!$C$5:$C$14,MATCH("Total Assets",'Financials 財務數據'!$B$5:$B$14,0))),"n/a",INDEX('Financials 財務數據'!$C$5:$C$14,MATCH("Goodwill",'Financials 財務數據'!$B$5:$B$14,0))/INDEX('Financials 財務數據'!$C$5:$C$14,MATCH("Total Assets",'Financials 財務數據'!$B$5:$B$14,0)))</f>
        <v>n/a</v>
      </c>
      <c r="C9" s="15" t="str">
        <f>IF(ISERROR(INDEX('Financials 財務數據'!$D$5:$D$14,MATCH("Goodwill",'Financials 財務數據'!$B$5:$B$14,0))/INDEX('Financials 財務數據'!$D$5:$D$14,MATCH("Total Assets",'Financials 財務數據'!$B$5:$B$14,0))),"n/a",INDEX('Financials 財務數據'!$D$5:$D$14,MATCH("Goodwill",'Financials 財務數據'!$B$5:$B$14,0))/INDEX('Financials 財務數據'!$D$5:$D$14,MATCH("Total Assets",'Financials 財務數據'!$B$5:$B$14,0)))</f>
        <v>n/a</v>
      </c>
      <c r="D9" s="2" t="inlineStr">
        <is>
          <t>商譽佔總資產比重 — 減值風險指標</t>
        </is>
      </c>
    </row>
    <row r="10">
      <c r="A10" s="4" t="inlineStr">
        <is>
          <t>Intangibles / Total Assets</t>
        </is>
      </c>
      <c r="B10" s="15" t="str">
        <f>IF(ISERROR(INDEX('Financials 財務數據'!$C$5:$C$14,MATCH("Intangible Assets",'Financials 財務數據'!$B$5:$B$14,0))/INDEX('Financials 財務數據'!$C$5:$C$14,MATCH("Total Assets",'Financials 財務數據'!$B$5:$B$14,0))),"n/a",INDEX('Financials 財務數據'!$C$5:$C$14,MATCH("Intangible Assets",'Financials 財務數據'!$B$5:$B$14,0))/INDEX('Financials 財務數據'!$C$5:$C$14,MATCH("Total Assets",'Financials 財務數據'!$B$5:$B$14,0)))</f>
        <v>n/a</v>
      </c>
      <c r="C10" s="15" t="str">
        <f>IF(ISERROR(INDEX('Financials 財務數據'!$D$5:$D$14,MATCH("Intangible Assets",'Financials 財務數據'!$B$5:$B$14,0))/INDEX('Financials 財務數據'!$D$5:$D$14,MATCH("Total Assets",'Financials 財務數據'!$B$5:$B$14,0))),"n/a",INDEX('Financials 財務數據'!$D$5:$D$14,MATCH("Intangible Assets",'Financials 財務數據'!$B$5:$B$14,0))/INDEX('Financials 財務數據'!$D$5:$D$14,MATCH("Total Assets",'Financials 財務數據'!$B$5:$B$14,0)))</f>
        <v>n/a</v>
      </c>
      <c r="D10" s="2" t="inlineStr">
        <is>
          <t>無形資產佔比</t>
        </is>
      </c>
    </row>
    <row r="11">
      <c r="A11" s="4" t="inlineStr">
        <is>
          <t>ROE 股本回報率</t>
        </is>
      </c>
      <c r="B11" s="15" t="str">
        <f>IF(ISERROR(INDEX('Financials 財務數據'!$C$5:$C$14,MATCH("Profit for the Year",'Financials 財務數據'!$B$5:$B$14,0))/INDEX('Financials 財務數據'!$C$5:$C$14,MATCH("Total Equity",'Financials 財務數據'!$B$5:$B$14,0))),"n/a",INDEX('Financials 財務數據'!$C$5:$C$14,MATCH("Profit for the Year",'Financials 財務數據'!$B$5:$B$14,0))/INDEX('Financials 財務數據'!$C$5:$C$14,MATCH("Total Equity",'Financials 財務數據'!$B$5:$B$14,0)))</f>
        <v>n/a</v>
      </c>
      <c r="C11" s="15" t="str">
        <f>IF(ISERROR(INDEX('Financials 財務數據'!$D$5:$D$14,MATCH("Profit for the Year",'Financials 財務數據'!$B$5:$B$14,0))/INDEX('Financials 財務數據'!$D$5:$D$14,MATCH("Total Equity",'Financials 財務數據'!$B$5:$B$14,0))),"n/a",INDEX('Financials 財務數據'!$D$5:$D$14,MATCH("Profit for the Year",'Financials 財務數據'!$B$5:$B$14,0))/INDEX('Financials 財務數據'!$D$5:$D$14,MATCH("Total Equity",'Financials 財務數據'!$B$5:$B$14,0)))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Total Equity</t>
        </is>
      </c>
      <c r="B5" s="18" t="n">
        <v>144567</v>
      </c>
      <c r="C5" s="18" t="n">
        <v>144731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p.67</t>
        </is>
      </c>
      <c r="F4" s="11" t="inlineStr">
        <is>
          <t>e measurement date, regardless of 取的價格或轉讓負債時將支付的 whether that price is directly observable or estimated using 價格，而不論該價格是否可直接 another valuation technique. In estimating the fair value 觀察所得或採用其他估值技術估 of an asset or a liability, the Group takes into account the 計得出。於估計資產或負債的公 characteristics of the asset or liability if market participants 平值時，本集團計及市場參與者 would take those characteristics into account when pricing 於計量日期就資產或負債進行定 the asset or liability at the measurement date. Fair value 價時將會考慮的資產或負債特徵。 for measurement and/or disclos</t>
        </is>
      </c>
    </row>
    <row r="5">
      <c r="A5" s="8" t="inlineStr">
        <is>
          <t>Fair Value Measurement</t>
        </is>
      </c>
      <c r="B5" s="8" t="inlineStr">
        <is>
          <t>公允價值計量</t>
        </is>
      </c>
      <c r="C5" s="19" t="inlineStr">
        <is>
          <t>high</t>
        </is>
      </c>
      <c r="D5" s="11" t="inlineStr">
        <is>
          <t>level 1</t>
        </is>
      </c>
      <c r="E5" s="11" t="inlineStr">
        <is>
          <t>PDF p.68 (印刷頁 67)</t>
        </is>
      </c>
      <c r="F5" s="11" t="inlineStr">
        <is>
          <t>tion 估值技術結果等同交易價格。 price. In addition, for financial reporting purposes, fair value 此外，就財務申報而言，公平值 measurements are categorised into Level 1, 2 or 3 based on 計量按公平值計量的參數的可觀 the degree to which the inputs to the fair value measurements 察程度及參數對公平值計量整體 are observable and the significance of the inputs to the fair 的重要性劃分為第一、二或三級， value measurement in its entirety, which are described as 詳述如下： follows: • Level 1 inputs are quoted prices (unadjusted) in active • 第一級參數為實體於計量日 markets for identical assets or liabilities that the entity</t>
        </is>
      </c>
    </row>
    <row r="6">
      <c r="A6" s="8" t="inlineStr">
        <is>
          <t>Fair Value Measurement</t>
        </is>
      </c>
      <c r="B6" s="8" t="inlineStr">
        <is>
          <t>公允價值計量</t>
        </is>
      </c>
      <c r="C6" s="19" t="inlineStr">
        <is>
          <t>high</t>
        </is>
      </c>
      <c r="D6" s="11" t="inlineStr">
        <is>
          <t>level 1</t>
        </is>
      </c>
      <c r="E6" s="11" t="inlineStr">
        <is>
          <t>PDF p.144 (印刷頁 143)</t>
        </is>
      </c>
      <c r="F6" s="11" t="inlineStr">
        <is>
          <t>lue technique HK$’000 HK$’000 hierarchy and key input 公平值 估值技術及 千港元 千港元 等級制度 主要參數 Financial asset at FVTPL 透過損益按公平值入賬之 30,662 27,288 Level 1 Quoted bid prices — Equity securities listed 金融資產 — 於聯交所上市 第一級 in an active market. on the Stock Exchange 的股權證券 於活躍市場所報 投標價。 There were no transfers between Level 1, 2 and 3 during the year. 第一、第二及第三級之間於本年度概無 轉換。 煜榮集團控股有限公司 143 2025/26年報</t>
        </is>
      </c>
    </row>
    <row r="7">
      <c r="A7" s="8" t="inlineStr">
        <is>
          <t>Impairment Testing</t>
        </is>
      </c>
      <c r="B7" s="8" t="inlineStr">
        <is>
          <t>減值測試</t>
        </is>
      </c>
      <c r="C7" s="19" t="inlineStr">
        <is>
          <t>high</t>
        </is>
      </c>
      <c r="D7" s="11" t="inlineStr">
        <is>
          <t>impairment loss</t>
        </is>
      </c>
      <c r="E7" s="11" t="inlineStr">
        <is>
          <t>PDF p.6 (印刷頁 5)</t>
        </is>
      </c>
      <c r="F7" s="11" t="inlineStr">
        <is>
          <t>es of 約3.0百萬港元），及貿易應收款項減值虧損 approximately HK$1.4 million (2025: approximately HK$3.0 million), and 撥回約0.8百萬港元（二零二五年：貿易應收 reversal of impairment loss of trade receivables of approximately HK$0.8 款項減值虧損約5.9百萬港元）。上述影響令 million (2025: impairment loss of trade receivable approximately HK$5.9 本年度虧損狀況有所改善，本年度虧損約4.1 million) during the Year. The effects as mentioned above have resulted 百萬港元，而截至二零二五年三月三十一日 in a decrease in the loss position during the Year, where the loss for 止年度則虧損約12.2百萬港元。 the Year is approximately HK$4.1 million, as</t>
        </is>
      </c>
    </row>
    <row r="8">
      <c r="A8" s="8" t="inlineStr">
        <is>
          <t>Impairment Testing</t>
        </is>
      </c>
      <c r="B8" s="8" t="inlineStr">
        <is>
          <t>減值測試</t>
        </is>
      </c>
      <c r="C8" s="19" t="inlineStr">
        <is>
          <t>high</t>
        </is>
      </c>
      <c r="D8" s="11" t="inlineStr">
        <is>
          <t>impairment loss</t>
        </is>
      </c>
      <c r="E8" s="11" t="inlineStr">
        <is>
          <t>PDF p.57</t>
        </is>
      </c>
      <c r="F8" s="11" t="inlineStr">
        <is>
          <t>217,074 Cost of sales 銷售成本 (137,723) (173,248) Gross profit 毛利 40,486 43,826 Other income 其他收入 6 3,137 2,488 Reversal (provision) of impairment losses on 預期信貸虧損模式項下的貿易 trade receivables under expected credit 應收款項減值虧損撥回（撥備） loss model, net 淨額 836 (5,905) Other gains and losses 其他收益及虧損 7 1,816 5,323 Selling and distribution expenses 銷售及分銷開支 (9,998) (11,372) Administrative expenses 行政開支 (38,241) (45,287) Finance costs 融資成本 8 (297) (1,022) Loss before tax 除稅前虧損 9 (2,261) (11,949) Taxation charge 稅項支出 10 (1,861) (255) Loss for the y</t>
        </is>
      </c>
    </row>
    <row r="9">
      <c r="A9" s="8" t="inlineStr">
        <is>
          <t>Impairment Testing</t>
        </is>
      </c>
      <c r="B9" s="8" t="inlineStr">
        <is>
          <t>減值測試</t>
        </is>
      </c>
      <c r="C9" s="19" t="inlineStr">
        <is>
          <t>high</t>
        </is>
      </c>
      <c r="D9" s="11" t="inlineStr">
        <is>
          <t>impairment loss</t>
        </is>
      </c>
      <c r="E9" s="11" t="inlineStr">
        <is>
          <t>PDF p.61</t>
        </is>
      </c>
      <c r="F9" s="11" t="inlineStr">
        <is>
          <t>0 HK$’000 千港元 千港元 Operating activities 經營活動 Loss before tax 除稅前虧損 (2,261) (11,949) Adjustments for: 就以下各項調整： (Reversal) provision of impairment losses 預期信貸虧損模式項下的貿易 on trade receivables under expected 應收款項減值虧損 credit loss model, net （撥回）撥備淨額 (836) 5,905 Write down of inventories 存貨撇減 1,445 3,025 Depreciation of property, plant and equipment 物業、廠房及設備折舊 3,848 1,736 Depreciation of right-of-use assets 使用權資產折舊 2,636 2,876 Gain on disposal of property, plant and equipment 出售物業、廠房及設備收益 – (945) Gain on fair value changes of financial</t>
        </is>
      </c>
    </row>
    <row r="10">
      <c r="A10" s="8" t="inlineStr">
        <is>
          <t>Impairment Testing</t>
        </is>
      </c>
      <c r="B10" s="8" t="inlineStr">
        <is>
          <t>減值測試</t>
        </is>
      </c>
      <c r="C10" s="19" t="inlineStr">
        <is>
          <t>high</t>
        </is>
      </c>
      <c r="D10" s="11" t="inlineStr">
        <is>
          <t>使用價值</t>
        </is>
      </c>
      <c r="E10" s="11" t="inlineStr">
        <is>
          <t>PDF p.67</t>
        </is>
      </c>
      <c r="F10" s="11" t="inlineStr">
        <is>
          <t>nventories” or value 入賬的租賃交易及與公平值類似 in use in HKAS 36 “Impairment of Assets”. 但並非公平值的計量（例如，香港 會計準則第2號「存貨」中的可變 現淨值或香港會計準則第36號「資 產減值」中的使用價值）除外。 66 Yuk Wing Group Holdings Limited ANNUAL REPORT 2025/26</t>
        </is>
      </c>
    </row>
    <row r="11">
      <c r="A11" s="8" t="inlineStr">
        <is>
          <t>Impairment Testing</t>
        </is>
      </c>
      <c r="B11" s="8" t="inlineStr">
        <is>
          <t>減值測試</t>
        </is>
      </c>
      <c r="C11" s="19" t="inlineStr">
        <is>
          <t>high</t>
        </is>
      </c>
      <c r="D11" s="11" t="inlineStr">
        <is>
          <t>impairment loss</t>
        </is>
      </c>
      <c r="E11" s="11" t="inlineStr">
        <is>
          <t>PDF p.72 (印刷頁 71)</t>
        </is>
      </c>
      <c r="F11" s="11" t="inlineStr">
        <is>
          <t>生的估 and conditions of the lease. 計成本。 Right-of-use assets are measured at cost, less any 使用權資產按成本計量，減任何 accumulated depreciation and impairment losses, and 累計折舊及減值虧損，並就租賃 adjusted for any remeasurement of lease liabilities. 負債的任何重新計量作出調整。 Right-of-use assets are depreciated on a straight-line basis 使用權資產於其估計可使用年期 over the shorter of its estimated useful life and the lease term. 及租期（以較短者為準）內按直線 法計提折舊。 The Group presents right-of-use assets as a separate line 本集團於綜合財務狀況表內將使 item on the consolidated statement of financial position</t>
        </is>
      </c>
    </row>
    <row r="12">
      <c r="A12" s="8" t="inlineStr">
        <is>
          <t>Impairment Testing</t>
        </is>
      </c>
      <c r="B12" s="8" t="inlineStr">
        <is>
          <t>減值測試</t>
        </is>
      </c>
      <c r="C12" s="19" t="inlineStr">
        <is>
          <t>high</t>
        </is>
      </c>
      <c r="D12" s="11" t="inlineStr">
        <is>
          <t>impairment loss</t>
        </is>
      </c>
      <c r="E12" s="11" t="inlineStr">
        <is>
          <t>PDF p.75</t>
        </is>
      </c>
      <c r="F12" s="11" t="inlineStr">
        <is>
          <t>ment of financial position 設備於綜合財務狀況表按成本減 at cost less subsequent accumulated depreciation and 其後累計折舊及其後累計減值虧 subsequent accumulated impairment losses, if any. 損（如有）列賬。 Depreciation is recognised so as to write off the cost of 折舊採用直線法，以在資產的估 assets over their estimated useful lives less their residual 計可使用年期內撇銷其成本減剩 values, using the straight-line method. The estimated useful 餘價值確認。估計可使用年期、 lives, residual values and depreciation method are reviewed 剩餘價值及折舊方法於各報告期 at the end of each reporting period, with the effect of any 末檢討，</t>
        </is>
      </c>
    </row>
    <row r="13">
      <c r="A13" s="8" t="inlineStr">
        <is>
          <t>Impairment Testing</t>
        </is>
      </c>
      <c r="B13" s="8" t="inlineStr">
        <is>
          <t>減值測試</t>
        </is>
      </c>
      <c r="C13" s="19" t="inlineStr">
        <is>
          <t>high</t>
        </is>
      </c>
      <c r="D13" s="11" t="inlineStr">
        <is>
          <t>impairment loss</t>
        </is>
      </c>
      <c r="E13" s="11" t="inlineStr">
        <is>
          <t>PDF p.76 (印刷頁 75)</t>
        </is>
      </c>
      <c r="F13" s="11" t="inlineStr">
        <is>
          <t>房及設備以及使用權資產的賬 and right-of-use assets to determine whether there is any 面值，衡量是否有跡象顯示此等 indication that these assets have suffered an impairment loss. 資產已出現減值虧損。倘出現任 If any such indication exists, the recoverable amount of the 何該等跡象，則會估計相關資產 relevant asset is estimated in order to determine the extent of 的可收回金額，以釐定減值虧損 the impairment loss (if any). （如有）之程度。 The recoverable amounts of property, plant and equipment 本集團會個別估計物業、廠房及 and right-of-use assets are estimated individually. When it is 設備以及使用權資產的可收回金 not possible to estimate</t>
        </is>
      </c>
    </row>
    <row r="14">
      <c r="A14" s="8" t="inlineStr">
        <is>
          <t>Impairment Testing</t>
        </is>
      </c>
      <c r="B14" s="8" t="inlineStr">
        <is>
          <t>減值測試</t>
        </is>
      </c>
      <c r="C14" s="19" t="inlineStr">
        <is>
          <t>high</t>
        </is>
      </c>
      <c r="D14" s="11" t="inlineStr">
        <is>
          <t>impairment loss</t>
        </is>
      </c>
      <c r="E14" s="11" t="inlineStr">
        <is>
          <t>PDF p.77</t>
        </is>
      </c>
      <c r="F14" s="11" t="inlineStr">
        <is>
          <t>nerating units, with the recoverable 部分公司資產的賬面值）與該組現 amount of the group of cash-generating units. In allocating 金產生單位的可收回金額作比較。 the impairment loss, the impairment loss is allocated first to 於分配減值虧損時，首先分配減 reduce the carrying amount of any goodwill (if applicable) 值虧損以減少任何商譽的賬面值 and then to the other assets on a pro-rata basis based on （如適用），其後根據該單位或現 the carrying amount of each asset in the unit or the group 金產生單位組別各資產的賬面值 of cash-generating units. The carrying amount of an asset is 按比例分配至其他資產。資產賬 not reduced below the highes</t>
        </is>
      </c>
    </row>
    <row r="15">
      <c r="A15" s="8" t="inlineStr">
        <is>
          <t>Impairment Testing</t>
        </is>
      </c>
      <c r="B15" s="8" t="inlineStr">
        <is>
          <t>減值測試</t>
        </is>
      </c>
      <c r="C15" s="19" t="inlineStr">
        <is>
          <t>high</t>
        </is>
      </c>
      <c r="D15" s="11" t="inlineStr">
        <is>
          <t>impairment loss</t>
        </is>
      </c>
      <c r="E15" s="11" t="inlineStr">
        <is>
          <t>PDF p.97</t>
        </is>
      </c>
      <c r="F15" s="11" t="inlineStr">
        <is>
          <t>17披露。 As at 31 March 2026, the carrying amount of trade receivables is 於二零二六年三月三十一日，貿易應收 HK$39,153,000 (2025: HK$41,016,000), net of impairment loss of 款項的賬面值為39,153,000港元（二零 HK$14,784,000 (2025: HK$16,051,000). 二五年：41,016,000 港元），已扣除減 值虧損14,784,000港元（二零二五年： 16,051,000港元）。 96 Yuk Wing Group Holdings Limited ANNUAL REPORT 2025/26</t>
        </is>
      </c>
    </row>
    <row r="16">
      <c r="A16" s="8" t="inlineStr">
        <is>
          <t>Impairment Testing</t>
        </is>
      </c>
      <c r="B16" s="8" t="inlineStr">
        <is>
          <t>減值測試</t>
        </is>
      </c>
      <c r="C16" s="19" t="inlineStr">
        <is>
          <t>high</t>
        </is>
      </c>
      <c r="D16" s="11" t="inlineStr">
        <is>
          <t>impairment loss</t>
        </is>
      </c>
      <c r="E16" s="11" t="inlineStr">
        <is>
          <t>PDF p.100 (印刷頁 99)</t>
        </is>
      </c>
      <c r="F16" s="11" t="inlineStr">
        <is>
          <t>73,171 5,038 178,209 Segment result 分部業績 39,332 1,154 40,486 Unallocated expenses 未分配開支 (48,239) Other income 其他收入 3,137 Reversal of impairment losses on 預期信貸虧損（「預期信貸 trade receivables under expected 虧損」）模式項下的貿易應收款 credit loss (“ECL”) model, net 項減值虧損撥回淨額 836 Other gains and losses 其他收益及虧損 1,816 Finance costs 融資成本 (297) Loss before tax 除稅前虧損 (2,261) 煜榮集團控股有限公司 99 2025/26年報</t>
        </is>
      </c>
    </row>
    <row r="17">
      <c r="A17" s="8" t="inlineStr">
        <is>
          <t>Impairment Testing</t>
        </is>
      </c>
      <c r="B17" s="8" t="inlineStr">
        <is>
          <t>減值測試</t>
        </is>
      </c>
      <c r="C17" s="19" t="inlineStr">
        <is>
          <t>high</t>
        </is>
      </c>
      <c r="D17" s="11" t="inlineStr">
        <is>
          <t>impairment loss</t>
        </is>
      </c>
      <c r="E17" s="11" t="inlineStr">
        <is>
          <t>PDF p.101</t>
        </is>
      </c>
      <c r="F17" s="11" t="inlineStr">
        <is>
          <t>2,877 4,197 217,074 Segment result 分部業績 42,766 1,060 43,826 Unallocated expenses 未分配開支 (56,659) Other income 其他收入 2,488 Provision of impairment losses 預期信貸虧損模式項下的 on trade receivables under 貿易應收款項減值 ECL model, net 虧損撥備淨額 (5,905) Other gains and losses 其他收益及虧損 5,323 Finance costs 融資成本 (1,022) Loss before tax 除稅前虧損 (11,949) The accounting policies of the operating segments are the same 經營分部的會計政策與本集團的會計政 as the Group’s accounting policies. Segment result represents the 策相同。分部業績指分配未分配開支（包 profit earned by each segment without alloc</t>
        </is>
      </c>
    </row>
    <row r="18">
      <c r="A18" s="8" t="inlineStr">
        <is>
          <t>Impairment Testing</t>
        </is>
      </c>
      <c r="B18" s="8" t="inlineStr">
        <is>
          <t>減值測試</t>
        </is>
      </c>
      <c r="C18" s="19" t="inlineStr">
        <is>
          <t>high</t>
        </is>
      </c>
      <c r="D18" s="11" t="inlineStr">
        <is>
          <t>impairment loss</t>
        </is>
      </c>
      <c r="E18" s="11" t="inlineStr">
        <is>
          <t>PDF p.116 (印刷頁 115)</t>
        </is>
      </c>
      <c r="F18" s="11" t="inlineStr">
        <is>
          <t>ollowing is an ageing 物後0至90日。以下為於各報告期末基 analysis of trade receivables based on dates of delivery of goods, 於交付貨品日期的貿易應收款項（已扣 net of impairment losses at the end of each reporting period: 除減值虧損）賬齡分析： 2026 2025 二零二六年 二零二五年 HK$’000 HK$’000 千港元 千港元 0 to 30 days 0至30日 15,703 12,816 31 to 90 days 31至90日 16,029 13,645 91 to 180 days 91至180日 2,783 3,906 181 days to 1 year 181日至1年 2,645 4,237 Over 1 year 1年以上 1,993 6,412 39,153 41,016 煜榮集團控股有限公司 115 2025/26年報</t>
        </is>
      </c>
    </row>
    <row r="19">
      <c r="A19" s="8" t="inlineStr">
        <is>
          <t>Impairment Testing</t>
        </is>
      </c>
      <c r="B19" s="8" t="inlineStr">
        <is>
          <t>減值測試</t>
        </is>
      </c>
      <c r="C19" s="19" t="inlineStr">
        <is>
          <t>high</t>
        </is>
      </c>
      <c r="D19" s="11" t="inlineStr">
        <is>
          <t>impairment loss</t>
        </is>
      </c>
      <c r="E19" s="11" t="inlineStr">
        <is>
          <t>PDF p.140 (印刷頁 139)</t>
        </is>
      </c>
      <c r="F19" s="11" t="inlineStr">
        <is>
          <t>2024 於二零二四年四月一日 2,261 7,885 10,146 Changes due to financial instruments 於二零二四年四月一日 recognised as at 1 April 2024: 已確認因金融工具 所產生的變動： — Impairment losses reversed — 撥回減值虧損 (1,520) (2,110) (3,630) — Transfer to credit-impaired — 轉撥至信貸減值 (742) 742 – — Impairment losses recognised — 確認減值虧損 – 5,224 5,224 New financial assets originated 新增源生金融資產 948 3,363 4,311 At 31 March 2025 and 1 April 2025 於二零二五年三月三十一日 及二零二五年四月一日 947 15,104 16,051 Changes due to financial instruments 於二零二五年四月一日 recognised as at 1 April 2025: 已確認因金融工具 所產生的變動： — Imp</t>
        </is>
      </c>
    </row>
    <row r="20">
      <c r="A20" s="8" t="inlineStr">
        <is>
          <t>Intangible Assets &amp; Goodwill</t>
        </is>
      </c>
      <c r="B20" s="8" t="inlineStr">
        <is>
          <t>無形資產及商譽</t>
        </is>
      </c>
      <c r="C20" s="19" t="inlineStr">
        <is>
          <t>high</t>
        </is>
      </c>
      <c r="D20" s="11" t="inlineStr">
        <is>
          <t>useful life</t>
        </is>
      </c>
      <c r="E20" s="11" t="inlineStr">
        <is>
          <t>PDF p.72 (印刷頁 71)</t>
        </is>
      </c>
      <c r="F20" s="11" t="inlineStr">
        <is>
          <t>lities. 負債的任何重新計量作出調整。 Right-of-use assets are depreciated on a straight-line basis 使用權資產於其估計可使用年期 over the shorter of its estimated useful life and the lease term. 及租期（以較短者為準）內按直線 法計提折舊。 The Group presents right-of-use assets as a separate line 本集團於綜合財務狀況表內將使 item on the consolidated statement of financial position. 用權資產呈列為單獨項目。 Refundable rental deposits 可退還租賃按金 Refundable rental deposits paid are accounted under HKFRS 已付可退還租賃按金乃根據香港 9 “Financial Instruments” (“HKFRS 9”) and initially measured 財務報告準則第9號「金融工具」 at fair value. A</t>
        </is>
      </c>
    </row>
    <row r="21">
      <c r="A21" s="8" t="inlineStr">
        <is>
          <t>Intangible Assets &amp; Goodwill</t>
        </is>
      </c>
      <c r="B21" s="8" t="inlineStr">
        <is>
          <t>無形資產及商譽</t>
        </is>
      </c>
      <c r="C21" s="19" t="inlineStr">
        <is>
          <t>high</t>
        </is>
      </c>
      <c r="D21" s="11" t="inlineStr">
        <is>
          <t>可使用年期</t>
        </is>
      </c>
      <c r="E21" s="11" t="inlineStr">
        <is>
          <t>PDF p.75</t>
        </is>
      </c>
      <c r="F21" s="11" t="inlineStr">
        <is>
          <t>preciation is recognised so as to write off the cost of 折舊採用直線法，以在資產的估 assets over their estimated useful lives less their residual 計可使用年期內撇銷其成本減剩 values, using the straight-line method. The estimated useful 餘價值確認。估計可使用年期、 lives, residual values and depreciation method are reviewed 剩餘價值及折舊方法於各報告期 at the end of each reporting period, with the effect of any 末檢討，估計的任何變動影響按 changes in estimate accounted for on a prospective basis. 預先計提基準入賬。 An item of property, plant and equipment is derecognised 物業、廠房及設備項目於出售時 upon disposal or whe</t>
        </is>
      </c>
    </row>
    <row r="22">
      <c r="A22" s="8" t="inlineStr">
        <is>
          <t>Intangible Assets &amp; Goodwill</t>
        </is>
      </c>
      <c r="B22" s="8" t="inlineStr">
        <is>
          <t>無形資產及商譽</t>
        </is>
      </c>
      <c r="C22" s="19" t="inlineStr">
        <is>
          <t>high</t>
        </is>
      </c>
      <c r="D22" s="11" t="inlineStr">
        <is>
          <t>goodwill</t>
        </is>
      </c>
      <c r="E22" s="11" t="inlineStr">
        <is>
          <t>PDF p.77</t>
        </is>
      </c>
      <c r="F22" s="11" t="inlineStr">
        <is>
          <t>ting 金產生單位的可收回金額作比較。 the impairment loss, the impairment loss is allocated first to 於分配減值虧損時，首先分配減 reduce the carrying amount of any goodwill (if applicable) 值虧損以減少任何商譽的賬面值 and then to the other assets on a pro-rata basis based on （如適用），其後根據該單位或現 the carrying amount of each asset in the unit or the group 金產生單位組別各資產的賬面值 of cash-generating units. The carrying amount of an asset is 按比例分配至其他資產。資產賬 not reduced below the highest of its fair value less costs of 面值不得減少至低於其公平值減 disposal (if measurable), its value in use (if determinable</t>
        </is>
      </c>
    </row>
    <row r="23">
      <c r="A23" s="8" t="inlineStr">
        <is>
          <t>Intangible Assets &amp; Goodwill</t>
        </is>
      </c>
      <c r="B23" s="8" t="inlineStr">
        <is>
          <t>無形資產及商譽</t>
        </is>
      </c>
      <c r="C23" s="19" t="inlineStr">
        <is>
          <t>high</t>
        </is>
      </c>
      <c r="D23" s="11" t="inlineStr">
        <is>
          <t>攤銷</t>
        </is>
      </c>
      <c r="E23" s="11" t="inlineStr">
        <is>
          <t>PDF p.79</t>
        </is>
      </c>
      <c r="F23" s="11" t="inlineStr">
        <is>
          <t>fective interest method is a method of calculating 實際利率法為計算金融資產或金 the amortised cost of a financial asset or financial liability 融負債的攤銷成本及於相關期間 and of allocating interest income and interest expense over 分配利息收入及利息開支的方法。 the relevant period. The effective interest rate is the rate 實際利率為於金融資產或金融負 that exactly discounts estimated future cash receipts and 債的預期年期或（如適用）較短期 payments (including all fees and points paid or received 間內將估計未來現金收入及付款 that form an integral part of the effective interest rate, （包括構成實際利率不可或缺一部 transaction cost</t>
        </is>
      </c>
    </row>
    <row r="24">
      <c r="A24" s="8" t="inlineStr">
        <is>
          <t>Intangible Assets &amp; Goodwill</t>
        </is>
      </c>
      <c r="B24" s="8" t="inlineStr">
        <is>
          <t>無形資產及商譽</t>
        </is>
      </c>
      <c r="C24" s="19" t="inlineStr">
        <is>
          <t>high</t>
        </is>
      </c>
      <c r="D24" s="11" t="inlineStr">
        <is>
          <t>攤銷</t>
        </is>
      </c>
      <c r="E24" s="11" t="inlineStr">
        <is>
          <t>PDF p.80 (印刷頁 79)</t>
        </is>
      </c>
      <c r="F24" s="11" t="inlineStr">
        <is>
          <t>d financial assets are measured subsequently in 所有已確認的金融資產其後均按 their entirety at either amortised cost or fair value, depending 整體基準以攤銷成本或公平值計 on the classification of the financial assets. 量（取決於金融資產的分類）。 Classification and subsequent measurement of 金融資產的分類及後續計量 financial assets Financial assets that meet the following conditions are 符合下列條件的金融資產其後按 subsequently measured at amortised cost: 攤銷成本計量： • the financial asset is held within a business model • 金融資產以收取合約現金流 whose objective is to collect contractual cash flows; 量為目的之業務模式持</t>
        </is>
      </c>
    </row>
    <row r="25">
      <c r="A25" s="8" t="inlineStr">
        <is>
          <t>Intangible Assets &amp; Goodwill</t>
        </is>
      </c>
      <c r="B25" s="8" t="inlineStr">
        <is>
          <t>無形資產及商譽</t>
        </is>
      </c>
      <c r="C25" s="19" t="inlineStr">
        <is>
          <t>high</t>
        </is>
      </c>
      <c r="D25" s="11" t="inlineStr">
        <is>
          <t>攤銷</t>
        </is>
      </c>
      <c r="E25" s="11" t="inlineStr">
        <is>
          <t>PDF p.81</t>
        </is>
      </c>
      <c r="F25" s="11" t="inlineStr">
        <is>
          <t>ition, the Group may irrevocably designate a financial 此外，本集團可不可撒銷地指定 asset that are required to be measured at the amortised cost 須按攤銷成本或透過其他全面收 or fair value through other comprehensive income (“FVTOCI”) 益按公平值（「透過其他全面收益 as measured at FVTPL if doing so eliminates or significantly 按公平值」）計量的金融資產為透 reduces an accounting mismatch. 過損益按公平值計量，倘使用此 方法，則消除或大幅減少會計錯配。 80 Yuk Wing Group Holdings Limited ANNUAL REPORT 2025/26</t>
        </is>
      </c>
    </row>
    <row r="26">
      <c r="A26" s="8" t="inlineStr">
        <is>
          <t>Intangible Assets &amp; Goodwill</t>
        </is>
      </c>
      <c r="B26" s="8" t="inlineStr">
        <is>
          <t>無形資產及商譽</t>
        </is>
      </c>
      <c r="C26" s="19" t="inlineStr">
        <is>
          <t>high</t>
        </is>
      </c>
      <c r="D26" s="11" t="inlineStr">
        <is>
          <t>攤銷</t>
        </is>
      </c>
      <c r="E26" s="11" t="inlineStr">
        <is>
          <t>PDF p.82 (印刷頁 81)</t>
        </is>
      </c>
      <c r="F26" s="11" t="inlineStr">
        <is>
          <t>Classification and subsequent measurement of 金融資產的分類及後續計量（續） financial assets (Continued) (i) Amortised cost and interest income (i) 攤銷成本及利息收入 Interest income is recognised using the effective interest 其後按攤銷成本計量的金融 method for financial assets measured subsequently 資產使用實際利率法確認利 at amortised cost. For financial instruments other 息收入。就購買或發起的信 than purchased or originated credit-impaired financial 貸減值金融資產以外的金融 assets, interest income is calculated by applying the 工具而言，利息收入透過對 effective interest rate to the gross carrying amount of</t>
        </is>
      </c>
    </row>
    <row r="27">
      <c r="A27" s="8" t="inlineStr">
        <is>
          <t>Intangible Assets &amp; Goodwill</t>
        </is>
      </c>
      <c r="B27" s="8" t="inlineStr">
        <is>
          <t>無形資產及商譽</t>
        </is>
      </c>
      <c r="C27" s="19" t="inlineStr">
        <is>
          <t>high</t>
        </is>
      </c>
      <c r="D27" s="11" t="inlineStr">
        <is>
          <t>攤銷</t>
        </is>
      </c>
      <c r="E27" s="11" t="inlineStr">
        <is>
          <t>PDF p.83</t>
        </is>
      </c>
      <c r="F27" s="11" t="inlineStr">
        <is>
          <t>ii) 透過損益按公平值入賬之金 Financial assets that do not meet the criteria for being 融資產 measured at amortised cost or designated as FVTOCI 不達成按攤銷成本或指定為 are measured at FVTPL. 透過其他全面收益按公平值 入賬之金融資產乃透過損益 按公平值計量。 Financial assets at FVTPL are measured at fair value 透過損益按公平值入賬之金 at the end of each reporting period, with any fair value 融資產連同任何於損益中確 gains or losses recognised in profit or loss. The net 認的公平值收益或虧損乃按 gain or loss recognised in profit or loss excludes any 每個報告期末的公平值計 dividend or interest earned on the financial asset and is 量。於損益中</t>
        </is>
      </c>
    </row>
    <row r="28">
      <c r="A28" s="8" t="inlineStr">
        <is>
          <t>Intangible Assets &amp; Goodwill</t>
        </is>
      </c>
      <c r="B28" s="8" t="inlineStr">
        <is>
          <t>無形資產及商譽</t>
        </is>
      </c>
      <c r="C28" s="19" t="inlineStr">
        <is>
          <t>high</t>
        </is>
      </c>
      <c r="D28" s="11" t="inlineStr">
        <is>
          <t>攤銷</t>
        </is>
      </c>
      <c r="E28" s="11" t="inlineStr">
        <is>
          <t>PDF p.89</t>
        </is>
      </c>
      <c r="F28" s="11" t="inlineStr">
        <is>
          <t>it-impaired, in which case interest 存在信貸減值除外，在此情 income is calculated based on amortised cost of the 況下，利息收入乃按金融資 financial asset. 產的攤銷成本計算。 The Group recognises an impairment gain or loss in 除透過虧損撥備賬確認貿易 profit or loss for all financial instruments by adjusting 應收款項的相應調整外，本 their carrying amount, with the exception of trade 集團就所有金融工具通過調 receivables, where the corresponding adjustment is 整其賬面值於損益內確認減 recognised through a loss allowance account. 值收益或虧損。 88 Yuk Wing Group Holdings Limited ANNUAL REPORT 2025/26</t>
        </is>
      </c>
    </row>
    <row r="29">
      <c r="A29" s="8" t="inlineStr">
        <is>
          <t>Intangible Assets &amp; Goodwill</t>
        </is>
      </c>
      <c r="B29" s="8" t="inlineStr">
        <is>
          <t>無形資產及商譽</t>
        </is>
      </c>
      <c r="C29" s="19" t="inlineStr">
        <is>
          <t>high</t>
        </is>
      </c>
      <c r="D29" s="11" t="inlineStr">
        <is>
          <t>攤銷</t>
        </is>
      </c>
      <c r="E29" s="11" t="inlineStr">
        <is>
          <t>PDF p.90 (印刷頁 89)</t>
        </is>
      </c>
      <c r="F29" s="11" t="inlineStr">
        <is>
          <t>wnership of the asset to another entity. 大部分風險及回報時，本集團方 會終止確認金融資產。 On derecognition of a financial asset measured at amortised 於終止確認以攤銷成本計量之金 cost, the difference between the asset’s carrying amount 融資產時，該資產的賬面值與已 and the sum of the consideration received and receivable is 收及應收代價之和之間的差額於 recognised in profit or loss. 損益確認。 Financial liabilities and equity 金融負債及股本 Classification as debt or equity 分類為債務或股本 Debt and equity instruments are classified as either financial 債務及股本工具乃根據合約安排 liabilities or as equity in accordance with the</t>
        </is>
      </c>
    </row>
    <row r="30">
      <c r="A30" s="8" t="inlineStr">
        <is>
          <t>Intangible Assets &amp; Goodwill</t>
        </is>
      </c>
      <c r="B30" s="8" t="inlineStr">
        <is>
          <t>無形資產及商譽</t>
        </is>
      </c>
      <c r="C30" s="19" t="inlineStr">
        <is>
          <t>high</t>
        </is>
      </c>
      <c r="D30" s="11" t="inlineStr">
        <is>
          <t>攤銷</t>
        </is>
      </c>
      <c r="E30" s="11" t="inlineStr">
        <is>
          <t>PDF p.91</t>
        </is>
      </c>
      <c r="F30" s="11" t="inlineStr">
        <is>
          <t>損 For financial liabilities that are denominated in a foreign 對於以外幣計值並於各報告期末 currency and are measured at amortised cost at the end 按攤銷成本計量的金融負債，外 of each reporting period, the foreign exchange gains and 匯收益及虧損乃根據工具的攤銷 losses are determined based on the amortised cost of the 成本釐定。 instruments. Derecognition of financial liabilities 終止確認金融負債 The Group derecognises financial liabilities when, and only 本集團當且僅當其責任獲履行、 when, the Group’s obligations are discharged, cancelled or 取消或屆滿時終止確認金融負債。 have expired. The difference between the</t>
        </is>
      </c>
    </row>
    <row r="31">
      <c r="A31" s="8" t="inlineStr">
        <is>
          <t>Intangible Assets &amp; Goodwill</t>
        </is>
      </c>
      <c r="B31" s="8" t="inlineStr">
        <is>
          <t>無形資產及商譽</t>
        </is>
      </c>
      <c r="C31" s="19" t="inlineStr">
        <is>
          <t>high</t>
        </is>
      </c>
      <c r="D31" s="11" t="inlineStr">
        <is>
          <t>goodwill</t>
        </is>
      </c>
      <c r="E31" s="11" t="inlineStr">
        <is>
          <t>PDF p.94 (印刷頁 93)</t>
        </is>
      </c>
      <c r="F31" s="11" t="inlineStr">
        <is>
          <t>erences. In addition, deferred tax liabilities are not recognised if the temporary difference arises from the initial recognition of goodwill. 煜榮集團控股有限公司 93 2025/26年報</t>
        </is>
      </c>
    </row>
    <row r="32">
      <c r="A32" s="8" t="inlineStr">
        <is>
          <t>Intangible Assets &amp; Goodwill</t>
        </is>
      </c>
      <c r="B32" s="8" t="inlineStr">
        <is>
          <t>無形資產及商譽</t>
        </is>
      </c>
      <c r="C32" s="19" t="inlineStr">
        <is>
          <t>high</t>
        </is>
      </c>
      <c r="D32" s="11" t="inlineStr">
        <is>
          <t>攤銷</t>
        </is>
      </c>
      <c r="E32" s="11" t="inlineStr">
        <is>
          <t>PDF p.130 (印刷頁 129)</t>
        </is>
      </c>
      <c r="F32" s="11" t="inlineStr">
        <is>
          <t>l instruments 金融工具類別 2026 2025 二零二六年 二零二五年 HK$’000 HK$’000 千港元 千港元 Financial assets 金融資產 FVTPL 透過損益按公平值 30,662 27,288 Amortised cost 攤銷成本 65,399 84,912 Financial liabilities 金融負債 Amortised cost 攤銷成本 32,805 44,629 Lease liabilities 租賃負債 11,609 914 煜榮集團控股有限公司 129 2025/26年報</t>
        </is>
      </c>
    </row>
    <row r="33">
      <c r="A33" s="8" t="inlineStr">
        <is>
          <t>Intangible Assets &amp; Goodwill</t>
        </is>
      </c>
      <c r="B33" s="8" t="inlineStr">
        <is>
          <t>無形資產及商譽</t>
        </is>
      </c>
      <c r="C33" s="19" t="inlineStr">
        <is>
          <t>high</t>
        </is>
      </c>
      <c r="D33" s="11" t="inlineStr">
        <is>
          <t>攤銷</t>
        </is>
      </c>
      <c r="E33" s="11" t="inlineStr">
        <is>
          <t>PDF p.136 (印刷頁 135)</t>
        </is>
      </c>
      <c r="F33" s="11" t="inlineStr">
        <is>
          <t>dit risk and impairment assessment (Continued) 信貸風險及減值評估（續） The table below details the credit risk exposures of the Group’s 下表列示本集團按攤銷成本計量的金融 資產（視乎預期信貸虧損評估而定）的信 financial assets at amortised cost, which are subject to ECL 貸風險： assessment: External Internal 12m or Gross credit credit lifetime carrying rating rating ECL amount 12個月或 外部 內部 全期預期 賬面 信貸評級 信貸評級 信貸虧損 總值 At 31 March 2026 於二零二六年三月三十一日 HK$’000 千港元 Financial assets at amortised 按攤銷成本計量之 cost 金融資產 Trade receivables (note 1) 貿易應收款項（附註1） N/A Satisfactory Lifetime ECL 19,972</t>
        </is>
      </c>
    </row>
    <row r="34">
      <c r="A34" s="8" t="inlineStr">
        <is>
          <t>Intangible Assets &amp; Goodwill</t>
        </is>
      </c>
      <c r="B34" s="8" t="inlineStr">
        <is>
          <t>無形資產及商譽</t>
        </is>
      </c>
      <c r="C34" s="19" t="inlineStr">
        <is>
          <t>high</t>
        </is>
      </c>
      <c r="D34" s="11" t="inlineStr">
        <is>
          <t>攤銷</t>
        </is>
      </c>
      <c r="E34" s="11" t="inlineStr">
        <is>
          <t>PDF p.137</t>
        </is>
      </c>
      <c r="F34" s="11" t="inlineStr">
        <is>
          <t>ing rating ECL amount 12個月或 外部 內部 全期預期 賬面 信貸評級 信貸評級 信貸虧損 總值 At 31 March 2025 於二零二五年三月三十一日 HK$’000 千港元 Financial assets at amortised 按攤銷成本計量之 cost 金融資產 Trade receivables (note 1) 貿易應收款項（附註1） N/A Satisfactory Lifetime ECL 8,718 不適用 to strong (collective 滿意至穩健 assessment) 全期預期 信貸虧損 （集體評估） N/A Good to Lifetime ECL 20,178 不適用 strong (individual 良好至穩健 assessment) 全期預期 信貸虧損 （個別評估） N/A Doubtful Credit- 28,171 不適用 可疑 impaired 信貸減值 Other receivables and deposits 其他應收款項及按金 N/A note 2 12m ECL 1,722 不適用 附註2 12個月預期 信貸虧損 Bank balances 銀行結餘 Ba</t>
        </is>
      </c>
    </row>
    <row r="35">
      <c r="A35" s="8" t="inlineStr">
        <is>
          <t>Intangible Assets &amp; Goodwill</t>
        </is>
      </c>
      <c r="B35" s="8" t="inlineStr">
        <is>
          <t>無形資產及商譽</t>
        </is>
      </c>
      <c r="C35" s="19" t="inlineStr">
        <is>
          <t>high</t>
        </is>
      </c>
      <c r="D35" s="11" t="inlineStr">
        <is>
          <t>攤銷</t>
        </is>
      </c>
      <c r="E35" s="11" t="inlineStr">
        <is>
          <t>PDF p.144 (印刷頁 143)</t>
        </is>
      </c>
      <c r="F35" s="11" t="inlineStr">
        <is>
          <t>FINANCIAL INSTRUMENTS 29 金融工具（續） (Continued) Fair value 公平值 The directors of the Company consider that the carrying amounts 本公司董事認為按攤銷成本計入綜合財 of financial assets and financial liabilities recorded at amortised 務報表的金融資產及金融負債賬面值與 cost in the consolidated financial statements approximate their fair 其公平值相若。該等公平值根據普遍接 values. Such fair values have been determined in accordance with 納之定價模式按折現現金流量分析釐定。 generally accepted pricing models based on a discounted cash flow analysis. Fair value of the Group’s financial assets that are measu</t>
        </is>
      </c>
    </row>
    <row r="36">
      <c r="A36" s="8" t="inlineStr">
        <is>
          <t>Investment Properties</t>
        </is>
      </c>
      <c r="B36" s="8" t="inlineStr">
        <is>
          <t>投資物業</t>
        </is>
      </c>
      <c r="C36" s="19" t="inlineStr">
        <is>
          <t>high</t>
        </is>
      </c>
      <c r="D36" s="11" t="inlineStr">
        <is>
          <t>market rent</t>
        </is>
      </c>
      <c r="E36" s="11" t="inlineStr">
        <is>
          <t>PDF p.47</t>
        </is>
      </c>
      <c r="F36" s="11" t="inlineStr">
        <is>
          <t>e rental amounts payable by Top Mark under the Lease Agreements 震東機械根據租賃協議應付的租金金額乃經 were determined with reference to the prevailing market rent at that 參考類似場所當時市場租金後釐定。董事（包 time for similar premises. Our Directors (including our Independent Non- 括獨立非執行董事）認為訂立租賃協議乃符合 executive Directors) consider that it is in the interests of our Company 本公司及股東的整體利益。 and Shareholders as a whole to enter into the Lease Agreements. Since each of the applicable percentage ratios (other than the profit 由於租賃協議各項適用百分比率（溢利比率 ratio) for the Lease Agre</t>
        </is>
      </c>
    </row>
    <row r="37">
      <c r="A37" s="8" t="inlineStr">
        <is>
          <t>Investment Properties</t>
        </is>
      </c>
      <c r="B37" s="8" t="inlineStr">
        <is>
          <t>投資物業</t>
        </is>
      </c>
      <c r="C37" s="19" t="inlineStr">
        <is>
          <t>high</t>
        </is>
      </c>
      <c r="D37" s="11" t="inlineStr">
        <is>
          <t>market rent</t>
        </is>
      </c>
      <c r="E37" s="11" t="inlineStr">
        <is>
          <t>PDF p.74 (印刷頁 73)</t>
        </is>
      </c>
      <c r="F37" s="11" t="inlineStr">
        <is>
          <t>） Lease liabilities (Continued) 租賃負債（續） • the lease payments change due to changes in market • 當租賃付款因市場租金審閱 rental rates following a market rent review, in which 後的市場租金率變動而發生 cases the related lease liability is remeasured by 變動時，在該情況下，相關 discounting the revised lease payments using the initial 租賃負債透過使用初始折現 discount rate. 率折現經修訂租賃付款而重 新計量。 • a lease contract is modified and the lease modification • 當租賃合約被修改且該租賃 is not accounted for as a separate lease (see below for 修改不作為單獨租賃入賬時 the accounting policy for “lease modifications”).</t>
        </is>
      </c>
    </row>
    <row r="38">
      <c r="A38" s="8" t="inlineStr">
        <is>
          <t>ESG Data</t>
        </is>
      </c>
      <c r="B38" s="8" t="inlineStr">
        <is>
          <t>環境社會及管治數據</t>
        </is>
      </c>
      <c r="C38" s="8" t="inlineStr">
        <is>
          <t>medium</t>
        </is>
      </c>
      <c r="D38" s="11" t="inlineStr">
        <is>
          <t>可持續</t>
        </is>
      </c>
      <c r="E38" s="11" t="inlineStr">
        <is>
          <t>PDF p.23</t>
        </is>
      </c>
      <c r="F38" s="11" t="inlineStr">
        <is>
          <t>te. With a view to achieving a sustainable 元化政策（「董事會成員多元化政策」）。為實 and balanced development, the Company sees increasing diversity at 現可持續平衡發展，本公司認為董事會更多 the Board level as an essential element in supporting the attainment of 元化是支持其達致策略目標及其可持續發展 its strategic objectives and its sustainable development. In designing 的必要元素。於設計董事會的成員組合時， the Board’s composition, Board diversity has been considered from a 董事會多元化事宜經由多方面考慮，包括但 number of aspects, including but not limited to gender, age, cultural 不限於性別、年齡、文化及教育背景、種族、 and educational bac</t>
        </is>
      </c>
    </row>
    <row r="39">
      <c r="A39" s="8" t="inlineStr">
        <is>
          <t>ESG Data</t>
        </is>
      </c>
      <c r="B39" s="8" t="inlineStr">
        <is>
          <t>環境社會及管治數據</t>
        </is>
      </c>
      <c r="C39" s="8" t="inlineStr">
        <is>
          <t>medium</t>
        </is>
      </c>
      <c r="D39" s="11" t="inlineStr">
        <is>
          <t>ESG</t>
        </is>
      </c>
      <c r="E39" s="11" t="inlineStr">
        <is>
          <t>PDF p.24 (印刷頁 23)</t>
        </is>
      </c>
      <c r="F39" s="11" t="inlineStr">
        <is>
          <t>ge and length of service. Gender ratio in the workforce is set out in the Environmental, Social 員工性別比例載於本公司刊發的環境、社會 and Governance (“ESG”) Report of the Company to be published at the 及管治（「環境、社會及管治」）報告，同時本 same time as this annual report is published on the websites of the Stock 年報分別於聯交所及本公司網站上刊載。經 Exchange and the Company respectively. The current gender diversity 考慮業務模式及營運需要後，現時員工的性 of workforce was appropriate taking into account the business models 別多元化屬適當，而董事會滿意本公司已實 and operational needs and the Board is satisfied that th</t>
        </is>
      </c>
    </row>
    <row r="40">
      <c r="A40" s="8" t="inlineStr">
        <is>
          <t>ESG Data</t>
        </is>
      </c>
      <c r="B40" s="8" t="inlineStr">
        <is>
          <t>環境社會及管治數據</t>
        </is>
      </c>
      <c r="C40" s="8" t="inlineStr">
        <is>
          <t>medium</t>
        </is>
      </c>
      <c r="D40" s="11" t="inlineStr">
        <is>
          <t>ESG</t>
        </is>
      </c>
      <c r="E40" s="11" t="inlineStr">
        <is>
          <t>PDF p.27</t>
        </is>
      </c>
      <c r="F40" s="11" t="inlineStr">
        <is>
          <t>集團委任哲慧企管專才有限公 (“BTCGL”) to: 司（「企管專才」），以： • assist in identifying and assessing the risks of the Group, including • 透過一系列討論及面談，協助識別及評 ESG-related risks, through a series of discussions and interviews; 估本集團之風險，包括與環境、社會及 and 管治相關的風險；及 • independently perform internal control review and assess the • 獨立進行內部監控之審閱及評估本集團 effectiveness of the Group’s risk management and internal control 之風險管理及內部監控制度的成效。 systems. The results of the independent review and assessment were reported 獨立審閱及評估之結果已報告予審核及合規 to the Audit and Compliance Committee a</t>
        </is>
      </c>
    </row>
    <row r="41">
      <c r="A41" s="8" t="inlineStr">
        <is>
          <t>ESG Data</t>
        </is>
      </c>
      <c r="B41" s="8" t="inlineStr">
        <is>
          <t>環境社會及管治數據</t>
        </is>
      </c>
      <c r="C41" s="8" t="inlineStr">
        <is>
          <t>medium</t>
        </is>
      </c>
      <c r="D41" s="11" t="inlineStr">
        <is>
          <t>ESG</t>
        </is>
      </c>
      <c r="E41" s="11" t="inlineStr">
        <is>
          <t>PDF p.38 (印刷頁 37)</t>
        </is>
      </c>
      <c r="F41" s="11" t="inlineStr">
        <is>
          <t>力減少營 practices, the Group strives to reduce the environmental impacts caused 運對環境的影響。 by the operations. The Company will publish an ESG Report on the websites of the 本公司將於本公司及聯交所網站刊載環境、 Company and the Stock Exchange. 社會及管治報告。 煜榮集團控股有限公司 37 2025/26年報</t>
        </is>
      </c>
    </row>
    <row r="42">
      <c r="A42" s="8" t="inlineStr">
        <is>
          <t>ESG Data</t>
        </is>
      </c>
      <c r="B42" s="8" t="inlineStr">
        <is>
          <t>環境社會及管治數據</t>
        </is>
      </c>
      <c r="C42" s="8" t="inlineStr">
        <is>
          <t>medium</t>
        </is>
      </c>
      <c r="D42" s="11" t="inlineStr">
        <is>
          <t>ESG</t>
        </is>
      </c>
      <c r="E42" s="11" t="inlineStr">
        <is>
          <t>PDF p.150 (印刷頁 149)</t>
        </is>
      </c>
      <c r="F42" s="11" t="inlineStr">
        <is>
          <t>Xiaoming and Colour 外，自二零一八年二月五 Shine from 5 February 2018 日起，為何笑明先生及彩 輝 “Director(s)” the director(s) of the Company 「董事」 指 本公司董事 “ESG” Environmental, Social and Governance 「環境、社會 指 環境、社會及管治 及管治」 煜榮集團控股有限公司 149 2025/26年報</t>
        </is>
      </c>
    </row>
    <row r="43">
      <c r="A43" s="8" t="inlineStr">
        <is>
          <t>Segment Information</t>
        </is>
      </c>
      <c r="B43" s="8" t="inlineStr">
        <is>
          <t>分部資料</t>
        </is>
      </c>
      <c r="C43" s="8" t="inlineStr">
        <is>
          <t>medium</t>
        </is>
      </c>
      <c r="D43" s="11" t="inlineStr">
        <is>
          <t>geographical</t>
        </is>
      </c>
      <c r="E43" s="11" t="inlineStr">
        <is>
          <t>PDF p.5</t>
        </is>
      </c>
      <c r="F43" s="11" t="inlineStr">
        <is>
          <t>之綜合影響 during the Year. 所致。 PROSPECTS 前景 During the Year, the Group continued to develop its various business and 於本年度，本集團繼續發展其多個業務及地 geographical segments. In Hong Kong, the business environment had 區分部。於香港，由於經濟前景不明朗，營 remained stagnant due to the uncertain economic outlook. 商環境持續停滯。 Looking ahead, the Group maintains a highly cautious stance regarding 展望未來，本集團對香港建築市場之近期前 the near future of the Hong Kong construction market. Nevertheless, the 景維持高度審慎之態度。儘管如此，本集團 Group will continue to advance its diverse business lines and expa</t>
        </is>
      </c>
    </row>
    <row r="44">
      <c r="A44" s="8" t="inlineStr">
        <is>
          <t>Segment Information</t>
        </is>
      </c>
      <c r="B44" s="8" t="inlineStr">
        <is>
          <t>分部資料</t>
        </is>
      </c>
      <c r="C44" s="8" t="inlineStr">
        <is>
          <t>medium</t>
        </is>
      </c>
      <c r="D44" s="11" t="inlineStr">
        <is>
          <t>geographical</t>
        </is>
      </c>
      <c r="E44" s="11" t="inlineStr">
        <is>
          <t>PDF p.9</t>
        </is>
      </c>
      <c r="F44" s="11" t="inlineStr">
        <is>
          <t>Year. 所致。 STRATEGY AND PROSPECTS 策略及前景 During the Year, the Group continued to develop its various business and 於本年度，本集團繼續發展其多個業務及地 geographical segments. In Hong Kong, the business environment had 區分部。於香港，由於經濟前景不明朗，營 remained stagnant due to the uncertain economic outlook. 商環境持續停滯。 Looking ahead, the Group maintains a highly cautious stance regarding 展望未來，本集團對香港建築市場之近期前 the near future of the Hong Kong construction market. Nevertheless, the 景維持高度審慎之態度。儘管如此，本集團 Group will continue to advance its diverse business lines and expa</t>
        </is>
      </c>
    </row>
    <row r="45">
      <c r="A45" s="8" t="inlineStr">
        <is>
          <t>Segment Information</t>
        </is>
      </c>
      <c r="B45" s="8" t="inlineStr">
        <is>
          <t>分部資料</t>
        </is>
      </c>
      <c r="C45" s="8" t="inlineStr">
        <is>
          <t>medium</t>
        </is>
      </c>
      <c r="D45" s="11" t="inlineStr">
        <is>
          <t>segment information</t>
        </is>
      </c>
      <c r="E45" s="11" t="inlineStr">
        <is>
          <t>PDF p.37</t>
        </is>
      </c>
      <c r="F45" s="11" t="inlineStr">
        <is>
          <t>sections headed “Letter from The Board” 別載於本年報「董事會函件」及「管理層討論 and “Management Discussion and Analysis” of this annual report. 及分析」兩節。 SEGMENT INFORMATION 分部資料 An analysis of the Group’s performance for the Year by operating 本集團於本年度按經營分部劃分之表現分析 segment is set out in Note 5 to the consolidated financial statements. 載於綜合財務報表附註5。 RESULTS AND APPROPRIATIONS 業績及分配 The results of the Company and its subsidiaries for the year ended 31 本公司及其附屬公司截至二零二六年三月 March 2026 are set out in the consolidated statement of profit or loss 三十一日止年度的業績載於本</t>
        </is>
      </c>
    </row>
    <row r="46">
      <c r="A46" s="8" t="inlineStr">
        <is>
          <t>Segment Information</t>
        </is>
      </c>
      <c r="B46" s="8" t="inlineStr">
        <is>
          <t>分部資料</t>
        </is>
      </c>
      <c r="C46" s="8" t="inlineStr">
        <is>
          <t>medium</t>
        </is>
      </c>
      <c r="D46" s="11" t="inlineStr">
        <is>
          <t>segment information</t>
        </is>
      </c>
      <c r="E46" s="11" t="inlineStr">
        <is>
          <t>PDF p.98 (印刷頁 97)</t>
        </is>
      </c>
      <c r="F46" s="11" t="inlineStr">
        <is>
          <t>日，存貨賬 the carrying amount of inventories is HK$52,970,000 (2025: 面值為52,970,000港元（二零二五年： HK$49,471,000). 49,471,000港元）。 5 REVENUE AND SEGMENT INFORMATION 5 收益及分部資料 Revenue 收益 The Group is principally engaged in (i) manufacturing and trading 本集團主要從事(i)製造及買賣潛孔鑿岩 of DTH rockdrilling tools; and (ii) trading of piling and drilling 工具；及(ii)買賣打樁機及鑽機以及鑿岩 machineries and rockdrilling equipment. 設備業務。 Disaggregation of revenue 收益明細 An analysis of the Group’s revenue is as follows: 本集團的收益分析如下： 2026 2025 二零二六年 二零二五年 HK$’000 HK$’000 千港元 千港元</t>
        </is>
      </c>
    </row>
    <row r="47">
      <c r="A47" s="8" t="inlineStr">
        <is>
          <t>Segment Information</t>
        </is>
      </c>
      <c r="B47" s="8" t="inlineStr">
        <is>
          <t>分部資料</t>
        </is>
      </c>
      <c r="C47" s="8" t="inlineStr">
        <is>
          <t>medium</t>
        </is>
      </c>
      <c r="D47" s="11" t="inlineStr">
        <is>
          <t>segment information</t>
        </is>
      </c>
      <c r="E47" s="11" t="inlineStr">
        <is>
          <t>PDF p.99</t>
        </is>
      </c>
      <c r="F47" s="11" t="inlineStr">
        <is>
          <t>NOTES TO THE CONSOLIDATED FINANCIAL STATEMENTS 綜合財務報表附註 5 REVENUE AND SEGMENT INFORMATION 5 收益及分部資料（續） (Continued) Revenue (Continued) 收益（續） Performance obligations for contracts with customers 就與客戶之間合約的履約責任 All of the Group’s revenue is recognised when the control of 本集團所有收益均於貨品的控制權已轉 goods is transferred, being when the goods are delivered to the 移（即當貨品交付至客戶指定地點）時確 customer’s specific location. A receivable is recognised by the 認。當貨品交付至客戶處所時即確認應 Group when the goo</t>
        </is>
      </c>
    </row>
    <row r="48">
      <c r="A48" s="8" t="inlineStr">
        <is>
          <t>Segment Information</t>
        </is>
      </c>
      <c r="B48" s="8" t="inlineStr">
        <is>
          <t>分部資料</t>
        </is>
      </c>
      <c r="C48" s="8" t="inlineStr">
        <is>
          <t>medium</t>
        </is>
      </c>
      <c r="D48" s="11" t="inlineStr">
        <is>
          <t>segment information</t>
        </is>
      </c>
      <c r="E48" s="11" t="inlineStr">
        <is>
          <t>PDF p.100 (印刷頁 99)</t>
        </is>
      </c>
      <c r="F48" s="11" t="inlineStr">
        <is>
          <t>NOTES TO THE CONSOLIDATED FINANCIAL STATEMENTS 綜合財務報表附註 5 REVENUE AND SEGMENT INFORMATION 5 收益及分部資料（續） (Continued) Segment information (Continued) 分部資料（續） Segment revenue and results 分部收益及業績 The following is an analysis of the Group’s revenue and results by 以下載列本集團按經營及可呈報分部劃 operating and reportable segments: 分的收益及業績分析： For the year ended 31 March 2026 截至二零二六年三月三十一日止年度 Manufacturing Trading of piling and trading and drilling of DTH machineries rockdrilling and rockd</t>
        </is>
      </c>
    </row>
    <row r="49">
      <c r="A49" s="8" t="inlineStr">
        <is>
          <t>Segment Information</t>
        </is>
      </c>
      <c r="B49" s="8" t="inlineStr">
        <is>
          <t>分部資料</t>
        </is>
      </c>
      <c r="C49" s="8" t="inlineStr">
        <is>
          <t>medium</t>
        </is>
      </c>
      <c r="D49" s="11" t="inlineStr">
        <is>
          <t>segment information</t>
        </is>
      </c>
      <c r="E49" s="11" t="inlineStr">
        <is>
          <t>PDF p.101</t>
        </is>
      </c>
      <c r="F49" s="11" t="inlineStr">
        <is>
          <t>NOTES TO THE CONSOLIDATED FINANCIAL STATEMENTS 綜合財務報表附註 5 REVENUE AND SEGMENT INFORMATION 5 收益及分部資料（續） (Continued) Segment information (Continued) 分部資料（續） Segment revenue and results (Continued) 分部收益及業績（續） For the year ended 31 March 2025 截至二零二五年三月三十一日止年度 Manufacturing Trading of piling and trading and drilling of DTH machineries rockdrilling and rock drilling tools equipment Total 製造及買賣 買賣打樁機及 潛孔鑿岩工具 鑽機以及鑿岩設備 總計 HK$’000 HK$’000 HK$’000 千港元 千港元 千港元 Segment and exter</t>
        </is>
      </c>
    </row>
    <row r="50">
      <c r="A50" s="8" t="inlineStr">
        <is>
          <t>Segment Information</t>
        </is>
      </c>
      <c r="B50" s="8" t="inlineStr">
        <is>
          <t>分部資料</t>
        </is>
      </c>
      <c r="C50" s="8" t="inlineStr">
        <is>
          <t>medium</t>
        </is>
      </c>
      <c r="D50" s="11" t="inlineStr">
        <is>
          <t>segment information</t>
        </is>
      </c>
      <c r="E50" s="11" t="inlineStr">
        <is>
          <t>PDF p.102 (印刷頁 101)</t>
        </is>
      </c>
      <c r="F50" s="11" t="inlineStr">
        <is>
          <t>NOTES TO THE CONSOLIDATED FINANCIAL STATEMENTS 綜合財務報表附註 5 REVENUE AND SEGMENT INFORMATION 5 收益及分部資料（續） (Continued) Segment information (Continued) 分部資料（續） Other segment information 其他分部資料 For the year ended 31 March 2026 截至二零二六年三月三十一日止年度 Manufacturing Trading of piling and trading and drilling of DTH machineries rockdrilling and rockdrilling tools equipment Total 製造及買賣 買賣打樁機及 潛孔鑿岩工具 鑽機以及鑿岩設備 總計 HK$’000 HK$’000 HK$’000 千港元 千港元 千港元 Amounts regularly provided to the 定期</t>
        </is>
      </c>
    </row>
    <row r="51">
      <c r="A51" s="8" t="inlineStr">
        <is>
          <t>Segment Information</t>
        </is>
      </c>
      <c r="B51" s="8" t="inlineStr">
        <is>
          <t>分部資料</t>
        </is>
      </c>
      <c r="C51" s="8" t="inlineStr">
        <is>
          <t>medium</t>
        </is>
      </c>
      <c r="D51" s="11" t="inlineStr">
        <is>
          <t>segment information</t>
        </is>
      </c>
      <c r="E51" s="11" t="inlineStr">
        <is>
          <t>PDF p.103</t>
        </is>
      </c>
      <c r="F51" s="11" t="inlineStr">
        <is>
          <t>NOTES TO THE CONSOLIDATED FINANCIAL STATEMENTS 綜合財務報表附註 5 REVENUE AND SEGMENT INFORMATION 5 收益及分部資料（續） (Continued) Segment information (Continued) 分部資料（續） Geographical information (Continued) 地區資料（續） The following table sets out information about (i) the Group’s 下表載列(i)本集團按客戶所在地劃分的 revenue from external customers by the location of customers; and 來自外界客戶收益；及(ii)本集團按資產 (ii) the Group’s non-current assets (excluded deferred tax assets) 所在地劃分的非流動資產（不包括遞延 by location of</t>
        </is>
      </c>
    </row>
    <row r="52">
      <c r="A52" s="8" t="inlineStr">
        <is>
          <t>Segment Information</t>
        </is>
      </c>
      <c r="B52" s="8" t="inlineStr">
        <is>
          <t>分部資料</t>
        </is>
      </c>
      <c r="C52" s="8" t="inlineStr">
        <is>
          <t>medium</t>
        </is>
      </c>
      <c r="D52" s="11" t="inlineStr">
        <is>
          <t>segment information</t>
        </is>
      </c>
      <c r="E52" s="11" t="inlineStr">
        <is>
          <t>PDF p.104 (印刷頁 103)</t>
        </is>
      </c>
      <c r="F52" s="11" t="inlineStr">
        <is>
          <t>NOTES TO THE CONSOLIDATED FINANCIAL STATEMENTS 綜合財務報表附註 5 REVENUE AND SEGMENT INFORMATION 5 收益及分部資料（續） (Continued) Segment information (Continued) 分部資料（續） Information about major customers 主要客戶資料 Revenue from major customers which accounted for 10% or more 於各年度來自佔本集團收益10%或以上 of the Group’s revenue for each of the years are set out below: 之主要客戶的收益載列如下： 2026 2025 二零二六年 二零二五年 HK$’000 HK$’000 千港元 千港元 Customer A (note (b)) 客戶A（附註(b)） 68,559 43,366 Customer B (note (a)) 客</t>
        </is>
      </c>
    </row>
    <row r="53">
      <c r="A53" s="8" t="inlineStr">
        <is>
          <t>Share-based Payment</t>
        </is>
      </c>
      <c r="B53" s="8" t="inlineStr">
        <is>
          <t>以股份為基礎的付款</t>
        </is>
      </c>
      <c r="C53" s="8" t="inlineStr">
        <is>
          <t>medium</t>
        </is>
      </c>
      <c r="D53" s="11" t="inlineStr">
        <is>
          <t>share-based payment</t>
        </is>
      </c>
      <c r="E53" s="11" t="inlineStr">
        <is>
          <t>PDF p.67</t>
        </is>
      </c>
      <c r="F53" s="11" t="inlineStr">
        <is>
          <t>isclosure purposes in these 該等綜合財務報表中用作計量 consolidated financial statements is determined on such a 及╱或披露用途的公平值按此基 basis, except for share-based payment transactions that 準釐定，惟香港財務報告準則第2 are within the scope of HKFRS 2 “Share-based Payment”, 號「以股份為基礎的支付」範疇內 leasing transactions that are accounted for in accordance 的以股份為基礎的支付交易、根 with HKFRS 16 “Leases” (“HKFRS 16”), and measurements 據香港財務報告準則第16號「租 that have some similarities to fair value but are not fair value, 賃」 （「香港財務報告準則第16號」） such as net realisable value in HKAS 2 “Invent</t>
        </is>
      </c>
    </row>
    <row r="54">
      <c r="A54" s="8" t="inlineStr">
        <is>
          <t>Related Party Transactions</t>
        </is>
      </c>
      <c r="B54" s="8" t="inlineStr">
        <is>
          <t>關聯方交易</t>
        </is>
      </c>
      <c r="C54" s="8" t="inlineStr">
        <is>
          <t>low</t>
        </is>
      </c>
      <c r="D54" s="11" t="inlineStr">
        <is>
          <t>connected transaction</t>
        </is>
      </c>
      <c r="E54" s="11" t="inlineStr">
        <is>
          <t>PDF p.44 (印刷頁 43)</t>
        </is>
      </c>
      <c r="F54" s="11" t="inlineStr">
        <is>
          <t>n of the business (except for such service contracts entered into 集團董事及全體僱員訂立的服務合約除外。 with the Group’s Directors and all employees). CONNECTED TRANSACTIONS 關連交易 We have entered into some transactions with connected persons of the 我們已與本公司關連人士訂立若干交易。根 Company. In accordance with Chapter 14A of the Listing Rules, such 據上市規則第十四A章，該等交易已構成本 transactions have constituted the connected transactions or continuing 公司的關連交易或持續關連交易。 connected transactions of the Company. 煜榮集團控股有限公司 43 2025/26年報</t>
        </is>
      </c>
    </row>
    <row r="55">
      <c r="A55" s="8" t="inlineStr">
        <is>
          <t>Related Party Transactions</t>
        </is>
      </c>
      <c r="B55" s="8" t="inlineStr">
        <is>
          <t>關聯方交易</t>
        </is>
      </c>
      <c r="C55" s="8" t="inlineStr">
        <is>
          <t>low</t>
        </is>
      </c>
      <c r="D55" s="11" t="inlineStr">
        <is>
          <t>connected transaction</t>
        </is>
      </c>
      <c r="E55" s="11" t="inlineStr">
        <is>
          <t>PDF p.45</t>
        </is>
      </c>
      <c r="F55" s="11" t="inlineStr">
        <is>
          <t>DIRECTORS’ REPORT 董事報告 CONNECTED TRANSACTIONS 關連交易（續） (Continued) Continuing Connected Transaction — Lease Agreements 持續關連交易 — 租賃協議 Top Champion Industries Limited entered into the following lease 泰昌實業有限公司與震東機械設備有限公 agreements with Top Mark Mechanical Equipment Limited (“Top Mark”) 司（「震東機械」）訂立以下租賃協議（「租賃協 (the “Lease Agreements”), pursuant to which Top Champion Industries 議」），據此，泰昌實業有限公司（作為出租人） Limited as lessor agreed t</t>
        </is>
      </c>
    </row>
    <row r="56">
      <c r="A56" s="8" t="inlineStr">
        <is>
          <t>Related Party Transactions</t>
        </is>
      </c>
      <c r="B56" s="8" t="inlineStr">
        <is>
          <t>關聯方交易</t>
        </is>
      </c>
      <c r="C56" s="8" t="inlineStr">
        <is>
          <t>low</t>
        </is>
      </c>
      <c r="D56" s="11" t="inlineStr">
        <is>
          <t>connected transaction</t>
        </is>
      </c>
      <c r="E56" s="11" t="inlineStr">
        <is>
          <t>PDF p.46 (印刷頁 45)</t>
        </is>
      </c>
      <c r="F56" s="11" t="inlineStr">
        <is>
          <t>DIRECTORS’ REPORT 董事報告 CONNECTED TRANSACTIONS 關連交易（續） (Continued) Continuing Connected Transaction — Lease Agreements (Continued) 持續關連交易 — 租賃協議（續） b. Top Champion Industries Limited entered into a lease agreement b. 於二零二零年三月二十五日，泰昌實業 with Top Mark on 25 March 2020 in relation to the premises 有限公司與震東機械訂立有關位於香港 situated at Unit 2, 15/F, Honour Industrial Centre, 6 Sun Yip Street, 柴灣新業街6號安力工業中心15樓2室 Chai Wan, Hong Kong for</t>
        </is>
      </c>
    </row>
    <row r="57">
      <c r="A57" s="8" t="inlineStr">
        <is>
          <t>Related Party Transactions</t>
        </is>
      </c>
      <c r="B57" s="8" t="inlineStr">
        <is>
          <t>關聯方交易</t>
        </is>
      </c>
      <c r="C57" s="8" t="inlineStr">
        <is>
          <t>low</t>
        </is>
      </c>
      <c r="D57" s="11" t="inlineStr">
        <is>
          <t>connected transaction</t>
        </is>
      </c>
      <c r="E57" s="11" t="inlineStr">
        <is>
          <t>PDF p.47</t>
        </is>
      </c>
      <c r="F57" s="11" t="inlineStr">
        <is>
          <t>DIRECTORS’ REPORT 董事報告 CONNECTED TRANSACTIONS 關連交易（續） (Continued) Continuing Connected Transaction — Lease Agreements (Continued) 持續關連交易 — 租賃協議（續） Top Champion Industries Limited is a company incorporated in Hong 泰昌實業有限公司為於一九九九年七月十六 Kong with limited liability on 16 July 1999, and is owned as to 95% by 日在香港註冊成立的有限公司，由陳樑材先 Mr. Chan Leung Choi. Mr. Chan Leung Choi holds director positions at 生擁有95%的權益。陳樑材先生擔任本集團 certain s</t>
        </is>
      </c>
    </row>
    <row r="58">
      <c r="A58" s="8" t="inlineStr">
        <is>
          <t>Related Party Transactions</t>
        </is>
      </c>
      <c r="B58" s="8" t="inlineStr">
        <is>
          <t>關聯方交易</t>
        </is>
      </c>
      <c r="C58" s="8" t="inlineStr">
        <is>
          <t>low</t>
        </is>
      </c>
      <c r="D58" s="11" t="inlineStr">
        <is>
          <t>related party</t>
        </is>
      </c>
      <c r="E58" s="11" t="inlineStr">
        <is>
          <t>PDF p.145</t>
        </is>
      </c>
      <c r="F58" s="11" t="inlineStr">
        <is>
          <t>NOTES TO THE CONSOLIDATED FINANCIAL STATEMENTS 綜合財務報表附註 30 RELATED PARTY DISCLOSURES 30 關聯方披露 (i) Related party transactions (i) 關聯方交易 The Group had no significant transactions and balances with 於截至二零二六年及二零二五年 related party during the years ended 31 March 2026 and 三月三十一日止年度，本集團與 2025. 關聯方並無其他重大交易及結餘。 (ii) Compensation of key management personnel (ii) 主要管理人員報酬 The remuneration of directors and other members of key 董事及其他主要管理人員於本年 management during the year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pane ySplit="31" topLeftCell="A3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Revenue</t>
        </is>
      </c>
    </row>
    <row r="9">
      <c r="A9" s="8" t="inlineStr">
        <is>
          <t>Income Statement</t>
        </is>
      </c>
      <c r="B9" s="8" t="inlineStr">
        <is>
          <t>Cost of Sales</t>
        </is>
      </c>
    </row>
    <row r="10">
      <c r="A10" s="8" t="inlineStr">
        <is>
          <t>Income Statement</t>
        </is>
      </c>
      <c r="B10" s="8" t="inlineStr">
        <is>
          <t>Gross Profit</t>
        </is>
      </c>
    </row>
    <row r="11">
      <c r="A11" s="8" t="inlineStr">
        <is>
          <t>Income Statement</t>
        </is>
      </c>
      <c r="B11" s="8" t="inlineStr">
        <is>
          <t>Operating Profit</t>
        </is>
      </c>
    </row>
    <row r="12">
      <c r="A12" s="8" t="inlineStr">
        <is>
          <t>Income Statement</t>
        </is>
      </c>
      <c r="B12" s="8" t="inlineStr">
        <is>
          <t>Finance Costs</t>
        </is>
      </c>
    </row>
    <row r="13">
      <c r="A13" s="8" t="inlineStr">
        <is>
          <t>Income Statement</t>
        </is>
      </c>
      <c r="B13" s="8" t="inlineStr">
        <is>
          <t>Profit Before Tax</t>
        </is>
      </c>
    </row>
    <row r="14">
      <c r="A14" s="8" t="inlineStr">
        <is>
          <t>Income Statement</t>
        </is>
      </c>
      <c r="B14" s="8" t="inlineStr">
        <is>
          <t>Income Tax</t>
        </is>
      </c>
    </row>
    <row r="15">
      <c r="A15" s="8" t="inlineStr">
        <is>
          <t>Income Statement</t>
        </is>
      </c>
      <c r="B15" s="8" t="inlineStr">
        <is>
          <t>Profit for the Year</t>
        </is>
      </c>
    </row>
    <row r="16">
      <c r="A16" s="8" t="inlineStr">
        <is>
          <t>Income Statement</t>
        </is>
      </c>
      <c r="B16" s="8" t="inlineStr">
        <is>
          <t>R&amp;D Expenses</t>
        </is>
      </c>
    </row>
    <row r="17">
      <c r="A17" s="8" t="inlineStr">
        <is>
          <t>Income Statement</t>
        </is>
      </c>
      <c r="B17" s="8" t="inlineStr">
        <is>
          <t>Depreciation</t>
        </is>
      </c>
    </row>
    <row r="18">
      <c r="A18" s="8" t="inlineStr">
        <is>
          <t>Income Statement</t>
        </is>
      </c>
      <c r="B18" s="8" t="inlineStr">
        <is>
          <t>Amortisation</t>
        </is>
      </c>
    </row>
    <row r="19">
      <c r="A19" s="8" t="inlineStr">
        <is>
          <t>Balance Sheet</t>
        </is>
      </c>
      <c r="B19" s="8" t="inlineStr">
        <is>
          <t>Total Assets</t>
        </is>
      </c>
    </row>
    <row r="20">
      <c r="A20" s="8" t="inlineStr">
        <is>
          <t>Balance Sheet</t>
        </is>
      </c>
      <c r="B20" s="8" t="inlineStr">
        <is>
          <t>Cash and Equivalents</t>
        </is>
      </c>
    </row>
    <row r="21">
      <c r="A21" s="8" t="inlineStr">
        <is>
          <t>Balance Sheet</t>
        </is>
      </c>
      <c r="B21" s="8" t="inlineStr">
        <is>
          <t>Goodwill</t>
        </is>
      </c>
    </row>
    <row r="22">
      <c r="A22" s="8" t="inlineStr">
        <is>
          <t>Balance Sheet</t>
        </is>
      </c>
      <c r="B22" s="8" t="inlineStr">
        <is>
          <t>Intangible Assets</t>
        </is>
      </c>
    </row>
    <row r="23">
      <c r="A23" s="8" t="inlineStr">
        <is>
          <t>Balance Sheet</t>
        </is>
      </c>
      <c r="B23" s="8" t="inlineStr">
        <is>
          <t>Investment Properties</t>
        </is>
      </c>
    </row>
    <row r="24">
      <c r="A24" s="8" t="inlineStr">
        <is>
          <t>Balance Sheet</t>
        </is>
      </c>
      <c r="B24" s="8" t="inlineStr">
        <is>
          <t>Total Liabilities</t>
        </is>
      </c>
    </row>
    <row r="25">
      <c r="A25" s="8" t="inlineStr">
        <is>
          <t>Balance Sheet</t>
        </is>
      </c>
      <c r="B25" s="8" t="inlineStr">
        <is>
          <t>Borrowings</t>
        </is>
      </c>
    </row>
    <row r="28">
      <c r="A28" s="5" t="inlineStr">
        <is>
          <t>二、文字量過低的頁面(疑似掃描頁)</t>
        </is>
      </c>
    </row>
    <row r="29">
      <c r="A29" s="2" t="inlineStr">
        <is>
          <t>這些頁面幾乎抓不到文字,通常是掃描件或純圖表,建議人手翻閱或另行 OCR。</t>
        </is>
      </c>
    </row>
    <row r="31">
      <c r="A31" s="7" t="inlineStr">
        <is>
          <t>PDF 頁碼</t>
        </is>
      </c>
      <c r="B31" s="7" t="inlineStr">
        <is>
          <t>狀態</t>
        </is>
      </c>
    </row>
    <row r="32">
      <c r="A32" s="8" t="n">
        <v>1</v>
      </c>
      <c r="B32" s="8" t="inlineStr">
        <is>
          <t>文字量過低 — 可能為掃描頁/圖表頁</t>
        </is>
      </c>
    </row>
    <row r="33">
      <c r="A33" s="8" t="n">
        <v>154</v>
      </c>
      <c r="B33"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2026-08-30T14:15:52Z</dcterms:created>
  <dcterms:modified xsi:type="dcterms:W3CDTF">2026-08-30T14:15:52Z</dcterms:modified>
</cp:coreProperties>
</file>
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08096_TASTY_CONCEPTS_20260731.pdf</t>
        </is>
      </c>
    </row>
    <row r="5">
      <c r="A5" s="3" t="inlineStr">
        <is>
          <t>產生時間 Generated</t>
        </is>
      </c>
      <c r="B5" s="4" t="inlineStr">
        <is>
          <t>2026-08-30 22:16</t>
        </is>
      </c>
    </row>
    <row r="6">
      <c r="A6" s="4" t="inlineStr"/>
      <c r="B6" s="4" t="inlineStr"/>
    </row>
    <row r="7">
      <c r="A7" s="3" t="inlineStr">
        <is>
          <t>總頁數 Total pages</t>
        </is>
      </c>
      <c r="B7" s="4" t="n">
        <v>93</v>
      </c>
    </row>
    <row r="8">
      <c r="A8" s="3" t="inlineStr">
        <is>
          <t>已擷取字元 Characters extracted</t>
        </is>
      </c>
      <c r="B8" s="4" t="n">
        <v>204530</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1</v>
      </c>
    </row>
    <row r="13">
      <c r="A13" s="3" t="inlineStr">
        <is>
          <t>財務科目擷取筆數 Financial line items</t>
        </is>
      </c>
      <c r="B13" s="4" t="n">
        <v>15</v>
      </c>
    </row>
    <row r="14">
      <c r="A14" s="3" t="inlineStr">
        <is>
          <t>主題段落擷取筆數 Topic extracts</t>
        </is>
      </c>
      <c r="B14" s="4" t="n">
        <v>41</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14,200 − 15,010 = -810</t>
        </is>
      </c>
    </row>
    <row r="20">
      <c r="A20" s="6" t="inlineStr">
        <is>
          <t>✓ 除稅前溢利 ± 稅項 = 年內溢利</t>
        </is>
      </c>
      <c r="B20" s="4" t="inlineStr">
        <is>
          <t>-7,758 + 0 = -7,758 vs -7,758</t>
        </is>
      </c>
    </row>
    <row r="21">
      <c r="A21" s="6" t="inlineStr">
        <is>
          <t>✓ 三大報表應相鄰</t>
        </is>
      </c>
      <c r="B21" s="4" t="inlineStr">
        <is>
          <t>Income Statement: p.39、Balance Sheet: p.40、Cash Flow: p.43(相距 4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18.3</v>
      </c>
      <c r="D5" s="10" t="n">
        <v>20.5</v>
      </c>
      <c r="E5" s="11" t="inlineStr">
        <is>
          <t>18.3% – 20.5%</t>
        </is>
      </c>
      <c r="F5" s="11" t="inlineStr">
        <is>
          <t>High</t>
        </is>
      </c>
      <c r="G5" s="11" t="inlineStr">
        <is>
          <t>PDF p.74 (印刷頁 73)</t>
        </is>
      </c>
      <c r="H5" s="11" t="inlineStr">
        <is>
          <t>rvice capacity and existing table turnover rate of the restaurants. The pre-tax discount rates used are ranged from 18.3% – 20.5% (2025: 14.9%) and reflects specific risks relating to each individual CGU. Other key assumptions for the value-in-use calcu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31514</v>
      </c>
      <c r="D5" s="13" t="n">
        <v>30916</v>
      </c>
      <c r="E5" s="14">
        <f>IF(ISERROR((C5-D5)/ABS(D5)),"",(C5-D5)/ABS(D5))</f>
        <v>0.01934273515331867</v>
      </c>
      <c r="F5" s="11" t="inlineStr">
        <is>
          <t>PDF p.39 (印刷頁 38)</t>
        </is>
      </c>
      <c r="G5" s="11" t="inlineStr">
        <is>
          <t>Revenue 7 31,514 30,916</t>
        </is>
      </c>
    </row>
    <row r="6">
      <c r="A6" s="8" t="inlineStr">
        <is>
          <t>Income Statement</t>
        </is>
      </c>
      <c r="B6" s="8" t="inlineStr">
        <is>
          <t>Depreciation</t>
        </is>
      </c>
      <c r="C6" s="12" t="n">
        <v>-8170</v>
      </c>
      <c r="D6" s="13" t="n">
        <v>-5811</v>
      </c>
      <c r="E6" s="14">
        <f>IF(ISERROR((C6-D6)/ABS(D6)),"",(C6-D6)/ABS(D6))</f>
        <v>-0.40595422474617104</v>
      </c>
      <c r="F6" s="11" t="inlineStr">
        <is>
          <t>PDF p.39 (印刷頁 38)</t>
        </is>
      </c>
      <c r="G6" s="11" t="inlineStr">
        <is>
          <t>Depreciation expenses (8,170) (5,811)</t>
        </is>
      </c>
    </row>
    <row r="7">
      <c r="A7" s="8" t="inlineStr">
        <is>
          <t>Income Statement</t>
        </is>
      </c>
      <c r="B7" s="8" t="inlineStr">
        <is>
          <t>Finance Costs</t>
        </is>
      </c>
      <c r="C7" s="12" t="n">
        <v>-234</v>
      </c>
      <c r="D7" s="13" t="n">
        <v>-180</v>
      </c>
      <c r="E7" s="14">
        <f>IF(ISERROR((C7-D7)/ABS(D7)),"",(C7-D7)/ABS(D7))</f>
        <v>-0.3</v>
      </c>
      <c r="F7" s="11" t="inlineStr">
        <is>
          <t>PDF p.39 (印刷頁 38)</t>
        </is>
      </c>
      <c r="G7" s="11" t="inlineStr">
        <is>
          <t>Finance costs 9 (234) (180)</t>
        </is>
      </c>
    </row>
    <row r="8">
      <c r="A8" s="8" t="inlineStr">
        <is>
          <t>Income Statement</t>
        </is>
      </c>
      <c r="B8" s="8" t="inlineStr">
        <is>
          <t>Profit Before Tax</t>
        </is>
      </c>
      <c r="C8" s="12" t="n">
        <v>-7758</v>
      </c>
      <c r="D8" s="13" t="n">
        <v>-6156</v>
      </c>
      <c r="E8" s="14">
        <f>IF(ISERROR((C8-D8)/ABS(D8)),"",(C8-D8)/ABS(D8))</f>
        <v>-0.260233918128655</v>
      </c>
      <c r="F8" s="11" t="inlineStr">
        <is>
          <t>PDF p.39 (印刷頁 38)</t>
        </is>
      </c>
      <c r="G8" s="11" t="inlineStr">
        <is>
          <t>Loss before taxation 10 (7,758) (6,156)</t>
        </is>
      </c>
    </row>
    <row r="9">
      <c r="A9" s="8" t="inlineStr">
        <is>
          <t>Income Statement</t>
        </is>
      </c>
      <c r="B9" s="8" t="inlineStr">
        <is>
          <t>Income Tax</t>
        </is>
      </c>
      <c r="C9" s="12" t="n">
        <v>0</v>
      </c>
      <c r="D9" s="13" t="n">
        <v>0</v>
      </c>
      <c r="E9" s="14" t="str">
        <f>IF(ISERROR((C9-D9)/ABS(D9)),"",(C9-D9)/ABS(D9))</f>
        <v/>
      </c>
      <c r="F9" s="11" t="inlineStr">
        <is>
          <t>PDF p.39 (印刷頁 38)</t>
        </is>
      </c>
      <c r="G9" s="11" t="inlineStr">
        <is>
          <t>Income tax 12 – –</t>
        </is>
      </c>
    </row>
    <row r="10">
      <c r="A10" s="8" t="inlineStr">
        <is>
          <t>Income Statement</t>
        </is>
      </c>
      <c r="B10" s="8" t="inlineStr">
        <is>
          <t>Profit for the Year</t>
        </is>
      </c>
      <c r="C10" s="12" t="n">
        <v>-7758</v>
      </c>
      <c r="D10" s="13" t="n">
        <v>-6156</v>
      </c>
      <c r="E10" s="14">
        <f>IF(ISERROR((C10-D10)/ABS(D10)),"",(C10-D10)/ABS(D10))</f>
        <v>-0.260233918128655</v>
      </c>
      <c r="F10" s="11" t="inlineStr">
        <is>
          <t>PDF p.39 (印刷頁 38)</t>
        </is>
      </c>
      <c r="G10" s="11" t="inlineStr">
        <is>
          <t>Loss for the year (7,758) (6,156)</t>
        </is>
      </c>
    </row>
    <row r="11">
      <c r="A11" s="8" t="inlineStr">
        <is>
          <t>Balance Sheet</t>
        </is>
      </c>
      <c r="B11" s="8" t="inlineStr">
        <is>
          <t>Intangible Assets</t>
        </is>
      </c>
      <c r="C11" s="12" t="n">
        <v>0</v>
      </c>
      <c r="D11" s="13" t="n">
        <v>0</v>
      </c>
      <c r="E11" s="14" t="str">
        <f>IF(ISERROR((C11-D11)/ABS(D11)),"",(C11-D11)/ABS(D11))</f>
        <v/>
      </c>
      <c r="F11" s="11" t="inlineStr">
        <is>
          <t>PDF p.40 (印刷頁 39)</t>
        </is>
      </c>
      <c r="G11" s="11" t="inlineStr">
        <is>
          <t>Intangible assets 17 – –</t>
        </is>
      </c>
    </row>
    <row r="12">
      <c r="A12" s="8" t="inlineStr">
        <is>
          <t>Balance Sheet</t>
        </is>
      </c>
      <c r="B12" s="8" t="inlineStr">
        <is>
          <t>Inventories</t>
        </is>
      </c>
      <c r="C12" s="12" t="n">
        <v>165</v>
      </c>
      <c r="D12" s="13" t="n">
        <v>0</v>
      </c>
      <c r="E12" s="14" t="str">
        <f>IF(ISERROR((C12-D12)/ABS(D12)),"",(C12-D12)/ABS(D12))</f>
        <v/>
      </c>
      <c r="F12" s="11" t="inlineStr">
        <is>
          <t>PDF p.40 (印刷頁 39)</t>
        </is>
      </c>
      <c r="G12" s="11" t="inlineStr">
        <is>
          <t>Inventories 18 165 –</t>
        </is>
      </c>
    </row>
    <row r="13">
      <c r="A13" s="8" t="inlineStr">
        <is>
          <t>Balance Sheet</t>
        </is>
      </c>
      <c r="B13" s="8" t="inlineStr">
        <is>
          <t>Trade Receivables</t>
        </is>
      </c>
      <c r="C13" s="12" t="n">
        <v>5143</v>
      </c>
      <c r="D13" s="13" t="n">
        <v>5813</v>
      </c>
      <c r="E13" s="14">
        <f>IF(ISERROR((C13-D13)/ABS(D13)),"",(C13-D13)/ABS(D13))</f>
        <v>-0.11525890246000343</v>
      </c>
      <c r="F13" s="11" t="inlineStr">
        <is>
          <t>PDF p.40 (印刷頁 39)</t>
        </is>
      </c>
      <c r="G13" s="11" t="inlineStr">
        <is>
          <t>Trade and other receivables, deposits and prepayments 19 5,143 5,813</t>
        </is>
      </c>
    </row>
    <row r="14">
      <c r="A14" s="8" t="inlineStr">
        <is>
          <t>Balance Sheet</t>
        </is>
      </c>
      <c r="B14" s="8" t="inlineStr">
        <is>
          <t>Total Equity</t>
        </is>
      </c>
      <c r="C14" s="12" t="n">
        <v>6272</v>
      </c>
      <c r="D14" s="13" t="n">
        <v>14003</v>
      </c>
      <c r="E14" s="14">
        <f>IF(ISERROR((C14-D14)/ABS(D14)),"",(C14-D14)/ABS(D14))</f>
        <v>-0.5520959794329786</v>
      </c>
      <c r="F14" s="11" t="inlineStr">
        <is>
          <t>PDF p.40 (印刷頁 39)</t>
        </is>
      </c>
      <c r="G14" s="11" t="inlineStr">
        <is>
          <t>Total equity 6,272 14,003</t>
        </is>
      </c>
    </row>
    <row r="15">
      <c r="A15" s="8" t="inlineStr">
        <is>
          <t>Balance Sheet</t>
        </is>
      </c>
      <c r="B15" s="8" t="inlineStr">
        <is>
          <t>Total Current Assets</t>
        </is>
      </c>
      <c r="C15" s="12" t="n">
        <v>14200</v>
      </c>
      <c r="D15" s="13" t="n">
        <v>12617</v>
      </c>
      <c r="E15" s="14">
        <f>IF(ISERROR((C15-D15)/ABS(D15)),"",(C15-D15)/ABS(D15))</f>
        <v>0.12546564159467385</v>
      </c>
      <c r="F15" s="11" t="inlineStr">
        <is>
          <t>PDF p.40 (印刷頁 39)</t>
        </is>
      </c>
      <c r="G15" s="11" t="inlineStr">
        <is>
          <t>[current assets 區段小計] 14,200 12,617</t>
        </is>
      </c>
    </row>
    <row r="16">
      <c r="A16" s="8" t="inlineStr">
        <is>
          <t>Balance Sheet</t>
        </is>
      </c>
      <c r="B16" s="8" t="inlineStr">
        <is>
          <t>Total Current Liabilities</t>
        </is>
      </c>
      <c r="C16" s="12" t="n">
        <v>15010</v>
      </c>
      <c r="D16" s="13" t="n">
        <v>14743</v>
      </c>
      <c r="E16" s="14">
        <f>IF(ISERROR((C16-D16)/ABS(D16)),"",(C16-D16)/ABS(D16))</f>
        <v>0.018110289628976463</v>
      </c>
      <c r="F16" s="11" t="inlineStr">
        <is>
          <t>PDF p.40 (印刷頁 39)</t>
        </is>
      </c>
      <c r="G16" s="11" t="inlineStr">
        <is>
          <t>[current liabilities 區段小計] 15,010 14,743</t>
        </is>
      </c>
    </row>
    <row r="17">
      <c r="A17" s="8" t="inlineStr">
        <is>
          <t>Cash Flow</t>
        </is>
      </c>
      <c r="B17" s="8" t="inlineStr">
        <is>
          <t>Operating Cash Flow</t>
        </is>
      </c>
      <c r="C17" s="12" t="n">
        <v>2044</v>
      </c>
      <c r="D17" s="13" t="n">
        <v>63</v>
      </c>
      <c r="E17" s="14">
        <f>IF(ISERROR((C17-D17)/ABS(D17)),"",(C17-D17)/ABS(D17))</f>
        <v>31.444444444444443</v>
      </c>
      <c r="F17" s="11" t="inlineStr">
        <is>
          <t>PDF p.43 (印刷頁 42)</t>
        </is>
      </c>
      <c r="G17" s="11" t="inlineStr">
        <is>
          <t>NET CASH GENERATED FROM OPERATING ACTIVITIES 2,044 63</t>
        </is>
      </c>
    </row>
    <row r="18">
      <c r="A18" s="8" t="inlineStr">
        <is>
          <t>Cash Flow</t>
        </is>
      </c>
      <c r="B18" s="8" t="inlineStr">
        <is>
          <t>Investing Cash Flow</t>
        </is>
      </c>
      <c r="C18" s="12" t="n">
        <v>-360</v>
      </c>
      <c r="D18" s="13" t="n">
        <v>-2836</v>
      </c>
      <c r="E18" s="14">
        <f>IF(ISERROR((C18-D18)/ABS(D18)),"",(C18-D18)/ABS(D18))</f>
        <v>0.8730606488011283</v>
      </c>
      <c r="F18" s="11" t="inlineStr">
        <is>
          <t>PDF p.43 (印刷頁 42)</t>
        </is>
      </c>
      <c r="G18" s="11" t="inlineStr">
        <is>
          <t>NET CASH USED IN INVESTING ACTIVITIES (360) (2,836)</t>
        </is>
      </c>
    </row>
    <row r="19">
      <c r="A19" s="8" t="inlineStr">
        <is>
          <t>Cash Flow</t>
        </is>
      </c>
      <c r="B19" s="8" t="inlineStr">
        <is>
          <t>Financing Cash Flow</t>
        </is>
      </c>
      <c r="C19" s="12" t="n">
        <v>377</v>
      </c>
      <c r="D19" s="13" t="n">
        <v>-3678</v>
      </c>
      <c r="E19" s="14">
        <f>IF(ISERROR((C19-D19)/ABS(D19)),"",(C19-D19)/ABS(D19))</f>
        <v>1.1025013594344752</v>
      </c>
      <c r="F19" s="11" t="inlineStr">
        <is>
          <t>PDF p.43 (印刷頁 42)</t>
        </is>
      </c>
      <c r="G19" s="11" t="inlineStr">
        <is>
          <t>NET CASH FROM/(USED IN) FINANCING ACTIVITIES 377 (3,678)</t>
        </is>
      </c>
    </row>
    <row r="21">
      <c r="A21"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t="str">
        <f>IF(ISERROR(INDEX('Financials 財務數據'!$C$5:$C$19,MATCH("Gross Profit",'Financials 財務數據'!$B$5:$B$19,0))/INDEX('Financials 財務數據'!$C$5:$C$19,MATCH("Revenue",'Financials 財務數據'!$B$5:$B$19,0))),"n/a",INDEX('Financials 財務數據'!$C$5:$C$19,MATCH("Gross Profit",'Financials 財務數據'!$B$5:$B$19,0))/INDEX('Financials 財務數據'!$C$5:$C$19,MATCH("Revenue",'Financials 財務數據'!$B$5:$B$19,0)))</f>
        <v>n/a</v>
      </c>
      <c r="C5" s="15" t="str">
        <f>IF(ISERROR(INDEX('Financials 財務數據'!$D$5:$D$19,MATCH("Gross Profit",'Financials 財務數據'!$B$5:$B$19,0))/INDEX('Financials 財務數據'!$D$5:$D$19,MATCH("Revenue",'Financials 財務數據'!$B$5:$B$19,0))),"n/a",INDEX('Financials 財務數據'!$D$5:$D$19,MATCH("Gross Profit",'Financials 財務數據'!$B$5:$B$19,0))/INDEX('Financials 財務數據'!$D$5:$D$19,MATCH("Revenue",'Financials 財務數據'!$B$5:$B$19,0)))</f>
        <v>n/a</v>
      </c>
      <c r="D5" s="2" t="inlineStr">
        <is>
          <t>毛利 ÷ 收入</t>
        </is>
      </c>
    </row>
    <row r="6">
      <c r="A6" s="4" t="inlineStr">
        <is>
          <t>Net Margin 淨利率</t>
        </is>
      </c>
      <c r="B6" s="15">
        <f>IF(ISERROR(INDEX('Financials 財務數據'!$C$5:$C$19,MATCH("Profit for the Year",'Financials 財務數據'!$B$5:$B$19,0))/INDEX('Financials 財務數據'!$C$5:$C$19,MATCH("Revenue",'Financials 財務數據'!$B$5:$B$19,0))),"n/a",INDEX('Financials 財務數據'!$C$5:$C$19,MATCH("Profit for the Year",'Financials 財務數據'!$B$5:$B$19,0))/INDEX('Financials 財務數據'!$C$5:$C$19,MATCH("Revenue",'Financials 財務數據'!$B$5:$B$19,0)))</f>
        <v>-0.24617630259567178</v>
      </c>
      <c r="C6" s="15">
        <f>IF(ISERROR(INDEX('Financials 財務數據'!$D$5:$D$19,MATCH("Profit for the Year",'Financials 財務數據'!$B$5:$B$19,0))/INDEX('Financials 財務數據'!$D$5:$D$19,MATCH("Revenue",'Financials 財務數據'!$B$5:$B$19,0))),"n/a",INDEX('Financials 財務數據'!$D$5:$D$19,MATCH("Profit for the Year",'Financials 財務數據'!$B$5:$B$19,0))/INDEX('Financials 財務數據'!$D$5:$D$19,MATCH("Revenue",'Financials 財務數據'!$B$5:$B$19,0)))</f>
        <v>-0.19912019666192263</v>
      </c>
      <c r="D6" s="2" t="inlineStr">
        <is>
          <t>年內溢利 ÷ 收入</t>
        </is>
      </c>
    </row>
    <row r="7">
      <c r="A7" s="4" t="inlineStr">
        <is>
          <t>Current Ratio 流動比率</t>
        </is>
      </c>
      <c r="B7" s="16">
        <f>IF(ISERROR(INDEX('Financials 財務數據'!$C$5:$C$19,MATCH("Total Current Assets",'Financials 財務數據'!$B$5:$B$19,0))/INDEX('Financials 財務數據'!$C$5:$C$19,MATCH("Total Current Liabilities",'Financials 財務數據'!$B$5:$B$19,0))),"n/a",INDEX('Financials 財務數據'!$C$5:$C$19,MATCH("Total Current Assets",'Financials 財務數據'!$B$5:$B$19,0))/INDEX('Financials 財務數據'!$C$5:$C$19,MATCH("Total Current Liabilities",'Financials 財務數據'!$B$5:$B$19,0)))</f>
        <v>0.9460359760159893</v>
      </c>
      <c r="C7" s="16">
        <f>IF(ISERROR(INDEX('Financials 財務數據'!$D$5:$D$19,MATCH("Total Current Assets",'Financials 財務數據'!$B$5:$B$19,0))/INDEX('Financials 財務數據'!$D$5:$D$19,MATCH("Total Current Liabilities",'Financials 財務數據'!$B$5:$B$19,0))),"n/a",INDEX('Financials 財務數據'!$D$5:$D$19,MATCH("Total Current Assets",'Financials 財務數據'!$B$5:$B$19,0))/INDEX('Financials 財務數據'!$D$5:$D$19,MATCH("Total Current Liabilities",'Financials 財務數據'!$B$5:$B$19,0)))</f>
        <v>0.8557959709692735</v>
      </c>
      <c r="D7" s="2" t="inlineStr">
        <is>
          <t>流動資產 ÷ 流動負債</t>
        </is>
      </c>
    </row>
    <row r="8">
      <c r="A8" s="4" t="inlineStr">
        <is>
          <t>Debt / Equity 負債權益比</t>
        </is>
      </c>
      <c r="B8" s="16" t="str">
        <f>IF(ISERROR(INDEX('Financials 財務數據'!$C$5:$C$19,MATCH("Total Liabilities",'Financials 財務數據'!$B$5:$B$19,0))/INDEX('Financials 財務數據'!$C$5:$C$19,MATCH("Total Equity",'Financials 財務數據'!$B$5:$B$19,0))),"n/a",INDEX('Financials 財務數據'!$C$5:$C$19,MATCH("Total Liabilities",'Financials 財務數據'!$B$5:$B$19,0))/INDEX('Financials 財務數據'!$C$5:$C$19,MATCH("Total Equity",'Financials 財務數據'!$B$5:$B$19,0)))</f>
        <v>n/a</v>
      </c>
      <c r="C8" s="16" t="str">
        <f>IF(ISERROR(INDEX('Financials 財務數據'!$D$5:$D$19,MATCH("Total Liabilities",'Financials 財務數據'!$B$5:$B$19,0))/INDEX('Financials 財務數據'!$D$5:$D$19,MATCH("Total Equity",'Financials 財務數據'!$B$5:$B$19,0))),"n/a",INDEX('Financials 財務數據'!$D$5:$D$19,MATCH("Total Liabilities",'Financials 財務數據'!$B$5:$B$19,0))/INDEX('Financials 財務數據'!$D$5:$D$19,MATCH("Total Equity",'Financials 財務數據'!$B$5:$B$19,0)))</f>
        <v>n/a</v>
      </c>
      <c r="D8" s="2" t="inlineStr">
        <is>
          <t>總負債 ÷ 總權益</t>
        </is>
      </c>
    </row>
    <row r="9">
      <c r="A9" s="4" t="inlineStr">
        <is>
          <t>Goodwill / Total Assets</t>
        </is>
      </c>
      <c r="B9" s="15" t="str">
        <f>IF(ISERROR(INDEX('Financials 財務數據'!$C$5:$C$19,MATCH("Goodwill",'Financials 財務數據'!$B$5:$B$19,0))/INDEX('Financials 財務數據'!$C$5:$C$19,MATCH("Total Assets",'Financials 財務數據'!$B$5:$B$19,0))),"n/a",INDEX('Financials 財務數據'!$C$5:$C$19,MATCH("Goodwill",'Financials 財務數據'!$B$5:$B$19,0))/INDEX('Financials 財務數據'!$C$5:$C$19,MATCH("Total Assets",'Financials 財務數據'!$B$5:$B$19,0)))</f>
        <v>n/a</v>
      </c>
      <c r="C9" s="15" t="str">
        <f>IF(ISERROR(INDEX('Financials 財務數據'!$D$5:$D$19,MATCH("Goodwill",'Financials 財務數據'!$B$5:$B$19,0))/INDEX('Financials 財務數據'!$D$5:$D$19,MATCH("Total Assets",'Financials 財務數據'!$B$5:$B$19,0))),"n/a",INDEX('Financials 財務數據'!$D$5:$D$19,MATCH("Goodwill",'Financials 財務數據'!$B$5:$B$19,0))/INDEX('Financials 財務數據'!$D$5:$D$19,MATCH("Total Assets",'Financials 財務數據'!$B$5:$B$19,0)))</f>
        <v>n/a</v>
      </c>
      <c r="D9" s="2" t="inlineStr">
        <is>
          <t>商譽佔總資產比重 — 減值風險指標</t>
        </is>
      </c>
    </row>
    <row r="10">
      <c r="A10" s="4" t="inlineStr">
        <is>
          <t>Intangibles / Total Assets</t>
        </is>
      </c>
      <c r="B10" s="15" t="str">
        <f>IF(ISERROR(INDEX('Financials 財務數據'!$C$5:$C$19,MATCH("Intangible Assets",'Financials 財務數據'!$B$5:$B$19,0))/INDEX('Financials 財務數據'!$C$5:$C$19,MATCH("Total Assets",'Financials 財務數據'!$B$5:$B$19,0))),"n/a",INDEX('Financials 財務數據'!$C$5:$C$19,MATCH("Intangible Assets",'Financials 財務數據'!$B$5:$B$19,0))/INDEX('Financials 財務數據'!$C$5:$C$19,MATCH("Total Assets",'Financials 財務數據'!$B$5:$B$19,0)))</f>
        <v>n/a</v>
      </c>
      <c r="C10" s="15" t="str">
        <f>IF(ISERROR(INDEX('Financials 財務數據'!$D$5:$D$19,MATCH("Intangible Assets",'Financials 財務數據'!$B$5:$B$19,0))/INDEX('Financials 財務數據'!$D$5:$D$19,MATCH("Total Assets",'Financials 財務數據'!$B$5:$B$19,0))),"n/a",INDEX('Financials 財務數據'!$D$5:$D$19,MATCH("Intangible Assets",'Financials 財務數據'!$B$5:$B$19,0))/INDEX('Financials 財務數據'!$D$5:$D$19,MATCH("Total Assets",'Financials 財務數據'!$B$5:$B$19,0)))</f>
        <v>n/a</v>
      </c>
      <c r="D10" s="2" t="inlineStr">
        <is>
          <t>無形資產佔比</t>
        </is>
      </c>
    </row>
    <row r="11">
      <c r="A11" s="4" t="inlineStr">
        <is>
          <t>ROE 股本回報率</t>
        </is>
      </c>
      <c r="B11" s="15">
        <f>IF(ISERROR(INDEX('Financials 財務數據'!$C$5:$C$19,MATCH("Profit for the Year",'Financials 財務數據'!$B$5:$B$19,0))/INDEX('Financials 財務數據'!$C$5:$C$19,MATCH("Total Equity",'Financials 財務數據'!$B$5:$B$19,0))),"n/a",INDEX('Financials 財務數據'!$C$5:$C$19,MATCH("Profit for the Year",'Financials 財務數據'!$B$5:$B$19,0))/INDEX('Financials 財務數據'!$C$5:$C$19,MATCH("Total Equity",'Financials 財務數據'!$B$5:$B$19,0)))</f>
        <v>-1.2369260204081634</v>
      </c>
      <c r="C11" s="15">
        <f>IF(ISERROR(INDEX('Financials 財務數據'!$D$5:$D$19,MATCH("Profit for the Year",'Financials 財務數據'!$B$5:$B$19,0))/INDEX('Financials 財務數據'!$D$5:$D$19,MATCH("Total Equity",'Financials 財務數據'!$B$5:$B$19,0))),"n/a",INDEX('Financials 財務數據'!$D$5:$D$19,MATCH("Profit for the Year",'Financials 財務數據'!$B$5:$B$19,0))/INDEX('Financials 財務數據'!$D$5:$D$19,MATCH("Total Equity",'Financials 財務數據'!$B$5:$B$19,0)))</f>
        <v>-0.4396200814111262</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30916</v>
      </c>
      <c r="C5" s="18" t="n">
        <v>31514</v>
      </c>
    </row>
    <row r="6">
      <c r="A6" s="4" t="inlineStr">
        <is>
          <t>Profit Before Tax</t>
        </is>
      </c>
      <c r="B6" s="18" t="n">
        <v>-6156</v>
      </c>
      <c r="C6" s="18" t="n">
        <v>-7758</v>
      </c>
    </row>
    <row r="7">
      <c r="A7" s="4" t="inlineStr">
        <is>
          <t>Profit for the Year</t>
        </is>
      </c>
      <c r="B7" s="18" t="n">
        <v>-6156</v>
      </c>
      <c r="C7" s="18" t="n">
        <v>-7758</v>
      </c>
    </row>
    <row r="8">
      <c r="A8" s="4" t="inlineStr">
        <is>
          <t>Total Equity</t>
        </is>
      </c>
      <c r="B8" s="18" t="n">
        <v>14003</v>
      </c>
      <c r="C8" s="18" t="n">
        <v>6272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44"/>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valuation technique</t>
        </is>
      </c>
      <c r="E4" s="11" t="inlineStr">
        <is>
          <t>PDF p.48 (印刷頁 47)</t>
        </is>
      </c>
      <c r="F4" s="11" t="inlineStr">
        <is>
          <t>ween market participants at the measurement date, regardless of whether that price is directly observable or estimated using another valuation technique. The preparation of the consolidated financial statements in conformity with HKFRS Accounting Standards requires the use of certain critical accounting estimates. It also requires the directors of the Company to exercise its judgement in the process of applying the Group’s accounting policies. The areas involving a higher degree of judgement or complexity, or areas where assump</t>
        </is>
      </c>
    </row>
    <row r="5">
      <c r="A5" s="8" t="inlineStr">
        <is>
          <t>Impairment Testing</t>
        </is>
      </c>
      <c r="B5" s="8" t="inlineStr">
        <is>
          <t>減值測試</t>
        </is>
      </c>
      <c r="C5" s="19" t="inlineStr">
        <is>
          <t>high</t>
        </is>
      </c>
      <c r="D5" s="11" t="inlineStr">
        <is>
          <t>impairment loss</t>
        </is>
      </c>
      <c r="E5" s="11" t="inlineStr">
        <is>
          <t>PDF p.8 (印刷頁 7)</t>
        </is>
      </c>
      <c r="F5" s="11" t="inlineStr">
        <is>
          <t>TASTY CONCEPTS HOLDING LIMITED | ANNUAL REPORT 2026 7 MANAGEMENT DISCUSSION AND ANALYSIS IMPAIRMENT LOSS ON OTHER RECEIVABLES During the year ended 31 March 2026, impairment loss on other receivables of approximately HK$462,000 was recognised (2025: HK$380,000). The management of the Group makes periodic individual assessment on the recoverability of other receivables and deposits based on historical settlement records, past experience, and also available reasonable and supportive for</t>
        </is>
      </c>
    </row>
    <row r="6">
      <c r="A6" s="8" t="inlineStr">
        <is>
          <t>Impairment Testing</t>
        </is>
      </c>
      <c r="B6" s="8" t="inlineStr">
        <is>
          <t>減值測試</t>
        </is>
      </c>
      <c r="C6" s="19" t="inlineStr">
        <is>
          <t>high</t>
        </is>
      </c>
      <c r="D6" s="11" t="inlineStr">
        <is>
          <t>impairment test</t>
        </is>
      </c>
      <c r="E6" s="11" t="inlineStr">
        <is>
          <t>PDF p.35 (印刷頁 34)</t>
        </is>
      </c>
      <c r="F6" s="11" t="inlineStr">
        <is>
          <t>ely HK$5,621,000 and HK$3,164,000 financial assets and assessed and reviewed the respectively. The property and equipment and right- impairment testing performed by the management of of-use assets mainly represented the leasehold the Group; improvements, fixtures and equipment and the leased properties used for restaurant operations. In view of • reviewing, with the assistance of the independent the loss making and the under-performance of the auditor’s expert, the methodology adopted, the restaurants with continuing decline in</t>
        </is>
      </c>
    </row>
    <row r="7">
      <c r="A7" s="8" t="inlineStr">
        <is>
          <t>Impairment Testing</t>
        </is>
      </c>
      <c r="B7" s="8" t="inlineStr">
        <is>
          <t>減值測試</t>
        </is>
      </c>
      <c r="C7" s="19" t="inlineStr">
        <is>
          <t>high</t>
        </is>
      </c>
      <c r="D7" s="11" t="inlineStr">
        <is>
          <t>impairment loss</t>
        </is>
      </c>
      <c r="E7" s="11" t="inlineStr">
        <is>
          <t>PDF p.39 (印刷頁 38)</t>
        </is>
      </c>
      <c r="F7" s="11" t="inlineStr">
        <is>
          <t>(8,882) Rental and related expenses (3,185) (3,941) Depreciation expenses (8,170) (5,811) Other operating expenses (11,909) (9,399) Impairment loss on other receivables (462) (380) Finance costs 9 (234) (180) Loss before taxation 10 (7,758) (6,156) Income tax 12 – – Loss for the year (7,758) (6,156) Other comprehensive income/(expense) for the year Item that may be reclassified subsequently to profit or loss: Exchange differences arising on translation of financial statements of foreign operation 27 (2) Total comprehensive exp</t>
        </is>
      </c>
    </row>
    <row r="8">
      <c r="A8" s="8" t="inlineStr">
        <is>
          <t>Impairment Testing</t>
        </is>
      </c>
      <c r="B8" s="8" t="inlineStr">
        <is>
          <t>減值測試</t>
        </is>
      </c>
      <c r="C8" s="19" t="inlineStr">
        <is>
          <t>high</t>
        </is>
      </c>
      <c r="D8" s="11" t="inlineStr">
        <is>
          <t>impairment loss</t>
        </is>
      </c>
      <c r="E8" s="11" t="inlineStr">
        <is>
          <t>PDF p.43 (印刷頁 42)</t>
        </is>
      </c>
      <c r="F8" s="11" t="inlineStr">
        <is>
          <t>disposal of a subsidiary – (57) Gain on disposal of property and equipment (35) – Gain on termination of lease contracts (108) (33) Impairment loss on other receivables 462 380 Loss on write-off of property and equipment – 25 Recognition of provision for surcharge and penalty, net of reversal of provision for reinstatement cost 14 44 Operating cash flows before movements in working capital 974 140 (Increase)/decrease in inventories (165) 199 Decrease in trade and other receivables, deposits and prepayments 1,790 591 Decrease i</t>
        </is>
      </c>
    </row>
    <row r="9">
      <c r="A9" s="8" t="inlineStr">
        <is>
          <t>Impairment Testing</t>
        </is>
      </c>
      <c r="B9" s="8" t="inlineStr">
        <is>
          <t>減值測試</t>
        </is>
      </c>
      <c r="C9" s="19" t="inlineStr">
        <is>
          <t>high</t>
        </is>
      </c>
      <c r="D9" s="11" t="inlineStr">
        <is>
          <t>recoverable amount</t>
        </is>
      </c>
      <c r="E9" s="11" t="inlineStr">
        <is>
          <t>PDF p.45 (印刷頁 44)</t>
        </is>
      </c>
      <c r="F9" s="11" t="inlineStr">
        <is>
          <t>not be continued as a going concern, adjustments would have to be made to reduce the carrying values of the Group’s assets to their recoverable amounts, to provide for any further liabilities which might arise, and to reclassify non-current assets and non-current liabilities as current assets and current liabilities, where applicable. The effect of these adjustments has not been reflected in the consolidated financial statements of the Group. The HKICPA has issued certain new and amendments to HKFRS Accounting Standards that a</t>
        </is>
      </c>
    </row>
    <row r="10">
      <c r="A10" s="8" t="inlineStr">
        <is>
          <t>Impairment Testing</t>
        </is>
      </c>
      <c r="B10" s="8" t="inlineStr">
        <is>
          <t>減值測試</t>
        </is>
      </c>
      <c r="C10" s="19" t="inlineStr">
        <is>
          <t>high</t>
        </is>
      </c>
      <c r="D10" s="11" t="inlineStr">
        <is>
          <t>impairment test</t>
        </is>
      </c>
      <c r="E10" s="11" t="inlineStr">
        <is>
          <t>PDF p.49 (印刷頁 48)</t>
        </is>
      </c>
      <c r="F10" s="11" t="inlineStr">
        <is>
          <t>costs of investments. The results of subsidiaries are accounted for by the Company on the basis of dividend received or receivable. Impairment testing of the investments in subsidiaries is required upon receiving a dividend from these investments if the dividend exceeds the total comprehensive income of the subsidiary in the period the dividend is declared or if the carrying amount of the investment in the separate financial statements exceeds the carrying amount in the consolidated financial statements of the investee’s net a</t>
        </is>
      </c>
    </row>
    <row r="11">
      <c r="A11" s="8" t="inlineStr">
        <is>
          <t>Impairment Testing</t>
        </is>
      </c>
      <c r="B11" s="8" t="inlineStr">
        <is>
          <t>減值測試</t>
        </is>
      </c>
      <c r="C11" s="19" t="inlineStr">
        <is>
          <t>high</t>
        </is>
      </c>
      <c r="D11" s="11" t="inlineStr">
        <is>
          <t>impairment loss</t>
        </is>
      </c>
      <c r="E11" s="11" t="inlineStr">
        <is>
          <t>PDF p.50 (印刷頁 49)</t>
        </is>
      </c>
      <c r="F11" s="11" t="inlineStr">
        <is>
          <t>vation in progress represents renovation under construction and plant and equipment pending installation, and is stated at cost less impairment losses, if any. Depreciation begins when the relevant assets are available for use. The gain or loss on disposal of property and equipment is the difference between the net sales proceeds and the carrying amount of the relevant asset, and is recognised in profit or loss. An item of property and equipment is written-off when no future benefits and expected to arise from continued use of</t>
        </is>
      </c>
    </row>
    <row r="12">
      <c r="A12" s="8" t="inlineStr">
        <is>
          <t>Impairment Testing</t>
        </is>
      </c>
      <c r="B12" s="8" t="inlineStr">
        <is>
          <t>減值測試</t>
        </is>
      </c>
      <c r="C12" s="19" t="inlineStr">
        <is>
          <t>high</t>
        </is>
      </c>
      <c r="D12" s="11" t="inlineStr">
        <is>
          <t>impairment loss</t>
        </is>
      </c>
      <c r="E12" s="11" t="inlineStr">
        <is>
          <t>PDF p.51 (印刷頁 50)</t>
        </is>
      </c>
      <c r="F12" s="11" t="inlineStr">
        <is>
          <t>t value, less any lease incentives received. The right-of-use asset is subsequently stated at cost less accumulated depreciation and impairment losses, if any. Right-of-use assets are depreciated on a straight-line basis over the shorter of its estimated useful life and the lease term. Refundable rental deposits paid are accounted under HKFRS 9 and initially measured at fair value. Adjustments to fair value at initial recognition are considered as additional lease payments and included in the cost of right-of-use assets. The Gr</t>
        </is>
      </c>
    </row>
    <row r="13">
      <c r="A13" s="8" t="inlineStr">
        <is>
          <t>Impairment Testing</t>
        </is>
      </c>
      <c r="B13" s="8" t="inlineStr">
        <is>
          <t>減值測試</t>
        </is>
      </c>
      <c r="C13" s="19" t="inlineStr">
        <is>
          <t>high</t>
        </is>
      </c>
      <c r="D13" s="11" t="inlineStr">
        <is>
          <t>impairment loss</t>
        </is>
      </c>
      <c r="E13" s="11" t="inlineStr">
        <is>
          <t>PDF p.55 (印刷頁 54)</t>
        </is>
      </c>
      <c r="F13" s="11" t="inlineStr">
        <is>
          <t>es that reflect the time value of money and the risks specific to the asset/cash-generating unit whose impairment is being measured. Impairment losses for cash-generating units are allocated first against the goodwill of the unit and then pro rata amongst the other assets of the cash-generating unit. Subsequent increases in the recoverable amount caused by changes in estimates are credited to profit or loss to the extent that they reverse the impairment. (R) IMPAIRMENT OF FINANCIAL ASSETS The Group recognises a loss allowance f</t>
        </is>
      </c>
    </row>
    <row r="14">
      <c r="A14" s="8" t="inlineStr">
        <is>
          <t>Impairment Testing</t>
        </is>
      </c>
      <c r="B14" s="8" t="inlineStr">
        <is>
          <t>減值測試</t>
        </is>
      </c>
      <c r="C14" s="19" t="inlineStr">
        <is>
          <t>high</t>
        </is>
      </c>
      <c r="D14" s="11" t="inlineStr">
        <is>
          <t>impairment test</t>
        </is>
      </c>
      <c r="E14" s="11" t="inlineStr">
        <is>
          <t>PDF p.60 (印刷頁 59)</t>
        </is>
      </c>
      <c r="F14" s="11" t="inlineStr">
        <is>
          <t>he discount rates or the revenue growth rate in the cash flow projections, could materially affect the net present value used in the impairment test and the recoverable amount based on value in use.</t>
        </is>
      </c>
    </row>
    <row r="15">
      <c r="A15" s="8" t="inlineStr">
        <is>
          <t>Impairment Testing</t>
        </is>
      </c>
      <c r="B15" s="8" t="inlineStr">
        <is>
          <t>減值測試</t>
        </is>
      </c>
      <c r="C15" s="19" t="inlineStr">
        <is>
          <t>high</t>
        </is>
      </c>
      <c r="D15" s="11" t="inlineStr">
        <is>
          <t>impairment loss</t>
        </is>
      </c>
      <c r="E15" s="11" t="inlineStr">
        <is>
          <t>PDF p.61 (印刷頁 60)</t>
        </is>
      </c>
      <c r="F15" s="11" t="inlineStr">
        <is>
          <t>ng amount of HK$5,621,000 (2025: HK$12,758,000); and (ii) right-of-use assets of HK$3,164,000 (2025: HK$1,604,000), respectively. No impairment loss has been recognised during the years ended 31 March 2026 and 2025. Details of the impairment assessment are set out in note 15. IMPAIRMENT OF TRADE AND OTHER RECEIVABLES The management of the Group estimates the amount of allowance for ECL on trade and other receivables based on the credit risk of trade and other receivables. The amount of the allowance based on ECL model is measur</t>
        </is>
      </c>
    </row>
    <row r="16">
      <c r="A16" s="8" t="inlineStr">
        <is>
          <t>Impairment Testing</t>
        </is>
      </c>
      <c r="B16" s="8" t="inlineStr">
        <is>
          <t>減值測試</t>
        </is>
      </c>
      <c r="C16" s="19" t="inlineStr">
        <is>
          <t>high</t>
        </is>
      </c>
      <c r="D16" s="11" t="inlineStr">
        <is>
          <t>impairment loss</t>
        </is>
      </c>
      <c r="E16" s="11" t="inlineStr">
        <is>
          <t>PDF p.62 (印刷頁 61)</t>
        </is>
      </c>
      <c r="F16" s="11" t="inlineStr">
        <is>
          <t>e gross carrying amount of other receivables and deposits is HK$5,583,000 (2025: HK$6,788,000). During the year ended 31 March 2026, impairment loss on other receivables of approximately HK$462,000 (2025: HK$380,000) was recognised. The management of the Group considered that the impairment loss on other receivables was insignificant and no details of the impairment assessment are disclosed. LIQUIDITY RISK The Group’s policy is to regularly monitor current and expected liquidity requirements to ensure that it maintains sufficie</t>
        </is>
      </c>
    </row>
    <row r="17">
      <c r="A17" s="8" t="inlineStr">
        <is>
          <t>Impairment Testing</t>
        </is>
      </c>
      <c r="B17" s="8" t="inlineStr">
        <is>
          <t>減值測試</t>
        </is>
      </c>
      <c r="C17" s="19" t="inlineStr">
        <is>
          <t>high</t>
        </is>
      </c>
      <c r="D17" s="11" t="inlineStr">
        <is>
          <t>impairment loss</t>
        </is>
      </c>
      <c r="E17" s="11" t="inlineStr">
        <is>
          <t>PDF p.74 (印刷頁 73)</t>
        </is>
      </c>
      <c r="F17" s="11" t="inlineStr">
        <is>
          <t>amount of each individual CGU are higher than the respective carrying amounts of property and equipment and right-of-use assets, no impairment losses were recognised during the years ended 31 March 2026 and 2025. The recoverable amount of each individual CGU is determined based on a value-in-use calculation covering the useful life of the respective assets included in each individual CGU. The revenue growth rate during the forecast period is 2.5% (2025: ranged from 0% – 3%) which is based on the management’s estimation regardi</t>
        </is>
      </c>
    </row>
    <row r="18">
      <c r="A18" s="8" t="inlineStr">
        <is>
          <t>Impairment Testing</t>
        </is>
      </c>
      <c r="B18" s="8" t="inlineStr">
        <is>
          <t>減值測試</t>
        </is>
      </c>
      <c r="C18" s="19" t="inlineStr">
        <is>
          <t>high</t>
        </is>
      </c>
      <c r="D18" s="11" t="inlineStr">
        <is>
          <t>impairment loss</t>
        </is>
      </c>
      <c r="E18" s="11" t="inlineStr">
        <is>
          <t>PDF p.93 (印刷頁 92)</t>
        </is>
      </c>
      <c r="F18" s="11" t="inlineStr">
        <is>
          <t>) Depreciation expenses (8,170) (5,811) (5,280) (4,077) (6,388) Other operating expenses (11,909) (9,399) (11,197) (13,952) (14,213) Impairment losses (462) (380) – (2,342) (10,806) Finance costs (234) (180) (565) (735) (692) Loss before taxation (7,758) (6,156) (8,135) (9,778) (14,755) Income tax credit/(expense) – – 9 39 (1,047) Loss for the year (7,758) (6,156) (8,126) (9,739) (15,802) Loss for the year attributable to: Owners of the Company (7,741) (6,073) (8,133) (9,650) (13,833) Non-controlling interests (17) (83) 7 (89)</t>
        </is>
      </c>
    </row>
    <row r="19">
      <c r="A19" s="8" t="inlineStr">
        <is>
          <t>Intangible Assets &amp; Goodwill</t>
        </is>
      </c>
      <c r="B19" s="8" t="inlineStr">
        <is>
          <t>無形資產及商譽</t>
        </is>
      </c>
      <c r="C19" s="19" t="inlineStr">
        <is>
          <t>high</t>
        </is>
      </c>
      <c r="D19" s="11" t="inlineStr">
        <is>
          <t>licence</t>
        </is>
      </c>
      <c r="E19" s="11" t="inlineStr">
        <is>
          <t>PDF p.7 (印刷頁 6)</t>
        </is>
      </c>
      <c r="F19" s="11" t="inlineStr">
        <is>
          <t>4 Advertising and marketing expenses 2,204 213 Repair and maintenance fees 3,086 247 Tools and equipment 521 167 Consumables 377 145 Licence fee and related expenses 160 21 Cleaning expenses 131 381 Provisions for surcharge and penalty for litigations (note (i)) 44 44 Others (note (ii)) 2,151 1,820 11,909 9,399 Notes: (i) The Group has been involved in several claims in relation to rental and other related expenses arrears. Provisions for estimated surcharge and penalty that might be borne by the Group from the litigations amou</t>
        </is>
      </c>
    </row>
    <row r="20">
      <c r="A20" s="8" t="inlineStr">
        <is>
          <t>Intangible Assets &amp; Goodwill</t>
        </is>
      </c>
      <c r="B20" s="8" t="inlineStr">
        <is>
          <t>無形資產及商譽</t>
        </is>
      </c>
      <c r="C20" s="19" t="inlineStr">
        <is>
          <t>high</t>
        </is>
      </c>
      <c r="D20" s="11" t="inlineStr">
        <is>
          <t>intangible asset</t>
        </is>
      </c>
      <c r="E20" s="11" t="inlineStr">
        <is>
          <t>PDF p.40 (印刷頁 39)</t>
        </is>
      </c>
      <c r="F20" s="11" t="inlineStr">
        <is>
          <t>ch 2026 NOTES 2026 2025 HK$’000 HK$’000 Non-current assets Property and equipment 15 5,621 12,758 Right-of-use assets 16 3,164 1,604 Intangible assets 17 – – Deposits 19 417 2,043 9,202 16,405 Current assets Inventories 18 165 – Trade and other receivables, deposits and prepayments 19 5,143 5,813 Bank balances and cash 20 8,892 6,804 14,200 12,617 Current liabilities Trade and other payables 21 5,170 5,697 Amount due to a shareholder 29(A) 6,231 7,270 Lease liabilities 22 1,363 1,466 Tax payable 47 75 Other borrowing 24 1,920 –</t>
        </is>
      </c>
    </row>
    <row r="21">
      <c r="A21" s="8" t="inlineStr">
        <is>
          <t>Intangible Assets &amp; Goodwill</t>
        </is>
      </c>
      <c r="B21" s="8" t="inlineStr">
        <is>
          <t>無形資產及商譽</t>
        </is>
      </c>
      <c r="C21" s="19" t="inlineStr">
        <is>
          <t>high</t>
        </is>
      </c>
      <c r="D21" s="11" t="inlineStr">
        <is>
          <t>goodwill</t>
        </is>
      </c>
      <c r="E21" s="11" t="inlineStr">
        <is>
          <t>PDF p.48 (印刷頁 47)</t>
        </is>
      </c>
      <c r="F21" s="11" t="inlineStr">
        <is>
          <t>investment retained in that subsidiary, if any; and (ii) the Company’s share of the net assets of that subsidiary plus any remaining goodwill and any accumulated translation reserve relating to that subsidiary. Intragroup transactions, balances and unrealised profits are eliminated. Unrealised losses are also eliminated unless the transaction provides evidence of an impairment of the asset transferred. The accounting policies of subsidiaries have been changed where necessary to ensure consistency with the policies adopted by th</t>
        </is>
      </c>
    </row>
    <row r="22">
      <c r="A22" s="8" t="inlineStr">
        <is>
          <t>Intangible Assets &amp; Goodwill</t>
        </is>
      </c>
      <c r="B22" s="8" t="inlineStr">
        <is>
          <t>無形資產及商譽</t>
        </is>
      </c>
      <c r="C22" s="19" t="inlineStr">
        <is>
          <t>high</t>
        </is>
      </c>
      <c r="D22" s="11" t="inlineStr">
        <is>
          <t>goodwill</t>
        </is>
      </c>
      <c r="E22" s="11" t="inlineStr">
        <is>
          <t>PDF p.49 (印刷頁 48)</t>
        </is>
      </c>
      <c r="F22" s="11" t="inlineStr">
        <is>
          <t>ate financial statements exceeds the carrying amount in the consolidated financial statements of the investee’s net assets including goodwill. (C) PROPERTY AND EQUIPMENT Property and equipment are held for use in the production or supply of goods or services, or for administrative purposes. Property and equipment are stated in the consolidated statement of financial position at cost, less subsequent accumulated depreciation and subsequent accumulated impairment losses, if any. Subsequent costs are included in the asset’s carryi</t>
        </is>
      </c>
    </row>
    <row r="23">
      <c r="A23" s="8" t="inlineStr">
        <is>
          <t>Intangible Assets &amp; Goodwill</t>
        </is>
      </c>
      <c r="B23" s="8" t="inlineStr">
        <is>
          <t>無形資產及商譽</t>
        </is>
      </c>
      <c r="C23" s="19" t="inlineStr">
        <is>
          <t>high</t>
        </is>
      </c>
      <c r="D23" s="11" t="inlineStr">
        <is>
          <t>useful life</t>
        </is>
      </c>
      <c r="E23" s="11" t="inlineStr">
        <is>
          <t>PDF p.51 (印刷頁 50)</t>
        </is>
      </c>
      <c r="F23" s="11" t="inlineStr">
        <is>
          <t>iation and impairment losses, if any. Right-of-use assets are depreciated on a straight-line basis over the shorter of its estimated useful life and the lease term. Refundable rental deposits paid are accounted under HKFRS 9 and initially measured at fair value. Adjustments to fair value at initial recognition are considered as additional lease payments and included in the cost of right-of-use assets. The Group applies HKAS 36 to determine whether a right-of-use asset is impaired and accounts for any identified impairment loss,</t>
        </is>
      </c>
    </row>
    <row r="24">
      <c r="A24" s="8" t="inlineStr">
        <is>
          <t>Intangible Assets &amp; Goodwill</t>
        </is>
      </c>
      <c r="B24" s="8" t="inlineStr">
        <is>
          <t>無形資產及商譽</t>
        </is>
      </c>
      <c r="C24" s="19" t="inlineStr">
        <is>
          <t>high</t>
        </is>
      </c>
      <c r="D24" s="11" t="inlineStr">
        <is>
          <t>trademark</t>
        </is>
      </c>
      <c r="E24" s="11" t="inlineStr">
        <is>
          <t>PDF p.53 (印刷頁 52)</t>
        </is>
      </c>
      <c r="F24" s="11" t="inlineStr">
        <is>
          <t>ed over time using the output method. The Group recognises revenue for a sales-based royalty promised in exchange for the license of trademark when the later of the following events occurs (i) the subsequent usage occurs; and (ii) the performance obligation to which some or all of the usage-based license has been allocated has been satisfied (or partially satisfied). (N) EMPLOYEE BENEFITS (I) EMPLOYEE LEAVE ENTITLEMENTS Employee entitlements to annual leave are recognised when they accrue to employees. A provision is made for t</t>
        </is>
      </c>
    </row>
    <row r="25">
      <c r="A25" s="8" t="inlineStr">
        <is>
          <t>Intangible Assets &amp; Goodwill</t>
        </is>
      </c>
      <c r="B25" s="8" t="inlineStr">
        <is>
          <t>無形資產及商譽</t>
        </is>
      </c>
      <c r="C25" s="19" t="inlineStr">
        <is>
          <t>high</t>
        </is>
      </c>
      <c r="D25" s="11" t="inlineStr">
        <is>
          <t>goodwill</t>
        </is>
      </c>
      <c r="E25" s="11" t="inlineStr">
        <is>
          <t>PDF p.54 (印刷頁 53)</t>
        </is>
      </c>
      <c r="F25" s="11" t="inlineStr">
        <is>
          <t>ctible temporary differences can be utilised. Such assets and liabilities are not recognised if the temporary difference arises from goodwill or from the initial recognition (other than in a business combination) of other assets and liabilities in a transaction that affects neither the taxable profit nor the accounting profit and at the time of transaction does not give rise to equal taxable and deductible temporary differences. Deferred tax liabilities are recognised for taxable temporary differences arising on investments in</t>
        </is>
      </c>
    </row>
    <row r="26">
      <c r="A26" s="8" t="inlineStr">
        <is>
          <t>Intangible Assets &amp; Goodwill</t>
        </is>
      </c>
      <c r="B26" s="8" t="inlineStr">
        <is>
          <t>無形資產及商譽</t>
        </is>
      </c>
      <c r="C26" s="19" t="inlineStr">
        <is>
          <t>high</t>
        </is>
      </c>
      <c r="D26" s="11" t="inlineStr">
        <is>
          <t>goodwill</t>
        </is>
      </c>
      <c r="E26" s="11" t="inlineStr">
        <is>
          <t>PDF p.55 (印刷頁 54)</t>
        </is>
      </c>
      <c r="F26" s="11" t="inlineStr">
        <is>
          <t>cash-generating unit whose impairment is being measured. Impairment losses for cash-generating units are allocated first against the goodwill of the unit and then pro rata amongst the other assets of the cash-generating unit. Subsequent increases in the recoverable amount caused by changes in estimates are credited to profit or loss to the extent that they reverse the impairment. (R) IMPAIRMENT OF FINANCIAL ASSETS The Group recognises a loss allowance for ECL on trade receivables, other receivables, deposits and bank balances a</t>
        </is>
      </c>
    </row>
    <row r="27">
      <c r="A27" s="8" t="inlineStr">
        <is>
          <t>Intangible Assets &amp; Goodwill</t>
        </is>
      </c>
      <c r="B27" s="8" t="inlineStr">
        <is>
          <t>無形資產及商譽</t>
        </is>
      </c>
      <c r="C27" s="19" t="inlineStr">
        <is>
          <t>high</t>
        </is>
      </c>
      <c r="D27" s="11" t="inlineStr">
        <is>
          <t>useful life</t>
        </is>
      </c>
      <c r="E27" s="11" t="inlineStr">
        <is>
          <t>PDF p.74 (印刷頁 73)</t>
        </is>
      </c>
      <c r="F27" s="11" t="inlineStr">
        <is>
          <t>31 March 2026 and 2025. The recoverable amount of each individual CGU is determined based on a value-in-use calculation covering the useful life of the respective assets included in each individual CGU. The revenue growth rate during the forecast period is 2.5% (2025: ranged from 0% – 3%) which is based on the management’s estimation regarding service capacity and existing table turnover rate of the restaurants. The pre-tax discount rates used are ranged from 18.3% – 20.5% (2025: 14.9%) and reflects specific risks relating to e</t>
        </is>
      </c>
    </row>
    <row r="28">
      <c r="A28" s="8" t="inlineStr">
        <is>
          <t>Intangible Assets &amp; Goodwill</t>
        </is>
      </c>
      <c r="B28" s="8" t="inlineStr">
        <is>
          <t>無形資產及商譽</t>
        </is>
      </c>
      <c r="C28" s="19" t="inlineStr">
        <is>
          <t>high</t>
        </is>
      </c>
      <c r="D28" s="11" t="inlineStr">
        <is>
          <t>intangible asset</t>
        </is>
      </c>
      <c r="E28" s="11" t="inlineStr">
        <is>
          <t>PDF p.76 (印刷頁 75)</t>
        </is>
      </c>
      <c r="F28" s="11" t="inlineStr">
        <is>
          <t>CONCEPTS HOLDING LIMITED | ANNUAL REPORT 2026 75 NOTES TO THE CONSOLIDATED FINANCIAL STATEMENTS For the year ended 31 March 2026 17. INTANGIBLE ASSETS Franchise rights Trademark Total HK$’000 HK$’000 HK$’000 COST At 1 April 2024 4,200 119 4,319 Disposal of a subsidiary (note 31) (4,200) (119) (4,319) At 31 March 2025, 1 April 2025 and 31 March 2026 – – – AMORTISATION AND IMPAIRMENT At 1 April 2024 4,200 119 4,319 Disposal of a subsidiary (note 31) (4,200) (119) (4,319) At 31 March 2025, 1 April 2025 and 31 March 2026 – – – CARR</t>
        </is>
      </c>
    </row>
    <row r="29">
      <c r="A29" s="8" t="inlineStr">
        <is>
          <t>Intangible Assets &amp; Goodwill</t>
        </is>
      </c>
      <c r="B29" s="8" t="inlineStr">
        <is>
          <t>無形資產及商譽</t>
        </is>
      </c>
      <c r="C29" s="19" t="inlineStr">
        <is>
          <t>high</t>
        </is>
      </c>
      <c r="D29" s="11" t="inlineStr">
        <is>
          <t>intangible asset</t>
        </is>
      </c>
      <c r="E29" s="11" t="inlineStr">
        <is>
          <t>PDF p.87 (印刷頁 86)</t>
        </is>
      </c>
      <c r="F29" s="11" t="inlineStr">
        <is>
          <t>ived HK$’000 Cash consideration received 190 Analysis of assets and liabilities over which control was lost 31 December 2024 HK$’000 Intangible assets – Trade receivables 142 Other payables (9) Net assets disposed of 133 Gain on disposal of a subsidiary HK$’000 Consideration received 190 Less: Net assets disposed of (133) Gain on disposal of a subsidiary (note 8) 57</t>
        </is>
      </c>
    </row>
    <row r="30">
      <c r="A30" s="8" t="inlineStr">
        <is>
          <t>ESG Data</t>
        </is>
      </c>
      <c r="B30" s="8" t="inlineStr">
        <is>
          <t>環境社會及管治數據</t>
        </is>
      </c>
      <c r="C30" s="8" t="inlineStr">
        <is>
          <t>medium</t>
        </is>
      </c>
      <c r="D30" s="11" t="inlineStr">
        <is>
          <t>ESG</t>
        </is>
      </c>
      <c r="E30" s="11" t="inlineStr">
        <is>
          <t>PDF p.5 (印刷頁 4)</t>
        </is>
      </c>
      <c r="F30" s="11" t="inlineStr">
        <is>
          <t>D PERFORMANCE The board of Directors (the “Board”) has overall responsibility for the Group’s environmental, social and governance (“ESG”) strategy and reporting. The Board is responsible for the Group’s ESG risk management and internal control systems to ensure that the ESG strategies and reporting requirements are met. For further details, please refer to the Company’s ESG Report published on the same date as this annual report.</t>
        </is>
      </c>
    </row>
    <row r="31">
      <c r="A31" s="8" t="inlineStr">
        <is>
          <t>ESG Data</t>
        </is>
      </c>
      <c r="B31" s="8" t="inlineStr">
        <is>
          <t>環境社會及管治數據</t>
        </is>
      </c>
      <c r="C31" s="8" t="inlineStr">
        <is>
          <t>medium</t>
        </is>
      </c>
      <c r="D31" s="11" t="inlineStr">
        <is>
          <t>ESG</t>
        </is>
      </c>
      <c r="E31" s="11" t="inlineStr">
        <is>
          <t>PDF p.31 (印刷頁 30)</t>
        </is>
      </c>
      <c r="F31" s="11" t="inlineStr">
        <is>
          <t>isk management procedures which comprised the following steps: – Identify risks: Identify major and significant risks (including the ESG risks) that could affect the achievement of goals of the Group; – Risk assessment: Assess and evaluate the identified risk according to its likely impact and the likelihood of occurrence; – Risk mitigation: Develop effective control activities to mitigate the risks. Risk identification and assessment is performed or updated annually, and the results of risk assessment, evaluation and mitigatio</t>
        </is>
      </c>
    </row>
    <row r="32">
      <c r="A32" s="8" t="inlineStr">
        <is>
          <t>Segment Information</t>
        </is>
      </c>
      <c r="B32" s="8" t="inlineStr">
        <is>
          <t>分部資料</t>
        </is>
      </c>
      <c r="C32" s="8" t="inlineStr">
        <is>
          <t>medium</t>
        </is>
      </c>
      <c r="D32" s="11" t="inlineStr">
        <is>
          <t>segment information</t>
        </is>
      </c>
      <c r="E32" s="11" t="inlineStr">
        <is>
          <t>PDF p.10 (印刷頁 9)</t>
        </is>
      </c>
      <c r="F32" s="11" t="inlineStr">
        <is>
          <t>the weighted average number of shares of the Company in issue (excluding treasury shares) for the year ended 31 March 2026 was Nil. SEGMENT INFORMATION Segmental information is presented for the Group as disclosed on note 7 to the consolidated financial statements. FUTURE PLANS FOR MATERIAL INVESTMENTS AND CAPITAL ASSETS Save as disclosed in this report, the Group did not have other plans for material investments or capital assets as of 31 March 2026. CAPITAL COMMITMENT As at 31 March 2026, the Group did not have any capital c</t>
        </is>
      </c>
    </row>
    <row r="33">
      <c r="A33" s="8" t="inlineStr">
        <is>
          <t>Segment Information</t>
        </is>
      </c>
      <c r="B33" s="8" t="inlineStr">
        <is>
          <t>分部資料</t>
        </is>
      </c>
      <c r="C33" s="8" t="inlineStr">
        <is>
          <t>medium</t>
        </is>
      </c>
      <c r="D33" s="11" t="inlineStr">
        <is>
          <t>segment information</t>
        </is>
      </c>
      <c r="E33" s="11" t="inlineStr">
        <is>
          <t>PDF p.64 (印刷頁 63)</t>
        </is>
      </c>
      <c r="F33" s="11" t="inlineStr">
        <is>
          <t>LDING LIMITED | ANNUAL REPORT 2026 63 NOTES TO THE CONSOLIDATED FINANCIAL STATEMENTS For the year ended 31 March 2026 7. REVENUE AND SEGMENT INFORMATION REVENUE Revenue represents the fair value of amounts received and receivable for services provided and goods sold, net of discount, during the years ended 31 March 2026 and 2025. 2026 2025 HK$’000 HK$’000 Revenue from contracts with customers within the scope of HKFRS 15 Recognised at a point in time: Operation of restaurants in Hong Kong 30,478 29,363 Sales of food and related</t>
        </is>
      </c>
    </row>
    <row r="34">
      <c r="A34" s="8" t="inlineStr">
        <is>
          <t>Segment Information</t>
        </is>
      </c>
      <c r="B34" s="8" t="inlineStr">
        <is>
          <t>分部資料</t>
        </is>
      </c>
      <c r="C34" s="8" t="inlineStr">
        <is>
          <t>medium</t>
        </is>
      </c>
      <c r="D34" s="11" t="inlineStr">
        <is>
          <t>segment information</t>
        </is>
      </c>
      <c r="E34" s="11" t="inlineStr">
        <is>
          <t>PDF p.65 (印刷頁 64)</t>
        </is>
      </c>
      <c r="F34" s="11" t="inlineStr">
        <is>
          <t>HOLDING LIMITED | ANNUAL REPORT 2026 NOTES TO THE CONSOLIDATED FINANCIAL STATEMENTS For the year ended 31 March 2026 7. REVENUE AND SEGMENT INFORMATION (Continued) GEOGRAPHICAL INFORMATION The Group’s current operations are mainly located in Hong Kong. Information about the Group’s revenue from external customers is presented based on the location of the customers. Information about its non-current assets (excluding deposits) by geographical location of assets is detailed below: Revenue Non-current assets For the year ended As</t>
        </is>
      </c>
    </row>
    <row r="35">
      <c r="A35" s="8" t="inlineStr">
        <is>
          <t>Share-based Payment</t>
        </is>
      </c>
      <c r="B35" s="8" t="inlineStr">
        <is>
          <t>以股份為基礎的付款</t>
        </is>
      </c>
      <c r="C35" s="8" t="inlineStr">
        <is>
          <t>medium</t>
        </is>
      </c>
      <c r="D35" s="11" t="inlineStr">
        <is>
          <t>share option</t>
        </is>
      </c>
      <c r="E35" s="11" t="inlineStr">
        <is>
          <t>PDF p.9 (印刷頁 8)</t>
        </is>
      </c>
      <c r="F35" s="11" t="inlineStr">
        <is>
          <t>ficant investment, material acquisitions and disposals of subsidiaries and associated companies during the year ended 31 March 2026. SHARE OPTIONS The Company’s share option scheme was adopted pursuant to a resolution passed on 21 February 2019 (the “2019 Share Option Scheme”). On 30 September 2025, a new share option scheme (the “2025 Share Option Scheme”) was adopted and the 2019 Share Option Scheme was terminated by the shareholders of the Company at annual general meeting in order to conform with the new requirements under</t>
        </is>
      </c>
    </row>
    <row r="36">
      <c r="A36" s="8" t="inlineStr">
        <is>
          <t>Share-based Payment</t>
        </is>
      </c>
      <c r="B36" s="8" t="inlineStr">
        <is>
          <t>以股份為基礎的付款</t>
        </is>
      </c>
      <c r="C36" s="8" t="inlineStr">
        <is>
          <t>medium</t>
        </is>
      </c>
      <c r="D36" s="11" t="inlineStr">
        <is>
          <t>share option</t>
        </is>
      </c>
      <c r="E36" s="11" t="inlineStr">
        <is>
          <t>PDF p.10 (印刷頁 9)</t>
        </is>
      </c>
      <c r="F36" s="11" t="inlineStr">
        <is>
          <t>PTS HOLDING LIMITED | ANNUAL REPORT 2026 9 MANAGEMENT DISCUSSION AND ANALYSIS As at 31 March 2026 and 2025, there was no outstanding share options under the 2019 Share Option Scheme and the 2025 Share Option Scheme. During the year ended 31 March 2026 and 2025, no share option was granted, exercised, lapsed or cancelled under the 2019 Share Option Scheme and the 2025 Share Option Scheme. The total number of share options available for grant under the 2019 Share Option Scheme was 5,500,000 and 0 as at 1 April 2025 and 31 March 2</t>
        </is>
      </c>
    </row>
    <row r="37">
      <c r="A37" s="8" t="inlineStr">
        <is>
          <t>Share-based Payment</t>
        </is>
      </c>
      <c r="B37" s="8" t="inlineStr">
        <is>
          <t>以股份為基礎的付款</t>
        </is>
      </c>
      <c r="C37" s="8" t="inlineStr">
        <is>
          <t>medium</t>
        </is>
      </c>
      <c r="D37" s="11" t="inlineStr">
        <is>
          <t>share option</t>
        </is>
      </c>
      <c r="E37" s="11" t="inlineStr">
        <is>
          <t>PDF p.15 (印刷頁 14)</t>
        </is>
      </c>
      <c r="F37" s="11" t="inlineStr">
        <is>
          <t>h 2026 are set out in consolidated statement of changes in equity and note 33 to the consolidated financial statements respectively. SHARE OPTION SCHEME The Company conditionally adopted the 2019 Share Option Scheme on 21 February 2019. On 30 September 2025, the 2025 Share Option Scheme was adopted and the 2019 Share Option Scheme was terminated by the shareholders of the Company at annual general meeting held on 30 September 2025 in order to conform with the new requirements under the GEM Listing Rules. A summary of the partic</t>
        </is>
      </c>
    </row>
    <row r="38">
      <c r="A38" s="8" t="inlineStr">
        <is>
          <t>Share-based Payment</t>
        </is>
      </c>
      <c r="B38" s="8" t="inlineStr">
        <is>
          <t>以股份為基礎的付款</t>
        </is>
      </c>
      <c r="C38" s="8" t="inlineStr">
        <is>
          <t>medium</t>
        </is>
      </c>
      <c r="D38" s="11" t="inlineStr">
        <is>
          <t>share option</t>
        </is>
      </c>
      <c r="E38" s="11" t="inlineStr">
        <is>
          <t>PDF p.17 (印刷頁 16)</t>
        </is>
      </c>
      <c r="F38" s="11" t="inlineStr">
        <is>
          <t>aded “Directors’ and Chief Executives’ Interests and Short Positions in Shares, Underlying Shares and Debentures” below and the 2019 Share Option Scheme and the 2025 Share Option Scheme disclosures in note 30 to the consolidated financial statements, at no time during the year ended 31 March 2026 were rights to acquire benefits by means of the acquisition of shares in the Company granted to any Directors or their respective spouse or children under 18 years of age, or were any such rights exercised by them; or was the Company,</t>
        </is>
      </c>
    </row>
    <row r="39">
      <c r="A39" s="8" t="inlineStr">
        <is>
          <t>Share-based Payment</t>
        </is>
      </c>
      <c r="B39" s="8" t="inlineStr">
        <is>
          <t>以股份為基礎的付款</t>
        </is>
      </c>
      <c r="C39" s="8" t="inlineStr">
        <is>
          <t>medium</t>
        </is>
      </c>
      <c r="D39" s="11" t="inlineStr">
        <is>
          <t>share option</t>
        </is>
      </c>
      <c r="E39" s="11" t="inlineStr">
        <is>
          <t>PDF p.27 (印刷頁 26)</t>
        </is>
      </c>
      <c r="F39" s="11" t="inlineStr">
        <is>
          <t>nior management’s remuneration and on the remuneration packages of Directors and senior management and reviewing matters of the 2019 Share Option Scheme and the 2025 Share Option Scheme and amendments to the GEM Listing Rules regulating the 2019 Share Option Scheme and the 2025 Share Option Scheme. The Remuneration Committee considers factors such as salaries paid by comparable companies, time commitment and responsibilities of the Directors, employment conditions elsewhere in the Group and desirability of performance-based rem</t>
        </is>
      </c>
    </row>
    <row r="40">
      <c r="A40" s="8" t="inlineStr">
        <is>
          <t>Share-based Payment</t>
        </is>
      </c>
      <c r="B40" s="8" t="inlineStr">
        <is>
          <t>以股份為基礎的付款</t>
        </is>
      </c>
      <c r="C40" s="8" t="inlineStr">
        <is>
          <t>medium</t>
        </is>
      </c>
      <c r="D40" s="11" t="inlineStr">
        <is>
          <t>share option</t>
        </is>
      </c>
      <c r="E40" s="11" t="inlineStr">
        <is>
          <t>PDF p.85 (印刷頁 84)</t>
        </is>
      </c>
      <c r="F40" s="11" t="inlineStr">
        <is>
          <t>TY CONCEPTS HOLDING LIMITED | ANNUAL REPORT 2026 NOTES TO THE CONSOLIDATED FINANCIAL STATEMENTS For the year ended 31 March 2026 30. SHARE OPTION SCHEME The Company’s share option scheme was adopted pursuant to a resolution passed on 21 February 2019 (the “2019 Share Option Scheme”). On 30 September 2025, a new share option scheme (the “2025 Share Option Scheme”) was adopted and the 2019 Share Option Scheme was terminated by the shareholders of the Company at annual general meeting in order to conform with the new requirements</t>
        </is>
      </c>
    </row>
    <row r="41">
      <c r="A41" s="8" t="inlineStr">
        <is>
          <t>Share-based Payment</t>
        </is>
      </c>
      <c r="B41" s="8" t="inlineStr">
        <is>
          <t>以股份為基礎的付款</t>
        </is>
      </c>
      <c r="C41" s="8" t="inlineStr">
        <is>
          <t>medium</t>
        </is>
      </c>
      <c r="D41" s="11" t="inlineStr">
        <is>
          <t>share option</t>
        </is>
      </c>
      <c r="E41" s="11" t="inlineStr">
        <is>
          <t>PDF p.86 (印刷頁 85)</t>
        </is>
      </c>
      <c r="F41" s="11" t="inlineStr">
        <is>
          <t>CONCEPTS HOLDING LIMITED | ANNUAL REPORT 2026 85 NOTES TO THE CONSOLIDATED FINANCIAL STATEMENTS For the year ended 31 March 2026 30. SHARE OPTION SCHEME (Continued) The total number of shares available for issue under the 2025 Share Option Scheme was 19,250,000, representing 10% of the issued share capital of the Company (excluding treasury shares) as at the date of this annual report. The maximum number of the shares that may be allotted and issued upon the exercise of all options (excluding, for this purpose, options which ha</t>
        </is>
      </c>
    </row>
    <row r="42">
      <c r="A42" s="8" t="inlineStr">
        <is>
          <t>Related Party Transactions</t>
        </is>
      </c>
      <c r="B42" s="8" t="inlineStr">
        <is>
          <t>關聯方交易</t>
        </is>
      </c>
      <c r="C42" s="8" t="inlineStr">
        <is>
          <t>low</t>
        </is>
      </c>
      <c r="D42" s="11" t="inlineStr">
        <is>
          <t>related party</t>
        </is>
      </c>
      <c r="E42" s="11" t="inlineStr">
        <is>
          <t>PDF p.15 (印刷頁 14)</t>
        </is>
      </c>
      <c r="F42" s="11" t="inlineStr">
        <is>
          <t>which the Company is incorporated, which would oblige the Company to offer new shares on a pro rata basis to existing shareholders. RELATED PARTY TRANSACTIONS AND CONNECTED TRANSACTIONS Details of the significant related party transactions entered into by the Group during the year ended 31 March 2026 are set out in note 29 to the consolidated financial statements. To the best knowledge of the Directors, none of these related party transactions constitutes connected transactions that need to be disclosed under the GEM Listing R</t>
        </is>
      </c>
    </row>
    <row r="43">
      <c r="A43" s="8" t="inlineStr">
        <is>
          <t>Related Party Transactions</t>
        </is>
      </c>
      <c r="B43" s="8" t="inlineStr">
        <is>
          <t>關聯方交易</t>
        </is>
      </c>
      <c r="C43" s="8" t="inlineStr">
        <is>
          <t>low</t>
        </is>
      </c>
      <c r="D43" s="11" t="inlineStr">
        <is>
          <t>related party</t>
        </is>
      </c>
      <c r="E43" s="11" t="inlineStr">
        <is>
          <t>PDF p.16 (印刷頁 15)</t>
        </is>
      </c>
      <c r="F43" s="11" t="inlineStr">
        <is>
          <t>yment of compensation, other than statutory compensation. DIRECTORS’ INTEREST IN TRANSACTIONS, ARRANGEMENTS OR CONTRACTS Save as the related party transactions disclosed in note 29 to the consolidated financial statements, no Director or a connected entity of a Director had a material interest, either directly or indirectly, in any transactions, arrangements or contracts of significance to the business of the Group to which the Company, its holding company, or any of its subsidiaries was a party during the year ended 31 March 2</t>
        </is>
      </c>
    </row>
    <row r="44">
      <c r="A44" s="8" t="inlineStr">
        <is>
          <t>Related Party Transactions</t>
        </is>
      </c>
      <c r="B44" s="8" t="inlineStr">
        <is>
          <t>關聯方交易</t>
        </is>
      </c>
      <c r="C44" s="8" t="inlineStr">
        <is>
          <t>low</t>
        </is>
      </c>
      <c r="D44" s="11" t="inlineStr">
        <is>
          <t>related party</t>
        </is>
      </c>
      <c r="E44" s="11" t="inlineStr">
        <is>
          <t>PDF p.84 (印刷頁 83)</t>
        </is>
      </c>
      <c r="F44" s="11" t="inlineStr">
        <is>
          <t>ch 2026, additions of right-of-use assets of approximately HK$3,797,000 (2025: HK$2,750,000) were financed by lease liabilities. 29. RELATED PARTY TRANSACTIONS Save as disclosed elsewhere in these consolidated financial statements, the Group had the following balances and transactions with its related parties during both years. (A) Details of amount due to a shareholder is as follows: 2026 2025 HK$’000 HK$’000 Amount due to a shareholder: Mr. C Tang 6,231 7,270 Note: The balance is unsecured, interest free and repayable on dema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7"/>
  <sheetViews>
    <sheetView workbookViewId="0">
      <pane ySplit="26" topLeftCell="A27"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Gross Profit</t>
        </is>
      </c>
    </row>
    <row r="10">
      <c r="A10" s="8" t="inlineStr">
        <is>
          <t>Income Statement</t>
        </is>
      </c>
      <c r="B10" s="8" t="inlineStr">
        <is>
          <t>Operating Profit</t>
        </is>
      </c>
    </row>
    <row r="11">
      <c r="A11" s="8" t="inlineStr">
        <is>
          <t>Income Statement</t>
        </is>
      </c>
      <c r="B11" s="8" t="inlineStr">
        <is>
          <t>R&amp;D Expenses</t>
        </is>
      </c>
    </row>
    <row r="12">
      <c r="A12" s="8" t="inlineStr">
        <is>
          <t>Income Statement</t>
        </is>
      </c>
      <c r="B12" s="8" t="inlineStr">
        <is>
          <t>Amortisation</t>
        </is>
      </c>
    </row>
    <row r="13">
      <c r="A13" s="8" t="inlineStr">
        <is>
          <t>Balance Sheet</t>
        </is>
      </c>
      <c r="B13" s="8" t="inlineStr">
        <is>
          <t>Total Assets</t>
        </is>
      </c>
    </row>
    <row r="14">
      <c r="A14" s="8" t="inlineStr">
        <is>
          <t>Balance Sheet</t>
        </is>
      </c>
      <c r="B14" s="8" t="inlineStr">
        <is>
          <t>Cash and Equivalents</t>
        </is>
      </c>
    </row>
    <row r="15">
      <c r="A15" s="8" t="inlineStr">
        <is>
          <t>Balance Sheet</t>
        </is>
      </c>
      <c r="B15" s="8" t="inlineStr">
        <is>
          <t>Goodwill</t>
        </is>
      </c>
    </row>
    <row r="16">
      <c r="A16" s="8" t="inlineStr">
        <is>
          <t>Balance Sheet</t>
        </is>
      </c>
      <c r="B16" s="8" t="inlineStr">
        <is>
          <t>Investment Properties</t>
        </is>
      </c>
    </row>
    <row r="17">
      <c r="A17" s="8" t="inlineStr">
        <is>
          <t>Balance Sheet</t>
        </is>
      </c>
      <c r="B17" s="8" t="inlineStr">
        <is>
          <t>Property Plant and Equipment</t>
        </is>
      </c>
    </row>
    <row r="18">
      <c r="A18" s="8" t="inlineStr">
        <is>
          <t>Balance Sheet</t>
        </is>
      </c>
      <c r="B18" s="8" t="inlineStr">
        <is>
          <t>Total Liabilities</t>
        </is>
      </c>
    </row>
    <row r="19">
      <c r="A19" s="8" t="inlineStr">
        <is>
          <t>Balance Sheet</t>
        </is>
      </c>
      <c r="B19" s="8" t="inlineStr">
        <is>
          <t>Borrowings</t>
        </is>
      </c>
    </row>
    <row r="20">
      <c r="A20" s="8" t="inlineStr">
        <is>
          <t>Cash Flow</t>
        </is>
      </c>
      <c r="B20" s="8" t="inlineStr">
        <is>
          <t>Capital Expenditure</t>
        </is>
      </c>
    </row>
    <row r="23">
      <c r="A23" s="5" t="inlineStr">
        <is>
          <t>二、文字量過低的頁面(疑似掃描頁)</t>
        </is>
      </c>
    </row>
    <row r="24">
      <c r="A24" s="2" t="inlineStr">
        <is>
          <t>這些頁面幾乎抓不到文字,通常是掃描件或純圖表,建議人手翻閱或另行 OCR。</t>
        </is>
      </c>
    </row>
    <row r="26">
      <c r="A26" s="7" t="inlineStr">
        <is>
          <t>PDF 頁碼</t>
        </is>
      </c>
      <c r="B26" s="7" t="inlineStr">
        <is>
          <t>狀態</t>
        </is>
      </c>
    </row>
    <row r="27">
      <c r="A27" s="8" t="n">
        <v>1</v>
      </c>
      <c r="B27"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2026-08-30T14:16:47Z</dcterms:created>
  <dcterms:modified xsi:type="dcterms:W3CDTF">2026-08-30T14:16:47Z</dcterms:modified>
</cp:coreProperties>
</file>
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趨勢圖'!$A$5:$A$10</f>
            </numRef>
          </cat>
          <val>
            <numRef>
              <f>'Chart 趨勢圖'!$B$5:$B$10</f>
            </numRef>
          </val>
        </ser>
        <ser>
          <idx val="1"/>
          <order val="1"/>
          <tx>
            <strRef>
              <f>'Chart 趨勢圖'!C4</f>
            </strRef>
          </tx>
          <spPr>
            <a:ln>
              <a:prstDash val="solid"/>
            </a:ln>
          </spPr>
          <cat>
            <numRef>
              <f>'Chart 趨勢圖'!$A$5:$A$10</f>
            </numRef>
          </cat>
          <val>
            <numRef>
              <f>'Chart 趨勢圖'!$C$5:$C$10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00391_MEI_AH_ENTER_20260730.pdf</t>
        </is>
      </c>
    </row>
    <row r="5">
      <c r="A5" s="3" t="inlineStr">
        <is>
          <t>產生時間 Generated</t>
        </is>
      </c>
      <c r="B5" s="4" t="inlineStr">
        <is>
          <t>2026-08-30 22:16</t>
        </is>
      </c>
    </row>
    <row r="6">
      <c r="A6" s="4" t="inlineStr"/>
      <c r="B6" s="4" t="inlineStr"/>
    </row>
    <row r="7">
      <c r="A7" s="3" t="inlineStr">
        <is>
          <t>總頁數 Total pages</t>
        </is>
      </c>
      <c r="B7" s="4" t="n">
        <v>238</v>
      </c>
    </row>
    <row r="8">
      <c r="A8" s="3" t="inlineStr">
        <is>
          <t>已擷取字元 Characters extracted</t>
        </is>
      </c>
      <c r="B8" s="4" t="n">
        <v>384062</v>
      </c>
    </row>
    <row r="9">
      <c r="A9" s="3" t="inlineStr">
        <is>
          <t>含表格頁數 Pages with tables</t>
        </is>
      </c>
      <c r="B9" s="4" t="n">
        <v>0</v>
      </c>
    </row>
    <row r="10">
      <c r="A10" s="3" t="inlineStr">
        <is>
          <t>需人手/OCR 頁數 Pages needing OCR</t>
        </is>
      </c>
      <c r="B10" s="4" t="n">
        <v>2</v>
      </c>
    </row>
    <row r="11">
      <c r="A11" s="4" t="inlineStr"/>
      <c r="B11" s="4" t="inlineStr"/>
    </row>
    <row r="12">
      <c r="A12" s="3" t="inlineStr">
        <is>
          <t>估值參數擷取筆數 Valuation parameters</t>
        </is>
      </c>
      <c r="B12" s="4" t="n">
        <v>1</v>
      </c>
    </row>
    <row r="13">
      <c r="A13" s="3" t="inlineStr">
        <is>
          <t>財務科目擷取筆數 Financial line items</t>
        </is>
      </c>
      <c r="B13" s="4" t="n">
        <v>20</v>
      </c>
    </row>
    <row r="14">
      <c r="A14" s="3" t="inlineStr">
        <is>
          <t>主題段落擷取筆數 Topic extracts</t>
        </is>
      </c>
      <c r="B14" s="4" t="n">
        <v>139</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78,576 − 124,132 = -45,556</t>
        </is>
      </c>
    </row>
    <row r="20">
      <c r="A20" s="6" t="inlineStr">
        <is>
          <t>✓ 總資產 = 總負債 + 總權益</t>
        </is>
      </c>
      <c r="B20" s="4" t="inlineStr">
        <is>
          <t>533,209 vs 328,593 + 204,616 = 533,209</t>
        </is>
      </c>
    </row>
    <row r="21">
      <c r="A21" s="6" t="inlineStr">
        <is>
          <t>✓ 收入 − 銷售成本 = 毛利</t>
        </is>
      </c>
      <c r="B21" s="4" t="inlineStr">
        <is>
          <t>99,028 − 49,054 = 49,974 vs 毛利 49,974</t>
        </is>
      </c>
    </row>
    <row r="22">
      <c r="A22" s="6" t="inlineStr">
        <is>
          <t>✓ 除稅前溢利 ± 稅項 = 年內溢利</t>
        </is>
      </c>
      <c r="B22" s="4" t="inlineStr">
        <is>
          <t>-42,410 + 658 = -41,752 vs -41,752</t>
        </is>
      </c>
    </row>
    <row r="23">
      <c r="A23" s="6" t="inlineStr">
        <is>
          <t>✓ 三大報表應相鄰</t>
        </is>
      </c>
      <c r="B23" s="4" t="inlineStr">
        <is>
          <t>Income Statement: p.73、Balance Sheet: p.75、Cash Flow: p.79(相距 6 頁)</t>
        </is>
      </c>
    </row>
    <row r="25">
      <c r="A25" s="5" t="inlineStr">
        <is>
          <t>方法論 Methodology</t>
        </is>
      </c>
    </row>
    <row r="26">
      <c r="A26" s="4" t="inlineStr">
        <is>
          <t>1. 逐頁擷取文字,全程保留 PDF 頁碼與年報印刷頁碼(可追溯性)。</t>
        </is>
      </c>
    </row>
    <row r="27">
      <c r="A27" s="4" t="inlineStr">
        <is>
          <t>2. 規則層(正則/關鍵字)先把全份文件縮減為少數相關頁面 —— 解決「文件太大」。</t>
        </is>
      </c>
    </row>
    <row r="28">
      <c r="A28" s="4" t="inlineStr">
        <is>
          <t>3. 數字由正則精確擷取並做合理性檢查,不由語言模型生成 —— 解決「準確度」。</t>
        </is>
      </c>
    </row>
    <row r="29">
      <c r="A29" s="4" t="inlineStr">
        <is>
          <t>4. AI 僅在縮減後的頁面上做語意判斷,且輸出頁碼須通過驗證才保留。</t>
        </is>
      </c>
    </row>
    <row r="30">
      <c r="A30" s="4" t="inlineStr">
        <is>
          <t>5. 所有結果附來源頁碼與原文行,供估值師覆核。信心度為 Low 者建議人手確認。</t>
        </is>
      </c>
    </row>
    <row r="31">
      <c r="A31"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Discount Rate</t>
        </is>
      </c>
      <c r="B5" s="8" t="inlineStr">
        <is>
          <t>折現率</t>
        </is>
      </c>
      <c r="C5" s="9" t="n">
        <v>13</v>
      </c>
      <c r="D5" s="10" t="n">
        <v>13</v>
      </c>
      <c r="E5" s="11" t="inlineStr">
        <is>
          <t>13.0%</t>
        </is>
      </c>
      <c r="F5" s="11" t="inlineStr">
        <is>
          <t>High</t>
        </is>
      </c>
      <c r="G5" s="11" t="inlineStr">
        <is>
          <t>PDF p.177 (印刷頁 176)</t>
        </is>
      </c>
      <c r="H5" s="11" t="inlineStr">
        <is>
          <t>th rate of revenue extrapolated 二零二七年後之推斷年度 beyond 2027 收益增長率 2.0% 2.0% Pre-tax discount rate 稅前貼現率 13.0% 13.0% 2025 二零二五年 Tianjin Guangzhou 天津 廣州 Annual growth rate of revenue in 2026 二零二六年年度收益 增長率 43.9% N/A不適用 Annual growth rate of revenue extrapolate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6"/>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12" t="n">
        <v>99028</v>
      </c>
      <c r="D5" s="13" t="n">
        <v>110344</v>
      </c>
      <c r="E5" s="14">
        <f>IF(ISERROR((C5-D5)/ABS(D5)),"",(C5-D5)/ABS(D5))</f>
        <v>-0.10255201914014356</v>
      </c>
      <c r="F5" s="11" t="inlineStr">
        <is>
          <t>PDF p.73 (印刷頁 72)</t>
        </is>
      </c>
      <c r="G5" s="11" t="inlineStr">
        <is>
          <t>Revenue 收益 5 99,028 110,344</t>
        </is>
      </c>
    </row>
    <row r="6">
      <c r="A6" s="8" t="inlineStr">
        <is>
          <t>Income Statement</t>
        </is>
      </c>
      <c r="B6" s="8" t="inlineStr">
        <is>
          <t>Cost of Sales</t>
        </is>
      </c>
      <c r="C6" s="12" t="n">
        <v>-49054</v>
      </c>
      <c r="D6" s="13" t="n">
        <v>-99221</v>
      </c>
      <c r="E6" s="14">
        <f>IF(ISERROR((C6-D6)/ABS(D6)),"",(C6-D6)/ABS(D6))</f>
        <v>0.5056086917084085</v>
      </c>
      <c r="F6" s="11" t="inlineStr">
        <is>
          <t>PDF p.73 (印刷頁 72)</t>
        </is>
      </c>
      <c r="G6" s="11" t="inlineStr">
        <is>
          <t>Cost of sales 銷售成本 6 (49,054) (99,221)</t>
        </is>
      </c>
    </row>
    <row r="7">
      <c r="A7" s="8" t="inlineStr">
        <is>
          <t>Income Statement</t>
        </is>
      </c>
      <c r="B7" s="8" t="inlineStr">
        <is>
          <t>Gross Profit</t>
        </is>
      </c>
      <c r="C7" s="12" t="n">
        <v>49974</v>
      </c>
      <c r="D7" s="13" t="n">
        <v>11123</v>
      </c>
      <c r="E7" s="14">
        <f>IF(ISERROR((C7-D7)/ABS(D7)),"",(C7-D7)/ABS(D7))</f>
        <v>3.492852647666996</v>
      </c>
      <c r="F7" s="11" t="inlineStr">
        <is>
          <t>PDF p.73 (印刷頁 72)</t>
        </is>
      </c>
      <c r="G7" s="11" t="inlineStr">
        <is>
          <t>Gross profit 毛利 49,974 11,123</t>
        </is>
      </c>
    </row>
    <row r="8">
      <c r="A8" s="8" t="inlineStr">
        <is>
          <t>Income Statement</t>
        </is>
      </c>
      <c r="B8" s="8" t="inlineStr">
        <is>
          <t>Operating Profit</t>
        </is>
      </c>
      <c r="C8" s="12" t="n">
        <v>-33785</v>
      </c>
      <c r="D8" s="13" t="n">
        <v>-51392</v>
      </c>
      <c r="E8" s="14">
        <f>IF(ISERROR((C8-D8)/ABS(D8)),"",(C8-D8)/ABS(D8))</f>
        <v>0.3426019613947696</v>
      </c>
      <c r="F8" s="11" t="inlineStr">
        <is>
          <t>PDF p.73 (印刷頁 72)</t>
        </is>
      </c>
      <c r="G8" s="11" t="inlineStr">
        <is>
          <t>Operating loss 經營虧損 (33,785) (51,392)</t>
        </is>
      </c>
    </row>
    <row r="9">
      <c r="A9" s="8" t="inlineStr">
        <is>
          <t>Income Statement</t>
        </is>
      </c>
      <c r="B9" s="8" t="inlineStr">
        <is>
          <t>Finance Costs</t>
        </is>
      </c>
      <c r="C9" s="12" t="n">
        <v>-6951</v>
      </c>
      <c r="D9" s="13" t="n">
        <v>-7589</v>
      </c>
      <c r="E9" s="14">
        <f>IF(ISERROR((C9-D9)/ABS(D9)),"",(C9-D9)/ABS(D9))</f>
        <v>0.08406904730531031</v>
      </c>
      <c r="F9" s="11" t="inlineStr">
        <is>
          <t>PDF p.73 (印刷頁 72)</t>
        </is>
      </c>
      <c r="G9" s="11" t="inlineStr">
        <is>
          <t>Finance costs 融資成本 8 (6,951) (7,589)</t>
        </is>
      </c>
    </row>
    <row r="10">
      <c r="A10" s="8" t="inlineStr">
        <is>
          <t>Income Statement</t>
        </is>
      </c>
      <c r="B10" s="8" t="inlineStr">
        <is>
          <t>Profit Before Tax</t>
        </is>
      </c>
      <c r="C10" s="12" t="n">
        <v>-42410</v>
      </c>
      <c r="D10" s="13" t="n">
        <v>-61082</v>
      </c>
      <c r="E10" s="14">
        <f>IF(ISERROR((C10-D10)/ABS(D10)),"",(C10-D10)/ABS(D10))</f>
        <v>0.3056874365606889</v>
      </c>
      <c r="F10" s="11" t="inlineStr">
        <is>
          <t>PDF p.73 (印刷頁 72)</t>
        </is>
      </c>
      <c r="G10" s="11" t="inlineStr">
        <is>
          <t>Loss before income tax 除所得稅前虧損 (42,410) (61,082)</t>
        </is>
      </c>
    </row>
    <row r="11">
      <c r="A11" s="8" t="inlineStr">
        <is>
          <t>Income Statement</t>
        </is>
      </c>
      <c r="B11" s="8" t="inlineStr">
        <is>
          <t>Income Tax</t>
        </is>
      </c>
      <c r="C11" s="12" t="n">
        <v>658</v>
      </c>
      <c r="D11" s="13" t="n">
        <v>1324</v>
      </c>
      <c r="E11" s="14">
        <f>IF(ISERROR((C11-D11)/ABS(D11)),"",(C11-D11)/ABS(D11))</f>
        <v>-0.5030211480362538</v>
      </c>
      <c r="F11" s="11" t="inlineStr">
        <is>
          <t>PDF p.73 (印刷頁 72)</t>
        </is>
      </c>
      <c r="G11" s="11" t="inlineStr">
        <is>
          <t>Income tax credit 所得稅抵免 9 658 1,324</t>
        </is>
      </c>
    </row>
    <row r="12">
      <c r="A12" s="8" t="inlineStr">
        <is>
          <t>Income Statement</t>
        </is>
      </c>
      <c r="B12" s="8" t="inlineStr">
        <is>
          <t>Profit for the Year</t>
        </is>
      </c>
      <c r="C12" s="12" t="n">
        <v>-41752</v>
      </c>
      <c r="D12" s="13" t="n">
        <v>-59758</v>
      </c>
      <c r="E12" s="14">
        <f>IF(ISERROR((C12-D12)/ABS(D12)),"",(C12-D12)/ABS(D12))</f>
        <v>0.30131530506375714</v>
      </c>
      <c r="F12" s="11" t="inlineStr">
        <is>
          <t>PDF p.73 (印刷頁 72)</t>
        </is>
      </c>
      <c r="G12" s="11" t="inlineStr">
        <is>
          <t>Loss for the year 年內虧損 (41,752) (59,758)</t>
        </is>
      </c>
    </row>
    <row r="13">
      <c r="A13" s="8" t="inlineStr">
        <is>
          <t>Balance Sheet</t>
        </is>
      </c>
      <c r="B13" s="8" t="inlineStr">
        <is>
          <t>Property Plant and Equipment</t>
        </is>
      </c>
      <c r="C13" s="12" t="n">
        <v>177916</v>
      </c>
      <c r="D13" s="13" t="n">
        <v>193534</v>
      </c>
      <c r="E13" s="14">
        <f>IF(ISERROR((C13-D13)/ABS(D13)),"",(C13-D13)/ABS(D13))</f>
        <v>-0.0806989986255645</v>
      </c>
      <c r="F13" s="11" t="inlineStr">
        <is>
          <t>PDF p.75 (印刷頁 74)</t>
        </is>
      </c>
      <c r="G13" s="11" t="inlineStr">
        <is>
          <t>Property, plant and equipment 物業、機器及設備 12 177,916 193,534</t>
        </is>
      </c>
    </row>
    <row r="14">
      <c r="A14" s="8" t="inlineStr">
        <is>
          <t>Balance Sheet</t>
        </is>
      </c>
      <c r="B14" s="8" t="inlineStr">
        <is>
          <t>Investment Properties</t>
        </is>
      </c>
      <c r="C14" s="12" t="n">
        <v>163202</v>
      </c>
      <c r="D14" s="13" t="n">
        <v>176958</v>
      </c>
      <c r="E14" s="14">
        <f>IF(ISERROR((C14-D14)/ABS(D14)),"",(C14-D14)/ABS(D14))</f>
        <v>-0.07773595994529775</v>
      </c>
      <c r="F14" s="11" t="inlineStr">
        <is>
          <t>PDF p.75 (印刷頁 74)</t>
        </is>
      </c>
      <c r="G14" s="11" t="inlineStr">
        <is>
          <t>Investment properties 投資物業 14 163,202 176,958</t>
        </is>
      </c>
    </row>
    <row r="15">
      <c r="A15" s="8" t="inlineStr">
        <is>
          <t>Balance Sheet</t>
        </is>
      </c>
      <c r="B15" s="8" t="inlineStr">
        <is>
          <t>Inventories</t>
        </is>
      </c>
      <c r="C15" s="12" t="n">
        <v>1343</v>
      </c>
      <c r="D15" s="13" t="n">
        <v>1243</v>
      </c>
      <c r="E15" s="14">
        <f>IF(ISERROR((C15-D15)/ABS(D15)),"",(C15-D15)/ABS(D15))</f>
        <v>0.08045052292839903</v>
      </c>
      <c r="F15" s="11" t="inlineStr">
        <is>
          <t>PDF p.75 (印刷頁 74)</t>
        </is>
      </c>
      <c r="G15" s="11" t="inlineStr">
        <is>
          <t>Inventories 存貨 20 1,343 1,243</t>
        </is>
      </c>
    </row>
    <row r="16">
      <c r="A16" s="8" t="inlineStr">
        <is>
          <t>Balance Sheet</t>
        </is>
      </c>
      <c r="B16" s="8" t="inlineStr">
        <is>
          <t>Total Assets</t>
        </is>
      </c>
      <c r="C16" s="12" t="n">
        <v>533209</v>
      </c>
      <c r="D16" s="13" t="n">
        <v>588178</v>
      </c>
      <c r="E16" s="14">
        <f>IF(ISERROR((C16-D16)/ABS(D16)),"",(C16-D16)/ABS(D16))</f>
        <v>-0.09345640265361846</v>
      </c>
      <c r="F16" s="11" t="inlineStr">
        <is>
          <t>PDF p.75 (印刷頁 74)</t>
        </is>
      </c>
      <c r="G16" s="11" t="inlineStr">
        <is>
          <t>Total assets 總資產 533,209 588,178</t>
        </is>
      </c>
    </row>
    <row r="17">
      <c r="A17" s="8" t="inlineStr">
        <is>
          <t>Balance Sheet</t>
        </is>
      </c>
      <c r="B17" s="8" t="inlineStr">
        <is>
          <t>Total Equity</t>
        </is>
      </c>
      <c r="C17" s="12" t="n">
        <v>204616</v>
      </c>
      <c r="D17" s="13" t="n">
        <v>253379</v>
      </c>
      <c r="E17" s="14">
        <f>IF(ISERROR((C17-D17)/ABS(D17)),"",(C17-D17)/ABS(D17))</f>
        <v>-0.1924508345206193</v>
      </c>
      <c r="F17" s="11" t="inlineStr">
        <is>
          <t>PDF p.75 (印刷頁 74)</t>
        </is>
      </c>
      <c r="G17" s="11" t="inlineStr">
        <is>
          <t>Total equity 總權益 204,616 253,379</t>
        </is>
      </c>
    </row>
    <row r="18">
      <c r="A18" s="8" t="inlineStr">
        <is>
          <t>Balance Sheet</t>
        </is>
      </c>
      <c r="B18" s="8" t="inlineStr">
        <is>
          <t>Borrowings</t>
        </is>
      </c>
      <c r="C18" s="12" t="n">
        <v>17642</v>
      </c>
      <c r="D18" s="13" t="n">
        <v>19712</v>
      </c>
      <c r="E18" s="14">
        <f>IF(ISERROR((C18-D18)/ABS(D18)),"",(C18-D18)/ABS(D18))</f>
        <v>-0.10501217532467533</v>
      </c>
      <c r="F18" s="11" t="inlineStr">
        <is>
          <t>PDF p.76 (印刷頁 75)</t>
        </is>
      </c>
      <c r="G18" s="11" t="inlineStr">
        <is>
          <t>Bank borrowings 銀行借貸 27 17,642 19,712</t>
        </is>
      </c>
    </row>
    <row r="19">
      <c r="A19" s="8" t="inlineStr">
        <is>
          <t>Balance Sheet</t>
        </is>
      </c>
      <c r="B19" s="8" t="inlineStr">
        <is>
          <t>Total Liabilities</t>
        </is>
      </c>
      <c r="C19" s="12" t="n">
        <v>328593</v>
      </c>
      <c r="D19" s="13" t="n">
        <v>334799</v>
      </c>
      <c r="E19" s="14">
        <f>IF(ISERROR((C19-D19)/ABS(D19)),"",(C19-D19)/ABS(D19))</f>
        <v>-0.018536495031347168</v>
      </c>
      <c r="F19" s="11" t="inlineStr">
        <is>
          <t>PDF p.76 (印刷頁 75)</t>
        </is>
      </c>
      <c r="G19" s="11" t="inlineStr">
        <is>
          <t>Total liabilities 總負債 328,593 334,799</t>
        </is>
      </c>
    </row>
    <row r="20">
      <c r="A20" s="8" t="inlineStr">
        <is>
          <t>Balance Sheet</t>
        </is>
      </c>
      <c r="B20" s="8" t="inlineStr">
        <is>
          <t>Total Current Assets</t>
        </is>
      </c>
      <c r="C20" s="12" t="n">
        <v>78576</v>
      </c>
      <c r="D20" s="13" t="n">
        <v>98515</v>
      </c>
      <c r="E20" s="14">
        <f>IF(ISERROR((C20-D20)/ABS(D20)),"",(C20-D20)/ABS(D20))</f>
        <v>-0.20239557427802873</v>
      </c>
      <c r="F20" s="11" t="inlineStr">
        <is>
          <t>PDF p.75 (印刷頁 74)</t>
        </is>
      </c>
      <c r="G20" s="11" t="inlineStr">
        <is>
          <t>[current assets 區段小計] 78,576 98,515</t>
        </is>
      </c>
    </row>
    <row r="21">
      <c r="A21" s="8" t="inlineStr">
        <is>
          <t>Balance Sheet</t>
        </is>
      </c>
      <c r="B21" s="8" t="inlineStr">
        <is>
          <t>Total Current Liabilities</t>
        </is>
      </c>
      <c r="C21" s="12" t="n">
        <v>124132</v>
      </c>
      <c r="D21" s="13" t="n">
        <v>137765</v>
      </c>
      <c r="E21" s="14">
        <f>IF(ISERROR((C21-D21)/ABS(D21)),"",(C21-D21)/ABS(D21))</f>
        <v>-0.09895837113925889</v>
      </c>
      <c r="F21" s="11" t="inlineStr">
        <is>
          <t>PDF p.76 (印刷頁 75)</t>
        </is>
      </c>
      <c r="G21" s="11" t="inlineStr">
        <is>
          <t>[current liabilities 區段小計] 124,132 137,765</t>
        </is>
      </c>
    </row>
    <row r="22">
      <c r="A22" s="8" t="inlineStr">
        <is>
          <t>Cash Flow</t>
        </is>
      </c>
      <c r="B22" s="8" t="inlineStr">
        <is>
          <t>Capital Expenditure</t>
        </is>
      </c>
      <c r="C22" s="12" t="n">
        <v>-160</v>
      </c>
      <c r="D22" s="13" t="n">
        <v>-8249</v>
      </c>
      <c r="E22" s="14">
        <f>IF(ISERROR((C22-D22)/ABS(D22)),"",(C22-D22)/ABS(D22))</f>
        <v>0.9806037095405503</v>
      </c>
      <c r="F22" s="11" t="inlineStr">
        <is>
          <t>PDF p.79 (印刷頁 78)</t>
        </is>
      </c>
      <c r="G22" s="11" t="inlineStr">
        <is>
          <t>Purchase of property, plant and equipment 購買物業、機器及設備 (160) (8,249)</t>
        </is>
      </c>
    </row>
    <row r="23">
      <c r="A23" s="8" t="inlineStr">
        <is>
          <t>Cash Flow</t>
        </is>
      </c>
      <c r="B23" s="8" t="inlineStr">
        <is>
          <t>Investing Cash Flow</t>
        </is>
      </c>
      <c r="C23" s="12" t="n">
        <v>-12788</v>
      </c>
      <c r="D23" s="13" t="n">
        <v>-19239</v>
      </c>
      <c r="E23" s="14">
        <f>IF(ISERROR((C23-D23)/ABS(D23)),"",(C23-D23)/ABS(D23))</f>
        <v>0.33530848796715007</v>
      </c>
      <c r="F23" s="11" t="inlineStr">
        <is>
          <t>PDF p.79 (印刷頁 78)</t>
        </is>
      </c>
      <c r="G23" s="11" t="inlineStr">
        <is>
          <t>Net cash used in investing activities 投資活動所用現金淨額 (12,788) (19,239)</t>
        </is>
      </c>
    </row>
    <row r="24">
      <c r="A24" s="8" t="inlineStr">
        <is>
          <t>Cash Flow</t>
        </is>
      </c>
      <c r="B24" s="8" t="inlineStr">
        <is>
          <t>Financing Cash Flow</t>
        </is>
      </c>
      <c r="C24" s="12" t="n">
        <v>-3626</v>
      </c>
      <c r="D24" s="13" t="n">
        <v>-10605</v>
      </c>
      <c r="E24" s="14">
        <f>IF(ISERROR((C24-D24)/ABS(D24)),"",(C24-D24)/ABS(D24))</f>
        <v>0.6580858085808581</v>
      </c>
      <c r="F24" s="11" t="inlineStr">
        <is>
          <t>PDF p.79 (印刷頁 78)</t>
        </is>
      </c>
      <c r="G24" s="11" t="inlineStr">
        <is>
          <t>Net cash used in financing activities 融資活動所用現金淨額 (3,626) (10,605)</t>
        </is>
      </c>
    </row>
    <row r="26">
      <c r="A26"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5">
        <f>IF(ISERROR(INDEX('Financials 財務數據'!$C$5:$C$24,MATCH("Gross Profit",'Financials 財務數據'!$B$5:$B$24,0))/INDEX('Financials 財務數據'!$C$5:$C$24,MATCH("Revenue",'Financials 財務數據'!$B$5:$B$24,0))),"n/a",INDEX('Financials 財務數據'!$C$5:$C$24,MATCH("Gross Profit",'Financials 財務數據'!$B$5:$B$24,0))/INDEX('Financials 財務數據'!$C$5:$C$24,MATCH("Revenue",'Financials 財務數據'!$B$5:$B$24,0)))</f>
        <v>0.5046451508664216</v>
      </c>
      <c r="C5" s="15">
        <f>IF(ISERROR(INDEX('Financials 財務數據'!$D$5:$D$24,MATCH("Gross Profit",'Financials 財務數據'!$B$5:$B$24,0))/INDEX('Financials 財務數據'!$D$5:$D$24,MATCH("Revenue",'Financials 財務數據'!$B$5:$B$24,0))),"n/a",INDEX('Financials 財務數據'!$D$5:$D$24,MATCH("Gross Profit",'Financials 財務數據'!$B$5:$B$24,0))/INDEX('Financials 財務數據'!$D$5:$D$24,MATCH("Revenue",'Financials 財務數據'!$B$5:$B$24,0)))</f>
        <v>0.10080294352207642</v>
      </c>
      <c r="D5" s="2" t="inlineStr">
        <is>
          <t>毛利 ÷ 收入</t>
        </is>
      </c>
    </row>
    <row r="6">
      <c r="A6" s="4" t="inlineStr">
        <is>
          <t>Net Margin 淨利率</t>
        </is>
      </c>
      <c r="B6" s="15">
        <f>IF(ISERROR(INDEX('Financials 財務數據'!$C$5:$C$24,MATCH("Profit for the Year",'Financials 財務數據'!$B$5:$B$24,0))/INDEX('Financials 財務數據'!$C$5:$C$24,MATCH("Revenue",'Financials 財務數據'!$B$5:$B$24,0))),"n/a",INDEX('Financials 財務數據'!$C$5:$C$24,MATCH("Profit for the Year",'Financials 財務數據'!$B$5:$B$24,0))/INDEX('Financials 財務數據'!$C$5:$C$24,MATCH("Revenue",'Financials 財務數據'!$B$5:$B$24,0)))</f>
        <v>-0.4216181282061639</v>
      </c>
      <c r="C6" s="15">
        <f>IF(ISERROR(INDEX('Financials 財務數據'!$D$5:$D$24,MATCH("Profit for the Year",'Financials 財務數據'!$B$5:$B$24,0))/INDEX('Financials 財務數據'!$D$5:$D$24,MATCH("Revenue",'Financials 財務數據'!$B$5:$B$24,0))),"n/a",INDEX('Financials 財務數據'!$D$5:$D$24,MATCH("Profit for the Year",'Financials 財務數據'!$B$5:$B$24,0))/INDEX('Financials 財務數據'!$D$5:$D$24,MATCH("Revenue",'Financials 財務數據'!$B$5:$B$24,0)))</f>
        <v>-0.5415609367070253</v>
      </c>
      <c r="D6" s="2" t="inlineStr">
        <is>
          <t>年內溢利 ÷ 收入</t>
        </is>
      </c>
    </row>
    <row r="7">
      <c r="A7" s="4" t="inlineStr">
        <is>
          <t>Current Ratio 流動比率</t>
        </is>
      </c>
      <c r="B7" s="16">
        <f>IF(ISERROR(INDEX('Financials 財務數據'!$C$5:$C$24,MATCH("Total Current Assets",'Financials 財務數據'!$B$5:$B$24,0))/INDEX('Financials 財務數據'!$C$5:$C$24,MATCH("Total Current Liabilities",'Financials 財務數據'!$B$5:$B$24,0))),"n/a",INDEX('Financials 財務數據'!$C$5:$C$24,MATCH("Total Current Assets",'Financials 財務數據'!$B$5:$B$24,0))/INDEX('Financials 財務數據'!$C$5:$C$24,MATCH("Total Current Liabilities",'Financials 財務數據'!$B$5:$B$24,0)))</f>
        <v>0.63300357683756</v>
      </c>
      <c r="C7" s="16">
        <f>IF(ISERROR(INDEX('Financials 財務數據'!$D$5:$D$24,MATCH("Total Current Assets",'Financials 財務數據'!$B$5:$B$24,0))/INDEX('Financials 財務數據'!$D$5:$D$24,MATCH("Total Current Liabilities",'Financials 財務數據'!$B$5:$B$24,0))),"n/a",INDEX('Financials 財務數據'!$D$5:$D$24,MATCH("Total Current Assets",'Financials 財務數據'!$B$5:$B$24,0))/INDEX('Financials 財務數據'!$D$5:$D$24,MATCH("Total Current Liabilities",'Financials 財務數據'!$B$5:$B$24,0)))</f>
        <v>0.7150945450586144</v>
      </c>
      <c r="D7" s="2" t="inlineStr">
        <is>
          <t>流動資產 ÷ 流動負債</t>
        </is>
      </c>
    </row>
    <row r="8">
      <c r="A8" s="4" t="inlineStr">
        <is>
          <t>Debt / Equity 負債權益比</t>
        </is>
      </c>
      <c r="B8" s="16">
        <f>IF(ISERROR(INDEX('Financials 財務數據'!$C$5:$C$24,MATCH("Total Liabilities",'Financials 財務數據'!$B$5:$B$24,0))/INDEX('Financials 財務數據'!$C$5:$C$24,MATCH("Total Equity",'Financials 財務數據'!$B$5:$B$24,0))),"n/a",INDEX('Financials 財務數據'!$C$5:$C$24,MATCH("Total Liabilities",'Financials 財務數據'!$B$5:$B$24,0))/INDEX('Financials 財務數據'!$C$5:$C$24,MATCH("Total Equity",'Financials 財務數據'!$B$5:$B$24,0)))</f>
        <v>1.6059008093208742</v>
      </c>
      <c r="C8" s="16">
        <f>IF(ISERROR(INDEX('Financials 財務數據'!$D$5:$D$24,MATCH("Total Liabilities",'Financials 財務數據'!$B$5:$B$24,0))/INDEX('Financials 財務數據'!$D$5:$D$24,MATCH("Total Equity",'Financials 財務數據'!$B$5:$B$24,0))),"n/a",INDEX('Financials 財務數據'!$D$5:$D$24,MATCH("Total Liabilities",'Financials 財務數據'!$B$5:$B$24,0))/INDEX('Financials 財務數據'!$D$5:$D$24,MATCH("Total Equity",'Financials 財務數據'!$B$5:$B$24,0)))</f>
        <v>1.3213368116536888</v>
      </c>
      <c r="D8" s="2" t="inlineStr">
        <is>
          <t>總負債 ÷ 總權益</t>
        </is>
      </c>
    </row>
    <row r="9">
      <c r="A9" s="4" t="inlineStr">
        <is>
          <t>Goodwill / Total Assets</t>
        </is>
      </c>
      <c r="B9" s="15" t="str">
        <f>IF(ISERROR(INDEX('Financials 財務數據'!$C$5:$C$24,MATCH("Goodwill",'Financials 財務數據'!$B$5:$B$24,0))/INDEX('Financials 財務數據'!$C$5:$C$24,MATCH("Total Assets",'Financials 財務數據'!$B$5:$B$24,0))),"n/a",INDEX('Financials 財務數據'!$C$5:$C$24,MATCH("Goodwill",'Financials 財務數據'!$B$5:$B$24,0))/INDEX('Financials 財務數據'!$C$5:$C$24,MATCH("Total Assets",'Financials 財務數據'!$B$5:$B$24,0)))</f>
        <v>n/a</v>
      </c>
      <c r="C9" s="15" t="str">
        <f>IF(ISERROR(INDEX('Financials 財務數據'!$D$5:$D$24,MATCH("Goodwill",'Financials 財務數據'!$B$5:$B$24,0))/INDEX('Financials 財務數據'!$D$5:$D$24,MATCH("Total Assets",'Financials 財務數據'!$B$5:$B$24,0))),"n/a",INDEX('Financials 財務數據'!$D$5:$D$24,MATCH("Goodwill",'Financials 財務數據'!$B$5:$B$24,0))/INDEX('Financials 財務數據'!$D$5:$D$24,MATCH("Total Assets",'Financials 財務數據'!$B$5:$B$24,0)))</f>
        <v>n/a</v>
      </c>
      <c r="D9" s="2" t="inlineStr">
        <is>
          <t>商譽佔總資產比重 — 減值風險指標</t>
        </is>
      </c>
    </row>
    <row r="10">
      <c r="A10" s="4" t="inlineStr">
        <is>
          <t>Intangibles / Total Assets</t>
        </is>
      </c>
      <c r="B10" s="15" t="str">
        <f>IF(ISERROR(INDEX('Financials 財務數據'!$C$5:$C$24,MATCH("Intangible Assets",'Financials 財務數據'!$B$5:$B$24,0))/INDEX('Financials 財務數據'!$C$5:$C$24,MATCH("Total Assets",'Financials 財務數據'!$B$5:$B$24,0))),"n/a",INDEX('Financials 財務數據'!$C$5:$C$24,MATCH("Intangible Assets",'Financials 財務數據'!$B$5:$B$24,0))/INDEX('Financials 財務數據'!$C$5:$C$24,MATCH("Total Assets",'Financials 財務數據'!$B$5:$B$24,0)))</f>
        <v>n/a</v>
      </c>
      <c r="C10" s="15" t="str">
        <f>IF(ISERROR(INDEX('Financials 財務數據'!$D$5:$D$24,MATCH("Intangible Assets",'Financials 財務數據'!$B$5:$B$24,0))/INDEX('Financials 財務數據'!$D$5:$D$24,MATCH("Total Assets",'Financials 財務數據'!$B$5:$B$24,0))),"n/a",INDEX('Financials 財務數據'!$D$5:$D$24,MATCH("Intangible Assets",'Financials 財務數據'!$B$5:$B$24,0))/INDEX('Financials 財務數據'!$D$5:$D$24,MATCH("Total Assets",'Financials 財務數據'!$B$5:$B$24,0)))</f>
        <v>n/a</v>
      </c>
      <c r="D10" s="2" t="inlineStr">
        <is>
          <t>無形資產佔比</t>
        </is>
      </c>
    </row>
    <row r="11">
      <c r="A11" s="4" t="inlineStr">
        <is>
          <t>ROE 股本回報率</t>
        </is>
      </c>
      <c r="B11" s="15">
        <f>IF(ISERROR(INDEX('Financials 財務數據'!$C$5:$C$24,MATCH("Profit for the Year",'Financials 財務數據'!$B$5:$B$24,0))/INDEX('Financials 財務數據'!$C$5:$C$24,MATCH("Total Equity",'Financials 財務數據'!$B$5:$B$24,0))),"n/a",INDEX('Financials 財務數據'!$C$5:$C$24,MATCH("Profit for the Year",'Financials 財務數據'!$B$5:$B$24,0))/INDEX('Financials 財務數據'!$C$5:$C$24,MATCH("Total Equity",'Financials 財務數據'!$B$5:$B$24,0)))</f>
        <v>-0.20405051413379208</v>
      </c>
      <c r="C11" s="15">
        <f>IF(ISERROR(INDEX('Financials 財務數據'!$D$5:$D$24,MATCH("Profit for the Year",'Financials 財務數據'!$B$5:$B$24,0))/INDEX('Financials 財務數據'!$D$5:$D$24,MATCH("Total Equity",'Financials 財務數據'!$B$5:$B$24,0))),"n/a",INDEX('Financials 財務數據'!$D$5:$D$24,MATCH("Profit for the Year",'Financials 財務數據'!$B$5:$B$24,0))/INDEX('Financials 財務數據'!$D$5:$D$24,MATCH("Total Equity",'Financials 財務數據'!$B$5:$B$24,0)))</f>
        <v>-0.23584432806191516</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7" t="inlineStr">
        <is>
          <t>Item</t>
        </is>
      </c>
      <c r="B4" s="17" t="inlineStr">
        <is>
          <t>Prior</t>
        </is>
      </c>
      <c r="C4" s="17" t="inlineStr">
        <is>
          <t>Current</t>
        </is>
      </c>
    </row>
    <row r="5">
      <c r="A5" s="4" t="inlineStr">
        <is>
          <t>Revenue</t>
        </is>
      </c>
      <c r="B5" s="18" t="n">
        <v>110344</v>
      </c>
      <c r="C5" s="18" t="n">
        <v>99028</v>
      </c>
    </row>
    <row r="6">
      <c r="A6" s="4" t="inlineStr">
        <is>
          <t>Gross Profit</t>
        </is>
      </c>
      <c r="B6" s="18" t="n">
        <v>11123</v>
      </c>
      <c r="C6" s="18" t="n">
        <v>49974</v>
      </c>
    </row>
    <row r="7">
      <c r="A7" s="4" t="inlineStr">
        <is>
          <t>Profit Before Tax</t>
        </is>
      </c>
      <c r="B7" s="18" t="n">
        <v>-61082</v>
      </c>
      <c r="C7" s="18" t="n">
        <v>-42410</v>
      </c>
    </row>
    <row r="8">
      <c r="A8" s="4" t="inlineStr">
        <is>
          <t>Profit for the Year</t>
        </is>
      </c>
      <c r="B8" s="18" t="n">
        <v>-59758</v>
      </c>
      <c r="C8" s="18" t="n">
        <v>-41752</v>
      </c>
    </row>
    <row r="9">
      <c r="A9" s="4" t="inlineStr">
        <is>
          <t>Total Assets</t>
        </is>
      </c>
      <c r="B9" s="18" t="n">
        <v>588178</v>
      </c>
      <c r="C9" s="18" t="n">
        <v>533209</v>
      </c>
    </row>
    <row r="10">
      <c r="A10" s="4" t="inlineStr">
        <is>
          <t>Total Equity</t>
        </is>
      </c>
      <c r="B10" s="18" t="n">
        <v>253379</v>
      </c>
      <c r="C10" s="18" t="n">
        <v>204616</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142"/>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19" t="inlineStr">
        <is>
          <t>high</t>
        </is>
      </c>
      <c r="D4" s="11" t="inlineStr">
        <is>
          <t>independent valuer</t>
        </is>
      </c>
      <c r="E4" s="11" t="inlineStr">
        <is>
          <t>PDF p.93 (印刷頁 92)</t>
        </is>
      </c>
      <c r="F4" s="11" t="inlineStr">
        <is>
          <t>comprise mainly offices. Buildings are 樓宇主要包括辦公室。樓宇根 recognised at fair value, based on annual valuations 據外聘獨立估值師每年進行之 by external independent valuers, less subsequent 估值按公允值減樓宇之其後折 depreciation for buildings. Any accumulated 舊確認。於重估日之任何累計 depreciation at the date of revaluation is eliminated 折舊與資產之賬面總額對銷， against the gross carrying amount of the asset and 而淨額則重列至資產之重估金 the net amount is restated to the revalued amount 額。 of the asset. Freehold land is not depreciated. All other property, 永久業權土地不予折舊。所有 plant and equipment are</t>
        </is>
      </c>
    </row>
    <row r="5">
      <c r="A5" s="8" t="inlineStr">
        <is>
          <t>Fair Value Measurement</t>
        </is>
      </c>
      <c r="B5" s="8" t="inlineStr">
        <is>
          <t>公允價值計量</t>
        </is>
      </c>
      <c r="C5" s="19" t="inlineStr">
        <is>
          <t>high</t>
        </is>
      </c>
      <c r="D5" s="11" t="inlineStr">
        <is>
          <t>level 1</t>
        </is>
      </c>
      <c r="E5" s="11" t="inlineStr">
        <is>
          <t>PDF p.142 (印刷頁 141)</t>
        </is>
      </c>
      <c r="F5" s="11" t="inlineStr">
        <is>
          <t>ave been defined as follows: 定義如下： • Quoted prices (unadjusted) in active markets • 同類資產或負債在活躍市 for identical assets or liabilities (level 1). 場上之報價（未經調整） （第 一級）。 • Inputs other than quoted prices included • 直接（即價格）或間接（即 within level 1 that are observable for the asset 價格衍生）使用第一級中 or liability, either directly (that is, as prices) or 報價以外之可觀察資產或 indirectly (that is, derived from prices) (level 2). 負債數據（第二級）。 • Inputs for the asset or liability that are not • 任何非基於可觀察市場 based on observable market data (that is, 數據之資產或負債數據 unobse</t>
        </is>
      </c>
    </row>
    <row r="6">
      <c r="A6" s="8" t="inlineStr">
        <is>
          <t>Fair Value Measurement</t>
        </is>
      </c>
      <c r="B6" s="8" t="inlineStr">
        <is>
          <t>公允價值計量</t>
        </is>
      </c>
      <c r="C6" s="19" t="inlineStr">
        <is>
          <t>high</t>
        </is>
      </c>
      <c r="D6" s="11" t="inlineStr">
        <is>
          <t>fair value hierarchy</t>
        </is>
      </c>
      <c r="E6" s="11" t="inlineStr">
        <is>
          <t>PDF p.143 (印刷頁 142)</t>
        </is>
      </c>
      <c r="F6" s="11" t="inlineStr">
        <is>
          <t>NCIAL STATEMENTS 綜合財務報表附註 3 FINANCIAL RISK MANAGEMENT (Continued) 3 財務風險管理（續） 3.3 Fair value estimation (Continued) 3.3 公允值估計（續） (i) Fair value hierarchy (i) 公允值層級 This section explains the judgements and estimates 本節闡述於釐定於財務報表中 made in determining the fair values of the financial 確認及按公允值計量之財務工 instruments that are recognised and measured at 具之公允價時所作出之判斷及 fair value in the financial statements. To provide an 估計。為得出有關釐定公允值 indication about the reliability of the inputs used in 所用輸入數據之可靠性，本集 determining fair value, the Group has</t>
        </is>
      </c>
    </row>
    <row r="7">
      <c r="A7" s="8" t="inlineStr">
        <is>
          <t>Fair Value Measurement</t>
        </is>
      </c>
      <c r="B7" s="8" t="inlineStr">
        <is>
          <t>公允價值計量</t>
        </is>
      </c>
      <c r="C7" s="19" t="inlineStr">
        <is>
          <t>high</t>
        </is>
      </c>
      <c r="D7" s="11" t="inlineStr">
        <is>
          <t>fair value hierarchy</t>
        </is>
      </c>
      <c r="E7" s="11" t="inlineStr">
        <is>
          <t>PDF p.144 (印刷頁 143)</t>
        </is>
      </c>
      <c r="F7" s="11" t="inlineStr">
        <is>
          <t>NCIAL STATEMENTS 綜合財務報表附註 3 FINANCIAL RISK MANAGEMENT (Continued) 3 財務風險管理（續） 3.3 Fair value estimation (Continued) 3.3 公允值估計（續） (i) Fair value hierarchy (Continued) (i) 公允值層級（續） There were no transfers between levels 1, 2 and 年內經常性公允值計量並無第 3 for recurring fair value measurements during the 一級、第二級及第三級之間的 year. 轉換。 Level 1: Quoted prices (unadjusted) in active 第一級：同類資產或負債在 markets for identical assets or liabilities. 活躍市場上之報價 （未經調整）。 Level 2: Inputs other than quoted prices 第二級：直接（即價格）或間接 included within level 1 that are （即價格衍生）</t>
        </is>
      </c>
    </row>
    <row r="8">
      <c r="A8" s="8" t="inlineStr">
        <is>
          <t>Fair Value Measurement</t>
        </is>
      </c>
      <c r="B8" s="8" t="inlineStr">
        <is>
          <t>公允價值計量</t>
        </is>
      </c>
      <c r="C8" s="19" t="inlineStr">
        <is>
          <t>high</t>
        </is>
      </c>
      <c r="D8" s="11" t="inlineStr">
        <is>
          <t>fair value hierarchy</t>
        </is>
      </c>
      <c r="E8" s="11" t="inlineStr">
        <is>
          <t>PDF p.145 (印刷頁 144)</t>
        </is>
      </c>
      <c r="F8" s="11" t="inlineStr">
        <is>
          <t>NCIAL STATEMENTS 綜合財務報表附註 3 FINANCIAL RISK MANAGEMENT (Continued) 3 財務風險管理（續） 3.3 Fair value estimation (Continued) 3.3 公允值估計（續） (i) Fair value hierarchy (Continued) (i) 公允值層級（續） The carrying values less loss allowance of deposits, 由於還款期限較短，按金、貿 trade and other receivables, cash and bank 易及其他應收款項、現金及銀 balances, short-term bank deposits, pledged bank 行結餘、短期銀行存款、已抵 deposits, restricted bank balance, trade and other 押銀行存款、受限制銀行結 payables, amounts due from/to associates, bank 餘、貿易及其他應付款項、應 borrowings, bank overdrafts and lease liab</t>
        </is>
      </c>
    </row>
    <row r="9">
      <c r="A9" s="8" t="inlineStr">
        <is>
          <t>Fair Value Measurement</t>
        </is>
      </c>
      <c r="B9" s="8" t="inlineStr">
        <is>
          <t>公允價值計量</t>
        </is>
      </c>
      <c r="C9" s="19" t="inlineStr">
        <is>
          <t>high</t>
        </is>
      </c>
      <c r="D9" s="11" t="inlineStr">
        <is>
          <t>level 3</t>
        </is>
      </c>
      <c r="E9" s="11" t="inlineStr">
        <is>
          <t>PDF p.146 (印刷頁 145)</t>
        </is>
      </c>
      <c r="F9" s="11" t="inlineStr">
        <is>
          <t>r value estimation (Continued) 3.3 公允值估計（續） (iii) Fair value measurements using significant (iii) 使用重大不可觀察輸入數據之 unobservable inputs (level 3) 公允值計量（第三級） The following table presents the changes in level 3 下表呈列第三級於年內之變 items for the year: 動： HK$’000 千港元 Opening balance at 1st April 2024 於二零二四年四月一日之期初結餘 5,961 Settlements (Note) 結算（附註） (5,961) Closing balance at 31st March 2025 於二零二五年三月三十一日之期末結餘 – Additions 添置 1,577 Changes in fair values 公允值變動 (967) Settlements 結算 (610) Closing balance at 31st March 2026 二零二六年三月三十一日之期初結餘 – The ke</t>
        </is>
      </c>
    </row>
    <row r="10">
      <c r="A10" s="8" t="inlineStr">
        <is>
          <t>Fair Value Measurement</t>
        </is>
      </c>
      <c r="B10" s="8" t="inlineStr">
        <is>
          <t>公允價值計量</t>
        </is>
      </c>
      <c r="C10" s="19" t="inlineStr">
        <is>
          <t>high</t>
        </is>
      </c>
      <c r="D10" s="11" t="inlineStr">
        <is>
          <t>valuation technique</t>
        </is>
      </c>
      <c r="E10" s="11" t="inlineStr">
        <is>
          <t>PDF p.148 (印刷頁 147)</t>
        </is>
      </c>
      <c r="F10" s="11" t="inlineStr">
        <is>
          <t>法進行之投資物業及樓 the open market value approach and depreciated 宇估值所得資料。倘本集團使 replacement cost. Had the Group used different 用不同估值方法，則投資物業 valuation techniques, the fair value of the investment 及樓宇之公允值將會不同，因 properties and buildings would be different and thus 而可能會對綜合財務報表構成 may have an impact to the consolidated financial 影響。 statements. (c) Impairment of property, plant and equipment (c) 物業、機器及設備以及使用權 and right-of-use assets 資產減值 Property, plant and equipment and right-of-use 每當有事件出現或情況有變顯 assets are reviewed for impairment whenever</t>
        </is>
      </c>
    </row>
    <row r="11">
      <c r="A11" s="8" t="inlineStr">
        <is>
          <t>Fair Value Measurement</t>
        </is>
      </c>
      <c r="B11" s="8" t="inlineStr">
        <is>
          <t>公允價值計量</t>
        </is>
      </c>
      <c r="C11" s="19" t="inlineStr">
        <is>
          <t>high</t>
        </is>
      </c>
      <c r="D11" s="11" t="inlineStr">
        <is>
          <t>fair value hierarchy</t>
        </is>
      </c>
      <c r="E11" s="11" t="inlineStr">
        <is>
          <t>PDF p.172 (印刷頁 171)</t>
        </is>
      </c>
      <c r="F11" s="11" t="inlineStr">
        <is>
          <t>74,000 (2025: HK$1,961,000) has 止年度，重估虧絀4,174,000 been charged to the other comprehensive income. 港元（二零二五年：1,961,000 港元）已於其他全面收益扣 除。 Fair value hierarchy 公允值架構 Level 2 Level 3 Total 第二級 第三級 總計 HK$’000 HK$’000 HK$’000 千港元 千港元 千港元 At 31st March 2026 於二零二六年三月 三十一日 Recurring fair value measurements 經常性公允值計量 Properties held for own use 持作自用物業 –Located in Hong Kong – 位於香港 – 138,728 138,728 –Located in Mainland China – 位於中國內地 10,100 – 10,100 –Located in Taiwan – 位於台灣 4,510 – 4,510 14,610 138,728 153,338 At 31st March 2025 於二零二五年三月 三十一</t>
        </is>
      </c>
    </row>
    <row r="12">
      <c r="A12" s="8" t="inlineStr">
        <is>
          <t>Fair Value Measurement</t>
        </is>
      </c>
      <c r="B12" s="8" t="inlineStr">
        <is>
          <t>公允價值計量</t>
        </is>
      </c>
      <c r="C12" s="19" t="inlineStr">
        <is>
          <t>high</t>
        </is>
      </c>
      <c r="D12" s="11" t="inlineStr">
        <is>
          <t>level 3</t>
        </is>
      </c>
      <c r="E12" s="11" t="inlineStr">
        <is>
          <t>PDF p.173 (印刷頁 172)</t>
        </is>
      </c>
      <c r="F12" s="11" t="inlineStr">
        <is>
          <t>MENT 12 物業、機器及設備（續） (Continued) (a) (Continued) (a) （續） Fair value measurements using significant 使用重大不可觀察數據之公允 unobservable inputs (Level 3) 值計量（第三級） 2026 2025 二零二六年 二零二五年 HK$’000 HK$’000 千港元 千港元 Properties held for own use: 持作自用物業： At beginning of the year 於年初 150,142 158,519 Depreciation charge 折舊費用 (6,748) (6,818) Revaluation deficit 重估虧絀 (4,666) (1,559) At end of the year 於年末 138,728 150,142 The finance department reviews the valuations 財務部審閱黃開基測計師行有 performed by Memfus Wong Surveyors Limited for 限公司就財務報告用途而進行 financial re</t>
        </is>
      </c>
    </row>
    <row r="13">
      <c r="A13" s="8" t="inlineStr">
        <is>
          <t>Fair Value Measurement</t>
        </is>
      </c>
      <c r="B13" s="8" t="inlineStr">
        <is>
          <t>公允價值計量</t>
        </is>
      </c>
      <c r="C13" s="19" t="inlineStr">
        <is>
          <t>high</t>
        </is>
      </c>
      <c r="D13" s="11" t="inlineStr">
        <is>
          <t>unobservable input</t>
        </is>
      </c>
      <c r="E13" s="11" t="inlineStr">
        <is>
          <t>PDF p.174 (印刷頁 173)</t>
        </is>
      </c>
      <c r="F13" s="11" t="inlineStr">
        <is>
          <t>) （續） Below is a summary of the key inputs to the 樓宇估值的主要輸入數據摘要 valuation of buildings: 如下： Other observable/ Valuation technique(s) unobservable inputs Relationship Range 估值方法 其他可觀察╱不可觀察輸入數據 關係 範圍 Hong Kong industrial properties 香港工業物業 Depreciated replacement cost Construction unit cost and The higher the construction unit cost, Construction unit method depreciation rate the higher the fair value cost of 折舊重置成本法 建築單位成本及折舊率 建築單位成本越高， HK$11,300/sq. m 公允值越高 (2025: HK$12,300/sq. m) and depreciation The higher the depreciation rate</t>
        </is>
      </c>
    </row>
    <row r="14">
      <c r="A14" s="8" t="inlineStr">
        <is>
          <t>Fair Value Measurement</t>
        </is>
      </c>
      <c r="B14" s="8" t="inlineStr">
        <is>
          <t>公允價值計量</t>
        </is>
      </c>
      <c r="C14" s="19" t="inlineStr">
        <is>
          <t>high</t>
        </is>
      </c>
      <c r="D14" s="11" t="inlineStr">
        <is>
          <t>unobservable input</t>
        </is>
      </c>
      <c r="E14" s="11" t="inlineStr">
        <is>
          <t>PDF p.175 (印刷頁 174)</t>
        </is>
      </c>
      <c r="F14" s="11" t="inlineStr">
        <is>
          <t>合財務報表附註 12 PROPERTY, PLANT AND EQUIPMENT 12 物業、機器及設備（續） (Continued) (a) (Continued) (a) （續） Other observable/ Valuation technique(s) unobservable inputs Relationship Range 估值方法 其他可觀察╱不可觀察輸入數據 關係 範圍 PRC commercial properties 中國商業物業 Direct comparison method Open market value The higher the price per square foot, HK$850 直接比較法 公開市值 the higher the fair value (2025: HK$840) 每平方呎價格越高， per square foot 公允值越高 每平方呎850 港元 （二零二五年： 每平方呎840港元） Taiwan commercial properties 台灣商業物業 Direct comparison method Open market value The higher the price</t>
        </is>
      </c>
    </row>
    <row r="15">
      <c r="A15" s="8" t="inlineStr">
        <is>
          <t>Fair Value Measurement</t>
        </is>
      </c>
      <c r="B15" s="8" t="inlineStr">
        <is>
          <t>公允價值計量</t>
        </is>
      </c>
      <c r="C15" s="19" t="inlineStr">
        <is>
          <t>high</t>
        </is>
      </c>
      <c r="D15" s="11" t="inlineStr">
        <is>
          <t>fair value hierarchy</t>
        </is>
      </c>
      <c r="E15" s="11" t="inlineStr">
        <is>
          <t>PDF p.185 (印刷頁 184)</t>
        </is>
      </c>
      <c r="F15" s="11" t="inlineStr">
        <is>
          <t>ome statement (Note 內之「其他虧損 – 淨額」 （附註7）。本 7). The Group’s policy is to recognise transfers into and 集團之政策為於導致轉移之事件或 transfers out of fair value hierarchy levels as of the date 情況變化當日確認公允值架構層級 of the event or change in circumstances that caused the 之轉入或轉出。於二零二六年及二 transfer. There were no transfers between Level 1, 2 and 零二五年三月三十一日止年度內並 3 during the years ended 31st March 2026 and 2025. 無第一級、第二級及第三級間之轉 移。 (a) Fair value hierarchy (a) 公允值架構 Level 2 Level 3 Total 第二級 第三級 總計 HK$’000 HK$’000 HK$’000 千港元 千港元 千港元 At 31st March 2026 於二零</t>
        </is>
      </c>
    </row>
    <row r="16">
      <c r="A16" s="8" t="inlineStr">
        <is>
          <t>Fair Value Measurement</t>
        </is>
      </c>
      <c r="B16" s="8" t="inlineStr">
        <is>
          <t>公允價值計量</t>
        </is>
      </c>
      <c r="C16" s="19" t="inlineStr">
        <is>
          <t>high</t>
        </is>
      </c>
      <c r="D16" s="11" t="inlineStr">
        <is>
          <t>fair value hierarchy</t>
        </is>
      </c>
      <c r="E16" s="11" t="inlineStr">
        <is>
          <t>PDF p.186 (印刷頁 185)</t>
        </is>
      </c>
      <c r="F16" s="11" t="inlineStr">
        <is>
          <t>NOTES TO THE CONSOLIDATED FINANCIAL STATEMENTS 綜合財務報表附註 14 INVESTMENT PROPERTIES (Continued) 14 投資物業（續） (a) Fair value hierarchy (Continued) (a) 公允值架構（續） Fair value measurements using significant 使用重大不可觀察數據之公允 unobservable inputs (Level 3) 值計量（第三級） 2026 2025 二零二六年 二零二五年 HK$’000 HK$’000 千港元 千港元 At beginning of the year 於年初 15,468 16,331 Revaluation losses 重估虧損 (1,176) (863) At end of the year 於年末 14,292 15,468 The finance department reviews the valuations 財務部審閱黃開基測計師行有 performed by Memfus Wong Surveyors</t>
        </is>
      </c>
    </row>
    <row r="17">
      <c r="A17" s="8" t="inlineStr">
        <is>
          <t>Fair Value Measurement</t>
        </is>
      </c>
      <c r="B17" s="8" t="inlineStr">
        <is>
          <t>公允價值計量</t>
        </is>
      </c>
      <c r="C17" s="19" t="inlineStr">
        <is>
          <t>high</t>
        </is>
      </c>
      <c r="D17" s="11" t="inlineStr">
        <is>
          <t>fair value hierarchy</t>
        </is>
      </c>
      <c r="E17" s="11" t="inlineStr">
        <is>
          <t>PDF p.187 (印刷頁 186)</t>
        </is>
      </c>
      <c r="F17" s="11" t="inlineStr">
        <is>
          <t>NOTES TO THE CONSOLIDATED FINANCIAL STATEMENTS 綜合財務報表附註 14 INVESTMENT PROPERTIES (Continued) 14 投資物業（續） (a) Fair value hierarchy (Continued) (a) 公允值架構（續） Below is a summary of the key inputs to the 投資物業估值的主要輸入數據 valuation of investment properties: 摘要如下： Other observable/ Valuation technique(s) unobservable inputs Relationship Range 估值方法 其他可觀察╱不可觀察輸入數據 關係 範圍 Hong Kong commercial and residential properties 香港商業及住宅物業 Direct comparison method Open market value The higher the price per square HK$20,900 直接比較法</t>
        </is>
      </c>
    </row>
    <row r="18">
      <c r="A18" s="8" t="inlineStr">
        <is>
          <t>Fair Value Measurement</t>
        </is>
      </c>
      <c r="B18" s="8" t="inlineStr">
        <is>
          <t>公允價值計量</t>
        </is>
      </c>
      <c r="C18" s="19" t="inlineStr">
        <is>
          <t>high</t>
        </is>
      </c>
      <c r="D18" s="11" t="inlineStr">
        <is>
          <t>fair value hierarchy</t>
        </is>
      </c>
      <c r="E18" s="11" t="inlineStr">
        <is>
          <t>PDF p.188 (印刷頁 187)</t>
        </is>
      </c>
      <c r="F18" s="11" t="inlineStr">
        <is>
          <t>NOTES TO THE CONSOLIDATED FINANCIAL STATEMENTS 綜合財務報表附註 14 INVESTMENT PROPERTIES (Continued) 14 投資物業（續） (a) Fair value hierarchy (Continued) (a) 公允值架構（續） Other observable/ Valuation technique(s) unobservable inputs Relationship Range 估值方法 其他可觀察╱不可觀察輸入數據 關係 範圍 Hong Kong industrial properties 香港工業物業 Direct comparison method and/or Open market value The higher the price per square HK$1,100 depreciated replacement cost method 公開市值 foot, the higher the fair value – HK$5,500 直接比較法及╱或折舊重置成本法 每平方呎價格越高， (2025: H</t>
        </is>
      </c>
    </row>
    <row r="19">
      <c r="A19" s="8" t="inlineStr">
        <is>
          <t>Fair Value Measurement</t>
        </is>
      </c>
      <c r="B19" s="8" t="inlineStr">
        <is>
          <t>公允價值計量</t>
        </is>
      </c>
      <c r="C19" s="19" t="inlineStr">
        <is>
          <t>high</t>
        </is>
      </c>
      <c r="D19" s="11" t="inlineStr">
        <is>
          <t>level 3</t>
        </is>
      </c>
      <c r="E19" s="11" t="inlineStr">
        <is>
          <t>PDF p.237 (印刷頁 236)</t>
        </is>
      </c>
      <c r="F19" s="11" t="inlineStr">
        <is>
          <t>hong Xin Si Ming District Xiamen The People’s Republic of China 中華人民共和國 商業 中期 廈門 思明區 觀音山國際商務營運中心 啟動區A1地塊 3號樓21層2101-2106單元 Flat 1 on Level 3 No. 2 Hua Xiao Street Tianhe Ming Ya Court Residential Medium 100% Tianhe East Road, Tianhe District Guangzhou The People’s Republic of China 中華人民共和國 住宅 中期 廣州 天河區天河東路 天河名雅苑 華曉街2號 301室 236 MEI AH ENTERTAINMENT GROUP LIMITED 美亞娛樂資訊集團有限公司</t>
        </is>
      </c>
    </row>
    <row r="20">
      <c r="A20" s="8" t="inlineStr">
        <is>
          <t>Impairment Testing</t>
        </is>
      </c>
      <c r="B20" s="8" t="inlineStr">
        <is>
          <t>減值測試</t>
        </is>
      </c>
      <c r="C20" s="19" t="inlineStr">
        <is>
          <t>high</t>
        </is>
      </c>
      <c r="D20" s="11" t="inlineStr">
        <is>
          <t>recoverable amount</t>
        </is>
      </c>
      <c r="E20" s="11" t="inlineStr">
        <is>
          <t>PDF p.60 (印刷頁 59)</t>
        </is>
      </c>
      <c r="F20" s="11" t="inlineStr">
        <is>
          <t>films in progress as at 31st March 2026 性、主觀性、變動及易受管理層偏好影響程度或欺 and the carrying values were written down to their 詐），評估重大失實陳述的固有風險。 recoverable amounts, which were measured at the higher of fair value less costs of disposal and valuein-use. 鑑於年內電影版權發行票房表現低於管理層預期， 及就未可使用的無形資產進行年度減值評估的規 定，管理層對截至二零二六年三月三十一日的電影 及節目版權及攝製中電影進行了減值評估，而賬面 值已撇減至其可收回金額（按公允值減出售成本及 使用價值的較高者所計量）。 Annual Report 2026 年報 59</t>
        </is>
      </c>
    </row>
    <row r="21">
      <c r="A21" s="8" t="inlineStr">
        <is>
          <t>Impairment Testing</t>
        </is>
      </c>
      <c r="B21" s="8" t="inlineStr">
        <is>
          <t>減值測試</t>
        </is>
      </c>
      <c r="C21" s="19" t="inlineStr">
        <is>
          <t>high</t>
        </is>
      </c>
      <c r="D21" s="11" t="inlineStr">
        <is>
          <t>可收回金額</t>
        </is>
      </c>
      <c r="E21" s="11" t="inlineStr">
        <is>
          <t>PDF p.61 (印刷頁 60)</t>
        </is>
      </c>
      <c r="F21" s="11" t="inlineStr">
        <is>
          <t>present value of future cash flows to the industry practice. directly generated by the film and program rights and 我們已評估管理層在根據行業慣例釐定可收回金額 films in progress. The forecast of future cash flows 時所採納的方法。 involved judgments regarding the types of revenue streams that the film and program rights and films We compared the current year actual results with in progress could be distributed, the number of and prior year cash flow forecast to consider the quality duration of planned circulations and expected cash of management’s forecasti</t>
        </is>
      </c>
    </row>
    <row r="22">
      <c r="A22" s="8" t="inlineStr">
        <is>
          <t>Impairment Testing</t>
        </is>
      </c>
      <c r="B22" s="8" t="inlineStr">
        <is>
          <t>減值測試</t>
        </is>
      </c>
      <c r="C22" s="19" t="inlineStr">
        <is>
          <t>high</t>
        </is>
      </c>
      <c r="D22" s="11" t="inlineStr">
        <is>
          <t>使用價值</t>
        </is>
      </c>
      <c r="E22" s="11" t="inlineStr">
        <is>
          <t>PDF p.63 (印刷頁 62)</t>
        </is>
      </c>
      <c r="F22" s="11" t="inlineStr">
        <is>
          <t>methods, assumptions used in the calculation of value-in-use would give rise to indicators of possible management bias. 我們亦考慮於選擇方法、計算使用價值時所使用的 假設所作出的判斷會否導致出現潛在管理偏差的跡 象。 Based on the procedures performed, we found that the significant judgments and estimates made by management on the recoverability of the film and program rights and films in progress to be supportable based on available evidence. 基於已進行的程序，我們認為管理層對電影及節目 版權及攝製中電影可收回性作出的重大判斷及估計 具有理據支持。 62 MEI AH ENTERTAINMENT GROUP LIMITED 美亞娛樂資訊集團有限公司</t>
        </is>
      </c>
    </row>
    <row r="23">
      <c r="A23" s="8" t="inlineStr">
        <is>
          <t>Impairment Testing</t>
        </is>
      </c>
      <c r="B23" s="8" t="inlineStr">
        <is>
          <t>減值測試</t>
        </is>
      </c>
      <c r="C23" s="19" t="inlineStr">
        <is>
          <t>high</t>
        </is>
      </c>
      <c r="D23" s="11" t="inlineStr">
        <is>
          <t>recoverable amount</t>
        </is>
      </c>
      <c r="E23" s="11" t="inlineStr">
        <is>
          <t>PDF p.64 (印刷頁 63)</t>
        </is>
      </c>
      <c r="F23" s="11" t="inlineStr">
        <is>
          <t>2.2.2, 4(c), 12 and 13 to the Our audit procedures in relation to management’s consolidated financial statements. assessment on the recoverable amounts of 請參閱綜合財務報表附註2.2.2、4(c)、12及13。 equipment and right-of-use assets of the cinema operations in Mainland China include the following: As at 31st March 2026, the Group had equipment 我們就管理層對中國內地戲院業務之設備以及使用 and right-of-use assets, before impairment 權資產減值之可收回金額的評估進行的審計程序包 provision, of approximately HK$5,814,000 and 括： HK$18,512,000, respectively, representing cinemas located in Mai</t>
        </is>
      </c>
    </row>
    <row r="24">
      <c r="A24" s="8" t="inlineStr">
        <is>
          <t>Impairment Testing</t>
        </is>
      </c>
      <c r="B24" s="8" t="inlineStr">
        <is>
          <t>減值測試</t>
        </is>
      </c>
      <c r="C24" s="19" t="inlineStr">
        <is>
          <t>high</t>
        </is>
      </c>
      <c r="D24" s="11" t="inlineStr">
        <is>
          <t>recoverable amount</t>
        </is>
      </c>
      <c r="E24" s="11" t="inlineStr">
        <is>
          <t>PDF p.65 (印刷頁 64)</t>
        </is>
      </c>
      <c r="F24" s="11" t="inlineStr">
        <is>
          <t>鍵審計事項 Impairment of equipment and right-of-use assets of cinema operations in Mainland China (Continued) 中國內地戲院業務之設備以及使用權資產減值（續） The recoverable amount of an asset or a cash We understood and assessed the appropriateness of generating unit (“CGU”) is the higher of its value- the valuation methodologies used by management. in-use and fair value less costs of disposal. The 我們了解及評估管理層所用估值方法是否合適。 impairment assessment prepared by management uses the value-in-use model to determine the We compared the current year actual results wit</t>
        </is>
      </c>
    </row>
    <row r="25">
      <c r="A25" s="8" t="inlineStr">
        <is>
          <t>Impairment Testing</t>
        </is>
      </c>
      <c r="B25" s="8" t="inlineStr">
        <is>
          <t>減值測試</t>
        </is>
      </c>
      <c r="C25" s="19" t="inlineStr">
        <is>
          <t>high</t>
        </is>
      </c>
      <c r="D25" s="11" t="inlineStr">
        <is>
          <t>recoverable amount</t>
        </is>
      </c>
      <c r="E25" s="11" t="inlineStr">
        <is>
          <t>PDF p.66 (印刷頁 65)</t>
        </is>
      </c>
      <c r="F25" s="11" t="inlineStr">
        <is>
          <t>,000 We assessed the appropriateness of cash flows and HK$3,448,000, respectively, were recognised projections in calculation of the recoverable amount, in the consolidated income statement for the year challenged the reasonableness of management’s ended 31st March 2026. assumptions based on our knowledge of the 管理層須就現金流量預測中作出的關鍵假設（包 business and industry by comparing the assumptions 括收益增長率及貼現率）作出重大判斷。物業、 to historical results and published market and 機器及設備以及使用權資產之減值撥備分別為 industry data and compared the current year’s actual 1,1</t>
        </is>
      </c>
    </row>
    <row r="26">
      <c r="A26" s="8" t="inlineStr">
        <is>
          <t>Impairment Testing</t>
        </is>
      </c>
      <c r="B26" s="8" t="inlineStr">
        <is>
          <t>減值測試</t>
        </is>
      </c>
      <c r="C26" s="19" t="inlineStr">
        <is>
          <t>high</t>
        </is>
      </c>
      <c r="D26" s="11" t="inlineStr">
        <is>
          <t>使用價值</t>
        </is>
      </c>
      <c r="E26" s="11" t="inlineStr">
        <is>
          <t>PDF p.67 (印刷頁 66)</t>
        </is>
      </c>
      <c r="F26" s="11" t="inlineStr">
        <is>
          <t>to significant judgments involved in assumptions 我們亦考慮於選擇方法、計算物業、機器及設備以 used in the calculation of value-in-use of equipment 及使用權資產的使用價值時所使用的假設所作出的 and right-of-use assets. 判斷會否導致出現潛在管理偏差的跡象。 我們認為設備以及使用權資產減值評估屬關鍵審計 事項，因為其涉及高度不確定性。有關減值評估的 Based on the procedures performed, we considered 固有風險視為重大，乃由於計算設備以及使用權資 that the methods and assumptions used in the 產之使用價值所使用的假設涉及重大判斷。 calculation of value-in-use for the impairment assessment of equipment and right-of-use assets of the cinema operations in Mainland China were supportable by</t>
        </is>
      </c>
    </row>
    <row r="27">
      <c r="A27" s="8" t="inlineStr">
        <is>
          <t>Impairment Testing</t>
        </is>
      </c>
      <c r="B27" s="8" t="inlineStr">
        <is>
          <t>減值測試</t>
        </is>
      </c>
      <c r="C27" s="19" t="inlineStr">
        <is>
          <t>high</t>
        </is>
      </c>
      <c r="D27" s="11" t="inlineStr">
        <is>
          <t>impairment loss</t>
        </is>
      </c>
      <c r="E27" s="11" t="inlineStr">
        <is>
          <t>PDF p.73 (印刷頁 72)</t>
        </is>
      </c>
      <c r="F27" s="11" t="inlineStr">
        <is>
          <t>istribution and marketing expenses 銷售、分銷及市場推廣開支 6 (10,282) (13,132) Administrative expenses 行政開支 6 (68,865) (72,758) Net reversal of impairment losses on 金融資產減值虧損撥回淨額 financial assets 3.1(b) 4,048 32,240 Operating loss 經營虧損 (33,785) (51,392) Finance income 金融收入 8 292 345 Finance costs 融資成本 8 (6,951) (7,589) Finance costs – net 融資成本 – 淨額 (6,659) (7,244) Share of loss of an associate 應佔一間聯營公司虧損 16 (1,966) (2,446) Loss before income tax 除所得稅前虧損 (42,410) (61,082) Income tax credit 所得稅抵免 9 658 1,324 Loss for the year 年內虧損 (41,752) (</t>
        </is>
      </c>
    </row>
    <row r="28">
      <c r="A28" s="8" t="inlineStr">
        <is>
          <t>Impairment Testing</t>
        </is>
      </c>
      <c r="B28" s="8" t="inlineStr">
        <is>
          <t>減值測試</t>
        </is>
      </c>
      <c r="C28" s="19" t="inlineStr">
        <is>
          <t>high</t>
        </is>
      </c>
      <c r="D28" s="11" t="inlineStr">
        <is>
          <t>recoverable amount</t>
        </is>
      </c>
      <c r="E28" s="11" t="inlineStr">
        <is>
          <t>PDF p.95 (印刷頁 94)</t>
        </is>
      </c>
      <c r="F28" s="11" t="inlineStr">
        <is>
          <t>t the end of 於各報告期末進行檢討，並在 each reporting period. 適當時調整。 An asset’s carrying amount is written down 倘資產之賬面金額高於其估計 immediately to its recoverable amount if the asset’s 可收回金額，則其賬面金額即 carrying amount is greater than its estimated 時撇減至其可收回數額。 recoverable amount. Gains and losses on disposals are determined by 出售之盈虧透過將所得款項與 comparing the proceeds with the carrying amount 賬面金額作比較釐定，並於綜 and are recognised in the consolidated income 合收益表內確認。當售出重估 statement. When revalued assets are sold, the 資產時，計入樓宇重估儲備之 amounts included in buildings</t>
        </is>
      </c>
    </row>
    <row r="29">
      <c r="A29" s="8" t="inlineStr">
        <is>
          <t>Impairment Testing</t>
        </is>
      </c>
      <c r="B29" s="8" t="inlineStr">
        <is>
          <t>減值測試</t>
        </is>
      </c>
      <c r="C29" s="19" t="inlineStr">
        <is>
          <t>high</t>
        </is>
      </c>
      <c r="D29" s="11" t="inlineStr">
        <is>
          <t>impairment loss</t>
        </is>
      </c>
      <c r="E29" s="11" t="inlineStr">
        <is>
          <t>PDF p.96 (印刷頁 95)</t>
        </is>
      </c>
      <c r="F29" s="11" t="inlineStr">
        <is>
          <t>版權及攝製中 電影 Film and program rights and films in 電影及節目版權及攝製中 progress are stated at cost less accumulated 電影按成本減累計攤銷及 amortisation and impairment losses. Films in 減值虧損列賬。攝製中電 progress are not amortised. The cost of film 影並無攤銷。電影版權成 rights is apportioned between film exhibition 本由電影放映及授權分 and licensing, and is expensed on first public 攤，並於首次公映時參考 exhibition or at a systematic basis with 相關特許期限有系統地支 reference to the underlying license periods. 銷。節目版權的成本經參 The cost of program rights is expensed at 考有關授權期限後以具系 a systematic basis with</t>
        </is>
      </c>
    </row>
    <row r="30">
      <c r="A30" s="8" t="inlineStr">
        <is>
          <t>Impairment Testing</t>
        </is>
      </c>
      <c r="B30" s="8" t="inlineStr">
        <is>
          <t>減值測試</t>
        </is>
      </c>
      <c r="C30" s="19" t="inlineStr">
        <is>
          <t>high</t>
        </is>
      </c>
      <c r="D30" s="11" t="inlineStr">
        <is>
          <t>impairment loss</t>
        </is>
      </c>
      <c r="E30" s="11" t="inlineStr">
        <is>
          <t>PDF p.97 (印刷頁 96)</t>
        </is>
      </c>
      <c r="F30" s="11" t="inlineStr">
        <is>
          <t>irment. Where relevant, an impairment 值測試。減值虧損於相關 loss is recognised to reduce the asset to its 時確認，以將資產減至其 recoverable amount. Such impairment loss is 可收回金額。有關減值虧 recognised in the profit or loss. 損於損益內確認。 2.2.5 Impairment of non-financial assets 2.2.5 非財務資產之減值 Intangible assets that have indefinite useful life 沒有確定可使用年期之無形資 or intangible assets not ready to use are not 產或未可供使用的無形資產毋 subject to amortisation and are tested annually 須攤銷，並每年進行減值測 for impairment, or more frequently if events or 試，或當事件或情況變動顯 changes in circumstance</t>
        </is>
      </c>
    </row>
    <row r="31">
      <c r="A31" s="8" t="inlineStr">
        <is>
          <t>Impairment Testing</t>
        </is>
      </c>
      <c r="B31" s="8" t="inlineStr">
        <is>
          <t>減值測試</t>
        </is>
      </c>
      <c r="C31" s="19" t="inlineStr">
        <is>
          <t>high</t>
        </is>
      </c>
      <c r="D31" s="11" t="inlineStr">
        <is>
          <t>減值虧損</t>
        </is>
      </c>
      <c r="E31" s="11" t="inlineStr">
        <is>
          <t>PDF p.100 (印刷頁 99)</t>
        </is>
      </c>
      <c r="F31" s="11" t="inlineStr">
        <is>
          <t>Impairment 或虧損直接於損益 losses are presented as separate line item 確認，並連同匯兌 in the consolidated income statement. 收益及虧損於「其他 虧損 – 淨額」呈列。 減值虧損作為單獨 的項目於綜合收益 表呈列。 Annual Report 2026 年報 99</t>
        </is>
      </c>
    </row>
    <row r="32">
      <c r="A32" s="8" t="inlineStr">
        <is>
          <t>Impairment Testing</t>
        </is>
      </c>
      <c r="B32" s="8" t="inlineStr">
        <is>
          <t>減值測試</t>
        </is>
      </c>
      <c r="C32" s="19" t="inlineStr">
        <is>
          <t>high</t>
        </is>
      </c>
      <c r="D32" s="11" t="inlineStr">
        <is>
          <t>impairment test</t>
        </is>
      </c>
      <c r="E32" s="11" t="inlineStr">
        <is>
          <t>PDF p.113 (印刷頁 112)</t>
        </is>
      </c>
      <c r="F32" s="11" t="inlineStr">
        <is>
          <t>of subsidiaries 接應佔成本。附屬公司之業績 are accounted for by the Company on the basis of 由本公司按已收及應收股息之 dividend received and receivable. 基準入賬。 Impairment testing of the investments in subsidiaries 如股息超過宣派股息期內附屬 is required upon receiving a dividend from these 公司之全面收益總額，或如在 investments if the dividend exceeds the total 獨立財務報表之投資賬面值超 comprehensive income of the subsidiary in the 過綜合財務報表中被投資公 period the dividend is declared or if the carrying 司之淨資產（包括商譽）之賬面 amount of the investment in the separate financial 值，則必須在收取該等投資股 statements exceeds</t>
        </is>
      </c>
    </row>
    <row r="33">
      <c r="A33" s="8" t="inlineStr">
        <is>
          <t>Impairment Testing</t>
        </is>
      </c>
      <c r="B33" s="8" t="inlineStr">
        <is>
          <t>減值測試</t>
        </is>
      </c>
      <c r="C33" s="19" t="inlineStr">
        <is>
          <t>high</t>
        </is>
      </c>
      <c r="D33" s="11" t="inlineStr">
        <is>
          <t>impairment loss</t>
        </is>
      </c>
      <c r="E33" s="11" t="inlineStr">
        <is>
          <t>PDF p.135 (印刷頁 134)</t>
        </is>
      </c>
      <c r="F33" s="11" t="inlineStr">
        <is>
          <t>ash 抵押銀行存款、短期銀行 and bank balances are also subject to the 存款及現金及銀行結餘亦 impairment requirements of HKFRS 9, the 受香港財務報告準則第9 identified impairment loss was immaterial. 號之減值規定之規限，但 已識別之減值虧損並不重 大。 Trade receivables and contract assets 貿易應收款項及合約資產 The Group applies the HKFRS 9 simplified 本集團採用香港財務報 approach to measuring expected credit losses 告準則第9號允許之簡化 which uses a lifetime expected loss allowance 方法，利用所有貿易應收 for all trade receivables and contract assets. 款項及合約資產之全期預 To measure the expected credit losses, trade 期信貸虧損計提預期信貸 receivab</t>
        </is>
      </c>
    </row>
    <row r="34">
      <c r="A34" s="8" t="inlineStr">
        <is>
          <t>Impairment Testing</t>
        </is>
      </c>
      <c r="B34" s="8" t="inlineStr">
        <is>
          <t>減值測試</t>
        </is>
      </c>
      <c r="C34" s="19" t="inlineStr">
        <is>
          <t>high</t>
        </is>
      </c>
      <c r="D34" s="11" t="inlineStr">
        <is>
          <t>impairment loss</t>
        </is>
      </c>
      <c r="E34" s="11" t="inlineStr">
        <is>
          <t>PDF p.137 (印刷頁 136)</t>
        </is>
      </c>
      <c r="F34" s="11" t="inlineStr">
        <is>
          <t>and contract assets 貿易應收款項及合約資產 (Continued) （續） The following table presents the gross carrying 下表呈列於二零二六年及 amount and provision for impairment loss 二零二五年三月三十一日 in respect of trade receivables and contract 按信貸風險評級劃分之貿 assets by credit risk rating as at 31st March 易應收款項及合約資產的 2026 and 2025: 賬面總值及減值虧損撥 備： As at 31st March 2026 於二零二六年三月三十一日 Lifetime Gross carrying expected credit Net carrying Expected credit loss rate Equivalent credit rating amount loss amount 預期信貸虧損率 同等信貸評級 賬面總值全期預期信貸虧損 賬面淨值 HK$’000 HK$’000 HK$’000 千港元 千港元 千港元 &lt;</t>
        </is>
      </c>
    </row>
    <row r="35">
      <c r="A35" s="8" t="inlineStr">
        <is>
          <t>Impairment Testing</t>
        </is>
      </c>
      <c r="B35" s="8" t="inlineStr">
        <is>
          <t>減值測試</t>
        </is>
      </c>
      <c r="C35" s="19" t="inlineStr">
        <is>
          <t>high</t>
        </is>
      </c>
      <c r="D35" s="11" t="inlineStr">
        <is>
          <t>impairment loss</t>
        </is>
      </c>
      <c r="E35" s="11" t="inlineStr">
        <is>
          <t>PDF p.138 (印刷頁 137)</t>
        </is>
      </c>
      <c r="F35" s="11" t="inlineStr">
        <is>
          <t>產 recognised in profit or loss in relation to 減值之撥回於損益表確 impaired financial assets: 認： 2026 2025 二零二六年 二零二五年 HK$’000 HK$’000 千港元 千港元 Impairment losses on amounts due from 應收聯營公司款項之減值 associates 虧損 – 321 Reversal of previous impairment losses on 撥回先前貿易應收款項 trade receivables 減值虧損 – (1,200) Reversal of previous impairment losses on 撥回先前其他應收款項之 other receivables 減值虧損 (4,048) (31,361) Net reversal of impairment losses on 財務資產減值虧損撥回 financial assets 淨額 (4,048) (32,240) A reversal of impairment of HK$4,048,000 於截至二零二六年三 (2025: HK$32,2</t>
        </is>
      </c>
    </row>
    <row r="36">
      <c r="A36" s="8" t="inlineStr">
        <is>
          <t>Impairment Testing</t>
        </is>
      </c>
      <c r="B36" s="8" t="inlineStr">
        <is>
          <t>減值測試</t>
        </is>
      </c>
      <c r="C36" s="19" t="inlineStr">
        <is>
          <t>high</t>
        </is>
      </c>
      <c r="D36" s="11" t="inlineStr">
        <is>
          <t>recoverable amount</t>
        </is>
      </c>
      <c r="E36" s="11" t="inlineStr">
        <is>
          <t>PDF p.148 (印刷頁 147)</t>
        </is>
      </c>
      <c r="F36" s="11" t="inlineStr">
        <is>
          <t>無法收回時， events or changes in circumstances indicate that 本集團對物業、機器及設備以 the carrying amounts may not be recoverable. The 及使用權資產進行減值檢討。 recoverable amounts have been determined based 可收回金額乃根據使用價值或 on the higher of value-in-use calculations or fair 公允值減出售成本兩者間之較 value less costs of disposal. The calculations require 高者而釐定。該計算方法需要 the use of judgments and estimates. Management 行使判斷及估計。管理層需要 judgment is required in the area of asset impairment 判斷資產減值範疇，尤其是評 particularly in assessing: (i) whether an event has 估：(i)是否已發生可能顯示有 occurred</t>
        </is>
      </c>
    </row>
    <row r="37">
      <c r="A37" s="8" t="inlineStr">
        <is>
          <t>Impairment Testing</t>
        </is>
      </c>
      <c r="B37" s="8" t="inlineStr">
        <is>
          <t>減值測試</t>
        </is>
      </c>
      <c r="C37" s="19" t="inlineStr">
        <is>
          <t>high</t>
        </is>
      </c>
      <c r="D37" s="11" t="inlineStr">
        <is>
          <t>impairment loss</t>
        </is>
      </c>
      <c r="E37" s="11" t="inlineStr">
        <is>
          <t>PDF p.151 (印刷頁 150)</t>
        </is>
      </c>
      <c r="F37" s="11" t="inlineStr">
        <is>
          <t>917) – – – (23,917) Employee benefit expenses 僱員福利開支 (13,579) (14,425) (3,541) (1,326) (742) – (4,428) (38,041) Reversal of previous impairment losses on 撥回先前其他應收款項之減值 other receivables 虧損 – 4,048 – – – – – 4,048 Finance costs 融資成本 – – (5,715) – – – – (5,715) Additions to property, plant and equipment 添置物業、機器及設備 – – 136 – – – 24 160 Additions to film and program rights, films in 添置電影及節目版權、攝製中 progress and deposits for film and program 電影及電影及節目版權按金 rights 1,413 25,751 – – – – – 27,164 Disaggregation of revenue from contracts wit</t>
        </is>
      </c>
    </row>
    <row r="38">
      <c r="A38" s="8" t="inlineStr">
        <is>
          <t>Impairment Testing</t>
        </is>
      </c>
      <c r="B38" s="8" t="inlineStr">
        <is>
          <t>減值測試</t>
        </is>
      </c>
      <c r="C38" s="19" t="inlineStr">
        <is>
          <t>high</t>
        </is>
      </c>
      <c r="D38" s="11" t="inlineStr">
        <is>
          <t>impairment loss</t>
        </is>
      </c>
      <c r="E38" s="11" t="inlineStr">
        <is>
          <t>PDF p.152 (印刷頁 151)</t>
        </is>
      </c>
      <c r="F38" s="11" t="inlineStr">
        <is>
          <t>– – – (35,394) – – – (35,394) Employee benefit expenses 僱員福利開支 (7,140) (6,372) (3,513) (1,363) (497) – (17,598) (36,483) Reversal of impairment loss on trade receivables 貿易應收款項之減值虧損撥回 – – – 1,200 – – – 1,200 Reversal of previous impairment losses on 撥回先前其他應收貸款之減值 other receivables 虧損 – 11,000 – – – – – 11,000 Finance costs 融資成本 – (2,430) (3,752) – – – – (6,182) Additions to property, plant and equipment 添置物業、機器及設備 39 – 8,194 – – 4 12 8,249 Additions to film and program rights, films in 添置電影及節目版權、攝製中 progress and deposits for fi</t>
        </is>
      </c>
    </row>
    <row r="39">
      <c r="A39" s="8" t="inlineStr">
        <is>
          <t>Impairment Testing</t>
        </is>
      </c>
      <c r="B39" s="8" t="inlineStr">
        <is>
          <t>減值測試</t>
        </is>
      </c>
      <c r="C39" s="19" t="inlineStr">
        <is>
          <t>high</t>
        </is>
      </c>
      <c r="D39" s="11" t="inlineStr">
        <is>
          <t>impairment loss</t>
        </is>
      </c>
      <c r="E39" s="11" t="inlineStr">
        <is>
          <t>PDF p.154 (印刷頁 153)</t>
        </is>
      </c>
      <c r="F39" s="11" t="inlineStr">
        <is>
          <t>ision for impairment 應收聯營公司款項之減值 losses on amounts due from associates 虧損之未分配撥備 – (321) Unallocated reversal of previous 未分配撥回先前其他應收 impairment losses on other receivables 款項之減值虧損 – 20,361 Unallocated depreciation of property, 未分配物業、機器及設備 plant and equipment 之折舊 (8,836) (8,930) Unallocated depreciation of right-of-use 未分配使用權資產之折舊 assets (788) (788) Unallocated share of loss of an associate 未分配應佔一間聯營公司 虧損 (1,966) (2,446) Unallocated corporate expenses 未分配企業開支 (3,851) (4,850) Loss before income tax per consolidated 綜合收益表所列之除所得稅 i</t>
        </is>
      </c>
    </row>
    <row r="40">
      <c r="A40" s="8" t="inlineStr">
        <is>
          <t>Impairment Testing</t>
        </is>
      </c>
      <c r="B40" s="8" t="inlineStr">
        <is>
          <t>減值測試</t>
        </is>
      </c>
      <c r="C40" s="19" t="inlineStr">
        <is>
          <t>high</t>
        </is>
      </c>
      <c r="D40" s="11" t="inlineStr">
        <is>
          <t>impairment loss</t>
        </is>
      </c>
      <c r="E40" s="11" t="inlineStr">
        <is>
          <t>PDF p.171 (印刷頁 170)</t>
        </is>
      </c>
      <c r="F40" s="11" t="inlineStr">
        <is>
          <t>,245 343 203,459 Additions 添置 – – 5,180 3,069 – 8,249 Depreciation charge (Note 6) 折舊費用（附註6） – (7,299) (2,287) (1,571) (93) (11,250) Impairment loss (Note 6) 減值虧損（附註6） – – (2,598) (1,436) – (4,034) Revaluation deficit (Note (a)) 重估虧損（附註(a)） – (1,961) – – – (1,961) Exchange differences 匯兌差額 (660) (193) (58) (13) (5) (929) Closing net book amount 年終賬面淨額 15,169 164,548 9,278 4,294 245 193,534 At 31st March 2025 於二零二五年三月三十一日 Valuation 估值 – 164,548 – – – 164,548 Cost 成本 15,169 – 75,105 60,923 6,138 157,335 Accumulated depreciation a</t>
        </is>
      </c>
    </row>
    <row r="41">
      <c r="A41" s="8" t="inlineStr">
        <is>
          <t>Impairment Testing</t>
        </is>
      </c>
      <c r="B41" s="8" t="inlineStr">
        <is>
          <t>減值測試</t>
        </is>
      </c>
      <c r="C41" s="19" t="inlineStr">
        <is>
          <t>high</t>
        </is>
      </c>
      <c r="D41" s="11" t="inlineStr">
        <is>
          <t>recoverable amount</t>
        </is>
      </c>
      <c r="E41" s="11" t="inlineStr">
        <is>
          <t>PDF p.176 (印刷頁 175)</t>
        </is>
      </c>
      <c r="F41" s="11" t="inlineStr">
        <is>
          <t>別到兩個獨立 Guangzhou cinemas, identified as two separate 的現金產生單位（「現金產生單 cash-generating units (“CGUs”), and evaluated the 位」），並評估了該等現金產生 recoverable amount of the CGUs. 單位的可收回金額。 During the year ended 31st March 2025, the 於截至二零二五年三月三十一 Tianjin cinema operations were unable to meet 日止年度，天津戲院業務因競 management’s budget due to keen competition. In 爭激烈而無法達到管理層預 response to market trends, management undertook 算。因應市場趨勢，管理層 a minor renovation project for the Tianjin cinema in 於二零二四年對天津戲院進行 2024, resulting in several months of closure during</t>
        </is>
      </c>
    </row>
    <row r="42">
      <c r="A42" s="8" t="inlineStr">
        <is>
          <t>Impairment Testing</t>
        </is>
      </c>
      <c r="B42" s="8" t="inlineStr">
        <is>
          <t>減值測試</t>
        </is>
      </c>
      <c r="C42" s="19" t="inlineStr">
        <is>
          <t>high</t>
        </is>
      </c>
      <c r="D42" s="11" t="inlineStr">
        <is>
          <t>recoverable amount</t>
        </is>
      </c>
      <c r="E42" s="11" t="inlineStr">
        <is>
          <t>PDF p.177 (印刷頁 176)</t>
        </is>
      </c>
      <c r="F42" s="11" t="inlineStr">
        <is>
          <t>O THE CONSOLIDATED FINANCIAL STATEMENTS 綜合財務報表附註 12 PROPERTY, PLANT AND EQUIPMENT 12 物業、機器及設備（續） (Continued) (d) (Continued) (d) （續） Recoverable amounts of these CGUs have been 該等現金產生單位的可收回金 determined by higher of fair value less costs of 額按公平值減出售成本及使用 disposal and value-in-use. It is assessed that the 價值之較高者而釐定。管理層 value-in-use calculations to be higher than the fair 評估使用價值計算法將高於公 value less cost of disposal calculations. Accordingly, 平值減出售成本計算法。因 the recoverable amounts were determined using 此，可收回金額乃運用以覆蓋 value-in-use calcul</t>
        </is>
      </c>
    </row>
    <row r="43">
      <c r="A43" s="8" t="inlineStr">
        <is>
          <t>Impairment Testing</t>
        </is>
      </c>
      <c r="B43" s="8" t="inlineStr">
        <is>
          <t>減值測試</t>
        </is>
      </c>
      <c r="C43" s="19" t="inlineStr">
        <is>
          <t>high</t>
        </is>
      </c>
      <c r="D43" s="11" t="inlineStr">
        <is>
          <t>impairment loss</t>
        </is>
      </c>
      <c r="E43" s="11" t="inlineStr">
        <is>
          <t>PDF p.179 (印刷頁 178)</t>
        </is>
      </c>
      <c r="F43" s="11" t="inlineStr">
        <is>
          <t>nd 位及現金產生單位經營所在國 country in which the CGU operates. 家的特定風險而釐定。 As a result of the assessment, the Group has 根據評估結果，本集團已於截 recognised impairment losses for the years ended 至二零二六年及二零二五年三 31st March 2026 and 2025 as follows: 月三十一日止年度確認減值虧 損的情況如下： Property, plant and equipment 物業、機器及設備 Tianjin cinema Guangzhou cinema Total 天津戲院 廣州戲院 總計 2026 2025 2026 2025 2026 2025 二零二六年 二零二五年 二零二六年 二零二五年 二零二六年 二零二五年 HK$’000 HK$’000 HK$’000 HK$’000 HK$’000 HK$’000 千港元 千港元 千港元 千港元 千港元 千港元 Net carrying value as at 31st March before 本年度減值前於三月三十一日 curr</t>
        </is>
      </c>
    </row>
    <row r="44">
      <c r="A44" s="8" t="inlineStr">
        <is>
          <t>Impairment Testing</t>
        </is>
      </c>
      <c r="B44" s="8" t="inlineStr">
        <is>
          <t>減值測試</t>
        </is>
      </c>
      <c r="C44" s="19" t="inlineStr">
        <is>
          <t>high</t>
        </is>
      </c>
      <c r="D44" s="11" t="inlineStr">
        <is>
          <t>使用價值</t>
        </is>
      </c>
      <c r="E44" s="11" t="inlineStr">
        <is>
          <t>PDF p.180 (印刷頁 179)</t>
        </is>
      </c>
      <c r="F44" s="11" t="inlineStr">
        <is>
          <t>六年的收益增長率下降5%（二 of the Tianjin cinema will decrease by HK$895,000 零二五年：5%），則天津戲院 (2025: HK$1,123,000). If the pre-tax discount rate 的使用價值將減少895,000港 in 2026 increase by 1% (2025: 1%), the value-in-use 元（二零二五年：1,123,000 of the Tianjin cinema will decrease by HK$67,000 港元）。倘二零二六年的稅前 (2025: HK$259,000). 貼現率提高1%（二零二五年： 1%），則天津戲院的使用價值 將減少67,000港元（二零二五 年：259,000港元）。 For the Guangzhou cinema, even with a 5% 就廣州戲院而言，即使收益增 decrease in the revenue growth rate or a 1% 長率減少5%或稅前貼現率增 increase in the pre-tax discount rate, the value- 加1%，廣州戲</t>
        </is>
      </c>
    </row>
    <row r="45">
      <c r="A45" s="8" t="inlineStr">
        <is>
          <t>Impairment Testing</t>
        </is>
      </c>
      <c r="B45" s="8" t="inlineStr">
        <is>
          <t>減值測試</t>
        </is>
      </c>
      <c r="C45" s="19" t="inlineStr">
        <is>
          <t>high</t>
        </is>
      </c>
      <c r="D45" s="11" t="inlineStr">
        <is>
          <t>impairment loss</t>
        </is>
      </c>
      <c r="E45" s="11" t="inlineStr">
        <is>
          <t>PDF p.190 (印刷頁 189)</t>
        </is>
      </c>
      <c r="F45" s="11" t="inlineStr">
        <is>
          <t>eposits for film and program 以及電影及節目版權按金之賬 rights have been reduced to their recoverable 面金額已透過確認減值虧損 amounts through recognition of impairment losses 692,000 港元（二零二五年： of HK$692,000 (2025: HK$6,206,000) which has 6,206,000港元）減至其可收回 been included in “cost of sales” in the consolidated 金額，其經參考預期收益表現 income statement with reference to the expected 及電影製作進度，已計入綜合 revenue performances and the production progress 收益表內之「銷售成本」。 of the films. The recoverable amounts are determined by using 可收回金額乃使用價值模式釐 a value-in-use model, which were</t>
        </is>
      </c>
    </row>
    <row r="46">
      <c r="A46" s="8" t="inlineStr">
        <is>
          <t>Impairment Testing</t>
        </is>
      </c>
      <c r="B46" s="8" t="inlineStr">
        <is>
          <t>減值測試</t>
        </is>
      </c>
      <c r="C46" s="19" t="inlineStr">
        <is>
          <t>high</t>
        </is>
      </c>
      <c r="D46" s="11" t="inlineStr">
        <is>
          <t>impairment loss</t>
        </is>
      </c>
      <c r="E46" s="11" t="inlineStr">
        <is>
          <t>PDF p.191 (印刷頁 190)</t>
        </is>
      </c>
      <c r="F46" s="11" t="inlineStr">
        <is>
          <t>(2,446) Exchange differences 匯兌差額 (1) – At end of the year 於年末 4,498 6,465 Amounts due from associates 應收聯營公司款項 46,176 41,750 Less: impairment losses on amounts due from 減：應收聯營公司款項減值虧損 associates (39,654) (39,654) 6,522 2,096 Movements on the Group’s impairment losses on 本集團就應收聯營公司款項之減值 amounts due from associates are as follows: 虧損變動如下： 2026 2025 二零二六年 二零二五年 HK$’000 HK$’000 千港元 千港元 At beginning of the year 於年初 39,654 39,333 Provision for impairment losses on amounts 應收聯營公司款項之減值虧損 due from associates (Note 3.1(b)) 撥備（附註3.1(b)）</t>
        </is>
      </c>
    </row>
    <row r="47">
      <c r="A47" s="8" t="inlineStr">
        <is>
          <t>Impairment Testing</t>
        </is>
      </c>
      <c r="B47" s="8" t="inlineStr">
        <is>
          <t>減值測試</t>
        </is>
      </c>
      <c r="C47" s="19" t="inlineStr">
        <is>
          <t>high</t>
        </is>
      </c>
      <c r="D47" s="11" t="inlineStr">
        <is>
          <t>impairment loss</t>
        </is>
      </c>
      <c r="E47" s="11" t="inlineStr">
        <is>
          <t>PDF p.196 (印刷頁 195)</t>
        </is>
      </c>
      <c r="F47" s="11" t="inlineStr">
        <is>
          <t>April 2025 and 於二零二四年三月三十一日、 31st March 2026 二零二五年四月一日及 二零二六年三月三十一日 – – Amounts due from joint ventures 應收合營企業款項 31,809 31,809 Less: impairment losses on amounts due 減：應收合營企業款項減值 from joint ventures 虧損 (31,809) (31,809) – – Annual Report 2026 年報 195</t>
        </is>
      </c>
    </row>
    <row r="48">
      <c r="A48" s="8" t="inlineStr">
        <is>
          <t>Impairment Testing</t>
        </is>
      </c>
      <c r="B48" s="8" t="inlineStr">
        <is>
          <t>減值測試</t>
        </is>
      </c>
      <c r="C48" s="19" t="inlineStr">
        <is>
          <t>high</t>
        </is>
      </c>
      <c r="D48" s="11" t="inlineStr">
        <is>
          <t>impairment loss</t>
        </is>
      </c>
      <c r="E48" s="11" t="inlineStr">
        <is>
          <t>PDF p.203 (印刷頁 202)</t>
        </is>
      </c>
      <c r="F48" s="11" t="inlineStr">
        <is>
          <t>ivables 貿易應收款項 11,222 11,166 Prepayments 預付款項 4,067 3,156 Other receivables and deposits 其他應收款項及按金 20,315 28,512 35,604 42,834 Less: impairment losses on other receivables 減：其他應收款項之減值虧損 – (4,048) 35,604 38,786 Less: deposits – non-current portion 減：按金 – 非流動部分 (2,024) (1,912) Current portion 流動部分 33,580 36,874 As at 31st March 2026 and 2025, the carrying amounts 於二零二六年及二零二五年三月三 of deposits, trade and other receivables approximate 十一日，按金、貿易及其他應收款 their fair values. 項之賬面金額與公允值相若。 At 31st March 2026 and 2025, all other receivables</t>
        </is>
      </c>
    </row>
    <row r="49">
      <c r="A49" s="8" t="inlineStr">
        <is>
          <t>Impairment Testing</t>
        </is>
      </c>
      <c r="B49" s="8" t="inlineStr">
        <is>
          <t>減值測試</t>
        </is>
      </c>
      <c r="C49" s="19" t="inlineStr">
        <is>
          <t>high</t>
        </is>
      </c>
      <c r="D49" s="11" t="inlineStr">
        <is>
          <t>impairment loss</t>
        </is>
      </c>
      <c r="E49" s="11" t="inlineStr">
        <is>
          <t>PDF p.205 (印刷頁 204)</t>
        </is>
      </c>
      <c r="F49" s="11" t="inlineStr">
        <is>
          <t>TEMENTS 綜合財務報表附註 21 PREPAYMENTS, DEPOSITS, TRADE AND 21 預付款項、按金、貿易及其 OTHER RECEIVABLES (Continued) 他應收款項（續） Movements on the Group’s impairment losses on trade 本集團貿易應收款項減值虧損之變 receivables are as follows: 動如下： 2026 2025 二零二六年 二零二五年 HK$’000 HK$’000 千港元 千港元 At beginning of the year 於年初 – 1,200 Reversal of impairment of trade receivables 貿易應收款項減值撥回 (Note 3.1(b)) （附註3.1(b)） – (1,200) At end of the year 於年末 – – Movements on the Group’s impairment losses on other 本集團就其他應收款項之減值虧損 receivables are as follows: 變動如下： 2026 2025 二零二六年 二零二五年</t>
        </is>
      </c>
    </row>
    <row r="50">
      <c r="A50" s="8" t="inlineStr">
        <is>
          <t>Impairment Testing</t>
        </is>
      </c>
      <c r="B50" s="8" t="inlineStr">
        <is>
          <t>減值測試</t>
        </is>
      </c>
      <c r="C50" s="19" t="inlineStr">
        <is>
          <t>high</t>
        </is>
      </c>
      <c r="D50" s="11" t="inlineStr">
        <is>
          <t>impairment loss</t>
        </is>
      </c>
      <c r="E50" s="11" t="inlineStr">
        <is>
          <t>PDF p.217 (印刷頁 216)</t>
        </is>
      </c>
      <c r="F50" s="11" t="inlineStr">
        <is>
          <t>節目版權以及攝製中 program rights and films in progress 電影之減值撥備（附註15） (Note 15) 692 6,206 Share of losses of associates 應佔聯營公司之虧損 1,966 2,446 Impairment losses on amounts due from 應收聯營公司款項減值虧損 associates – 321 Net reversal of impairment losses on 貿易及其他應收款項之減值 trade and other receivables (Note 21) 虧損撥回淨額（附註21） (4,048) (32,561) Fair value losses on financial assets at 按公允值計入損益之財務資 FVPL, net (Note 7) 產之公允值虧損淨額 （附註7） 1,282 450 Interest income (Note 8) 利息收入（附註8） (292) (345) Interest expense on bank and other 銀行及其他借貸的利息開支 borrowings (Note 8)</t>
        </is>
      </c>
    </row>
    <row r="51">
      <c r="A51" s="8" t="inlineStr">
        <is>
          <t>Intangible Assets &amp; Goodwill</t>
        </is>
      </c>
      <c r="B51" s="8" t="inlineStr">
        <is>
          <t>無形資產及商譽</t>
        </is>
      </c>
      <c r="C51" s="19" t="inlineStr">
        <is>
          <t>high</t>
        </is>
      </c>
      <c r="D51" s="11" t="inlineStr">
        <is>
          <t>攤銷</t>
        </is>
      </c>
      <c r="E51" s="11" t="inlineStr">
        <is>
          <t>PDF p.7 (印刷頁 6)</t>
        </is>
      </c>
      <c r="F51" s="11" t="inlineStr">
        <is>
          <t>cluded and completed and accordingly the film right 入增加。由於我們的電影庫成本已幾乎 licensing and sublicensing income has increased. As the cost 悉數攤銷，電影庫的賬面成本極低，因 of our film library has almost been fully amortised, the carrying 此該等收益增加導致年內該分部的毛利 cost of the film library is minimal and accordingly the such 及業績淨額相應改善。 increased revenues led to the corresponding improvement in gross profit and net result of this segment for the year. The increase in amount of revenue recognised for the 該分部確認的收益增長被新上映影片的 segment is offset by the dropped film ex</t>
        </is>
      </c>
    </row>
    <row r="52">
      <c r="A52" s="8" t="inlineStr">
        <is>
          <t>Intangible Assets &amp; Goodwill</t>
        </is>
      </c>
      <c r="B52" s="8" t="inlineStr">
        <is>
          <t>無形資產及商譽</t>
        </is>
      </c>
      <c r="C52" s="19" t="inlineStr">
        <is>
          <t>high</t>
        </is>
      </c>
      <c r="D52" s="11" t="inlineStr">
        <is>
          <t>無形資產</t>
        </is>
      </c>
      <c r="E52" s="11" t="inlineStr">
        <is>
          <t>PDF p.60 (印刷頁 59)</t>
        </is>
      </c>
      <c r="F52" s="11" t="inlineStr">
        <is>
          <t>ble amounts, which were measured at the higher of fair value less costs of disposal and valuein-use. 鑑於年內電影版權發行票房表現低於管理層預期， 及就未可使用的無形資產進行年度減值評估的規 定，管理層對截至二零二六年三月三十一日的電影 及節目版權及攝製中電影進行了減值評估，而賬面 值已撇減至其可收回金額（按公允值減出售成本及 使用價值的較高者所計量）。 Annual Report 2026 年報 59</t>
        </is>
      </c>
    </row>
    <row r="53">
      <c r="A53" s="8" t="inlineStr">
        <is>
          <t>Intangible Assets &amp; Goodwill</t>
        </is>
      </c>
      <c r="B53" s="8" t="inlineStr">
        <is>
          <t>無形資產及商譽</t>
        </is>
      </c>
      <c r="C53" s="19" t="inlineStr">
        <is>
          <t>high</t>
        </is>
      </c>
      <c r="D53" s="11" t="inlineStr">
        <is>
          <t>goodwill</t>
        </is>
      </c>
      <c r="E53" s="11" t="inlineStr">
        <is>
          <t>PDF p.92 (印刷頁 91)</t>
        </is>
      </c>
      <c r="F53" s="11" t="inlineStr">
        <is>
          <t>2.2 重要會計政策資料（續） (Continued) 2.2.1 Foreign currency translation (Continued) 2.2.1 外幣換算（續） (c) Group companies (Continued) (c) 集團公司（續） Goodwill and fair value adjustments 收購海外實體所產 arising on the acquisition of a foreign 生之商譽及公允值 entity are treated as assets and liabilities 調整視為該海外實 of the foreign entity and translated at 體之資產及負債， the closing rate. Currency translation 並按收市匯率換 differences arising are recognised in other 算。所產生之外幣 comprehensive income. 換算差額於其他全 面收益內確認。 (d) Disposal of foreign operation and partial (d) 出售海外業務及部分出售 di</t>
        </is>
      </c>
    </row>
    <row r="54">
      <c r="A54" s="8" t="inlineStr">
        <is>
          <t>Intangible Assets &amp; Goodwill</t>
        </is>
      </c>
      <c r="B54" s="8" t="inlineStr">
        <is>
          <t>無形資產及商譽</t>
        </is>
      </c>
      <c r="C54" s="19" t="inlineStr">
        <is>
          <t>high</t>
        </is>
      </c>
      <c r="D54" s="11" t="inlineStr">
        <is>
          <t>可使用年期</t>
        </is>
      </c>
      <c r="E54" s="11" t="inlineStr">
        <is>
          <t>PDF p.94 (印刷頁 93)</t>
        </is>
      </c>
      <c r="F54" s="11" t="inlineStr">
        <is>
          <t>me statement. Depreciation of property, plant and equipment is 物業、機器及設備之折舊乃按 calculated using the straight-line method to allocate 估計可使用年期以直線法將其 their cost or revalued amounts, net of their residual 成本或重估金額減剩餘價值， values, over their estimated useful lives, as follows: 計算如下： Buildings Over the remaining term of the 樓宇 按餘下租期或 lease, or 50 years, whichever 50年（以較短者 is shorter 為準） Leasehold Over the lease term, or 7–13 租賃物業裝修 按租期或7至 improvements years, whichever is shorter 13年（以較短者 為準） Furniture, fixtures and 10% to 25% 傢具、裝置及 10%至2</t>
        </is>
      </c>
    </row>
    <row r="55">
      <c r="A55" s="8" t="inlineStr">
        <is>
          <t>Intangible Assets &amp; Goodwill</t>
        </is>
      </c>
      <c r="B55" s="8" t="inlineStr">
        <is>
          <t>無形資產及商譽</t>
        </is>
      </c>
      <c r="C55" s="19" t="inlineStr">
        <is>
          <t>high</t>
        </is>
      </c>
      <c r="D55" s="11" t="inlineStr">
        <is>
          <t>可使用年期</t>
        </is>
      </c>
      <c r="E55" s="11" t="inlineStr">
        <is>
          <t>PDF p.95 (印刷頁 94)</t>
        </is>
      </c>
      <c r="F55" s="11" t="inlineStr">
        <is>
          <t>ontinued) 2.2.2 Property, plant and equipment (Continued) 2.2.2 物業、機器及設備（續） The assets’ residual values and useful lives are 資產之剩餘價值及可使用年期 reviewed, and adjusted if appropriate, at the end of 於各報告期末進行檢討，並在 each reporting period. 適當時調整。 An asset’s carrying amount is written down 倘資產之賬面金額高於其估計 immediately to its recoverable amount if the asset’s 可收回金額，則其賬面金額即 carrying amount is greater than its estimated 時撇減至其可收回數額。 recoverable amount. Gains and losses on disposals are determined by 出售之盈虧透過將所得款項與 comparing the proceeds with the c</t>
        </is>
      </c>
    </row>
    <row r="56">
      <c r="A56" s="8" t="inlineStr">
        <is>
          <t>Intangible Assets &amp; Goodwill</t>
        </is>
      </c>
      <c r="B56" s="8" t="inlineStr">
        <is>
          <t>無形資產及商譽</t>
        </is>
      </c>
      <c r="C56" s="19" t="inlineStr">
        <is>
          <t>high</t>
        </is>
      </c>
      <c r="D56" s="11" t="inlineStr">
        <is>
          <t>amortisation</t>
        </is>
      </c>
      <c r="E56" s="11" t="inlineStr">
        <is>
          <t>PDF p.96 (印刷頁 95)</t>
        </is>
      </c>
      <c r="F56" s="11" t="inlineStr">
        <is>
          <t>rogress (a) 電影及節目版權及攝製中 電影 Film and program rights and films in 電影及節目版權及攝製中 progress are stated at cost less accumulated 電影按成本減累計攤銷及 amortisation and impairment losses. Films in 減值虧損列賬。攝製中電 progress are not amortised. The cost of film 影並無攤銷。電影版權成 rights is apportioned between film exhibition 本由電影放映及授權分 and licensing, and is expensed on first public 攤，並於首次公映時參考 exhibition or at a systematic basis with 相關特許期限有系統地支 reference to the underlying license periods. 銷。節目版權的成本經參 The cost of program rights is expensed at 考有關授權期限後以具系 a syst</t>
        </is>
      </c>
    </row>
    <row r="57">
      <c r="A57" s="8" t="inlineStr">
        <is>
          <t>Intangible Assets &amp; Goodwill</t>
        </is>
      </c>
      <c r="B57" s="8" t="inlineStr">
        <is>
          <t>無形資產及商譽</t>
        </is>
      </c>
      <c r="C57" s="19" t="inlineStr">
        <is>
          <t>high</t>
        </is>
      </c>
      <c r="D57" s="11" t="inlineStr">
        <is>
          <t>intangible asset</t>
        </is>
      </c>
      <c r="E57" s="11" t="inlineStr">
        <is>
          <t>PDF p.97 (印刷頁 96)</t>
        </is>
      </c>
      <c r="F57" s="11" t="inlineStr">
        <is>
          <t>ired. If any such indication exists, the 倘出現減值跡象，則會評 carrying amount of such asset is assessed. 估有關資產之賬面金額。 Films in progress, being intangible assets 攝製中電影為未可供使用 not ready to use, are tested annually for 的無形資產，每年進行減 impairment. Where relevant, an impairment 值測試。減值虧損於相關 loss is recognised to reduce the asset to its 時確認，以將資產減至其 recoverable amount. Such impairment loss is 可收回金額。有關減值虧 recognised in the profit or loss. 損於損益內確認。 2.2.5 Impairment of non-financial assets 2.2.5 非財務資產之減值 Intangible assets that have indefinite useful lif</t>
        </is>
      </c>
    </row>
    <row r="58">
      <c r="A58" s="8" t="inlineStr">
        <is>
          <t>Intangible Assets &amp; Goodwill</t>
        </is>
      </c>
      <c r="B58" s="8" t="inlineStr">
        <is>
          <t>無形資產及商譽</t>
        </is>
      </c>
      <c r="C58" s="19" t="inlineStr">
        <is>
          <t>high</t>
        </is>
      </c>
      <c r="D58" s="11" t="inlineStr">
        <is>
          <t>攤銷</t>
        </is>
      </c>
      <c r="E58" s="11" t="inlineStr">
        <is>
          <t>PDF p.98 (印刷頁 97)</t>
        </is>
      </c>
      <c r="F58" s="11" t="inlineStr">
        <is>
          <t>他全面收 comprehensive income (“OCI”) or through 益（「其他全面收益」） profit or loss), and 或透過損益）；及 • those to be measured at amortised cost. • 將按攤銷成本計 量。 The classification depends on the entity’s 該分類取決於實體管理財 business model for managing the financial 務資產及現金流量合約條 assets and the contractual terms of the cash 款之業務模式。 flows. For assets measured at fair value, gains and 就按公允值計量的資產而 losses will either be recorded in profit or loss or 言，其收益及虧損於損益 OCI. For investments in equity instruments that 或其他全面收益列賬。對 are not held for trading, this will depen</t>
        </is>
      </c>
    </row>
    <row r="59">
      <c r="A59" s="8" t="inlineStr">
        <is>
          <t>Intangible Assets &amp; Goodwill</t>
        </is>
      </c>
      <c r="B59" s="8" t="inlineStr">
        <is>
          <t>無形資產及商譽</t>
        </is>
      </c>
      <c r="C59" s="19" t="inlineStr">
        <is>
          <t>high</t>
        </is>
      </c>
      <c r="D59" s="11" t="inlineStr">
        <is>
          <t>攤銷</t>
        </is>
      </c>
      <c r="E59" s="11" t="inlineStr">
        <is>
          <t>PDF p.100 (印刷頁 99)</t>
        </is>
      </c>
      <c r="F59" s="11" t="inlineStr">
        <is>
          <t>cteristics 及資產的現金流量 of the asset. The Group classified its 特徵。本集團將其 debt instruments as financial assets at 債務工具分類為按 amortised cost. 攤銷成本計量的財 務資產。 Financial assets at amortised cost are 按攤銷成本計量的 assets that are held for collection of 財務資產為對於持 contractual cash flows where those 有以收取合約現金 cash flows represent solely payments 流量的資產，倘合 of principal and interest are measured 約現金流量僅代表 at amortised cost. Interest income 本金與利息付款， from these financial assets is included 則該資產按攤銷成 in “finance income” using the effective 本計量。該等財務 interest r</t>
        </is>
      </c>
    </row>
    <row r="60">
      <c r="A60" s="8" t="inlineStr">
        <is>
          <t>Intangible Assets &amp; Goodwill</t>
        </is>
      </c>
      <c r="B60" s="8" t="inlineStr">
        <is>
          <t>無形資產及商譽</t>
        </is>
      </c>
      <c r="C60" s="19" t="inlineStr">
        <is>
          <t>high</t>
        </is>
      </c>
      <c r="D60" s="11" t="inlineStr">
        <is>
          <t>攤銷</t>
        </is>
      </c>
      <c r="E60" s="11" t="inlineStr">
        <is>
          <t>PDF p.101 (印刷頁 100)</t>
        </is>
      </c>
      <c r="F60" s="11" t="inlineStr">
        <is>
          <t>– 淨額」 （倘適用）。 (d) Impairment (d) 減值 The Group assesses on a forward-looking 本集團按前瞻性基準評估 basis the expected credit losses associated 按攤銷成本計量的債務工 with its debt instruments carried at amortised 具相關的預期信貸虧損。 cost. The impairment methodology applied 減值方法的使用取決於信 depends on whether there has been a 貸風險有否大幅上升。 significant increase in credit risk. For trade receivables and contract assets, 就貿易應收款項及合約資 the Group applies the simplified approach 產而言，本集團應用香港 permitted by HKFRS 9, which requires 財務報告準則第9號允許 expected lifetime losses to be reco</t>
        </is>
      </c>
    </row>
    <row r="61">
      <c r="A61" s="8" t="inlineStr">
        <is>
          <t>Intangible Assets &amp; Goodwill</t>
        </is>
      </c>
      <c r="B61" s="8" t="inlineStr">
        <is>
          <t>無形資產及商譽</t>
        </is>
      </c>
      <c r="C61" s="19" t="inlineStr">
        <is>
          <t>high</t>
        </is>
      </c>
      <c r="D61" s="11" t="inlineStr">
        <is>
          <t>攤銷</t>
        </is>
      </c>
      <c r="E61" s="11" t="inlineStr">
        <is>
          <t>PDF p.102 (印刷頁 101)</t>
        </is>
      </c>
      <c r="F61" s="11" t="inlineStr">
        <is>
          <t>2.6 Financial assets (Continued) 2.2.6 財務資產（續） (d) Impairment (Continued) (d) 減值（續） For other financial assets at amortised cost 就其他按攤銷成本計量的 (including cash and bank balances, short- 財務資產（包括現金及銀 term bank deposits, pledged bank deposits, 行結餘、短期銀行存款、 restricted bank balance and other receivables 已抵押銀行存款、受限制 and deposits), the Group measures the 銀行結餘及其他應收款項 impairment as either 12-month expected 及按金）而言，本集團按 credit losses or lifetime expected credit losses, 12個月預期信貸虧損或 depending on whether there has been a 全期預期信貸虧損計量減 significant</t>
        </is>
      </c>
    </row>
    <row r="62">
      <c r="A62" s="8" t="inlineStr">
        <is>
          <t>Intangible Assets &amp; Goodwill</t>
        </is>
      </c>
      <c r="B62" s="8" t="inlineStr">
        <is>
          <t>無形資產及商譽</t>
        </is>
      </c>
      <c r="C62" s="19" t="inlineStr">
        <is>
          <t>high</t>
        </is>
      </c>
      <c r="D62" s="11" t="inlineStr">
        <is>
          <t>攤銷</t>
        </is>
      </c>
      <c r="E62" s="11" t="inlineStr">
        <is>
          <t>PDF p.105 (印刷頁 104)</t>
        </is>
      </c>
      <c r="F62" s="11" t="inlineStr">
        <is>
          <t>權利時確認。 (i) Interest income (i) 利息收入 Interest income on financial assets at 採用實際利率法計算的按 amortised cost calculated using the effective 攤銷成本計量的財務資產 interest method is recognised in the profit or 之利息收入，作為其他收 loss as part of other income. Interest income 入的一部分於損益確認。 is presented as “finance income” where it is 持作現金管理用途的財務 earned from financial assets that are held for 資產所賺取的利息收入將 cash management purposes. 呈列為「財務收入」。 Interest income is calculated by applying the 利息收入是用實際利率乘 effective interest rate to the gross carrying 以財務資產賬面總額計算 am</t>
        </is>
      </c>
    </row>
    <row r="63">
      <c r="A63" s="8" t="inlineStr">
        <is>
          <t>Intangible Assets &amp; Goodwill</t>
        </is>
      </c>
      <c r="B63" s="8" t="inlineStr">
        <is>
          <t>無形資產及商譽</t>
        </is>
      </c>
      <c r="C63" s="19" t="inlineStr">
        <is>
          <t>high</t>
        </is>
      </c>
      <c r="D63" s="11" t="inlineStr">
        <is>
          <t>goodwill</t>
        </is>
      </c>
      <c r="E63" s="11" t="inlineStr">
        <is>
          <t>PDF p.112 (印刷頁 111)</t>
        </is>
      </c>
      <c r="F63" s="11" t="inlineStr">
        <is>
          <t>erest in the acquired entity, 何股權於收購日期之公允 值 over the fair value of the net identifiable assets 超出所收購之可識別資產淨值 acquired is recorded as goodwill. If those amounts 之公允值，乃記錄作商譽。若 are less than the fair value of the net identifiable 該等金額少於所收購業務之可 assets of the business acquired, the difference is 識別資產淨值，則差額直接於 recognised directly in profit or loss as a bargain 損益表內確認為議價購買。 purchase. Contingent consideration is classified either as 或然代價被分類為權益或財務 equity or a financial liability. Amount classified as a 負債。被分類為財務負債之金 financial liability</t>
        </is>
      </c>
    </row>
    <row r="64">
      <c r="A64" s="8" t="inlineStr">
        <is>
          <t>Intangible Assets &amp; Goodwill</t>
        </is>
      </c>
      <c r="B64" s="8" t="inlineStr">
        <is>
          <t>無形資產及商譽</t>
        </is>
      </c>
      <c r="C64" s="19" t="inlineStr">
        <is>
          <t>high</t>
        </is>
      </c>
      <c r="D64" s="11" t="inlineStr">
        <is>
          <t>goodwill</t>
        </is>
      </c>
      <c r="E64" s="11" t="inlineStr">
        <is>
          <t>PDF p.113 (印刷頁 112)</t>
        </is>
      </c>
      <c r="F64" s="11" t="inlineStr">
        <is>
          <t>ents exceeds the carrying amount in the 息時對於附屬公司之投資進行 consolidated financial statements of the investee’s 減值測試。 net assets including goodwill. 2.3.4 Segment reporting 2.3.4 分部報告 Operating segments are reported in a manner 經營分部之呈報方式與向主要 consistent with the internal reporting provided 營運決策者提供之內部報告貫 to the chief operating decision-maker. The chief 徹一致。主要營運決策者負責 operating decision-maker, who is responsible for 分配資源及評估經營分部之業 allocating resources and assessing performance 績，並已確定為作出策略決定 of the operating segments, has been identified a</t>
        </is>
      </c>
    </row>
    <row r="65">
      <c r="A65" s="8" t="inlineStr">
        <is>
          <t>Intangible Assets &amp; Goodwill</t>
        </is>
      </c>
      <c r="B65" s="8" t="inlineStr">
        <is>
          <t>無形資產及商譽</t>
        </is>
      </c>
      <c r="C65" s="19" t="inlineStr">
        <is>
          <t>high</t>
        </is>
      </c>
      <c r="D65" s="11" t="inlineStr">
        <is>
          <t>攤銷</t>
        </is>
      </c>
      <c r="E65" s="11" t="inlineStr">
        <is>
          <t>PDF p.115 (印刷頁 114)</t>
        </is>
      </c>
      <c r="F65" s="11" t="inlineStr">
        <is>
          <t>及其他應收款項旨在收 with the objective to collect the contractual cash 取合約現金流量，因此其後使 flows and therefore measures them subsequently at 用實際利率法按攤銷成本計 amortised cost using the effective interest method. 量。 2.3.8 Cash and cash equivalents 2.3.8 現金及等同現金項目 In the consolidated cash flow statement, cash and 於綜合現金流量表內，現金及 cash equivalents include cash in hand, deposits 等同現金項目包括手頭現金、 held at call with banks with original maturities of 原到期日為三個月或以下並可 three months or less that are readily convertible to 隨時轉換為已知數額之現金且 known amounts of cash and which</t>
        </is>
      </c>
    </row>
    <row r="66">
      <c r="A66" s="8" t="inlineStr">
        <is>
          <t>Intangible Assets &amp; Goodwill</t>
        </is>
      </c>
      <c r="B66" s="8" t="inlineStr">
        <is>
          <t>無形資產及商譽</t>
        </is>
      </c>
      <c r="C66" s="19" t="inlineStr">
        <is>
          <t>high</t>
        </is>
      </c>
      <c r="D66" s="11" t="inlineStr">
        <is>
          <t>攤銷</t>
        </is>
      </c>
      <c r="E66" s="11" t="inlineStr">
        <is>
          <t>PDF p.116 (印刷頁 115)</t>
        </is>
      </c>
      <c r="F66" s="11" t="inlineStr">
        <is>
          <t>itially at 貿易及其他應付款項初步按公 fair value and subsequently measured at amortised 允值確認，其後採用實際利率 cost using the effective interest method. 法按攤銷成本計量。 2.3.11 Provisions and contingent liabilities 2.3.11 撥備及或然負債 Provisions are recognised when the Group has a 當本集團因過往事件而產生現 present legal or constructive obligation as a result 有之法律或推定責任；較可能 of past events; it is probable that an outflow of 需要有資源外流以償付責任； resources will be required to settle the obligation; 及金額能可靠地估計時，即確 and the amount has been reliably estimated. 認撥備。撥備並無就未來經營 Provisions are</t>
        </is>
      </c>
    </row>
    <row r="67">
      <c r="A67" s="8" t="inlineStr">
        <is>
          <t>Intangible Assets &amp; Goodwill</t>
        </is>
      </c>
      <c r="B67" s="8" t="inlineStr">
        <is>
          <t>無形資產及商譽</t>
        </is>
      </c>
      <c r="C67" s="19" t="inlineStr">
        <is>
          <t>high</t>
        </is>
      </c>
      <c r="D67" s="11" t="inlineStr">
        <is>
          <t>攤銷</t>
        </is>
      </c>
      <c r="E67" s="11" t="inlineStr">
        <is>
          <t>PDF p.118 (印刷頁 117)</t>
        </is>
      </c>
      <c r="F67" s="11" t="inlineStr">
        <is>
          <t>air value, 借貸初步按公允值並扣除產生 net of transaction costs incurred. Borrowings 之交易成本確認。借貸其後按 are subsequently carried at amortised cost; any 攤銷成本列賬；所得款項（扣 difference between the proceeds (net of transaction 除交易成本）與贖回價值之任 costs) and the redemption value is recognised in the 何差額採用實際利率法於借貸 consolidated income statement over the period of 期間於綜合收益表內確認。 the borrowings using the effective interest method. Borrowings are classified as current liabilities unless 借貸分類為流動負債，除非本 the Group has an unconditional right to defer 集團擁有無條件權利可將負債 settlemen</t>
        </is>
      </c>
    </row>
    <row r="68">
      <c r="A68" s="8" t="inlineStr">
        <is>
          <t>Intangible Assets &amp; Goodwill</t>
        </is>
      </c>
      <c r="B68" s="8" t="inlineStr">
        <is>
          <t>無形資產及商譽</t>
        </is>
      </c>
      <c r="C68" s="19" t="inlineStr">
        <is>
          <t>high</t>
        </is>
      </c>
      <c r="D68" s="11" t="inlineStr">
        <is>
          <t>goodwill</t>
        </is>
      </c>
      <c r="E68" s="11" t="inlineStr">
        <is>
          <t>PDF p.120 (印刷頁 119)</t>
        </is>
      </c>
      <c r="F68" s="11" t="inlineStr">
        <is>
          <t>atements. However, 然而，倘遞延所得稅負債 deferred tax liabilities are not recognised if they 因初步確認商譽而產生， arise from the initial recognition of goodwill. 則不會確認，倘遞延所得 Deferred income tax is also not accounted for 稅來自在交易（不包括業 if it arises from initial recognition of an asset or 務合併）中對資產或負債 liability in a transaction other than a business 之初步確認，而在交易時 combination that at the time of the transaction 不影響會計損益及應課稅 affects neither accounting nor taxable profit or 盈虧，則不作記賬。遞延 loss. Deferred income tax is determined using 所得稅採用於報告期末前 tax rates (and</t>
        </is>
      </c>
    </row>
    <row r="69">
      <c r="A69" s="8" t="inlineStr">
        <is>
          <t>Intangible Assets &amp; Goodwill</t>
        </is>
      </c>
      <c r="B69" s="8" t="inlineStr">
        <is>
          <t>無形資產及商譽</t>
        </is>
      </c>
      <c r="C69" s="19" t="inlineStr">
        <is>
          <t>high</t>
        </is>
      </c>
      <c r="D69" s="11" t="inlineStr">
        <is>
          <t>useful life</t>
        </is>
      </c>
      <c r="E69" s="11" t="inlineStr">
        <is>
          <t>PDF p.129 (印刷頁 128)</t>
        </is>
      </c>
      <c r="F69" s="11" t="inlineStr">
        <is>
          <t>• 任何初始直接成 本；及 • restoration costs. • 修復費用。 Right-of-use assets are generally depreciated 使用權資產一般於資產可 over the shorter of the asset’s useful life and 使用年期或租約期（以較 the lease term on a straight-line basis. 短者為準）按直線法計算 折舊。 Payments associated with short-term leases 與短期物業租賃有關的付 of properties are recognised on a straight-line 款按直線法於損益中確認 basis as an expense in profit or loss. Short- 為開支。短期租賃指租期 term leases are leases with a lease term of 12 為12個月或以下的租賃。 months or less. (b) The Group as the lessor (b) 本集團作為出租人 Lease income from operati</t>
        </is>
      </c>
    </row>
    <row r="70">
      <c r="A70" s="8" t="inlineStr">
        <is>
          <t>Intangible Assets &amp; Goodwill</t>
        </is>
      </c>
      <c r="B70" s="8" t="inlineStr">
        <is>
          <t>無形資產及商譽</t>
        </is>
      </c>
      <c r="C70" s="19" t="inlineStr">
        <is>
          <t>high</t>
        </is>
      </c>
      <c r="D70" s="11" t="inlineStr">
        <is>
          <t>攤銷</t>
        </is>
      </c>
      <c r="E70" s="11" t="inlineStr">
        <is>
          <t>PDF p.135 (印刷頁 134)</t>
        </is>
      </c>
      <c r="F70" s="11" t="inlineStr">
        <is>
          <t>ivables and contract assets • 來自提供服務之貿 from the provision of services, 易應收款項及合約 資產； • other financial assets at amortised cost. • 其他按攤銷成本計 量之財務資產。 While restricted bank balance, pledged bank 儘管受限制銀行結餘、已 deposits, short-term bank deposits and cash 抵押銀行存款、短期銀行 and bank balances are also subject to the 存款及現金及銀行結餘亦 impairment requirements of HKFRS 9, the 受香港財務報告準則第9 identified impairment loss was immaterial. 號之減值規定之規限，但 已識別之減值虧損並不重 大。 Trade receivables and contract assets 貿易應收款項及合約資產 The Group applies the HKFRS 9 simplified 本集團採用香港</t>
        </is>
      </c>
    </row>
    <row r="71">
      <c r="A71" s="8" t="inlineStr">
        <is>
          <t>Intangible Assets &amp; Goodwill</t>
        </is>
      </c>
      <c r="B71" s="8" t="inlineStr">
        <is>
          <t>無形資產及商譽</t>
        </is>
      </c>
      <c r="C71" s="19" t="inlineStr">
        <is>
          <t>high</t>
        </is>
      </c>
      <c r="D71" s="11" t="inlineStr">
        <is>
          <t>攤銷</t>
        </is>
      </c>
      <c r="E71" s="11" t="inlineStr">
        <is>
          <t>PDF p.138 (印刷頁 137)</t>
        </is>
      </c>
      <c r="F71" s="11" t="inlineStr">
        <is>
          <t>tinued) (ii) 財務資產減值（續） Trade receivables and contract assets 貿易應收款項及合約資產 (Continued) （續） Other financial assets at amortised cost 其他按攤銷成本計量之財 務資產 The Group applies a 12-month expected credit 本集團就按攤銷成本列賬 loss on other financial assets at amortised 之其他財務資產採用12 cost. Management considered among other 個月預期信貸虧損。管理 factors, analysed historical pattern and 層考慮（其中包括）各種因 concluded that the expected credit loss for 素，分析過往情況，倘信 other financial assets at amortised cost to be 貸風險評估為低，則認為 immaterial as the credit risk is assessed as 其他按攤銷成本計</t>
        </is>
      </c>
    </row>
    <row r="72">
      <c r="A72" s="8" t="inlineStr">
        <is>
          <t>Intangible Assets &amp; Goodwill</t>
        </is>
      </c>
      <c r="B72" s="8" t="inlineStr">
        <is>
          <t>無形資產及商譽</t>
        </is>
      </c>
      <c r="C72" s="19" t="inlineStr">
        <is>
          <t>high</t>
        </is>
      </c>
      <c r="D72" s="11" t="inlineStr">
        <is>
          <t>amortisation</t>
        </is>
      </c>
      <c r="E72" s="11" t="inlineStr">
        <is>
          <t>PDF p.151 (印刷頁 150)</t>
        </is>
      </c>
      <c r="F72" s="11" t="inlineStr">
        <is>
          <t>之折舊 – – (2,487) – – – – (2,487) Fair value losses on revaluation of investment 重估投資物業之公允值虧損 properties – – – – – (15,165) – (15,165) Amortisation of film and program rights 電影及節目版權攤銷 (1,481) (4,020) – – – – – (5,501) Provision for impairment of film and program 電影及節目版權及攝製中電影 rights and films in progress 之減值撥備 – (692) – – – – – (692) Provision for impairment of property, plant and 物業、機器及設備之減值撥備 equipment – – (1,188) – – – – (1,188) Provision for impairment of right-of-use assets 使用權資產減值之撥備 – – (3,448) – – – – (3,448) Production</t>
        </is>
      </c>
    </row>
    <row r="73">
      <c r="A73" s="8" t="inlineStr">
        <is>
          <t>Intangible Assets &amp; Goodwill</t>
        </is>
      </c>
      <c r="B73" s="8" t="inlineStr">
        <is>
          <t>無形資產及商譽</t>
        </is>
      </c>
      <c r="C73" s="19" t="inlineStr">
        <is>
          <t>high</t>
        </is>
      </c>
      <c r="D73" s="11" t="inlineStr">
        <is>
          <t>amortisation</t>
        </is>
      </c>
      <c r="E73" s="11" t="inlineStr">
        <is>
          <t>PDF p.152 (印刷頁 151)</t>
        </is>
      </c>
      <c r="F73" s="11" t="inlineStr">
        <is>
          <t>之折舊 – – (3,377) – – – – (3,377) Fair value losses on revaluation of investment 重估投資物業之公允值虧損 properties – – – – – (16,765) – (16,765) Amortisation of film and program rights 電影及節目版權攤銷 (5,787) (30,328) – – – – – (36,115) Provision for impairment of film and program 電影及節目版權及攝製中電影 rights and films in progress 之減值撥備 – (6,206) – – – – – (6,206) Provision for impairment of property, plant and 物業、機器及設備之減值撥備 equipment – – (4,034) – – – – (4,034) Provision for impairment of right-of-use assets 使用權資產減值之撥備 – – (9,150) – – – – (9,150) Produ</t>
        </is>
      </c>
    </row>
    <row r="74">
      <c r="A74" s="8" t="inlineStr">
        <is>
          <t>Intangible Assets &amp; Goodwill</t>
        </is>
      </c>
      <c r="B74" s="8" t="inlineStr">
        <is>
          <t>無形資產及商譽</t>
        </is>
      </c>
      <c r="C74" s="19" t="inlineStr">
        <is>
          <t>high</t>
        </is>
      </c>
      <c r="D74" s="11" t="inlineStr">
        <is>
          <t>amortisation</t>
        </is>
      </c>
      <c r="E74" s="11" t="inlineStr">
        <is>
          <t>PDF p.161 (印刷頁 160)</t>
        </is>
      </c>
      <c r="F74" s="11" t="inlineStr">
        <is>
          <t>nses are 推廣開支以及行政開支之開支分析 analysed as follows: 如下： 2026 2025 二零二六年 二零二五年 HK$’000 HK$’000 千港元 千港元 Cost of inventories 存貨成本 3,448 4,987 Amortisation of film and program rights (Note 15) 電影及節目版權攤銷 （附註15） 5,501 36,115 Depreciation 折舊 – Owned property, plant and equipment – 自置物業、機器及設備 (Note 12) （附註12） 11,657 11,250 – Right-of-use assets (Note 13) – 使用權資產（附註13） 3,275 4,165 Provision for impairment of film and program 電影及節目版權及攝製中電 rights and films in progress (Note 15) 影（附註15） 692 6,206 Provision for impairment of property, plant and 物</t>
        </is>
      </c>
    </row>
    <row r="75">
      <c r="A75" s="8" t="inlineStr">
        <is>
          <t>Intangible Assets &amp; Goodwill</t>
        </is>
      </c>
      <c r="B75" s="8" t="inlineStr">
        <is>
          <t>無形資產及商譽</t>
        </is>
      </c>
      <c r="C75" s="19" t="inlineStr">
        <is>
          <t>high</t>
        </is>
      </c>
      <c r="D75" s="11" t="inlineStr">
        <is>
          <t>amortisation</t>
        </is>
      </c>
      <c r="E75" s="11" t="inlineStr">
        <is>
          <t>PDF p.189 (印刷頁 188)</t>
        </is>
      </c>
      <c r="F75" s="11" t="inlineStr">
        <is>
          <t>電影及節目 及攝製中電影 版權按金 總計 HK$’000 HK$’000 HK$’000 千港元 千港元 千港元 At 1st April 2025 於二零二五年四月一日 Cost 成本 1,268,258 3,904 1,272,162 Accumulated amortisation and impairment 累計攤銷及減值 (1,170,481) (3,798) (1,174,279) Net book amount 賬面淨額 97,777 106 97,883 Year ended 31st March 2025 截至二零二五年三月三十一日 止年度 Opening net book amount 年初賬面淨額 97,777 106 97,883 Additions 添置 10,225 – 10,225 Transfers 轉撥 79 (79) – Amortisation (Note 6) 攤銷（附註6） (36,115) – (36,115) Impairment (Note 6) 減值（附註6） (6,206) – (6,206) Exchange differences 匯兌差額 981 – 981 Closing net boo</t>
        </is>
      </c>
    </row>
    <row r="76">
      <c r="A76" s="8" t="inlineStr">
        <is>
          <t>Intangible Assets &amp; Goodwill</t>
        </is>
      </c>
      <c r="B76" s="8" t="inlineStr">
        <is>
          <t>無形資產及商譽</t>
        </is>
      </c>
      <c r="C76" s="19" t="inlineStr">
        <is>
          <t>high</t>
        </is>
      </c>
      <c r="D76" s="11" t="inlineStr">
        <is>
          <t>攤銷</t>
        </is>
      </c>
      <c r="E76" s="11" t="inlineStr">
        <is>
          <t>PDF p.190 (印刷頁 189)</t>
        </is>
      </c>
      <c r="F76" s="11" t="inlineStr">
        <is>
          <t>之 HK$36,115,000) with respect to film and program 5,501,000港元（二零二五年： rights has been included in “cost of sales” in the 36,115,000港元）攤銷已計入 consolidated income statement. 綜合收益表內之「銷售成本」。 (b) The carrying amounts of film and program rights, (b) 電影及節目版權、攝製中電影 films in progress and deposits for film and program 以及電影及節目版權按金之賬 rights have been reduced to their recoverable 面金額已透過確認減值虧損 amounts through recognition of impairment losses 692,000 港元（二零二五年： of HK$692,000 (2025: HK$6,206,000) which has 6,206,000港元）減至其可收回 been included in “cos</t>
        </is>
      </c>
    </row>
    <row r="77">
      <c r="A77" s="8" t="inlineStr">
        <is>
          <t>Intangible Assets &amp; Goodwill</t>
        </is>
      </c>
      <c r="B77" s="8" t="inlineStr">
        <is>
          <t>無形資產及商譽</t>
        </is>
      </c>
      <c r="C77" s="19" t="inlineStr">
        <is>
          <t>high</t>
        </is>
      </c>
      <c r="D77" s="11" t="inlineStr">
        <is>
          <t>攤銷</t>
        </is>
      </c>
      <c r="E77" s="11" t="inlineStr">
        <is>
          <t>PDF p.200 (印刷頁 199)</t>
        </is>
      </c>
      <c r="F77" s="11" t="inlineStr">
        <is>
          <t>ts have 財務工具之會計政策已應用於下列 been applied to the line items below: 各項： Financial assets at Financial amortised assets at cost FVPL Total 按攤銷成本 按公允值 計量之財務 計入損益之 資產 財務資產 總計 HK$’000 HK$’000 HK$’000 千港元 千港元 千港元 Assets 資產 At 31st March 2026 於二零二六年三月三十一日 Deposits, trade and other receivables 按金、貿易及其他應收款項 31,537 – 31,537 Financial assets at FVPL (Note 19) 按公允值計入損益之財務資產 （附註19） – 967 967 Amounts due from associates 應收聯營公司款項 6,522 – 6,522 Pledged bank deposits (Note 27(a)(ii)) 已抵押銀行存款（附註27(a)(ii)） 13,500 – 13,500 Short-term bank deposits (Not</t>
        </is>
      </c>
    </row>
    <row r="78">
      <c r="A78" s="8" t="inlineStr">
        <is>
          <t>Intangible Assets &amp; Goodwill</t>
        </is>
      </c>
      <c r="B78" s="8" t="inlineStr">
        <is>
          <t>無形資產及商譽</t>
        </is>
      </c>
      <c r="C78" s="19" t="inlineStr">
        <is>
          <t>high</t>
        </is>
      </c>
      <c r="D78" s="11" t="inlineStr">
        <is>
          <t>攤銷</t>
        </is>
      </c>
      <c r="E78" s="11" t="inlineStr">
        <is>
          <t>PDF p.201 (印刷頁 200)</t>
        </is>
      </c>
      <c r="F78" s="11" t="inlineStr">
        <is>
          <t>l instruments have 財務工具之會計政策已應用於下列 been applied to the line items below: (Continued) 各項：（續） Financial liabilities at amortised cost 按攤銷成本 列賬之 財務負債 HK$’000 千港元 Liabilities 負債 At 31st March 2026 於二零二六年三月三十一日 Bank and other borrowings (Note 27) 銀行及其他借貸（附註27） 139,442 Lease liabilities (Note 13) 租賃負債（附註13） 81,666 Trade and other payables 貿易及其他應付款項 69,817 290,925 At 31st March 2025 於二零二五年三月三十一日 Bank and other borrowings (Note 27) 銀行及其他借貸（附註27） 127,654 Lease liabilities (Note 13) 租賃負債（附註13） 86,198 Trade and other payables 貿易及其他應付款項 77</t>
        </is>
      </c>
    </row>
    <row r="79">
      <c r="A79" s="8" t="inlineStr">
        <is>
          <t>Intangible Assets &amp; Goodwill</t>
        </is>
      </c>
      <c r="B79" s="8" t="inlineStr">
        <is>
          <t>無形資產及商譽</t>
        </is>
      </c>
      <c r="C79" s="19" t="inlineStr">
        <is>
          <t>high</t>
        </is>
      </c>
      <c r="D79" s="11" t="inlineStr">
        <is>
          <t>amortisation</t>
        </is>
      </c>
      <c r="E79" s="11" t="inlineStr">
        <is>
          <t>PDF p.217 (印刷頁 216)</t>
        </is>
      </c>
      <c r="F79" s="11" t="inlineStr">
        <is>
          <t>(Note 12) 撥備（附註12） 1,188 4,034 Fair value losses on revaluation of 重估投資物業之公允值虧損 investment properties (Note 14) （附註14） 15,165 16,765 Amortisation of film and program rights 電影及節目版權攤銷 (Note 15) （附註15） 5,501 36,115 Provision for impairment of film and 電影及節目版權以及攝製中 program rights and films in progress 電影之減值撥備（附註15） (Note 15) 692 6,206 Share of losses of associates 應佔聯營公司之虧損 1,966 2,446 Impairment losses on amounts due from 應收聯營公司款項減值虧損 associates – 321 Net reversal of impairment losses on 貿易及其他應收款項之減值 trade and other receivables (</t>
        </is>
      </c>
    </row>
    <row r="80">
      <c r="A80" s="8" t="inlineStr">
        <is>
          <t>Investment Properties</t>
        </is>
      </c>
      <c r="B80" s="8" t="inlineStr">
        <is>
          <t>投資物業</t>
        </is>
      </c>
      <c r="C80" s="19" t="inlineStr">
        <is>
          <t>high</t>
        </is>
      </c>
      <c r="D80" s="11" t="inlineStr">
        <is>
          <t>投資物業</t>
        </is>
      </c>
      <c r="E80" s="11" t="inlineStr">
        <is>
          <t>PDF p.2</t>
        </is>
      </c>
      <c r="F80" s="11" t="inlineStr">
        <is>
          <t>e Consolidated Financial Statements 綜合財務報表附註 80 Five Year Financial Summary 五年財務概要 234 Schedule of Principal Investment Properties 主要投資物業附表 235</t>
        </is>
      </c>
    </row>
    <row r="81">
      <c r="A81" s="8" t="inlineStr">
        <is>
          <t>Investment Properties</t>
        </is>
      </c>
      <c r="B81" s="8" t="inlineStr">
        <is>
          <t>投資物業</t>
        </is>
      </c>
      <c r="C81" s="19" t="inlineStr">
        <is>
          <t>high</t>
        </is>
      </c>
      <c r="D81" s="11" t="inlineStr">
        <is>
          <t>投資物業</t>
        </is>
      </c>
      <c r="E81" s="11" t="inlineStr">
        <is>
          <t>PDF p.33 (印刷頁 32)</t>
        </is>
      </c>
      <c r="F81" s="11" t="inlineStr">
        <is>
          <t>e statement on page 72. 合收益表。 The directors do not recommend the payment of a dividend. 董事不建議派發股息。 PRINCIPAL INVESTMENT PROPERTIES 主要投資物業 Details of the movements in investment properties of the 本集團投資物業之變動詳情載於綜合財 Group are set out in Note 14 to the consolidated financial 務報表附註14。該等主要投資物業詳情 statements. Details of those principal investment properties 載於第235至236頁。 are set out on pages 235 to 236. SHARE CAPITAL 股本 Details of the movements in share capital of the Company 本公司於年內的股本變動詳情載於綜合 during the year are set out in Note 23 to t</t>
        </is>
      </c>
    </row>
    <row r="82">
      <c r="A82" s="8" t="inlineStr">
        <is>
          <t>Investment Properties</t>
        </is>
      </c>
      <c r="B82" s="8" t="inlineStr">
        <is>
          <t>投資物業</t>
        </is>
      </c>
      <c r="C82" s="19" t="inlineStr">
        <is>
          <t>high</t>
        </is>
      </c>
      <c r="D82" s="11" t="inlineStr">
        <is>
          <t>投資物業</t>
        </is>
      </c>
      <c r="E82" s="11" t="inlineStr">
        <is>
          <t>PDF p.75 (印刷頁 74)</t>
        </is>
      </c>
      <c r="F82" s="11" t="inlineStr">
        <is>
          <t>K$’000 附註 千港元 千港元 Assets 資產 Non-current assets 非流動資產 Property, plant and equipment 物業、機器及設備 12 177,916 193,534 Investment properties 投資物業 14 163,202 176,958 Right-of-use assets 使用權資產 13 34,477 44,026 Film and program rights, films in progress 電影及節目版權、攝製中 and deposits for film and program rights 電影以及電影及節目版 權按金 15 72,516 66,768 Interests in associates 於聯營公司之權益 16 4,498 6,465 Prepayments and deposits 預付款項及按金 21 2,024 1,912 454,633 489,663 Current assets 流動資產 Inventories 存貨 20 1,343 1,243 Prepayments, deposits, trade and 預付款項、按金、貿易</t>
        </is>
      </c>
    </row>
    <row r="83">
      <c r="A83" s="8" t="inlineStr">
        <is>
          <t>Investment Properties</t>
        </is>
      </c>
      <c r="B83" s="8" t="inlineStr">
        <is>
          <t>投資物業</t>
        </is>
      </c>
      <c r="C83" s="19" t="inlineStr">
        <is>
          <t>high</t>
        </is>
      </c>
      <c r="D83" s="11" t="inlineStr">
        <is>
          <t>投資物業</t>
        </is>
      </c>
      <c r="E83" s="11" t="inlineStr">
        <is>
          <t>PDF p.82 (印刷頁 81)</t>
        </is>
      </c>
      <c r="F83" s="11" t="inlineStr">
        <is>
          <t>d) 綜合財務報表乃按歷史成本法編 The consolidated financial statements have been 製，並對按公允值列賬之樓宇重 prepared under the historical cost convention, as 估、投資物業，以及按公允值計入 modified by the revaluation of buildings, investment 損益（「按公允值計入損益」）之財務 properties and financial assets at fair value through profit 資產作出修訂。 or loss (“FVPL”), which are carried at fair values. 編製符合香港財務報告準則會計準 The preparation of financial statements in conformity 則之財務報表需要使用若干關鍵會 with HKFRS Accounting Standards requires the use 計估計，亦需要管理層在應用本集 of certain critical accounting estimates. I</t>
        </is>
      </c>
    </row>
    <row r="84">
      <c r="A84" s="8" t="inlineStr">
        <is>
          <t>Investment Properties</t>
        </is>
      </c>
      <c r="B84" s="8" t="inlineStr">
        <is>
          <t>投資物業</t>
        </is>
      </c>
      <c r="C84" s="19" t="inlineStr">
        <is>
          <t>high</t>
        </is>
      </c>
      <c r="D84" s="11" t="inlineStr">
        <is>
          <t>rental yield</t>
        </is>
      </c>
      <c r="E84" s="11" t="inlineStr">
        <is>
          <t>PDF p.95 (印刷頁 94)</t>
        </is>
      </c>
      <c r="F84" s="11" t="inlineStr">
        <is>
          <t>投資物業 Investment properties, principally comprising 投資物業主要包括租賃土地及 leasehold land and buildings, are held for long-term 樓宇，乃持作收取長期租金收 rental yields or for capital appreciation or both, and 益或資本增值或兩者並行，並 that are not occupied by the Group. 非由本集團佔用。 Investment properties are initially measured at 投資物業初步按成本計量，包 cost, including related transaction costs and where 括相關交易成本及借貸成本 applicable borrowing costs. Subsequently, they （如適用）。其後，其按公允值 are carried at fair value. Changes in fair values are 列賬。公允值之變動於損益表 presented in profit or loss a</t>
        </is>
      </c>
    </row>
    <row r="85">
      <c r="A85" s="8" t="inlineStr">
        <is>
          <t>Investment Properties</t>
        </is>
      </c>
      <c r="B85" s="8" t="inlineStr">
        <is>
          <t>投資物業</t>
        </is>
      </c>
      <c r="C85" s="19" t="inlineStr">
        <is>
          <t>high</t>
        </is>
      </c>
      <c r="D85" s="11" t="inlineStr">
        <is>
          <t>investment property</t>
        </is>
      </c>
      <c r="E85" s="11" t="inlineStr">
        <is>
          <t>PDF p.120 (印刷頁 119)</t>
        </is>
      </c>
      <c r="F85" s="11" t="inlineStr">
        <is>
          <t>時預期將會適用之稅率 realised or the deferred income tax liability is （及法例）而釐定。 settled. The deferred tax liability in relation to 有關按公允值計量的投資 investment property that is measured at fair 物業的遞延稅項負債乃假 value is determined assuming the property will 設該物業將透過出售可完 be recovered entirely through sale. 全收回釐定。 Deferred tax assets are recognised only if it is 遞延稅項資產僅於可能有 probable that future taxable amounts will be 未來應課稅款項可利用暫 available to utilise those temporary differences 時性差額及虧損的情況下 and losses. 方予以確認。 Deferred tax liabilities and assets are not</t>
        </is>
      </c>
    </row>
    <row r="86">
      <c r="A86" s="8" t="inlineStr">
        <is>
          <t>Investment Properties</t>
        </is>
      </c>
      <c r="B86" s="8" t="inlineStr">
        <is>
          <t>投資物業</t>
        </is>
      </c>
      <c r="C86" s="19" t="inlineStr">
        <is>
          <t>high</t>
        </is>
      </c>
      <c r="D86" s="11" t="inlineStr">
        <is>
          <t>投資物業</t>
        </is>
      </c>
      <c r="E86" s="11" t="inlineStr">
        <is>
          <t>PDF p.142 (印刷頁 141)</t>
        </is>
      </c>
      <c r="F86" s="11" t="inlineStr">
        <is>
          <t>業、機器及設備的披露，請參 are measured under revaluation model and Note 14 閱附註12，而有關按公允值 for investment properties which are measured at fair 計量的投資物業，請參閱附註 value. 14。 Annual Report 2026 年報 141</t>
        </is>
      </c>
    </row>
    <row r="87">
      <c r="A87" s="8" t="inlineStr">
        <is>
          <t>Investment Properties</t>
        </is>
      </c>
      <c r="B87" s="8" t="inlineStr">
        <is>
          <t>投資物業</t>
        </is>
      </c>
      <c r="C87" s="19" t="inlineStr">
        <is>
          <t>high</t>
        </is>
      </c>
      <c r="D87" s="11" t="inlineStr">
        <is>
          <t>投資物業</t>
        </is>
      </c>
      <c r="E87" s="11" t="inlineStr">
        <is>
          <t>PDF p.148 (印刷頁 147)</t>
        </is>
      </c>
      <c r="F87" s="11" t="inlineStr">
        <is>
          <t>NTS 綜合財務報表附註 4 CRITICAL ACCOUNTING ESTIMATES AND 4 關鍵會計估計及判斷（續） JUDGMENTS (Continued) (b) Valuation of investment properties and (b) 投資物業及樓宇估值 buildings The best evidence of fair value is current prices in an 公允值之最佳憑證為類似租賃 active market for similar leases and other contracts. 及其他合約於活躍市場中之現 In the absence of such information, the Group 行價格。倘缺乏有關資料，則 determines the amount within a range of reasonable 本集團會將金額釐定在合理之 fair values estimated. In making its estimates, 公允值估計範圍內。於作出估 the Group considers the information from the 計時，本集團考慮外聘</t>
        </is>
      </c>
    </row>
    <row r="88">
      <c r="A88" s="8" t="inlineStr">
        <is>
          <t>Investment Properties</t>
        </is>
      </c>
      <c r="B88" s="8" t="inlineStr">
        <is>
          <t>投資物業</t>
        </is>
      </c>
      <c r="C88" s="19" t="inlineStr">
        <is>
          <t>high</t>
        </is>
      </c>
      <c r="D88" s="11" t="inlineStr">
        <is>
          <t>投資物業</t>
        </is>
      </c>
      <c r="E88" s="11" t="inlineStr">
        <is>
          <t>PDF p.149 (印刷頁 148)</t>
        </is>
      </c>
      <c r="F88" s="11" t="inlineStr">
        <is>
          <t>80 29,069 Subcontracting service income 加工服務收入 3,976 5,927 99,028 110,344 Other income 其他收入 Rental income from investment properties 投資物業租金收入（附註14） (Note 14) 6,306 6,570 Management fee income 管理費收入 276 276 Government grant (Note) 政府補助（附註） 150 – Others 其他 1,055 1,504 7,787 8,350 106,815 118,694 Note: 附註： It mainly represents financial assistance granted by Hong Kong 此主要指香港數碼港管理有限公司根據數碼 Cyberport Management Company Limited under the Cyberport 港智慧生活初創培育計劃所提供的財務援 Incubation Programme for Smart Living Start-ups, to provide funding 助</t>
        </is>
      </c>
    </row>
    <row r="89">
      <c r="A89" s="8" t="inlineStr">
        <is>
          <t>Investment Properties</t>
        </is>
      </c>
      <c r="B89" s="8" t="inlineStr">
        <is>
          <t>投資物業</t>
        </is>
      </c>
      <c r="C89" s="19" t="inlineStr">
        <is>
          <t>high</t>
        </is>
      </c>
      <c r="D89" s="11" t="inlineStr">
        <is>
          <t>投資物業</t>
        </is>
      </c>
      <c r="E89" s="11" t="inlineStr">
        <is>
          <t>PDF p.151 (印刷頁 150)</t>
        </is>
      </c>
      <c r="F89" s="11" t="inlineStr">
        <is>
          <t>2) (2,821) Depreciation of right-of-use assets 使用權資產之折舊 – – (2,487) – – – – (2,487) Fair value losses on revaluation of investment 重估投資物業之公允值虧損 properties – – – – – (15,165) – (15,165) Amortisation of film and program rights 電影及節目版權攤銷 (1,481) (4,020) – – – – – (5,501) Provision for impairment of film and program 電影及節目版權及攝製中電影 rights and films in progress 之減值撥備 – (692) – – – – – (692) Provision for impairment of property, plant and 物業、機器及設備之減值撥備 equipment – – (1,188) – – – – (1,188) Provision for impairment of right-of-use asset</t>
        </is>
      </c>
    </row>
    <row r="90">
      <c r="A90" s="8" t="inlineStr">
        <is>
          <t>Investment Properties</t>
        </is>
      </c>
      <c r="B90" s="8" t="inlineStr">
        <is>
          <t>投資物業</t>
        </is>
      </c>
      <c r="C90" s="19" t="inlineStr">
        <is>
          <t>high</t>
        </is>
      </c>
      <c r="D90" s="11" t="inlineStr">
        <is>
          <t>投資物業</t>
        </is>
      </c>
      <c r="E90" s="11" t="inlineStr">
        <is>
          <t>PDF p.152 (印刷頁 151)</t>
        </is>
      </c>
      <c r="F90" s="11" t="inlineStr">
        <is>
          <t>8) (2,320) Depreciation of right-of-use assets 使用權資產之折舊 – – (3,377) – – – – (3,377) Fair value losses on revaluation of investment 重估投資物業之公允值虧損 properties – – – – – (16,765) – (16,765) Amortisation of film and program rights 電影及節目版權攤銷 (5,787) (30,328) – – – – – (36,115) Provision for impairment of film and program 電影及節目版權及攝製中電影 rights and films in progress 之減值撥備 – (6,206) – – – – – (6,206) Provision for impairment of property, plant and 物業、機器及設備之減值撥備 equipment – – (4,034) – – – – (4,034) Provision for impairment of right-of-use</t>
        </is>
      </c>
    </row>
    <row r="91">
      <c r="A91" s="8" t="inlineStr">
        <is>
          <t>Investment Properties</t>
        </is>
      </c>
      <c r="B91" s="8" t="inlineStr">
        <is>
          <t>投資物業</t>
        </is>
      </c>
      <c r="C91" s="19" t="inlineStr">
        <is>
          <t>high</t>
        </is>
      </c>
      <c r="D91" s="11" t="inlineStr">
        <is>
          <t>投資物業</t>
        </is>
      </c>
      <c r="E91" s="11" t="inlineStr">
        <is>
          <t>PDF p.161 (印刷頁 160)</t>
        </is>
      </c>
      <c r="F91" s="11" t="inlineStr">
        <is>
          <t>數師酬金 – Audit services – 核數服務 1,813 1,868 – Non-audit services – 非核數服務 20 20 Direct operating expenses arising from investment 產生租金收入之投資物業之 properties that generate rental income (Note 14) 直接經營開支（附註14） 1,471 2,012 Employee benefit expenses (including directors’ 僱員福利開支（包括董事酬 emoluments) (Note 11) 金） （附註11） 38,041 36,483 Exchange (gains)/losses 匯兌（收益）／虧損 (227) 425 Marketing and promotion expenses 市場推廣及宣傳開支 3,858 8,929 Short-term operating lease rental in respect of 樓宇之短期經營租約租金 buildings (Note 13) （附註13） 132 132 Production costs of</t>
        </is>
      </c>
    </row>
    <row r="92">
      <c r="A92" s="8" t="inlineStr">
        <is>
          <t>Investment Properties</t>
        </is>
      </c>
      <c r="B92" s="8" t="inlineStr">
        <is>
          <t>投資物業</t>
        </is>
      </c>
      <c r="C92" s="19" t="inlineStr">
        <is>
          <t>high</t>
        </is>
      </c>
      <c r="D92" s="11" t="inlineStr">
        <is>
          <t>投資物業</t>
        </is>
      </c>
      <c r="E92" s="11" t="inlineStr">
        <is>
          <t>PDF p.162 (印刷頁 161)</t>
        </is>
      </c>
      <c r="F92" s="11" t="inlineStr">
        <is>
          <t>報表附註 7 OTHER LOSSES – NET 7 其他虧損 – 淨額 2026 2025 二零二六年 二零二五年 HK$’000 HK$’000 千港元 千港元 Fair value losses on revaluation of investment 重估投資物業之公允值虧損 properties (Note 14) （附註14） (15,165) (16,765) Fair value losses on financial assets at FVPL, net 按公允值計入損益之金融資 產之公允值虧損淨額 – Listed equity securities – 上市股本證券 (315) (450) – Investment in a project in relation to – 投資於一個有關演唱會及 the concert performance and 籌辦活動業務之項目 events organisation business (967) – (16,447) (17,215) 8 FINANCE COSTS – NET 8 融資成本 – 淨額 2026 2025 二零二六年 二零二五年 HK$’000 HK$’000 千</t>
        </is>
      </c>
    </row>
    <row r="93">
      <c r="A93" s="8" t="inlineStr">
        <is>
          <t>Investment Properties</t>
        </is>
      </c>
      <c r="B93" s="8" t="inlineStr">
        <is>
          <t>投資物業</t>
        </is>
      </c>
      <c r="C93" s="19" t="inlineStr">
        <is>
          <t>high</t>
        </is>
      </c>
      <c r="D93" s="11" t="inlineStr">
        <is>
          <t>投資物業</t>
        </is>
      </c>
      <c r="E93" s="11" t="inlineStr">
        <is>
          <t>PDF p.184 (印刷頁 183)</t>
        </is>
      </c>
      <c r="F93" s="11" t="inlineStr">
        <is>
          <t>NOTES TO THE CONSOLIDATED FINANCIAL STATEMENTS 綜合財務報表附註 14 INVESTMENT PROPERTIES 14 投資物業 2026 2025 二零二六年 二零二五年 HK$’000 HK$’000 千港元 千港元 At fair value 按公允值 At beginning of the year 於年初 176,958 193,901 Fair value losses on revaluation (Note 7) 重估之公允值虧損（附註7） (15,165) (16,765) Exchange differences 匯兌差額 1,409 (178) At end of the year 於年末 163,202 176,958 The following amounts have been recognised in the 以下金額已就投資物業而於綜合收 consolidated income statement for investment properties: 益表內確認： 2026</t>
        </is>
      </c>
    </row>
    <row r="94">
      <c r="A94" s="8" t="inlineStr">
        <is>
          <t>Investment Properties</t>
        </is>
      </c>
      <c r="B94" s="8" t="inlineStr">
        <is>
          <t>投資物業</t>
        </is>
      </c>
      <c r="C94" s="19" t="inlineStr">
        <is>
          <t>high</t>
        </is>
      </c>
      <c r="D94" s="11" t="inlineStr">
        <is>
          <t>投資物業</t>
        </is>
      </c>
      <c r="E94" s="11" t="inlineStr">
        <is>
          <t>PDF p.185 (印刷頁 184)</t>
        </is>
      </c>
      <c r="F94" s="11" t="inlineStr">
        <is>
          <t>NOTES TO THE CONSOLIDATED FINANCIAL STATEMENTS 綜合財務報表附註 14 INVESTMENT PROPERTIES (Continued) 14 投資物業（續） The valuation gains or losses is included in “other 估值收益或虧損已計入綜合收益表 losses – net” in consolidated income statement (Note 內之「其他虧損 – 淨額」 （附註7）。本 7). The Group’s policy is to recognise transfers into and 集團之政策為於導致轉移之事件或 transfers out of fair value hierarchy levels as of the date 情況變化當日確認公允值架構層級 of the event or change in circumstances that caused the 之轉入或轉出。於二零二六年及二 transfer. There were no tra</t>
        </is>
      </c>
    </row>
    <row r="95">
      <c r="A95" s="8" t="inlineStr">
        <is>
          <t>Investment Properties</t>
        </is>
      </c>
      <c r="B95" s="8" t="inlineStr">
        <is>
          <t>投資物業</t>
        </is>
      </c>
      <c r="C95" s="19" t="inlineStr">
        <is>
          <t>high</t>
        </is>
      </c>
      <c r="D95" s="11" t="inlineStr">
        <is>
          <t>投資物業</t>
        </is>
      </c>
      <c r="E95" s="11" t="inlineStr">
        <is>
          <t>PDF p.186 (印刷頁 185)</t>
        </is>
      </c>
      <c r="F95" s="11" t="inlineStr">
        <is>
          <t>NOTES TO THE CONSOLIDATED FINANCIAL STATEMENTS 綜合財務報表附註 14 INVESTMENT PROPERTIES (Continued) 14 投資物業（續） (a) Fair value hierarchy (Continued) (a) 公允值架構（續） Fair value measurements using significant 使用重大不可觀察數據之公允 unobservable inputs (Level 3) 值計量（第三級） 2026 2025 二零二六年 二零二五年 HK$’000 HK$’000 千港元 千港元 At beginning of the year 於年初 15,468 16,331 Revaluation losses 重估虧損 (1,176) (863) At end of the year 於年末 14,292 15,468 The finance department reviews the valuations 財務部審閱黃開基測計師行有 performed by Memfus Won</t>
        </is>
      </c>
    </row>
    <row r="96">
      <c r="A96" s="8" t="inlineStr">
        <is>
          <t>Investment Properties</t>
        </is>
      </c>
      <c r="B96" s="8" t="inlineStr">
        <is>
          <t>投資物業</t>
        </is>
      </c>
      <c r="C96" s="19" t="inlineStr">
        <is>
          <t>high</t>
        </is>
      </c>
      <c r="D96" s="11" t="inlineStr">
        <is>
          <t>投資物業</t>
        </is>
      </c>
      <c r="E96" s="11" t="inlineStr">
        <is>
          <t>PDF p.187 (印刷頁 186)</t>
        </is>
      </c>
      <c r="F96" s="11" t="inlineStr">
        <is>
          <t>NOTES TO THE CONSOLIDATED FINANCIAL STATEMENTS 綜合財務報表附註 14 INVESTMENT PROPERTIES (Continued) 14 投資物業（續） (a) Fair value hierarchy (Continued) (a) 公允值架構（續） Below is a summary of the key inputs to the 投資物業估值的主要輸入數據 valuation of investment properties: 摘要如下： Other observable/ Valuation technique(s) unobservable inputs Relationship Range 估值方法 其他可觀察╱不可觀察輸入數據 關係 範圍 Hong Kong commercial and residential properties 香港商業及住宅物業 Direct comparison method Open market value The higher the price per square HK$</t>
        </is>
      </c>
    </row>
    <row r="97">
      <c r="A97" s="8" t="inlineStr">
        <is>
          <t>Investment Properties</t>
        </is>
      </c>
      <c r="B97" s="8" t="inlineStr">
        <is>
          <t>投資物業</t>
        </is>
      </c>
      <c r="C97" s="19" t="inlineStr">
        <is>
          <t>high</t>
        </is>
      </c>
      <c r="D97" s="11" t="inlineStr">
        <is>
          <t>投資物業</t>
        </is>
      </c>
      <c r="E97" s="11" t="inlineStr">
        <is>
          <t>PDF p.188 (印刷頁 187)</t>
        </is>
      </c>
      <c r="F97" s="11" t="inlineStr">
        <is>
          <t>NOTES TO THE CONSOLIDATED FINANCIAL STATEMENTS 綜合財務報表附註 14 INVESTMENT PROPERTIES (Continued) 14 投資物業（續） (a) Fair value hierarchy (Continued) (a) 公允值架構（續） Other observable/ Valuation technique(s) unobservable inputs Relationship Range 估值方法 其他可觀察╱不可觀察輸入數據 關係 範圍 Hong Kong industrial properties 香港工業物業 Direct comparison method and/or Open market value The higher the price per square HK$1,100 depreciated replacement cost method 公開市值 foot, the higher the fair value – HK$5,500 直接比較法及╱或折舊重置成本法 每平方呎價格</t>
        </is>
      </c>
    </row>
    <row r="98">
      <c r="A98" s="8" t="inlineStr">
        <is>
          <t>Investment Properties</t>
        </is>
      </c>
      <c r="B98" s="8" t="inlineStr">
        <is>
          <t>投資物業</t>
        </is>
      </c>
      <c r="C98" s="19" t="inlineStr">
        <is>
          <t>high</t>
        </is>
      </c>
      <c r="D98" s="11" t="inlineStr">
        <is>
          <t>投資物業</t>
        </is>
      </c>
      <c r="E98" s="11" t="inlineStr">
        <is>
          <t>PDF p.212 (印刷頁 211)</t>
        </is>
      </c>
      <c r="F98" s="11" t="inlineStr">
        <is>
          <t>’s investment properties 港元（二零二五年： with an aggregate carrying value of 52,000,000港元）之本 HK$42,000,000 (2025: HK$52,000,000) (Note 集團若干投資物業（附註 14); and 14）；及 (ii) 本集團已抵押銀行存款 (ii) Pledged bank deposits of HK$13,500,000 13,500,000港元（二零二 (2025: HK$13,500,000) of the Group being 五年：13,500,000港元） placed in commercial banks in Hong Kong and 乃存放於香港商業銀行， are pledged against the bank facilities granted 並已抵押作為本集團所獲 to the Group. 授銀行融資之擔保。 於二零二六年三月三十一日， At 31st March 2026, the effective interest rate per 本集團已抵押銀行存款之實 annum of the Group’s pl</t>
        </is>
      </c>
    </row>
    <row r="99">
      <c r="A99" s="8" t="inlineStr">
        <is>
          <t>Investment Properties</t>
        </is>
      </c>
      <c r="B99" s="8" t="inlineStr">
        <is>
          <t>投資物業</t>
        </is>
      </c>
      <c r="C99" s="19" t="inlineStr">
        <is>
          <t>high</t>
        </is>
      </c>
      <c r="D99" s="11" t="inlineStr">
        <is>
          <t>投資物業</t>
        </is>
      </c>
      <c r="E99" s="11" t="inlineStr">
        <is>
          <t>PDF p.217 (印刷頁 216)</t>
        </is>
      </c>
      <c r="F99" s="11" t="inlineStr">
        <is>
          <t>ion for impairment of property, 物業、機器及設備之減值 plant and equipment (Note 12) 撥備（附註12） 1,188 4,034 Fair value losses on revaluation of 重估投資物業之公允值虧損 investment properties (Note 14) （附註14） 15,165 16,765 Amortisation of film and program rights 電影及節目版權攤銷 (Note 15) （附註15） 5,501 36,115 Provision for impairment of film and 電影及節目版權以及攝製中 program rights and films in progress 電影之減值撥備（附註15） (Note 15) 692 6,206 Share of losses of associates 應佔聯營公司之虧損 1,966 2,446 Impairment losses on amounts due from 應收聯營公司款項減值虧損 associates – 321 Net reversal of</t>
        </is>
      </c>
    </row>
    <row r="100">
      <c r="A100" s="8" t="inlineStr">
        <is>
          <t>Investment Properties</t>
        </is>
      </c>
      <c r="B100" s="8" t="inlineStr">
        <is>
          <t>投資物業</t>
        </is>
      </c>
      <c r="C100" s="19" t="inlineStr">
        <is>
          <t>high</t>
        </is>
      </c>
      <c r="D100" s="11" t="inlineStr">
        <is>
          <t>投資物業</t>
        </is>
      </c>
      <c r="E100" s="11" t="inlineStr">
        <is>
          <t>PDF p.236 (印刷頁 235)</t>
        </is>
      </c>
      <c r="F100" s="11" t="inlineStr">
        <is>
          <t>SCHEDULE OF PRINCIPAL INVESTMENT PROPERTIES 主要投資物業附表 Percentage of Group’s Address Type Lease term interests 本集團之 地址 類別 租約年期 權益百分比 Shop 2 on Ground Floor Po Sun Mansion No. 89 Bulkeley Street Commercial Medium 100% Hung Hom, Kowloon 九龍紅磡 商業 中期 寶其利街89號 寶新大廈 地下2號舖位 Workshop No. 5, Nos. 15-23 and 25-28 on 17th Floor Metro Centre Industrial Medium 100% No. 32 Lam Hing Street Kowloon Bay, Kowloon 九龍九龍灣 工業 中期 臨興街32號 美羅中心17樓 5號、15-23號及25-28號工場 Works</t>
        </is>
      </c>
    </row>
    <row r="101">
      <c r="A101" s="8" t="inlineStr">
        <is>
          <t>Investment Properties</t>
        </is>
      </c>
      <c r="B101" s="8" t="inlineStr">
        <is>
          <t>投資物業</t>
        </is>
      </c>
      <c r="C101" s="19" t="inlineStr">
        <is>
          <t>high</t>
        </is>
      </c>
      <c r="D101" s="11" t="inlineStr">
        <is>
          <t>投資物業</t>
        </is>
      </c>
      <c r="E101" s="11" t="inlineStr">
        <is>
          <t>PDF p.237 (印刷頁 236)</t>
        </is>
      </c>
      <c r="F101" s="11" t="inlineStr">
        <is>
          <t>SCHEDULE OF PRINCIPAL INVESTMENT PROPERTIES 主要投資物業附表 Percentage of Group’s Address Type Lease term interests 本集團之 地址 類別 租約年期 權益百分比 House No. 28 and Car Park Nos. 59 and 60 The Villa Horizon No. 8 Residential Medium 100% Silver Stream Path, Silverstrand Sai Kung, New Territories 新界西貢 住宅 中期 銀線灣銀泉徑8號 海天灣 28號洋房及59號及60號車位 Units 801-814 on Level 8 of West Tower Yangcheng International Commercial Medium 100% Commercial Center Tiyu East Road, Tianhe</t>
        </is>
      </c>
    </row>
    <row r="102">
      <c r="A102" s="8" t="inlineStr">
        <is>
          <t>ESG Data</t>
        </is>
      </c>
      <c r="B102" s="8" t="inlineStr">
        <is>
          <t>環境社會及管治數據</t>
        </is>
      </c>
      <c r="C102" s="8" t="inlineStr">
        <is>
          <t>medium</t>
        </is>
      </c>
      <c r="D102" s="11" t="inlineStr">
        <is>
          <t>可持續</t>
        </is>
      </c>
      <c r="E102" s="11" t="inlineStr">
        <is>
          <t>PDF p.84 (印刷頁 83)</t>
        </is>
      </c>
      <c r="F102" s="11" t="inlineStr">
        <is>
          <t>y fall 後的十二個月，適時償還其到 due in the coming twelve months from the balance 期負債。因此，董事相信本集 sheet date. Accordingly, the directors believe 團將可持續經營，並因而按持 that the Group will be able to continue as a going 續經營之基準編製綜合財務報 concern; and thus have prepared the consolidated 表。 financial statements on a going concern basis. 2.1.2 New and amended standards and 2.1.2 新訂及經修訂準則及詮釋 interpretations (a) Amended standards adopted by the Group (a) 本集團採納之經修訂準則 The Group has applied the following 本集團於二零二五年四月 amendments to standards for the first time for</t>
        </is>
      </c>
    </row>
    <row r="103">
      <c r="A103" s="8" t="inlineStr">
        <is>
          <t>Segment Information</t>
        </is>
      </c>
      <c r="B103" s="8" t="inlineStr">
        <is>
          <t>分部資料</t>
        </is>
      </c>
      <c r="C103" s="8" t="inlineStr">
        <is>
          <t>medium</t>
        </is>
      </c>
      <c r="D103" s="11" t="inlineStr">
        <is>
          <t>operating segment</t>
        </is>
      </c>
      <c r="E103" s="11" t="inlineStr">
        <is>
          <t>PDF p.32 (印刷頁 31)</t>
        </is>
      </c>
      <c r="F103" s="11" t="inlineStr">
        <is>
          <t>載於綜合財務報表附註 34 to the consolidated financial statements. 34。 An analysis of the Group’s performance for the year by 本集團本年度按經營分部劃分之業績分 operating segment is set out in Note 5 to the consolidated 析載於綜合財務報表附註5。 financial statements. BUSINESS REVIEW 業務回顧 The business review and financial key performance indicators 本集團截至二零二六年三月三十一日止 of the Group for the year ended 31st March 2026 are set out 年度之業務回顧及財務關鍵表現指標載 in the section headed “Chairman’s Statement” on pages 4 to 於本年報第4至12頁「主席報告」一節。本 12 to this annual report. Description of the fi</t>
        </is>
      </c>
    </row>
    <row r="104">
      <c r="A104" s="8" t="inlineStr">
        <is>
          <t>Segment Information</t>
        </is>
      </c>
      <c r="B104" s="8" t="inlineStr">
        <is>
          <t>分部資料</t>
        </is>
      </c>
      <c r="C104" s="8" t="inlineStr">
        <is>
          <t>medium</t>
        </is>
      </c>
      <c r="D104" s="11" t="inlineStr">
        <is>
          <t>geographical</t>
        </is>
      </c>
      <c r="E104" s="11" t="inlineStr">
        <is>
          <t>PDF p.96 (印刷頁 95)</t>
        </is>
      </c>
      <c r="F104" s="11" t="inlineStr">
        <is>
          <t>eements for distribution of 行影音產品以及轉授電影 audio visual products and sub-licensing of film 及節目版權之版權協議而 and program titles, in specified geographical 預先分期支付之版權費， areas and time periods, are accounted for as 均列為電影及節目版權按 deposits for film and program rights. Deposits 金。電影及節目版權按金 for film and program rights are recognised 於付款時確認，版權協議 when payment was made and the balance 下之應付結餘則披露為承 payable under the licensing agreements is 擔。收取影音產品及材料 disclosed as a commitment. Upon receipt of 時，按金將轉撥至電影及 the audio visual products and the materials,</t>
        </is>
      </c>
    </row>
    <row r="105">
      <c r="A105" s="8" t="inlineStr">
        <is>
          <t>Segment Information</t>
        </is>
      </c>
      <c r="B105" s="8" t="inlineStr">
        <is>
          <t>分部資料</t>
        </is>
      </c>
      <c r="C105" s="8" t="inlineStr">
        <is>
          <t>medium</t>
        </is>
      </c>
      <c r="D105" s="11" t="inlineStr">
        <is>
          <t>operating segment</t>
        </is>
      </c>
      <c r="E105" s="11" t="inlineStr">
        <is>
          <t>PDF p.113 (印刷頁 112)</t>
        </is>
      </c>
      <c r="F105" s="11" t="inlineStr">
        <is>
          <t>屬公司之投資進行 consolidated financial statements of the investee’s 減值測試。 net assets including goodwill. 2.3.4 Segment reporting 2.3.4 分部報告 Operating segments are reported in a manner 經營分部之呈報方式與向主要 consistent with the internal reporting provided 營運決策者提供之內部報告貫 to the chief operating decision-maker. The chief 徹一致。主要營運決策者負責 operating decision-maker, who is responsible for 分配資源及評估經營分部之業 allocating resources and assessing performance 績，並已確定為作出策略決定 of the operating segments, has been identified as 之本集團執行董事。 the Executive Directors of the Gr</t>
        </is>
      </c>
    </row>
    <row r="106">
      <c r="A106" s="8" t="inlineStr">
        <is>
          <t>Segment Information</t>
        </is>
      </c>
      <c r="B106" s="8" t="inlineStr">
        <is>
          <t>分部資料</t>
        </is>
      </c>
      <c r="C106" s="8" t="inlineStr">
        <is>
          <t>medium</t>
        </is>
      </c>
      <c r="D106" s="11" t="inlineStr">
        <is>
          <t>segment information</t>
        </is>
      </c>
      <c r="E106" s="11" t="inlineStr">
        <is>
          <t>PDF p.149 (印刷頁 148)</t>
        </is>
      </c>
      <c r="F106" s="11" t="inlineStr">
        <is>
          <t>NOTES TO THE CONSOLIDATED FINANCIAL STATEMENTS 綜合財務報表附註 5 REVENUE AND SEGMENT INFORMATION 5 收益及分部資料 2026 2025 二零二六年 二零二五年 HK$’000 HK$’000 千港元 千港元 Revenue 收益 Channel operations 頻道營運 20,143 23,558 Film exhibition and film rights licensing and 電影放映及電影版權授出及 sub-licensing 轉授 28,554 30,382 Cinema operations 戲院業務 21,375 21,408 Concert performance and events 演唱會及籌辦活動 organisation 24,980 29,069 Subcontracting service income 加工服務收入 3,976 5,927 99,028 110,344 Other income 其他收入</t>
        </is>
      </c>
    </row>
    <row r="107">
      <c r="A107" s="8" t="inlineStr">
        <is>
          <t>Segment Information</t>
        </is>
      </c>
      <c r="B107" s="8" t="inlineStr">
        <is>
          <t>分部資料</t>
        </is>
      </c>
      <c r="C107" s="8" t="inlineStr">
        <is>
          <t>medium</t>
        </is>
      </c>
      <c r="D107" s="11" t="inlineStr">
        <is>
          <t>segment information</t>
        </is>
      </c>
      <c r="E107" s="11" t="inlineStr">
        <is>
          <t>PDF p.150 (印刷頁 149)</t>
        </is>
      </c>
      <c r="F107" s="11" t="inlineStr">
        <is>
          <t>NOTES TO THE CONSOLIDATED FINANCIAL STATEMENTS 綜合財務報表附註 5 REVENUE AND SEGMENT INFORMATION 5 收益及分部資料（續） (Continued) For the years ended 31st March 2026 and 2025, 於截至二零二六年及二零二五年三 the Group mainly operates in the following business 月三十一日止年度，本集團主要經 segments: 營以下業務分部： • Channel operations • 頻道營運 • Film exhibition and film rights licensing and • 電影放映及電影版權授出及轉 sublicensing 授 • Cinema operations • 戲院業務 • Concert performance and events organisation • 演唱會及籌辦活動 • Subcontractin</t>
        </is>
      </c>
    </row>
    <row r="108">
      <c r="A108" s="8" t="inlineStr">
        <is>
          <t>Segment Information</t>
        </is>
      </c>
      <c r="B108" s="8" t="inlineStr">
        <is>
          <t>分部資料</t>
        </is>
      </c>
      <c r="C108" s="8" t="inlineStr">
        <is>
          <t>medium</t>
        </is>
      </c>
      <c r="D108" s="11" t="inlineStr">
        <is>
          <t>segment information</t>
        </is>
      </c>
      <c r="E108" s="11" t="inlineStr">
        <is>
          <t>PDF p.151 (印刷頁 150)</t>
        </is>
      </c>
      <c r="F108" s="11" t="inlineStr">
        <is>
          <t>NOTES TO THE CONSOLIDATED FINANCIAL STATEMENTS 綜合財務報表附註 5 REVENUE AND SEGMENT INFORMATION 5 收益及分部資料（續） (Continued) The segment information for the year ended 31st March 按各主要活動劃分之截至二零二六 2026 by each principal activity is as follows: 年三月三十一日止年度分部資料如 下： Sub-contracting service for the Film exhibition Concert manufacturing and film rights performance and sale of Channel licensing and Cinema and events consumer Property operations sub-licensing operations organisation pr</t>
        </is>
      </c>
    </row>
    <row r="109">
      <c r="A109" s="8" t="inlineStr">
        <is>
          <t>Segment Information</t>
        </is>
      </c>
      <c r="B109" s="8" t="inlineStr">
        <is>
          <t>分部資料</t>
        </is>
      </c>
      <c r="C109" s="8" t="inlineStr">
        <is>
          <t>medium</t>
        </is>
      </c>
      <c r="D109" s="11" t="inlineStr">
        <is>
          <t>segment information</t>
        </is>
      </c>
      <c r="E109" s="11" t="inlineStr">
        <is>
          <t>PDF p.152 (印刷頁 151)</t>
        </is>
      </c>
      <c r="F109" s="11" t="inlineStr">
        <is>
          <t>NOTES TO THE CONSOLIDATED FINANCIAL STATEMENTS 綜合財務報表附註 5 REVENUE AND SEGMENT INFORMATION 5 收益及分部資料（續） (Continued) The segment information for the year ended 31st March 按各主要活動劃分之截至二零二五 2025 by each principal activity is as follows: 年三月三十一日止年度分部資料如 下： Sub-contracting service for the Film exhibition Concert manufacturing and film rights performance and sale of Channel licensing and Cinema and events consumer Property operations sub-licensing operations organisation pr</t>
        </is>
      </c>
    </row>
    <row r="110">
      <c r="A110" s="8" t="inlineStr">
        <is>
          <t>Segment Information</t>
        </is>
      </c>
      <c r="B110" s="8" t="inlineStr">
        <is>
          <t>分部資料</t>
        </is>
      </c>
      <c r="C110" s="8" t="inlineStr">
        <is>
          <t>medium</t>
        </is>
      </c>
      <c r="D110" s="11" t="inlineStr">
        <is>
          <t>segment information</t>
        </is>
      </c>
      <c r="E110" s="11" t="inlineStr">
        <is>
          <t>PDF p.153 (印刷頁 152)</t>
        </is>
      </c>
      <c r="F110" s="11" t="inlineStr">
        <is>
          <t>NOTES TO THE CONSOLIDATED FINANCIAL STATEMENTS 綜合財務報表附註 5 REVENUE AND SEGMENT INFORMATION 5 收益及分部資料（續） (Continued) (a) Others include the artiste management operation, (a) 其他包括藝人管理業務、應用 the applications and video online operation and 程式及在線視頻業務及以影音 sales and distribution of films and programs audio 產品形式銷售及發行電影節目 visual product format operation. 業務。 (b) The accounting policies of the reportable segments (b) 可呈報分部之會計政策與本集 are the same as the Group’s accounting policies</t>
        </is>
      </c>
    </row>
    <row r="111">
      <c r="A111" s="8" t="inlineStr">
        <is>
          <t>Segment Information</t>
        </is>
      </c>
      <c r="B111" s="8" t="inlineStr">
        <is>
          <t>分部資料</t>
        </is>
      </c>
      <c r="C111" s="8" t="inlineStr">
        <is>
          <t>medium</t>
        </is>
      </c>
      <c r="D111" s="11" t="inlineStr">
        <is>
          <t>segment information</t>
        </is>
      </c>
      <c r="E111" s="11" t="inlineStr">
        <is>
          <t>PDF p.154 (印刷頁 153)</t>
        </is>
      </c>
      <c r="F111" s="11" t="inlineStr">
        <is>
          <t>NOTES TO THE CONSOLIDATED FINANCIAL STATEMENTS 綜合財務報表附註 5 REVENUE AND SEGMENT INFORMATION 5 收益及分部資料（續） (Continued) (c) Reconciliation of the reportable segment profit (c) 可呈報分部損益、資產及負債 or loss, assets and liabilities 之對賬 Reportable segment profit or loss, assets and 可呈報分部損益、資產及負債 liabilities are reconciled to loss before income tax 與本集團除所得稅前虧損、總 and total assets and total liabilities of the Group as 資產及總負債對賬如下： follows: Profit or loss 損益 2026 2025 二零二六年 二零二五年 HK$’00</t>
        </is>
      </c>
    </row>
    <row r="112">
      <c r="A112" s="8" t="inlineStr">
        <is>
          <t>Segment Information</t>
        </is>
      </c>
      <c r="B112" s="8" t="inlineStr">
        <is>
          <t>分部資料</t>
        </is>
      </c>
      <c r="C112" s="8" t="inlineStr">
        <is>
          <t>medium</t>
        </is>
      </c>
      <c r="D112" s="11" t="inlineStr">
        <is>
          <t>segment information</t>
        </is>
      </c>
      <c r="E112" s="11" t="inlineStr">
        <is>
          <t>PDF p.155 (印刷頁 154)</t>
        </is>
      </c>
      <c r="F112" s="11" t="inlineStr">
        <is>
          <t>NOTES TO THE CONSOLIDATED FINANCIAL STATEMENTS 綜合財務報表附註 5 REVENUE AND SEGMENT INFORMATION 5 收益及分部資料（續） (Continued) (c) Reconciliation of the reportable segment profit (c) 可呈報分部損益、資產及負債 or loss, assets and liabilities (Continued) 之對賬（續） Assets 資產 2026 2025 二零二六年 二零二五年 HK$’000 HK$’000 千港元 千港元 Reportable segment assets 可呈報分部資產 317,724 362,585 Unallocated assets: 未分配資產： Unallocated property, plant and 未分配物業、機器及設備 equipment and right-of-use assets 以及使用權資產 191,399 204,477</t>
        </is>
      </c>
    </row>
    <row r="113">
      <c r="A113" s="8" t="inlineStr">
        <is>
          <t>Segment Information</t>
        </is>
      </c>
      <c r="B113" s="8" t="inlineStr">
        <is>
          <t>分部資料</t>
        </is>
      </c>
      <c r="C113" s="8" t="inlineStr">
        <is>
          <t>medium</t>
        </is>
      </c>
      <c r="D113" s="11" t="inlineStr">
        <is>
          <t>segment information</t>
        </is>
      </c>
      <c r="E113" s="11" t="inlineStr">
        <is>
          <t>PDF p.156 (印刷頁 155)</t>
        </is>
      </c>
      <c r="F113" s="11" t="inlineStr">
        <is>
          <t>NOTES TO THE CONSOLIDATED FINANCIAL STATEMENTS 綜合財務報表附註 5 REVENUE AND SEGMENT INFORMATION 5 收益及分部資料（續） (Continued) (d) Geographical analysis of revenues from (d) 來自外部客戶之收益及非流動 external customers and non-current assets 資產之地區分析 The Group is principally domiciled in Hong Kong, 本集團主要以香港、中國內地 Mainland China and Taiwan. The revenues from 及台灣作為基地，其位於香港 external customers and non-current assets other 及其他國家之來自外部客戶收 than financial instruments located in Hong Kong and 益及非流動資產（</t>
        </is>
      </c>
    </row>
    <row r="114">
      <c r="A114" s="8" t="inlineStr">
        <is>
          <t>Segment Information</t>
        </is>
      </c>
      <c r="B114" s="8" t="inlineStr">
        <is>
          <t>分部資料</t>
        </is>
      </c>
      <c r="C114" s="8" t="inlineStr">
        <is>
          <t>medium</t>
        </is>
      </c>
      <c r="D114" s="11" t="inlineStr">
        <is>
          <t>segment information</t>
        </is>
      </c>
      <c r="E114" s="11" t="inlineStr">
        <is>
          <t>PDF p.157 (印刷頁 156)</t>
        </is>
      </c>
      <c r="F114" s="11" t="inlineStr">
        <is>
          <t>NOTES TO THE CONSOLIDATED FINANCIAL STATEMENTS 綜合財務報表附註 5 REVENUE AND SEGMENT INFORMATION 5 收益及分部資料（續） (Continued) (d) Geographical analysis of revenues from (d) 來自外部客戶之收益及非流動 external customers and non-current assets 資產之地區分析（續） (Continued) During the year ended 31st March 2026, one 截至二零二六年三月三十一日 customer individually contributed over 10% of the 止年度，一名客戶單獨貢獻本 Group’s revenue (2025: one customer). The revenue 集團超過10%收益（二零二五 from the customer during the years is as fo</t>
        </is>
      </c>
    </row>
    <row r="115">
      <c r="A115" s="8" t="inlineStr">
        <is>
          <t>Segment Information</t>
        </is>
      </c>
      <c r="B115" s="8" t="inlineStr">
        <is>
          <t>分部資料</t>
        </is>
      </c>
      <c r="C115" s="8" t="inlineStr">
        <is>
          <t>medium</t>
        </is>
      </c>
      <c r="D115" s="11" t="inlineStr">
        <is>
          <t>segment information</t>
        </is>
      </c>
      <c r="E115" s="11" t="inlineStr">
        <is>
          <t>PDF p.158 (印刷頁 157)</t>
        </is>
      </c>
      <c r="F115" s="11" t="inlineStr">
        <is>
          <t>NOTES TO THE CONSOLIDATED FINANCIAL STATEMENTS 綜合財務報表附註 5 REVENUE AND SEGMENT INFORMATION 5 收益及分部資料（續） (Continued) (e) Assets and liabilities related to contracts with (e) 與客戶合約有關之資產及負債 customers The Group has recognised the following assets and 本集團確認以下與客戶合約有 liabilities related to contracts with customers: 關之資產及負債： 2026 2025 二零二六年 二零二五年 HK$’000 HK$’000 千港元 千港元 Deferred fulfilment costs related to concert 有關演唱會及籌辦活動之 performance and events organisation 遞延履約成本 – 2,37</t>
        </is>
      </c>
    </row>
    <row r="116">
      <c r="A116" s="8" t="inlineStr">
        <is>
          <t>Segment Information</t>
        </is>
      </c>
      <c r="B116" s="8" t="inlineStr">
        <is>
          <t>分部資料</t>
        </is>
      </c>
      <c r="C116" s="8" t="inlineStr">
        <is>
          <t>medium</t>
        </is>
      </c>
      <c r="D116" s="11" t="inlineStr">
        <is>
          <t>segment information</t>
        </is>
      </c>
      <c r="E116" s="11" t="inlineStr">
        <is>
          <t>PDF p.159 (印刷頁 158)</t>
        </is>
      </c>
      <c r="F116" s="11" t="inlineStr">
        <is>
          <t>NOTES TO THE CONSOLIDATED FINANCIAL STATEMENTS 綜合財務報表附註 5 REVENUE AND SEGMENT INFORMATION 5 收益及分部資料（續） (Continued) (e) Assets and liabilities related to contracts with (e) 與客戶合約有關之資產及負債 customers (Continued) （續） (i) Revenue recognised in relation to contract (i) 有關合約負債之收益確認 liabilities The following table shows the amount of revenue 下表載列本年度確認收益中與 recognised in the current year that relates to carried- 結轉合約負債有關之數額： forward contract liabilities: 2026 2025 二零二六年 二零二五年</t>
        </is>
      </c>
    </row>
    <row r="117">
      <c r="A117" s="8" t="inlineStr">
        <is>
          <t>Segment Information</t>
        </is>
      </c>
      <c r="B117" s="8" t="inlineStr">
        <is>
          <t>分部資料</t>
        </is>
      </c>
      <c r="C117" s="8" t="inlineStr">
        <is>
          <t>medium</t>
        </is>
      </c>
      <c r="D117" s="11" t="inlineStr">
        <is>
          <t>segment information</t>
        </is>
      </c>
      <c r="E117" s="11" t="inlineStr">
        <is>
          <t>PDF p.160 (印刷頁 159)</t>
        </is>
      </c>
      <c r="F117" s="11" t="inlineStr">
        <is>
          <t>NOTES TO THE CONSOLIDATED FINANCIAL STATEMENTS 綜合財務報表附註 5 REVENUE AND SEGMENT INFORMATION 5 收益及分部資料（續） (Continued) (e) Assets and liabilities related to contracts with (e) 與客戶合約有關之資產及負債 customers (Continued) （續） (ii) Unsatisfied performance obligations (ii) 未完成履約責任 The following table shows the unsatisfied 下表載列固定價格頻道業務及 performance obligations resulting from fixed-price 電影版權授出及轉授合約之未 channel operations and film rights licensing and 完成履約責任： sub-licensing contracts: 2</t>
        </is>
      </c>
    </row>
    <row r="118">
      <c r="A118" s="8" t="inlineStr">
        <is>
          <t>Share-based Payment</t>
        </is>
      </c>
      <c r="B118" s="8" t="inlineStr">
        <is>
          <t>以股份為基礎的付款</t>
        </is>
      </c>
      <c r="C118" s="8" t="inlineStr">
        <is>
          <t>medium</t>
        </is>
      </c>
      <c r="D118" s="11" t="inlineStr">
        <is>
          <t>share option</t>
        </is>
      </c>
      <c r="E118" s="11" t="inlineStr">
        <is>
          <t>PDF p.13 (印刷頁 12)</t>
        </is>
      </c>
      <c r="F118" s="11" t="inlineStr">
        <is>
          <t>tionary bonus, medical 薪金外，員工福利包括酌情花紅、醫療 insurance scheme and contributory provident fund. The Group 保險計劃及供款公積金。本集團於二零 adopted a new share option scheme in the annual general 二四年九月二十七日舉行的股東週年大 meeting held on 27th September 2024 whereby qualified 會上採納新購股權計劃，合資格參與者 participants may be granted options to acquire shares of the 可據此獲授購股權以購入本公司股份。 Company. Employee benefit expenses of HK$38.0 million 僱員福利開支38,000,000港元已於年內 were charged to the profit or loss during the year. 在損益表扣除。 12 MEI AH ENTERTAINMENT GROUP LIMITED 美亞娛樂資訊集團有限公司</t>
        </is>
      </c>
    </row>
    <row r="119">
      <c r="A119" s="8" t="inlineStr">
        <is>
          <t>Share-based Payment</t>
        </is>
      </c>
      <c r="B119" s="8" t="inlineStr">
        <is>
          <t>以股份為基礎的付款</t>
        </is>
      </c>
      <c r="C119" s="8" t="inlineStr">
        <is>
          <t>medium</t>
        </is>
      </c>
      <c r="D119" s="11" t="inlineStr">
        <is>
          <t>購股權</t>
        </is>
      </c>
      <c r="E119" s="11" t="inlineStr">
        <is>
          <t>PDF p.34 (印刷頁 33)</t>
        </is>
      </c>
      <c r="F119" s="11" t="inlineStr">
        <is>
          <t>ital and share premium account. 價賬之總值。 PRE-EMPTIVE RIGHTS 優先購買權 There is no provision for pre-emptive rights under the 本公司之公司細則並無有關優先購股權 Company’s Bye-laws and there was no restriction against 之規定，而百慕達法例亦無規定本公司 such rights under the laws of Bermuda, which would oblige the 須按比例向現有股東發售新股份之限 Company to offer new shares on a pro-rata basis to existing 制。 shareholders. FIVE YEAR FINANCIAL SUMMARY 五年財務概要 A summary of the results and of the assets and liabilities of the 本集團過去五個財政年度之業績、資產 Group for the last five financial years is set</t>
        </is>
      </c>
    </row>
    <row r="120">
      <c r="A120" s="8" t="inlineStr">
        <is>
          <t>Share-based Payment</t>
        </is>
      </c>
      <c r="B120" s="8" t="inlineStr">
        <is>
          <t>以股份為基礎的付款</t>
        </is>
      </c>
      <c r="C120" s="8" t="inlineStr">
        <is>
          <t>medium</t>
        </is>
      </c>
      <c r="D120" s="11" t="inlineStr">
        <is>
          <t>share option</t>
        </is>
      </c>
      <c r="E120" s="11" t="inlineStr">
        <is>
          <t>PDF p.35 (印刷頁 34)</t>
        </is>
      </c>
      <c r="F120" s="11" t="inlineStr">
        <is>
          <t>REPORT OF THE DIRECTORS 董事會報告 SHARE OPTION SCHEME 購股權計劃 A share option scheme of the Company was adopted by the 於先前購股權計劃屆滿後，本公司股東 shareholders of the Company in the annual general meeting 於二零二四年九月二十七日舉行之股東 held on 27th September 2024 (the “2024 Share Option 週年大會上採納一項購股權計劃（「二零二 Scheme”) following the expiry of the previous share option 四年購股權計劃」）。二零二四年購股權計 scheme. Details of the 2024 Share Option Scheme were set 劃之詳情載於本公司日期為二零二四</t>
        </is>
      </c>
    </row>
    <row r="121">
      <c r="A121" s="8" t="inlineStr">
        <is>
          <t>Share-based Payment</t>
        </is>
      </c>
      <c r="B121" s="8" t="inlineStr">
        <is>
          <t>以股份為基礎的付款</t>
        </is>
      </c>
      <c r="C121" s="8" t="inlineStr">
        <is>
          <t>medium</t>
        </is>
      </c>
      <c r="D121" s="11" t="inlineStr">
        <is>
          <t>share option</t>
        </is>
      </c>
      <c r="E121" s="11" t="inlineStr">
        <is>
          <t>PDF p.36 (印刷頁 35)</t>
        </is>
      </c>
      <c r="F121" s="11" t="inlineStr">
        <is>
          <t>REPORT OF THE DIRECTORS 董事會報告 SHARE OPTION SCHEME (Continued) 購股權計劃（續） 2. Eligible Participants (Continued) 2. 合資格參與者（續） (b) with regard to Related Entity Participants, the Board (b) 就相關實體參與者而言，董事 will consider, among other things, (i) the period of 會將考慮（其中包括）：(i)相關 engagement or employment of the Related Entity 實體參與者獲本集團委聘或受 Participant by the Group; (ii) their participation and 聘期間；(ii)彼等對本集團發展 contributions to the developme</t>
        </is>
      </c>
    </row>
    <row r="122">
      <c r="A122" s="8" t="inlineStr">
        <is>
          <t>Share-based Payment</t>
        </is>
      </c>
      <c r="B122" s="8" t="inlineStr">
        <is>
          <t>以股份為基礎的付款</t>
        </is>
      </c>
      <c r="C122" s="8" t="inlineStr">
        <is>
          <t>medium</t>
        </is>
      </c>
      <c r="D122" s="11" t="inlineStr">
        <is>
          <t>share option</t>
        </is>
      </c>
      <c r="E122" s="11" t="inlineStr">
        <is>
          <t>PDF p.37 (印刷頁 36)</t>
        </is>
      </c>
      <c r="F122" s="11" t="inlineStr">
        <is>
          <t>REPORT OF THE DIRECTORS 董事會報告 SHARE OPTION SCHEME (Continued) 購股權計劃（續） 2. Eligible Participants (Continued) 2. 合資格參與者（續） (c) (Continued) (c) （續） Further to the above criteria, set out below is the 除上述標準外，下文載列確定 detailed basis of determining the eligibility of each 各類服務提供商資格的詳細基 category of the Service Providers: 準： Category of Service Contribution of the Service Providers Criteria for determining eligibility under the Provider</t>
        </is>
      </c>
    </row>
    <row r="123">
      <c r="A123" s="8" t="inlineStr">
        <is>
          <t>Share-based Payment</t>
        </is>
      </c>
      <c r="B123" s="8" t="inlineStr">
        <is>
          <t>以股份為基礎的付款</t>
        </is>
      </c>
      <c r="C123" s="8" t="inlineStr">
        <is>
          <t>medium</t>
        </is>
      </c>
      <c r="D123" s="11" t="inlineStr">
        <is>
          <t>share option</t>
        </is>
      </c>
      <c r="E123" s="11" t="inlineStr">
        <is>
          <t>PDF p.38 (印刷頁 37)</t>
        </is>
      </c>
      <c r="F123" s="11" t="inlineStr">
        <is>
          <t>REPORT OF THE DIRECTORS 董事會報告 SHARE OPTION SCHEME (Continued) 購股權計劃（續） 2. Eligible Participants (Continued) 2. 合資格參與者（續） (c) (Continued) (c) （續） Category of Service Contribution of the Service Providers Criteria for determining eligibility under the Providers 2024 Share Option Scheme 服務提供商類別 服務提供商貢獻 釐定二零二四年購股權計劃資格的準則 Advisers or consultants Advisers and consultants under this category would The Board will, on a case-by-case ba</t>
        </is>
      </c>
    </row>
    <row r="124">
      <c r="A124" s="8" t="inlineStr">
        <is>
          <t>Share-based Payment</t>
        </is>
      </c>
      <c r="B124" s="8" t="inlineStr">
        <is>
          <t>以股份為基礎的付款</t>
        </is>
      </c>
      <c r="C124" s="8" t="inlineStr">
        <is>
          <t>medium</t>
        </is>
      </c>
      <c r="D124" s="11" t="inlineStr">
        <is>
          <t>share option</t>
        </is>
      </c>
      <c r="E124" s="11" t="inlineStr">
        <is>
          <t>PDF p.39 (印刷頁 38)</t>
        </is>
      </c>
      <c r="F124" s="11" t="inlineStr">
        <is>
          <t>REPORT OF THE DIRECTORS 董事會報告 SHARE OPTION SCHEME (Continued) 購股權計劃（續） 2. Eligible Participants (Continued) 2. 合資格參與者（續） (c) (Continued) (c) （續） In assessing whether a Service Provider provides 於評估服務提供商是否按持續 services to the Group on a continuing and recurring 及經常性基準向本集團提供服 basis, the Board will take into account factors 務時，董事會將考慮以下因 such as: (i) the duration and nature of products or 素：(i)向本集團提供產品或服 services provided to the Gr</t>
        </is>
      </c>
    </row>
    <row r="125">
      <c r="A125" s="8" t="inlineStr">
        <is>
          <t>Share-based Payment</t>
        </is>
      </c>
      <c r="B125" s="8" t="inlineStr">
        <is>
          <t>以股份為基礎的付款</t>
        </is>
      </c>
      <c r="C125" s="8" t="inlineStr">
        <is>
          <t>medium</t>
        </is>
      </c>
      <c r="D125" s="11" t="inlineStr">
        <is>
          <t>share option</t>
        </is>
      </c>
      <c r="E125" s="11" t="inlineStr">
        <is>
          <t>PDF p.40 (印刷頁 39)</t>
        </is>
      </c>
      <c r="F125" s="11" t="inlineStr">
        <is>
          <t>REPORT OF THE DIRECTORS 董事會報告 SHARE OPTION SCHEME (Continued) 購股權計劃（續） 3. Subscription Price 3. 認購價 The Subscription Price shall be determined by the 認購價須由董事會釐定，並於向合 Board and notified to an Eligible Participant at the time 資格參與者授出購股權（惟須根據任 the grant of the Option(s) (subject to any adjustments 何資本變更作出任何調整）時通知合 made pursuant to any alternation to capital) is made to 資格參與者（並須獲合資格參與者接 (and subject to acceptance by) the Eligible</t>
        </is>
      </c>
    </row>
    <row r="126">
      <c r="A126" s="8" t="inlineStr">
        <is>
          <t>Share-based Payment</t>
        </is>
      </c>
      <c r="B126" s="8" t="inlineStr">
        <is>
          <t>以股份為基礎的付款</t>
        </is>
      </c>
      <c r="C126" s="8" t="inlineStr">
        <is>
          <t>medium</t>
        </is>
      </c>
      <c r="D126" s="11" t="inlineStr">
        <is>
          <t>share option</t>
        </is>
      </c>
      <c r="E126" s="11" t="inlineStr">
        <is>
          <t>PDF p.41 (印刷頁 40)</t>
        </is>
      </c>
      <c r="F126" s="11" t="inlineStr">
        <is>
          <t>REPORT OF THE DIRECTORS 董事會報告 SHARE OPTION SCHEME (Continued) 購股權計劃（續） 4. Maximum Number of Shares (Continued) 4. 最高股份數目（續） (b) Subject to paragraph 4(c) below, within the Scheme (b) 根據下文第4(c)段，在計劃授 Mandate Limit, the total number of Shares which 權限額內，就根據二零二四 may be issued in respect of all Options to be 年購股權計劃將予授出的所 granted under the 2024 Share Option Scheme and 有購股權及根據本公司任何其 all options to be granted under any other share 他購</t>
        </is>
      </c>
    </row>
    <row r="127">
      <c r="A127" s="8" t="inlineStr">
        <is>
          <t>Share-based Payment</t>
        </is>
      </c>
      <c r="B127" s="8" t="inlineStr">
        <is>
          <t>以股份為基礎的付款</t>
        </is>
      </c>
      <c r="C127" s="8" t="inlineStr">
        <is>
          <t>medium</t>
        </is>
      </c>
      <c r="D127" s="11" t="inlineStr">
        <is>
          <t>share option</t>
        </is>
      </c>
      <c r="E127" s="11" t="inlineStr">
        <is>
          <t>PDF p.42 (印刷頁 41)</t>
        </is>
      </c>
      <c r="F127" s="11" t="inlineStr">
        <is>
          <t>REPORT OF THE DIRECTORS 董事會報告 SHARE OPTION SCHEME (Continued) 購股權計劃（續） 4. Maximum Number of Shares (Continued) 4. 最高股份數目（續） (d) The Company may seek approval by the (d) 本公司可於股東批准上次更新 Shareholders in general meeting for “refreshing” the 日期（或採納日期）起計三(3)年 Scheme Mandate Limit (and the Service Provider 後，於股東大會上尋求股東批 Sublimit) after three (3) years from date of the 准「更新」計劃授權限額（及服務 Shareholders’ approval for the last refreshment 提供商</t>
        </is>
      </c>
    </row>
    <row r="128">
      <c r="A128" s="8" t="inlineStr">
        <is>
          <t>Share-based Payment</t>
        </is>
      </c>
      <c r="B128" s="8" t="inlineStr">
        <is>
          <t>以股份為基礎的付款</t>
        </is>
      </c>
      <c r="C128" s="8" t="inlineStr">
        <is>
          <t>medium</t>
        </is>
      </c>
      <c r="D128" s="11" t="inlineStr">
        <is>
          <t>share option</t>
        </is>
      </c>
      <c r="E128" s="11" t="inlineStr">
        <is>
          <t>PDF p.43 (印刷頁 42)</t>
        </is>
      </c>
      <c r="F128" s="11" t="inlineStr">
        <is>
          <t>REPORT OF THE DIRECTORS 董事會報告 SHARE OPTION SCHEME (Continued) 購股權計劃（續） 4. Maximum Number of Shares (Continued) 4. 最高股份數目（續） (e) The total number of Shares which may be issued in (e) 就根據二零二四年購股權計劃 respect of all Options to be granted under the 2024 將予授出的所有購股權及根據 Share Option Scheme and all options to be granted 本公司任何其他購股權計劃將 under any other share option scheme(s) of the 予授出的所有購股權而言，根 Company under the Scheme Mandate Limit and t</t>
        </is>
      </c>
    </row>
    <row r="129">
      <c r="A129" s="8" t="inlineStr">
        <is>
          <t>Share-based Payment</t>
        </is>
      </c>
      <c r="B129" s="8" t="inlineStr">
        <is>
          <t>以股份為基礎的付款</t>
        </is>
      </c>
      <c r="C129" s="8" t="inlineStr">
        <is>
          <t>medium</t>
        </is>
      </c>
      <c r="D129" s="11" t="inlineStr">
        <is>
          <t>share option</t>
        </is>
      </c>
      <c r="E129" s="11" t="inlineStr">
        <is>
          <t>PDF p.44 (印刷頁 43)</t>
        </is>
      </c>
      <c r="F129" s="11" t="inlineStr">
        <is>
          <t>REPORT OF THE DIRECTORS 董事會報告 SHARE OPTION SCHEME (Continued) 購股權計劃（續） 4. Maximum Number of Shares (Continued) 4. 最高股份數目（續） (f) The Company may seek separate approval by (f) 本公司可就授出超過計劃授 the Shareholders in general meeting for granting 權限額（或經更新計劃授權限 Options beyond the Scheme Mandate Limit (or the 額，視情況而定）或服務提供 Refreshed Scheme Mandate Limit, as the case 商分項限額（或經更新服務提 may be) or the Service Provider Sublimit (or the 供商分項限額，視情況而</t>
        </is>
      </c>
    </row>
    <row r="130">
      <c r="A130" s="8" t="inlineStr">
        <is>
          <t>Share-based Payment</t>
        </is>
      </c>
      <c r="B130" s="8" t="inlineStr">
        <is>
          <t>以股份為基礎的付款</t>
        </is>
      </c>
      <c r="C130" s="8" t="inlineStr">
        <is>
          <t>medium</t>
        </is>
      </c>
      <c r="D130" s="11" t="inlineStr">
        <is>
          <t>share option</t>
        </is>
      </c>
      <c r="E130" s="11" t="inlineStr">
        <is>
          <t>PDF p.45 (印刷頁 44)</t>
        </is>
      </c>
      <c r="F130" s="11" t="inlineStr">
        <is>
          <t>REPORT OF THE DIRECTORS 董事會報告 SHARE OPTION SCHEME (Continued) 購股權計劃（續） 5. Maximum Entitlement of Each Eligible Participant 5. 各合資格參與者可獲購股權的上限 Where any grant of Options is proposed to be made to 倘建議向合資格參與者授出任何購 an Eligible Participant which, if accepted and exercised in 股權（如被接受並悉數行使）將導致 full, would result in the total number of Shares issued and 截至授出日期（包括該日）止12個月 which may fall to be issued upon the exercise of such 期間，根據二零二四年</t>
        </is>
      </c>
    </row>
    <row r="131">
      <c r="A131" s="8" t="inlineStr">
        <is>
          <t>Share-based Payment</t>
        </is>
      </c>
      <c r="B131" s="8" t="inlineStr">
        <is>
          <t>以股份為基礎的付款</t>
        </is>
      </c>
      <c r="C131" s="8" t="inlineStr">
        <is>
          <t>medium</t>
        </is>
      </c>
      <c r="D131" s="11" t="inlineStr">
        <is>
          <t>share option</t>
        </is>
      </c>
      <c r="E131" s="11" t="inlineStr">
        <is>
          <t>PDF p.46 (印刷頁 45)</t>
        </is>
      </c>
      <c r="F131" s="11" t="inlineStr">
        <is>
          <t>REPORT OF THE DIRECTORS 董事會報告 SHARE OPTION SCHEME (Continued) 購股權計劃（續） 6. Grant and Acceptance of Options 6. 授出及接受購股權 (a) On and subject to the terms of the 2024 Share (a) 根據二零二四年購股權計劃的 Option Scheme, the Board shall be entitled at any 條款及在其規限下，董事會有 time and from time to time during the Scheme 權於計劃期間隨時及不時向任 Period to grant to any Eligible Participant an Option 何合資格參與者授出購股權， to subscribe for such number of Shares (as may 以按董事會可</t>
        </is>
      </c>
    </row>
    <row r="132">
      <c r="A132" s="8" t="inlineStr">
        <is>
          <t>Share-based Payment</t>
        </is>
      </c>
      <c r="B132" s="8" t="inlineStr">
        <is>
          <t>以股份為基礎的付款</t>
        </is>
      </c>
      <c r="C132" s="8" t="inlineStr">
        <is>
          <t>medium</t>
        </is>
      </c>
      <c r="D132" s="11" t="inlineStr">
        <is>
          <t>share option</t>
        </is>
      </c>
      <c r="E132" s="11" t="inlineStr">
        <is>
          <t>PDF p.47 (印刷頁 46)</t>
        </is>
      </c>
      <c r="F132" s="11" t="inlineStr">
        <is>
          <t>REPORT OF THE DIRECTORS 董事會報告 SHARE OPTION SCHEME (Continued) 購股權計劃（續） 6. Grant and Acceptance of Options (Continued) 6. 授出及接受購股權（續） (b) An Offer shall be made to an Eligible Participant (b) 要約須以董事會不時釐定的形 by letter (the date of which shall be deemed to be 式致函合資格參與者（要約日 the date on which the grant of an Option (subject 期須被視為授出購股權（須經 to acceptance by the Eligible Participant) is made 合資格參與者接受）的日期（「授 (the “Grant Date”)) in such f</t>
        </is>
      </c>
    </row>
    <row r="133">
      <c r="A133" s="8" t="inlineStr">
        <is>
          <t>Share-based Payment</t>
        </is>
      </c>
      <c r="B133" s="8" t="inlineStr">
        <is>
          <t>以股份為基礎的付款</t>
        </is>
      </c>
      <c r="C133" s="8" t="inlineStr">
        <is>
          <t>medium</t>
        </is>
      </c>
      <c r="D133" s="11" t="inlineStr">
        <is>
          <t>share option</t>
        </is>
      </c>
      <c r="E133" s="11" t="inlineStr">
        <is>
          <t>PDF p.48 (印刷頁 47)</t>
        </is>
      </c>
      <c r="F133" s="11" t="inlineStr">
        <is>
          <t>REPORT OF THE DIRECTORS 董事會報告 SHARE OPTION SCHEME (Continued) 購股權計劃（續） 6. Grant and Acceptance of Options (Continued) 6. 授出及接受購股權（續） (d) The Board may not grant any Option to any Eligible (d) 倘有關任何合格參與者購股權 Participant if the Grant Date in respect of that 的授出日期發生，則董事會不 Option occurs: 得向其授予任何購股權： (i) after any inside information has come to its (i) 董事會及╱或本公司獲悉 knowledge of the Board and/or the Company 任何內幕消息後，直至 until (and inclu</t>
        </is>
      </c>
    </row>
    <row r="134">
      <c r="A134" s="8" t="inlineStr">
        <is>
          <t>Share-based Payment</t>
        </is>
      </c>
      <c r="B134" s="8" t="inlineStr">
        <is>
          <t>以股份為基礎的付款</t>
        </is>
      </c>
      <c r="C134" s="8" t="inlineStr">
        <is>
          <t>medium</t>
        </is>
      </c>
      <c r="D134" s="11" t="inlineStr">
        <is>
          <t>share option</t>
        </is>
      </c>
      <c r="E134" s="11" t="inlineStr">
        <is>
          <t>PDF p.49 (印刷頁 48)</t>
        </is>
      </c>
      <c r="F134" s="11" t="inlineStr">
        <is>
          <t>REPORT OF THE DIRECTORS 董事會報告 SHARE OPTION SCHEME (Continued) 購股權計劃（續） 7. Exercise and Transferability of Options (Continued) 7. 行使購股權及購股權的可轉讓性 （續） (b) An Option shall be personal to the Grantee and shall (b) 購股權屬承授人個人所有，不 not be transferrable or assignable and no Grantee 得轉讓或出讓。承授人不得以 shall in any way sell, transfer, assign, charge, 任何方式將任何購股權出售、 mortgage, encumber or create any interest in favour 轉讓、分配、押記、抵押、設 of any third p</t>
        </is>
      </c>
    </row>
    <row r="135">
      <c r="A135" s="8" t="inlineStr">
        <is>
          <t>Share-based Payment</t>
        </is>
      </c>
      <c r="B135" s="8" t="inlineStr">
        <is>
          <t>以股份為基礎的付款</t>
        </is>
      </c>
      <c r="C135" s="8" t="inlineStr">
        <is>
          <t>medium</t>
        </is>
      </c>
      <c r="D135" s="11" t="inlineStr">
        <is>
          <t>share option</t>
        </is>
      </c>
      <c r="E135" s="11" t="inlineStr">
        <is>
          <t>PDF p.50 (印刷頁 49)</t>
        </is>
      </c>
      <c r="F135" s="11" t="inlineStr">
        <is>
          <t>REPORT OF THE DIRECTORS 董事會報告 SHARE OPTION SCHEME (Continued) 購股權計劃（續） 9. Life and Termination of the 2024 Share Option 9. 二零二四年購股權計劃的有效期限 Scheme 及終止 The 2024 Share Option Scheme is valid and effective 二零二四年購股權計劃自採納日期 for a period (the “Scheme Period”) commencing on the 起至採納日期第十個週年（包括首 date of adoption and ending on the tenth anniversary 尾兩日）止之期間（「計劃期間」）有效 of the date of adoption (both dates inclusive). The 及生效。本公司可隨時藉股東於股 Com</t>
        </is>
      </c>
    </row>
    <row r="136">
      <c r="A136" s="8" t="inlineStr">
        <is>
          <t>Share-based Payment</t>
        </is>
      </c>
      <c r="B136" s="8" t="inlineStr">
        <is>
          <t>以股份為基礎的付款</t>
        </is>
      </c>
      <c r="C136" s="8" t="inlineStr">
        <is>
          <t>medium</t>
        </is>
      </c>
      <c r="D136" s="11" t="inlineStr">
        <is>
          <t>購股權</t>
        </is>
      </c>
      <c r="E136" s="11" t="inlineStr">
        <is>
          <t>PDF p.116 (印刷頁 115)</t>
        </is>
      </c>
      <c r="F136" s="11" t="inlineStr">
        <is>
          <t>2.3.9 股本 Ordinary shares are classified as equity. Incremental 普通股分類為權益。發行新股 costs directly attributable to the issue of new shares 或購股權直接所佔新增成本於 or options are shown in equity as a deduction, net 權益內列為所得款項之減少 of tax, from the proceeds. （扣除稅項）。 2.3.10 Trade and other payables 2.3.10 貿易及其他應付款項 Trade payables are obligations to pay for goods or 貿易應付款項為已於日常業務 services that have been acquired in the ordinary 過程中向供應商購入之貨品或 course of business from suppliers. Trade and other 服務付款之責任。除非貿易及 payables are presented as current liabilities</t>
        </is>
      </c>
    </row>
    <row r="137">
      <c r="A137" s="8" t="inlineStr">
        <is>
          <t>Share-based Payment</t>
        </is>
      </c>
      <c r="B137" s="8" t="inlineStr">
        <is>
          <t>以股份為基礎的付款</t>
        </is>
      </c>
      <c r="C137" s="8" t="inlineStr">
        <is>
          <t>medium</t>
        </is>
      </c>
      <c r="D137" s="11" t="inlineStr">
        <is>
          <t>share-based payment</t>
        </is>
      </c>
      <c r="E137" s="11" t="inlineStr">
        <is>
          <t>PDF p.125 (印刷頁 124)</t>
        </is>
      </c>
      <c r="F137" s="11" t="inlineStr">
        <is>
          <t>t would 通股獲轉換的情況 have been outstanding assuming the 下，所發行額外普 conversion of all dilutive potential ordinary 通股的加權平均 shares. 數。 2.3.17 Share-based payments 2.3.17 以股份為基礎之付款 (a) Equity-settled share-based payment (a) 以權益結算以股份為基礎 transactions 之付款交易 The Group operates an equity-settled, share- 本集團設有一項以權益結 based compensation plan, under which the 算、以股份為基礎之報酬 entity receives services from employees as 計劃，根據該計劃，實體 consideration for equity instruments (options) 收取僱員之服務以作為本 of the Group. The fair value of the employee 集團權益工具（購股權）之 servic</t>
        </is>
      </c>
    </row>
    <row r="138">
      <c r="A138" s="8" t="inlineStr">
        <is>
          <t>Share-based Payment</t>
        </is>
      </c>
      <c r="B138" s="8" t="inlineStr">
        <is>
          <t>以股份為基礎的付款</t>
        </is>
      </c>
      <c r="C138" s="8" t="inlineStr">
        <is>
          <t>medium</t>
        </is>
      </c>
      <c r="D138" s="11" t="inlineStr">
        <is>
          <t>share-based payment</t>
        </is>
      </c>
      <c r="E138" s="11" t="inlineStr">
        <is>
          <t>PDF p.126 (印刷頁 125)</t>
        </is>
      </c>
      <c r="F138" s="11" t="inlineStr">
        <is>
          <t>NTS 綜合財務報表附註 2 SUMMARY OF ACCOUNTING POLICIES 2 會計政策概要（續） (Continued) 2.3 Other Accounting policies (Continued) 2.3 其他會計政策（續） 2.3.17 Share-based payments (Continued) 2.3.17 以股份為基礎之付款（續） (a) Equity-settled share-based payment (a) 以權益結算以股份為基礎 transactions (Continued) 之付款交易（續） • including the impact of any non-vesting • 包括任何非歸屬條 conditions (for example, the requirement 件之影響（例如規定 for employees to save or holding shares 僱員儲蓄或於指定 for a specified period of time). 時間內持有股份）。 The total expense is recognised over the 總開支須於達致所有指定 vesting p</t>
        </is>
      </c>
    </row>
    <row r="139">
      <c r="A139" s="8" t="inlineStr">
        <is>
          <t>Share-based Payment</t>
        </is>
      </c>
      <c r="B139" s="8" t="inlineStr">
        <is>
          <t>以股份為基礎的付款</t>
        </is>
      </c>
      <c r="C139" s="8" t="inlineStr">
        <is>
          <t>medium</t>
        </is>
      </c>
      <c r="D139" s="11" t="inlineStr">
        <is>
          <t>share-based payment</t>
        </is>
      </c>
      <c r="E139" s="11" t="inlineStr">
        <is>
          <t>PDF p.208 (印刷頁 207)</t>
        </is>
      </c>
      <c r="F139" s="11" t="inlineStr">
        <is>
          <t>NOTES TO THE CONSOLIDATED FINANCIAL STATEMENTS 綜合財務報表附註 24 SHARE-BASED PAYMENTS 24 以股份為基礎之付款 The Company approved and adopted a share option 本公司已於二零二四年九月二十七 scheme (the “Scheme”) in the annual general meeting 日舉行之股東週年大會批准及採納 held on 27th September 2024. 一項購股權計劃（「該計劃」）。 As at 31st March 2026 and 2025, there was no options 於二零二六年及二零二五年三月三 outstanding. No new shares were granted during the 十一日，並無尚未行使之購股權。 years ended 31st March 2026 and 2025. 截至二零二六年及二零二五年三月</t>
        </is>
      </c>
    </row>
    <row r="140">
      <c r="A140" s="8" t="inlineStr">
        <is>
          <t>Related Party Transactions</t>
        </is>
      </c>
      <c r="B140" s="8" t="inlineStr">
        <is>
          <t>關聯方交易</t>
        </is>
      </c>
      <c r="C140" s="8" t="inlineStr">
        <is>
          <t>low</t>
        </is>
      </c>
      <c r="D140" s="11" t="inlineStr">
        <is>
          <t>related party</t>
        </is>
      </c>
      <c r="E140" s="11" t="inlineStr">
        <is>
          <t>PDF p.56 (印刷頁 55)</t>
        </is>
      </c>
      <c r="F140" s="11" t="inlineStr">
        <is>
          <t>s share capital) had an interest in these major 有該等主要供應商或客戶之權益。 suppliers or customers. CONNECTED TRANSACTIONS 關連交易 A summary of the related party transactions entered into by 本集團於截至二零二六年三月三十一日 the Group during the year ended 31st March 2026 is set out in 止年度訂立之有關連人士交易之概要載 Note 32 to the consolidated financial statements. 於綜合財務報表附註32。 SUFFICIENCY OF PUBLIC FLOAT 足夠公眾持股量 Based on the information that is publicly available to the 根據本公司可公開取得之資料及就本公 Company and within the knowledge of the Directors of the 司董事所知，本公司確認於本報告日期 Company,</t>
        </is>
      </c>
    </row>
    <row r="141">
      <c r="A141" s="8" t="inlineStr">
        <is>
          <t>Related Party Transactions</t>
        </is>
      </c>
      <c r="B141" s="8" t="inlineStr">
        <is>
          <t>關聯方交易</t>
        </is>
      </c>
      <c r="C141" s="8" t="inlineStr">
        <is>
          <t>low</t>
        </is>
      </c>
      <c r="D141" s="11" t="inlineStr">
        <is>
          <t>related party</t>
        </is>
      </c>
      <c r="E141" s="11" t="inlineStr">
        <is>
          <t>PDF p.222 (印刷頁 221)</t>
        </is>
      </c>
      <c r="F141" s="11" t="inlineStr">
        <is>
          <t>NOTES TO THE CONSOLIDATED FINANCIAL STATEMENTS 綜合財務報表附註 32 RELATED PARTY TRANSACTIONS 32 有關連人士交易 Save as disclosed in other notes to the consolidated 除綜合財務報表其他附註所披露者 financial statements, significant related party transactions, 外，本集團於日常業務過程中進行 which were carried out in the ordinary course of the 之重大有關連人士交易如下： Group’s business, are as follows: (a) Sales of services (a) 銷售服務 2026 2025 二零二六年 二零二五年 HK$’000 HK$’000 千港元 千港元 Rental income received/receivable fro</t>
        </is>
      </c>
    </row>
    <row r="142">
      <c r="A142" s="8" t="inlineStr">
        <is>
          <t>Related Party Transactions</t>
        </is>
      </c>
      <c r="B142" s="8" t="inlineStr">
        <is>
          <t>關聯方交易</t>
        </is>
      </c>
      <c r="C142" s="8" t="inlineStr">
        <is>
          <t>low</t>
        </is>
      </c>
      <c r="D142" s="11" t="inlineStr">
        <is>
          <t>related party</t>
        </is>
      </c>
      <c r="E142" s="11" t="inlineStr">
        <is>
          <t>PDF p.223 (印刷頁 222)</t>
        </is>
      </c>
      <c r="F142" s="11" t="inlineStr">
        <is>
          <t>NOTES TO THE CONSOLIDATED FINANCIAL STATEMENTS 綜合財務報表附註 32 RELATED PARTY TRANSACTIONS 32 有關連人士交易（續） (Continued) (c) Key management compensation (c) 主要管理人員補償 Key management personnel are deemed to 本集團董事會成員被視為主要 be the members of the Board of Directors of 管理人員，彼等須負責計劃、 the Group who have the responsibility for the 指示、控制及執行本集團之業 planning, directing, controlling and the execution 務。主要管理人員補償在綜合 of the activities of the Group. Key management 財務報表附註36(a)中披露。 com</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3"/>
  <sheetViews>
    <sheetView workbookViewId="0">
      <pane ySplit="21" topLeftCell="A22"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R&amp;D Expenses</t>
        </is>
      </c>
    </row>
    <row r="9">
      <c r="A9" s="8" t="inlineStr">
        <is>
          <t>Income Statement</t>
        </is>
      </c>
      <c r="B9" s="8" t="inlineStr">
        <is>
          <t>Depreciation</t>
        </is>
      </c>
    </row>
    <row r="10">
      <c r="A10" s="8" t="inlineStr">
        <is>
          <t>Income Statement</t>
        </is>
      </c>
      <c r="B10" s="8" t="inlineStr">
        <is>
          <t>Amortisation</t>
        </is>
      </c>
    </row>
    <row r="11">
      <c r="A11" s="8" t="inlineStr">
        <is>
          <t>Balance Sheet</t>
        </is>
      </c>
      <c r="B11" s="8" t="inlineStr">
        <is>
          <t>Cash and Equivalents</t>
        </is>
      </c>
    </row>
    <row r="12">
      <c r="A12" s="8" t="inlineStr">
        <is>
          <t>Balance Sheet</t>
        </is>
      </c>
      <c r="B12" s="8" t="inlineStr">
        <is>
          <t>Trade Receivables</t>
        </is>
      </c>
    </row>
    <row r="13">
      <c r="A13" s="8" t="inlineStr">
        <is>
          <t>Balance Sheet</t>
        </is>
      </c>
      <c r="B13" s="8" t="inlineStr">
        <is>
          <t>Goodwill</t>
        </is>
      </c>
    </row>
    <row r="14">
      <c r="A14" s="8" t="inlineStr">
        <is>
          <t>Balance Sheet</t>
        </is>
      </c>
      <c r="B14" s="8" t="inlineStr">
        <is>
          <t>Intangible Assets</t>
        </is>
      </c>
    </row>
    <row r="15">
      <c r="A15" s="8" t="inlineStr">
        <is>
          <t>Cash Flow</t>
        </is>
      </c>
      <c r="B15" s="8" t="inlineStr">
        <is>
          <t>Operating Cash Flow</t>
        </is>
      </c>
    </row>
    <row r="18">
      <c r="A18" s="5" t="inlineStr">
        <is>
          <t>二、文字量過低的頁面(疑似掃描頁)</t>
        </is>
      </c>
    </row>
    <row r="19">
      <c r="A19" s="2" t="inlineStr">
        <is>
          <t>這些頁面幾乎抓不到文字,通常是掃描件或純圖表,建議人手翻閱或另行 OCR。</t>
        </is>
      </c>
    </row>
    <row r="21">
      <c r="A21" s="7" t="inlineStr">
        <is>
          <t>PDF 頁碼</t>
        </is>
      </c>
      <c r="B21" s="7" t="inlineStr">
        <is>
          <t>狀態</t>
        </is>
      </c>
    </row>
    <row r="22">
      <c r="A22" s="8" t="n">
        <v>1</v>
      </c>
      <c r="B22" s="8" t="inlineStr">
        <is>
          <t>文字量過低 — 可能為掃描頁/圖表頁</t>
        </is>
      </c>
    </row>
    <row r="23">
      <c r="A23" s="8" t="n">
        <v>238</v>
      </c>
      <c r="B23" s="8"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2026-08-30T14:16:10Z</dcterms:created>
  <dcterms:modified xsi:type="dcterms:W3CDTF">2026-08-30T14:16:10Z</dcterms:modified>
</cp:coreProperties>
</file>
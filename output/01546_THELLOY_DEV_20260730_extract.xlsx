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趨勢圖'!$A$5:$A$7</f>
            </numRef>
          </cat>
          <val>
            <numRef>
              <f>'Chart 趨勢圖'!$B$5:$B$7</f>
            </numRef>
          </val>
        </ser>
        <ser>
          <idx val="1"/>
          <order val="1"/>
          <tx>
            <strRef>
              <f>'Chart 趨勢圖'!C4</f>
            </strRef>
          </tx>
          <spPr>
            <a:ln>
              <a:prstDash val="solid"/>
            </a:ln>
          </spPr>
          <cat>
            <numRef>
              <f>'Chart 趨勢圖'!$A$5:$A$7</f>
            </numRef>
          </cat>
          <val>
            <numRef>
              <f>'Chart 趨勢圖'!$C$5:$C$7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01546_THELLOY_DEV_20260730.pdf</t>
        </is>
      </c>
    </row>
    <row r="5">
      <c r="A5" s="3" t="inlineStr">
        <is>
          <t>產生時間 Generated</t>
        </is>
      </c>
      <c r="B5" s="4" t="inlineStr">
        <is>
          <t>2026-08-30 22:15</t>
        </is>
      </c>
    </row>
    <row r="6">
      <c r="A6" s="4" t="inlineStr"/>
      <c r="B6" s="4" t="inlineStr"/>
    </row>
    <row r="7">
      <c r="A7" s="3" t="inlineStr">
        <is>
          <t>總頁數 Total pages</t>
        </is>
      </c>
      <c r="B7" s="4" t="n">
        <v>163</v>
      </c>
    </row>
    <row r="8">
      <c r="A8" s="3" t="inlineStr">
        <is>
          <t>已擷取字元 Characters extracted</t>
        </is>
      </c>
      <c r="B8" s="4" t="n">
        <v>386347</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v>
      </c>
    </row>
    <row r="13">
      <c r="A13" s="3" t="inlineStr">
        <is>
          <t>財務科目擷取筆數 Financial line items</t>
        </is>
      </c>
      <c r="B13" s="4" t="n">
        <v>13</v>
      </c>
    </row>
    <row r="14">
      <c r="A14" s="3" t="inlineStr">
        <is>
          <t>主題段落擷取筆數 Topic extracts</t>
        </is>
      </c>
      <c r="B14" s="4" t="n">
        <v>65</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178,018 − 229,113 = -51,095</t>
        </is>
      </c>
    </row>
    <row r="20">
      <c r="A20" s="6" t="inlineStr">
        <is>
          <t>✓ 三大報表應相鄰</t>
        </is>
      </c>
      <c r="B20" s="4" t="inlineStr">
        <is>
          <t>Income Statement: p.104、Balance Sheet: p.105、Cash Flow: p.108(相距 4 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2.1</v>
      </c>
      <c r="D5" s="10" t="n">
        <v>2.1</v>
      </c>
      <c r="E5" s="11" t="inlineStr">
        <is>
          <t>2.1%</t>
        </is>
      </c>
      <c r="F5" s="11" t="inlineStr">
        <is>
          <t>High</t>
        </is>
      </c>
      <c r="G5" s="11" t="inlineStr">
        <is>
          <t>PDF p.8 (印刷頁 7)</t>
        </is>
      </c>
      <c r="H5" s="11" t="inlineStr">
        <is>
          <t>se was mainly in line with the increase of revenue during the Year. The overall gross profit margin remained stable at approximately 2.1% for the Previous Year and 2.5% for the Year. Other Income During the Year, the Group’s other income mainly represented ba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470425</v>
      </c>
      <c r="D5" s="13" t="n">
        <v>400168</v>
      </c>
      <c r="E5" s="14">
        <f>IF(ISERROR((C5-D5)/ABS(D5)),"",(C5-D5)/ABS(D5))</f>
        <v>0.17556876112032946</v>
      </c>
      <c r="F5" s="11" t="inlineStr">
        <is>
          <t>PDF p.104 (印刷頁 103)</t>
        </is>
      </c>
      <c r="G5" s="11" t="inlineStr">
        <is>
          <t>Revenue 5 470,425 400,168</t>
        </is>
      </c>
    </row>
    <row r="6">
      <c r="A6" s="8" t="inlineStr">
        <is>
          <t>Income Statement</t>
        </is>
      </c>
      <c r="B6" s="8" t="inlineStr">
        <is>
          <t>Gross Profit</t>
        </is>
      </c>
      <c r="C6" s="12" t="n">
        <v>11671</v>
      </c>
      <c r="D6" s="13" t="n">
        <v>8268</v>
      </c>
      <c r="E6" s="14">
        <f>IF(ISERROR((C6-D6)/ABS(D6)),"",(C6-D6)/ABS(D6))</f>
        <v>0.4115868408321238</v>
      </c>
      <c r="F6" s="11" t="inlineStr">
        <is>
          <t>PDF p.104 (印刷頁 103)</t>
        </is>
      </c>
      <c r="G6" s="11" t="inlineStr">
        <is>
          <t>Gross profit 11,671 8,268</t>
        </is>
      </c>
    </row>
    <row r="7">
      <c r="A7" s="8" t="inlineStr">
        <is>
          <t>Income Statement</t>
        </is>
      </c>
      <c r="B7" s="8" t="inlineStr">
        <is>
          <t>Finance Costs</t>
        </is>
      </c>
      <c r="C7" s="12" t="n">
        <v>-7070</v>
      </c>
      <c r="D7" s="13" t="n">
        <v>-7436</v>
      </c>
      <c r="E7" s="14">
        <f>IF(ISERROR((C7-D7)/ABS(D7)),"",(C7-D7)/ABS(D7))</f>
        <v>0.0492200107584723</v>
      </c>
      <c r="F7" s="11" t="inlineStr">
        <is>
          <t>PDF p.104 (印刷頁 103)</t>
        </is>
      </c>
      <c r="G7" s="11" t="inlineStr">
        <is>
          <t>Finance costs 9 (7,070) (7,436)</t>
        </is>
      </c>
    </row>
    <row r="8">
      <c r="A8" s="8" t="inlineStr">
        <is>
          <t>Income Statement</t>
        </is>
      </c>
      <c r="B8" s="8" t="inlineStr">
        <is>
          <t>Profit Before Tax</t>
        </is>
      </c>
      <c r="C8" s="12" t="n">
        <v>-33621</v>
      </c>
      <c r="D8" s="13" t="n">
        <v>-51599</v>
      </c>
      <c r="E8" s="14">
        <f>IF(ISERROR((C8-D8)/ABS(D8)),"",(C8-D8)/ABS(D8))</f>
        <v>0.3484176049923448</v>
      </c>
      <c r="F8" s="11" t="inlineStr">
        <is>
          <t>PDF p.104 (印刷頁 103)</t>
        </is>
      </c>
      <c r="G8" s="11" t="inlineStr">
        <is>
          <t>Loss before tax 10 (33,621) (51,599)</t>
        </is>
      </c>
    </row>
    <row r="9">
      <c r="A9" s="8" t="inlineStr">
        <is>
          <t>Income Statement</t>
        </is>
      </c>
      <c r="B9" s="8" t="inlineStr">
        <is>
          <t>Income Tax</t>
        </is>
      </c>
      <c r="C9" s="12" t="n">
        <v>144</v>
      </c>
      <c r="D9" s="13" t="n">
        <v>241</v>
      </c>
      <c r="E9" s="14">
        <f>IF(ISERROR((C9-D9)/ABS(D9)),"",(C9-D9)/ABS(D9))</f>
        <v>-0.4024896265560166</v>
      </c>
      <c r="F9" s="11" t="inlineStr">
        <is>
          <t>PDF p.104 (印刷頁 103)</t>
        </is>
      </c>
      <c r="G9" s="11" t="inlineStr">
        <is>
          <t>Income tax credit 11 144 241</t>
        </is>
      </c>
    </row>
    <row r="10">
      <c r="A10" s="8" t="inlineStr">
        <is>
          <t>Balance Sheet</t>
        </is>
      </c>
      <c r="B10" s="8" t="inlineStr">
        <is>
          <t>Property Plant and Equipment</t>
        </is>
      </c>
      <c r="C10" s="12" t="n">
        <v>84434</v>
      </c>
      <c r="D10" s="13" t="n">
        <v>89698</v>
      </c>
      <c r="E10" s="14">
        <f>IF(ISERROR((C10-D10)/ABS(D10)),"",(C10-D10)/ABS(D10))</f>
        <v>-0.05868581239269549</v>
      </c>
      <c r="F10" s="11" t="inlineStr">
        <is>
          <t>PDF p.105 (印刷頁 104)</t>
        </is>
      </c>
      <c r="G10" s="11" t="inlineStr">
        <is>
          <t>Property, plant and equipment 14 84,434 89,698</t>
        </is>
      </c>
    </row>
    <row r="11">
      <c r="A11" s="8" t="inlineStr">
        <is>
          <t>Balance Sheet</t>
        </is>
      </c>
      <c r="B11" s="8" t="inlineStr">
        <is>
          <t>Trade Receivables</t>
        </is>
      </c>
      <c r="C11" s="12" t="n">
        <v>40348</v>
      </c>
      <c r="D11" s="13" t="n">
        <v>59597</v>
      </c>
      <c r="E11" s="14">
        <f>IF(ISERROR((C11-D11)/ABS(D11)),"",(C11-D11)/ABS(D11))</f>
        <v>-0.32298605634511807</v>
      </c>
      <c r="F11" s="11" t="inlineStr">
        <is>
          <t>PDF p.105 (印刷頁 104)</t>
        </is>
      </c>
      <c r="G11" s="11" t="inlineStr">
        <is>
          <t>Trade and other receivables 17 40,348 59,597</t>
        </is>
      </c>
    </row>
    <row r="12">
      <c r="A12" s="8" t="inlineStr">
        <is>
          <t>Balance Sheet</t>
        </is>
      </c>
      <c r="B12" s="8" t="inlineStr">
        <is>
          <t>Cash and Equivalents</t>
        </is>
      </c>
      <c r="C12" s="12" t="n">
        <v>30692</v>
      </c>
      <c r="D12" s="13" t="n">
        <v>31381</v>
      </c>
      <c r="E12" s="14">
        <f>IF(ISERROR((C12-D12)/ABS(D12)),"",(C12-D12)/ABS(D12))</f>
        <v>-0.021955960613109844</v>
      </c>
      <c r="F12" s="11" t="inlineStr">
        <is>
          <t>PDF p.105 (印刷頁 104)</t>
        </is>
      </c>
      <c r="G12" s="11" t="inlineStr">
        <is>
          <t>Cash and cash equivalents 19 30,692 31,381</t>
        </is>
      </c>
    </row>
    <row r="13">
      <c r="A13" s="8" t="inlineStr">
        <is>
          <t>Balance Sheet</t>
        </is>
      </c>
      <c r="B13" s="8" t="inlineStr">
        <is>
          <t>Borrowings</t>
        </is>
      </c>
      <c r="C13" s="12" t="n">
        <v>138872</v>
      </c>
      <c r="D13" s="13" t="n">
        <v>154420</v>
      </c>
      <c r="E13" s="14">
        <f>IF(ISERROR((C13-D13)/ABS(D13)),"",(C13-D13)/ABS(D13))</f>
        <v>-0.10068643958036524</v>
      </c>
      <c r="F13" s="11" t="inlineStr">
        <is>
          <t>PDF p.105 (印刷頁 104)</t>
        </is>
      </c>
      <c r="G13" s="11" t="inlineStr">
        <is>
          <t>Bank borrowings 24 138,872 154,420</t>
        </is>
      </c>
    </row>
    <row r="14">
      <c r="A14" s="8" t="inlineStr">
        <is>
          <t>Balance Sheet</t>
        </is>
      </c>
      <c r="B14" s="8" t="inlineStr">
        <is>
          <t>Total Current Assets</t>
        </is>
      </c>
      <c r="C14" s="12" t="n">
        <v>178018</v>
      </c>
      <c r="D14" s="13" t="n">
        <v>199467</v>
      </c>
      <c r="E14" s="14">
        <f>IF(ISERROR((C14-D14)/ABS(D14)),"",(C14-D14)/ABS(D14))</f>
        <v>-0.10753157163841638</v>
      </c>
      <c r="F14" s="11" t="inlineStr">
        <is>
          <t>PDF p.105 (印刷頁 104)</t>
        </is>
      </c>
      <c r="G14" s="11" t="inlineStr">
        <is>
          <t>[current assets 區段小計] 178,018 199,467</t>
        </is>
      </c>
    </row>
    <row r="15">
      <c r="A15" s="8" t="inlineStr">
        <is>
          <t>Balance Sheet</t>
        </is>
      </c>
      <c r="B15" s="8" t="inlineStr">
        <is>
          <t>Total Current Liabilities</t>
        </is>
      </c>
      <c r="C15" s="12" t="n">
        <v>229113</v>
      </c>
      <c r="D15" s="13" t="n">
        <v>280003</v>
      </c>
      <c r="E15" s="14">
        <f>IF(ISERROR((C15-D15)/ABS(D15)),"",(C15-D15)/ABS(D15))</f>
        <v>-0.18174805269943536</v>
      </c>
      <c r="F15" s="11" t="inlineStr">
        <is>
          <t>PDF p.105 (印刷頁 104)</t>
        </is>
      </c>
      <c r="G15" s="11" t="inlineStr">
        <is>
          <t>[current liabilities 區段小計] 229,113 280,003</t>
        </is>
      </c>
    </row>
    <row r="16">
      <c r="A16" s="8" t="inlineStr">
        <is>
          <t>Cash Flow</t>
        </is>
      </c>
      <c r="B16" s="8" t="inlineStr">
        <is>
          <t>Capital Expenditure</t>
        </is>
      </c>
      <c r="C16" s="12" t="n">
        <v>-150</v>
      </c>
      <c r="D16" s="13" t="n">
        <v>-803</v>
      </c>
      <c r="E16" s="14">
        <f>IF(ISERROR((C16-D16)/ABS(D16)),"",(C16-D16)/ABS(D16))</f>
        <v>0.813200498132005</v>
      </c>
      <c r="F16" s="11" t="inlineStr">
        <is>
          <t>PDF p.108 (印刷頁 107)</t>
        </is>
      </c>
      <c r="G16" s="11" t="inlineStr">
        <is>
          <t>Purchase of property, plant and equipment (150) (803)</t>
        </is>
      </c>
    </row>
    <row r="17">
      <c r="A17" s="8" t="inlineStr">
        <is>
          <t>Cash Flow</t>
        </is>
      </c>
      <c r="B17" s="8" t="inlineStr">
        <is>
          <t>Financing Cash Flow</t>
        </is>
      </c>
      <c r="C17" s="12" t="n">
        <v>31230</v>
      </c>
      <c r="D17" s="13" t="n">
        <v>73438</v>
      </c>
      <c r="E17" s="14">
        <f>IF(ISERROR((C17-D17)/ABS(D17)),"",(C17-D17)/ABS(D17))</f>
        <v>-0.5747433208965386</v>
      </c>
      <c r="F17" s="11" t="inlineStr">
        <is>
          <t>PDF p.109 (印刷頁 108)</t>
        </is>
      </c>
      <c r="G17" s="11" t="inlineStr">
        <is>
          <t>NET CASH FROM FINANCING ACTIVITIES 31,230 73,438</t>
        </is>
      </c>
    </row>
    <row r="19">
      <c r="A19"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財務數據'!$C$5:$C$17,MATCH("Gross Profit",'Financials 財務數據'!$B$5:$B$17,0))/INDEX('Financials 財務數據'!$C$5:$C$17,MATCH("Revenue",'Financials 財務數據'!$B$5:$B$17,0))),"n/a",INDEX('Financials 財務數據'!$C$5:$C$17,MATCH("Gross Profit",'Financials 財務數據'!$B$5:$B$17,0))/INDEX('Financials 財務數據'!$C$5:$C$17,MATCH("Revenue",'Financials 財務數據'!$B$5:$B$17,0)))</f>
        <v>0.02480948078864856</v>
      </c>
      <c r="C5" s="15">
        <f>IF(ISERROR(INDEX('Financials 財務數據'!$D$5:$D$17,MATCH("Gross Profit",'Financials 財務數據'!$B$5:$B$17,0))/INDEX('Financials 財務數據'!$D$5:$D$17,MATCH("Revenue",'Financials 財務數據'!$B$5:$B$17,0))),"n/a",INDEX('Financials 財務數據'!$D$5:$D$17,MATCH("Gross Profit",'Financials 財務數據'!$B$5:$B$17,0))/INDEX('Financials 財務數據'!$D$5:$D$17,MATCH("Revenue",'Financials 財務數據'!$B$5:$B$17,0)))</f>
        <v>0.020661322244657245</v>
      </c>
      <c r="D5" s="2" t="inlineStr">
        <is>
          <t>毛利 ÷ 收入</t>
        </is>
      </c>
    </row>
    <row r="6">
      <c r="A6" s="4" t="inlineStr">
        <is>
          <t>Net Margin 淨利率</t>
        </is>
      </c>
      <c r="B6" s="15" t="str">
        <f>IF(ISERROR(INDEX('Financials 財務數據'!$C$5:$C$17,MATCH("Profit for the Year",'Financials 財務數據'!$B$5:$B$17,0))/INDEX('Financials 財務數據'!$C$5:$C$17,MATCH("Revenue",'Financials 財務數據'!$B$5:$B$17,0))),"n/a",INDEX('Financials 財務數據'!$C$5:$C$17,MATCH("Profit for the Year",'Financials 財務數據'!$B$5:$B$17,0))/INDEX('Financials 財務數據'!$C$5:$C$17,MATCH("Revenue",'Financials 財務數據'!$B$5:$B$17,0)))</f>
        <v>n/a</v>
      </c>
      <c r="C6" s="15" t="str">
        <f>IF(ISERROR(INDEX('Financials 財務數據'!$D$5:$D$17,MATCH("Profit for the Year",'Financials 財務數據'!$B$5:$B$17,0))/INDEX('Financials 財務數據'!$D$5:$D$17,MATCH("Revenue",'Financials 財務數據'!$B$5:$B$17,0))),"n/a",INDEX('Financials 財務數據'!$D$5:$D$17,MATCH("Profit for the Year",'Financials 財務數據'!$B$5:$B$17,0))/INDEX('Financials 財務數據'!$D$5:$D$17,MATCH("Revenue",'Financials 財務數據'!$B$5:$B$17,0)))</f>
        <v>n/a</v>
      </c>
      <c r="D6" s="2" t="inlineStr">
        <is>
          <t>年內溢利 ÷ 收入</t>
        </is>
      </c>
    </row>
    <row r="7">
      <c r="A7" s="4" t="inlineStr">
        <is>
          <t>Current Ratio 流動比率</t>
        </is>
      </c>
      <c r="B7" s="16">
        <f>IF(ISERROR(INDEX('Financials 財務數據'!$C$5:$C$17,MATCH("Total Current Assets",'Financials 財務數據'!$B$5:$B$17,0))/INDEX('Financials 財務數據'!$C$5:$C$17,MATCH("Total Current Liabilities",'Financials 財務數據'!$B$5:$B$17,0))),"n/a",INDEX('Financials 財務數據'!$C$5:$C$17,MATCH("Total Current Assets",'Financials 財務數據'!$B$5:$B$17,0))/INDEX('Financials 財務數據'!$C$5:$C$17,MATCH("Total Current Liabilities",'Financials 財務數據'!$B$5:$B$17,0)))</f>
        <v>0.7769877745915771</v>
      </c>
      <c r="C7" s="16">
        <f>IF(ISERROR(INDEX('Financials 財務數據'!$D$5:$D$17,MATCH("Total Current Assets",'Financials 財務數據'!$B$5:$B$17,0))/INDEX('Financials 財務數據'!$D$5:$D$17,MATCH("Total Current Liabilities",'Financials 財務數據'!$B$5:$B$17,0))),"n/a",INDEX('Financials 財務數據'!$D$5:$D$17,MATCH("Total Current Assets",'Financials 財務數據'!$B$5:$B$17,0))/INDEX('Financials 財務數據'!$D$5:$D$17,MATCH("Total Current Liabilities",'Financials 財務數據'!$B$5:$B$17,0)))</f>
        <v>0.7123745102731042</v>
      </c>
      <c r="D7" s="2" t="inlineStr">
        <is>
          <t>流動資產 ÷ 流動負債</t>
        </is>
      </c>
    </row>
    <row r="8">
      <c r="A8" s="4" t="inlineStr">
        <is>
          <t>Debt / Equity 負債權益比</t>
        </is>
      </c>
      <c r="B8" s="16" t="str">
        <f>IF(ISERROR(INDEX('Financials 財務數據'!$C$5:$C$17,MATCH("Total Liabilities",'Financials 財務數據'!$B$5:$B$17,0))/INDEX('Financials 財務數據'!$C$5:$C$17,MATCH("Total Equity",'Financials 財務數據'!$B$5:$B$17,0))),"n/a",INDEX('Financials 財務數據'!$C$5:$C$17,MATCH("Total Liabilities",'Financials 財務數據'!$B$5:$B$17,0))/INDEX('Financials 財務數據'!$C$5:$C$17,MATCH("Total Equity",'Financials 財務數據'!$B$5:$B$17,0)))</f>
        <v>n/a</v>
      </c>
      <c r="C8" s="16" t="str">
        <f>IF(ISERROR(INDEX('Financials 財務數據'!$D$5:$D$17,MATCH("Total Liabilities",'Financials 財務數據'!$B$5:$B$17,0))/INDEX('Financials 財務數據'!$D$5:$D$17,MATCH("Total Equity",'Financials 財務數據'!$B$5:$B$17,0))),"n/a",INDEX('Financials 財務數據'!$D$5:$D$17,MATCH("Total Liabilities",'Financials 財務數據'!$B$5:$B$17,0))/INDEX('Financials 財務數據'!$D$5:$D$17,MATCH("Total Equity",'Financials 財務數據'!$B$5:$B$17,0)))</f>
        <v>n/a</v>
      </c>
      <c r="D8" s="2" t="inlineStr">
        <is>
          <t>總負債 ÷ 總權益</t>
        </is>
      </c>
    </row>
    <row r="9">
      <c r="A9" s="4" t="inlineStr">
        <is>
          <t>Goodwill / Total Assets</t>
        </is>
      </c>
      <c r="B9" s="15" t="str">
        <f>IF(ISERROR(INDEX('Financials 財務數據'!$C$5:$C$17,MATCH("Goodwill",'Financials 財務數據'!$B$5:$B$17,0))/INDEX('Financials 財務數據'!$C$5:$C$17,MATCH("Total Assets",'Financials 財務數據'!$B$5:$B$17,0))),"n/a",INDEX('Financials 財務數據'!$C$5:$C$17,MATCH("Goodwill",'Financials 財務數據'!$B$5:$B$17,0))/INDEX('Financials 財務數據'!$C$5:$C$17,MATCH("Total Assets",'Financials 財務數據'!$B$5:$B$17,0)))</f>
        <v>n/a</v>
      </c>
      <c r="C9" s="15" t="str">
        <f>IF(ISERROR(INDEX('Financials 財務數據'!$D$5:$D$17,MATCH("Goodwill",'Financials 財務數據'!$B$5:$B$17,0))/INDEX('Financials 財務數據'!$D$5:$D$17,MATCH("Total Assets",'Financials 財務數據'!$B$5:$B$17,0))),"n/a",INDEX('Financials 財務數據'!$D$5:$D$17,MATCH("Goodwill",'Financials 財務數據'!$B$5:$B$17,0))/INDEX('Financials 財務數據'!$D$5:$D$17,MATCH("Total Assets",'Financials 財務數據'!$B$5:$B$17,0)))</f>
        <v>n/a</v>
      </c>
      <c r="D9" s="2" t="inlineStr">
        <is>
          <t>商譽佔總資產比重 — 減值風險指標</t>
        </is>
      </c>
    </row>
    <row r="10">
      <c r="A10" s="4" t="inlineStr">
        <is>
          <t>Intangibles / Total Assets</t>
        </is>
      </c>
      <c r="B10" s="15" t="str">
        <f>IF(ISERROR(INDEX('Financials 財務數據'!$C$5:$C$17,MATCH("Intangible Assets",'Financials 財務數據'!$B$5:$B$17,0))/INDEX('Financials 財務數據'!$C$5:$C$17,MATCH("Total Assets",'Financials 財務數據'!$B$5:$B$17,0))),"n/a",INDEX('Financials 財務數據'!$C$5:$C$17,MATCH("Intangible Assets",'Financials 財務數據'!$B$5:$B$17,0))/INDEX('Financials 財務數據'!$C$5:$C$17,MATCH("Total Assets",'Financials 財務數據'!$B$5:$B$17,0)))</f>
        <v>n/a</v>
      </c>
      <c r="C10" s="15" t="str">
        <f>IF(ISERROR(INDEX('Financials 財務數據'!$D$5:$D$17,MATCH("Intangible Assets",'Financials 財務數據'!$B$5:$B$17,0))/INDEX('Financials 財務數據'!$D$5:$D$17,MATCH("Total Assets",'Financials 財務數據'!$B$5:$B$17,0))),"n/a",INDEX('Financials 財務數據'!$D$5:$D$17,MATCH("Intangible Assets",'Financials 財務數據'!$B$5:$B$17,0))/INDEX('Financials 財務數據'!$D$5:$D$17,MATCH("Total Assets",'Financials 財務數據'!$B$5:$B$17,0)))</f>
        <v>n/a</v>
      </c>
      <c r="D10" s="2" t="inlineStr">
        <is>
          <t>無形資產佔比</t>
        </is>
      </c>
    </row>
    <row r="11">
      <c r="A11" s="4" t="inlineStr">
        <is>
          <t>ROE 股本回報率</t>
        </is>
      </c>
      <c r="B11" s="15" t="str">
        <f>IF(ISERROR(INDEX('Financials 財務數據'!$C$5:$C$17,MATCH("Profit for the Year",'Financials 財務數據'!$B$5:$B$17,0))/INDEX('Financials 財務數據'!$C$5:$C$17,MATCH("Total Equity",'Financials 財務數據'!$B$5:$B$17,0))),"n/a",INDEX('Financials 財務數據'!$C$5:$C$17,MATCH("Profit for the Year",'Financials 財務數據'!$B$5:$B$17,0))/INDEX('Financials 財務數據'!$C$5:$C$17,MATCH("Total Equity",'Financials 財務數據'!$B$5:$B$17,0)))</f>
        <v>n/a</v>
      </c>
      <c r="C11" s="15" t="str">
        <f>IF(ISERROR(INDEX('Financials 財務數據'!$D$5:$D$17,MATCH("Profit for the Year",'Financials 財務數據'!$B$5:$B$17,0))/INDEX('Financials 財務數據'!$D$5:$D$17,MATCH("Total Equity",'Financials 財務數據'!$B$5:$B$17,0))),"n/a",INDEX('Financials 財務數據'!$D$5:$D$17,MATCH("Profit for the Year",'Financials 財務數據'!$B$5:$B$17,0))/INDEX('Financials 財務數據'!$D$5:$D$17,MATCH("Total Equity",'Financials 財務數據'!$B$5:$B$17,0)))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400168</v>
      </c>
      <c r="C5" s="18" t="n">
        <v>470425</v>
      </c>
    </row>
    <row r="6">
      <c r="A6" s="4" t="inlineStr">
        <is>
          <t>Gross Profit</t>
        </is>
      </c>
      <c r="B6" s="18" t="n">
        <v>8268</v>
      </c>
      <c r="C6" s="18" t="n">
        <v>11671</v>
      </c>
    </row>
    <row r="7">
      <c r="A7" s="4" t="inlineStr">
        <is>
          <t>Profit Before Tax</t>
        </is>
      </c>
      <c r="B7" s="18" t="n">
        <v>-51599</v>
      </c>
      <c r="C7" s="18" t="n">
        <v>-33621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68"/>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Impairment Testing</t>
        </is>
      </c>
      <c r="B4" s="8" t="inlineStr">
        <is>
          <t>減值測試</t>
        </is>
      </c>
      <c r="C4" s="19" t="inlineStr">
        <is>
          <t>high</t>
        </is>
      </c>
      <c r="D4" s="11" t="inlineStr">
        <is>
          <t>impairment loss</t>
        </is>
      </c>
      <c r="E4" s="11" t="inlineStr">
        <is>
          <t>PDF p.104 (印刷頁 103)</t>
        </is>
      </c>
      <c r="F4" s="11" t="inlineStr">
        <is>
          <t>OTES HK$’000 HK$’000 Revenue 5 470,425 400,168 Direct costs (458,754) (391,900) Gross profit 11,671 8,268 Other income 7 3,867 2,107 Impairment losses reversed (recognised) under expected credit loss model, net 8 170 (183) Impairment loss on amount due from a joint venture 16 (3,766) – Administrative expenses (35,058) (34,824) Share of losses of joint ventures (3,435) (19,531) Finance costs 9 (7,070) (7,436) Loss before tax 10 (33,621) (51,599) Income tax credit 11 144 241 Loss and total comprehensive expense for the year (33,4</t>
        </is>
      </c>
    </row>
    <row r="5">
      <c r="A5" s="8" t="inlineStr">
        <is>
          <t>Impairment Testing</t>
        </is>
      </c>
      <c r="B5" s="8" t="inlineStr">
        <is>
          <t>減值測試</t>
        </is>
      </c>
      <c r="C5" s="19" t="inlineStr">
        <is>
          <t>high</t>
        </is>
      </c>
      <c r="D5" s="11" t="inlineStr">
        <is>
          <t>impairment loss</t>
        </is>
      </c>
      <c r="E5" s="11" t="inlineStr">
        <is>
          <t>PDF p.108 (印刷頁 107)</t>
        </is>
      </c>
      <c r="F5" s="11" t="inlineStr">
        <is>
          <t>(51,599) Adjustments for: Depreciation of property, plant and equipment 5,414 5,676 Depreciation of right-of-use assets 2,351 2,415 Impairment losses (reversed) recognised under expected credit loss model, net (170) 183 Impairment loss on amount due from a joint venture 3,766 – Share of losses of a joint venture 3,435 19,531 Finance costs 7,070 7,436 Government grants (2,139) (474) Bank interest income (206) (111) Operating cash flows before movements in working capital (14,100) (16,943) Decrease (increase) in trade and other</t>
        </is>
      </c>
    </row>
    <row r="6">
      <c r="A6" s="8" t="inlineStr">
        <is>
          <t>Impairment Testing</t>
        </is>
      </c>
      <c r="B6" s="8" t="inlineStr">
        <is>
          <t>減值測試</t>
        </is>
      </c>
      <c r="C6" s="19" t="inlineStr">
        <is>
          <t>high</t>
        </is>
      </c>
      <c r="D6" s="11" t="inlineStr">
        <is>
          <t>recoverable amount</t>
        </is>
      </c>
      <c r="E6" s="11" t="inlineStr">
        <is>
          <t>PDF p.113 (印刷頁 112)</t>
        </is>
      </c>
      <c r="F6" s="11" t="inlineStr">
        <is>
          <t>to operate as a going concern and adjustments might have to be made to write down the carrying values of the Group’s assets to their recoverable amounts, to reclassify non-current liabilities as current liabilities with consideration of the contractual terms, or to recognize a liability for any contractual commitments that may have become onerous, where appropriate. The effects of these adjustments have not been reflected in the consolidated financial statements. 3.2 Material accounting policy information The consolidated finan</t>
        </is>
      </c>
    </row>
    <row r="7">
      <c r="A7" s="8" t="inlineStr">
        <is>
          <t>Impairment Testing</t>
        </is>
      </c>
      <c r="B7" s="8" t="inlineStr">
        <is>
          <t>減值測試</t>
        </is>
      </c>
      <c r="C7" s="19" t="inlineStr">
        <is>
          <t>high</t>
        </is>
      </c>
      <c r="D7" s="11" t="inlineStr">
        <is>
          <t>impairment loss</t>
        </is>
      </c>
      <c r="E7" s="11" t="inlineStr">
        <is>
          <t>PDF p.114 (印刷頁 113)</t>
        </is>
      </c>
      <c r="F7" s="11" t="inlineStr">
        <is>
          <t>set by comparing its recoverable amount (higher of value in use and fair value less costs of disposal) with its carrying amount. Any impairment loss recognised is not allocated to any asset, including goodwill, that forms part of the carrying amount of the investment. Any reversal of that impairment loss is recognised in accordance with HKAS 36 to the extent that the recoverable amount of the investment subsequently increases. When a group entity transacts with a joint venture of the Group, profits and losses resulting from the</t>
        </is>
      </c>
    </row>
    <row r="8">
      <c r="A8" s="8" t="inlineStr">
        <is>
          <t>Impairment Testing</t>
        </is>
      </c>
      <c r="B8" s="8" t="inlineStr">
        <is>
          <t>減值測試</t>
        </is>
      </c>
      <c r="C8" s="19" t="inlineStr">
        <is>
          <t>high</t>
        </is>
      </c>
      <c r="D8" s="11" t="inlineStr">
        <is>
          <t>impairment loss</t>
        </is>
      </c>
      <c r="E8" s="11" t="inlineStr">
        <is>
          <t>PDF p.116 (印刷頁 115)</t>
        </is>
      </c>
      <c r="F8" s="11" t="inlineStr">
        <is>
          <t>of the initial measurement of the lease liabilities. Right-of-use assets are measured at cost, less any accumulated depreciation and impairment losses, and adjusted for any remeasurement of lease liabilities. Right-of-use assets are depreciated on a straight-line basis over the shorter of its estimated useful life and the lease term. The Group presents right-of-use assets as a separate line item on the consolidated statement of financial position. Refundable rental deposits Refundable rental deposits paid are accounted under HK</t>
        </is>
      </c>
    </row>
    <row r="9">
      <c r="A9" s="8" t="inlineStr">
        <is>
          <t>Impairment Testing</t>
        </is>
      </c>
      <c r="B9" s="8" t="inlineStr">
        <is>
          <t>減值測試</t>
        </is>
      </c>
      <c r="C9" s="19" t="inlineStr">
        <is>
          <t>high</t>
        </is>
      </c>
      <c r="D9" s="11" t="inlineStr">
        <is>
          <t>impairment loss</t>
        </is>
      </c>
      <c r="E9" s="11" t="inlineStr">
        <is>
          <t>PDF p.118 (印刷頁 117)</t>
        </is>
      </c>
      <c r="F9" s="11" t="inlineStr">
        <is>
          <t>ment are stated in the consolidated statement of financial position at cost less subsequent accumulated depreciation and accumulated impairment losses, if any. When the Group makes payments for ownership interests of properties which includes both leasehold land and building elements, the entire consideration is allocated between the leasehold land and the building elements in proportion to the relative fair values at initial recognition. To the extent the allocation of the relevant payments can be made reliably, interest in le</t>
        </is>
      </c>
    </row>
    <row r="10">
      <c r="A10" s="8" t="inlineStr">
        <is>
          <t>Impairment Testing</t>
        </is>
      </c>
      <c r="B10" s="8" t="inlineStr">
        <is>
          <t>減值測試</t>
        </is>
      </c>
      <c r="C10" s="19" t="inlineStr">
        <is>
          <t>high</t>
        </is>
      </c>
      <c r="D10" s="11" t="inlineStr">
        <is>
          <t>impairment loss</t>
        </is>
      </c>
      <c r="E10" s="11" t="inlineStr">
        <is>
          <t>PDF p.131 (印刷頁 130)</t>
        </is>
      </c>
      <c r="F10" s="11" t="inlineStr">
        <is>
          <t>HK$474,000) for adoption of innovative constructive methods and new technology which is credited to income from deferred income. 8. Impairment Losses (Reversed) Recognised Under Expected Credit Loss Model, Net 2026 2025 HK$’000 HK$’000 Impairment losses (reversed) recognised on: – trade receivables (194) 248 – contract assets 24 (65) (170) 183 Details of impairment assessment are set out in note 34. 9. Finance Costs 2026 2025 HK$’000 HK$’000 Interests on: Bank borrowings 6,991 7,391 Lease liabilities 79 45 7,070 7,436 130 THEL</t>
        </is>
      </c>
    </row>
    <row r="11">
      <c r="A11" s="8" t="inlineStr">
        <is>
          <t>Impairment Testing</t>
        </is>
      </c>
      <c r="B11" s="8" t="inlineStr">
        <is>
          <t>減值測試</t>
        </is>
      </c>
      <c r="C11" s="19" t="inlineStr">
        <is>
          <t>high</t>
        </is>
      </c>
      <c r="D11" s="11" t="inlineStr">
        <is>
          <t>impairment loss</t>
        </is>
      </c>
      <c r="E11" s="11" t="inlineStr">
        <is>
          <t>PDF p.151 (印刷頁 150)</t>
        </is>
      </c>
      <c r="F11" s="11" t="inlineStr">
        <is>
          <t>rectors of the Company considers the worsening of financial performance of the joint venture for the year ended 31 March 2026 and an impairment loss of HK$3,766,000 (2025: Nil) is recognised on the amount due from a joint venture and the amount is charged to profit or loss for the year ended 31 March 2026. Pledged bank deposits/bank balances The credit risk on pledged bank deposits and bank balances is low because the counterparties are reputable banks with high credit ratings assigned by international credit-rating agencies, a</t>
        </is>
      </c>
    </row>
    <row r="12">
      <c r="A12" s="8" t="inlineStr">
        <is>
          <t>Impairment Testing</t>
        </is>
      </c>
      <c r="B12" s="8" t="inlineStr">
        <is>
          <t>減值測試</t>
        </is>
      </c>
      <c r="C12" s="19" t="inlineStr">
        <is>
          <t>high</t>
        </is>
      </c>
      <c r="D12" s="11" t="inlineStr">
        <is>
          <t>impairment loss</t>
        </is>
      </c>
      <c r="E12" s="11" t="inlineStr">
        <is>
          <t>PDF p.153 (印刷頁 152)</t>
        </is>
      </c>
      <c r="F12" s="11" t="inlineStr">
        <is>
          <t>credit- (creditimpaired) impaired) impaired) impaired) Total HK$’000 HK$’000 HK$’000 HK$’000 HK$’000 At 1 April 2024 88 – 88 – 176 Impairment losses reversed – – (65) – (65) New financial assets originated 248 – – – 248 At 31 March 2025 336 – 23 – 359 Impairment losses reversed (194) – – – (194) New financial assets originated – – 24 – 24 At 31 March 2026 142 – 47 – 189 152 THELLOY DEVELOPMENT GROUP LIMITED</t>
        </is>
      </c>
    </row>
    <row r="13">
      <c r="A13" s="8" t="inlineStr">
        <is>
          <t>Impairment Testing</t>
        </is>
      </c>
      <c r="B13" s="8" t="inlineStr">
        <is>
          <t>減值測試</t>
        </is>
      </c>
      <c r="C13" s="19" t="inlineStr">
        <is>
          <t>high</t>
        </is>
      </c>
      <c r="D13" s="11" t="inlineStr">
        <is>
          <t>impairment loss</t>
        </is>
      </c>
      <c r="E13" s="11" t="inlineStr">
        <is>
          <t>PDF p.154 (印刷頁 153)</t>
        </is>
      </c>
      <c r="F13" s="11" t="inlineStr">
        <is>
          <t>as been recognised for amount due from a joint venture: 12m ECL (not creditimpaired) HK$’000 At 1 April 2024 and 31 March 2025 389 Impairment loss recognised 3,766 At 31 March 2026 4,155 On 5 March 2021, the Group provided a guarantee to a bank in respect of bank facility to the World Partners up to a maximum amount of HK$124,000,000, provided that the liability of the Group in respect of any part of the guaranteed indebtedness shall be several with that of other joint venture partners, and be limited to 34.3% of the guarante</t>
        </is>
      </c>
    </row>
    <row r="14">
      <c r="A14" s="8" t="inlineStr">
        <is>
          <t>Intangible Assets &amp; Goodwill</t>
        </is>
      </c>
      <c r="B14" s="8" t="inlineStr">
        <is>
          <t>無形資產及商譽</t>
        </is>
      </c>
      <c r="C14" s="19" t="inlineStr">
        <is>
          <t>high</t>
        </is>
      </c>
      <c r="D14" s="11" t="inlineStr">
        <is>
          <t>licence</t>
        </is>
      </c>
      <c r="E14" s="11" t="inlineStr">
        <is>
          <t>PDF p.5 (印刷頁 4)</t>
        </is>
      </c>
      <c r="F14" s="11" t="inlineStr">
        <is>
          <t>se initiatives are expected to remain the primary drivers of construction activities in the years ahead. Equipped with the necessary licences and established expertise in public-sector works, the Group is confident in its ability to capture significant business opportunities from public capital projects and further strengthen its competitive position in the market. Financial prudence and cash flow management have become more critical than ever. The Group will implement disciplined fiscal controls, streamline operations to progr</t>
        </is>
      </c>
    </row>
    <row r="15">
      <c r="A15" s="8" t="inlineStr">
        <is>
          <t>Intangible Assets &amp; Goodwill</t>
        </is>
      </c>
      <c r="B15" s="8" t="inlineStr">
        <is>
          <t>無形資產及商譽</t>
        </is>
      </c>
      <c r="C15" s="19" t="inlineStr">
        <is>
          <t>high</t>
        </is>
      </c>
      <c r="D15" s="11" t="inlineStr">
        <is>
          <t>licence</t>
        </is>
      </c>
      <c r="E15" s="11" t="inlineStr">
        <is>
          <t>PDF p.7 (印刷頁 6)</t>
        </is>
      </c>
      <c r="F15" s="11" t="inlineStr">
        <is>
          <t>ding by the Government aimed at stimulating the economy will benefit the construction sector. Our Group, equipped with the necessary licences and expertise in public works, is confident in seizing significant business opportunities from public capital projects and enhancing our competitive position in the market. Our top priorities for the upcoming year will be on securing financial stability through disciplined fiscal management and streamlining operations to restore profitability. We will also (i) actively adopt innovative te</t>
        </is>
      </c>
    </row>
    <row r="16">
      <c r="A16" s="8" t="inlineStr">
        <is>
          <t>Intangible Assets &amp; Goodwill</t>
        </is>
      </c>
      <c r="B16" s="8" t="inlineStr">
        <is>
          <t>無形資產及商譽</t>
        </is>
      </c>
      <c r="C16" s="19" t="inlineStr">
        <is>
          <t>high</t>
        </is>
      </c>
      <c r="D16" s="11" t="inlineStr">
        <is>
          <t>licence</t>
        </is>
      </c>
      <c r="E16" s="11" t="inlineStr">
        <is>
          <t>PDF p.43 (印刷頁 42)</t>
        </is>
      </c>
      <c r="F16" s="11" t="inlineStr">
        <is>
          <t>reen them based on factors such as recent performance, technical capabilities and resources, quality assurance systems, and relevant licences and qualifications. The Group selects suitable subcontractors from the approved list based on project requirements and quotation terms. The Group has established a comprehensive monitoring mechanism for suppliers and subcontractors; all potential partners must pass a rigorous assessment to be included on the approved list, and their performance is continuously monitored through regular pe</t>
        </is>
      </c>
    </row>
    <row r="17">
      <c r="A17" s="8" t="inlineStr">
        <is>
          <t>Intangible Assets &amp; Goodwill</t>
        </is>
      </c>
      <c r="B17" s="8" t="inlineStr">
        <is>
          <t>無形資產及商譽</t>
        </is>
      </c>
      <c r="C17" s="19" t="inlineStr">
        <is>
          <t>high</t>
        </is>
      </c>
      <c r="D17" s="11" t="inlineStr">
        <is>
          <t>licence</t>
        </is>
      </c>
      <c r="E17" s="11" t="inlineStr">
        <is>
          <t>PDF p.49 (印刷頁 48)</t>
        </is>
      </c>
      <c r="F17" s="11" t="inlineStr">
        <is>
          <t>continuously optimising monitoring mechanisms. Prior to the commencement of any project, we ensure that all necessary waste disposal licences and approvals have been obtained in accordance with relevant laws and regulations. In accordance with the Group’s Waste Management Policy, we have established clear guidelines to minimise construction and demolition waste, and senior management conducts an annual review of the policy, or as required. We also communicate the importance of waste reduction to all staff, subcontractors and si</t>
        </is>
      </c>
    </row>
    <row r="18">
      <c r="A18" s="8" t="inlineStr">
        <is>
          <t>Intangible Assets &amp; Goodwill</t>
        </is>
      </c>
      <c r="B18" s="8" t="inlineStr">
        <is>
          <t>無形資產及商譽</t>
        </is>
      </c>
      <c r="C18" s="19" t="inlineStr">
        <is>
          <t>high</t>
        </is>
      </c>
      <c r="D18" s="11" t="inlineStr">
        <is>
          <t>licence</t>
        </is>
      </c>
      <c r="E18" s="11" t="inlineStr">
        <is>
          <t>PDF p.85 (印刷頁 84)</t>
        </is>
      </c>
      <c r="F18" s="11" t="inlineStr">
        <is>
          <t>eport. Compliance with Law and Regulation The Group recognises the importance of compliance with regulatory requirements to keep the licences and various construction related qualifications granted by respective government departments and quasi-Government organisations and that the risk of non-compliance with such requirements could lead to (i) removal from all categories in which the contractor is listed or a particular category under the current contractors registration scheme; (ii) suspension from tendering in all categories</t>
        </is>
      </c>
    </row>
    <row r="19">
      <c r="A19" s="8" t="inlineStr">
        <is>
          <t>Intangible Assets &amp; Goodwill</t>
        </is>
      </c>
      <c r="B19" s="8" t="inlineStr">
        <is>
          <t>無形資產及商譽</t>
        </is>
      </c>
      <c r="C19" s="19" t="inlineStr">
        <is>
          <t>high</t>
        </is>
      </c>
      <c r="D19" s="11" t="inlineStr">
        <is>
          <t>licence</t>
        </is>
      </c>
      <c r="E19" s="11" t="inlineStr">
        <is>
          <t>PDF p.86 (印刷頁 85)</t>
        </is>
      </c>
      <c r="F19" s="11" t="inlineStr">
        <is>
          <t>ral building contractors under the Buildings Ordinance (Chapter 123 of the laws of Hong Kong) and must have obtained other requisite licences, depending on the skills and technical capabilities required for relevant projects. New participants may be admitted to compete with us provided that they attain the required technical and management capabilities and skills and are granted the required licences. Due to the large number of competitors, the Group may face significant downward pricing pressure which would reduce our profit m</t>
        </is>
      </c>
    </row>
    <row r="20">
      <c r="A20" s="8" t="inlineStr">
        <is>
          <t>Intangible Assets &amp; Goodwill</t>
        </is>
      </c>
      <c r="B20" s="8" t="inlineStr">
        <is>
          <t>無形資產及商譽</t>
        </is>
      </c>
      <c r="C20" s="19" t="inlineStr">
        <is>
          <t>high</t>
        </is>
      </c>
      <c r="D20" s="11" t="inlineStr">
        <is>
          <t>goodwill</t>
        </is>
      </c>
      <c r="E20" s="11" t="inlineStr">
        <is>
          <t>PDF p.114 (印刷頁 113)</t>
        </is>
      </c>
      <c r="F20" s="11" t="inlineStr">
        <is>
          <t>investment over the Group’s share of the net fair value of the identifiable assets and liabilities of the investee is recognised as goodwill, which is included within the carrying amount of the investment. Any excess of the Group’s share of the net fair value of the identifiable assets and liabilities over the cost of the investment, after reassessment, is recognised immediately in profit or loss in the period in which the investment is acquired. The Group assesses whether there is an objective evidence that the interest in a</t>
        </is>
      </c>
    </row>
    <row r="21">
      <c r="A21" s="8" t="inlineStr">
        <is>
          <t>Intangible Assets &amp; Goodwill</t>
        </is>
      </c>
      <c r="B21" s="8" t="inlineStr">
        <is>
          <t>無形資產及商譽</t>
        </is>
      </c>
      <c r="C21" s="19" t="inlineStr">
        <is>
          <t>high</t>
        </is>
      </c>
      <c r="D21" s="11" t="inlineStr">
        <is>
          <t>useful life</t>
        </is>
      </c>
      <c r="E21" s="11" t="inlineStr">
        <is>
          <t>PDF p.116 (印刷頁 115)</t>
        </is>
      </c>
      <c r="F21" s="11" t="inlineStr">
        <is>
          <t>y remeasurement of lease liabilities. Right-of-use assets are depreciated on a straight-line basis over the shorter of its estimated useful life and the lease term. The Group presents right-of-use assets as a separate line item on the consolidated statement of financial position. Refundable rental deposits Refundable rental deposits paid are accounted under HKFRS 9 and initially measured at fair value. Lease liabilities At the commencement date of a lease, the Group recognises and measures the lease liability at the present val</t>
        </is>
      </c>
    </row>
    <row r="22">
      <c r="A22" s="8" t="inlineStr">
        <is>
          <t>Intangible Assets &amp; Goodwill</t>
        </is>
      </c>
      <c r="B22" s="8" t="inlineStr">
        <is>
          <t>無形資產及商譽</t>
        </is>
      </c>
      <c r="C22" s="19" t="inlineStr">
        <is>
          <t>high</t>
        </is>
      </c>
      <c r="D22" s="11" t="inlineStr">
        <is>
          <t>amortisation</t>
        </is>
      </c>
      <c r="E22" s="11" t="inlineStr">
        <is>
          <t>PDF p.125 (印刷頁 124)</t>
        </is>
      </c>
      <c r="F22" s="11" t="inlineStr">
        <is>
          <t>the loss allowance determined in accordance with HKFRS 9; and • the amount initially recognised less, where appropriate, cumulative amortisation recognised over the guarantee period. Derecognition of financial liabilities The Group derecognises financial liabilities when, and only when, the Group’s obligations are discharged, cancelled or have expired. The difference between the carrying amount of the financial liability derecognised and the consideration paid and payable is recognised in profit or loss. 124 THELLOY DEVELOPMEN</t>
        </is>
      </c>
    </row>
    <row r="23">
      <c r="A23" s="8" t="inlineStr">
        <is>
          <t>ESG Data</t>
        </is>
      </c>
      <c r="B23" s="8" t="inlineStr">
        <is>
          <t>環境社會及管治數據</t>
        </is>
      </c>
      <c r="C23" s="8" t="inlineStr">
        <is>
          <t>medium</t>
        </is>
      </c>
      <c r="D23" s="11" t="inlineStr">
        <is>
          <t>ESG</t>
        </is>
      </c>
      <c r="E23" s="11" t="inlineStr">
        <is>
          <t>PDF p.35 (印刷頁 34)</t>
        </is>
      </c>
      <c r="F23" s="11" t="inlineStr">
        <is>
          <t>Environmental, Social and Governance Report About this Report This Environmental, Social and Governance (“ESG”) Report (“this Report”) sets out the ESG initiatives, plans and performance of Thelloy Development Group Limited and its subsidiaries (hereinafter collectively referred to as “Thelloy”, “the Group” or “we”), and demonstrates the Group’s commitment to sustainable development. This Report is the Group’s tenth sustainability report, reflecting our commitments and practices regarding environmenta</t>
        </is>
      </c>
    </row>
    <row r="24">
      <c r="A24" s="8" t="inlineStr">
        <is>
          <t>ESG Data</t>
        </is>
      </c>
      <c r="B24" s="8" t="inlineStr">
        <is>
          <t>環境社會及管治數據</t>
        </is>
      </c>
      <c r="C24" s="8" t="inlineStr">
        <is>
          <t>medium</t>
        </is>
      </c>
      <c r="D24" s="11" t="inlineStr">
        <is>
          <t>ESG</t>
        </is>
      </c>
      <c r="E24" s="11" t="inlineStr">
        <is>
          <t>PDF p.36 (印刷頁 35)</t>
        </is>
      </c>
      <c r="F24" s="11" t="inlineStr">
        <is>
          <t>ated work. The Board is responsible for overseeing the Group’s material issues in the areas of environmental, social and governance (ESG) and climate-related matters, continuously reviewing their management and implementation, and bears ultimate responsibility for the formulation of the overall ESG strategy and the disclosure of information. The Group values the views and feedback of its stakeholders and has established diverse communication channels to maintain close contact with key stakeholders, with a view to identifying an</t>
        </is>
      </c>
    </row>
    <row r="25">
      <c r="A25" s="8" t="inlineStr">
        <is>
          <t>ESG Data</t>
        </is>
      </c>
      <c r="B25" s="8" t="inlineStr">
        <is>
          <t>環境社會及管治數據</t>
        </is>
      </c>
      <c r="C25" s="8" t="inlineStr">
        <is>
          <t>medium</t>
        </is>
      </c>
      <c r="D25" s="11" t="inlineStr">
        <is>
          <t>carbon</t>
        </is>
      </c>
      <c r="E25" s="11" t="inlineStr">
        <is>
          <t>PDF p.37 (印刷頁 36)</t>
        </is>
      </c>
      <c r="F25" s="11" t="inlineStr">
        <is>
          <t>anies to take action and lead on sustainability efforts. The Group stays updated on global trends and actively responds to calls for carbon neutrality by incorporating sustainable development into our daily operations. We strive to align with and support the Hong Kong government’s climate action plan, which aims to achieve carbon neutrality before 2050. We received the Sustainability Contribution Gold Seal Award from the Hong Kong Quality Assurance Agency (HKQAA) for promoting ecofriendly construction and we were also one of th</t>
        </is>
      </c>
    </row>
    <row r="26">
      <c r="A26" s="8" t="inlineStr">
        <is>
          <t>ESG Data</t>
        </is>
      </c>
      <c r="B26" s="8" t="inlineStr">
        <is>
          <t>環境社會及管治數據</t>
        </is>
      </c>
      <c r="C26" s="8" t="inlineStr">
        <is>
          <t>medium</t>
        </is>
      </c>
      <c r="D26" s="11" t="inlineStr">
        <is>
          <t>ESG</t>
        </is>
      </c>
      <c r="E26" s="11" t="inlineStr">
        <is>
          <t>PDF p.38 (印刷頁 37)</t>
        </is>
      </c>
      <c r="F26" s="11" t="inlineStr">
        <is>
          <t>vironmental, social and governance performance. By actively gathering stakeholders’ views and concerns, we continuously optimise our ESG management strategies and refine our relevant policies and practices. At the same time, the Group engages with key stakeholders and communities affected by our operations through a variety of communication channels (as shown in the table below) to gain a comprehensive understanding of their expectations and concerns, thereby supporting more effective decision-making and driving continuous impr</t>
        </is>
      </c>
    </row>
    <row r="27">
      <c r="A27" s="8" t="inlineStr">
        <is>
          <t>ESG Data</t>
        </is>
      </c>
      <c r="B27" s="8" t="inlineStr">
        <is>
          <t>環境社會及管治數據</t>
        </is>
      </c>
      <c r="C27" s="8" t="inlineStr">
        <is>
          <t>medium</t>
        </is>
      </c>
      <c r="D27" s="11" t="inlineStr">
        <is>
          <t>greenhouse gas</t>
        </is>
      </c>
      <c r="E27" s="11" t="inlineStr">
        <is>
          <t>PDF p.39 (印刷頁 38)</t>
        </is>
      </c>
      <c r="F27" s="11" t="inlineStr">
        <is>
          <t>e Management 16 Chain Management 12 Employee and Labour Energy Use 15 13 9 10 Standards and Management Waste Gas and Anti-corruption Greenhouse Gas Emissions and Integrity Low Diversity and Equal Response to 18 Opportunity Climate Change 17 Green Building 19 Community Engagement and Development Importance to stakeholders Low Medium High Governance and Environmental Social Operation 38 THELLOY DEVELOPMENT GROUP LIMITED</t>
        </is>
      </c>
    </row>
    <row r="28">
      <c r="A28" s="8" t="inlineStr">
        <is>
          <t>ESG Data</t>
        </is>
      </c>
      <c r="B28" s="8" t="inlineStr">
        <is>
          <t>環境社會及管治數據</t>
        </is>
      </c>
      <c r="C28" s="8" t="inlineStr">
        <is>
          <t>medium</t>
        </is>
      </c>
      <c r="D28" s="11" t="inlineStr">
        <is>
          <t>greenhouse gas</t>
        </is>
      </c>
      <c r="E28" s="11" t="inlineStr">
        <is>
          <t>PDF p.40 (印刷頁 39)</t>
        </is>
      </c>
      <c r="F28" s="11" t="inlineStr">
        <is>
          <t>es Governance and Operation Issues 12. Waste Management 1. Occupation Health &amp; Safety 3. Customer Satisfaction and 13. Waste Gas and Greenhouse Gas 2. Employee Training and Complaint Handle Emissions Development 5. Information and Data Privacy 14. Water Resource Management 4. Remuneration and Benefits Protection 15. Energy Use and Management 8. Employee and Labour 6. Quality Management 17. Green Building Standards 7. Business Ethics 18. Response to Climate Change 9. Diversity and Equal 10. Anti-Corruption and Integrity Opportun</t>
        </is>
      </c>
    </row>
    <row r="29">
      <c r="A29" s="8" t="inlineStr">
        <is>
          <t>ESG Data</t>
        </is>
      </c>
      <c r="B29" s="8" t="inlineStr">
        <is>
          <t>環境社會及管治數據</t>
        </is>
      </c>
      <c r="C29" s="8" t="inlineStr">
        <is>
          <t>medium</t>
        </is>
      </c>
      <c r="D29" s="11" t="inlineStr">
        <is>
          <t>carbon</t>
        </is>
      </c>
      <c r="E29" s="11" t="inlineStr">
        <is>
          <t>PDF p.41 (印刷頁 40)</t>
        </is>
      </c>
      <c r="F29" s="11" t="inlineStr">
        <is>
          <t>e Reporting Period, the Working Group has implemented and reviewed several ESG-related initiatives, including the establishment of a carbon emissions baseline and the formulation of a carbon emissions strategy, the implementation and optimisation of an energy management system, and the assessment of supply chain sustainability. 40 THELLOY DEVELOPMENT GROUP LIMITED</t>
        </is>
      </c>
    </row>
    <row r="30">
      <c r="A30" s="8" t="inlineStr">
        <is>
          <t>ESG Data</t>
        </is>
      </c>
      <c r="B30" s="8" t="inlineStr">
        <is>
          <t>環境社會及管治數據</t>
        </is>
      </c>
      <c r="C30" s="8" t="inlineStr">
        <is>
          <t>medium</t>
        </is>
      </c>
      <c r="D30" s="11" t="inlineStr">
        <is>
          <t>greenhouse gas</t>
        </is>
      </c>
      <c r="E30" s="11" t="inlineStr">
        <is>
          <t>PDF p.47 (印刷頁 46)</t>
        </is>
      </c>
      <c r="F30" s="11" t="inlineStr">
        <is>
          <t>e have implemented various measures to ensure that our operations are environmentally responsible across a range of areas, including greenhouse gas (GHG) emissions, energy use, pollution control, and the management of water, waste and noise. The Group complies with all applicable environmental laws and regulations, including but not limited to: • Air Pollution Control Ordinance (Cap.311) • Waste Disposal Ordinance (Cap.354) • Waste Disposal (Chemical Waste) (General) Regulation (Cap.354C) • Water Pollution Control Ordinance (Ca</t>
        </is>
      </c>
    </row>
    <row r="31">
      <c r="A31" s="8" t="inlineStr">
        <is>
          <t>ESG Data</t>
        </is>
      </c>
      <c r="B31" s="8" t="inlineStr">
        <is>
          <t>環境社會及管治數據</t>
        </is>
      </c>
      <c r="C31" s="8" t="inlineStr">
        <is>
          <t>medium</t>
        </is>
      </c>
      <c r="D31" s="11" t="inlineStr">
        <is>
          <t>greenhouse gas</t>
        </is>
      </c>
      <c r="E31" s="11" t="inlineStr">
        <is>
          <t>PDF p.48 (印刷頁 47)</t>
        </is>
      </c>
      <c r="F31" s="11" t="inlineStr">
        <is>
          <t>the Group is fully aware that operations at construction sites generate various types of emissions and pollution. The Group’s direct greenhouse gas emissions (Scope 1) primarily stem from fuel consumption by vehicles or at construction sites; indirect greenhouse gas emissions from energy use (Scope 2) mainly arise from electricity consumption at our head office and construction sites. We are committed to reducing greenhouse gas emissions, particularly in relation to the diesel generators commonly used at construction sites. To</t>
        </is>
      </c>
    </row>
    <row r="32">
      <c r="A32" s="8" t="inlineStr">
        <is>
          <t>ESG Data</t>
        </is>
      </c>
      <c r="B32" s="8" t="inlineStr">
        <is>
          <t>環境社會及管治數據</t>
        </is>
      </c>
      <c r="C32" s="8" t="inlineStr">
        <is>
          <t>medium</t>
        </is>
      </c>
      <c r="D32" s="11" t="inlineStr">
        <is>
          <t>carbon</t>
        </is>
      </c>
      <c r="E32" s="11" t="inlineStr">
        <is>
          <t>PDF p.53 (印刷頁 52)</t>
        </is>
      </c>
      <c r="F32" s="11" t="inlineStr">
        <is>
          <t>formulating sector-specific response strategies to enhance corporate climate resilience, and actively supporting the nation’s “Dual Carbon” targets. We have aligned our practices with Part D “Climate-related Disclosures “of the Hong Kong Stock Exchange’s ESG Code, and have drawn upon the International Financial Reporting Standard S2: Climaterelated Disclosures (“IFRS S2”) framework issued by the International Sustainability Standards Board (“ISSB”), we have established a climate risk management mechanism centred on four core</t>
        </is>
      </c>
    </row>
    <row r="33">
      <c r="A33" s="8" t="inlineStr">
        <is>
          <t>ESG Data</t>
        </is>
      </c>
      <c r="B33" s="8" t="inlineStr">
        <is>
          <t>環境社會及管治數據</t>
        </is>
      </c>
      <c r="C33" s="8" t="inlineStr">
        <is>
          <t>medium</t>
        </is>
      </c>
      <c r="D33" s="11" t="inlineStr">
        <is>
          <t>carbon</t>
        </is>
      </c>
      <c r="E33" s="11" t="inlineStr">
        <is>
          <t>PDF p.54 (印刷頁 53)</t>
        </is>
      </c>
      <c r="F33" s="11" t="inlineStr">
        <is>
          <t>e The Group attaches great importance to climate governance; we continuously refine our internal management mechanisms and set clear carbon emissions management targets. As the highest decision-making body for climate matters, the Board of Directors bears ultimate responsibility for climate-related strategies and reporting. The Audit Committee, established under the Board, oversees the identification, assessment and management of climate risks, provides expert advice on the formulation and implementation of climate targets, and</t>
        </is>
      </c>
    </row>
    <row r="34">
      <c r="A34" s="8" t="inlineStr">
        <is>
          <t>ESG Data</t>
        </is>
      </c>
      <c r="B34" s="8" t="inlineStr">
        <is>
          <t>環境社會及管治數據</t>
        </is>
      </c>
      <c r="C34" s="8" t="inlineStr">
        <is>
          <t>medium</t>
        </is>
      </c>
      <c r="D34" s="11" t="inlineStr">
        <is>
          <t>carbon</t>
        </is>
      </c>
      <c r="E34" s="11" t="inlineStr">
        <is>
          <t>PDF p.55 (印刷頁 54)</t>
        </is>
      </c>
      <c r="F34" s="11" t="inlineStr">
        <is>
          <t>disrupt • Investing in research and development of Risk become obsolete, and low- Long-term current business models new technologies carbon construction methods • Adopting low-carbon construction • Keeping abreast of the latest smart or more environmentally friendly methods or sourcing building construction technologies on the market building materials may disrupt the materials may lead to increased current business model. capital expenditure Transition Risks Market Risk • Shifts in consumer trends and Medium-term, • Analysing</t>
        </is>
      </c>
    </row>
    <row r="35">
      <c r="A35" s="8" t="inlineStr">
        <is>
          <t>ESG Data</t>
        </is>
      </c>
      <c r="B35" s="8" t="inlineStr">
        <is>
          <t>環境社會及管治數據</t>
        </is>
      </c>
      <c r="C35" s="8" t="inlineStr">
        <is>
          <t>medium</t>
        </is>
      </c>
      <c r="D35" s="11" t="inlineStr">
        <is>
          <t>carbon</t>
        </is>
      </c>
      <c r="E35" s="11" t="inlineStr">
        <is>
          <t>PDF p.56 (印刷頁 55)</t>
        </is>
      </c>
      <c r="F35" s="11" t="inlineStr">
        <is>
          <t>act on Business Type of opportunities Time period and Value Chain Response Measures Sustainable product Medium-term, By adopting low-carbon construction The company is actively developing Long-term solutions such as Modular Integrated innovative MiC design capabilities and Construction (MiC), our company comprehensively expanding the scope can make the construction process of application of Building Information easier to manage and control, whilst Modelling (BIM) technology, whilst utilising streamlining construction procedures</t>
        </is>
      </c>
    </row>
    <row r="36">
      <c r="A36" s="8" t="inlineStr">
        <is>
          <t>ESG Data</t>
        </is>
      </c>
      <c r="B36" s="8" t="inlineStr">
        <is>
          <t>環境社會及管治數據</t>
        </is>
      </c>
      <c r="C36" s="8" t="inlineStr">
        <is>
          <t>medium</t>
        </is>
      </c>
      <c r="D36" s="11" t="inlineStr">
        <is>
          <t>greenhouse gas</t>
        </is>
      </c>
      <c r="E36" s="11" t="inlineStr">
        <is>
          <t>PDF p.58 (印刷頁 57)</t>
        </is>
      </c>
      <c r="F36" s="11" t="inlineStr">
        <is>
          <t>Climate Action Blueprint for achieving carbon neutrality by 2050, we have established both qualitative and quantitative targets for greenhouse gas emissions and conduct annual performance reviews. By continuously optimising our energy mix and improving resource efficiency, we are making every effort to reduce carbon emissions from our operations, with the aim of achieving the following greenhouse gas emission intensity reduction targets by 2027. To realise these reduction targets, we are actively investing in emission reductio</t>
        </is>
      </c>
    </row>
    <row r="37">
      <c r="A37" s="8" t="inlineStr">
        <is>
          <t>ESG Data</t>
        </is>
      </c>
      <c r="B37" s="8" t="inlineStr">
        <is>
          <t>環境社會及管治數據</t>
        </is>
      </c>
      <c r="C37" s="8" t="inlineStr">
        <is>
          <t>medium</t>
        </is>
      </c>
      <c r="D37" s="11" t="inlineStr">
        <is>
          <t>greenhouse gas</t>
        </is>
      </c>
      <c r="E37" s="11" t="inlineStr">
        <is>
          <t>PDF p.64 (印刷頁 63)</t>
        </is>
      </c>
      <c r="F37" s="11" t="inlineStr">
        <is>
          <t>A1.1 Emissions Nitrogen oxides (“NOx”) kg 11.79 6.52 Sulphur oxides (“SOx”) kg 0.31 0.21 Particulate matter (“PM”) kg 1.15 0.48 A1.2 Greenhouse gas Scope 1 GHG emission – Tonnes of CO2 1,2021 49 Combustion of fuels equivalent Scope 2 GHG emission – Tonnes of CO2 106 85 Purchased electricity2 equivalent Scope 3 – Other Indirect emissions3 Tonnes of CO2 413 N/A equivalent Scope 1&amp;2 GHG emissions Tonnes of CO2 1,308 134 equivalent Intensity4 of Scope 1&amp;2 GHG emission Tonnes of CO2e per 2.78 0.34 million HK$ revenue Scope 1,2&amp;3 GHG</t>
        </is>
      </c>
    </row>
    <row r="38">
      <c r="A38" s="8" t="inlineStr">
        <is>
          <t>ESG Data</t>
        </is>
      </c>
      <c r="B38" s="8" t="inlineStr">
        <is>
          <t>環境社會及管治數據</t>
        </is>
      </c>
      <c r="C38" s="8" t="inlineStr">
        <is>
          <t>medium</t>
        </is>
      </c>
      <c r="D38" s="11" t="inlineStr">
        <is>
          <t>ESG</t>
        </is>
      </c>
      <c r="E38" s="11" t="inlineStr">
        <is>
          <t>PDF p.67 (印刷頁 66)</t>
        </is>
      </c>
      <c r="F38" s="11" t="inlineStr">
        <is>
          <t>the Reporting Period, the training percentage and training hours are updated and calculated with reference to the “How to prepare an ESG Report? – Appendix III: Reporting Guidance on Social KPIs” issued by the HKEX. There are therefore some differences from previous year’s data. 66 THELLOY DEVELOPMENT GROUP LIMITED</t>
        </is>
      </c>
    </row>
    <row r="39">
      <c r="A39" s="8" t="inlineStr">
        <is>
          <t>ESG Data</t>
        </is>
      </c>
      <c r="B39" s="8" t="inlineStr">
        <is>
          <t>環境社會及管治數據</t>
        </is>
      </c>
      <c r="C39" s="8" t="inlineStr">
        <is>
          <t>medium</t>
        </is>
      </c>
      <c r="D39" s="11" t="inlineStr">
        <is>
          <t>greenhouse gas</t>
        </is>
      </c>
      <c r="E39" s="11" t="inlineStr">
        <is>
          <t>PDF p.69 (印刷頁 68)</t>
        </is>
      </c>
      <c r="F39" s="11" t="inlineStr">
        <is>
          <t>the policies; and (b) compliance with relevant laws and regulations that have a significant impact on the issuer relating to air and greenhouse gas emissions, discharges into water and land, and generation of hazardous and nonhazardous waste. KPI A1.1 The types of emissions and respective emissions data. KPI Performance Summary KPI A1.2 Direct (Scope 1) and energy indirect (Scope 2) greenhouse KPI Performance Summary gas emissions (in tonnes) and, where appropriate, intensity (e.g., per unit of production volume, per facility</t>
        </is>
      </c>
    </row>
    <row r="40">
      <c r="A40" s="8" t="inlineStr">
        <is>
          <t>ESG Data</t>
        </is>
      </c>
      <c r="B40" s="8" t="inlineStr">
        <is>
          <t>環境社會及管治數據</t>
        </is>
      </c>
      <c r="C40" s="8" t="inlineStr">
        <is>
          <t>medium</t>
        </is>
      </c>
      <c r="D40" s="11" t="inlineStr">
        <is>
          <t>energy consumption</t>
        </is>
      </c>
      <c r="E40" s="11" t="inlineStr">
        <is>
          <t>PDF p.70 (印刷頁 69)</t>
        </is>
      </c>
      <c r="F40" s="11" t="inlineStr">
        <is>
          <t>e of resources, including energy, Energy Management, Water water and other raw materials. Management KPI A2.1 Direct and/or indirect energy consumption by type (e.g. KPI Performance Summary electricity, gas or oil) in total (kWh in’000s) and intensity (e.g. per unit of production volume, per facility). KPI A2.2 Water consumption in total and intensity (e.g. per unit of KPI Performance Summary production volume, per facility). KPI A2.3 Description of energy use efficiency target(s) set and steps Energy Management taken to achiev</t>
        </is>
      </c>
    </row>
    <row r="41">
      <c r="A41" s="8" t="inlineStr">
        <is>
          <t>ESG Data</t>
        </is>
      </c>
      <c r="B41" s="8" t="inlineStr">
        <is>
          <t>環境社會及管治數據</t>
        </is>
      </c>
      <c r="C41" s="8" t="inlineStr">
        <is>
          <t>medium</t>
        </is>
      </c>
      <c r="D41" s="11" t="inlineStr">
        <is>
          <t>greenhouse gas</t>
        </is>
      </c>
      <c r="E41" s="11" t="inlineStr">
        <is>
          <t>PDF p.77 (印刷頁 76)</t>
        </is>
      </c>
      <c r="F41" s="11" t="inlineStr">
        <is>
          <t>does not have a climate-related transition plan; and (iv) how the issuer plans to achieve any climate-related targets (including any greenhouse gas emissions targets (if any)), described in accordance with paragraphs 37 to 40; 22 (b). An issuer shall disclose information about how the issuer is resourcing, and plans to resource, the activities disclosed in accordance with paragraph 22(a). 23. An issuer shall disclose information about the progress of plans disclosed in previous reporting periods in accordance with paragraph 22(</t>
        </is>
      </c>
    </row>
    <row r="42">
      <c r="A42" s="8" t="inlineStr">
        <is>
          <t>ESG Data</t>
        </is>
      </c>
      <c r="B42" s="8" t="inlineStr">
        <is>
          <t>環境社會及管治數據</t>
        </is>
      </c>
      <c r="C42" s="8" t="inlineStr">
        <is>
          <t>medium</t>
        </is>
      </c>
      <c r="D42" s="11" t="inlineStr">
        <is>
          <t>greenhouse gas</t>
        </is>
      </c>
      <c r="E42" s="11" t="inlineStr">
        <is>
          <t>PDF p.80 (印刷頁 79)</t>
        </is>
      </c>
      <c r="F42" s="11" t="inlineStr">
        <is>
          <t>ed into and inform the issuer’s overall risk management process. Metrics and Targets 28. An issuer shall disclose its absolute gross greenhouse gas emissions generated KPI Performance Summary during the reporting period, expressed as metric tons of CO2 equivalent, classified as: (a) Scope 1 greenhouse gas emissions; (b) Scope 2 greenhouse gas emissions; and (c) Scope 3 greenhouse gas emissions. Annual Report 2026 79</t>
        </is>
      </c>
    </row>
    <row r="43">
      <c r="A43" s="8" t="inlineStr">
        <is>
          <t>ESG Data</t>
        </is>
      </c>
      <c r="B43" s="8" t="inlineStr">
        <is>
          <t>環境社會及管治數據</t>
        </is>
      </c>
      <c r="C43" s="8" t="inlineStr">
        <is>
          <t>medium</t>
        </is>
      </c>
      <c r="D43" s="11" t="inlineStr">
        <is>
          <t>greenhouse gas</t>
        </is>
      </c>
      <c r="E43" s="11" t="inlineStr">
        <is>
          <t>PDF p.81 (印刷頁 80)</t>
        </is>
      </c>
      <c r="F43" s="11" t="inlineStr">
        <is>
          <t>eport (Continued) Part D: Climate-related Disclosures Reference Section 29. An issuer shall: KPI Performance Summary (a) measure its greenhouse gas emissions in accordance with the Greenhouse Gas Protocol: A Corporate Accounting and Reporting Standard (2004) unless required by a jurisdictional authority or another exchange on which the issuer is listed to use a different method for measuring greenhouse gas emissions; (b) disclose the approach it uses to measure its greenhouse gas emissions including: (i) the measurement approac</t>
        </is>
      </c>
    </row>
    <row r="44">
      <c r="A44" s="8" t="inlineStr">
        <is>
          <t>ESG Data</t>
        </is>
      </c>
      <c r="B44" s="8" t="inlineStr">
        <is>
          <t>環境社會及管治數據</t>
        </is>
      </c>
      <c r="C44" s="8" t="inlineStr">
        <is>
          <t>medium</t>
        </is>
      </c>
      <c r="D44" s="11" t="inlineStr">
        <is>
          <t>greenhouse gas</t>
        </is>
      </c>
      <c r="E44" s="11" t="inlineStr">
        <is>
          <t>PDF p.82 (印刷頁 81)</t>
        </is>
      </c>
      <c r="F44" s="11" t="inlineStr">
        <is>
          <t>ision-making (for example, investment decisions, transfer pricing, and scenario analysis); and (b) the price of each metric tonne of greenhouse gas emissions the issuer uses to assess the costs of its greenhouse gas emissions; or an appropriate negative statement that the issuer does not apply a carbon price in decisionmaking. － 35. An issuer shall disclose whether and how climate-related considerations are factored Climate Change into remuneration policy, or an appropriate negative statement. This may form part of Metrics an</t>
        </is>
      </c>
    </row>
    <row r="45">
      <c r="A45" s="8" t="inlineStr">
        <is>
          <t>ESG Data</t>
        </is>
      </c>
      <c r="B45" s="8" t="inlineStr">
        <is>
          <t>環境社會及管治數據</t>
        </is>
      </c>
      <c r="C45" s="8" t="inlineStr">
        <is>
          <t>medium</t>
        </is>
      </c>
      <c r="D45" s="11" t="inlineStr">
        <is>
          <t>greenhouse gas</t>
        </is>
      </c>
      <c r="E45" s="11" t="inlineStr">
        <is>
          <t>PDF p.83 (印刷頁 82)</t>
        </is>
      </c>
      <c r="F45" s="11" t="inlineStr">
        <is>
          <t>te- Climate Change related target and an analysis of trends or changes in the issuer’s performance. Metrics and Targets 40. For each greenhouse gas emissions target disclosed in accordance with paragraphs 37 to 39, an issuer shall disclose: (a) which greenhouse gases are covered by the target; (b) whether Scope 1, Scope 2 or Scope 3 greenhouse gas emissions are covered by the target; (c) whether the target is a gross greenhouse gas emissions target or a net greenhouse gas emissions target. If the issuer discloses a net greenhou</t>
        </is>
      </c>
    </row>
    <row r="46">
      <c r="A46" s="8" t="inlineStr">
        <is>
          <t>R&amp;D Expenditure</t>
        </is>
      </c>
      <c r="B46" s="8" t="inlineStr">
        <is>
          <t>研發開支</t>
        </is>
      </c>
      <c r="C46" s="8" t="inlineStr">
        <is>
          <t>medium</t>
        </is>
      </c>
      <c r="D46" s="11" t="inlineStr">
        <is>
          <t>research and development</t>
        </is>
      </c>
      <c r="E46" s="11" t="inlineStr">
        <is>
          <t>PDF p.46 (印刷頁 45)</t>
        </is>
      </c>
      <c r="F46" s="11" t="inlineStr">
        <is>
          <t>ance with established procedures when it is no longer required, thereby mitigating data risks. The Group’s business does not involve research and development or product labelling, nor does it rely on extensive marketing activities. During the Reporting Period, no intellectual property, advertising or labellingrelated matters were identified as having a material impact on the business. However, the Group will continue to monitor relevant risks to ensure it can respond in a timely manner should the operating environment change.</t>
        </is>
      </c>
    </row>
    <row r="47">
      <c r="A47" s="8" t="inlineStr">
        <is>
          <t>R&amp;D Expenditure</t>
        </is>
      </c>
      <c r="B47" s="8" t="inlineStr">
        <is>
          <t>研發開支</t>
        </is>
      </c>
      <c r="C47" s="8" t="inlineStr">
        <is>
          <t>medium</t>
        </is>
      </c>
      <c r="D47" s="11" t="inlineStr">
        <is>
          <t>research and development</t>
        </is>
      </c>
      <c r="E47" s="11" t="inlineStr">
        <is>
          <t>PDF p.55 (印刷頁 54)</t>
        </is>
      </c>
      <c r="F47" s="11" t="inlineStr">
        <is>
          <t>roup fail to meet the requirements Technology • Existing technologies may Medium-term, • New technologies may disrupt • Investing in research and development of Risk become obsolete, and low- Long-term current business models new technologies carbon construction methods • Adopting low-carbon construction • Keeping abreast of the latest smart or more environmentally friendly methods or sourcing building construction technologies on the market building materials may disrupt the materials may lead to increased current business mod</t>
        </is>
      </c>
    </row>
    <row r="48">
      <c r="A48" s="8" t="inlineStr">
        <is>
          <t>Segment Information</t>
        </is>
      </c>
      <c r="B48" s="8" t="inlineStr">
        <is>
          <t>分部資料</t>
        </is>
      </c>
      <c r="C48" s="8" t="inlineStr">
        <is>
          <t>medium</t>
        </is>
      </c>
      <c r="D48" s="11" t="inlineStr">
        <is>
          <t>geographical</t>
        </is>
      </c>
      <c r="E48" s="11" t="inlineStr">
        <is>
          <t>PDF p.66 (印刷頁 65)</t>
        </is>
      </c>
      <c r="F48" s="11" t="inlineStr">
        <is>
          <t>gender Male % 44.58% 33.33% Female % 41.30% 43.08% By age group Below 30 % 37.5% 17.5% 30-50 % 42.7% 35.2% Over 50 % 47.3% 42.1% By geographical region Hong Kong % 44.06% 35.7% B.2.1 Number and rate of Number of reportable accidents Number 3 6 work-related fatalities Number of work-related fatalities Person 0 0 occurred Rate of work-related fatalities Number of work- 0 0 related fatalities/1,000 Employee and Workers 9 Intensities of water are calculated by dividing tonnes of water consumed per million HK$ revenue during the Re</t>
        </is>
      </c>
    </row>
    <row r="49">
      <c r="A49" s="8" t="inlineStr">
        <is>
          <t>Segment Information</t>
        </is>
      </c>
      <c r="B49" s="8" t="inlineStr">
        <is>
          <t>分部資料</t>
        </is>
      </c>
      <c r="C49" s="8" t="inlineStr">
        <is>
          <t>medium</t>
        </is>
      </c>
      <c r="D49" s="11" t="inlineStr">
        <is>
          <t>geographical</t>
        </is>
      </c>
      <c r="E49" s="11" t="inlineStr">
        <is>
          <t>PDF p.67 (印刷頁 66)</t>
        </is>
      </c>
      <c r="F49" s="11" t="inlineStr">
        <is>
          <t>anagement or above Hours 2.3 18.2 Supervisor or above Hours 12 10 Operator/Support Level Hours 10.1 42.5 B5.1 Number of suppliers By geographical region Hong Kong Number 431 370 Mainland China Number 0 0 Number of By geographical region subcontractors Hong Kong Number 736 1,260 Mainland China Number 0 0 11 During the Reporting Period, the training percentage and training hours are updated and calculated with reference to the “How to prepare an ESG Report? – Appendix III: Reporting Guidance on Social KPIs” issued by the HKEX. Th</t>
        </is>
      </c>
    </row>
    <row r="50">
      <c r="A50" s="8" t="inlineStr">
        <is>
          <t>Segment Information</t>
        </is>
      </c>
      <c r="B50" s="8" t="inlineStr">
        <is>
          <t>分部資料</t>
        </is>
      </c>
      <c r="C50" s="8" t="inlineStr">
        <is>
          <t>medium</t>
        </is>
      </c>
      <c r="D50" s="11" t="inlineStr">
        <is>
          <t>geographical</t>
        </is>
      </c>
      <c r="E50" s="11" t="inlineStr">
        <is>
          <t>PDF p.71 (印刷頁 70)</t>
        </is>
      </c>
      <c r="F50" s="11" t="inlineStr">
        <is>
          <t>elfare. KPI B1.1 Total workforce by gender, employment type (for example, KPI Performance Summary full- or part-time), age group and geographical region. KPI B1.2 Employee turnover rate by gender, age group and KPI Performance Summary geographical region. Aspect B2: Health and Safety General Disclosure Information on: Occupational Health and Safety (a) the policies; and (b) compliance with relevant laws and regulations that have a significant impact on the issuer relating to providing a safe working environment and protecting e</t>
        </is>
      </c>
    </row>
    <row r="51">
      <c r="A51" s="8" t="inlineStr">
        <is>
          <t>Segment Information</t>
        </is>
      </c>
      <c r="B51" s="8" t="inlineStr">
        <is>
          <t>分部資料</t>
        </is>
      </c>
      <c r="C51" s="8" t="inlineStr">
        <is>
          <t>medium</t>
        </is>
      </c>
      <c r="D51" s="11" t="inlineStr">
        <is>
          <t>geographical</t>
        </is>
      </c>
      <c r="E51" s="11" t="inlineStr">
        <is>
          <t>PDF p.72 (印刷頁 71)</t>
        </is>
      </c>
      <c r="F51" s="11" t="inlineStr">
        <is>
          <t>ure Policies on managing environmental and social risks of the Supply Chain Management supply chain. KPI B5.1 Number of suppliers by geographical region. KPI Performance Summary KPI B5.2 Description of practices relating to engaging suppliers, Supply Chain Management number of suppliers where the practices are being implemented, and how they are implemented and monitored. Annual Report 2026 71</t>
        </is>
      </c>
    </row>
    <row r="52">
      <c r="A52" s="8" t="inlineStr">
        <is>
          <t>Segment Information</t>
        </is>
      </c>
      <c r="B52" s="8" t="inlineStr">
        <is>
          <t>分部資料</t>
        </is>
      </c>
      <c r="C52" s="8" t="inlineStr">
        <is>
          <t>medium</t>
        </is>
      </c>
      <c r="D52" s="11" t="inlineStr">
        <is>
          <t>geographical</t>
        </is>
      </c>
      <c r="E52" s="11" t="inlineStr">
        <is>
          <t>PDF p.76 (印刷頁 75)</t>
        </is>
      </c>
      <c r="F52" s="11" t="inlineStr">
        <is>
          <t>ption of where in the issuer’s business model and value chain climate-related risks and opportunities are concentrated (for example, geographical areas, facilities and types of assets). Annual Report 2026 75</t>
        </is>
      </c>
    </row>
    <row r="53">
      <c r="A53" s="8" t="inlineStr">
        <is>
          <t>Segment Information</t>
        </is>
      </c>
      <c r="B53" s="8" t="inlineStr">
        <is>
          <t>分部資料</t>
        </is>
      </c>
      <c r="C53" s="8" t="inlineStr">
        <is>
          <t>medium</t>
        </is>
      </c>
      <c r="D53" s="11" t="inlineStr">
        <is>
          <t>segment information</t>
        </is>
      </c>
      <c r="E53" s="11" t="inlineStr">
        <is>
          <t>PDF p.84 (印刷頁 83)</t>
        </is>
      </c>
      <c r="F53" s="11" t="inlineStr">
        <is>
          <t>n services; (ii) RMAA works services and (iii) Design and Build services in Hong Kong as main contractor. An analysis of the Group’s segment information for the Year by business is set out in note 5 to the consolidated financial statements. Results and Dividends Details of the audited consolidated results of the Group for the Year are set out in the consolidated statement of profit or loss and other comprehensive income on page 103 of this annual report. The Board does not recommend the payment of a final dividend for the Year</t>
        </is>
      </c>
    </row>
    <row r="54">
      <c r="A54" s="8" t="inlineStr">
        <is>
          <t>Segment Information</t>
        </is>
      </c>
      <c r="B54" s="8" t="inlineStr">
        <is>
          <t>分部資料</t>
        </is>
      </c>
      <c r="C54" s="8" t="inlineStr">
        <is>
          <t>medium</t>
        </is>
      </c>
      <c r="D54" s="11" t="inlineStr">
        <is>
          <t>segment information</t>
        </is>
      </c>
      <c r="E54" s="11" t="inlineStr">
        <is>
          <t>PDF p.127 (印刷頁 126)</t>
        </is>
      </c>
      <c r="F54" s="11" t="inlineStr">
        <is>
          <t>Notes to the Consolidated Financial Statements (Continued) For the year ended 31 March 2026 5. Revenue and Segment Information Revenue Disaggregation of revenue 2026 2025 HK$’000 HK$’000 Recognised over time under HKFRS 15: Building construction 443,443 369,495 Repair, maintenance, alteration and addition (“RMAA”) works 26,953 30,102 Design and build 29 571 Revenue from contracts with customers 470,425 400,168 Type of customers Government departments 215,499 235,427 Private customers 254,926 164,741 47</t>
        </is>
      </c>
    </row>
    <row r="55">
      <c r="A55" s="8" t="inlineStr">
        <is>
          <t>Segment Information</t>
        </is>
      </c>
      <c r="B55" s="8" t="inlineStr">
        <is>
          <t>分部資料</t>
        </is>
      </c>
      <c r="C55" s="8" t="inlineStr">
        <is>
          <t>medium</t>
        </is>
      </c>
      <c r="D55" s="11" t="inlineStr">
        <is>
          <t>segment information</t>
        </is>
      </c>
      <c r="E55" s="11" t="inlineStr">
        <is>
          <t>PDF p.128 (印刷頁 127)</t>
        </is>
      </c>
      <c r="F55" s="11" t="inlineStr">
        <is>
          <t>Notes to the Consolidated Financial Statements (Continued) For the year ended 31 March 2026 5. Revenue and Segment Information (Continued) Revenue (Continued) Transaction price allocated to the remaining performance obligations for contracts with customers The transaction price allocated to the remaining performance obligations (unsatisfied or partially satisfied) and the expected timing of recognising revenue are as follows: 2026 2025 HK$’000 HK$’000 Within one year 341,869 597,013 More than one year</t>
        </is>
      </c>
    </row>
    <row r="56">
      <c r="A56" s="8" t="inlineStr">
        <is>
          <t>Share-based Payment</t>
        </is>
      </c>
      <c r="B56" s="8" t="inlineStr">
        <is>
          <t>以股份為基礎的付款</t>
        </is>
      </c>
      <c r="C56" s="8" t="inlineStr">
        <is>
          <t>medium</t>
        </is>
      </c>
      <c r="D56" s="11" t="inlineStr">
        <is>
          <t>share option</t>
        </is>
      </c>
      <c r="E56" s="11" t="inlineStr">
        <is>
          <t>PDF p.11 (印刷頁 10)</t>
        </is>
      </c>
      <c r="F56" s="11" t="inlineStr">
        <is>
          <t>uired by the landlord. Save as disclosed, the Group had no other material performance guarantees at the end of the reporting period. SHARE OPTION SCHEME The Company’s share option scheme (the “Share Option Scheme”) was conditionally approved by the Company pursuant to the written resolutions of the then sole shareholder of the Company on 22 September 2015. No share option has been granted, exercised, cancelled or lapsed under the Share Option Scheme since its adoption. The Share Option Scheme has expired on 21 September 2025 an</t>
        </is>
      </c>
    </row>
    <row r="57">
      <c r="A57" s="8" t="inlineStr">
        <is>
          <t>Share-based Payment</t>
        </is>
      </c>
      <c r="B57" s="8" t="inlineStr">
        <is>
          <t>以股份為基礎的付款</t>
        </is>
      </c>
      <c r="C57" s="8" t="inlineStr">
        <is>
          <t>medium</t>
        </is>
      </c>
      <c r="D57" s="11" t="inlineStr">
        <is>
          <t>share option</t>
        </is>
      </c>
      <c r="E57" s="11" t="inlineStr">
        <is>
          <t>PDF p.27 (印刷頁 26)</t>
        </is>
      </c>
      <c r="F57" s="11" t="inlineStr">
        <is>
          <t>tters relating to share schemes under Chapter 17 of the Listing Rules. During the Year, since there were no shares granted under the Share Option Scheme (as stated in the Report of the Directors), no material matters relating to the Share Option Scheme under Chapter 17 of the Listing Rules were required to be reviewed or approved by the Remuneration Committee. The Share Option Scheme has expired on 21 September 2025 and the Company has no Share Option Scheme currently in force. The Remuneration Committee and the Board review th</t>
        </is>
      </c>
    </row>
    <row r="58">
      <c r="A58" s="8" t="inlineStr">
        <is>
          <t>Share-based Payment</t>
        </is>
      </c>
      <c r="B58" s="8" t="inlineStr">
        <is>
          <t>以股份為基礎的付款</t>
        </is>
      </c>
      <c r="C58" s="8" t="inlineStr">
        <is>
          <t>medium</t>
        </is>
      </c>
      <c r="D58" s="11" t="inlineStr">
        <is>
          <t>share option</t>
        </is>
      </c>
      <c r="E58" s="11" t="inlineStr">
        <is>
          <t>PDF p.84 (印刷頁 83)</t>
        </is>
      </c>
      <c r="F58" s="11" t="inlineStr">
        <is>
          <t>Statement” and “Management Discussion and Analysis” set out on pages 3 to 4 and pages 5 to 11 respectively. Details of the Company’s share option scheme are provided on page 10 of the “Management Discussion and Analysis” and pages 90 to 91 in this Report of the Directors. An analysis of the Group’s financial risk management is provided in note 34(b) to the consolidated financial statements. An indication of likely future development in the Company’s business is set out on page 4 of the “Chairman’s Statement” and on pages 5 to 6</t>
        </is>
      </c>
    </row>
    <row r="59">
      <c r="A59" s="8" t="inlineStr">
        <is>
          <t>Share-based Payment</t>
        </is>
      </c>
      <c r="B59" s="8" t="inlineStr">
        <is>
          <t>以股份為基礎的付款</t>
        </is>
      </c>
      <c r="C59" s="8" t="inlineStr">
        <is>
          <t>medium</t>
        </is>
      </c>
      <c r="D59" s="11" t="inlineStr">
        <is>
          <t>share option</t>
        </is>
      </c>
      <c r="E59" s="11" t="inlineStr">
        <is>
          <t>PDF p.88 (印刷頁 87)</t>
        </is>
      </c>
      <c r="F59" s="11" t="inlineStr">
        <is>
          <t>uring the Year, if any, are set out in note 27 to the consolidated financial statements. Save as disclosed under the section headed “Share Option Scheme”, no equity-linked agreements were entered into during the Year or subsisted at the end of the Year. Annual Report 2026 87</t>
        </is>
      </c>
    </row>
    <row r="60">
      <c r="A60" s="8" t="inlineStr">
        <is>
          <t>Share-based Payment</t>
        </is>
      </c>
      <c r="B60" s="8" t="inlineStr">
        <is>
          <t>以股份為基礎的付款</t>
        </is>
      </c>
      <c r="C60" s="8" t="inlineStr">
        <is>
          <t>medium</t>
        </is>
      </c>
      <c r="D60" s="11" t="inlineStr">
        <is>
          <t>share option</t>
        </is>
      </c>
      <c r="E60" s="11" t="inlineStr">
        <is>
          <t>PDF p.90 (印刷頁 89)</t>
        </is>
      </c>
      <c r="F60" s="11" t="inlineStr">
        <is>
          <t>des a comprehensive benefit package for all employees as well as career development opportunities. This includes retirement schemes, Share Option Scheme, medical insurance, other insurances, in-house training, on-the job training, external seminars and programs organised by professional bodies and educational institutes. Dividend Policy The Company has adopted a dividend policy (the “Dividend Policy”), pursuant to which the Company will give priority to distributing dividend in cash and shares its profits with its Shareholders.</t>
        </is>
      </c>
    </row>
    <row r="61">
      <c r="A61" s="8" t="inlineStr">
        <is>
          <t>Share-based Payment</t>
        </is>
      </c>
      <c r="B61" s="8" t="inlineStr">
        <is>
          <t>以股份為基礎的付款</t>
        </is>
      </c>
      <c r="C61" s="8" t="inlineStr">
        <is>
          <t>medium</t>
        </is>
      </c>
      <c r="D61" s="11" t="inlineStr">
        <is>
          <t>share option</t>
        </is>
      </c>
      <c r="E61" s="11" t="inlineStr">
        <is>
          <t>PDF p.91 (印刷頁 90)</t>
        </is>
      </c>
      <c r="F61" s="11" t="inlineStr">
        <is>
          <t>Report of the Directors (Continued) Equity-Linked Agreements Save as and except for the Share Option Scheme as disclosed below, no equity-linked agreement that (i) will or may result in the Company issuing shares or (ii) requires the Company issuing shares, was entered into by the Company during the Year or subsisted at the end of the reporting year. Share Option Scheme The following is a summary of the principal terms of the Share Option Scheme. (1) Purpose of the Share Option Schem</t>
        </is>
      </c>
    </row>
    <row r="62">
      <c r="A62" s="8" t="inlineStr">
        <is>
          <t>Share-based Payment</t>
        </is>
      </c>
      <c r="B62" s="8" t="inlineStr">
        <is>
          <t>以股份為基礎的付款</t>
        </is>
      </c>
      <c r="C62" s="8" t="inlineStr">
        <is>
          <t>medium</t>
        </is>
      </c>
      <c r="D62" s="11" t="inlineStr">
        <is>
          <t>share option</t>
        </is>
      </c>
      <c r="E62" s="11" t="inlineStr">
        <is>
          <t>PDF p.92 (印刷頁 91)</t>
        </is>
      </c>
      <c r="F62" s="11" t="inlineStr">
        <is>
          <t>um number of Shares The total number of Shares which may be allotted and issued upon exercise of all options to be granted under the Share Option Scheme and any other share option schemes of the Group (excluding, for this purpose, options which have lapsed in accordance with the terms of the Share Option Scheme or any other share option schemes of the Group) must not in aggregate exceed 10% of the total number of Shares in issue as at the listing of the shares of Company on the Stock Exchange on 9 October 2015. The number of Sh</t>
        </is>
      </c>
    </row>
    <row r="63">
      <c r="A63" s="8" t="inlineStr">
        <is>
          <t>Share-based Payment</t>
        </is>
      </c>
      <c r="B63" s="8" t="inlineStr">
        <is>
          <t>以股份為基礎的付款</t>
        </is>
      </c>
      <c r="C63" s="8" t="inlineStr">
        <is>
          <t>medium</t>
        </is>
      </c>
      <c r="D63" s="11" t="inlineStr">
        <is>
          <t>share option</t>
        </is>
      </c>
      <c r="E63" s="11" t="inlineStr">
        <is>
          <t>PDF p.94 (印刷頁 93)</t>
        </is>
      </c>
      <c r="F63" s="11" t="inlineStr">
        <is>
          <t>paragraphs headed “Directors’ and Chief Executive’s Interests and Short Positions in Shares, Underlying Shares and Debentures” and “Share Option Scheme” above, at no time during the Year were any rights to acquire benefits by means of the acquisition of shares in or debentures of the Company granted to any Director or the Chief Executive of the Company or any of their respective spouses or minor children, or were any such rights exercised by them; or was the Company, its holding company, or any of its subsidiaries and fellow s</t>
        </is>
      </c>
    </row>
    <row r="64">
      <c r="A64" s="8" t="inlineStr">
        <is>
          <t>Share-based Payment</t>
        </is>
      </c>
      <c r="B64" s="8" t="inlineStr">
        <is>
          <t>以股份為基礎的付款</t>
        </is>
      </c>
      <c r="C64" s="8" t="inlineStr">
        <is>
          <t>medium</t>
        </is>
      </c>
      <c r="D64" s="11" t="inlineStr">
        <is>
          <t>share option</t>
        </is>
      </c>
      <c r="E64" s="11" t="inlineStr">
        <is>
          <t>PDF p.158 (印刷頁 157)</t>
        </is>
      </c>
      <c r="F64" s="11" t="inlineStr">
        <is>
          <t>Notes to the Consolidated Financial Statements (Continued) For the year ended 31 March 2026 35. Share Option Scheme The Company’s share option scheme (the “Share Option Scheme”) was conditionally approved by the Company pursuant to the written resolutions of the then sole shareholder of the Company on 22 September 2015. The Share Option Scheme remained valid and effective following the transfer of listing of its shares from GEM to the Main Board of the Stock Exchange on 26 October 2017 and w</t>
        </is>
      </c>
    </row>
    <row r="65">
      <c r="A65" s="8" t="inlineStr">
        <is>
          <t>Share-based Payment</t>
        </is>
      </c>
      <c r="B65" s="8" t="inlineStr">
        <is>
          <t>以股份為基礎的付款</t>
        </is>
      </c>
      <c r="C65" s="8" t="inlineStr">
        <is>
          <t>medium</t>
        </is>
      </c>
      <c r="D65" s="11" t="inlineStr">
        <is>
          <t>share option</t>
        </is>
      </c>
      <c r="E65" s="11" t="inlineStr">
        <is>
          <t>PDF p.159 (印刷頁 158)</t>
        </is>
      </c>
      <c r="F65" s="11" t="inlineStr">
        <is>
          <t>Notes to the Consolidated Financial Statements (Continued) For the year ended 31 March 2026 35. Share Option Scheme (Continued) (v) The total number of Shares issued and to be issued upon exercise of options granted to any grantee (including both exercised and outstanding options) under the Share Option Scheme, in any 12-month period up to the date of grant shall not exceed 1% of the shares in issue. Any further grant of options in excess of such limit must be separately approved by sharehol</t>
        </is>
      </c>
    </row>
    <row r="66">
      <c r="A66" s="8" t="inlineStr">
        <is>
          <t>Related Party Transactions</t>
        </is>
      </c>
      <c r="B66" s="8" t="inlineStr">
        <is>
          <t>關聯方交易</t>
        </is>
      </c>
      <c r="C66" s="8" t="inlineStr">
        <is>
          <t>low</t>
        </is>
      </c>
      <c r="D66" s="11" t="inlineStr">
        <is>
          <t>connected transaction</t>
        </is>
      </c>
      <c r="E66" s="11" t="inlineStr">
        <is>
          <t>PDF p.12 (印刷頁 11)</t>
        </is>
      </c>
      <c r="F66" s="11" t="inlineStr">
        <is>
          <t>’s financial information, oversee the Company’s financial reporting system and internal control procedures and oversee the Company’s connected transactions. During the Year, the Audit Committee comprises all three Independent non-executive Directors (the “INED(s)”), namely Mr. Tse Ting Kwan, who was the chairman of the Audit Committee, Mr. Tang Chi Wang and Mr. Wong Kwong On, and they resigned as INEDs and ceased to be members of the Audit Committee on 10 April 2026. Up to the date of this annual report, Mr. Tso Ping Cheong Bri</t>
        </is>
      </c>
    </row>
    <row r="67">
      <c r="A67" s="8" t="inlineStr">
        <is>
          <t>Related Party Transactions</t>
        </is>
      </c>
      <c r="B67" s="8" t="inlineStr">
        <is>
          <t>關聯方交易</t>
        </is>
      </c>
      <c r="C67" s="8" t="inlineStr">
        <is>
          <t>low</t>
        </is>
      </c>
      <c r="D67" s="11" t="inlineStr">
        <is>
          <t>related party</t>
        </is>
      </c>
      <c r="E67" s="11" t="inlineStr">
        <is>
          <t>PDF p.97 (印刷頁 96)</t>
        </is>
      </c>
      <c r="F67" s="11" t="inlineStr">
        <is>
          <t>omplied with the applicable accounting standards, the Listing Rules and legal requirements, and adequate disclosures have been made. Related Party Transactions Details of the significant related party transactions of the Group are set out in note 30 to the consolidated financial statements and such transactions are not connected transactions or continuing connected transactions. Public Float Based on the information that is publicity available to the Company and within the knowledge of the Directors, the Company has maintained</t>
        </is>
      </c>
    </row>
    <row r="68">
      <c r="A68" s="8" t="inlineStr">
        <is>
          <t>Related Party Transactions</t>
        </is>
      </c>
      <c r="B68" s="8" t="inlineStr">
        <is>
          <t>關聯方交易</t>
        </is>
      </c>
      <c r="C68" s="8" t="inlineStr">
        <is>
          <t>low</t>
        </is>
      </c>
      <c r="D68" s="11" t="inlineStr">
        <is>
          <t>related party</t>
        </is>
      </c>
      <c r="E68" s="11" t="inlineStr">
        <is>
          <t>PDF p.147 (印刷頁 146)</t>
        </is>
      </c>
      <c r="F68" s="11" t="inlineStr">
        <is>
          <t>eased properties when the new lease agreement is entered into by the Group for the lease period from August 2025 to August 2029. 30. Related Party Disclosures Save as disclosed elsewhere in the consolidated financial statements, the Group entered into the following transactions with related parties: 2026 2025 HK$’000 HK$’000 Short term lease payment to Trunk Room Limited 182 – Construction contract revenue from World Partners 40 1,167 As at 31 March 2026, the Group had short term lease payment to Trunk Room Limited of HK$182,00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9"/>
  <sheetViews>
    <sheetView workbookViewId="0">
      <pane ySplit="28" topLeftCell="A29"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Operating Profit</t>
        </is>
      </c>
    </row>
    <row r="10">
      <c r="A10" s="8" t="inlineStr">
        <is>
          <t>Income Statement</t>
        </is>
      </c>
      <c r="B10" s="8" t="inlineStr">
        <is>
          <t>Profit for the Year</t>
        </is>
      </c>
    </row>
    <row r="11">
      <c r="A11" s="8" t="inlineStr">
        <is>
          <t>Income Statement</t>
        </is>
      </c>
      <c r="B11" s="8" t="inlineStr">
        <is>
          <t>R&amp;D Expenses</t>
        </is>
      </c>
    </row>
    <row r="12">
      <c r="A12" s="8" t="inlineStr">
        <is>
          <t>Income Statement</t>
        </is>
      </c>
      <c r="B12" s="8" t="inlineStr">
        <is>
          <t>Depreciation</t>
        </is>
      </c>
    </row>
    <row r="13">
      <c r="A13" s="8" t="inlineStr">
        <is>
          <t>Income Statement</t>
        </is>
      </c>
      <c r="B13" s="8" t="inlineStr">
        <is>
          <t>Amortisation</t>
        </is>
      </c>
    </row>
    <row r="14">
      <c r="A14" s="8" t="inlineStr">
        <is>
          <t>Balance Sheet</t>
        </is>
      </c>
      <c r="B14" s="8" t="inlineStr">
        <is>
          <t>Total Assets</t>
        </is>
      </c>
    </row>
    <row r="15">
      <c r="A15" s="8" t="inlineStr">
        <is>
          <t>Balance Sheet</t>
        </is>
      </c>
      <c r="B15" s="8" t="inlineStr">
        <is>
          <t>Inventories</t>
        </is>
      </c>
    </row>
    <row r="16">
      <c r="A16" s="8" t="inlineStr">
        <is>
          <t>Balance Sheet</t>
        </is>
      </c>
      <c r="B16" s="8" t="inlineStr">
        <is>
          <t>Goodwill</t>
        </is>
      </c>
    </row>
    <row r="17">
      <c r="A17" s="8" t="inlineStr">
        <is>
          <t>Balance Sheet</t>
        </is>
      </c>
      <c r="B17" s="8" t="inlineStr">
        <is>
          <t>Intangible Assets</t>
        </is>
      </c>
    </row>
    <row r="18">
      <c r="A18" s="8" t="inlineStr">
        <is>
          <t>Balance Sheet</t>
        </is>
      </c>
      <c r="B18" s="8" t="inlineStr">
        <is>
          <t>Investment Properties</t>
        </is>
      </c>
    </row>
    <row r="19">
      <c r="A19" s="8" t="inlineStr">
        <is>
          <t>Balance Sheet</t>
        </is>
      </c>
      <c r="B19" s="8" t="inlineStr">
        <is>
          <t>Total Liabilities</t>
        </is>
      </c>
    </row>
    <row r="20">
      <c r="A20" s="8" t="inlineStr">
        <is>
          <t>Balance Sheet</t>
        </is>
      </c>
      <c r="B20" s="8" t="inlineStr">
        <is>
          <t>Total Equity</t>
        </is>
      </c>
    </row>
    <row r="21">
      <c r="A21" s="8" t="inlineStr">
        <is>
          <t>Cash Flow</t>
        </is>
      </c>
      <c r="B21" s="8" t="inlineStr">
        <is>
          <t>Operating Cash Flow</t>
        </is>
      </c>
    </row>
    <row r="22">
      <c r="A22" s="8" t="inlineStr">
        <is>
          <t>Cash Flow</t>
        </is>
      </c>
      <c r="B22" s="8" t="inlineStr">
        <is>
          <t>Investing Cash Flow</t>
        </is>
      </c>
    </row>
    <row r="25">
      <c r="A25" s="5" t="inlineStr">
        <is>
          <t>二、文字量過低的頁面(疑似掃描頁)</t>
        </is>
      </c>
    </row>
    <row r="26">
      <c r="A26" s="2" t="inlineStr">
        <is>
          <t>這些頁面幾乎抓不到文字,通常是掃描件或純圖表,建議人手翻閱或另行 OCR。</t>
        </is>
      </c>
    </row>
    <row r="28">
      <c r="A28" s="7" t="inlineStr">
        <is>
          <t>PDF 頁碼</t>
        </is>
      </c>
      <c r="B28" s="7" t="inlineStr">
        <is>
          <t>狀態</t>
        </is>
      </c>
    </row>
    <row r="29">
      <c r="A29" s="8" t="n">
        <v>1</v>
      </c>
      <c r="B29"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2026-08-30T14:15:56Z</dcterms:created>
  <dcterms:modified xsi:type="dcterms:W3CDTF">2026-08-30T14:15:56Z</dcterms:modified>
</cp:coreProperties>
</file>
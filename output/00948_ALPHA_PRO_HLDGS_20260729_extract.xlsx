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00948_ALPHA_PRO_HLDGS_20260729.pdf</t>
        </is>
      </c>
    </row>
    <row r="5">
      <c r="A5" s="3" t="inlineStr">
        <is>
          <t>產生時間 Generated</t>
        </is>
      </c>
      <c r="B5" s="4" t="inlineStr">
        <is>
          <t>2026-08-30 22:16</t>
        </is>
      </c>
    </row>
    <row r="6">
      <c r="A6" s="4" t="inlineStr"/>
      <c r="B6" s="4" t="inlineStr"/>
    </row>
    <row r="7">
      <c r="A7" s="3" t="inlineStr">
        <is>
          <t>總頁數 Total pages</t>
        </is>
      </c>
      <c r="B7" s="4" t="n">
        <v>242</v>
      </c>
    </row>
    <row r="8">
      <c r="A8" s="3" t="inlineStr">
        <is>
          <t>已擷取字元 Characters extracted</t>
        </is>
      </c>
      <c r="B8" s="4" t="n">
        <v>608027</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6</v>
      </c>
    </row>
    <row r="13">
      <c r="A13" s="3" t="inlineStr">
        <is>
          <t>財務科目擷取筆數 Financial line items</t>
        </is>
      </c>
      <c r="B13" s="4" t="n">
        <v>16</v>
      </c>
    </row>
    <row r="14">
      <c r="A14" s="3" t="inlineStr">
        <is>
          <t>主題段落擷取筆數 Topic extracts</t>
        </is>
      </c>
      <c r="B14" s="4" t="n">
        <v>136</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76,263 − 72,705 = 3,558</t>
        </is>
      </c>
    </row>
    <row r="20">
      <c r="A20" s="6" t="inlineStr">
        <is>
          <t>✓ 收入 − 銷售成本 = 毛利</t>
        </is>
      </c>
      <c r="B20" s="4" t="inlineStr">
        <is>
          <t>104,681 − 97,222 = 7,459 vs 毛利 7,459</t>
        </is>
      </c>
    </row>
    <row r="21">
      <c r="A21" s="6" t="inlineStr">
        <is>
          <t>✓ 除稅前溢利 ± 稅項 = 年內溢利</t>
        </is>
      </c>
      <c r="B21" s="4" t="inlineStr">
        <is>
          <t>82,996 + 1,229 = 81,767 vs 82,106</t>
        </is>
      </c>
    </row>
    <row r="22">
      <c r="A22" s="6" t="inlineStr">
        <is>
          <t>✓ 三大報表應相鄰</t>
        </is>
      </c>
      <c r="B22" s="4" t="inlineStr">
        <is>
          <t>Income Statement: p.71、Balance Sheet: p.74、Cash Flow: p.76(相距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22</v>
      </c>
      <c r="D5" s="10" t="n">
        <v>28</v>
      </c>
      <c r="E5" s="11" t="inlineStr">
        <is>
          <t>22%至28%</t>
        </is>
      </c>
      <c r="F5" s="11" t="inlineStr">
        <is>
          <t>High</t>
        </is>
      </c>
      <c r="G5" s="11" t="inlineStr">
        <is>
          <t>PDF p.15 (印刷頁 14)</t>
        </is>
      </c>
      <c r="H5" s="11" t="inlineStr">
        <is>
          <t>valuation: 增長率：3%至10%； (i) Growth rate: 3% to 10%; (i) 稅前貼現率：17%；及 (ii) Pre-tax discount rate: 17%; and (ii) 預算毛利率：22%至28%。 (iii) Budgeted gross margin: 22% to 28%. (iii) 重大收購及出售 MATERIAL ACQUISITIONS AND DISPOSALS 於二零二五年九月三十日，外商獨資企業（作 On 30 September 2</t>
        </is>
      </c>
    </row>
    <row r="6">
      <c r="A6" s="8" t="inlineStr">
        <is>
          <t>Discount Rate</t>
        </is>
      </c>
      <c r="B6" s="8" t="inlineStr">
        <is>
          <t>折現率</t>
        </is>
      </c>
      <c r="C6" s="9" t="n">
        <v>22</v>
      </c>
      <c r="D6" s="10" t="n">
        <v>28</v>
      </c>
      <c r="E6" s="11" t="inlineStr">
        <is>
          <t>22%至28%</t>
        </is>
      </c>
      <c r="F6" s="11" t="inlineStr">
        <is>
          <t>Medium</t>
        </is>
      </c>
      <c r="G6" s="11" t="inlineStr">
        <is>
          <t>PDF p.170 (印刷頁 169)</t>
        </is>
      </c>
      <c r="H6" s="11" t="inlineStr">
        <is>
          <t>不適用 3% 3%至10% to 10% 28% 28%至98% to 98% 3% 3%至8% to 8% 稅前貼現率(%) N/A 不適用 Pre-tax discount rate (%) 預算毛利率(%) N/A 17% 29% 17% Budgeted gross margin (%) 不適用 22% 22%至28% to 28% 8% 8%至10% to 10% 9% 9%至24% to 24% N/A 管理層根據過往表現及對市場發展的 Management determined budg</t>
        </is>
      </c>
    </row>
    <row r="7">
      <c r="A7" s="8" t="inlineStr">
        <is>
          <t>Gross Margin</t>
        </is>
      </c>
      <c r="B7" s="8" t="inlineStr">
        <is>
          <t>毛利率</t>
        </is>
      </c>
      <c r="C7" s="9" t="n">
        <v>22</v>
      </c>
      <c r="D7" s="10" t="n">
        <v>28</v>
      </c>
      <c r="E7" s="11" t="inlineStr">
        <is>
          <t>22% to 28%</t>
        </is>
      </c>
      <c r="F7" s="11" t="inlineStr">
        <is>
          <t>High</t>
        </is>
      </c>
      <c r="G7" s="11" t="inlineStr">
        <is>
          <t>PDF p.15 (印刷頁 14)</t>
        </is>
      </c>
      <c r="H7" s="11" t="inlineStr">
        <is>
          <t>率：17%；及 (ii) Pre-tax discount rate: 17%; and (ii) 預算毛利率：22%至28%。 (iii) Budgeted gross margin: 22% to 28%. (iii) 重大收購及出售 MATERIAL ACQUISITIONS AND DISPOSALS 於二零二五年九月三十日，外商獨資企業（作 On 30 September 2025, the WFOE as vendor, entered into the Sale and 為賣方），與買</t>
        </is>
      </c>
    </row>
    <row r="8">
      <c r="A8" s="8" t="inlineStr">
        <is>
          <t>Gross Margin</t>
        </is>
      </c>
      <c r="B8" s="8" t="inlineStr">
        <is>
          <t>毛利率</t>
        </is>
      </c>
      <c r="C8" s="9" t="n">
        <v>22</v>
      </c>
      <c r="D8" s="10" t="n">
        <v>28</v>
      </c>
      <c r="E8" s="11" t="inlineStr">
        <is>
          <t>22%至28%</t>
        </is>
      </c>
      <c r="F8" s="11" t="inlineStr">
        <is>
          <t>High</t>
        </is>
      </c>
      <c r="G8" s="11" t="inlineStr">
        <is>
          <t>PDF p.170 (印刷頁 169)</t>
        </is>
      </c>
      <c r="H8" s="11" t="inlineStr">
        <is>
          <t>8% 稅前貼現率(%) N/A 不適用 Pre-tax discount rate (%) 預算毛利率(%) N/A 17% 29% 17% Budgeted gross margin (%) 不適用 22% 22%至28% to 28% 8% 8%至10% to 10% 9% 9%至24% to 24% N/A 管理層根據過往表現及對市場發展的 Management determined budgeted gross margin based on past 預期釐定預算毛利率。增長率乃由管 pe</t>
        </is>
      </c>
    </row>
    <row r="9">
      <c r="A9" s="8" t="inlineStr">
        <is>
          <t>Gross Margin</t>
        </is>
      </c>
      <c r="B9" s="8" t="inlineStr">
        <is>
          <t>毛利率</t>
        </is>
      </c>
      <c r="C9" s="9" t="n">
        <v>24</v>
      </c>
      <c r="D9" s="10" t="n">
        <v>24</v>
      </c>
      <c r="E9" s="11" t="inlineStr">
        <is>
          <t>24%</t>
        </is>
      </c>
      <c r="F9" s="11" t="inlineStr">
        <is>
          <t>Medium</t>
        </is>
      </c>
      <c r="G9" s="11" t="inlineStr">
        <is>
          <t>PDF p.170 (印刷頁 169)</t>
        </is>
      </c>
      <c r="H9" s="11" t="inlineStr">
        <is>
          <t xml:space="preserve">10% to 10% 9% 9%至24% to 24% N/A 管理層根據過往表現及對市場發展的 Management determined budgeted gross margin based on past 預期釐定預算毛利率。增長率乃由管 performance and its expectations of market development. The growth 理層根據對市場發展的預期及現金產 rate was determined by the management based </t>
        </is>
      </c>
    </row>
    <row r="10">
      <c r="A10" s="8" t="inlineStr">
        <is>
          <t>Gross Margin</t>
        </is>
      </c>
      <c r="B10" s="8" t="inlineStr">
        <is>
          <t>毛利率</t>
        </is>
      </c>
      <c r="C10" s="9" t="n">
        <v>1</v>
      </c>
      <c r="D10" s="10" t="n">
        <v>1</v>
      </c>
      <c r="E10" s="11" t="inlineStr">
        <is>
          <t>1%</t>
        </is>
      </c>
      <c r="F10" s="11" t="inlineStr">
        <is>
          <t>High</t>
        </is>
      </c>
      <c r="G10" s="11" t="inlineStr">
        <is>
          <t>PDF p.171 (印刷頁 170)</t>
        </is>
      </c>
      <c r="H10" s="11" t="inlineStr">
        <is>
          <t>in this CGU of HK$489,000 would be recognised. If the budgeted 位的商譽及╱或其他資產確認進一步 gross margin is 1% lower, while other parameters remain constant, 減值489,000港元。倘預算毛利率減少 the recoverable amount of the Logistics Business CGU would be 1%，而其他參數保持不變，則物流業 reduc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104681</v>
      </c>
      <c r="D5" s="13" t="n">
        <v>40520</v>
      </c>
      <c r="E5" s="14">
        <f>IF(ISERROR((C5-D5)/ABS(D5)),"",(C5-D5)/ABS(D5))</f>
        <v>1.5834402764067128</v>
      </c>
      <c r="F5" s="11" t="inlineStr">
        <is>
          <t>PDF p.71 (印刷頁 70)</t>
        </is>
      </c>
      <c r="G5" s="11" t="inlineStr">
        <is>
          <t>Revenue 6(a) 104,681 40,520</t>
        </is>
      </c>
    </row>
    <row r="6">
      <c r="A6" s="8" t="inlineStr">
        <is>
          <t>Income Statement</t>
        </is>
      </c>
      <c r="B6" s="8" t="inlineStr">
        <is>
          <t>Cost of Sales</t>
        </is>
      </c>
      <c r="C6" s="12" t="n">
        <v>-97222</v>
      </c>
      <c r="D6" s="13" t="n">
        <v>-33349</v>
      </c>
      <c r="E6" s="14">
        <f>IF(ISERROR((C6-D6)/ABS(D6)),"",(C6-D6)/ABS(D6))</f>
        <v>-1.9152898137875198</v>
      </c>
      <c r="F6" s="11" t="inlineStr">
        <is>
          <t>PDF p.71 (印刷頁 70)</t>
        </is>
      </c>
      <c r="G6" s="11" t="inlineStr">
        <is>
          <t>Cost of sales and services rendered (97,222) (33,349)</t>
        </is>
      </c>
    </row>
    <row r="7">
      <c r="A7" s="8" t="inlineStr">
        <is>
          <t>Income Statement</t>
        </is>
      </c>
      <c r="B7" s="8" t="inlineStr">
        <is>
          <t>Gross Profit</t>
        </is>
      </c>
      <c r="C7" s="12" t="n">
        <v>7459</v>
      </c>
      <c r="D7" s="13" t="n">
        <v>7171</v>
      </c>
      <c r="E7" s="14">
        <f>IF(ISERROR((C7-D7)/ABS(D7)),"",(C7-D7)/ABS(D7))</f>
        <v>0.04016176265513875</v>
      </c>
      <c r="F7" s="11" t="inlineStr">
        <is>
          <t>PDF p.71 (印刷頁 70)</t>
        </is>
      </c>
      <c r="G7" s="11" t="inlineStr">
        <is>
          <t>Gross profit 7,459 7,171</t>
        </is>
      </c>
    </row>
    <row r="8">
      <c r="A8" s="8" t="inlineStr">
        <is>
          <t>Income Statement</t>
        </is>
      </c>
      <c r="B8" s="8" t="inlineStr">
        <is>
          <t>Operating Profit</t>
        </is>
      </c>
      <c r="C8" s="12" t="n">
        <v>91795</v>
      </c>
      <c r="D8" s="13" t="n">
        <v>-197345</v>
      </c>
      <c r="E8" s="14">
        <f>IF(ISERROR((C8-D8)/ABS(D8)),"",(C8-D8)/ABS(D8))</f>
        <v>1.4651498644505814</v>
      </c>
      <c r="F8" s="11" t="inlineStr">
        <is>
          <t>PDF p.71 (印刷頁 70)</t>
        </is>
      </c>
      <c r="G8" s="11" t="inlineStr">
        <is>
          <t>PROFIT/(LOSS) FROM OPERATIONS 91,795 (197,345)</t>
        </is>
      </c>
    </row>
    <row r="9">
      <c r="A9" s="8" t="inlineStr">
        <is>
          <t>Income Statement</t>
        </is>
      </c>
      <c r="B9" s="8" t="inlineStr">
        <is>
          <t>Finance Costs</t>
        </is>
      </c>
      <c r="C9" s="12" t="n">
        <v>-8799</v>
      </c>
      <c r="D9" s="13" t="n">
        <v>-3941</v>
      </c>
      <c r="E9" s="14">
        <f>IF(ISERROR((C9-D9)/ABS(D9)),"",(C9-D9)/ABS(D9))</f>
        <v>-1.2326820603907638</v>
      </c>
      <c r="F9" s="11" t="inlineStr">
        <is>
          <t>PDF p.71 (印刷頁 70)</t>
        </is>
      </c>
      <c r="G9" s="11" t="inlineStr">
        <is>
          <t>Finance costs 9(a) (8,799) (3,941)</t>
        </is>
      </c>
    </row>
    <row r="10">
      <c r="A10" s="8" t="inlineStr">
        <is>
          <t>Income Statement</t>
        </is>
      </c>
      <c r="B10" s="8" t="inlineStr">
        <is>
          <t>Profit Before Tax</t>
        </is>
      </c>
      <c r="C10" s="12" t="n">
        <v>82996</v>
      </c>
      <c r="D10" s="13" t="n">
        <v>-201286</v>
      </c>
      <c r="E10" s="14">
        <f>IF(ISERROR((C10-D10)/ABS(D10)),"",(C10-D10)/ABS(D10))</f>
        <v>1.4123287262899555</v>
      </c>
      <c r="F10" s="11" t="inlineStr">
        <is>
          <t>PDF p.71 (印刷頁 70)</t>
        </is>
      </c>
      <c r="G10" s="11" t="inlineStr">
        <is>
          <t>PROFIT/(LOSS) BEFORE TAXATION 9 82,996 (201,286)</t>
        </is>
      </c>
    </row>
    <row r="11">
      <c r="A11" s="8" t="inlineStr">
        <is>
          <t>Income Statement</t>
        </is>
      </c>
      <c r="B11" s="8" t="inlineStr">
        <is>
          <t>Income Tax</t>
        </is>
      </c>
      <c r="C11" s="12" t="n">
        <v>-1229</v>
      </c>
      <c r="D11" s="13" t="n">
        <v>777</v>
      </c>
      <c r="E11" s="14">
        <f>IF(ISERROR((C11-D11)/ABS(D11)),"",(C11-D11)/ABS(D11))</f>
        <v>-2.5817245817245817</v>
      </c>
      <c r="F11" s="11" t="inlineStr">
        <is>
          <t>PDF p.71 (印刷頁 70)</t>
        </is>
      </c>
      <c r="G11" s="11" t="inlineStr">
        <is>
          <t>Income tax (expenses)/credit 10(a) (1,229) 777</t>
        </is>
      </c>
    </row>
    <row r="12">
      <c r="A12" s="8" t="inlineStr">
        <is>
          <t>Income Statement</t>
        </is>
      </c>
      <c r="B12" s="8" t="inlineStr">
        <is>
          <t>Profit for the Year</t>
        </is>
      </c>
      <c r="C12" s="12" t="n">
        <v>82106</v>
      </c>
      <c r="D12" s="13" t="n">
        <v>-198499</v>
      </c>
      <c r="E12" s="14">
        <f>IF(ISERROR((C12-D12)/ABS(D12)),"",(C12-D12)/ABS(D12))</f>
        <v>1.4136343256137311</v>
      </c>
      <c r="F12" s="11" t="inlineStr">
        <is>
          <t>PDF p.71 (印刷頁 70)</t>
        </is>
      </c>
      <c r="G12" s="11" t="inlineStr">
        <is>
          <t>PROFIT/(LOSS) FOR THE YEAR 82,106 (198,499)</t>
        </is>
      </c>
    </row>
    <row r="13">
      <c r="A13" s="8" t="inlineStr">
        <is>
          <t>Balance Sheet</t>
        </is>
      </c>
      <c r="B13" s="8" t="inlineStr">
        <is>
          <t>Property Plant and Equipment</t>
        </is>
      </c>
      <c r="C13" s="12" t="n">
        <v>10504</v>
      </c>
      <c r="D13" s="13" t="n">
        <v>29344</v>
      </c>
      <c r="E13" s="14">
        <f>IF(ISERROR((C13-D13)/ABS(D13)),"",(C13-D13)/ABS(D13))</f>
        <v>-0.6420392584514721</v>
      </c>
      <c r="F13" s="11" t="inlineStr">
        <is>
          <t>PDF p.74 (印刷頁 73)</t>
        </is>
      </c>
      <c r="G13" s="11" t="inlineStr">
        <is>
          <t>Property, plant and equipment 其他無形資產 17 10,504 29,344</t>
        </is>
      </c>
    </row>
    <row r="14">
      <c r="A14" s="8" t="inlineStr">
        <is>
          <t>Balance Sheet</t>
        </is>
      </c>
      <c r="B14" s="8" t="inlineStr">
        <is>
          <t>Goodwill</t>
        </is>
      </c>
      <c r="C14" s="12" t="n">
        <v>2971</v>
      </c>
      <c r="D14" s="13" t="n">
        <v>13351</v>
      </c>
      <c r="E14" s="14">
        <f>IF(ISERROR((C14-D14)/ABS(D14)),"",(C14-D14)/ABS(D14))</f>
        <v>-0.7774698524455097</v>
      </c>
      <c r="F14" s="11" t="inlineStr">
        <is>
          <t>PDF p.74 (印刷頁 73)</t>
        </is>
      </c>
      <c r="G14" s="11" t="inlineStr">
        <is>
          <t>Goodwill 於合營企業之權益 19 2,971 13,351</t>
        </is>
      </c>
    </row>
    <row r="15">
      <c r="A15" s="8" t="inlineStr">
        <is>
          <t>Balance Sheet</t>
        </is>
      </c>
      <c r="B15" s="8" t="inlineStr">
        <is>
          <t>Inventories</t>
        </is>
      </c>
      <c r="C15" s="12" t="n">
        <v>20125</v>
      </c>
      <c r="D15" s="13" t="n">
        <v>315</v>
      </c>
      <c r="E15" s="14">
        <f>IF(ISERROR((C15-D15)/ABS(D15)),"",(C15-D15)/ABS(D15))</f>
        <v>62.888888888888886</v>
      </c>
      <c r="F15" s="11" t="inlineStr">
        <is>
          <t>PDF p.74 (印刷頁 73)</t>
        </is>
      </c>
      <c r="G15" s="11" t="inlineStr">
        <is>
          <t>Inventories 貿易及其他應收款項 22 20,125 315</t>
        </is>
      </c>
    </row>
    <row r="16">
      <c r="A16" s="8" t="inlineStr">
        <is>
          <t>Balance Sheet</t>
        </is>
      </c>
      <c r="B16" s="8" t="inlineStr">
        <is>
          <t>Trade Receivables</t>
        </is>
      </c>
      <c r="C16" s="12" t="n">
        <v>22169</v>
      </c>
      <c r="D16" s="13" t="n">
        <v>8060</v>
      </c>
      <c r="E16" s="14">
        <f>IF(ISERROR((C16-D16)/ABS(D16)),"",(C16-D16)/ABS(D16))</f>
        <v>1.7504962779156328</v>
      </c>
      <c r="F16" s="11" t="inlineStr">
        <is>
          <t>PDF p.74 (印刷頁 73)</t>
        </is>
      </c>
      <c r="G16" s="11" t="inlineStr">
        <is>
          <t>Trade and other receivables 預付款項 23 22,169 8,060</t>
        </is>
      </c>
    </row>
    <row r="17">
      <c r="A17" s="8" t="inlineStr">
        <is>
          <t>Balance Sheet</t>
        </is>
      </c>
      <c r="B17" s="8" t="inlineStr">
        <is>
          <t>Cash and Equivalents</t>
        </is>
      </c>
      <c r="C17" s="12" t="n">
        <v>21357</v>
      </c>
      <c r="D17" s="13" t="n">
        <v>10701</v>
      </c>
      <c r="E17" s="14">
        <f>IF(ISERROR((C17-D17)/ABS(D17)),"",(C17-D17)/ABS(D17))</f>
        <v>0.9957947855340622</v>
      </c>
      <c r="F17" s="11" t="inlineStr">
        <is>
          <t>PDF p.74 (印刷頁 73)</t>
        </is>
      </c>
      <c r="G17" s="11" t="inlineStr">
        <is>
          <t>Cash and cash equivalents 25(a) 21,357 10,701</t>
        </is>
      </c>
    </row>
    <row r="18">
      <c r="A18" s="8" t="inlineStr">
        <is>
          <t>Balance Sheet</t>
        </is>
      </c>
      <c r="B18" s="8" t="inlineStr">
        <is>
          <t>Total Equity</t>
        </is>
      </c>
      <c r="C18" s="12" t="n">
        <v>27678</v>
      </c>
      <c r="D18" s="13" t="n">
        <v>-65134</v>
      </c>
      <c r="E18" s="14">
        <f>IF(ISERROR((C18-D18)/ABS(D18)),"",(C18-D18)/ABS(D18))</f>
        <v>1.424939355789603</v>
      </c>
      <c r="F18" s="11" t="inlineStr">
        <is>
          <t>PDF p.74 (印刷頁 73)</t>
        </is>
      </c>
      <c r="G18" s="11" t="inlineStr">
        <is>
          <t>Total equity/(capital deficiency) 27,678 (65,134)</t>
        </is>
      </c>
    </row>
    <row r="19">
      <c r="A19" s="8" t="inlineStr">
        <is>
          <t>Balance Sheet</t>
        </is>
      </c>
      <c r="B19" s="8" t="inlineStr">
        <is>
          <t>Total Current Assets</t>
        </is>
      </c>
      <c r="C19" s="12" t="n">
        <v>76263</v>
      </c>
      <c r="D19" s="13" t="n">
        <v>26337</v>
      </c>
      <c r="E19" s="14">
        <f>IF(ISERROR((C19-D19)/ABS(D19)),"",(C19-D19)/ABS(D19))</f>
        <v>1.8956600979610434</v>
      </c>
      <c r="F19" s="11" t="inlineStr">
        <is>
          <t>PDF p.74 (印刷頁 73)</t>
        </is>
      </c>
      <c r="G19" s="11" t="inlineStr">
        <is>
          <t>[current assets 區段小計] 76,263 26,337</t>
        </is>
      </c>
    </row>
    <row r="20">
      <c r="A20" s="8" t="inlineStr">
        <is>
          <t>Balance Sheet</t>
        </is>
      </c>
      <c r="B20" s="8" t="inlineStr">
        <is>
          <t>Total Current Liabilities</t>
        </is>
      </c>
      <c r="C20" s="12" t="n">
        <v>72705</v>
      </c>
      <c r="D20" s="13" t="n">
        <v>199510</v>
      </c>
      <c r="E20" s="14">
        <f>IF(ISERROR((C20-D20)/ABS(D20)),"",(C20-D20)/ABS(D20))</f>
        <v>-0.6355821763320134</v>
      </c>
      <c r="F20" s="11" t="inlineStr">
        <is>
          <t>PDF p.74 (印刷頁 73)</t>
        </is>
      </c>
      <c r="G20" s="11" t="inlineStr">
        <is>
          <t>[current liabilities 區段小計] 72,705 199,510</t>
        </is>
      </c>
    </row>
    <row r="22">
      <c r="A22"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財務數據'!$C$5:$C$20,MATCH("Gross Profit",'Financials 財務數據'!$B$5:$B$20,0))/INDEX('Financials 財務數據'!$C$5:$C$20,MATCH("Revenue",'Financials 財務數據'!$B$5:$B$20,0))),"n/a",INDEX('Financials 財務數據'!$C$5:$C$20,MATCH("Gross Profit",'Financials 財務數據'!$B$5:$B$20,0))/INDEX('Financials 財務數據'!$C$5:$C$20,MATCH("Revenue",'Financials 財務數據'!$B$5:$B$20,0)))</f>
        <v>0.07125457341828985</v>
      </c>
      <c r="C5" s="15">
        <f>IF(ISERROR(INDEX('Financials 財務數據'!$D$5:$D$20,MATCH("Gross Profit",'Financials 財務數據'!$B$5:$B$20,0))/INDEX('Financials 財務數據'!$D$5:$D$20,MATCH("Revenue",'Financials 財務數據'!$B$5:$B$20,0))),"n/a",INDEX('Financials 財務數據'!$D$5:$D$20,MATCH("Gross Profit",'Financials 財務數據'!$B$5:$B$20,0))/INDEX('Financials 財務數據'!$D$5:$D$20,MATCH("Revenue",'Financials 財務數據'!$B$5:$B$20,0)))</f>
        <v>0.17697433366238893</v>
      </c>
      <c r="D5" s="2" t="inlineStr">
        <is>
          <t>毛利 ÷ 收入</t>
        </is>
      </c>
    </row>
    <row r="6">
      <c r="A6" s="4" t="inlineStr">
        <is>
          <t>Net Margin 淨利率</t>
        </is>
      </c>
      <c r="B6" s="15">
        <f>IF(ISERROR(INDEX('Financials 財務數據'!$C$5:$C$20,MATCH("Profit for the Year",'Financials 財務數據'!$B$5:$B$20,0))/INDEX('Financials 財務數據'!$C$5:$C$20,MATCH("Revenue",'Financials 財務數據'!$B$5:$B$20,0))),"n/a",INDEX('Financials 財務數據'!$C$5:$C$20,MATCH("Profit for the Year",'Financials 財務數據'!$B$5:$B$20,0))/INDEX('Financials 財務數據'!$C$5:$C$20,MATCH("Revenue",'Financials 財務數據'!$B$5:$B$20,0)))</f>
        <v>0.7843448190215989</v>
      </c>
      <c r="C6" s="15">
        <f>IF(ISERROR(INDEX('Financials 財務數據'!$D$5:$D$20,MATCH("Profit for the Year",'Financials 財務數據'!$B$5:$B$20,0))/INDEX('Financials 財務數據'!$D$5:$D$20,MATCH("Revenue",'Financials 財務數據'!$B$5:$B$20,0))),"n/a",INDEX('Financials 財務數據'!$D$5:$D$20,MATCH("Profit for the Year",'Financials 財務數據'!$B$5:$B$20,0))/INDEX('Financials 財務數據'!$D$5:$D$20,MATCH("Revenue",'Financials 財務數據'!$B$5:$B$20,0)))</f>
        <v>-4.898790720631787</v>
      </c>
      <c r="D6" s="2" t="inlineStr">
        <is>
          <t>年內溢利 ÷ 收入</t>
        </is>
      </c>
    </row>
    <row r="7">
      <c r="A7" s="4" t="inlineStr">
        <is>
          <t>Current Ratio 流動比率</t>
        </is>
      </c>
      <c r="B7" s="16">
        <f>IF(ISERROR(INDEX('Financials 財務數據'!$C$5:$C$20,MATCH("Total Current Assets",'Financials 財務數據'!$B$5:$B$20,0))/INDEX('Financials 財務數據'!$C$5:$C$20,MATCH("Total Current Liabilities",'Financials 財務數據'!$B$5:$B$20,0))),"n/a",INDEX('Financials 財務數據'!$C$5:$C$20,MATCH("Total Current Assets",'Financials 財務數據'!$B$5:$B$20,0))/INDEX('Financials 財務數據'!$C$5:$C$20,MATCH("Total Current Liabilities",'Financials 財務數據'!$B$5:$B$20,0)))</f>
        <v>1.048937487105426</v>
      </c>
      <c r="C7" s="16">
        <f>IF(ISERROR(INDEX('Financials 財務數據'!$D$5:$D$20,MATCH("Total Current Assets",'Financials 財務數據'!$B$5:$B$20,0))/INDEX('Financials 財務數據'!$D$5:$D$20,MATCH("Total Current Liabilities",'Financials 財務數據'!$B$5:$B$20,0))),"n/a",INDEX('Financials 財務數據'!$D$5:$D$20,MATCH("Total Current Assets",'Financials 財務數據'!$B$5:$B$20,0))/INDEX('Financials 財務數據'!$D$5:$D$20,MATCH("Total Current Liabilities",'Financials 財務數據'!$B$5:$B$20,0)))</f>
        <v>0.13200842063054483</v>
      </c>
      <c r="D7" s="2" t="inlineStr">
        <is>
          <t>流動資產 ÷ 流動負債</t>
        </is>
      </c>
    </row>
    <row r="8">
      <c r="A8" s="4" t="inlineStr">
        <is>
          <t>Debt / Equity 負債權益比</t>
        </is>
      </c>
      <c r="B8" s="16" t="str">
        <f>IF(ISERROR(INDEX('Financials 財務數據'!$C$5:$C$20,MATCH("Total Liabilities",'Financials 財務數據'!$B$5:$B$20,0))/INDEX('Financials 財務數據'!$C$5:$C$20,MATCH("Total Equity",'Financials 財務數據'!$B$5:$B$20,0))),"n/a",INDEX('Financials 財務數據'!$C$5:$C$20,MATCH("Total Liabilities",'Financials 財務數據'!$B$5:$B$20,0))/INDEX('Financials 財務數據'!$C$5:$C$20,MATCH("Total Equity",'Financials 財務數據'!$B$5:$B$20,0)))</f>
        <v>n/a</v>
      </c>
      <c r="C8" s="16" t="str">
        <f>IF(ISERROR(INDEX('Financials 財務數據'!$D$5:$D$20,MATCH("Total Liabilities",'Financials 財務數據'!$B$5:$B$20,0))/INDEX('Financials 財務數據'!$D$5:$D$20,MATCH("Total Equity",'Financials 財務數據'!$B$5:$B$20,0))),"n/a",INDEX('Financials 財務數據'!$D$5:$D$20,MATCH("Total Liabilities",'Financials 財務數據'!$B$5:$B$20,0))/INDEX('Financials 財務數據'!$D$5:$D$20,MATCH("Total Equity",'Financials 財務數據'!$B$5:$B$20,0)))</f>
        <v>n/a</v>
      </c>
      <c r="D8" s="2" t="inlineStr">
        <is>
          <t>總負債 ÷ 總權益</t>
        </is>
      </c>
    </row>
    <row r="9">
      <c r="A9" s="4" t="inlineStr">
        <is>
          <t>Goodwill / Total Assets</t>
        </is>
      </c>
      <c r="B9" s="15" t="str">
        <f>IF(ISERROR(INDEX('Financials 財務數據'!$C$5:$C$20,MATCH("Goodwill",'Financials 財務數據'!$B$5:$B$20,0))/INDEX('Financials 財務數據'!$C$5:$C$20,MATCH("Total Assets",'Financials 財務數據'!$B$5:$B$20,0))),"n/a",INDEX('Financials 財務數據'!$C$5:$C$20,MATCH("Goodwill",'Financials 財務數據'!$B$5:$B$20,0))/INDEX('Financials 財務數據'!$C$5:$C$20,MATCH("Total Assets",'Financials 財務數據'!$B$5:$B$20,0)))</f>
        <v>n/a</v>
      </c>
      <c r="C9" s="15" t="str">
        <f>IF(ISERROR(INDEX('Financials 財務數據'!$D$5:$D$20,MATCH("Goodwill",'Financials 財務數據'!$B$5:$B$20,0))/INDEX('Financials 財務數據'!$D$5:$D$20,MATCH("Total Assets",'Financials 財務數據'!$B$5:$B$20,0))),"n/a",INDEX('Financials 財務數據'!$D$5:$D$20,MATCH("Goodwill",'Financials 財務數據'!$B$5:$B$20,0))/INDEX('Financials 財務數據'!$D$5:$D$20,MATCH("Total Assets",'Financials 財務數據'!$B$5:$B$20,0)))</f>
        <v>n/a</v>
      </c>
      <c r="D9" s="2" t="inlineStr">
        <is>
          <t>商譽佔總資產比重 — 減值風險指標</t>
        </is>
      </c>
    </row>
    <row r="10">
      <c r="A10" s="4" t="inlineStr">
        <is>
          <t>Intangibles / Total Assets</t>
        </is>
      </c>
      <c r="B10" s="15" t="str">
        <f>IF(ISERROR(INDEX('Financials 財務數據'!$C$5:$C$20,MATCH("Intangible Assets",'Financials 財務數據'!$B$5:$B$20,0))/INDEX('Financials 財務數據'!$C$5:$C$20,MATCH("Total Assets",'Financials 財務數據'!$B$5:$B$20,0))),"n/a",INDEX('Financials 財務數據'!$C$5:$C$20,MATCH("Intangible Assets",'Financials 財務數據'!$B$5:$B$20,0))/INDEX('Financials 財務數據'!$C$5:$C$20,MATCH("Total Assets",'Financials 財務數據'!$B$5:$B$20,0)))</f>
        <v>n/a</v>
      </c>
      <c r="C10" s="15" t="str">
        <f>IF(ISERROR(INDEX('Financials 財務數據'!$D$5:$D$20,MATCH("Intangible Assets",'Financials 財務數據'!$B$5:$B$20,0))/INDEX('Financials 財務數據'!$D$5:$D$20,MATCH("Total Assets",'Financials 財務數據'!$B$5:$B$20,0))),"n/a",INDEX('Financials 財務數據'!$D$5:$D$20,MATCH("Intangible Assets",'Financials 財務數據'!$B$5:$B$20,0))/INDEX('Financials 財務數據'!$D$5:$D$20,MATCH("Total Assets",'Financials 財務數據'!$B$5:$B$20,0)))</f>
        <v>n/a</v>
      </c>
      <c r="D10" s="2" t="inlineStr">
        <is>
          <t>無形資產佔比</t>
        </is>
      </c>
    </row>
    <row r="11">
      <c r="A11" s="4" t="inlineStr">
        <is>
          <t>ROE 股本回報率</t>
        </is>
      </c>
      <c r="B11" s="15">
        <f>IF(ISERROR(INDEX('Financials 財務數據'!$C$5:$C$20,MATCH("Profit for the Year",'Financials 財務數據'!$B$5:$B$20,0))/INDEX('Financials 財務數據'!$C$5:$C$20,MATCH("Total Equity",'Financials 財務數據'!$B$5:$B$20,0))),"n/a",INDEX('Financials 財務數據'!$C$5:$C$20,MATCH("Profit for the Year",'Financials 財務數據'!$B$5:$B$20,0))/INDEX('Financials 財務數據'!$C$5:$C$20,MATCH("Total Equity",'Financials 財務數據'!$B$5:$B$20,0)))</f>
        <v>2.9664715658645857</v>
      </c>
      <c r="C11" s="15">
        <f>IF(ISERROR(INDEX('Financials 財務數據'!$D$5:$D$20,MATCH("Profit for the Year",'Financials 財務數據'!$B$5:$B$20,0))/INDEX('Financials 財務數據'!$D$5:$D$20,MATCH("Total Equity",'Financials 財務數據'!$B$5:$B$20,0))),"n/a",INDEX('Financials 財務數據'!$D$5:$D$20,MATCH("Profit for the Year",'Financials 財務數據'!$B$5:$B$20,0))/INDEX('Financials 財務數據'!$D$5:$D$20,MATCH("Total Equity",'Financials 財務數據'!$B$5:$B$20,0)))</f>
        <v>3.0475481315442012</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40520</v>
      </c>
      <c r="C5" s="18" t="n">
        <v>104681</v>
      </c>
    </row>
    <row r="6">
      <c r="A6" s="4" t="inlineStr">
        <is>
          <t>Gross Profit</t>
        </is>
      </c>
      <c r="B6" s="18" t="n">
        <v>7171</v>
      </c>
      <c r="C6" s="18" t="n">
        <v>7459</v>
      </c>
    </row>
    <row r="7">
      <c r="A7" s="4" t="inlineStr">
        <is>
          <t>Profit Before Tax</t>
        </is>
      </c>
      <c r="B7" s="18" t="n">
        <v>-201286</v>
      </c>
      <c r="C7" s="18" t="n">
        <v>82996</v>
      </c>
    </row>
    <row r="8">
      <c r="A8" s="4" t="inlineStr">
        <is>
          <t>Profit for the Year</t>
        </is>
      </c>
      <c r="B8" s="18" t="n">
        <v>-198499</v>
      </c>
      <c r="C8" s="18" t="n">
        <v>82106</v>
      </c>
    </row>
    <row r="9">
      <c r="A9" s="4" t="inlineStr">
        <is>
          <t>Total Equity</t>
        </is>
      </c>
      <c r="B9" s="18" t="n">
        <v>-65134</v>
      </c>
      <c r="C9" s="18" t="n">
        <v>27678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39"/>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fair value hierarchy</t>
        </is>
      </c>
      <c r="E4" s="11" t="inlineStr">
        <is>
          <t>PDF p.162 (印刷頁 161)</t>
        </is>
      </c>
      <c r="F4" s="11" t="inlineStr">
        <is>
          <t>to IFC (see notes 26(ii) and 41(i)). 付予IFC之賠償（見附註26(ii)及41(i)）。 投資物業的公平價值計量 Fair value measurement of investment property 公平價值層級 (i) Fair value hierarchy (i) 下表呈列本集團投資物業於報 The following table presents the fair value of the Group’s 告期末按經常性基準計量並分 investment property measured at the end of the reporting 類為三個等級公平價值層級（定 period on a recurring basis, categorised into the three- 義見國際財務報告準則第13號 level fair value hierarchy as defined in IFRS 13 “Fair Value 「公平價值計量」（「國際財務報 Measurement”(“IFRS 13”). The level into which a fair value 告準則第13號」</t>
        </is>
      </c>
    </row>
    <row r="5">
      <c r="A5" s="8" t="inlineStr">
        <is>
          <t>Fair Value Measurement</t>
        </is>
      </c>
      <c r="B5" s="8" t="inlineStr">
        <is>
          <t>公允價值計量</t>
        </is>
      </c>
      <c r="C5" s="19" t="inlineStr">
        <is>
          <t>high</t>
        </is>
      </c>
      <c r="D5" s="11" t="inlineStr">
        <is>
          <t>fair value hierarchy</t>
        </is>
      </c>
      <c r="E5" s="11" t="inlineStr">
        <is>
          <t>PDF p.163 (印刷頁 162)</t>
        </is>
      </c>
      <c r="F5" s="11" t="inlineStr">
        <is>
          <t>物業（續） 16. INVESTMENT PROPERTY (Continued) 16. 投資物業的公平價值計量（續） Fair value measurement of investment property (Continued) 公平價值層級（續） (i) Fair value hierarchy (Continued) (i) Fair value measurements as at 31 March 2026 categorised into 於二零二六年三月三十一日之公平價值計量分類為 Fair value at 31 March 2026 Level 1 Level 2 Level 3 於二零二六年 三月三十一日 之公平價值 第一級 第二級 第三級 HK$’000 HK$’000 HK$’000 HK$’000 千港元 千港元 千港元 千港元 經常性公平價值計量 Recurring fair value measurement 位於澳洲之 Investment property 投資物業 located in Australia – – – – Fair value measurements as at 31 March 2025</t>
        </is>
      </c>
    </row>
    <row r="6">
      <c r="A6" s="8" t="inlineStr">
        <is>
          <t>Fair Value Measurement</t>
        </is>
      </c>
      <c r="B6" s="8" t="inlineStr">
        <is>
          <t>公允價值計量</t>
        </is>
      </c>
      <c r="C6" s="19" t="inlineStr">
        <is>
          <t>high</t>
        </is>
      </c>
      <c r="D6" s="11" t="inlineStr">
        <is>
          <t>fair value hierarchy</t>
        </is>
      </c>
      <c r="E6" s="11" t="inlineStr">
        <is>
          <t>PDF p.164 (印刷頁 163)</t>
        </is>
      </c>
      <c r="F6" s="11" t="inlineStr">
        <is>
          <t>物業（續） 16. INVESTMENT PROPERTY (Continued) 16. 投資物業的公平價值計量（續） Fair value measurement of investment property (Continued) 公平價值層級（續） (i) Fair value hierarchy (Continued) (i) 於截至二零二六年及二零二五 During the years ended 31 March 2026 and 2025, there were 年三月三十一日止年度，並無第 no transfers between Level 1 and Level 2, or transfers into 一級及第二級間之轉撥，或自第 or out of Level 3. The Group’s policy is to recognise transfers 三級轉入或轉出。本集團之政策 between levels of fair value hierarchy as at the end of the 為於公平價值層級各等級間之 reporting period in which they occur. 轉撥產生之報告期末確</t>
        </is>
      </c>
    </row>
    <row r="7">
      <c r="A7" s="8" t="inlineStr">
        <is>
          <t>Fair Value Measurement</t>
        </is>
      </c>
      <c r="B7" s="8" t="inlineStr">
        <is>
          <t>公允價值計量</t>
        </is>
      </c>
      <c r="C7" s="19" t="inlineStr">
        <is>
          <t>high</t>
        </is>
      </c>
      <c r="D7" s="11" t="inlineStr">
        <is>
          <t>fair value hierarchy</t>
        </is>
      </c>
      <c r="E7" s="11" t="inlineStr">
        <is>
          <t>PDF p.223 (印刷頁 222)</t>
        </is>
      </c>
      <c r="F7" s="11" t="inlineStr">
        <is>
          <t>L INSTRUMENTS (Continued) 公平價值計量 (f) Fair value measurement (f) 按公平價值計量的金融資 (i) Financial assets measured at fair value (i) 產 公平價值層級 Fair value hierarchy 下表呈列本集團金融工具 The following table presents the fair value of the Group’s 於報告期末按經常性基準 financial instruments measured at the end of the 計量並分類為三個等級公 reporting period on a recurring basis, categorised into 平價值層級（定義見國際 the three-level fair value hierarchy as defined in IFRS 13. 財務報告準則第13號）的 The level into which a fair value measurement is classified 公平價值。公平價值計量 is determined with ref</t>
        </is>
      </c>
    </row>
    <row r="8">
      <c r="A8" s="8" t="inlineStr">
        <is>
          <t>Fair Value Measurement</t>
        </is>
      </c>
      <c r="B8" s="8" t="inlineStr">
        <is>
          <t>公允價值計量</t>
        </is>
      </c>
      <c r="C8" s="19" t="inlineStr">
        <is>
          <t>high</t>
        </is>
      </c>
      <c r="D8" s="11" t="inlineStr">
        <is>
          <t>fair value hierarchy</t>
        </is>
      </c>
      <c r="E8" s="11" t="inlineStr">
        <is>
          <t>PDF p.224 (印刷頁 223)</t>
        </is>
      </c>
      <c r="F8" s="11" t="inlineStr">
        <is>
          <t>續） (f) Fair value measurement (Continued) (f) 按公平價值計量的金融資 (i) Financial assets measured at fair value (Continued) (i) 產（續） 公平價值層級（續） Fair value hierarchy (Continued) Fair value measurements as at 31 March 2026 categorised into 於二零二六年三月三十一日 fair value hierarchy 分類至公平價值層級之公平價值計量 Fair value at 31 March 於二零二六年 2026 Level 1 Level 2 Level 3 三月三十一日 之公平價值 第一級 第二級 第三級 HK$’000 HK$’000 HK$’000 HK$’000 千港元 千港元 千港元 千港元 經常性公平價值 Recurring fair value 計量： measurement: 資產 Assets 按公平價值計入 Financial assets at 損益之金融資產 fair value through profit or lo</t>
        </is>
      </c>
    </row>
    <row r="9">
      <c r="A9" s="8" t="inlineStr">
        <is>
          <t>Impairment Testing</t>
        </is>
      </c>
      <c r="B9" s="8" t="inlineStr">
        <is>
          <t>減值測試</t>
        </is>
      </c>
      <c r="C9" s="19" t="inlineStr">
        <is>
          <t>high</t>
        </is>
      </c>
      <c r="D9" s="11" t="inlineStr">
        <is>
          <t>impairment loss</t>
        </is>
      </c>
      <c r="E9" s="11" t="inlineStr">
        <is>
          <t>PDF p.11 (印刷頁 10)</t>
        </is>
      </c>
      <c r="F9" s="11" t="inlineStr">
        <is>
          <t>HK$53.0 million)) of abovementioned credit-impaired Long Outstanding 月三十一日：10.9百萬澳元（相等於53.0百萬 Trade Receivables) and resulted a net impairment losses on trade receivables 港元））的上述經信貸減值的長期未償還貿易 of HK$0.3 million (2025: HK$22.5 million) recognised in the consolidated 應收款項全額），並導致截至二零二六年三月 statement of profit or loss for the year ended 31 March 2026. As compared 三十一日止年度的綜合損益表中確認貿易應 with the year ended 31 March 2025, the increase in the balance of loss 收款項減值虧損淨額0.3百萬港元（二零二五 allowances recognised as at 31 March 2026 mainly results fr</t>
        </is>
      </c>
    </row>
    <row r="10">
      <c r="A10" s="8" t="inlineStr">
        <is>
          <t>Impairment Testing</t>
        </is>
      </c>
      <c r="B10" s="8" t="inlineStr">
        <is>
          <t>減值測試</t>
        </is>
      </c>
      <c r="C10" s="19" t="inlineStr">
        <is>
          <t>high</t>
        </is>
      </c>
      <c r="D10" s="11" t="inlineStr">
        <is>
          <t>impairment loss</t>
        </is>
      </c>
      <c r="E10" s="11" t="inlineStr">
        <is>
          <t>PDF p.14 (印刷頁 13)</t>
        </is>
      </c>
      <c r="F10" s="11" t="inlineStr">
        <is>
          <t>e Group did not 三月三十一日及截至該日止年度，本集團並 hold other significant investments as at and for the year ended 31 March 無持有其他重大投資。 2026. 商譽減值虧損 IMPAIRMENT LOSSES ON GOODWILL 於二零二四年六月十一日，Vantage On 11 June 2024, Vantage Edge Investments Limited (“Vantage Edge”), a Edge Limited（「Vantage Edge」，本公 direct wholly-owned subsidiary of the Company and as purchaser, entered Investments 司的直接全資附屬公司及作為買方）與Allied into a sale and purchase agreement with Allied Services Holding Limited Limited（「Allied Services」， (“Allied Services”), as vendor, pursuant t</t>
        </is>
      </c>
    </row>
    <row r="11">
      <c r="A11" s="8" t="inlineStr">
        <is>
          <t>Impairment Testing</t>
        </is>
      </c>
      <c r="B11" s="8" t="inlineStr">
        <is>
          <t>減值測試</t>
        </is>
      </c>
      <c r="C11" s="19" t="inlineStr">
        <is>
          <t>high</t>
        </is>
      </c>
      <c r="D11" s="11" t="inlineStr">
        <is>
          <t>impairment test</t>
        </is>
      </c>
      <c r="E11" s="11" t="inlineStr">
        <is>
          <t>PDF p.15 (印刷頁 14)</t>
        </is>
      </c>
      <c r="F11" s="11" t="inlineStr">
        <is>
          <t>單位可能出現減值時則須更頻密地進行。就 frequently whenever there is indication that the unit may be impaired. For 減值測試而言，商譽的總賬面值約5.0百萬港 the purposes of impairment testing, the total carrying amount of goodwill 元已分配至現金產生單位，包括Vantage of approximately HK$5.0 million has been allocated to the CGU, including Edge （「物流業務現金產生單位」）。 Vantage Edge (the “Logistics Business CGU”). 截至二零二六年三月三十一日止年度，合盈 During the year ended 31 March 2026, the operating results of Welfit Group 集團的營運結果未達預期。主要歸因於鄰近 underperformed. This was primarily attributable to a softening of</t>
        </is>
      </c>
    </row>
    <row r="12">
      <c r="A12" s="8" t="inlineStr">
        <is>
          <t>Impairment Testing</t>
        </is>
      </c>
      <c r="B12" s="8" t="inlineStr">
        <is>
          <t>減值測試</t>
        </is>
      </c>
      <c r="C12" s="19" t="inlineStr">
        <is>
          <t>high</t>
        </is>
      </c>
      <c r="D12" s="11" t="inlineStr">
        <is>
          <t>recoverable amount</t>
        </is>
      </c>
      <c r="E12" s="11" t="inlineStr">
        <is>
          <t>PDF p.66 (印刷頁 65)</t>
        </is>
      </c>
      <c r="F12" s="11" t="inlineStr">
        <is>
          <t>面值分別為10,504,000港元、40,000港元及2,971,000港元。 • e v a l u a t i n g t h e c o m p e t e n c e , experience, capability and objectivity The recoverable amounts are based on value in use calculations using of the external valuer engaged by discounted cash flow model, which require significant assumptions management to perform the valuation and estimates with respect to the discount rates and the forecasted of the relevant CGUs; 評價管理層所委聘為對相關現金產生 cash flows, in particular the revenue growth rate, taking into account • 單位進行估算的外部估值師的資歷、 th</t>
        </is>
      </c>
    </row>
    <row r="13">
      <c r="A13" s="8" t="inlineStr">
        <is>
          <t>Impairment Testing</t>
        </is>
      </c>
      <c r="B13" s="8" t="inlineStr">
        <is>
          <t>減值測試</t>
        </is>
      </c>
      <c r="C13" s="19" t="inlineStr">
        <is>
          <t>high</t>
        </is>
      </c>
      <c r="D13" s="11" t="inlineStr">
        <is>
          <t>impairment test</t>
        </is>
      </c>
      <c r="E13" s="11" t="inlineStr">
        <is>
          <t>PDF p.67 (印刷頁 66)</t>
        </is>
      </c>
      <c r="F13" s="11" t="inlineStr">
        <is>
          <t>金流量預測所採 • 用的每項主要假設而編製的敏感度分 析，並考慮出現錯誤或管理層偏差的 可能性；及 • assessing the disclosures in the consolidated financial statements in respect of impairment testing with reference to the requirements of the prevailing accounting standards. 參考現行會計準則的規定，評估綜合 • 財務報表中有關減值測試的披露。 66 LIMITED • Annual ALPHA PROFESSIONAL HOLDINGS Report 2026</t>
        </is>
      </c>
    </row>
    <row r="14">
      <c r="A14" s="8" t="inlineStr">
        <is>
          <t>Impairment Testing</t>
        </is>
      </c>
      <c r="B14" s="8" t="inlineStr">
        <is>
          <t>減值測試</t>
        </is>
      </c>
      <c r="C14" s="19" t="inlineStr">
        <is>
          <t>high</t>
        </is>
      </c>
      <c r="D14" s="11" t="inlineStr">
        <is>
          <t>impairment loss</t>
        </is>
      </c>
      <c r="E14" s="11" t="inlineStr">
        <is>
          <t>PDF p.71 (印刷頁 70)</t>
        </is>
      </c>
      <c r="F14" s="11" t="inlineStr">
        <is>
          <t>enue 6(a) 104,681 40,520 銷售及提供服務之成本 Cost of sales and services rendered (97,222) (33,349) 毛利 Gross profit 7,459 7,171 金融資產減值虧損淨額 Net impairment losses of financial assets 37(a) (326) (27,306) 商譽減值虧損 Impairment losses on goodwill 19 (2,000) (3,030) 其他收入 Other income 7 817 2,262 其他收益及虧損，淨額 Other gains and losses, net 8 113,589 (120,859) 銷售及分銷開支 Selling and distribution costs (6,515) (14,815) 行政費用 Administrative expenses (21,229) (40,768) 來自經營之溢利╱（虧損） PROFIT/(LOSS) FROM OPERATIONS 91,795 (197,345) 融資成本 Finance costs 9(a) (8,799) (</t>
        </is>
      </c>
    </row>
    <row r="15">
      <c r="A15" s="8" t="inlineStr">
        <is>
          <t>Impairment Testing</t>
        </is>
      </c>
      <c r="B15" s="8" t="inlineStr">
        <is>
          <t>減值測試</t>
        </is>
      </c>
      <c r="C15" s="19" t="inlineStr">
        <is>
          <t>high</t>
        </is>
      </c>
      <c r="D15" s="11" t="inlineStr">
        <is>
          <t>impairment loss</t>
        </is>
      </c>
      <c r="E15" s="11" t="inlineStr">
        <is>
          <t>PDF p.76 (印刷頁 75)</t>
        </is>
      </c>
      <c r="F15" s="11" t="inlineStr">
        <is>
          <t>epreciation 9(c) 18,988 10,117 其他無形資產之 Amortisation of other intangible 攤銷 assets 9(c) &amp; 11 1,158 1,705 金融資產減值虧損撥備 Net provision for impairment losses 淨額 on financial assets 9(c) 330 27,220 商譽減值虧損 Impairment losses on goodwill 9(c) 2,000 3,030 補償撥備 Provisions for compensation 8 – 125,220 因以權益工具清償金融 Loss on extinguishment of financial 負債而產生的虧損 liability with equity instruments 8 700 – 出售附屬公司的收益 Gain on disposal of subsidiaries 8 (133,818) – 應付賠償之 Penalty interest on compensation 罰息 payables 8 10,950 – 出售投資物業的 Gain on disposal of</t>
        </is>
      </c>
    </row>
    <row r="16">
      <c r="A16" s="8" t="inlineStr">
        <is>
          <t>Impairment Testing</t>
        </is>
      </c>
      <c r="B16" s="8" t="inlineStr">
        <is>
          <t>減值測試</t>
        </is>
      </c>
      <c r="C16" s="19" t="inlineStr">
        <is>
          <t>high</t>
        </is>
      </c>
      <c r="D16" s="11" t="inlineStr">
        <is>
          <t>可收回金額</t>
        </is>
      </c>
      <c r="E16" s="11" t="inlineStr">
        <is>
          <t>PDF p.81 (印刷頁 80)</t>
        </is>
      </c>
      <c r="F16" s="11" t="inlineStr">
        <is>
          <t>施並持續經營，則須作出調 plans and measures and operate as a going concern, 整，將本集團資產的賬面值撇減 adjustments would have to be made to write down the 至其可收回金額，為任何可能產 carrying values of the Group’s assets to their recoverable 生的進一步負債作出撥備，並將 amounts, to provide for any further liabilities that might arise, 非流動資產及非流動負債分別 and to reclassify non-current assets and non-current liabilities 重新分類為流動資產及流動負 as current assets and current liabilities, respectively. The 債。該等調整的影響並未反映在 effects of these adjustments have not been reflected in these 綜合財務報表中。 consoli</t>
        </is>
      </c>
    </row>
    <row r="17">
      <c r="A17" s="8" t="inlineStr">
        <is>
          <t>Impairment Testing</t>
        </is>
      </c>
      <c r="B17" s="8" t="inlineStr">
        <is>
          <t>減值測試</t>
        </is>
      </c>
      <c r="C17" s="19" t="inlineStr">
        <is>
          <t>high</t>
        </is>
      </c>
      <c r="D17" s="11" t="inlineStr">
        <is>
          <t>impairment loss</t>
        </is>
      </c>
      <c r="E17" s="11" t="inlineStr">
        <is>
          <t>PDF p.94 (印刷頁 93)</t>
        </is>
      </c>
      <c r="F17" s="11" t="inlineStr">
        <is>
          <t>本公司財務狀況表中，於附屬公 In the Company’s statement of financial position, an investment 司的投資按成本減去減值虧損 in a subsidiary is stated at cost less impairment losses (see note 列賬（見附註2(l)(ii)），惟有關投 2(l)(ii)), unless the investment is classified as held for sale (or 資分類為持作出售（或納入已分 included in a disposal group that is classified as held for sale). 類為持作出售的出售組別）則除 外。 業務合併及資產收購 (f) Business combinations and asset acquisitions (f) 業務合併 Business combinations 可選集中度測試 Optional concentration test 本集團可選擇按每項交易採用 The Group can elect to apply an optional co</t>
        </is>
      </c>
    </row>
    <row r="18">
      <c r="A18" s="8" t="inlineStr">
        <is>
          <t>Impairment Testing</t>
        </is>
      </c>
      <c r="B18" s="8" t="inlineStr">
        <is>
          <t>減值測試</t>
        </is>
      </c>
      <c r="C18" s="19" t="inlineStr">
        <is>
          <t>high</t>
        </is>
      </c>
      <c r="D18" s="11" t="inlineStr">
        <is>
          <t>impairment test</t>
        </is>
      </c>
      <c r="E18" s="11" t="inlineStr">
        <is>
          <t>PDF p.98 (印刷頁 97)</t>
        </is>
      </c>
      <c r="F18" s="11" t="inlineStr">
        <is>
          <t>at the date of acquisition of the business 值虧損（如有）列賬。 less accumulated impairment losses, if any. 為進行減值測試，商譽會被分配 For the purposes of impairment testing, goodwill is allocated to 至預期可受惠於合併的協同效 each of the Group’s cash-generating units (or groups of cash 益的本集團各現金產生單位（或 generating units) that is expected to benefit from the synergies 現金產生單位組別），即就內部 of the combination, which represents the lowest level at which 管理而言監控商譽且在彙總前 the goodwill is monitored for internal management purposes 不大於經營分部的最低層級。 and not larger than an operating se</t>
        </is>
      </c>
    </row>
    <row r="19">
      <c r="A19" s="8" t="inlineStr">
        <is>
          <t>Impairment Testing</t>
        </is>
      </c>
      <c r="B19" s="8" t="inlineStr">
        <is>
          <t>減值測試</t>
        </is>
      </c>
      <c r="C19" s="19" t="inlineStr">
        <is>
          <t>high</t>
        </is>
      </c>
      <c r="D19" s="11" t="inlineStr">
        <is>
          <t>impairment loss</t>
        </is>
      </c>
      <c r="E19" s="11" t="inlineStr">
        <is>
          <t>PDF p.100 (印刷頁 99)</t>
        </is>
      </c>
      <c r="F19" s="11" t="inlineStr">
        <is>
          <t>物業、廠房及設備項目按 The following items of property, plant and equipment are stated 成本減累計折舊及減值虧損列賬 at cost less accumulated depreciation and impairment losses （見附註2(l)(ii)）： (see note 2(l)(ii)): － 倘本集團並非物業權益 – right-of-use assets arising from leases over leasehold 的註冊擁有人，因租賃物 properties where the Group is not the registered owner of 業的租賃所產生的使權資 the property interest; and 產；及 － 其他物業、廠房及設備項 – other items of property, plant and equipment, including 目（包括租賃相關廠房及 right-of-use assets arising from leases of underlying plant 設備所產生的使用權資 and equi</t>
        </is>
      </c>
    </row>
    <row r="20">
      <c r="A20" s="8" t="inlineStr">
        <is>
          <t>Impairment Testing</t>
        </is>
      </c>
      <c r="B20" s="8" t="inlineStr">
        <is>
          <t>減值測試</t>
        </is>
      </c>
      <c r="C20" s="19" t="inlineStr">
        <is>
          <t>high</t>
        </is>
      </c>
      <c r="D20" s="11" t="inlineStr">
        <is>
          <t>recoverable amount</t>
        </is>
      </c>
      <c r="E20" s="11" t="inlineStr">
        <is>
          <t>PDF p.101 (印刷頁 100)</t>
        </is>
      </c>
      <c r="F20" s="11" t="inlineStr">
        <is>
          <t>erty, plant and equipment (Continued) (h) 倘資產賬面值高於預計可收回 An asset’s carrying amount is written down immediately to its 金額，則立即撇減該資產賬面值 recoverable amount if the asset’s carrying amount is greater 至可收回金額。 than its estimated recoverable amount. 來自報廢或出售物業、廠房及設 Gain or loss arising from the retirement or disposal of an item of 備項目的收益或虧損，按出售所 property, plant and equipment is determined as the difference 得款項淨額與項目賬面值之間 between the net proceeds on disposal and the carrying amount 的差額釐定，並於報廢或出售日 of the item and is recognised in profit or</t>
        </is>
      </c>
    </row>
    <row r="21">
      <c r="A21" s="8" t="inlineStr">
        <is>
          <t>Impairment Testing</t>
        </is>
      </c>
      <c r="B21" s="8" t="inlineStr">
        <is>
          <t>減值測試</t>
        </is>
      </c>
      <c r="C21" s="19" t="inlineStr">
        <is>
          <t>high</t>
        </is>
      </c>
      <c r="D21" s="11" t="inlineStr">
        <is>
          <t>impairment loss</t>
        </is>
      </c>
      <c r="E21" s="11" t="inlineStr">
        <is>
          <t>PDF p.102 (印刷頁 101)</t>
        </is>
      </c>
      <c r="F21" s="11" t="inlineStr">
        <is>
          <t>bination with finite useful lives are carried 資產按成本減累計攤銷及任何 at cost less accumulated amortisation and any accumulated 累計減值虧損列賬。具有有限可 impairment losses. Amortisation for intangible assets with 使用年期的無形資產攤銷於其 finite useful lives is recognised on a straight-line basis over 估計可使用年期內以直線法確 their estimated useful lives. The estimated useful lives and 認。估計可使用年期及攤銷方法 amortisation method are reviewed at the end of each reporting 於各報告期末審閱，任何估計變 period, with the effect of any changes in estimate being 動影響按預期基準入賬。具有無 accounted for on a prosp</t>
        </is>
      </c>
    </row>
    <row r="22">
      <c r="A22" s="8" t="inlineStr">
        <is>
          <t>Impairment Testing</t>
        </is>
      </c>
      <c r="B22" s="8" t="inlineStr">
        <is>
          <t>減值測試</t>
        </is>
      </c>
      <c r="C22" s="19" t="inlineStr">
        <is>
          <t>high</t>
        </is>
      </c>
      <c r="D22" s="11" t="inlineStr">
        <is>
          <t>impairment loss</t>
        </is>
      </c>
      <c r="E22" s="11" t="inlineStr">
        <is>
          <t>PDF p.104 (印刷頁 103)</t>
        </is>
      </c>
      <c r="F22" s="11" t="inlineStr">
        <is>
          <t>根據國際 at fair value, the right-of-use asset is subsequently 會計準則第37號確認及計 stated at cost less accumulated depreciation and 量撥備。除獲分類為投資 impairment losses (see note 2(h)) and adjusted for any 物業並按公平價值計量者 remeasurement of lease liabilities. 外，使用權資產其後按成 本減累計折舊及減值虧損 列賬（見附註2(h)），並就 租賃負債的任何重新計量 進行調整。 倘租賃於租賃期末將相關 If the lease transfers ownership of the underlying asset to 資產的所有權轉移至本集 the Group by the end of the lease term or if the cost of 團，或倘使用權資產的成本 the right-of-use asset reflects that the Group will exercise 反映本集團將行使購買選 a purchase op</t>
        </is>
      </c>
    </row>
    <row r="23">
      <c r="A23" s="8" t="inlineStr">
        <is>
          <t>Impairment Testing</t>
        </is>
      </c>
      <c r="B23" s="8" t="inlineStr">
        <is>
          <t>減值測試</t>
        </is>
      </c>
      <c r="C23" s="19" t="inlineStr">
        <is>
          <t>high</t>
        </is>
      </c>
      <c r="D23" s="11" t="inlineStr">
        <is>
          <t>impairment loss</t>
        </is>
      </c>
      <c r="E23" s="11" t="inlineStr">
        <is>
          <t>PDF p.114 (印刷頁 113)</t>
        </is>
      </c>
      <c r="F23" s="11" t="inlineStr">
        <is>
          <t>at the end of each reporting 試。於各報告期末審閱內 period to identify indications that the following assets 部及外部的資料，以識別 may be impaired or an impairment loss previously 以下資產可能出現減值， recognised no longer exists or may have decreased: 或先前確認的減值虧損不 再存在或可能已經減少的 跡象： － 物業、廠房及設備， – property, plant and equipment, including right-of- 包括使用權資產； use assets; － 其他無形資產；及 – other intangible assets; and － 本公司財務狀況表 – investments in subsidiaries in the Company’s 所列於附屬公司的 statement of financial position. 投資。 倘存在任何有關跡象，則 If any such indication exists, the ass</t>
        </is>
      </c>
    </row>
    <row r="24">
      <c r="A24" s="8" t="inlineStr">
        <is>
          <t>Impairment Testing</t>
        </is>
      </c>
      <c r="B24" s="8" t="inlineStr">
        <is>
          <t>減值測試</t>
        </is>
      </c>
      <c r="C24" s="19" t="inlineStr">
        <is>
          <t>high</t>
        </is>
      </c>
      <c r="D24" s="11" t="inlineStr">
        <is>
          <t>impairment loss</t>
        </is>
      </c>
      <c r="E24" s="11" t="inlineStr">
        <is>
          <t>PDF p.115 (印刷頁 114)</t>
        </is>
      </c>
      <c r="F24" s="11" t="inlineStr">
        <is>
          <t>生單位）釐定可 CGUs if otherwise. 收回金額。倘可按 合理一致的基準進 行分配，則公司資產 （例如總辦事處大 樓）的部分賬面值會 分配至個別現金產 生單位，否則會分 配至最小現金產生 單位組別。 － 確認減值虧損 – Recognition of impairment losses 倘資產或其所屬現 An impairment loss is recognised in profit or loss 金產生單位的賬面 whenever the carrying amount of an asset, or the 值超過其可收回金 CGU to which it belongs, exceeds its recoverable 額時，則於損益中 amount. Impairment loss recognised in respect 確認減值虧損。就 of a CGU is allocated first to reduce the carrying 現金產生單位確認 amount of any goodwill allocated to the CGU (or 的減值虧損會首先 group of CGUs) and then,</t>
        </is>
      </c>
    </row>
    <row r="25">
      <c r="A25" s="8" t="inlineStr">
        <is>
          <t>Impairment Testing</t>
        </is>
      </c>
      <c r="B25" s="8" t="inlineStr">
        <is>
          <t>減值測試</t>
        </is>
      </c>
      <c r="C25" s="19" t="inlineStr">
        <is>
          <t>high</t>
        </is>
      </c>
      <c r="D25" s="11" t="inlineStr">
        <is>
          <t>impairment test</t>
        </is>
      </c>
      <c r="E25" s="11" t="inlineStr">
        <is>
          <t>PDF p.116 (印刷頁 115)</t>
        </is>
      </c>
      <c r="F25" s="11" t="inlineStr">
        <is>
          <t>of the first six 「中期財務報告」規定的 months of the financial year. At the end of the interim 中期財務報告。本集團在 period, the Group applies the same impairment testing, 中期期末應用與財政年度 recognition, and reversal criteria as it would apply at the 末所應用者相同的減值測 end of the financial year. 試、確認及撥回準則。 於中期確認有關商譽的減 Impairment losses recognised in an interim period in 值虧損不會於隨後期間撥 respect of goodwill are not reversed in a subsequent 回。即使僅在該中期所屬 period. This is the case even if no loss, or a smaller loss, 的財政年度末方會評估減 would have been recognised had the impairme</t>
        </is>
      </c>
    </row>
    <row r="26">
      <c r="A26" s="8" t="inlineStr">
        <is>
          <t>Impairment Testing</t>
        </is>
      </c>
      <c r="B26" s="8" t="inlineStr">
        <is>
          <t>減值測試</t>
        </is>
      </c>
      <c r="C26" s="19" t="inlineStr">
        <is>
          <t>high</t>
        </is>
      </c>
      <c r="D26" s="11" t="inlineStr">
        <is>
          <t>impairment loss</t>
        </is>
      </c>
      <c r="E26" s="11" t="inlineStr">
        <is>
          <t>PDF p.127 (印刷頁 126)</t>
        </is>
      </c>
      <c r="F26" s="11" t="inlineStr">
        <is>
          <t>低 the contract. Before a separate provision for an onerous 者之現值計量。在為有償 contract is established, the Group recognises any 合約單獨計提撥備之前， impairment loss that has occurred on assets used in 本集團會確認用於履行合 fulfilling the contract. 約的資產所發生的任何減 值虧損。 收入及其他收入 (x) Revenue and other income (x) 於本集團日常業務過程中，本集 Income is classified by the Group as revenue when it arises 團將銷售貨物、提供服務或其他 from the sale of goods, the provision of services or the use by 方使用本集團租賃資產所產生 others of the Group’s assets under leases in the ordinary course 的收入分類為收入。 of the Gro</t>
        </is>
      </c>
    </row>
    <row r="27">
      <c r="A27" s="8" t="inlineStr">
        <is>
          <t>Impairment Testing</t>
        </is>
      </c>
      <c r="B27" s="8" t="inlineStr">
        <is>
          <t>減值測試</t>
        </is>
      </c>
      <c r="C27" s="19" t="inlineStr">
        <is>
          <t>high</t>
        </is>
      </c>
      <c r="D27" s="11" t="inlineStr">
        <is>
          <t>fair value less costs</t>
        </is>
      </c>
      <c r="E27" s="11" t="inlineStr">
        <is>
          <t>PDF p.133 (印刷頁 132)</t>
        </is>
      </c>
      <c r="F27" s="11" t="inlineStr">
        <is>
          <t>loss of the discontinued operation; 損益；及 and － 就計量構成已終止經營業 – the post-tax gain or loss recognised on the measurement 務之資產或出售組別之公 to fair value less costs to sell, or on the disposal of the 平價值減出售成本或處置 assets or disposal group(s) constituting the discontinued 該等資產或出售組別確認 operation. 之除稅後收益或虧損。 關連方 (ab) Related parties (ab) 倘屬以下人士，則該人士 a) A person, or a close member of that person’s family, is a) 或該人士之家庭近親成員 related to the Group if that person: 與本集團有關連： 控制或共同控制本 i) has control or joint control over the Group; i) 集團； 對本集團有重大影 ii)</t>
        </is>
      </c>
    </row>
    <row r="28">
      <c r="A28" s="8" t="inlineStr">
        <is>
          <t>Impairment Testing</t>
        </is>
      </c>
      <c r="B28" s="8" t="inlineStr">
        <is>
          <t>減值測試</t>
        </is>
      </c>
      <c r="C28" s="19" t="inlineStr">
        <is>
          <t>high</t>
        </is>
      </c>
      <c r="D28" s="11" t="inlineStr">
        <is>
          <t>impairment loss</t>
        </is>
      </c>
      <c r="E28" s="11" t="inlineStr">
        <is>
          <t>PDF p.138 (印刷頁 137)</t>
        </is>
      </c>
      <c r="F28" s="11" t="inlineStr">
        <is>
          <t>ances which result in downward revision 算現值。倘實際未來現金 of future cash flows or upward revision of discount 流量低於預期，或事實及 rate, a material impairment loss or further impairment 情況有變導致下調未來 loss may arise. As at 31 March 2026, the carrying 現金流量或上調貼現率， amounts of goodwill, property, plant and equipment 則可能出現重大減值虧損 (including right-of-use assets) and other intangible 或進一步減值虧損。於二 assets are HK$2,971,000 (2025: HK$13,351,000) (net of 零二六年三月三十一日， accumulated impairment loss of HK$4,161,000 (2025: 商譽、物業、廠房及設備 HK$5,191,000)), HK$10,504,000 (2</t>
        </is>
      </c>
    </row>
    <row r="29">
      <c r="A29" s="8" t="inlineStr">
        <is>
          <t>Impairment Testing</t>
        </is>
      </c>
      <c r="B29" s="8" t="inlineStr">
        <is>
          <t>減值測試</t>
        </is>
      </c>
      <c r="C29" s="19" t="inlineStr">
        <is>
          <t>high</t>
        </is>
      </c>
      <c r="D29" s="11" t="inlineStr">
        <is>
          <t>impairment loss</t>
        </is>
      </c>
      <c r="E29" s="11" t="inlineStr">
        <is>
          <t>PDF p.141 (印刷頁 140)</t>
        </is>
      </c>
      <c r="F29" s="11" t="inlineStr">
        <is>
          <t>s 銷前之經調整盈利」，其中「利 regarded as including investment income and “depreciation and 息」被視為包括投資收入而「折 amortisation” is regarded as including impairment losses on 舊及攤銷」被視為包括非流動資 non-current assets. To arrive at adjusted EBITDA, the Group’s 產之減值虧損。為計量經調整 earnings are further adjusted for items not specifically attributed EBITDA，本集團之盈利會就並 to individual segments, such as Directors’ and auditor’s 非指定屬於個別分部之項目（如 remuneration and other head office or corporate administration 董事及核數師的薪酬以及其他 costs. 總辦事處或企業行政開支）作出 進一步調整。 除取得有關經調整EBITDA的分 In addit</t>
        </is>
      </c>
    </row>
    <row r="30">
      <c r="A30" s="8" t="inlineStr">
        <is>
          <t>Impairment Testing</t>
        </is>
      </c>
      <c r="B30" s="8" t="inlineStr">
        <is>
          <t>減值測試</t>
        </is>
      </c>
      <c r="C30" s="19" t="inlineStr">
        <is>
          <t>high</t>
        </is>
      </c>
      <c r="D30" s="11" t="inlineStr">
        <is>
          <t>impairment loss</t>
        </is>
      </c>
      <c r="E30" s="11" t="inlineStr">
        <is>
          <t>PDF p.142 (印刷頁 141)</t>
        </is>
      </c>
      <c r="F30" s="11" t="inlineStr">
        <is>
          <t>ts (8,799) 強制按公平價值計入 Loss on financial assets 損益計量之金融 mandatorily measured at 資產的虧損 fair value through profit or loss (4,689) 非金融資產之 Impairment losses on 減值虧損 non-financial assets (2,000) 未分配之總辦事處及 Unallocated head office and 企業收入及開支 corporate income and （銀行利息收入、 expenses other than bank 折舊、攤銷及 interest income, depreciation, 融資成本除外） amortisation and finance costs (8,434) 除稅前綜合溢利 Consolidated profit before taxation 82,996 阿爾法企業控股有限公司 • 二零二六年年報 141</t>
        </is>
      </c>
    </row>
    <row r="31">
      <c r="A31" s="8" t="inlineStr">
        <is>
          <t>Impairment Testing</t>
        </is>
      </c>
      <c r="B31" s="8" t="inlineStr">
        <is>
          <t>減值測試</t>
        </is>
      </c>
      <c r="C31" s="19" t="inlineStr">
        <is>
          <t>high</t>
        </is>
      </c>
      <c r="D31" s="11" t="inlineStr">
        <is>
          <t>impairment loss</t>
        </is>
      </c>
      <c r="E31" s="11" t="inlineStr">
        <is>
          <t>PDF p.143 (印刷頁 142)</t>
        </is>
      </c>
      <c r="F31" s="11" t="inlineStr">
        <is>
          <t>segment information 計入分部溢利╱（虧損）或 Amounts included in the measure of 分部資產計量之款項： segment profit/(loss) or segment assets: 貿易應收款項減值 Net impairment losses of 虧損淨額 trade receivables 出售附屬公司的收益 (260) (66) – (326) Gain on disposals of subsidiaries 應付賠償 133,818 – – 133,818 Penalty interest on compensation 之罰息 payables 非流動分部資產 (10,950) – – (10,950) Additions to non-current 之添置 segment assets －物業、廠房及設備 – Property, plant and equipment 1,414 45 – 1,459 定期提供予主要營運 Amount regularly provided to the 決策者但未計入分部 CODM but not included in the measure</t>
        </is>
      </c>
    </row>
    <row r="32">
      <c r="A32" s="8" t="inlineStr">
        <is>
          <t>Impairment Testing</t>
        </is>
      </c>
      <c r="B32" s="8" t="inlineStr">
        <is>
          <t>減值測試</t>
        </is>
      </c>
      <c r="C32" s="19" t="inlineStr">
        <is>
          <t>high</t>
        </is>
      </c>
      <c r="D32" s="11" t="inlineStr">
        <is>
          <t>impairment loss</t>
        </is>
      </c>
      <c r="E32" s="11" t="inlineStr">
        <is>
          <t>PDF p.144 (印刷頁 143)</t>
        </is>
      </c>
      <c r="F32" s="11" t="inlineStr">
        <is>
          <t>強制按公平價值計入損益計量之 (3,941) Gain on financial assets mandatorily 金融資產 measured at fair value through 的收益 profit or loss 非金融資產之減值虧損 7,192 Impairment losses on non-financial assets 未分配之總辦事處及 (3,030) Unallocated head office and corporate 企業收入及開支 income and expenses other than （銀行利息收入、折舊、 bank interest income, depreciation, 攤銷及融資成本除外） amortisation and finance costs (10,017) 除稅前綜合虧損 Consolidated loss before taxation (201,286) 於二零二五年三月三十一日 At 31 March 2025 Milk Products Services 奶類產品業務 Business 服務業務 Business 總計 Total HK$’000 千港元 HK$’000</t>
        </is>
      </c>
    </row>
    <row r="33">
      <c r="A33" s="8" t="inlineStr">
        <is>
          <t>Impairment Testing</t>
        </is>
      </c>
      <c r="B33" s="8" t="inlineStr">
        <is>
          <t>減值測試</t>
        </is>
      </c>
      <c r="C33" s="19" t="inlineStr">
        <is>
          <t>high</t>
        </is>
      </c>
      <c r="D33" s="11" t="inlineStr">
        <is>
          <t>impairment loss</t>
        </is>
      </c>
      <c r="E33" s="11" t="inlineStr">
        <is>
          <t>PDF p.145 (印刷頁 144)</t>
        </is>
      </c>
      <c r="F33" s="11" t="inlineStr">
        <is>
          <t>segment information 計入分部溢利／（虧損）或分 Amounts included in the measure of 部資產計量之款項： segment profit/(loss) or segment assets: 貿易應收款項減值 Net impairment losses of 虧損淨額 trade receivables (22,478) (106) – (22,584) 其他應收款項減值 Net impairment losses of 虧損淨額 other receivables (4,722) – – (4,722) 非流動分部資產之添置 Additions to non-current segment assets －其他無形資產 – Other intangible assets 25,412 – – 25,412 －商譽 – Goodwill 11,441 4,971 – 16,412 －物業、廠房及設備 – Property, plant and equipment 2,922 36,537 – 39,459 補償撥備 Provisions for compensation (125,220) – – (1</t>
        </is>
      </c>
    </row>
    <row r="34">
      <c r="A34" s="8" t="inlineStr">
        <is>
          <t>Impairment Testing</t>
        </is>
      </c>
      <c r="B34" s="8" t="inlineStr">
        <is>
          <t>減值測試</t>
        </is>
      </c>
      <c r="C34" s="19" t="inlineStr">
        <is>
          <t>high</t>
        </is>
      </c>
      <c r="D34" s="11" t="inlineStr">
        <is>
          <t>impairment loss</t>
        </is>
      </c>
      <c r="E34" s="11" t="inlineStr">
        <is>
          <t>PDF p.150 (印刷頁 149)</t>
        </is>
      </c>
      <c r="F34" s="11" t="inlineStr">
        <is>
          <t>-use assets 18,514 9,696 18,988 10,117 其他無形資產之攤銷 Amortisation of other intangible assets （附註18） (note 18) 1,158 1,705 金融資產減值虧損淨額 Net impairment losses of financial assets －貿易應收款項（附註37(a)） – Trade receivables (note 37(a)) 326 22,584 －其他應收款項（附註37(a)） – Other receivables (note 37(a)) – 4,722 326 27,306 商譽減值虧損（附註19） Impairment losses on goodwill (note 19) 2,000 3,030 短期租賃開支 Expense relating to short-term leases 888 5,927 阿爾法企業控股有限公司 • 二零二六年年報 149</t>
        </is>
      </c>
    </row>
    <row r="35">
      <c r="A35" s="8" t="inlineStr">
        <is>
          <t>Impairment Testing</t>
        </is>
      </c>
      <c r="B35" s="8" t="inlineStr">
        <is>
          <t>減值測試</t>
        </is>
      </c>
      <c r="C35" s="19" t="inlineStr">
        <is>
          <t>high</t>
        </is>
      </c>
      <c r="D35" s="11" t="inlineStr">
        <is>
          <t>impairment loss</t>
        </is>
      </c>
      <c r="E35" s="11" t="inlineStr">
        <is>
          <t>PDF p.154 (印刷頁 153)</t>
        </is>
      </c>
      <c r="F35" s="11" t="inlineStr">
        <is>
          <t>終止經營業務（續） 11. DISCONTINUED OPERATION (Continued) 11. 2026 2025 二零二六年 二零二五年 HK$’000 HK$’000 千港元 千港元 收入 Revenue – – 金融資產（減值虧損）／減值 Net (impairment losses)/ reversal of 虧損撥回淨額 impairment losses of financial assets (4) 86 其他收入 Other income – 381 其他收益及虧損，淨額 Other gains and losses, net 282 2,033 行政開支 Administrative expenses (147) (490) 除稅前溢利 Profit before taxation 131 2,010 與來自已終止經營業務的 Income tax credit related to profit from 溢利有關的所得稅抵免 discontinued operation 208 – 來自已終止經營業務之 Profit for the year from discontinued 本年度溢利 operation 339 2</t>
        </is>
      </c>
    </row>
    <row r="36">
      <c r="A36" s="8" t="inlineStr">
        <is>
          <t>Impairment Testing</t>
        </is>
      </c>
      <c r="B36" s="8" t="inlineStr">
        <is>
          <t>減值測試</t>
        </is>
      </c>
      <c r="C36" s="19" t="inlineStr">
        <is>
          <t>high</t>
        </is>
      </c>
      <c r="D36" s="11" t="inlineStr">
        <is>
          <t>recoverable amount</t>
        </is>
      </c>
      <c r="E36" s="11" t="inlineStr">
        <is>
          <t>PDF p.166 (印刷頁 165)</t>
        </is>
      </c>
      <c r="F36" s="11" t="inlineStr">
        <is>
          <t>rch 物業、廠房及設備（續） 17. PROPERTY, PLANT AND EQUIPMENT (Continued) 17. 減值評估 Impairment assessment 當無法個別估算資產的可收回金額 The Group estimates the recoverable amount of the CGU of the 時，本集團會估計奶類產品業務及服 Milk Products Business and the business of logistics services under 務業務下的物流服務業務所屬現金產 Service Business to which the assets belong when it is not possible 生單位的可收回金額，包括在能夠確 to estimate the recoverable amount individually, including allocation 立合理及一致的基礎上分配企業資 of corporate assets when reasonable and consistent basis can be 產。 established. 現金產生單位（包含物</t>
        </is>
      </c>
    </row>
    <row r="37">
      <c r="A37" s="8" t="inlineStr">
        <is>
          <t>Impairment Testing</t>
        </is>
      </c>
      <c r="B37" s="8" t="inlineStr">
        <is>
          <t>減值測試</t>
        </is>
      </c>
      <c r="C37" s="19" t="inlineStr">
        <is>
          <t>high</t>
        </is>
      </c>
      <c r="D37" s="11" t="inlineStr">
        <is>
          <t>CGU</t>
        </is>
      </c>
      <c r="E37" s="11" t="inlineStr">
        <is>
          <t>PDF p.168 (印刷頁 167)</t>
        </is>
      </c>
      <c r="F37" s="11" t="inlineStr">
        <is>
          <t>disposal of 二六年三月三十一日止年度透過出售 subsidiaries during the year ended 31 March 2026. 附屬公司而予以出售。 現金產生單位（包含物業、廠房及設備 Impairment assessment of CGU (containing property, plant and （包括使用權資產）、具有有限可使用 equipment (including right-of-use assets), other intangible assets with 年期之其他無形資產及相關商譽）之減 finite useful lives and related goodwill) is disclosed in note 19. 值評估於附註19中披露。 阿爾法企業控股有限公司 • 二零二六年年報 167</t>
        </is>
      </c>
    </row>
    <row r="38">
      <c r="A38" s="8" t="inlineStr">
        <is>
          <t>Impairment Testing</t>
        </is>
      </c>
      <c r="B38" s="8" t="inlineStr">
        <is>
          <t>減值測試</t>
        </is>
      </c>
      <c r="C38" s="19" t="inlineStr">
        <is>
          <t>high</t>
        </is>
      </c>
      <c r="D38" s="11" t="inlineStr">
        <is>
          <t>impairment loss</t>
        </is>
      </c>
      <c r="E38" s="11" t="inlineStr">
        <is>
          <t>PDF p.169 (印刷頁 168)</t>
        </is>
      </c>
      <c r="F38" s="11" t="inlineStr">
        <is>
          <t>te 39(i)) 匯兌差額 (11,613) – (11,613) Exchange differences 203 – 203 於二零二六年三月三十一日 At 31 March 2026 2,161 4,971 7,132 累計虧損減值 Accumulated impairment losses 於二零二四年四月一日 At 1 April 2024 年內減值虧損 2,161 – 2,161 Impairment losses during （附註9(c)） the year (note 9(c)) 3,030 – 3,030 於二零二五年三月三十一日及 At 31 March 2025 and 1 April 2025 二零二五年四月一日 出售附屬公司（附註39(i)） 5,191 – 5,191 Disposal of subsidiaries (note 39(i)) 年內減值虧損 (3,084) – (3,084) Impairment losses during （附註9(c)） the year (note 9(c)) 匯兌差額 – 2,000 2,000 Exchange differences 54 – 54 於二零二六年三月三十一</t>
        </is>
      </c>
    </row>
    <row r="39">
      <c r="A39" s="8" t="inlineStr">
        <is>
          <t>Impairment Testing</t>
        </is>
      </c>
      <c r="B39" s="8" t="inlineStr">
        <is>
          <t>減值測試</t>
        </is>
      </c>
      <c r="C39" s="19" t="inlineStr">
        <is>
          <t>high</t>
        </is>
      </c>
      <c r="D39" s="11" t="inlineStr">
        <is>
          <t>impairment loss</t>
        </is>
      </c>
      <c r="E39" s="11" t="inlineStr">
        <is>
          <t>PDF p.170 (印刷頁 169)</t>
        </is>
      </c>
      <c r="F39" s="11" t="inlineStr">
        <is>
          <t>團服務業務下的物流服務業務 logistics services under Service Business incurred a loss. Based on 出現虧損。根據評估結果，服務業務分 the result of the assessment, an impairment loss of HK$2,000,000 部內的物流業務現金產生單位確認減 is recognised for the Logistics Business CGU within the Services 值虧損2,000,000港元，並於綜合損益 Business segment and is included in the consolidated statement of 及其他全面收益表列作獨立項目，其 profit or loss and other comprehensive income as separate line items, 中包括商譽減值虧損2,000,000港元。 which included impairment losses on goodwill of HK$2,000,000. 阿爾法企業控股有限公司 • 二零二六年年報 169</t>
        </is>
      </c>
    </row>
    <row r="40">
      <c r="A40" s="8" t="inlineStr">
        <is>
          <t>Impairment Testing</t>
        </is>
      </c>
      <c r="B40" s="8" t="inlineStr">
        <is>
          <t>減值測試</t>
        </is>
      </c>
      <c r="C40" s="19" t="inlineStr">
        <is>
          <t>high</t>
        </is>
      </c>
      <c r="D40" s="11" t="inlineStr">
        <is>
          <t>impairment loss</t>
        </is>
      </c>
      <c r="E40" s="11" t="inlineStr">
        <is>
          <t>PDF p.171 (印刷頁 170)</t>
        </is>
      </c>
      <c r="F40" s="11" t="inlineStr">
        <is>
          <t>hange 回金額20,728,000港元，計算可收回 in the assumptions used in the calculation of recoverable amount 金額時所用假設的任何不利變動將 would result in further impairment loss. If the discount rate is increased 導致進一步減值虧損。倘貼現率增加 by 0.5%, while other parameters remain constant, the recoverable 0.5%，而其他參數保持不變，則物流 amount of the Logistics Business CGU would be reduced by 業務現金產生單位的可收回金額將減 HK$489,000 and a further impairment of goodwill and/or other assets 少489,000港元，並將就此現金產生單 in this CGU of HK$489,000 would be recognised. If the budgeted 位的商譽及╱或其他資產確認進一步 gross</t>
        </is>
      </c>
    </row>
    <row r="41">
      <c r="A41" s="8" t="inlineStr">
        <is>
          <t>Impairment Testing</t>
        </is>
      </c>
      <c r="B41" s="8" t="inlineStr">
        <is>
          <t>減值測試</t>
        </is>
      </c>
      <c r="C41" s="19" t="inlineStr">
        <is>
          <t>high</t>
        </is>
      </c>
      <c r="D41" s="11" t="inlineStr">
        <is>
          <t>impairment loss</t>
        </is>
      </c>
      <c r="E41" s="11" t="inlineStr">
        <is>
          <t>PDF p.212 (印刷頁 211)</t>
        </is>
      </c>
      <c r="F41" s="11" t="inlineStr">
        <is>
          <t>確認的貿易 to trade receivables 應收款項引致的 recognised at 變動： 1 April 2024: －轉為信貸 – Transfer to credit 減值 impaired －已確認減值 (25,556) 25,556 – – Impairment losses 虧損 recognised －於結算後終止 – 30,055 30,055 – Derecognition upon 確認 settlement 已確認新增貿易 (7,674) – (7,674) New trade receivables 應收款項， recognised net of those 扣除因結算而 derecognised due to 終止確認者 settlement 匯兌差額 117 – 117 Exchange differences (33) (2,644) (2,677) 於二零二五年三月三十一日 At 31 March 2025 and 及二零二五年四月一日 1 April 2025 因於二零二五年四月一日 117 52,967 53,084 Changes attributable 確認的貿易 to trade receiv</t>
        </is>
      </c>
    </row>
    <row r="42">
      <c r="A42" s="8" t="inlineStr">
        <is>
          <t>Impairment Testing</t>
        </is>
      </c>
      <c r="B42" s="8" t="inlineStr">
        <is>
          <t>減值測試</t>
        </is>
      </c>
      <c r="C42" s="19" t="inlineStr">
        <is>
          <t>high</t>
        </is>
      </c>
      <c r="D42" s="11" t="inlineStr">
        <is>
          <t>impairment loss</t>
        </is>
      </c>
      <c r="E42" s="11" t="inlineStr">
        <is>
          <t>PDF p.214 (印刷頁 213)</t>
        </is>
      </c>
      <c r="F42" s="11" t="inlineStr">
        <is>
          <t>l 2024 – 1,755 1,755 因於二零二四年四月一日 Changes attributable to financial 確認的金融工具引致的 instruments recognised at 變動： 1 April 2024: －已確認減值虧損 – Impairment losses recognised – 3,592 3,592 已確認的新增其他 New other receivable and 應收款項及按金， deposits recognised net 扣除於結算後 of those derecognised 終止確認者 upon settlement 1,130 – 1,130 撇銷 Write-off (1,130) – (1,130) 匯兌差額 Exchange differences – (252) (252) 於二零二五年三月三十一日及 At 31 March 2025 and 二零二五年四月一日 1 April 2025 – 5,095 5,095 已確認新增其他應收款項及 New other receivables and deposits 按金，扣除於結算後 recognised net of those</t>
        </is>
      </c>
    </row>
    <row r="43">
      <c r="A43" s="8" t="inlineStr">
        <is>
          <t>Impairment Testing</t>
        </is>
      </c>
      <c r="B43" s="8" t="inlineStr">
        <is>
          <t>減值測試</t>
        </is>
      </c>
      <c r="C43" s="19" t="inlineStr">
        <is>
          <t>high</t>
        </is>
      </c>
      <c r="D43" s="11" t="inlineStr">
        <is>
          <t>impairment loss</t>
        </is>
      </c>
      <c r="E43" s="11" t="inlineStr">
        <is>
          <t>PDF p.215 (印刷頁 214)</t>
        </is>
      </c>
      <c r="F43" s="11" t="inlineStr">
        <is>
          <t>alances of 其他應收款項及 other receivables and deposits 按金的逾期結餘 with gross carrying amounts 增加 of HK$5,095,000 – – 3,592 年內於綜合損益及其他全面收 Net impairment losses on financial assets for the year 益表中確認之金融資產減值虧 recognised in the consolidated statement of profit or loss and 損淨額如下： other comprehensive income is as follows: 2026 2025 二零二六年 二零二五年 HK$’000 HK$’000 千港元 千港元 就以下各項確認╱（撥回）之 Impairment losses recognised/ 減值虧損： (reversed) on: 貿易應收款項 Trade receivables 326 22,498 其他應收款項及按金 Other receivables and deposits 4 4,722 330 27,220 減值虧損淨額分析如下： Net</t>
        </is>
      </c>
    </row>
    <row r="44">
      <c r="A44" s="8" t="inlineStr">
        <is>
          <t>Intangible Assets &amp; Goodwill</t>
        </is>
      </c>
      <c r="B44" s="8" t="inlineStr">
        <is>
          <t>無形資產及商譽</t>
        </is>
      </c>
      <c r="C44" s="19" t="inlineStr">
        <is>
          <t>high</t>
        </is>
      </c>
      <c r="D44" s="11" t="inlineStr">
        <is>
          <t>goodwill</t>
        </is>
      </c>
      <c r="E44" s="11" t="inlineStr">
        <is>
          <t>PDF p.6 (印刷頁 5)</t>
        </is>
      </c>
      <c r="F44" s="11" t="inlineStr">
        <is>
          <t>easing competition across infant-formula milk products in the 烈，加上同一市場分部的仲裁事件對商業商 PRC, and a short-term adverse impact on commercial goodwill arising from 譽造成短期負面影響，為減輕此衝擊，本集 arbitration matters in the same market segment, to mitigate it, the Group 團開拓了成人配方奶類產品這一新市場分 pursued a new market segment of adult-formula milk products. During the 部。於截至二零二六年三月三十一日止年 year ended 31 March 2026, the management entered into an exclusive 度，管理層於二零二五年七月與新西蘭供應 distribution agreement with a New Zealand supplier in July 2025 for the 商簽訂獨家分銷協議，以於中國及</t>
        </is>
      </c>
    </row>
    <row r="45">
      <c r="A45" s="8" t="inlineStr">
        <is>
          <t>Intangible Assets &amp; Goodwill</t>
        </is>
      </c>
      <c r="B45" s="8" t="inlineStr">
        <is>
          <t>無形資產及商譽</t>
        </is>
      </c>
      <c r="C45" s="19" t="inlineStr">
        <is>
          <t>high</t>
        </is>
      </c>
      <c r="D45" s="11" t="inlineStr">
        <is>
          <t>amortisation</t>
        </is>
      </c>
      <c r="E45" s="11" t="inlineStr">
        <is>
          <t>PDF p.8 (印刷頁 7)</t>
        </is>
      </c>
      <c r="F45" s="11" t="inlineStr">
        <is>
          <t>onsequently, the reportable segment profit (adjusted 予報告分部溢利（經調整EBITDA）或未能全 EBITDA), which excludes interest, tax, depreciation, and amortisation, 面反映服務業務的基本財務表現。為作說明 may not fully reflect the underlying financial performance of the Services 用途，於截至二零二六年三月三十一日止年 Business. For illustrative purposes, deducting the depreciation attributable 度，自須予報告分部溢利（經調整EBITDA）中 to the Services Business of HK$18.0 million (2025: HK$9.1 million) from the 扣除服務業務應佔折舊18.0百萬港元（二零 reportable segment profit (adjusted EBITDA) reveals a loss of HK$0.3 mil</t>
        </is>
      </c>
    </row>
    <row r="46">
      <c r="A46" s="8" t="inlineStr">
        <is>
          <t>Intangible Assets &amp; Goodwill</t>
        </is>
      </c>
      <c r="B46" s="8" t="inlineStr">
        <is>
          <t>無形資產及商譽</t>
        </is>
      </c>
      <c r="C46" s="19" t="inlineStr">
        <is>
          <t>high</t>
        </is>
      </c>
      <c r="D46" s="11" t="inlineStr">
        <is>
          <t>goodwill</t>
        </is>
      </c>
      <c r="E46" s="11" t="inlineStr">
        <is>
          <t>PDF p.14 (印刷頁 13)</t>
        </is>
      </c>
      <c r="F46" s="11" t="inlineStr">
        <is>
          <t>日及截至該日止年度，本集團並 hold other significant investments as at and for the year ended 31 March 無持有其他重大投資。 2026. 商譽減值虧損 IMPAIRMENT LOSSES ON GOODWILL 於二零二四年六月十一日，Vantage On 11 June 2024, Vantage Edge Investments Limited (“Vantage Edge”), a Edge Limited（「Vantage Edge」，本公 direct wholly-owned subsidiary of the Company and as purchaser, entered Investments 司的直接全資附屬公司及作為買方）與Allied into a sale and purchase agreement with Allied Services Holding Limited Limited（「Allied Services」， (“Allied Services”), as vendor, pursuant to which (i) Vantage E</t>
        </is>
      </c>
    </row>
    <row r="47">
      <c r="A47" s="8" t="inlineStr">
        <is>
          <t>Intangible Assets &amp; Goodwill</t>
        </is>
      </c>
      <c r="B47" s="8" t="inlineStr">
        <is>
          <t>無形資產及商譽</t>
        </is>
      </c>
      <c r="C47" s="19" t="inlineStr">
        <is>
          <t>high</t>
        </is>
      </c>
      <c r="D47" s="11" t="inlineStr">
        <is>
          <t>goodwill</t>
        </is>
      </c>
      <c r="E47" s="11" t="inlineStr">
        <is>
          <t>PDF p.15 (印刷頁 14)</t>
        </is>
      </c>
      <c r="F47" s="11" t="inlineStr">
        <is>
          <t>Management Discussion and Analysis 管理層討論與分析 本集團於收購Smart Front及合盈時，確認 An additional goodwill of approximately HK$2.2 million was recognised by 約2.2百萬港元的額外商譽，而2.8百萬港元 the Group when Smart Front and Welfit were acquired, while HK$2.8 million 的商譽則已在收購事項（Smart Front）前於 was already recognised in the accounts of Smart Front before the Acquisition Front的賬目中確認。 (Smart Front). Smart 根據本集團的會計政策，商譽按收購業務當 According to the Group’s accounting policy, goodwill is carried at cost as 日釐定的成本減累計減值虧</t>
        </is>
      </c>
    </row>
    <row r="48">
      <c r="A48" s="8" t="inlineStr">
        <is>
          <t>Intangible Assets &amp; Goodwill</t>
        </is>
      </c>
      <c r="B48" s="8" t="inlineStr">
        <is>
          <t>無形資產及商譽</t>
        </is>
      </c>
      <c r="C48" s="19" t="inlineStr">
        <is>
          <t>high</t>
        </is>
      </c>
      <c r="D48" s="11" t="inlineStr">
        <is>
          <t>goodwill</t>
        </is>
      </c>
      <c r="E48" s="11" t="inlineStr">
        <is>
          <t>PDF p.20 (印刷頁 19)</t>
        </is>
      </c>
      <c r="F48" s="11" t="inlineStr">
        <is>
          <t>對 The disputes and related negative publicity surrounding the Arbitrations 奶類產品業務的商業商譽及交易氣氛造成 have adversely affected the commercial goodwill and trading sentiment of 負面影響。本集團雖於該過程中作出抗辯， the Milk Products Business. Although the Group attempted to defend itself 但該等舉措最終未能成功。年內，本集團積 in the proceedings, these efforts were ultimately unsuccessful. Throughout 極尋求機會擺脫因愛麗絲貿易及維勒斯貿易 the year, the Group actively sought to extricate itself from the entanglements （具體為該等仲裁及融資違約事項）引發的 caused by Alice Trading and Willis Trading (specifically t</t>
        </is>
      </c>
    </row>
    <row r="49">
      <c r="A49" s="8" t="inlineStr">
        <is>
          <t>Intangible Assets &amp; Goodwill</t>
        </is>
      </c>
      <c r="B49" s="8" t="inlineStr">
        <is>
          <t>無形資產及商譽</t>
        </is>
      </c>
      <c r="C49" s="19" t="inlineStr">
        <is>
          <t>high</t>
        </is>
      </c>
      <c r="D49" s="11" t="inlineStr">
        <is>
          <t>intangible asset</t>
        </is>
      </c>
      <c r="E49" s="11" t="inlineStr">
        <is>
          <t>PDF p.66 (印刷頁 65)</t>
        </is>
      </c>
      <c r="F49" s="11" t="inlineStr">
        <is>
          <t>assessment of non-financial assets, • a s s e s s i n g t h e m a n a g e m e n t ’s including property, plant and equipment, other intangible assets and identification of cash generating units goodwill, as a key audit matter due to the significance of the balance (“CGUs”), the allocation of assets to the consolidated financial statements as a whole, combined to each CGU and the methodology with the significant degree of judgement made by the management adopted by management in its associated with the determination. impairment</t>
        </is>
      </c>
    </row>
    <row r="50">
      <c r="A50" s="8" t="inlineStr">
        <is>
          <t>Intangible Assets &amp; Goodwill</t>
        </is>
      </c>
      <c r="B50" s="8" t="inlineStr">
        <is>
          <t>無形資產及商譽</t>
        </is>
      </c>
      <c r="C50" s="19" t="inlineStr">
        <is>
          <t>high</t>
        </is>
      </c>
      <c r="D50" s="11" t="inlineStr">
        <is>
          <t>goodwill</t>
        </is>
      </c>
      <c r="E50" s="11" t="inlineStr">
        <is>
          <t>PDF p.71 (印刷頁 70)</t>
        </is>
      </c>
      <c r="F50" s="11" t="inlineStr">
        <is>
          <t>9) 毛利 Gross profit 7,459 7,171 金融資產減值虧損淨額 Net impairment losses of financial assets 37(a) (326) (27,306) 商譽減值虧損 Impairment losses on goodwill 19 (2,000) (3,030) 其他收入 Other income 7 817 2,262 其他收益及虧損，淨額 Other gains and losses, net 8 113,589 (120,859) 銷售及分銷開支 Selling and distribution costs (6,515) (14,815) 行政費用 Administrative expenses (21,229) (40,768) 來自經營之溢利╱（虧損） PROFIT/(LOSS) FROM OPERATIONS 91,795 (197,345) 融資成本 Finance costs 9(a) (8,799) (3,941) 除稅前溢利╱（虧損） PROFIT/(LOSS) BEFORE TAXATION 9 82,996 (201,286) 所得稅（開支）／抵免 Income ta</t>
        </is>
      </c>
    </row>
    <row r="51">
      <c r="A51" s="8" t="inlineStr">
        <is>
          <t>Intangible Assets &amp; Goodwill</t>
        </is>
      </c>
      <c r="B51" s="8" t="inlineStr">
        <is>
          <t>無形資產及商譽</t>
        </is>
      </c>
      <c r="C51" s="19" t="inlineStr">
        <is>
          <t>high</t>
        </is>
      </c>
      <c r="D51" s="11" t="inlineStr">
        <is>
          <t>intangible asset</t>
        </is>
      </c>
      <c r="E51" s="11" t="inlineStr">
        <is>
          <t>PDF p.74 (印刷頁 73)</t>
        </is>
      </c>
      <c r="F51" s="11" t="inlineStr">
        <is>
          <t>元 非流動資產 Non-current assets 投資物業 Investment property 物業、廠房及設備 16 – 41,232 Property, plant and equipment 其他無形資產 17 10,504 29,344 Other intangible assets 商譽 18 40 23,653 Goodwill 於合營企業之權益 19 2,971 13,351 Interests in joint venture 按公平價值計入損益之 20 – – Financial assets at fair value through 金融資產 profit or loss 可退還租金及其他按金 21 7,539 12,228 Refundable rental and other deposits 遞延稅項資產 23 2,780 3,411 Deferred tax assets 30(a) 596 21 24,430 123,240 流動資產 Current assets 存貨 Inventories 貿易及其他應收款項 22 20,125 315 Trade and other receivables 預付款項 23</t>
        </is>
      </c>
    </row>
    <row r="52">
      <c r="A52" s="8" t="inlineStr">
        <is>
          <t>Intangible Assets &amp; Goodwill</t>
        </is>
      </c>
      <c r="B52" s="8" t="inlineStr">
        <is>
          <t>無形資產及商譽</t>
        </is>
      </c>
      <c r="C52" s="19" t="inlineStr">
        <is>
          <t>high</t>
        </is>
      </c>
      <c r="D52" s="11" t="inlineStr">
        <is>
          <t>goodwill</t>
        </is>
      </c>
      <c r="E52" s="11" t="inlineStr">
        <is>
          <t>PDF p.76 (印刷頁 75)</t>
        </is>
      </c>
      <c r="F52" s="11" t="inlineStr">
        <is>
          <t>) &amp; 11 1,158 1,705 金融資產減值虧損撥備 Net provision for impairment losses 淨額 on financial assets 9(c) 330 27,220 商譽減值虧損 Impairment losses on goodwill 9(c) 2,000 3,030 補償撥備 Provisions for compensation 8 – 125,220 因以權益工具清償金融 Loss on extinguishment of financial 負債而產生的虧損 liability with equity instruments 8 700 – 出售附屬公司的收益 Gain on disposal of subsidiaries 8 (133,818) – 應付賠償之 Penalty interest on compensation 罰息 payables 8 10,950 – 出售投資物業的 Gain on disposal of investment 收益 property 11 (282) – 結清貸款時產生的 Non-cash expense incurred upon 非現金開支 sett</t>
        </is>
      </c>
    </row>
    <row r="53">
      <c r="A53" s="8" t="inlineStr">
        <is>
          <t>Intangible Assets &amp; Goodwill</t>
        </is>
      </c>
      <c r="B53" s="8" t="inlineStr">
        <is>
          <t>無形資產及商譽</t>
        </is>
      </c>
      <c r="C53" s="19" t="inlineStr">
        <is>
          <t>high</t>
        </is>
      </c>
      <c r="D53" s="11" t="inlineStr">
        <is>
          <t>intangible asset</t>
        </is>
      </c>
      <c r="E53" s="11" t="inlineStr">
        <is>
          <t>PDF p.77 (印刷頁 76)</t>
        </is>
      </c>
      <c r="F53" s="11" t="inlineStr">
        <is>
          <t>nts and equipment (109) (592) 出售物業、廠房及設備的 Proceed from disposal of property, 所得款項 plant and equipment 3 – 購置其他無形資產 Purchase of other intangible assets – (49) 已收利息 Interest received 71 57 租賃按金付款 Payment for rental deposits (120) (284) 購置按公平價值計入損益 Purchase of financial assets at 之金融資產 fair value through profit or loss – (5,036) 出售附屬公司的現金 Net cash inflow from disposal of 流入淨額 subsidiaries 39 27,245 – 收購附屬公司的現金 Net cash outflow from acquisition of 流出淨額 subsidiaries 38 – (11,183) 投資活動所得╱（所用） Net cash generated from/(used in) 現金淨額 in</t>
        </is>
      </c>
    </row>
    <row r="54">
      <c r="A54" s="8" t="inlineStr">
        <is>
          <t>Intangible Assets &amp; Goodwill</t>
        </is>
      </c>
      <c r="B54" s="8" t="inlineStr">
        <is>
          <t>無形資產及商譽</t>
        </is>
      </c>
      <c r="C54" s="19" t="inlineStr">
        <is>
          <t>high</t>
        </is>
      </c>
      <c r="D54" s="11" t="inlineStr">
        <is>
          <t>goodwill</t>
        </is>
      </c>
      <c r="E54" s="11" t="inlineStr">
        <is>
          <t>PDF p.93 (印刷頁 92)</t>
        </is>
      </c>
      <c r="F54" s="11" t="inlineStr">
        <is>
          <t>within consolidated 額，以反映相關權益的變動，惟 equity to reflect the change in relative interests, but no 不會調整商譽，亦不會確認收益 adjustments are made to goodwill and no gain or loss is 或虧損。調整非控股權益的金額 recognised. Any difference between the amount by which the 與已付或已收代價的公平價值 non-controlling interests are adjusted, and the fair value of the 之間的任何差額直接在權益中 consideration paid or received is recognised directly in equity 確認並歸屬於本公司股東。 and attributed to owners of the Company. 92 LIMITED • Annual ALPHA PROFESSIONAL HOLDINGS Report 2026</t>
        </is>
      </c>
    </row>
    <row r="55">
      <c r="A55" s="8" t="inlineStr">
        <is>
          <t>Intangible Assets &amp; Goodwill</t>
        </is>
      </c>
      <c r="B55" s="8" t="inlineStr">
        <is>
          <t>無形資產及商譽</t>
        </is>
      </c>
      <c r="C55" s="19" t="inlineStr">
        <is>
          <t>high</t>
        </is>
      </c>
      <c r="D55" s="11" t="inlineStr">
        <is>
          <t>goodwill</t>
        </is>
      </c>
      <c r="E55" s="11" t="inlineStr">
        <is>
          <t>PDF p.94 (印刷頁 93)</t>
        </is>
      </c>
      <c r="F55" s="11" t="inlineStr">
        <is>
          <t>e 別資產，則符合集中度測試。經 assets. The gross assets under assessment exclude cash and 評估的總資產不包括現金及現 cash equivalents, deferred tax assets, and goodwill resulting 金等價物、遞延稅項資產以及因 from the effects of deferred tax liabilities. If the concentration 遞延稅項負債影響而產生的商 test is met, the set of activities and assets is determined not to 譽。倘符合集中度測試，則會釐 be a business and no further assessment is needed. 定該套活動及資產並非業務，且 無需進一步評估。 阿爾法企業控股有限公司 • 二零二六年年報 93</t>
        </is>
      </c>
    </row>
    <row r="56">
      <c r="A56" s="8" t="inlineStr">
        <is>
          <t>Intangible Assets &amp; Goodwill</t>
        </is>
      </c>
      <c r="B56" s="8" t="inlineStr">
        <is>
          <t>無形資產及商譽</t>
        </is>
      </c>
      <c r="C56" s="19" t="inlineStr">
        <is>
          <t>high</t>
        </is>
      </c>
      <c r="D56" s="11" t="inlineStr">
        <is>
          <t>goodwill</t>
        </is>
      </c>
      <c r="E56" s="11" t="inlineStr">
        <is>
          <t>PDF p.95 (印刷頁 94)</t>
        </is>
      </c>
      <c r="F56" s="11" t="inlineStr">
        <is>
          <t>e basis of their 日期的相對公平價值分配予其 relative fair values at the date of purchase. Such a transaction 他可識別資產及負債。有關交易 does not give rise to goodwill or bargain purchase gain. 不會產生商譽或議價購買收益。 業務合併 Business combinations 業務為一組集成的活動及資產， A business is an integrated set of activities and assets which 其中包括投入及實質性過程，共 include an input and a substantive process that together 同對創造產出的能力作出重大貢 significantly contribute to the ability to create output. The 獻。倘獲得的過程對於繼續生產 acquired processes are considered substantive if they are 產出的能力至關重要，包括具有 critical</t>
        </is>
      </c>
    </row>
    <row r="57">
      <c r="A57" s="8" t="inlineStr">
        <is>
          <t>Intangible Assets &amp; Goodwill</t>
        </is>
      </c>
      <c r="B57" s="8" t="inlineStr">
        <is>
          <t>無形資產及商譽</t>
        </is>
      </c>
      <c r="C57" s="19" t="inlineStr">
        <is>
          <t>high</t>
        </is>
      </c>
      <c r="D57" s="11" t="inlineStr">
        <is>
          <t>goodwill</t>
        </is>
      </c>
      <c r="E57" s="11" t="inlineStr">
        <is>
          <t>PDF p.96 (印刷頁 95)</t>
        </is>
      </c>
      <c r="F57" s="11" t="inlineStr">
        <is>
          <t>r unfavourable terms of 關租賃負債相同之金額確 the lease when compared with market terms. 認及計量，並作出調整以 反映租賃條款與市場條款 相比較時之有利或不利條 款。 商譽按所轉讓代價、被收購方之 Goodwill is measured as the excess of the sum of the 任何非控股權益金額及收購方 consideration transferred, the amount of any non-controlling 先前持有被收購方股權之公平 interests in the acquiree, and the fair value of the acquirer’s 價值（如有）之總和超出於收購 previously held equity interest in the acquiree (if any) over the 日期所收購可識別資產及所承 net amount of the identifiable assets acquired and the liabilities 擔負債之淨值之差額計量。倘經 assumed as at acq</t>
        </is>
      </c>
    </row>
    <row r="58">
      <c r="A58" s="8" t="inlineStr">
        <is>
          <t>Intangible Assets &amp; Goodwill</t>
        </is>
      </c>
      <c r="B58" s="8" t="inlineStr">
        <is>
          <t>無形資產及商譽</t>
        </is>
      </c>
      <c r="C58" s="19" t="inlineStr">
        <is>
          <t>high</t>
        </is>
      </c>
      <c r="D58" s="11" t="inlineStr">
        <is>
          <t>goodwill</t>
        </is>
      </c>
      <c r="E58" s="11" t="inlineStr">
        <is>
          <t>PDF p.98 (印刷頁 97)</t>
        </is>
      </c>
      <c r="F58" s="11" t="inlineStr">
        <is>
          <t>ATERIAL ACCOUNTING 2 POLICY INFORMATION (Continued) 業務合併及資產收購（續） (f) Business combinations and asset acquisitions (Continued) (f) 商譽 Goodwill 收購業務所產生的商譽按收購 Goodwill arising on an acquisition of a business is carried at 業務當日訂立的成本減累計減 cost as established at the date of acquisition of the business 值虧損（如有）列賬。 less accumulated impairment losses, if any. 為進行減值測試，商譽會被分配 For the purposes of impairment testing, goodwill is allocated to 至預期可受惠於合併的協同效 each of the Group’s cash-generating units (or groups of cash 益的本集團各現金產生單位（或 generating u</t>
        </is>
      </c>
    </row>
    <row r="59">
      <c r="A59" s="8" t="inlineStr">
        <is>
          <t>Intangible Assets &amp; Goodwill</t>
        </is>
      </c>
      <c r="B59" s="8" t="inlineStr">
        <is>
          <t>無形資產及商譽</t>
        </is>
      </c>
      <c r="C59" s="19" t="inlineStr">
        <is>
          <t>high</t>
        </is>
      </c>
      <c r="D59" s="11" t="inlineStr">
        <is>
          <t>useful life</t>
        </is>
      </c>
      <c r="E59" s="11" t="inlineStr">
        <is>
          <t>PDF p.100 (印刷頁 99)</t>
        </is>
      </c>
      <c r="F59" s="11" t="inlineStr">
        <is>
          <t>m is allocated 成本按合理基準在各部分之間 on a reasonable basis between the parts and each part is 分配，而各部分乃分開計算折 depreciated separately. Both the useful life of an asset and its 舊。資產的可使用年期及其剩餘 residual value, if any, are reviewed annually. 價值（如有）均每年作檢討。 歴史成本包括直接歸因於收購 Historical cost includes expenditure that is directly attributable 物業、廠房及設備項目的開支。 to the acquisition of an item of property, plant and equipment. 成本亦可包括轉撥自以外幣購 Cost may also include transfers from equity of any gains or 買物業、廠房及設備的合資格現 losses on qualifying cash flow hedges of fo</t>
        </is>
      </c>
    </row>
    <row r="60">
      <c r="A60" s="8" t="inlineStr">
        <is>
          <t>Intangible Assets &amp; Goodwill</t>
        </is>
      </c>
      <c r="B60" s="8" t="inlineStr">
        <is>
          <t>無形資產及商譽</t>
        </is>
      </c>
      <c r="C60" s="19" t="inlineStr">
        <is>
          <t>high</t>
        </is>
      </c>
      <c r="D60" s="11" t="inlineStr">
        <is>
          <t>intangible asset</t>
        </is>
      </c>
      <c r="E60" s="11" t="inlineStr">
        <is>
          <t>PDF p.102 (印刷頁 101)</t>
        </is>
      </c>
      <c r="F60" s="11" t="inlineStr">
        <is>
          <t>year ended 31 March 編製基準及重大會計政策資料（續） 2 BASIS OF PREPARATION AND MATERIAL ACCOUNTING 2 POLICY INFORMATION (Continued) 無形資產（商譽除外） (j) Intangible assets (other than goodwill) (j) 於業務合併中收購的無形資產 Intangible assets acquired in a business combination 於業務合併中收購的無形資產 Intangible assets acquired in a business combination are 與商譽分開確認，並初步按收購 recognised separately from goodwill and are initially recognised 日期的公平價值（視為其成本） at their fair value at the acquisition date (which is regarded as 確認。 their cost). 初步確認後，於業務合併中收購 Subsequent to initial rec</t>
        </is>
      </c>
    </row>
    <row r="61">
      <c r="A61" s="8" t="inlineStr">
        <is>
          <t>Intangible Assets &amp; Goodwill</t>
        </is>
      </c>
      <c r="B61" s="8" t="inlineStr">
        <is>
          <t>無形資產及商譽</t>
        </is>
      </c>
      <c r="C61" s="19" t="inlineStr">
        <is>
          <t>high</t>
        </is>
      </c>
      <c r="D61" s="11" t="inlineStr">
        <is>
          <t>攤銷</t>
        </is>
      </c>
      <c r="E61" s="11" t="inlineStr">
        <is>
          <t>PDF p.103 (印刷頁 102)</t>
        </is>
      </c>
      <c r="F61" s="11" t="inlineStr">
        <is>
          <t>minate the 該選擇權）；及終止租賃 lease. 的罰款付款（倘租期反映 本集團行使選擇權終止租 賃）。 於初始確認後，租賃負債 After initial recognition, the lease liability is measured at 按攤銷成本計量，而利息 amortised cost and interest expense is calculated using 開支使用實際利率法計 the effective interest method. 算。 102 LIMITED • Annual ALPHA PROFESSIONAL HOLDINGS Report 2026</t>
        </is>
      </c>
    </row>
    <row r="62">
      <c r="A62" s="8" t="inlineStr">
        <is>
          <t>Intangible Assets &amp; Goodwill</t>
        </is>
      </c>
      <c r="B62" s="8" t="inlineStr">
        <is>
          <t>無形資產及商譽</t>
        </is>
      </c>
      <c r="C62" s="19" t="inlineStr">
        <is>
          <t>high</t>
        </is>
      </c>
      <c r="D62" s="11" t="inlineStr">
        <is>
          <t>useful life</t>
        </is>
      </c>
      <c r="E62" s="11" t="inlineStr">
        <is>
          <t>PDF p.104 (印刷頁 103)</t>
        </is>
      </c>
      <c r="F62" s="11" t="inlineStr">
        <is>
          <t>ase option, the Group shall depreciate the right- 擇權，則本集團應自開始日 of-use asset from the commencement date to the end 期至相關資產的可使用年 of the useful life of the underlying asset. Otherwise, the 期結束時對使用權資產計 Group shall depreciate the right-of-use asset from the 提折舊。否則，本集團應自 commencement date to the earlier of the end of the 開始日期至使用權資產可 useful life of the right-of-use asset or the end of the lease 使用年期結束時或租賃期 term. 結束時（以較早者為準）對 使用權資產計提折舊。 當本集團於租賃期末獲 When the Group obtains ownership of the underlying 得相關租賃資產的所有 leased asset at the end of t</t>
        </is>
      </c>
    </row>
    <row r="63">
      <c r="A63" s="8" t="inlineStr">
        <is>
          <t>Intangible Assets &amp; Goodwill</t>
        </is>
      </c>
      <c r="B63" s="8" t="inlineStr">
        <is>
          <t>無形資產及商譽</t>
        </is>
      </c>
      <c r="C63" s="19" t="inlineStr">
        <is>
          <t>high</t>
        </is>
      </c>
      <c r="D63" s="11" t="inlineStr">
        <is>
          <t>攤銷</t>
        </is>
      </c>
      <c r="E63" s="11" t="inlineStr">
        <is>
          <t>PDF p.107 (印刷頁 106)</t>
        </is>
      </c>
      <c r="F63" s="11" t="inlineStr">
        <is>
          <t>ontinued) 信貸虧損及資產減值 (l) Credit losses and impairment of assets (l) 金融工具產生的信貸虧損 (i) Credit losses from financial instruments (i) 本集團就按攤銷成本計量 The Group recognises a loss allowance for expected 的金融資產（包括現金及 credit losses (“ECLs”) on the financial assets measured 現金等價物、貿易應收款 at amortised cost (including cash and cash equivalents, 項、其他應收款項及租賃 trade receivables, other receivables and rental deposits, 按金，乃於收取合約現金 which are held within a business model for the collection 流量（即純粹為獲得本金 of contractual cash flows which represent solely 及利息付款</t>
        </is>
      </c>
    </row>
    <row r="64">
      <c r="A64" s="8" t="inlineStr">
        <is>
          <t>Intangible Assets &amp; Goodwill</t>
        </is>
      </c>
      <c r="B64" s="8" t="inlineStr">
        <is>
          <t>無形資產及商譽</t>
        </is>
      </c>
      <c r="C64" s="19" t="inlineStr">
        <is>
          <t>high</t>
        </is>
      </c>
      <c r="D64" s="11" t="inlineStr">
        <is>
          <t>intangible asset</t>
        </is>
      </c>
      <c r="E64" s="11" t="inlineStr">
        <is>
          <t>PDF p.114 (印刷頁 113)</t>
        </is>
      </c>
      <c r="F64" s="11" t="inlineStr">
        <is>
          <t>l) Credit losses and impairment of assets (Continued) (l) 非金融資產減值 (ii) Impairment of non-financial assets (ii) 商譽、尚未可供使用之無 Goodwill, intangible assets that are not yet available 形資產及具無限使用年期 for use and intangible assets that have an indefinite 之無形資產每年進行減值 useful life are tested annually for impairment, or more 測試；或倘發生事項或情 frequently if events or changes in circumstances 況變動表明可能出現減值 indicate that they might be impaired. Other assets are 則須更頻繁進行減值測 tested for impairment whenever events or changes in 試。其他資產於發生事項 circumstances indi</t>
        </is>
      </c>
    </row>
    <row r="65">
      <c r="A65" s="8" t="inlineStr">
        <is>
          <t>Intangible Assets &amp; Goodwill</t>
        </is>
      </c>
      <c r="B65" s="8" t="inlineStr">
        <is>
          <t>無形資產及商譽</t>
        </is>
      </c>
      <c r="C65" s="19" t="inlineStr">
        <is>
          <t>high</t>
        </is>
      </c>
      <c r="D65" s="11" t="inlineStr">
        <is>
          <t>goodwill</t>
        </is>
      </c>
      <c r="E65" s="11" t="inlineStr">
        <is>
          <t>PDF p.115 (印刷頁 114)</t>
        </is>
      </c>
      <c r="F65" s="11" t="inlineStr">
        <is>
          <t>損益中 amount. Impairment loss recognised in respect 確認減值虧損。就 of a CGU is allocated first to reduce the carrying 現金產生單位確認 amount of any goodwill allocated to the CGU (or 的減值虧損會首先 group of CGUs) and then, to reduce the carrying 予以分配，減少分 amount of the other assets in the CGU (or group 配至現金產生單位 of CGUs) on a pro rata basis, except that the （或現金產生單位 carrying value of an asset will not be reduced 組別）的任何商譽賬 below the highest of its individual fair value less 面值，再按比例減 costs of disposal (if measurable), value in use (if 少該現金產生單位 determina</t>
        </is>
      </c>
    </row>
    <row r="66">
      <c r="A66" s="8" t="inlineStr">
        <is>
          <t>Intangible Assets &amp; Goodwill</t>
        </is>
      </c>
      <c r="B66" s="8" t="inlineStr">
        <is>
          <t>無形資產及商譽</t>
        </is>
      </c>
      <c r="C66" s="19" t="inlineStr">
        <is>
          <t>high</t>
        </is>
      </c>
      <c r="D66" s="11" t="inlineStr">
        <is>
          <t>goodwill</t>
        </is>
      </c>
      <c r="E66" s="11" t="inlineStr">
        <is>
          <t>PDF p.116 (印刷頁 115)</t>
        </is>
      </c>
      <c r="F66" s="11" t="inlineStr">
        <is>
          <t>pairment of non-financial assets (Continued) (ii) － 撥回減值虧損 – Reversals of impairment losses 就商譽以外的資產 In respect of assets other than goodwill, an 而言，倘用於釐定 impairment loss is reversed if there has been 可收回金額的估計 a favourable change in the estimates used to 出現有利的變動， determine the recoverable amount. An impairment 則減值虧損予以撥 loss in respect of goodwill is not reversed. 回。有關商譽的減 值虧損並無撥回。 所撥回的減值虧損 A reversal of an impairment loss is limited to 以過往年度並無確 the asset’s carrying amount that would have 認減值虧損下已釐 been determined had no impairme</t>
        </is>
      </c>
    </row>
    <row r="67">
      <c r="A67" s="8" t="inlineStr">
        <is>
          <t>Intangible Assets &amp; Goodwill</t>
        </is>
      </c>
      <c r="B67" s="8" t="inlineStr">
        <is>
          <t>無形資產及商譽</t>
        </is>
      </c>
      <c r="C67" s="19" t="inlineStr">
        <is>
          <t>high</t>
        </is>
      </c>
      <c r="D67" s="11" t="inlineStr">
        <is>
          <t>攤銷</t>
        </is>
      </c>
      <c r="E67" s="11" t="inlineStr">
        <is>
          <t>PDF p.118 (印刷頁 117)</t>
        </is>
      </c>
      <c r="F67" s="11" t="inlineStr">
        <is>
          <t>transaction costs. All receivables are subsequently stated 收款項其後使用實際利率法按 at amortised cost using the effective interest method, less 攤銷成本減預期信貸虧損撥備 allowance for ECL (see note 2(l)(i)). 列賬（見附註2(l)(i)）。 現金及現金等價物 (o) Cash and cash equivalents (o) 現金及現金等價物包括銀行存 Cash and cash equivalents comprise cash at bank and 款及手頭現金、存放銀行及其他 on hand, demand deposits with banks and other financial 金融機構的活期存款，以及可以 institutions, and short-term, highly liquid investments readily 隨時換算為已知現金額且價值 convertible into known amounts of cash and which are subjec</t>
        </is>
      </c>
    </row>
    <row r="68">
      <c r="A68" s="8" t="inlineStr">
        <is>
          <t>Intangible Assets &amp; Goodwill</t>
        </is>
      </c>
      <c r="B68" s="8" t="inlineStr">
        <is>
          <t>無形資產及商譽</t>
        </is>
      </c>
      <c r="C68" s="19" t="inlineStr">
        <is>
          <t>high</t>
        </is>
      </c>
      <c r="D68" s="11" t="inlineStr">
        <is>
          <t>攤銷</t>
        </is>
      </c>
      <c r="E68" s="11" t="inlineStr">
        <is>
          <t>PDF p.119 (印刷頁 118)</t>
        </is>
      </c>
      <c r="F68" s="11" t="inlineStr">
        <is>
          <t>sured initially at fair value less transaction 本計量。在初始確認後，該等借 costs. Subsequent to initial recognition, these borrowings are 貸以實際利率法按攤銷成本列 stated at amortised cost using the effective interest method. 賬。借貸成本的利息開支乃根據 Interest expense is recognised in accordance with the Group’s 本集團的會計政策確認。倘部分 accounting policy for borrowing costs. Fees paid on the 或全部融資將很可能會被提取， establishment of loan facilities are recognised as transaction 設立借貸融資時支付的費用確 costs of the loan to the extent that it is probable that some 認為借貸的交易成本。於此情況 or all of the f</t>
        </is>
      </c>
    </row>
    <row r="69">
      <c r="A69" s="8" t="inlineStr">
        <is>
          <t>Intangible Assets &amp; Goodwill</t>
        </is>
      </c>
      <c r="B69" s="8" t="inlineStr">
        <is>
          <t>無形資產及商譽</t>
        </is>
      </c>
      <c r="C69" s="19" t="inlineStr">
        <is>
          <t>high</t>
        </is>
      </c>
      <c r="D69" s="11" t="inlineStr">
        <is>
          <t>攤銷</t>
        </is>
      </c>
      <c r="E69" s="11" t="inlineStr">
        <is>
          <t>PDF p.120 (印刷頁 119)</t>
        </is>
      </c>
      <c r="F69" s="11" t="inlineStr">
        <is>
          <t>sset and also recognises a 資產所有權的絕大部分風險及 collateralised borrowing for the proceeds received. 回報，則本集團繼續確認金融資 產並確認已收所得款項的有抵 押借貸。 於取消確認按攤銷成本計量之 On derecognition of a financial asset measured at amortised 金融資產時，資產賬面值與已收 cost, the difference between the asset’s carrying amount 及應收之代價總和之間的差額 and the sum of the consideration received and receivable is 於損益確認。 recognised in profit or loss. 取消確認金融負債 (t) Derecognition of financial liabilities (t) 當且僅當本集團責任獲解除、取 The Group derecognises financial liabilities when, and only 消或屆滿時，本集團方會終止確 whe</t>
        </is>
      </c>
    </row>
    <row r="70">
      <c r="A70" s="8" t="inlineStr">
        <is>
          <t>Intangible Assets &amp; Goodwill</t>
        </is>
      </c>
      <c r="B70" s="8" t="inlineStr">
        <is>
          <t>無形資產及商譽</t>
        </is>
      </c>
      <c r="C70" s="19" t="inlineStr">
        <is>
          <t>high</t>
        </is>
      </c>
      <c r="D70" s="11" t="inlineStr">
        <is>
          <t>goodwill</t>
        </is>
      </c>
      <c r="E70" s="11" t="inlineStr">
        <is>
          <t>PDF p.124 (印刷頁 123)</t>
        </is>
      </c>
      <c r="F70" s="11" t="inlineStr">
        <is>
          <t>ed exceptions to recognition of deferred tax assets and 限例外情況包括： liabilities are: － 不可扣稅商譽產生的暫時 – temporary differences arising from goodwill not 差額， deductible for tax purposes, － 不影響會計或應課稅溢利 – temporary differences arising from the initial recognition （並非業務合併一部分） of assets or liabilities that affect neither accounting nor 的資產或負債初始確認產 taxable profit (provided they are not part of a business 生的暫時差額且不會產生 combination) and do not give rise to equal taxable and 同等應課稅及可抵扣暫時 deductible temporary differences, 差額， － 於附屬公司及合營企業的 – tempo</t>
        </is>
      </c>
    </row>
    <row r="71">
      <c r="A71" s="8" t="inlineStr">
        <is>
          <t>Intangible Assets &amp; Goodwill</t>
        </is>
      </c>
      <c r="B71" s="8" t="inlineStr">
        <is>
          <t>無形資產及商譽</t>
        </is>
      </c>
      <c r="C71" s="19" t="inlineStr">
        <is>
          <t>high</t>
        </is>
      </c>
      <c r="D71" s="11" t="inlineStr">
        <is>
          <t>攤銷</t>
        </is>
      </c>
      <c r="E71" s="11" t="inlineStr">
        <is>
          <t>PDF p.130 (印刷頁 129)</t>
        </is>
      </c>
      <c r="F71" s="11" t="inlineStr">
        <is>
          <t>之 amount of the financial asset. For financial assets (other 利率確認。對於未出現信 than purchased or originated credit-impaired financial 貸減值且按攤銷成本計量 assets) measured at amortised cost that are not credit- 的金融資產（已購入或已 impaired, the effective interest rate is applied to the 發起信貸減值的金融資產 gross carrying amount of the asset. For credit-impaired 除外），實際利率適用於 financial assets, interest income is calculated by applying 資產的總賬面值。就信貸 the effective interest rate to the amortised cost (i.e. gross 減值金融資產而言，利息 carrying amount net of loss allowance) of t</t>
        </is>
      </c>
    </row>
    <row r="72">
      <c r="A72" s="8" t="inlineStr">
        <is>
          <t>Intangible Assets &amp; Goodwill</t>
        </is>
      </c>
      <c r="B72" s="8" t="inlineStr">
        <is>
          <t>無形資產及商譽</t>
        </is>
      </c>
      <c r="C72" s="19" t="inlineStr">
        <is>
          <t>high</t>
        </is>
      </c>
      <c r="D72" s="11" t="inlineStr">
        <is>
          <t>goodwill</t>
        </is>
      </c>
      <c r="E72" s="11" t="inlineStr">
        <is>
          <t>PDF p.131 (印刷頁 130)</t>
        </is>
      </c>
      <c r="F72" s="11" t="inlineStr">
        <is>
          <t>。於二零零五年 during that period, in which case the foreign exchange rates 四月一日或以後收購海外業務 ruling at the dates of the transactions are used. Goodwill and 所產生的商譽及資產及負債賬 any fair value adjustments to the carrying amounts of assets 面值的任何公平價值調整被視 and liabilities arising on the acquisition of foreign operation on 為海外業務的資產及負債，並按 or after 1 April 2005, are treated as assets and liabilities of the 報告期末的收市匯率換算。於二 foreign operation and translated at the closing rate at the end 零零五年四月一日前收購海外 of the reporting period. Goodwill and any fair value ad</t>
        </is>
      </c>
    </row>
    <row r="73">
      <c r="A73" s="8" t="inlineStr">
        <is>
          <t>Intangible Assets &amp; Goodwill</t>
        </is>
      </c>
      <c r="B73" s="8" t="inlineStr">
        <is>
          <t>無形資產及商譽</t>
        </is>
      </c>
      <c r="C73" s="19" t="inlineStr">
        <is>
          <t>high</t>
        </is>
      </c>
      <c r="D73" s="11" t="inlineStr">
        <is>
          <t>intangible asset</t>
        </is>
      </c>
      <c r="E73" s="11" t="inlineStr">
        <is>
          <t>PDF p.138 (印刷頁 137)</t>
        </is>
      </c>
      <c r="F73" s="11" t="inlineStr">
        <is>
          <t>timated impairment of goodwill, property, plant and (ii) （包括使用權資產）以及 equipment (including right-of-use assets) and other 其他無形資產的估計減值 intangible assets 釐定商譽、物業、廠房及 Determining whether goodwill, property, plant and 設備（包括使用權資產）以 equipment (including right-of-use assets) and other 及其他無形資產有否減 intangible assets is impaired requires an estimation of 值須估計獲分配商譽、物 the recoverable amount of the cash-generating unit 業、廠房及設備（包括使 (or group of cash-generating units) to which goodwill, 用權資產）以及其他無形 property, plant and equipment (including right</t>
        </is>
      </c>
    </row>
    <row r="74">
      <c r="A74" s="8" t="inlineStr">
        <is>
          <t>Intangible Assets &amp; Goodwill</t>
        </is>
      </c>
      <c r="B74" s="8" t="inlineStr">
        <is>
          <t>無形資產及商譽</t>
        </is>
      </c>
      <c r="C74" s="19" t="inlineStr">
        <is>
          <t>high</t>
        </is>
      </c>
      <c r="D74" s="11" t="inlineStr">
        <is>
          <t>intangible asset</t>
        </is>
      </c>
      <c r="E74" s="11" t="inlineStr">
        <is>
          <t>PDF p.141 (印刷頁 140)</t>
        </is>
      </c>
      <c r="F74" s="11" t="inlineStr">
        <is>
          <t>ttributable 須予報告分部的業績、資產及負 to each reportable segment on the following bases: 債： 分部資產包括所有有形資產、無 Segment assets include all tangible, intangible assets and 形資產及流動資產，惟按公平價 current assets with the exception of financial assets at fair value 值計入損益之金融資產及其他 through profit or loss and other corporate assets. Segment 企業資產除外。分部負債包括個 liabilities include trade and other payables, lease liabilities, 別分部的活動應佔之貿易及其 income tax payable, provisions, deferred tax liabilities and 他應付款項、租賃負債、應付所 defined benefit obligation attributable to the activ</t>
        </is>
      </c>
    </row>
    <row r="75">
      <c r="A75" s="8" t="inlineStr">
        <is>
          <t>Intangible Assets &amp; Goodwill</t>
        </is>
      </c>
      <c r="B75" s="8" t="inlineStr">
        <is>
          <t>無形資產及商譽</t>
        </is>
      </c>
      <c r="C75" s="19" t="inlineStr">
        <is>
          <t>high</t>
        </is>
      </c>
      <c r="D75" s="11" t="inlineStr">
        <is>
          <t>amortisation</t>
        </is>
      </c>
      <c r="E75" s="11" t="inlineStr">
        <is>
          <t>PDF p.142 (印刷頁 141)</t>
        </is>
      </c>
      <c r="F75" s="11" t="inlineStr">
        <is>
          <t>table segment profit （經調整EBITDA） (adjusted EBITDA) 109,245 17,748 126,993 銀行利息收入 Bank interest income 71 折舊 Depreciation (18,988) 攤銷 Amortisation (1,158) 融資成本 Finance costs (8,799) 強制按公平價值計入 Loss on financial assets 損益計量之金融 mandatorily measured at 資產的虧損 fair value through profit or loss (4,689) 非金融資產之 Impairment losses on 減值虧損 non-financial assets (2,000) 未分配之總辦事處及 Unallocated head office and 企業收入及開支 corporate income and （銀行利息收入、 expenses other than bank 折舊、攤銷及 interest income, depreciation, 融資成本除外） amortisation and finance cos</t>
        </is>
      </c>
    </row>
    <row r="76">
      <c r="A76" s="8" t="inlineStr">
        <is>
          <t>Intangible Assets &amp; Goodwill</t>
        </is>
      </c>
      <c r="B76" s="8" t="inlineStr">
        <is>
          <t>無形資產及商譽</t>
        </is>
      </c>
      <c r="C76" s="19" t="inlineStr">
        <is>
          <t>high</t>
        </is>
      </c>
      <c r="D76" s="11" t="inlineStr">
        <is>
          <t>goodwill</t>
        </is>
      </c>
      <c r="E76" s="11" t="inlineStr">
        <is>
          <t>PDF p.143 (印刷頁 142)</t>
        </is>
      </c>
      <c r="F76" s="11" t="inlineStr">
        <is>
          <t>sation 融資成本 (1,158) – – (1,158) Finance costs 非金融資產 (34) (699) (8,066) (8,799) Impairment losses of 之減值虧損 non-financial assets －商譽 – Goodwill – (2,000) – (2,000) 142 LIMITED • Annual ALPHA PROFESSIONAL HOLDINGS Report 2026</t>
        </is>
      </c>
    </row>
    <row r="77">
      <c r="A77" s="8" t="inlineStr">
        <is>
          <t>Intangible Assets &amp; Goodwill</t>
        </is>
      </c>
      <c r="B77" s="8" t="inlineStr">
        <is>
          <t>無形資產及商譽</t>
        </is>
      </c>
      <c r="C77" s="19" t="inlineStr">
        <is>
          <t>high</t>
        </is>
      </c>
      <c r="D77" s="11" t="inlineStr">
        <is>
          <t>amortisation</t>
        </is>
      </c>
      <c r="E77" s="11" t="inlineStr">
        <is>
          <t>PDF p.144 (印刷頁 143)</t>
        </is>
      </c>
      <c r="F77" s="11" t="inlineStr">
        <is>
          <t>ent (loss)/profit （經調整EBITDA） (adjusted EBITDA) 銀行利息收入 (188,799) 9,074 (179,725) Bank interest income 折舊 57 Depreciation 攤銷 (10,117) Amortisation 融資成本 (1,705) Finance costs 強制按公平價值計入損益計量之 (3,941) Gain on financial assets mandatorily 金融資產 measured at fair value through 的收益 profit or loss 非金融資產之減值虧損 7,192 Impairment losses on non-financial assets 未分配之總辦事處及 (3,030) Unallocated head office and corporate 企業收入及開支 income and expenses other than （銀行利息收入、折舊、 bank interest income, depreciation, 攤銷及融資成本除外） amortisation and finance costs (</t>
        </is>
      </c>
    </row>
    <row r="78">
      <c r="A78" s="8" t="inlineStr">
        <is>
          <t>Intangible Assets &amp; Goodwill</t>
        </is>
      </c>
      <c r="B78" s="8" t="inlineStr">
        <is>
          <t>無形資產及商譽</t>
        </is>
      </c>
      <c r="C78" s="19" t="inlineStr">
        <is>
          <t>high</t>
        </is>
      </c>
      <c r="D78" s="11" t="inlineStr">
        <is>
          <t>intangible asset</t>
        </is>
      </c>
      <c r="E78" s="11" t="inlineStr">
        <is>
          <t>PDF p.145 (印刷頁 144)</t>
        </is>
      </c>
      <c r="F78" s="11" t="inlineStr">
        <is>
          <t>t impairment losses of 虧損淨額 other receivables (4,722) – – (4,722) 非流動分部資產之添置 Additions to non-current segment assets －其他無形資產 – Other intangible assets 25,412 – – 25,412 －商譽 – Goodwill 11,441 4,971 – 16,412 －物業、廠房及設備 – Property, plant and equipment 2,922 36,537 – 39,459 補償撥備 Provisions for compensation (125,220) – – (125,220) 定期提供予主要營運決策者 Amount regularly provided to the 但未計入分部溢利╱（虧損） CODM but not included in the measure 或分部資產計量之款項： of segment profit/(loss) or segment assets: 銀行利息收入 Bank interest income 42 14 1 57 折舊 Depreciatio</t>
        </is>
      </c>
    </row>
    <row r="79">
      <c r="A79" s="8" t="inlineStr">
        <is>
          <t>Intangible Assets &amp; Goodwill</t>
        </is>
      </c>
      <c r="B79" s="8" t="inlineStr">
        <is>
          <t>無形資產及商譽</t>
        </is>
      </c>
      <c r="C79" s="19" t="inlineStr">
        <is>
          <t>high</t>
        </is>
      </c>
      <c r="D79" s="11" t="inlineStr">
        <is>
          <t>intangible asset</t>
        </is>
      </c>
      <c r="E79" s="11" t="inlineStr">
        <is>
          <t>PDF p.146 (印刷頁 145)</t>
        </is>
      </c>
      <c r="F79" s="11" t="inlineStr">
        <is>
          <t>from external customers and (ii) the Group’s 業、廠房及設備、其他無形資產 investment property, property, plant and equipment, other 以及商譽之所在地區分析。客戶 intangible assets and goodwill. The geographical location 所在地區按所提供服務或貨物 of customers is based on the location at which the services 送達所在地劃分。投資物業以及 were provided or the goods were delivered. The geographical 物業、廠房及設備之所在地區乃 location of investment property and property, plant and 基於所考慮資產的實際位置而 equipment is based on the physical location of the asset 定。就其他無形資產及商譽而 under consideration. In the case of o</t>
        </is>
      </c>
    </row>
    <row r="80">
      <c r="A80" s="8" t="inlineStr">
        <is>
          <t>Intangible Assets &amp; Goodwill</t>
        </is>
      </c>
      <c r="B80" s="8" t="inlineStr">
        <is>
          <t>無形資產及商譽</t>
        </is>
      </c>
      <c r="C80" s="19" t="inlineStr">
        <is>
          <t>high</t>
        </is>
      </c>
      <c r="D80" s="11" t="inlineStr">
        <is>
          <t>攤銷</t>
        </is>
      </c>
      <c r="E80" s="11" t="inlineStr">
        <is>
          <t>PDF p.149 (印刷頁 148)</t>
        </is>
      </c>
      <c r="F80" s="11" t="inlineStr">
        <is>
          <t>ended 31 March 其他收入 7. OTHER INCOME 7. 持續經營業務 Continuing operations 2026 2025 二零二六年 二零二五年 HK$’000 HK$’000 千港元 千港元 (Restated) （經重列） 按攤銷成本計量之 Interest income on financial assets measured 金融資產利息收入 at amortised cost －銀行利息收入 – Bank interest income 71 57 市場推廣服務收入 Marketing service income 317 106 雜項收入 Sundry income 429 2,099 817 2,262 其他收益及虧損，淨額 8. OTHER GAINS AND LOSSES, NET 8. 持續經營業務 Continuing operations 2026 2025 二零二六年 二零二五年 HK$’000 HK$’000 千港元 千港元 (Restated) （經重列） 匯兌虧損淨額 Net foreign exchange loss (3,642) (2,831) 強制按公平價值計入損益 (Los</t>
        </is>
      </c>
    </row>
    <row r="81">
      <c r="A81" s="8" t="inlineStr">
        <is>
          <t>Intangible Assets &amp; Goodwill</t>
        </is>
      </c>
      <c r="B81" s="8" t="inlineStr">
        <is>
          <t>無形資產及商譽</t>
        </is>
      </c>
      <c r="C81" s="19" t="inlineStr">
        <is>
          <t>high</t>
        </is>
      </c>
      <c r="D81" s="11" t="inlineStr">
        <is>
          <t>intangible asset</t>
        </is>
      </c>
      <c r="E81" s="11" t="inlineStr">
        <is>
          <t>PDF p.150 (印刷頁 149)</t>
        </is>
      </c>
      <c r="F81" s="11" t="inlineStr">
        <is>
          <t>Owned property, plant and equipment 474 421 －使用權資產 – Right-of-use assets 18,514 9,696 18,988 10,117 其他無形資產之攤銷 Amortisation of other intangible assets （附註18） (note 18) 1,158 1,705 金融資產減值虧損淨額 Net impairment losses of financial assets －貿易應收款項（附註37(a)） – Trade receivables (note 37(a)) 326 22,584 －其他應收款項（附註37(a)） – Other receivables (note 37(a)) – 4,722 326 27,306 商譽減值虧損（附註19） Impairment losses on goodwill (note 19) 2,000 3,030 短期租賃開支 Expense relating to short-term leases 888 5,927 阿爾法企業控股有限公司 • 二零二六年年報 149</t>
        </is>
      </c>
    </row>
    <row r="82">
      <c r="A82" s="8" t="inlineStr">
        <is>
          <t>Intangible Assets &amp; Goodwill</t>
        </is>
      </c>
      <c r="B82" s="8" t="inlineStr">
        <is>
          <t>無形資產及商譽</t>
        </is>
      </c>
      <c r="C82" s="19" t="inlineStr">
        <is>
          <t>high</t>
        </is>
      </c>
      <c r="D82" s="11" t="inlineStr">
        <is>
          <t>intangible asset</t>
        </is>
      </c>
      <c r="E82" s="11" t="inlineStr">
        <is>
          <t>PDF p.166 (印刷頁 165)</t>
        </is>
      </c>
      <c r="F82" s="11" t="inlineStr">
        <is>
          <t>Impairment assessment of the CGUs (containing property, plant and （包括使用權資產）、其他無形資產及 equipment (including right-of-use assets), other intangible assets and 相關商譽）的減值評估於綜合財務報表 related goodwill) is disclosed in note 19 to the consolidated financial 附註19中披露。 statements. 使用權資產 Right-of-use assets 按相關資產類別劃分的使用權資產賬 The analysis of the net book value of right-of-use assets by class of 面淨值分析如下： underlying asset is as follows: 2026 2025 二零二六年 二零二五年 HK$’000 HK$’000 千港元 千港元 供自用的租賃物業， Properties leased for own use, 以成本減折舊及 carried at cost le</t>
        </is>
      </c>
    </row>
    <row r="83">
      <c r="A83" s="8" t="inlineStr">
        <is>
          <t>Intangible Assets &amp; Goodwill</t>
        </is>
      </c>
      <c r="B83" s="8" t="inlineStr">
        <is>
          <t>無形資產及商譽</t>
        </is>
      </c>
      <c r="C83" s="19" t="inlineStr">
        <is>
          <t>high</t>
        </is>
      </c>
      <c r="D83" s="11" t="inlineStr">
        <is>
          <t>intangible asset</t>
        </is>
      </c>
      <c r="E83" s="11" t="inlineStr">
        <is>
          <t>PDF p.168 (印刷頁 167)</t>
        </is>
      </c>
      <c r="F83" s="11" t="inlineStr">
        <is>
          <t>Notes to the Consolidated Financial Statements 綜合財務報表附註 2026 截至二零二六年三月三十一日止年度 For the year ended 31 March 其他無形資產 18. OTHER INTANGIBLE ASSETS 18. Licenses and 許可證及技術 know-how HK$’000 千港元 成本 Cost 於二零二四年四月一日 At 1 April 2024 收購附屬公司（附註38(ii)） – Acquisition of subsidiaries (note 38 (ii)) 添置 25,363 Additions 匯兌差額 49 Exchange differences (68) 於二零二五年三月三十一日及 At 31 March 2025 and 二零二五年四月一日 1 April 2025 出售附屬公司（附註39(i)） 25,344 Disposal of subsidiaries (note 39(i)) 匯兌差額 (25,746) Exchange differences 452 於二零二六年三月三十一日 At 31 March 202</t>
        </is>
      </c>
    </row>
    <row r="84">
      <c r="A84" s="8" t="inlineStr">
        <is>
          <t>Investment Properties</t>
        </is>
      </c>
      <c r="B84" s="8" t="inlineStr">
        <is>
          <t>投資物業</t>
        </is>
      </c>
      <c r="C84" s="19" t="inlineStr">
        <is>
          <t>high</t>
        </is>
      </c>
      <c r="D84" s="11" t="inlineStr">
        <is>
          <t>investment property</t>
        </is>
      </c>
      <c r="E84" s="11" t="inlineStr">
        <is>
          <t>PDF p.59 (印刷頁 58)</t>
        </is>
      </c>
      <c r="F84" s="11" t="inlineStr">
        <is>
          <t>(excluding treasury shares, if any)) had 上者）於本集團主要供應商或客戶中擁有權 an interest in these major suppliers or customers of the Group. 益。 投資物業 INVESTMENT PROPERTY 本集團之投資物業已由Vanguard The Group’s investment property was disposed of at net consideration of Insolvency Australia的Mohammad Najjar先生（「Najjar AUD8.5 million (equivalent to approximately HK$43.6 million) in December 先生」）於二零二五年十二月以8.5百萬澳元 2025 by Mr. Mohammad Najjar (“Mr. Najjar”) of Vanguard Insolvency （相等於約43.6百萬港元）的淨代價出售。 Australia. Mr. Najjar has been appointed by AP Diamond as r</t>
        </is>
      </c>
    </row>
    <row r="85">
      <c r="A85" s="8" t="inlineStr">
        <is>
          <t>Investment Properties</t>
        </is>
      </c>
      <c r="B85" s="8" t="inlineStr">
        <is>
          <t>投資物業</t>
        </is>
      </c>
      <c r="C85" s="19" t="inlineStr">
        <is>
          <t>high</t>
        </is>
      </c>
      <c r="D85" s="11" t="inlineStr">
        <is>
          <t>investment property</t>
        </is>
      </c>
      <c r="E85" s="11" t="inlineStr">
        <is>
          <t>PDF p.74 (印刷頁 73)</t>
        </is>
      </c>
      <c r="F85" s="11" t="inlineStr">
        <is>
          <t>Position 綜合財務狀況表 2026 於二零二六年三月三十一日 At 31 March 二零二六年 2026 二零二五年 2025 Notes 附註 HK$’000 千港元 HK$’000 千港元 非流動資產 Non-current assets 投資物業 Investment property 物業、廠房及設備 16 – 41,232 Property, plant and equipment 其他無形資產 17 10,504 29,344 Other intangible assets 商譽 18 40 23,653 Goodwill 於合營企業之權益 19 2,971 13,351 Interests in joint venture 按公平價值計入損益之 20 – – Financial assets at fair value through 金融資產 profit or loss 可退還租金及其他按金 21 7,539 12,228 Refundable rental and other deposits 遞延稅項資產 23 2,780 3,411 Deferred tax assets 30(a) 596 21 24,430 1</t>
        </is>
      </c>
    </row>
    <row r="86">
      <c r="A86" s="8" t="inlineStr">
        <is>
          <t>Investment Properties</t>
        </is>
      </c>
      <c r="B86" s="8" t="inlineStr">
        <is>
          <t>投資物業</t>
        </is>
      </c>
      <c r="C86" s="19" t="inlineStr">
        <is>
          <t>high</t>
        </is>
      </c>
      <c r="D86" s="11" t="inlineStr">
        <is>
          <t>investment property</t>
        </is>
      </c>
      <c r="E86" s="11" t="inlineStr">
        <is>
          <t>PDF p.76 (印刷頁 75)</t>
        </is>
      </c>
      <c r="F86" s="11" t="inlineStr">
        <is>
          <t>自已終止經營業務 – from discontinued operation 131 2,010 調整： Adjustments for: 利息收入 Interest income 7 (71) (57) 投資物業公平價值收益 Fair value gain on investment property 11 – (2,033) 按公平價值計入損益之 Loss/(gain) on financial assets at 金融資產虧損╱ fair value through （收益） profit or loss 8 4,689 (7,192) 融資成本 Finance costs 9(a) 8,799 3,941 折舊 Depreciation 9(c) 18,988 10,117 其他無形資產之 Amortisation of other intangible 攤銷 assets 9(c) &amp; 11 1,158 1,705 金融資產減值虧損撥備 Net provision for impairment losses 淨額 on financial assets 9(c) 330 27,220 商譽減值虧損 Impairment losses on</t>
        </is>
      </c>
    </row>
    <row r="87">
      <c r="A87" s="8" t="inlineStr">
        <is>
          <t>Investment Properties</t>
        </is>
      </c>
      <c r="B87" s="8" t="inlineStr">
        <is>
          <t>投資物業</t>
        </is>
      </c>
      <c r="C87" s="19" t="inlineStr">
        <is>
          <t>high</t>
        </is>
      </c>
      <c r="D87" s="11" t="inlineStr">
        <is>
          <t>investment property</t>
        </is>
      </c>
      <c r="E87" s="11" t="inlineStr">
        <is>
          <t>PDF p.101 (印刷頁 100)</t>
        </is>
      </c>
      <c r="F87" s="11" t="inlineStr">
        <is>
          <t>rrying amount 的差額釐定，並於報廢或出售日 of the item and is recognised in profit or loss on the date of 期於損益確認。 retirement or disposal. 投資物業 (i) Investment property (i) 投資物業指為賺取租金收入及╱ Investment property is land and/or buildings which is owned 或為資本增值而擁有或以租賃 or held under a leasehold interest (see note 2(k)) to earn rental 權益（見附註2(k) ）持有之土地 income and/or for capital appreciation. These include land held 及╱或樓宇。該等投資物業包括 for a currently undetermined future use and leased property that 現時所持有而未釐定未來用途 is being constructed or developed for future</t>
        </is>
      </c>
    </row>
    <row r="88">
      <c r="A88" s="8" t="inlineStr">
        <is>
          <t>Investment Properties</t>
        </is>
      </c>
      <c r="B88" s="8" t="inlineStr">
        <is>
          <t>投資物業</t>
        </is>
      </c>
      <c r="C88" s="19" t="inlineStr">
        <is>
          <t>high</t>
        </is>
      </c>
      <c r="D88" s="11" t="inlineStr">
        <is>
          <t>investment property</t>
        </is>
      </c>
      <c r="E88" s="11" t="inlineStr">
        <is>
          <t>PDF p.104 (印刷頁 103)</t>
        </is>
      </c>
      <c r="F88" s="11" t="inlineStr">
        <is>
          <t>r present value, a provision is 資產，或恢復相關資產或 recognised and measured under IAS 37. Except for that 其所在場地之成本估算， which is classified as investment property and measured 貼現至現值，並根據國際 at fair value, the right-of-use asset is subsequently 會計準則第37號確認及計 stated at cost less accumulated depreciation and 量撥備。除獲分類為投資 impairment losses (see note 2(h)) and adjusted for any 物業並按公平價值計量者 remeasurement of lease liabilities. 外，使用權資產其後按成 本減累計折舊及減值虧損 列賬（見附註2(h)），並就 租賃負債的任何重新計量 進行調整。 倘租賃於租賃期末將相關 If the lease transfers ownership of the underlying asse</t>
        </is>
      </c>
    </row>
    <row r="89">
      <c r="A89" s="8" t="inlineStr">
        <is>
          <t>Investment Properties</t>
        </is>
      </c>
      <c r="B89" s="8" t="inlineStr">
        <is>
          <t>投資物業</t>
        </is>
      </c>
      <c r="C89" s="19" t="inlineStr">
        <is>
          <t>high</t>
        </is>
      </c>
      <c r="D89" s="11" t="inlineStr">
        <is>
          <t>investment property</t>
        </is>
      </c>
      <c r="E89" s="11" t="inlineStr">
        <is>
          <t>PDF p.105 (印刷頁 104)</t>
        </is>
      </c>
      <c r="F89" s="11" t="inlineStr">
        <is>
          <t>） (i) As a lessee (Continued) (i) 本集團將不符合投資物業 The Group presents right-of-use assets, that do not meet 定義的使用權資產呈列於 the definition of investment property, in “property, plant 「物業、廠房及設備」，倘 and equipment”, the same line item within which the 擁有相應相關資產，則於 corresponding underlying assets would be presented if 同一項目內呈列。 they were owned. 當用於釐定付款的指數或 The lease liability is remeasured when there is a change 利率變動引致未來租賃付 in future lease payments arising from a change in an 款變動，或本集團根據剩 index or rate used to determine those payments, or 餘價值擔保</t>
        </is>
      </c>
    </row>
    <row r="90">
      <c r="A90" s="8" t="inlineStr">
        <is>
          <t>Investment Properties</t>
        </is>
      </c>
      <c r="B90" s="8" t="inlineStr">
        <is>
          <t>投資物業</t>
        </is>
      </c>
      <c r="C90" s="19" t="inlineStr">
        <is>
          <t>high</t>
        </is>
      </c>
      <c r="D90" s="11" t="inlineStr">
        <is>
          <t>投資物業</t>
        </is>
      </c>
      <c r="E90" s="11" t="inlineStr">
        <is>
          <t>PDF p.124 (印刷頁 123)</t>
        </is>
      </c>
      <c r="F90" s="11" t="inlineStr">
        <is>
          <t>柱 implement the Pillar Two model rules published by 二立法模板而頒佈或是實 the Organisation for Economic Co-operation and 質頒佈的稅法。 Development. 當投資物業按公平價值列賬，除 Where investment properties are carried at their fair value, the 非該等物業可折舊且乃於旨在 amount of deferred tax recognised is measured using the tax 隨時間推移（而非透過出售）而 rates that would apply on sale of those assets at their carrying 獲取隱含於該等物業之絕大部 value at the reporting date unless the properties are depreciable 分經濟利益的商業模式內持有， and are held within a business model whose objective is to 否則已確認遞延稅項的金額按</t>
        </is>
      </c>
    </row>
    <row r="91">
      <c r="A91" s="8" t="inlineStr">
        <is>
          <t>Investment Properties</t>
        </is>
      </c>
      <c r="B91" s="8" t="inlineStr">
        <is>
          <t>投資物業</t>
        </is>
      </c>
      <c r="C91" s="19" t="inlineStr">
        <is>
          <t>high</t>
        </is>
      </c>
      <c r="D91" s="11" t="inlineStr">
        <is>
          <t>investment property</t>
        </is>
      </c>
      <c r="E91" s="11" t="inlineStr">
        <is>
          <t>PDF p.146 (印刷頁 145)</t>
        </is>
      </c>
      <c r="F91" s="11" t="inlineStr">
        <is>
          <t>is of geographical location of (i) the 收入及(ii)本集團的投資物業、物 Group’s revenue from external customers and (ii) the Group’s 業、廠房及設備、其他無形資產 investment property, property, plant and equipment, other 以及商譽之所在地區分析。客戶 intangible assets and goodwill. The geographical location 所在地區按所提供服務或貨物 of customers is based on the location at which the services 送達所在地劃分。投資物業以及 were provided or the goods were delivered. The geographical 物業、廠房及設備之所在地區乃 location of investment property and property, plant and 基於所考慮資產的實際位置而 equipment is based on the physical</t>
        </is>
      </c>
    </row>
    <row r="92">
      <c r="A92" s="8" t="inlineStr">
        <is>
          <t>Investment Properties</t>
        </is>
      </c>
      <c r="B92" s="8" t="inlineStr">
        <is>
          <t>投資物業</t>
        </is>
      </c>
      <c r="C92" s="19" t="inlineStr">
        <is>
          <t>high</t>
        </is>
      </c>
      <c r="D92" s="11" t="inlineStr">
        <is>
          <t>investment property</t>
        </is>
      </c>
      <c r="E92" s="11" t="inlineStr">
        <is>
          <t>PDF p.153 (印刷頁 152)</t>
        </is>
      </c>
      <c r="F92" s="11" t="inlineStr">
        <is>
          <t>iamond, which has been 理人（「接管人」），投資物業已作為本 in default since April 2025 (see note 28(i) for details). The Group’s 集團結欠AP Diamond之自二零二五 investment property was disposed in order to generate cash flows for 年四月起已違約借款之擔保抵押予 the settlement of the Group’s indebtedness payable to AP Diamond Diamond（詳情見附註28(i)）。本集 (the “Indebtedness”). On 15 October 2025, a contract for the sale and AP 團的投資物業已出售以產生現金流用 purchase of the property was entered by Mr. Najjar in his capacity 於清償本集團應付AP Diamond的債務 as Receiver of GA Australia Investment Pty Ltd (</t>
        </is>
      </c>
    </row>
    <row r="93">
      <c r="A93" s="8" t="inlineStr">
        <is>
          <t>Investment Properties</t>
        </is>
      </c>
      <c r="B93" s="8" t="inlineStr">
        <is>
          <t>投資物業</t>
        </is>
      </c>
      <c r="C93" s="19" t="inlineStr">
        <is>
          <t>high</t>
        </is>
      </c>
      <c r="D93" s="11" t="inlineStr">
        <is>
          <t>investment property</t>
        </is>
      </c>
      <c r="E93" s="11" t="inlineStr">
        <is>
          <t>PDF p.154 (印刷頁 153)</t>
        </is>
      </c>
      <c r="F93" s="11" t="inlineStr">
        <is>
          <t>339 2,010 來自已終止經營業務之 Profit for the year from discontinued 本年度溢利包括： operation includes the following: 投資物業之公平價值收益 Fair value gain on investment property – 2,033 出售投資物業的收益 Gain on disposal of investment property 282 – 金融資產（減值虧損）／ Net (impairment losses) / reversal of 減值虧損撥回淨額 impairment losses of financial assets －貿易應收款項 – Trade receivables (note 37(a)) （附註37(a)） – 86 －其他應收款項 – Other receivables (note 37(a)) （附註37(a)） (4) – (4) 86 並無產生租金收入的投資 Direct operating expenses from investment 物業的直接 property that did not generate rental 經</t>
        </is>
      </c>
    </row>
    <row r="94">
      <c r="A94" s="8" t="inlineStr">
        <is>
          <t>Investment Properties</t>
        </is>
      </c>
      <c r="B94" s="8" t="inlineStr">
        <is>
          <t>投資物業</t>
        </is>
      </c>
      <c r="C94" s="19" t="inlineStr">
        <is>
          <t>high</t>
        </is>
      </c>
      <c r="D94" s="11" t="inlineStr">
        <is>
          <t>investment property</t>
        </is>
      </c>
      <c r="E94" s="11" t="inlineStr">
        <is>
          <t>PDF p.160 (印刷頁 159)</t>
        </is>
      </c>
      <c r="F94" s="11" t="inlineStr">
        <is>
          <t>es not recommend the payment of any final dividend for 月三十一日止年度的任何末期股息（二 the year ended 31 March 2026 (2025: Nil). 零二五年：無）。 投資物業 16. INVESTMENT PROPERTY 16. Fair 公平價值 value HK$’000 千港元 於二零二四年四月一日 At 1 April 2024 於損益確認之公平價值收益淨額 41,350 Net fair value gain recognised in （附註11） profit or loss (note 11) 匯兌差額 2,033 Exchange differences (2,151) 於二零二五年三月三十一日及 At 31 March 2025 二零二五年四月一日 and 1 April 2025 41,232 出售 Disposal (43,323) 匯兌差額 Exchange differences 2,091 於二零二六年三月三十一日 At 31 March 2026 – 阿爾法企業控股有限公司 • 二零二六年年報 159</t>
        </is>
      </c>
    </row>
    <row r="95">
      <c r="A95" s="8" t="inlineStr">
        <is>
          <t>Investment Properties</t>
        </is>
      </c>
      <c r="B95" s="8" t="inlineStr">
        <is>
          <t>投資物業</t>
        </is>
      </c>
      <c r="C95" s="19" t="inlineStr">
        <is>
          <t>high</t>
        </is>
      </c>
      <c r="D95" s="11" t="inlineStr">
        <is>
          <t>investment property</t>
        </is>
      </c>
      <c r="E95" s="11" t="inlineStr">
        <is>
          <t>PDF p.161 (印刷頁 160)</t>
        </is>
      </c>
      <c r="F95" s="11" t="inlineStr">
        <is>
          <t>Notes to the Consolidated Financial Statements 綜合財務報表附註 2026 截至二零二六年三月三十一日止年度 For the year ended 31 March 投資物業（續） 16. INVESTMENT PROPERTY (Continued) 16. 投資物業的公平價值調整錄得收益零 Fair value adjustment of investment property amounting to gain of （二零二五年：2,033,000港元），於損 Nil (2025: HK$2,033,000) is recognised in the profit or loss and is 益確認，並作為「投資物業公平價值收 included in “other gains and losses, net” under “profit for the year from 益」計入「來自已終止經營業務之本年 discontinued operation” as “Fair value gain on investment property” 度溢利」項下之「其他收益</t>
        </is>
      </c>
    </row>
    <row r="96">
      <c r="A96" s="8" t="inlineStr">
        <is>
          <t>Investment Properties</t>
        </is>
      </c>
      <c r="B96" s="8" t="inlineStr">
        <is>
          <t>投資物業</t>
        </is>
      </c>
      <c r="C96" s="19" t="inlineStr">
        <is>
          <t>high</t>
        </is>
      </c>
      <c r="D96" s="11" t="inlineStr">
        <is>
          <t>investment property</t>
        </is>
      </c>
      <c r="E96" s="11" t="inlineStr">
        <is>
          <t>PDF p.162 (印刷頁 161)</t>
        </is>
      </c>
      <c r="F96" s="11" t="inlineStr">
        <is>
          <t>Notes to the Consolidated Financial Statements 綜合財務報表附註 2026 截至二零二六年三月三十一日止年度 For the year ended 31 March 投資物業（續） 16. INVESTMENT PROPERTY (Continued) 16. 於二零二五年十月十五日，Najjar先生 On 15 October 2025, a contract for the sale and purchase of the 以GA Investment（作為賣方）的接管人 property was entered by Mr. Najjar in his capacity as Receiver of GA 身份與獨立第三方（作為買方）訂立物 Investment being the vendor, and an independent third party as the 業買賣合同，據此，投資物業予以出 purchaser, pursuant to which the investment property is disposed at 售，淨代價為8,500,000</t>
        </is>
      </c>
    </row>
    <row r="97">
      <c r="A97" s="8" t="inlineStr">
        <is>
          <t>Investment Properties</t>
        </is>
      </c>
      <c r="B97" s="8" t="inlineStr">
        <is>
          <t>投資物業</t>
        </is>
      </c>
      <c r="C97" s="19" t="inlineStr">
        <is>
          <t>high</t>
        </is>
      </c>
      <c r="D97" s="11" t="inlineStr">
        <is>
          <t>investment property</t>
        </is>
      </c>
      <c r="E97" s="11" t="inlineStr">
        <is>
          <t>PDF p.163 (印刷頁 162)</t>
        </is>
      </c>
      <c r="F97" s="11" t="inlineStr">
        <is>
          <t>Notes to the Consolidated Financial Statements 綜合財務報表附註 2026 截至二零二六年三月三十一日止年度 For the year ended 31 March 投資物業（續） 16. INVESTMENT PROPERTY (Continued) 16. 投資物業的公平價值計量（續） Fair value measurement of investment property (Continued) 公平價值層級（續） (i) Fair value hierarchy (Continued) (i) Fair value measurements as at 31 March 2026 categorised into 於二零二六年三月三十一日之公平價值計量分類為 Fair value at 31 March 2026 Level 1 Level 2 Level 3 於二零二六年 三月三十一日 之公平價值 第一級 第二級 第三級 HK$’000 HK$’000 HK$’000 HK$’000 千港元 千港元 千港元 千港元 經常性公平價值計量 Recurring fair</t>
        </is>
      </c>
    </row>
    <row r="98">
      <c r="A98" s="8" t="inlineStr">
        <is>
          <t>Investment Properties</t>
        </is>
      </c>
      <c r="B98" s="8" t="inlineStr">
        <is>
          <t>投資物業</t>
        </is>
      </c>
      <c r="C98" s="19" t="inlineStr">
        <is>
          <t>high</t>
        </is>
      </c>
      <c r="D98" s="11" t="inlineStr">
        <is>
          <t>investment property</t>
        </is>
      </c>
      <c r="E98" s="11" t="inlineStr">
        <is>
          <t>PDF p.164 (印刷頁 163)</t>
        </is>
      </c>
      <c r="F98" s="11" t="inlineStr">
        <is>
          <t>Notes to the Consolidated Financial Statements 綜合財務報表附註 2026 截至二零二六年三月三十一日止年度 For the year ended 31 March 投資物業（續） 16. INVESTMENT PROPERTY (Continued) 16. 投資物業的公平價值計量（續） Fair value measurement of investment property (Continued) 公平價值層級（續） (i) Fair value hierarchy (Continued) (i) 於截至二零二六年及二零二五 During the years ended 31 March 2026 and 2025, there were 年三月三十一日止年度，並無第 no transfers between Level 1 and Level 2, or transfers into 一級及第二級間之轉撥，或自第 or out of Level 3. The Group’s policy is to recognise transfers 三級轉入或轉出。本集團之政策</t>
        </is>
      </c>
    </row>
    <row r="99">
      <c r="A99" s="8" t="inlineStr">
        <is>
          <t>Investment Properties</t>
        </is>
      </c>
      <c r="B99" s="8" t="inlineStr">
        <is>
          <t>投資物業</t>
        </is>
      </c>
      <c r="C99" s="19" t="inlineStr">
        <is>
          <t>high</t>
        </is>
      </c>
      <c r="D99" s="11" t="inlineStr">
        <is>
          <t>investment property</t>
        </is>
      </c>
      <c r="E99" s="11" t="inlineStr">
        <is>
          <t>PDF p.177 (印刷頁 176)</t>
        </is>
      </c>
      <c r="F99" s="11" t="inlineStr">
        <is>
          <t>392) – (1,392) 利息開支（附註9(a)） Interest expenses (note 9(a)) 8,066 733 – 8,799 通過變現投資物業結算 Settlement by way of realisation of （附註41(i)） investment property (note 41(i)) (6,693) – (31,722) (38,415) 通過債務資本化結算 Settlement by way of debt capitalisation （附註41(ii)） (note 41(ii)) (485) – (9,315) (9,800) 匯兌差額 Exchange differences 2 50 3,020 3,072 於二零二六年三月三十一日 At 31 March 2026 389 11,692 29,438 41,519 有關租賃的總現金流出 c) Total cash outflow for leases c) 就租賃計入綜合現金流量表之 Amounts included in the consolidated statement of cash flows 款項包括以下各項： for lease</t>
        </is>
      </c>
    </row>
    <row r="100">
      <c r="A100" s="8" t="inlineStr">
        <is>
          <t>Investment Properties</t>
        </is>
      </c>
      <c r="B100" s="8" t="inlineStr">
        <is>
          <t>投資物業</t>
        </is>
      </c>
      <c r="C100" s="19" t="inlineStr">
        <is>
          <t>high</t>
        </is>
      </c>
      <c r="D100" s="11" t="inlineStr">
        <is>
          <t>投資物業</t>
        </is>
      </c>
      <c r="E100" s="11" t="inlineStr">
        <is>
          <t>PDF p.181 (印刷頁 180)</t>
        </is>
      </c>
      <c r="F100" s="11" t="inlineStr">
        <is>
          <t>the pledge of its investment 揭，以向AP Diamond設立其位於澳洲之 property located in Australia to AP Diamond (see note 16); (ii) a security deed 投資物業的質押（見附註16）；(ii)擔保契 to undertake as security for the due payment of the secured money payable 據，作為到期支付融資項下應付擔保款 under the Loan Facility; (iii) a deed of guarantee and indemnity to guarantee 項的擔保；及(iii)擔保及賠償契據，為支 the payment of all money payable under the Loan Facility. Willis Trading also 付融資項下所有應付款項作出擔保。維 entered into a mortgage with AP Diamond to pledge all its interests in shares 勒斯貿易亦與AP Di</t>
        </is>
      </c>
    </row>
    <row r="101">
      <c r="A101" s="8" t="inlineStr">
        <is>
          <t>Investment Properties</t>
        </is>
      </c>
      <c r="B101" s="8" t="inlineStr">
        <is>
          <t>投資物業</t>
        </is>
      </c>
      <c r="C101" s="19" t="inlineStr">
        <is>
          <t>high</t>
        </is>
      </c>
      <c r="D101" s="11" t="inlineStr">
        <is>
          <t>investment property</t>
        </is>
      </c>
      <c r="E101" s="11" t="inlineStr">
        <is>
          <t>PDF p.182 (印刷頁 181)</t>
        </is>
      </c>
      <c r="F101" s="11" t="inlineStr">
        <is>
          <t>斯貿 the land parcel at 152 Milperra Road, Revesby, NSW 2212, New South Wales, 易及GA Investment之所有財產；及(ii) Australia, where the Group’s investment property was located at. 位於152 Milperra Road, Revesby, NSW Australia之地塊 2212, New South Wales, （本集團投資物業所在地）的接管人。 於二零二五年七月二十五日，維勒斯貿 On 25 July 2025, Willis Trading received a notice from AP Diamond (via its 易接獲AP Diamond（透過其澳洲的法律 legal advisers from Australia) dated 23 July 2025 informing Willis Trading that 顧問）於二零二五年七月二十三日發出 Mr. Najjar has been appointed as a Receiver over the following</t>
        </is>
      </c>
    </row>
    <row r="102">
      <c r="A102" s="8" t="inlineStr">
        <is>
          <t>Investment Properties</t>
        </is>
      </c>
      <c r="B102" s="8" t="inlineStr">
        <is>
          <t>投資物業</t>
        </is>
      </c>
      <c r="C102" s="19" t="inlineStr">
        <is>
          <t>high</t>
        </is>
      </c>
      <c r="D102" s="11" t="inlineStr">
        <is>
          <t>investment property</t>
        </is>
      </c>
      <c r="E102" s="11" t="inlineStr">
        <is>
          <t>PDF p.234 (印刷頁 233)</t>
        </is>
      </c>
      <c r="F102" s="11" t="inlineStr">
        <is>
          <t>d financial statements, the Group had the following major 交易： non-cash transactions: 於本年度，本集團43,323,000 (i) (i) During the year, the investment property of the Group of 港元的投資物業由AP Diamond HK$43,323,000 were realised by the Receiver appointed by 委任的接管人變現，以淨代價 AP Diamond at a net consideration of HK$43,605,000 to settle 43,605,000港元結清本集團結 the Indebtedness owed by the Group, which HK$31,722,000 欠的該負債，其中31,722,000 was used to partially settle the principal of the other borrowing, 港元用於部分清償其他借貸 HK$6,693,000 was used to settle the int</t>
        </is>
      </c>
    </row>
    <row r="103">
      <c r="A103" s="8" t="inlineStr">
        <is>
          <t>Investment Properties</t>
        </is>
      </c>
      <c r="B103" s="8" t="inlineStr">
        <is>
          <t>投資物業</t>
        </is>
      </c>
      <c r="C103" s="19" t="inlineStr">
        <is>
          <t>high</t>
        </is>
      </c>
      <c r="D103" s="11" t="inlineStr">
        <is>
          <t>investment property</t>
        </is>
      </c>
      <c r="E103" s="11" t="inlineStr">
        <is>
          <t>PDF p.240 (印刷頁 239)</t>
        </is>
      </c>
      <c r="F103" s="11" t="inlineStr">
        <is>
          <t>t 後，綜合損益及其他全面收益表中的 the business of Property Investment as a discontinued operation upon 比較數字已重列，以將物業投資業務 the disposal of the Group’s investment property and cessation of the 重列為已終止經營業務。 business during the year ended 31 March 2026. 阿爾法企業控股有限公司 • 二零二六年年報 239</t>
        </is>
      </c>
    </row>
    <row r="104">
      <c r="A104" s="8" t="inlineStr">
        <is>
          <t>ESG Data</t>
        </is>
      </c>
      <c r="B104" s="8" t="inlineStr">
        <is>
          <t>環境社會及管治數據</t>
        </is>
      </c>
      <c r="C104" s="8" t="inlineStr">
        <is>
          <t>medium</t>
        </is>
      </c>
      <c r="D104" s="11" t="inlineStr">
        <is>
          <t>可持續</t>
        </is>
      </c>
      <c r="E104" s="11" t="inlineStr">
        <is>
          <t>PDF p.21 (印刷頁 20)</t>
        </is>
      </c>
      <c r="F104" s="11" t="inlineStr">
        <is>
          <t>ities management sector. The Group 極拓展其服務業務，以鞏固經常性收入來 plans to aggressively expand its Services Business to strengthen recurring 源，並為可持續的長期增長奠定堅實基礎。 revenue streams and establish a solid foundation for sustainable, long-term 為此，本集團目前正擴展其服務範圍包括提 growth. To this end, the Group is currently expanding its offerings to include 供物業保安以及電梯安裝、維修及保養服 the provision of property security, as well as elevator installation, repair and 務。 maintenance services. 展望未來，儘管本集團現時並無任何重大投 Looking ahead, although the Group currently does not have any de</t>
        </is>
      </c>
    </row>
    <row r="105">
      <c r="A105" s="8" t="inlineStr">
        <is>
          <t>ESG Data</t>
        </is>
      </c>
      <c r="B105" s="8" t="inlineStr">
        <is>
          <t>環境社會及管治數據</t>
        </is>
      </c>
      <c r="C105" s="8" t="inlineStr">
        <is>
          <t>medium</t>
        </is>
      </c>
      <c r="D105" s="11" t="inlineStr">
        <is>
          <t>ESG</t>
        </is>
      </c>
      <c r="E105" s="11" t="inlineStr">
        <is>
          <t>PDF p.27 (印刷頁 26)</t>
        </is>
      </c>
      <c r="F105" s="11" t="inlineStr">
        <is>
          <t>關本集團員工組成的進一步資料已載於獨立 Group’s workforce is set out in the separate “Environmental, Social and 的「環境、社會及管治（「環境、社會及管治」） Governance (the “ESG”) Report (the “ESG Report”)”. 報告（「環境、社會及管治報告」）」內。 董事之證券交易 Directors’ Securities Transactions 本公司已採納上市規則附錄C3所載上市發 The Company has adopted the Model Code for Securities Transactions by 行人董事進行證券交易的標準守則（「標準守 Directors of Listed Issuers (the “Model Code”) as set out in Appendix C3 to 則」）。 the Listing Rules. 經對每名董事作出具體查詢後，全體董事均 Specific enquiry has been made to each of the Directors and all Director</t>
        </is>
      </c>
    </row>
    <row r="106">
      <c r="A106" s="8" t="inlineStr">
        <is>
          <t>ESG Data</t>
        </is>
      </c>
      <c r="B106" s="8" t="inlineStr">
        <is>
          <t>環境社會及管治數據</t>
        </is>
      </c>
      <c r="C106" s="8" t="inlineStr">
        <is>
          <t>medium</t>
        </is>
      </c>
      <c r="D106" s="11" t="inlineStr">
        <is>
          <t>ESG</t>
        </is>
      </c>
      <c r="E106" s="11" t="inlineStr">
        <is>
          <t>PDF p.31 (印刷頁 30)</t>
        </is>
      </c>
      <c r="F106" s="11" t="inlineStr">
        <is>
          <t>t of the risks it is willing to take in 認風險管理及內部監控系統根據企業管治守 achieving the strategic objectives, including material risks relating to ESG. 則中D.2原則所載列之目的而言為合適且有 The Board confirms that the risk management and internal control systems 效。 are appropriate and effective for the purpose set out in Principle D.2 of the CG Code. 本集團維持風險管理及內部監控系統，有關 The Group maintained the risk management and internal control systems 系統的設計乃為處理已識別風險、保障本集 which are designed to deal with identified risks, safeguard the Group’s 團資產、預防及偵測詐騙、不當行為及損失、 assets,</t>
        </is>
      </c>
    </row>
    <row r="107">
      <c r="A107" s="8" t="inlineStr">
        <is>
          <t>ESG Data</t>
        </is>
      </c>
      <c r="B107" s="8" t="inlineStr">
        <is>
          <t>環境社會及管治數據</t>
        </is>
      </c>
      <c r="C107" s="8" t="inlineStr">
        <is>
          <t>medium</t>
        </is>
      </c>
      <c r="D107" s="11" t="inlineStr">
        <is>
          <t>ESG</t>
        </is>
      </c>
      <c r="E107" s="11" t="inlineStr">
        <is>
          <t>PDF p.32 (印刷頁 31)</t>
        </is>
      </c>
      <c r="F107" s="11" t="inlineStr">
        <is>
          <t>f occurrence and 標的影響，被評為高、中或低級別。本集團 their impacts on achieving business objectives. The Group also incorporates 亦將與環境、社會及管治相關的風險納入評 ESG-related risks into its evaluation, assessing its operational influence 估，考慮其對長期可持續發展的營運影響。 on long-term sustainability. Details have been disclosed in the ESG report 詳情已根據上市規則附錄C2環境、社會及管 according to the requirement of the Environmental, Social and Governance 治報告守則的要求於環境、社會及管治報告 Reporting Code as set out in Appendix C2 to the Listing Rules. Based on the 中披露。根據風險評估結果及風險主導的審 risk assessment resu</t>
        </is>
      </c>
    </row>
    <row r="108">
      <c r="A108" s="8" t="inlineStr">
        <is>
          <t>ESG Data</t>
        </is>
      </c>
      <c r="B108" s="8" t="inlineStr">
        <is>
          <t>環境社會及管治數據</t>
        </is>
      </c>
      <c r="C108" s="8" t="inlineStr">
        <is>
          <t>medium</t>
        </is>
      </c>
      <c r="D108" s="11" t="inlineStr">
        <is>
          <t>環境、社會及管治</t>
        </is>
      </c>
      <c r="E108" s="11" t="inlineStr">
        <is>
          <t>PDF p.40 (印刷頁 39)</t>
        </is>
      </c>
      <c r="F108" s="11" t="inlineStr">
        <is>
          <t>of financial risks which the Group is facing is included in note 37 to the consolidated financial statements of this annual report. 環境、社會及管治相關風險 Environmental, social and governance-related Risks 有關本集團面臨之環境、社會及管治相關風 Details regarding the Environmental, Social and Governance-related risks 險（包括氣候相關風險）之詳情，載於獨立「環 facing the Group, including climate-related risks, are set out in the separate 境、社會及管治報告」內。 “Environmental, Social and Governance Report”. 遵守相關法律及規例 Compliance with Relevant Laws and Regulations 本集團對遵守監管其業務及經營之法律及法 The Gr</t>
        </is>
      </c>
    </row>
    <row r="109">
      <c r="A109" s="8" t="inlineStr">
        <is>
          <t>ESG Data</t>
        </is>
      </c>
      <c r="B109" s="8" t="inlineStr">
        <is>
          <t>環境社會及管治數據</t>
        </is>
      </c>
      <c r="C109" s="8" t="inlineStr">
        <is>
          <t>medium</t>
        </is>
      </c>
      <c r="D109" s="11" t="inlineStr">
        <is>
          <t>環境、社會及管治</t>
        </is>
      </c>
      <c r="E109" s="11" t="inlineStr">
        <is>
          <t>PDF p.41 (印刷頁 40)</t>
        </is>
      </c>
      <c r="F109" s="11" t="inlineStr">
        <is>
          <t>a regular basis by the Group. 有關本集團與僱員之關係的進一步詳情亦載 Further information on the Group’s relationships with employees are also set 於獨立的「環境、社會及管治報告」內。 out in the separate “Environmental, Social and Governance Report”. 與客戶及供應商之關係 Relationships with Customers and Suppliers 本集團已經與客戶建立了緊密的關係，並將 The Group has established strong relationships with its customers. It will 透過維持與現有客戶的關係及擴大客戶基礎 maintain existing relationships with its customers and expand its customer 以加強本集團的市場地位。 base to enhance its market presence. 本集團致力與供應商建立良好且長期的合 The Gr</t>
        </is>
      </c>
    </row>
    <row r="110">
      <c r="A110" s="8" t="inlineStr">
        <is>
          <t>Segment Information</t>
        </is>
      </c>
      <c r="B110" s="8" t="inlineStr">
        <is>
          <t>分部資料</t>
        </is>
      </c>
      <c r="C110" s="8" t="inlineStr">
        <is>
          <t>medium</t>
        </is>
      </c>
      <c r="D110" s="11" t="inlineStr">
        <is>
          <t>reportable segment</t>
        </is>
      </c>
      <c r="E110" s="11" t="inlineStr">
        <is>
          <t>PDF p.7 (印刷頁 6)</t>
        </is>
      </c>
      <c r="F110" s="11" t="inlineStr">
        <is>
          <t>e of milk 於本年度銷售新品牌「渥康」而導致奶類產品 products resulting from the sales of the new brand of “WDOM” during the 銷量增加所致。須予報告分部溢利（經調整 year. The reportable segment profit (adjusted EBITDA) was approximately EBITDA）約為109.2百萬港元（二零二五年： HK$109.2 million (2025: loss of HK$188.8 million). The turnaround from a 虧損188.8百萬港元）。截至二零二六年三月 reportable segment loss in the previous year to a reportable segment profit 三十一日止年度，奶類產品業務由去年的須 of Milk Products Business for the year ended 31 March 2026 was primarily 予報告分部虧損轉為須予報告分部溢利，主 attributable to the combine</t>
        </is>
      </c>
    </row>
    <row r="111">
      <c r="A111" s="8" t="inlineStr">
        <is>
          <t>Segment Information</t>
        </is>
      </c>
      <c r="B111" s="8" t="inlineStr">
        <is>
          <t>分部資料</t>
        </is>
      </c>
      <c r="C111" s="8" t="inlineStr">
        <is>
          <t>medium</t>
        </is>
      </c>
      <c r="D111" s="11" t="inlineStr">
        <is>
          <t>reportable segment</t>
        </is>
      </c>
      <c r="E111" s="11" t="inlineStr">
        <is>
          <t>PDF p.8 (印刷頁 7)</t>
        </is>
      </c>
      <c r="F111" s="11" t="inlineStr">
        <is>
          <t>the Services Business 務業務的收入約為40.1百萬港元（二零二五 was approximately HK$40.1 million (2025: HK$24.9 million) and the 年：24.9百萬港元），及須予報告分部溢利 reportable segment profit (adjusted EBITDA) was approximately HK$17.7 （經調整EBITDA）約為17.7百萬港元（二零 million (2025: HK$9.1 million). As the acquisition of San Tai was completed 二五年：9.1百萬港元）。由於三泰收購事項 in June 2024, only approximately nine months of San Tai’s results were 於二零二四年六月完成，截至二零二五年三 consolidated into the Group’s accounts for the year ended 31 March 2025. 月三十一日止年度，僅將三泰約九個月的業 In contrast, a full yea</t>
        </is>
      </c>
    </row>
    <row r="112">
      <c r="A112" s="8" t="inlineStr">
        <is>
          <t>Segment Information</t>
        </is>
      </c>
      <c r="B112" s="8" t="inlineStr">
        <is>
          <t>分部資料</t>
        </is>
      </c>
      <c r="C112" s="8" t="inlineStr">
        <is>
          <t>medium</t>
        </is>
      </c>
      <c r="D112" s="11" t="inlineStr">
        <is>
          <t>operating segment</t>
        </is>
      </c>
      <c r="E112" s="11" t="inlineStr">
        <is>
          <t>PDF p.98 (印刷頁 97)</t>
        </is>
      </c>
      <c r="F112" s="11" t="inlineStr">
        <is>
          <t>lowest level at which 管理而言監控商譽且在彙總前 the goodwill is monitored for internal management purposes 不大於經營分部的最低層級。 and not larger than an operating segment before aggregation. 獲分配商譽的現金產生單位 A cash-generating unit (“CGU”) (or group of CGUs) to which （「現金產生單位」）（或現金產 goodwill has been allocated is tested for impairment annually 生單位組別）每年進行減值測 or more frequently whenever there is indication that the unit (or 試，或當有跡象顯示該單位（或 group of CGUs) may be impaired. For goodwill arising on an 現金產生單位組別）可能出現減 acquisition in a reporting period, the CGU</t>
        </is>
      </c>
    </row>
    <row r="113">
      <c r="A113" s="8" t="inlineStr">
        <is>
          <t>Segment Information</t>
        </is>
      </c>
      <c r="B113" s="8" t="inlineStr">
        <is>
          <t>分部資料</t>
        </is>
      </c>
      <c r="C113" s="8" t="inlineStr">
        <is>
          <t>medium</t>
        </is>
      </c>
      <c r="D113" s="11" t="inlineStr">
        <is>
          <t>geographical</t>
        </is>
      </c>
      <c r="E113" s="11" t="inlineStr">
        <is>
          <t>PDF p.132 (印刷頁 131)</t>
        </is>
      </c>
      <c r="F113" s="11" t="inlineStr">
        <is>
          <t>其他部分清楚 been disposed of, or is classified as held for sale, and which 區分，且其代表一項單獨主要業 represents a separate major line of business or geographical 務線或經營地區，或為處置一項 area of operations, is part of a single coordinated plan to 單獨主要業務線或經營地區之 dispose of a separate major line of business or geographical 單一協調計劃之一部分，或為專 area of operations, or is a subsidiary acquired exclusively with a 門為轉售而收購之附屬公司。 view to resale. 阿爾法企業控股有限公司 • 二零二六年年報 131</t>
        </is>
      </c>
    </row>
    <row r="114">
      <c r="A114" s="8" t="inlineStr">
        <is>
          <t>Segment Information</t>
        </is>
      </c>
      <c r="B114" s="8" t="inlineStr">
        <is>
          <t>分部資料</t>
        </is>
      </c>
      <c r="C114" s="8" t="inlineStr">
        <is>
          <t>medium</t>
        </is>
      </c>
      <c r="D114" s="11" t="inlineStr">
        <is>
          <t>operating segment</t>
        </is>
      </c>
      <c r="E114" s="11" t="inlineStr">
        <is>
          <t>PDF p.134 (印刷頁 133)</t>
        </is>
      </c>
      <c r="F114" s="11" t="inlineStr">
        <is>
          <t>易時對該人士有影響力或 influenced by, that person in their dealings with the entity. 受其影響之家庭成員。 分部報告 (ac) Segment reporting (ac) 經營分部及財務報表呈報的各 Operating segments, and the amounts of each segment item 分部項目金額乃自為向本集團 reported in the financial statements, are identified from the 的各業務線及地區分配資源並 discrete financial information provided regularly to the executive 評估其表現而定期提供予執行 Directors (the chief operating decision maker) for the purposes 董事（主要營運決策者）的獨立 of allocating resources to, and assessing the performance 財務資料中予以確認。 of, the Group’s various</t>
        </is>
      </c>
    </row>
    <row r="115">
      <c r="A115" s="8" t="inlineStr">
        <is>
          <t>Segment Information</t>
        </is>
      </c>
      <c r="B115" s="8" t="inlineStr">
        <is>
          <t>分部資料</t>
        </is>
      </c>
      <c r="C115" s="8" t="inlineStr">
        <is>
          <t>medium</t>
        </is>
      </c>
      <c r="D115" s="11" t="inlineStr">
        <is>
          <t>segment information</t>
        </is>
      </c>
      <c r="E115" s="11" t="inlineStr">
        <is>
          <t>PDF p.140 (印刷頁 139)</t>
        </is>
      </c>
      <c r="F115" s="11" t="inlineStr">
        <is>
          <t>該等綜合財務報表所 current and prior years and/or on the disclosures set out in these 載披露事項並無重大影響。 consolidated financial statements. 分部資料 5. SEGMENT INFORMATION 5. 本集團按不同分部管理其業務，而各 The Group manages its businesses by divisions, which are organised 業務分部乃以業務線（產品及服務）組 by business lines (products and services). In a manner consistent with 成。與為了進行資源分配及表現評估 the way in which information is reported internally to the executive 而在內部向執行董事（主要營運決策者 Directors (the chief operating decision maker (“CODM”)) for the （「主要營運決策者」））呈報資料之方 purposes of resou</t>
        </is>
      </c>
    </row>
    <row r="116">
      <c r="A116" s="8" t="inlineStr">
        <is>
          <t>Segment Information</t>
        </is>
      </c>
      <c r="B116" s="8" t="inlineStr">
        <is>
          <t>分部資料</t>
        </is>
      </c>
      <c r="C116" s="8" t="inlineStr">
        <is>
          <t>medium</t>
        </is>
      </c>
      <c r="D116" s="11" t="inlineStr">
        <is>
          <t>segment information</t>
        </is>
      </c>
      <c r="E116" s="11" t="inlineStr">
        <is>
          <t>PDF p.141 (印刷頁 140)</t>
        </is>
      </c>
      <c r="F116" s="11" t="inlineStr">
        <is>
          <t>Notes to the Consolidated Financial Statements 綜合財務報表附註 2026 截至二零二六年三月三十一日止年度 For the year ended 31 March 分部資料（續） 5. SEGMENT INFORMATION (Continued) 5. 分部業績、資產及負債 (a) Segment results, assets and liabilities (a) 為評估分部表現及在各分部之 For the purposes of assessing segment performance and 間分配資源，執行董事（主要營 allocating resources between segments, the executive Directors 運決策者）按以下基準監察各個 (the CODM) monitor the results, assets and liabilities attributable 須予報告分部的業績、資產及負 to each reportable segment on the following bases: 債： 分部資產包括所有</t>
        </is>
      </c>
    </row>
    <row r="117">
      <c r="A117" s="8" t="inlineStr">
        <is>
          <t>Segment Information</t>
        </is>
      </c>
      <c r="B117" s="8" t="inlineStr">
        <is>
          <t>分部資料</t>
        </is>
      </c>
      <c r="C117" s="8" t="inlineStr">
        <is>
          <t>medium</t>
        </is>
      </c>
      <c r="D117" s="11" t="inlineStr">
        <is>
          <t>segment information</t>
        </is>
      </c>
      <c r="E117" s="11" t="inlineStr">
        <is>
          <t>PDF p.142 (印刷頁 141)</t>
        </is>
      </c>
      <c r="F117" s="11" t="inlineStr">
        <is>
          <t>Notes to the Consolidated Financial Statements 綜合財務報表附註 2026 截至二零二六年三月三十一日止年度 For the year ended 31 March 分部資料（續） 5. SEGMENT INFORMATION (Continued) 5. 分部業績、資產及負債（續） (a) Segment results, assets and liabilities (Continued) (a) 為進行資源分配及評估分部表 Disaggregation of revenue from contracts with customers 現而向執行董事提供之截至 by the timing of revenue recognition, as well as information 二零二六年及二零二五年三月 regarding the Group’s reportable segments as provided to the 三十一日止年度按收入確認時 executive Directors for the purposes of resource allocatio</t>
        </is>
      </c>
    </row>
    <row r="118">
      <c r="A118" s="8" t="inlineStr">
        <is>
          <t>Segment Information</t>
        </is>
      </c>
      <c r="B118" s="8" t="inlineStr">
        <is>
          <t>分部資料</t>
        </is>
      </c>
      <c r="C118" s="8" t="inlineStr">
        <is>
          <t>medium</t>
        </is>
      </c>
      <c r="D118" s="11" t="inlineStr">
        <is>
          <t>segment information</t>
        </is>
      </c>
      <c r="E118" s="11" t="inlineStr">
        <is>
          <t>PDF p.143 (印刷頁 142)</t>
        </is>
      </c>
      <c r="F118" s="11" t="inlineStr">
        <is>
          <t>Notes to the Consolidated Financial Statements 綜合財務報表附註 2026 截至二零二六年三月三十一日止年度 For the year ended 31 March 分部資料（續） 5. SEGMENT INFORMATION (Continued) 5. 分部業績、資產及負債（續） (a) Segment results, assets and liabilities (Continued) (a) 持續經營業務（續） Continuing operations (Continued) 於二零二六年三月三十一日 At 31 March 2026 Milk Products Services 奶類產品業務 Business Business 服務業務 Total 總計 HK$’000 千港元 HK$’000 千港元 HK$’000 千港元 須予報告分部資產 Reportable segment assets 未分配之總辦事處及 57,053 32,885 89,938 Unallocated head office and 企業資產 corporate assets －現金</t>
        </is>
      </c>
    </row>
    <row r="119">
      <c r="A119" s="8" t="inlineStr">
        <is>
          <t>Segment Information</t>
        </is>
      </c>
      <c r="B119" s="8" t="inlineStr">
        <is>
          <t>分部資料</t>
        </is>
      </c>
      <c r="C119" s="8" t="inlineStr">
        <is>
          <t>medium</t>
        </is>
      </c>
      <c r="D119" s="11" t="inlineStr">
        <is>
          <t>segment information</t>
        </is>
      </c>
      <c r="E119" s="11" t="inlineStr">
        <is>
          <t>PDF p.144 (印刷頁 143)</t>
        </is>
      </c>
      <c r="F119" s="11" t="inlineStr">
        <is>
          <t>Notes to the Consolidated Financial Statements 綜合財務報表附註 2026 截至二零二六年三月三十一日止年度 For the year ended 31 March 分部資料（續） 5. SEGMENT INFORMATION (Continued) 5. 分部業績、資產及負債（續） (a) Segment results, assets and liabilities (Continued) (a) 持續經營業務（續） Continuing operations (Continued) 截至二零二五年三月三十一日止年度 Year ended 31 March 2025 Milk Products Services 奶類產品業務 Business 服務業務 Business 總計 Total HK$’000 千港元 HK$’000 千港元 HK$’000 千港元 （經重列） (Restated) 須予報告分部收入 Reportable segment revenue 按收入確認時間劃分 Disaggregated by timing of revenue recogniti</t>
        </is>
      </c>
    </row>
    <row r="120">
      <c r="A120" s="8" t="inlineStr">
        <is>
          <t>Segment Information</t>
        </is>
      </c>
      <c r="B120" s="8" t="inlineStr">
        <is>
          <t>分部資料</t>
        </is>
      </c>
      <c r="C120" s="8" t="inlineStr">
        <is>
          <t>medium</t>
        </is>
      </c>
      <c r="D120" s="11" t="inlineStr">
        <is>
          <t>segment information</t>
        </is>
      </c>
      <c r="E120" s="11" t="inlineStr">
        <is>
          <t>PDF p.145 (印刷頁 144)</t>
        </is>
      </c>
      <c r="F120" s="11" t="inlineStr">
        <is>
          <t>Notes to the Consolidated Financial Statements 綜合財務報表附註 2026 截至二零二六年三月三十一日止年度 For the year ended 31 March 分部資料（續） 5. SEGMENT INFORMATION (Continued) 5. 分部業績、資產及負債（續） (a) Segment results, assets and liabilities (Continued) (a) 持續經營業務（續） Continuing operations (Continued) Year ended 31 March 2025 截至二零二五年三月三十一日止年度 Milk Products Services Business Business Unallocated Total 奶類產品業務 服務業務 未分配 總計 HK$’000 HK$’000 HK$’000 HK$’000 千港元 千港元 千港元 千港元 (Restated) （經重列） 其他分部資料 Other segment information 計入分部溢利／（虧損）或分 Amounts include</t>
        </is>
      </c>
    </row>
    <row r="121">
      <c r="A121" s="8" t="inlineStr">
        <is>
          <t>Segment Information</t>
        </is>
      </c>
      <c r="B121" s="8" t="inlineStr">
        <is>
          <t>分部資料</t>
        </is>
      </c>
      <c r="C121" s="8" t="inlineStr">
        <is>
          <t>medium</t>
        </is>
      </c>
      <c r="D121" s="11" t="inlineStr">
        <is>
          <t>segment information</t>
        </is>
      </c>
      <c r="E121" s="11" t="inlineStr">
        <is>
          <t>PDF p.146 (印刷頁 145)</t>
        </is>
      </c>
      <c r="F121" s="11" t="inlineStr">
        <is>
          <t>Notes to the Consolidated Financial Statements 綜合財務報表附註 2026 截至二零二六年三月三十一日止年度 For the year ended 31 March 分部資料（續） 5. SEGMENT INFORMATION (Continued) 5. 地區資料 (c) Geographical information (c) 以下為(i)本集團來自外部客戶之 The following is an analysis of geographical location of (i) the 收入及(ii)本集團的投資物業、物 Group’s revenue from external customers and (ii) the Group’s 業、廠房及設備、其他無形資產 investment property, property, plant and equipment, other 以及商譽之所在地區分析。客戶 intangible assets and goodwill. The geographical location 所在地區按所提供服務或貨物 of cus</t>
        </is>
      </c>
    </row>
    <row r="122">
      <c r="A122" s="8" t="inlineStr">
        <is>
          <t>Segment Information</t>
        </is>
      </c>
      <c r="B122" s="8" t="inlineStr">
        <is>
          <t>分部資料</t>
        </is>
      </c>
      <c r="C122" s="8" t="inlineStr">
        <is>
          <t>medium</t>
        </is>
      </c>
      <c r="D122" s="11" t="inlineStr">
        <is>
          <t>segment information</t>
        </is>
      </c>
      <c r="E122" s="11" t="inlineStr">
        <is>
          <t>PDF p.147 (印刷頁 146)</t>
        </is>
      </c>
      <c r="F122" s="11" t="inlineStr">
        <is>
          <t>Notes to the Consolidated Financial Statements 綜合財務報表附註 2026 截至二零二六年三月三十一日止年度 For the year ended 31 March 分部資料（續） 5. SEGMENT INFORMATION (Continued) 5. 有關主要客戶之資料 (d) Information about major customers (d) 來自貢獻本集團收入10%或以 Revenue from customers (a group of entities known to the 上的客戶（本集團視在共同控制 Group to be under common control is considered as a single 下的一組實體為單一客戶）之收 customer) contributing 10% or more of the Group’s revenue are 入如下： as follows: 2026 2025 二零二六年 二零二五年 HK$’000 HK$’000 千港元 千港元 來自銷售奶粉及食品 Revenue from sale</t>
        </is>
      </c>
    </row>
    <row r="123">
      <c r="A123" s="8" t="inlineStr">
        <is>
          <t>Share-based Payment</t>
        </is>
      </c>
      <c r="B123" s="8" t="inlineStr">
        <is>
          <t>以股份為基礎的付款</t>
        </is>
      </c>
      <c r="C123" s="8" t="inlineStr">
        <is>
          <t>medium</t>
        </is>
      </c>
      <c r="D123" s="11" t="inlineStr">
        <is>
          <t>share option</t>
        </is>
      </c>
      <c r="E123" s="11" t="inlineStr">
        <is>
          <t>PDF p.19 (印刷頁 18)</t>
        </is>
      </c>
      <c r="F123" s="11" t="inlineStr">
        <is>
          <t>e bonuses) are reviewed on a 定期檢討包括表現花紅在內之薪酬待遇。 regular basis by the Group. 此外，本集團採納一項購股權計劃。自採納 In addition, the Group has adopted a share option scheme. No share option 有關計劃以來，概無購股權已獲授出、行使、 has been granted, exercised, cancelled or lapsed since its adoption. 註銷或告失效。 本集團為僱員提供培訓及發展課程，涵蓋入 The Group provides employees with training and development courses which 職培訓、領導及管理技巧以及在職培訓等多 cover various areas, including orientation, leadership and management skills 個領域，旨在提高僱員在工作中履行彼等職 and on-the-job training etc. The goal is to improve emp</t>
        </is>
      </c>
    </row>
    <row r="124">
      <c r="A124" s="8" t="inlineStr">
        <is>
          <t>Share-based Payment</t>
        </is>
      </c>
      <c r="B124" s="8" t="inlineStr">
        <is>
          <t>以股份為基礎的付款</t>
        </is>
      </c>
      <c r="C124" s="8" t="inlineStr">
        <is>
          <t>medium</t>
        </is>
      </c>
      <c r="D124" s="11" t="inlineStr">
        <is>
          <t>share option</t>
        </is>
      </c>
      <c r="E124" s="11" t="inlineStr">
        <is>
          <t>PDF p.29 (印刷頁 28)</t>
        </is>
      </c>
      <c r="F124" s="11" t="inlineStr">
        <is>
          <t>note 12 to the consolidated financial statements. 於本年度內，鑒於在購股權計劃下概無授出 During the year, since there were no shares granted under the Share Option 購股權（見董事會報告），因此並無根據上市 Scheme (as stated in the Directors’ Report), no material matters relating 規則第十七章下須由薪酬委員會審閱或批准 to the Share Option Scheme under Chapter 17 of the Listing Rules were 有關購股權計劃的重大事宜。 required to be reviewed or approved by the Remuneration Committee. 高級管理層薪酬 Senior Management’s Remuneration 本集團高級管理層中五名（二零二五年：五 Of the senior management of the Group, emoluments of five (2</t>
        </is>
      </c>
    </row>
    <row r="125">
      <c r="A125" s="8" t="inlineStr">
        <is>
          <t>Share-based Payment</t>
        </is>
      </c>
      <c r="B125" s="8" t="inlineStr">
        <is>
          <t>以股份為基礎的付款</t>
        </is>
      </c>
      <c r="C125" s="8" t="inlineStr">
        <is>
          <t>medium</t>
        </is>
      </c>
      <c r="D125" s="11" t="inlineStr">
        <is>
          <t>share option</t>
        </is>
      </c>
      <c r="E125" s="11" t="inlineStr">
        <is>
          <t>PDF p.46 (印刷頁 45)</t>
        </is>
      </c>
      <c r="F125" s="11" t="inlineStr">
        <is>
          <t>Directors’ Report 董事會報告 股權掛鈎協議 EQUITY-LINKED AGREEMENTS 除於「購股權計劃」一節所披露外，本公司於 Save as disclosed in the section headed “Share Option Scheme”, no equity- 本年度內並無訂立或於本年度末並不存在任 linked agreements that will or may result in the Company issuing Shares or 何股票掛鈎協議，將會或可能會導致本公司 that require the Company to enter into any agreements that will or may result 發行股份或本公司須訂立任何協議而將會或 in the Company issuing Shares were entered into by the Company during the 可能導致本公司發行股份。 year or subsisted at the end of the year. 購股權計劃 SHARE OPTION SCHEME</t>
        </is>
      </c>
    </row>
    <row r="126">
      <c r="A126" s="8" t="inlineStr">
        <is>
          <t>Share-based Payment</t>
        </is>
      </c>
      <c r="B126" s="8" t="inlineStr">
        <is>
          <t>以股份為基礎的付款</t>
        </is>
      </c>
      <c r="C126" s="8" t="inlineStr">
        <is>
          <t>medium</t>
        </is>
      </c>
      <c r="D126" s="11" t="inlineStr">
        <is>
          <t>share option</t>
        </is>
      </c>
      <c r="E126" s="11" t="inlineStr">
        <is>
          <t>PDF p.47 (印刷頁 46)</t>
        </is>
      </c>
      <c r="F126" s="11" t="inlineStr">
        <is>
          <t>在購股權 shall not exceed 10 years from the date of grant of the relevant option. 計劃仍然有效之期間內授出之購股 Options granted during the life of the Share Option Scheme shall 權，在購股權計劃屆滿後仍可根據購 continue to be exercisable in accordance with their terms of grant after 股權於授出時之條款繼續行使。 the expiry of the Share Option Scheme. 行使前須持有購股權之最短期限 6. Minimum period for which an option must be held before it can 6. be exercised 根據購股權計劃之條款，於購股權可 There is no general requirement on the minimum period for which 獲行使前，並無有關須持有購股權之 an option must be held or the perfor</t>
        </is>
      </c>
    </row>
    <row r="127">
      <c r="A127" s="8" t="inlineStr">
        <is>
          <t>Share-based Payment</t>
        </is>
      </c>
      <c r="B127" s="8" t="inlineStr">
        <is>
          <t>以股份為基礎的付款</t>
        </is>
      </c>
      <c r="C127" s="8" t="inlineStr">
        <is>
          <t>medium</t>
        </is>
      </c>
      <c r="D127" s="11" t="inlineStr">
        <is>
          <t>share option</t>
        </is>
      </c>
      <c r="E127" s="11" t="inlineStr">
        <is>
          <t>PDF p.48 (印刷頁 47)</t>
        </is>
      </c>
      <c r="F127" s="11" t="inlineStr">
        <is>
          <t>res in, or debentures of, the 董事可透過購買本公司或任何其他法人團體 Company or any other body corporate with the exception of granting of 的股份或債券而獲取利益。 Share options to subscribe for Shares under the Share Option Scheme. 董事於證券之權益 DIRECTORS’ INTERESTS IN SECURITIES 於二零二六年三月三十一日，概無董事、本 As at 31 March 2026, none of the Directors, chief executives of the 公司主要行政人員及彼等之聯繫人於本公司 Company nor their associates had any other personal, family, corporate 或其任何相聯法團（定義見香港法例第571章 and other interests or short positions in the Shares, underlying Shares or 證券及期貨條例（「證券</t>
        </is>
      </c>
    </row>
    <row r="128">
      <c r="A128" s="8" t="inlineStr">
        <is>
          <t>Share-based Payment</t>
        </is>
      </c>
      <c r="B128" s="8" t="inlineStr">
        <is>
          <t>以股份為基礎的付款</t>
        </is>
      </c>
      <c r="C128" s="8" t="inlineStr">
        <is>
          <t>medium</t>
        </is>
      </c>
      <c r="D128" s="11" t="inlineStr">
        <is>
          <t>share-based payment</t>
        </is>
      </c>
      <c r="E128" s="11" t="inlineStr">
        <is>
          <t>PDF p.96 (印刷頁 95)</t>
        </is>
      </c>
      <c r="F128" s="11" t="inlineStr">
        <is>
          <t>ayment arrangements of the acquiree or share-based 購方以股份為基礎之付款 payment arrangements of the Group entered into to 安排而訂立之本集團以股 replace share-based payment arrangements of the 份為基礎之付款安排有關 acquiree are measured in accordance with IFRS 2 Share- 之負債或權益工具，乃於 based Payment at the acquisition date; 收購日期根據國際財務報 告準則第2號以股份為基 礎之付款計量； 根據國際財務報告準則第 • assets (or disposal groups) that are classified as held for • 5號持作出售之非流動資 sale in accordance with IFRS 5 Non-current Assets Held 產及已終止經營業務分類 for Sale and Discontinued Operations are measured in 為持</t>
        </is>
      </c>
    </row>
    <row r="129">
      <c r="A129" s="8" t="inlineStr">
        <is>
          <t>Share-based Payment</t>
        </is>
      </c>
      <c r="B129" s="8" t="inlineStr">
        <is>
          <t>以股份為基礎的付款</t>
        </is>
      </c>
      <c r="C129" s="8" t="inlineStr">
        <is>
          <t>medium</t>
        </is>
      </c>
      <c r="D129" s="11" t="inlineStr">
        <is>
          <t>share-based payment</t>
        </is>
      </c>
      <c r="E129" s="11" t="inlineStr">
        <is>
          <t>PDF p.122 (印刷頁 121)</t>
        </is>
      </c>
      <c r="F129" s="11" t="inlineStr">
        <is>
          <t>MATERIAL ACCOUNTING 2 POLICY INFORMATION (Continued) 僱員福利（續） (u) Employee benefits (Continued) (u) 股權結算以股份為基礎之 (iii) Equity-settled share-based payments arrangements (iii) 付款安排 授予僱員之購股權之公 The fair value of share options granted to employees is 平價值確認為僱員成本， recognised as an employee cost with a corresponding 並對權益內之以股份為基 increase in a share-based payments reserve within equity. 礎之付款儲備作出相應 The fair value is measured at grant date, without taking 增加。公平價值於授出日 into consideration of all non-market vesting conditions, 期使用估值法計量（未經 using</t>
        </is>
      </c>
    </row>
    <row r="130">
      <c r="A130" s="8" t="inlineStr">
        <is>
          <t>Share-based Payment</t>
        </is>
      </c>
      <c r="B130" s="8" t="inlineStr">
        <is>
          <t>以股份為基礎的付款</t>
        </is>
      </c>
      <c r="C130" s="8" t="inlineStr">
        <is>
          <t>medium</t>
        </is>
      </c>
      <c r="D130" s="11" t="inlineStr">
        <is>
          <t>share option</t>
        </is>
      </c>
      <c r="E130" s="11" t="inlineStr">
        <is>
          <t>PDF p.197 (印刷頁 196)</t>
        </is>
      </c>
      <c r="F130" s="11" t="inlineStr">
        <is>
          <t>Notes to the Consolidated Financial Statements 綜合財務報表附註 2026 截至二零二六年三月三十一日止年度 For the year ended 31 March 購股權計劃 35. SHARE OPTION SCHEME 35. 本公司已於二零二零年九月八日舉 The Company had adopted a share option scheme (the “Share Option 行之股東週年大會上採納購股權計劃 Scheme”) at the annual general meeting held on 8 September 2020. （「購股權計劃」）。購股權計劃由二零 The Share Option Scheme became effective on 8 September 2020 二零年九月八日起生效，除另行取消 and, unless otherwise cancelled or amended, will remain in force for 或修訂外，有效期為該日起計十年。 10 years from that date. 購股權計劃</t>
        </is>
      </c>
    </row>
    <row r="131">
      <c r="A131" s="8" t="inlineStr">
        <is>
          <t>Share-based Payment</t>
        </is>
      </c>
      <c r="B131" s="8" t="inlineStr">
        <is>
          <t>以股份為基礎的付款</t>
        </is>
      </c>
      <c r="C131" s="8" t="inlineStr">
        <is>
          <t>medium</t>
        </is>
      </c>
      <c r="D131" s="11" t="inlineStr">
        <is>
          <t>share option</t>
        </is>
      </c>
      <c r="E131" s="11" t="inlineStr">
        <is>
          <t>PDF p.198 (印刷頁 197)</t>
        </is>
      </c>
      <c r="F131" s="11" t="inlineStr">
        <is>
          <t>Notes to the Consolidated Financial Statements 綜合財務報表附註 2026 截至二零二六年三月三十一日止年度 For the year ended 31 March 購股權計劃（箜） 35. SHARE OPTION SCHEME (Continued) 35. 各參與者之可獲授權益上限 iv. Maximum entitlement of each participant iv. 根據購股權計劃於任何十二個 The maximum number of Shares issued and to be issued upon 月期間授予各承授人之購股權 exercise of the options granted to each grantee under the Share （包括已行使及尚未行使之購 Option Scheme (including both exercised and outstanding 股權）獲行使時，已發行及將予 options) in any 12-month period shall not exceed 1% of the 發行之最高股份數目</t>
        </is>
      </c>
    </row>
    <row r="132">
      <c r="A132" s="8" t="inlineStr">
        <is>
          <t>Share-based Payment</t>
        </is>
      </c>
      <c r="B132" s="8" t="inlineStr">
        <is>
          <t>以股份為基礎的付款</t>
        </is>
      </c>
      <c r="C132" s="8" t="inlineStr">
        <is>
          <t>medium</t>
        </is>
      </c>
      <c r="D132" s="11" t="inlineStr">
        <is>
          <t>share option</t>
        </is>
      </c>
      <c r="E132" s="11" t="inlineStr">
        <is>
          <t>PDF p.199 (印刷頁 198)</t>
        </is>
      </c>
      <c r="F132" s="11" t="inlineStr">
        <is>
          <t>Notes to the Consolidated Financial Statements 綜合財務報表附註 2026 截至二零二六年三月三十一日止年度 For the year ended 31 March 購股權計劃（箜） 35. SHARE OPTION SCHEME (Continued) 35. 釐定行使價之基準 viii. Basis of determining the exercise price viii. 行使價將由董事會全權酌情釐 The exercise price shall be determined by the Board in its 定，惟無論如何不得低於下列各 absolute discretion but in any event shall not be less than the 項中較高者： higher of: 於授出日期（須為營業日） (a) the closing price of the Shares as stated in the daily (a) 聯交所發佈的每日報價表 quotations sheets issued by the Stock Exchang</t>
        </is>
      </c>
    </row>
    <row r="133">
      <c r="A133" s="8" t="inlineStr">
        <is>
          <t>Related Party Transactions</t>
        </is>
      </c>
      <c r="B133" s="8" t="inlineStr">
        <is>
          <t>關聯方交易</t>
        </is>
      </c>
      <c r="C133" s="8" t="inlineStr">
        <is>
          <t>low</t>
        </is>
      </c>
      <c r="D133" s="11" t="inlineStr">
        <is>
          <t>connected transaction</t>
        </is>
      </c>
      <c r="E133" s="11" t="inlineStr">
        <is>
          <t>PDF p.33 (印刷頁 32)</t>
        </is>
      </c>
      <c r="F133" s="11" t="inlineStr">
        <is>
          <t>k assessment 動、審閱及確認本集團截至二零二六年三月 result and internal audit activities, review and confirm the Group’s continuing 三十一日止年度須於年報中披露的持續關聯 connected transaction as disclosed in the annual report for the year ended 交易、本公司在會計及財務滙報職能方面的 31 March 2026, the adequacy of resources, qualifications and experiences 資源、員工資歷及經驗以及有關員工所接受 of staff of the Company’s accounting and financial reporting functions, and 的培圳課程及預算是否足夠並檢討舉報政 their training programmes and budget and review the whistle blower policy, 策、審閱及討論外聘核數師的審核計劃並批 review and discuss the</t>
        </is>
      </c>
    </row>
    <row r="134">
      <c r="A134" s="8" t="inlineStr">
        <is>
          <t>Related Party Transactions</t>
        </is>
      </c>
      <c r="B134" s="8" t="inlineStr">
        <is>
          <t>關聯方交易</t>
        </is>
      </c>
      <c r="C134" s="8" t="inlineStr">
        <is>
          <t>low</t>
        </is>
      </c>
      <c r="D134" s="11" t="inlineStr">
        <is>
          <t>connected transaction</t>
        </is>
      </c>
      <c r="E134" s="11" t="inlineStr">
        <is>
          <t>PDF p.50 (印刷頁 49)</t>
        </is>
      </c>
      <c r="F134" s="11" t="inlineStr">
        <is>
          <t>Directors’ Report 董事會報告 持續關連交易 CONTINUING CONNECTED TRANSACTIONS 合約安排 Contractual Arrangements 於二零二四年六月二十七日，本集團就有關 On 27 June 2024, a debt settlement agreement was entered into by the 事項簽訂債務清償協議，（其中包括）收購瀋 Group in relation to, among other things, the acquisition of 70% of economic （瀋陽金蟻電子商務有限 陽金蟻電子商務有限公司（「瀋陽金蟻」）70% benefit of Shenyang Jinyi e-commerce Co., Ltd.* 公司） 經濟利益以及將總額為2.4百萬人民幣的股 (“Shenyang Jinyi”) and the transfer of the rights of</t>
        </is>
      </c>
    </row>
    <row r="135">
      <c r="A135" s="8" t="inlineStr">
        <is>
          <t>Related Party Transactions</t>
        </is>
      </c>
      <c r="B135" s="8" t="inlineStr">
        <is>
          <t>關聯方交易</t>
        </is>
      </c>
      <c r="C135" s="8" t="inlineStr">
        <is>
          <t>low</t>
        </is>
      </c>
      <c r="D135" s="11" t="inlineStr">
        <is>
          <t>connected transaction</t>
        </is>
      </c>
      <c r="E135" s="11" t="inlineStr">
        <is>
          <t>PDF p.56 (印刷頁 55)</t>
        </is>
      </c>
      <c r="F135" s="11" t="inlineStr">
        <is>
          <t>更。 由於登記股東為瀋陽金蟻的主要股東，持有 The transactions contemplated under the Contractual Arrangements 瀋陽金蟻99%的股權，根據上市規則第14A constitute continuing connected transactions of the Company under Chapter 章，為本公司於附屬公司層面之關連人士， 14A of the Listing Rules as the Registered Shareholder is a substantial 因此根據上市規則第14A章，合約安排項下 shareholder of Shenyang Jinyi holding 99% equity interest in Shenyang Jinyi 之擬進行的交易構成本公司的持續關連交 and therefore a connected person of the Company at subsidiary level under 易。根據上市規則第14A.101條，合約安排項 Chapter 14A of the Listing Rules. By virtu</t>
        </is>
      </c>
    </row>
    <row r="136">
      <c r="A136" s="8" t="inlineStr">
        <is>
          <t>Related Party Transactions</t>
        </is>
      </c>
      <c r="B136" s="8" t="inlineStr">
        <is>
          <t>關聯方交易</t>
        </is>
      </c>
      <c r="C136" s="8" t="inlineStr">
        <is>
          <t>low</t>
        </is>
      </c>
      <c r="D136" s="11" t="inlineStr">
        <is>
          <t>related party</t>
        </is>
      </c>
      <c r="E136" s="11" t="inlineStr">
        <is>
          <t>PDF p.57 (印刷頁 56)</t>
        </is>
      </c>
      <c r="F136" s="11" t="inlineStr">
        <is>
          <t>o the Registered Shareholder which are not otherwise 情況。 subsequently assigned or transferred to the Group. 本年報綜合財務報表附註40及其他部分所載 The related party transactions entered into by the Group during the 之本集團於截至二零二六年三月三十一日止 year ended 31 March 2026 as disclosed in note 40 and elsewhere in 年度訂立的關連方交易屬於(i)非關連交易或 the consolidated financial statements of this annual report are either (i) 持續關連交易；或(ii)上市規則下構成可獲全 not connected transactions or continuing connected transactions; or (ii) 面豁免的關連交易之交易。 transactions that constituted fully exempted</t>
        </is>
      </c>
    </row>
    <row r="137">
      <c r="A137" s="8" t="inlineStr">
        <is>
          <t>Related Party Transactions</t>
        </is>
      </c>
      <c r="B137" s="8" t="inlineStr">
        <is>
          <t>關聯方交易</t>
        </is>
      </c>
      <c r="C137" s="8" t="inlineStr">
        <is>
          <t>low</t>
        </is>
      </c>
      <c r="D137" s="11" t="inlineStr">
        <is>
          <t>related party</t>
        </is>
      </c>
      <c r="E137" s="11" t="inlineStr">
        <is>
          <t>PDF p.91 (印刷頁 90)</t>
        </is>
      </c>
      <c r="F137" s="11" t="inlineStr">
        <is>
          <t>應根據上述 should be consolidated based on the structure as described 架構將瀋陽金蟻綜合入賬。 above. 可變利益實體並無任何重大的 The VIE did not have any material related party transactions, 關連方交易，且可變利益實體與 and those transactions among the VIE with other subsidiaries of 本集團其他附屬公司之間的該 the Group were eliminated upon consolidation. 等交易均已於綜合入賬時抵銷。 90 LIMITED • Annual ALPHA PROFESSIONAL HOLDINGS Report 2026</t>
        </is>
      </c>
    </row>
    <row r="138">
      <c r="A138" s="8" t="inlineStr">
        <is>
          <t>Related Party Transactions</t>
        </is>
      </c>
      <c r="B138" s="8" t="inlineStr">
        <is>
          <t>關聯方交易</t>
        </is>
      </c>
      <c r="C138" s="8" t="inlineStr">
        <is>
          <t>low</t>
        </is>
      </c>
      <c r="D138" s="11" t="inlineStr">
        <is>
          <t>related party</t>
        </is>
      </c>
      <c r="E138" s="11" t="inlineStr">
        <is>
          <t>PDF p.233 (印刷頁 232)</t>
        </is>
      </c>
      <c r="F138" s="11" t="inlineStr">
        <is>
          <t>Notes to the Consolidated Financial Statements 綜合財務報表附註 2026 截至二零二六年三月三十一日止年度 For the year ended 31 March 重大關連方交易及結餘 40. MATERIAL RELATED PARTY TRANSACTIONS AND 40. BALANCES 除在此綜合財務報表內其他部分詳述 In addition to the transactions detailed elsewhere in these 之交易外，本集團於本年度有以下與 consolidated financial statements, the Group had the following 關連方進行之交易： transactions with related parties during the year: 於報告期間，本集團主要管理 (i) Remuneration for key management personnel of the Group, (i) 人員之薪酬（包括付予董事（披 including amounts paid to the Directors as di</t>
        </is>
      </c>
    </row>
    <row r="139">
      <c r="A139" s="8" t="inlineStr">
        <is>
          <t>Related Party Transactions</t>
        </is>
      </c>
      <c r="B139" s="8" t="inlineStr">
        <is>
          <t>關聯方交易</t>
        </is>
      </c>
      <c r="C139" s="8" t="inlineStr">
        <is>
          <t>low</t>
        </is>
      </c>
      <c r="D139" s="11" t="inlineStr">
        <is>
          <t>related party</t>
        </is>
      </c>
      <c r="E139" s="11" t="inlineStr">
        <is>
          <t>PDF p.234 (印刷頁 233)</t>
        </is>
      </c>
      <c r="F139" s="11" t="inlineStr">
        <is>
          <t>Notes to the Consolidated Financial Statements 綜合財務報表附註 2026 截至二零二六年三月三十一日止年度 For the year ended 31 March 重大關連方交易及結餘（續） 40. MATERIAL RELATED PARTY TRANSACTIONS AND 40. BALANCES (Continued) 與服務實體II控制的實體的交易 (ii) Transactions with entities controlled by Service Entity II (ii) 服務實體II於二零二四年五月 Service Entity II provides key management personnel services 三十一日（委任高鵬先生為董事 to the Company from 31 May 2024 (appointment date of Mr. 的日期）至二零二四年九月十一 Gao Peng as Director) to 11 September 2024 (resignation 日（高鵬先生辭任董事的日期） date of Mr. Gao Peng as 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5" topLeftCell="A26"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Intangible Assets</t>
        </is>
      </c>
    </row>
    <row r="13">
      <c r="A13" s="8" t="inlineStr">
        <is>
          <t>Balance Sheet</t>
        </is>
      </c>
      <c r="B13" s="8" t="inlineStr">
        <is>
          <t>Investment Properties</t>
        </is>
      </c>
    </row>
    <row r="14">
      <c r="A14" s="8" t="inlineStr">
        <is>
          <t>Balance Sheet</t>
        </is>
      </c>
      <c r="B14" s="8" t="inlineStr">
        <is>
          <t>Total Liabilities</t>
        </is>
      </c>
    </row>
    <row r="15">
      <c r="A15" s="8" t="inlineStr">
        <is>
          <t>Balance Sheet</t>
        </is>
      </c>
      <c r="B15" s="8" t="inlineStr">
        <is>
          <t>Borrowings</t>
        </is>
      </c>
    </row>
    <row r="16">
      <c r="A16" s="8" t="inlineStr">
        <is>
          <t>Cash Flow</t>
        </is>
      </c>
      <c r="B16" s="8" t="inlineStr">
        <is>
          <t>Operating Cash Flow</t>
        </is>
      </c>
    </row>
    <row r="17">
      <c r="A17" s="8" t="inlineStr">
        <is>
          <t>Cash Flow</t>
        </is>
      </c>
      <c r="B17" s="8" t="inlineStr">
        <is>
          <t>Investing Cash Flow</t>
        </is>
      </c>
    </row>
    <row r="18">
      <c r="A18" s="8" t="inlineStr">
        <is>
          <t>Cash Flow</t>
        </is>
      </c>
      <c r="B18" s="8" t="inlineStr">
        <is>
          <t>Financing Cash Flow</t>
        </is>
      </c>
    </row>
    <row r="19">
      <c r="A19" s="8" t="inlineStr">
        <is>
          <t>Cash Flow</t>
        </is>
      </c>
      <c r="B19" s="8" t="inlineStr">
        <is>
          <t>Capital Expenditure</t>
        </is>
      </c>
    </row>
    <row r="22">
      <c r="A22" s="5" t="inlineStr">
        <is>
          <t>二、文字量過低的頁面(疑似掃描頁)</t>
        </is>
      </c>
    </row>
    <row r="23">
      <c r="A23" s="2" t="inlineStr">
        <is>
          <t>這些頁面幾乎抓不到文字,通常是掃描件或純圖表,建議人手翻閱或另行 OCR。</t>
        </is>
      </c>
    </row>
    <row r="25">
      <c r="A25" s="7" t="inlineStr">
        <is>
          <t>PDF 頁碼</t>
        </is>
      </c>
      <c r="B25" s="7" t="inlineStr">
        <is>
          <t>狀態</t>
        </is>
      </c>
    </row>
    <row r="26">
      <c r="A26" s="8" t="n">
        <v>1</v>
      </c>
      <c r="B26" s="8" t="inlineStr">
        <is>
          <t>文字量過低 — 可能為掃描頁/圖表頁</t>
        </is>
      </c>
    </row>
    <row r="27">
      <c r="A27" s="8" t="n">
        <v>242</v>
      </c>
      <c r="B27"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2026-08-30T14:16:41Z</dcterms:created>
  <dcterms:modified xsi:type="dcterms:W3CDTF">2026-08-30T14:16:41Z</dcterms:modified>
</cp:coreProperties>
</file>
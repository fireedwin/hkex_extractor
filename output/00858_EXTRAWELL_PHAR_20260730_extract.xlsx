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00858_EXTRAWELL_PHAR_20260730.pdf</t>
        </is>
      </c>
    </row>
    <row r="5">
      <c r="A5" s="3" t="inlineStr">
        <is>
          <t>產生時間 Generated</t>
        </is>
      </c>
      <c r="B5" s="4" t="inlineStr">
        <is>
          <t>2026-08-30 22:16</t>
        </is>
      </c>
    </row>
    <row r="6">
      <c r="A6" s="4" t="inlineStr"/>
      <c r="B6" s="4" t="inlineStr"/>
    </row>
    <row r="7">
      <c r="A7" s="3" t="inlineStr">
        <is>
          <t>總頁數 Total pages</t>
        </is>
      </c>
      <c r="B7" s="4" t="n">
        <v>254</v>
      </c>
    </row>
    <row r="8">
      <c r="A8" s="3" t="inlineStr">
        <is>
          <t>已擷取字元 Characters extracted</t>
        </is>
      </c>
      <c r="B8" s="4" t="n">
        <v>617119</v>
      </c>
    </row>
    <row r="9">
      <c r="A9" s="3" t="inlineStr">
        <is>
          <t>含表格頁數 Pages with tables</t>
        </is>
      </c>
      <c r="B9" s="4" t="n">
        <v>0</v>
      </c>
    </row>
    <row r="10">
      <c r="A10" s="3" t="inlineStr">
        <is>
          <t>需人手/OCR 頁數 Pages needing OCR</t>
        </is>
      </c>
      <c r="B10" s="4" t="n">
        <v>2</v>
      </c>
    </row>
    <row r="11">
      <c r="A11" s="4" t="inlineStr"/>
      <c r="B11" s="4" t="inlineStr"/>
    </row>
    <row r="12">
      <c r="A12" s="3" t="inlineStr">
        <is>
          <t>估值參數擷取筆數 Valuation parameters</t>
        </is>
      </c>
      <c r="B12" s="4" t="n">
        <v>8</v>
      </c>
    </row>
    <row r="13">
      <c r="A13" s="3" t="inlineStr">
        <is>
          <t>財務科目擷取筆數 Financial line items</t>
        </is>
      </c>
      <c r="B13" s="4" t="n">
        <v>15</v>
      </c>
    </row>
    <row r="14">
      <c r="A14" s="3" t="inlineStr">
        <is>
          <t>主題段落擷取筆數 Topic extracts</t>
        </is>
      </c>
      <c r="B14" s="4" t="n">
        <v>199</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239,275 − 39,590 = 199,685</t>
        </is>
      </c>
    </row>
    <row r="20">
      <c r="A20" s="6" t="inlineStr">
        <is>
          <t>✓ 收入 − 銷售成本 = 毛利</t>
        </is>
      </c>
      <c r="B20" s="4" t="inlineStr">
        <is>
          <t>51,481 − 28,732 = 22,749 vs 毛利 22,749</t>
        </is>
      </c>
    </row>
    <row r="21">
      <c r="A21" s="6" t="inlineStr">
        <is>
          <t>✓ 除稅前溢利 ± 稅項 = 年內溢利</t>
        </is>
      </c>
      <c r="B21" s="4" t="inlineStr">
        <is>
          <t>-986,231 + 8,441 = -977,790 vs -977,790</t>
        </is>
      </c>
    </row>
    <row r="22">
      <c r="A22" s="6" t="inlineStr">
        <is>
          <t>✓ 三大報表應相鄰</t>
        </is>
      </c>
      <c r="B22" s="4" t="inlineStr">
        <is>
          <t>Income Statement: p.121、Balance Sheet: p.123、Cash Flow: p.127(相距 6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31</v>
      </c>
      <c r="D5" s="10" t="n">
        <v>31</v>
      </c>
      <c r="E5" s="11" t="inlineStr">
        <is>
          <t>31.00%</t>
        </is>
      </c>
      <c r="F5" s="11" t="inlineStr">
        <is>
          <t>High</t>
        </is>
      </c>
      <c r="G5" s="11" t="inlineStr">
        <is>
          <t>PDF p.15 (印刷頁 14)</t>
        </is>
      </c>
      <c r="H5" s="11" t="inlineStr">
        <is>
          <t xml:space="preserve">low projections with certain key parameters are as below: 2026 2025 二零二六年 二零二五年 Discount rate (post-tax) 貼現率（除稅後） 31.00% 31.53% Growth rate 增長率 2% 2% Gross profit ratio 毛利率 34% 39% Estimate successful rate* 估計成功率* 52.3% 52.3% * Estimate successful rate </t>
        </is>
      </c>
    </row>
    <row r="6">
      <c r="A6" s="8" t="inlineStr">
        <is>
          <t>Discount Rate</t>
        </is>
      </c>
      <c r="B6" s="8" t="inlineStr">
        <is>
          <t>折現率</t>
        </is>
      </c>
      <c r="C6" s="9" t="n">
        <v>31</v>
      </c>
      <c r="D6" s="10" t="n">
        <v>31</v>
      </c>
      <c r="E6" s="11" t="inlineStr">
        <is>
          <t>31.00%</t>
        </is>
      </c>
      <c r="F6" s="11" t="inlineStr">
        <is>
          <t>High</t>
        </is>
      </c>
      <c r="G6" s="11" t="inlineStr">
        <is>
          <t>PDF p.198 (印刷頁 197)</t>
        </is>
      </c>
      <c r="H6" s="11" t="inlineStr">
        <is>
          <t xml:space="preserve">t Group and its key 之計算及其關鍵參數如下： parameters are as below: 2026 2025 二零二六年 二零二五年 Discount rate (post-tax) 貼現率（除稅後） 31.00% 31.53% Growth rate 增長率 2.0% 2.0% Gross profit ratio 毛利率 34% 39% Estimate successful rate 估計成功率 52.3% 52.3% Lack of control discount </t>
        </is>
      </c>
    </row>
    <row r="7">
      <c r="A7" s="8" t="inlineStr">
        <is>
          <t>Discount Rate</t>
        </is>
      </c>
      <c r="B7" s="8" t="inlineStr">
        <is>
          <t>折現率</t>
        </is>
      </c>
      <c r="C7" s="9" t="n">
        <v>18.72</v>
      </c>
      <c r="D7" s="10" t="n">
        <v>18.72</v>
      </c>
      <c r="E7" s="11" t="inlineStr">
        <is>
          <t>18.72%</t>
        </is>
      </c>
      <c r="F7" s="11" t="inlineStr">
        <is>
          <t>High</t>
        </is>
      </c>
      <c r="G7" s="11" t="inlineStr">
        <is>
          <t>PDF p.222 (印刷頁 221)</t>
        </is>
      </c>
      <c r="H7" s="11" t="inlineStr">
        <is>
          <t>3 二零一三年 七月十六日 Stock price (HK$) 股價（港元） 0.59 Exercise price (HK$) 行使價（港元） 0.6413 Discount rate 貼現率 18.72% Risk-free rate (note (i) below) 無風險利率（下文附註(i)） 2.63% Expected volatility (note (ii) below) 預期波幅（下文附註(ii)） 66.55% Expected dividend yield (note (iii)</t>
        </is>
      </c>
    </row>
    <row r="8">
      <c r="A8" s="8" t="inlineStr">
        <is>
          <t>Expected Volatility</t>
        </is>
      </c>
      <c r="B8" s="8" t="inlineStr">
        <is>
          <t>預期波幅</t>
        </is>
      </c>
      <c r="C8" s="9" t="n">
        <v>22</v>
      </c>
      <c r="D8" s="10" t="n">
        <v>22</v>
      </c>
      <c r="E8" s="11" t="inlineStr">
        <is>
          <t>022%</t>
        </is>
      </c>
      <c r="F8" s="11" t="inlineStr">
        <is>
          <t>High</t>
        </is>
      </c>
      <c r="G8" s="11" t="inlineStr">
        <is>
          <t>PDF p.210 (印刷頁 209)</t>
        </is>
      </c>
      <c r="H8" s="11" t="inlineStr">
        <is>
          <t>Discount rate 貼現率 27.109% Risk free rate (note (i) below) 無風險利率（下文附註(i)） 3.044% Expected volatility (note (ii) below) 預期波幅（下文附註(ii)） 54.022% Expected dividend yield (note (iii) below) 預期股息率（下文附註(iii)） 0% Option life (Years) 期權期限（年期） 0.326 Notes: 附註： (i) The r</t>
        </is>
      </c>
    </row>
    <row r="9">
      <c r="A9" s="8" t="inlineStr">
        <is>
          <t>Expected Volatility</t>
        </is>
      </c>
      <c r="B9" s="8" t="inlineStr">
        <is>
          <t>預期波幅</t>
        </is>
      </c>
      <c r="C9" s="9" t="n">
        <v>66.55</v>
      </c>
      <c r="D9" s="10" t="n">
        <v>66.55</v>
      </c>
      <c r="E9" s="11" t="inlineStr">
        <is>
          <t>66.55%</t>
        </is>
      </c>
      <c r="F9" s="11" t="inlineStr">
        <is>
          <t>High</t>
        </is>
      </c>
      <c r="G9" s="11" t="inlineStr">
        <is>
          <t>PDF p.222 (印刷頁 221)</t>
        </is>
      </c>
      <c r="H9" s="11" t="inlineStr">
        <is>
          <t xml:space="preserve">3 Discount rate 貼現率 18.72% Risk-free rate (note (i) below) 無風險利率（下文附註(i)） 2.63% Expected volatility (note (ii) below) 預期波幅（下文附註(ii)） 66.55% Expected dividend yield (note (iii) below) 預期股息收益率（下文附註(iii)） 0.00% Option life (Years) 期權期限（年期） 20 Notes: 附註： (i) The </t>
        </is>
      </c>
    </row>
    <row r="10">
      <c r="A10" s="8" t="inlineStr">
        <is>
          <t>Gross Margin</t>
        </is>
      </c>
      <c r="B10" s="8" t="inlineStr">
        <is>
          <t>毛利率</t>
        </is>
      </c>
      <c r="C10" s="9" t="n">
        <v>34</v>
      </c>
      <c r="D10" s="10" t="n">
        <v>34</v>
      </c>
      <c r="E10" s="11" t="inlineStr">
        <is>
          <t>34%</t>
        </is>
      </c>
      <c r="F10" s="11" t="inlineStr">
        <is>
          <t>High</t>
        </is>
      </c>
      <c r="G10" s="11" t="inlineStr">
        <is>
          <t>PDF p.15 (印刷頁 14)</t>
        </is>
      </c>
      <c r="H10" s="11" t="inlineStr">
        <is>
          <t>rate (post-tax) 貼現率（除稅後） 31.00% 31.53% Growth rate 增長率 2% 2% Gross profit ratio 毛利率 34% 39% Estimate successful rate* 估計成功率* 52.3% 52.3% * Estimate successful rate for commercialisation of the Product * 該產品商品化之估計成功率 In conducting the impairmen</t>
        </is>
      </c>
    </row>
    <row r="11">
      <c r="A11" s="8" t="inlineStr">
        <is>
          <t>Gross Margin</t>
        </is>
      </c>
      <c r="B11" s="8" t="inlineStr">
        <is>
          <t>毛利率</t>
        </is>
      </c>
      <c r="C11" s="9" t="n">
        <v>34</v>
      </c>
      <c r="D11" s="10" t="n">
        <v>34</v>
      </c>
      <c r="E11" s="11" t="inlineStr">
        <is>
          <t>34%</t>
        </is>
      </c>
      <c r="F11" s="11" t="inlineStr">
        <is>
          <t>High</t>
        </is>
      </c>
      <c r="G11" s="11" t="inlineStr">
        <is>
          <t>PDF p.198 (印刷頁 197)</t>
        </is>
      </c>
      <c r="H11" s="11" t="inlineStr">
        <is>
          <t xml:space="preserve"> (post-tax) 貼現率（除稅後） 31.00% 31.53% Growth rate 增長率 2.0% 2.0% Gross profit ratio 毛利率 34% 39% Estimate successful rate 估計成功率 52.3% 52.3% Lack of control discount 無控制權之折讓 23.20% 24.60% The following describes each key assumption on which 下文描述管理層基</t>
        </is>
      </c>
    </row>
    <row r="12">
      <c r="A12" s="8" t="inlineStr">
        <is>
          <t>Risk-free Rate</t>
        </is>
      </c>
      <c r="B12" s="8" t="inlineStr">
        <is>
          <t>無風險利率</t>
        </is>
      </c>
      <c r="C12" s="9" t="n">
        <v>2.63</v>
      </c>
      <c r="D12" s="10" t="n">
        <v>2.63</v>
      </c>
      <c r="E12" s="11" t="inlineStr">
        <is>
          <t>2.63%</t>
        </is>
      </c>
      <c r="F12" s="11" t="inlineStr">
        <is>
          <t>High</t>
        </is>
      </c>
      <c r="G12" s="11" t="inlineStr">
        <is>
          <t>PDF p.222 (印刷頁 221)</t>
        </is>
      </c>
      <c r="H12" s="11" t="inlineStr">
        <is>
          <t xml:space="preserve"> (HK$) 股價（港元） 0.59 Exercise price (HK$) 行使價（港元） 0.6413 Discount rate 貼現率 18.72% Risk-free rate (note (i) below) 無風險利率（下文附註(i)） 2.63% Expected volatility (note (ii) below) 預期波幅（下文附註(ii)） 66.55% Expected dividend yield (note (iii) below) 預期股息收益率（下文附註(iii)）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51481</v>
      </c>
      <c r="D5" s="13" t="n">
        <v>55429</v>
      </c>
      <c r="E5" s="14">
        <f>IF(ISERROR((C5-D5)/ABS(D5)),"",(C5-D5)/ABS(D5))</f>
        <v>-0.07122625340525718</v>
      </c>
      <c r="F5" s="11" t="inlineStr">
        <is>
          <t>PDF p.121 (印刷頁 120)</t>
        </is>
      </c>
      <c r="G5" s="11" t="inlineStr">
        <is>
          <t>Revenue 收益 6 51,481 55,429</t>
        </is>
      </c>
    </row>
    <row r="6">
      <c r="A6" s="8" t="inlineStr">
        <is>
          <t>Income Statement</t>
        </is>
      </c>
      <c r="B6" s="8" t="inlineStr">
        <is>
          <t>Cost of Sales</t>
        </is>
      </c>
      <c r="C6" s="12" t="n">
        <v>-28732</v>
      </c>
      <c r="D6" s="13" t="n">
        <v>-33558</v>
      </c>
      <c r="E6" s="14">
        <f>IF(ISERROR((C6-D6)/ABS(D6)),"",(C6-D6)/ABS(D6))</f>
        <v>0.14381071577567198</v>
      </c>
      <c r="F6" s="11" t="inlineStr">
        <is>
          <t>PDF p.121 (印刷頁 120)</t>
        </is>
      </c>
      <c r="G6" s="11" t="inlineStr">
        <is>
          <t>Cost of sales 銷售成本 (28,732) (33,558)</t>
        </is>
      </c>
    </row>
    <row r="7">
      <c r="A7" s="8" t="inlineStr">
        <is>
          <t>Income Statement</t>
        </is>
      </c>
      <c r="B7" s="8" t="inlineStr">
        <is>
          <t>Gross Profit</t>
        </is>
      </c>
      <c r="C7" s="12" t="n">
        <v>22749</v>
      </c>
      <c r="D7" s="13" t="n">
        <v>21871</v>
      </c>
      <c r="E7" s="14">
        <f>IF(ISERROR((C7-D7)/ABS(D7)),"",(C7-D7)/ABS(D7))</f>
        <v>0.04014448356270861</v>
      </c>
      <c r="F7" s="11" t="inlineStr">
        <is>
          <t>PDF p.121 (印刷頁 120)</t>
        </is>
      </c>
      <c r="G7" s="11" t="inlineStr">
        <is>
          <t>Gross profit 毛利 22,749 21,871</t>
        </is>
      </c>
    </row>
    <row r="8">
      <c r="A8" s="8" t="inlineStr">
        <is>
          <t>Income Statement</t>
        </is>
      </c>
      <c r="B8" s="8" t="inlineStr">
        <is>
          <t>Finance Costs</t>
        </is>
      </c>
      <c r="C8" s="12" t="n">
        <v>-26130</v>
      </c>
      <c r="D8" s="13" t="n">
        <v>-22107</v>
      </c>
      <c r="E8" s="14">
        <f>IF(ISERROR((C8-D8)/ABS(D8)),"",(C8-D8)/ABS(D8))</f>
        <v>-0.1819785588275207</v>
      </c>
      <c r="F8" s="11" t="inlineStr">
        <is>
          <t>PDF p.121 (印刷頁 120)</t>
        </is>
      </c>
      <c r="G8" s="11" t="inlineStr">
        <is>
          <t>Finance costs 財務成本 8 (26,130) (22,107)</t>
        </is>
      </c>
    </row>
    <row r="9">
      <c r="A9" s="8" t="inlineStr">
        <is>
          <t>Income Statement</t>
        </is>
      </c>
      <c r="B9" s="8" t="inlineStr">
        <is>
          <t>Profit Before Tax</t>
        </is>
      </c>
      <c r="C9" s="12" t="n">
        <v>-986231</v>
      </c>
      <c r="D9" s="13" t="n">
        <v>224719</v>
      </c>
      <c r="E9" s="14">
        <f>IF(ISERROR((C9-D9)/ABS(D9)),"",(C9-D9)/ABS(D9))</f>
        <v>-5.388729924928466</v>
      </c>
      <c r="F9" s="11" t="inlineStr">
        <is>
          <t>PDF p.121 (印刷頁 120)</t>
        </is>
      </c>
      <c r="G9" s="11" t="inlineStr">
        <is>
          <t>(Loss) profit before income tax 除所得稅前（虧損）溢利 9 (986,231) 224,719</t>
        </is>
      </c>
    </row>
    <row r="10">
      <c r="A10" s="8" t="inlineStr">
        <is>
          <t>Income Statement</t>
        </is>
      </c>
      <c r="B10" s="8" t="inlineStr">
        <is>
          <t>Income Tax</t>
        </is>
      </c>
      <c r="C10" s="12" t="n">
        <v>8441</v>
      </c>
      <c r="D10" s="13" t="n">
        <v>-1167</v>
      </c>
      <c r="E10" s="14">
        <f>IF(ISERROR((C10-D10)/ABS(D10)),"",(C10-D10)/ABS(D10))</f>
        <v>8.233076263924593</v>
      </c>
      <c r="F10" s="11" t="inlineStr">
        <is>
          <t>PDF p.121 (印刷頁 120)</t>
        </is>
      </c>
      <c r="G10" s="11" t="inlineStr">
        <is>
          <t>Income tax credit (expense) 所得稅抵免（開支） 10 8,441 (1,167)</t>
        </is>
      </c>
    </row>
    <row r="11">
      <c r="A11" s="8" t="inlineStr">
        <is>
          <t>Income Statement</t>
        </is>
      </c>
      <c r="B11" s="8" t="inlineStr">
        <is>
          <t>Profit for the Year</t>
        </is>
      </c>
      <c r="C11" s="12" t="n">
        <v>-977790</v>
      </c>
      <c r="D11" s="13" t="n">
        <v>223552</v>
      </c>
      <c r="E11" s="14">
        <f>IF(ISERROR((C11-D11)/ABS(D11)),"",(C11-D11)/ABS(D11))</f>
        <v>-5.373881691955339</v>
      </c>
      <c r="F11" s="11" t="inlineStr">
        <is>
          <t>PDF p.121 (印刷頁 120)</t>
        </is>
      </c>
      <c r="G11" s="11" t="inlineStr">
        <is>
          <t>(Loss) profit for the year from Continuing 來自持續經營業務之 … Operations 本年度（虧損）溢利 (977,790) 223,552</t>
        </is>
      </c>
    </row>
    <row r="12">
      <c r="A12" s="8" t="inlineStr">
        <is>
          <t>Balance Sheet</t>
        </is>
      </c>
      <c r="B12" s="8" t="inlineStr">
        <is>
          <t>Investment Properties</t>
        </is>
      </c>
      <c r="C12" s="12" t="n">
        <v>2152</v>
      </c>
      <c r="D12" s="13" t="n">
        <v>2284</v>
      </c>
      <c r="E12" s="14">
        <f>IF(ISERROR((C12-D12)/ABS(D12)),"",(C12-D12)/ABS(D12))</f>
        <v>-0.05779334500875657</v>
      </c>
      <c r="F12" s="11" t="inlineStr">
        <is>
          <t>PDF p.123 (印刷頁 122)</t>
        </is>
      </c>
      <c r="G12" s="11" t="inlineStr">
        <is>
          <t>Investment properties 投資物業 15 2,152 2,284</t>
        </is>
      </c>
    </row>
    <row r="13">
      <c r="A13" s="8" t="inlineStr">
        <is>
          <t>Balance Sheet</t>
        </is>
      </c>
      <c r="B13" s="8" t="inlineStr">
        <is>
          <t>Property Plant and Equipment</t>
        </is>
      </c>
      <c r="C13" s="12" t="n">
        <v>112668</v>
      </c>
      <c r="D13" s="13" t="n">
        <v>111731</v>
      </c>
      <c r="E13" s="14">
        <f>IF(ISERROR((C13-D13)/ABS(D13)),"",(C13-D13)/ABS(D13))</f>
        <v>0.008386213315910536</v>
      </c>
      <c r="F13" s="11" t="inlineStr">
        <is>
          <t>PDF p.123 (印刷頁 122)</t>
        </is>
      </c>
      <c r="G13" s="11" t="inlineStr">
        <is>
          <t>Property, plant and equipment 物業、廠房及設備 16 112,668 111,731</t>
        </is>
      </c>
    </row>
    <row r="14">
      <c r="A14" s="8" t="inlineStr">
        <is>
          <t>Balance Sheet</t>
        </is>
      </c>
      <c r="B14" s="8" t="inlineStr">
        <is>
          <t>Intangible Assets</t>
        </is>
      </c>
      <c r="C14" s="12" t="n">
        <v>1807</v>
      </c>
      <c r="D14" s="13" t="n">
        <v>1807</v>
      </c>
      <c r="E14" s="14">
        <f>IF(ISERROR((C14-D14)/ABS(D14)),"",(C14-D14)/ABS(D14))</f>
        <v>0.0</v>
      </c>
      <c r="F14" s="11" t="inlineStr">
        <is>
          <t>PDF p.123 (印刷頁 122)</t>
        </is>
      </c>
      <c r="G14" s="11" t="inlineStr">
        <is>
          <t>Intangible assets 無形資產 18 1,807 1,807</t>
        </is>
      </c>
    </row>
    <row r="15">
      <c r="A15" s="8" t="inlineStr">
        <is>
          <t>Balance Sheet</t>
        </is>
      </c>
      <c r="B15" s="8" t="inlineStr">
        <is>
          <t>Inventories</t>
        </is>
      </c>
      <c r="C15" s="12" t="n">
        <v>4891</v>
      </c>
      <c r="D15" s="13" t="n">
        <v>4738</v>
      </c>
      <c r="E15" s="14">
        <f>IF(ISERROR((C15-D15)/ABS(D15)),"",(C15-D15)/ABS(D15))</f>
        <v>0.032292106373997466</v>
      </c>
      <c r="F15" s="11" t="inlineStr">
        <is>
          <t>PDF p.123 (印刷頁 122)</t>
        </is>
      </c>
      <c r="G15" s="11" t="inlineStr">
        <is>
          <t>Inventories 存貨 21 4,891 4,738</t>
        </is>
      </c>
    </row>
    <row r="16">
      <c r="A16" s="8" t="inlineStr">
        <is>
          <t>Balance Sheet</t>
        </is>
      </c>
      <c r="B16" s="8" t="inlineStr">
        <is>
          <t>Total Equity</t>
        </is>
      </c>
      <c r="C16" s="12" t="n">
        <v>375470</v>
      </c>
      <c r="D16" s="13" t="n">
        <v>1334799</v>
      </c>
      <c r="E16" s="14">
        <f>IF(ISERROR((C16-D16)/ABS(D16)),"",(C16-D16)/ABS(D16))</f>
        <v>-0.7187067116472218</v>
      </c>
      <c r="F16" s="11" t="inlineStr">
        <is>
          <t>PDF p.124 (印刷頁 123)</t>
        </is>
      </c>
      <c r="G16" s="11" t="inlineStr">
        <is>
          <t>TOTAL EQUITY 權益總額 375,470 1,334,799</t>
        </is>
      </c>
    </row>
    <row r="17">
      <c r="A17" s="8" t="inlineStr">
        <is>
          <t>Balance Sheet</t>
        </is>
      </c>
      <c r="B17" s="8" t="inlineStr">
        <is>
          <t>Total Current Assets</t>
        </is>
      </c>
      <c r="C17" s="12" t="n">
        <v>239275</v>
      </c>
      <c r="D17" s="13" t="n">
        <v>1062791</v>
      </c>
      <c r="E17" s="14">
        <f>IF(ISERROR((C17-D17)/ABS(D17)),"",(C17-D17)/ABS(D17))</f>
        <v>-0.7748616614179081</v>
      </c>
      <c r="F17" s="11" t="inlineStr">
        <is>
          <t>PDF p.123 (印刷頁 122)</t>
        </is>
      </c>
      <c r="G17" s="11" t="inlineStr">
        <is>
          <t>[current assets 區段小計] 239,275 1,062,791</t>
        </is>
      </c>
    </row>
    <row r="18">
      <c r="A18" s="8" t="inlineStr">
        <is>
          <t>Balance Sheet</t>
        </is>
      </c>
      <c r="B18" s="8" t="inlineStr">
        <is>
          <t>Total Current Liabilities</t>
        </is>
      </c>
      <c r="C18" s="12" t="n">
        <v>39590</v>
      </c>
      <c r="D18" s="13" t="n">
        <v>48504</v>
      </c>
      <c r="E18" s="14">
        <f>IF(ISERROR((C18-D18)/ABS(D18)),"",(C18-D18)/ABS(D18))</f>
        <v>-0.18377865743031502</v>
      </c>
      <c r="F18" s="11" t="inlineStr">
        <is>
          <t>PDF p.123 (印刷頁 122)</t>
        </is>
      </c>
      <c r="G18" s="11" t="inlineStr">
        <is>
          <t>[current liabilities 區段小計] 39,590 48,504</t>
        </is>
      </c>
    </row>
    <row r="19">
      <c r="A19" s="8" t="inlineStr">
        <is>
          <t>Cash Flow</t>
        </is>
      </c>
      <c r="B19" s="8" t="inlineStr">
        <is>
          <t>Operating Cash Flow</t>
        </is>
      </c>
      <c r="C19" s="12" t="n">
        <v>398</v>
      </c>
      <c r="D19" s="13" t="n">
        <v>-4330</v>
      </c>
      <c r="E19" s="14">
        <f>IF(ISERROR((C19-D19)/ABS(D19)),"",(C19-D19)/ABS(D19))</f>
        <v>1.0919168591224018</v>
      </c>
      <c r="F19" s="11" t="inlineStr">
        <is>
          <t>PDF p.127 (印刷頁 126)</t>
        </is>
      </c>
      <c r="G19" s="11" t="inlineStr">
        <is>
          <t>Cash generated from (used in) operations 營運產生（所用）之現金 398 (4,330)</t>
        </is>
      </c>
    </row>
    <row r="21">
      <c r="A21"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財務數據'!$C$5:$C$19,MATCH("Gross Profit",'Financials 財務數據'!$B$5:$B$19,0))/INDEX('Financials 財務數據'!$C$5:$C$19,MATCH("Revenue",'Financials 財務數據'!$B$5:$B$19,0))),"n/a",INDEX('Financials 財務數據'!$C$5:$C$19,MATCH("Gross Profit",'Financials 財務數據'!$B$5:$B$19,0))/INDEX('Financials 財務數據'!$C$5:$C$19,MATCH("Revenue",'Financials 財務數據'!$B$5:$B$19,0)))</f>
        <v>0.44189118315495035</v>
      </c>
      <c r="C5" s="15">
        <f>IF(ISERROR(INDEX('Financials 財務數據'!$D$5:$D$19,MATCH("Gross Profit",'Financials 財務數據'!$B$5:$B$19,0))/INDEX('Financials 財務數據'!$D$5:$D$19,MATCH("Revenue",'Financials 財務數據'!$B$5:$B$19,0))),"n/a",INDEX('Financials 財務數據'!$D$5:$D$19,MATCH("Gross Profit",'Financials 財務數據'!$B$5:$B$19,0))/INDEX('Financials 財務數據'!$D$5:$D$19,MATCH("Revenue",'Financials 財務數據'!$B$5:$B$19,0)))</f>
        <v>0.394576846055314</v>
      </c>
      <c r="D5" s="2" t="inlineStr">
        <is>
          <t>毛利 ÷ 收入</t>
        </is>
      </c>
    </row>
    <row r="6">
      <c r="A6" s="4" t="inlineStr">
        <is>
          <t>Net Margin 淨利率</t>
        </is>
      </c>
      <c r="B6" s="15">
        <f>IF(ISERROR(INDEX('Financials 財務數據'!$C$5:$C$19,MATCH("Profit for the Year",'Financials 財務數據'!$B$5:$B$19,0))/INDEX('Financials 財務數據'!$C$5:$C$19,MATCH("Revenue",'Financials 財務數據'!$B$5:$B$19,0))),"n/a",INDEX('Financials 財務數據'!$C$5:$C$19,MATCH("Profit for the Year",'Financials 財務數據'!$B$5:$B$19,0))/INDEX('Financials 財務數據'!$C$5:$C$19,MATCH("Revenue",'Financials 財務數據'!$B$5:$B$19,0)))</f>
        <v>-18.993220799906762</v>
      </c>
      <c r="C6" s="15">
        <f>IF(ISERROR(INDEX('Financials 財務數據'!$D$5:$D$19,MATCH("Profit for the Year",'Financials 財務數據'!$B$5:$B$19,0))/INDEX('Financials 財務數據'!$D$5:$D$19,MATCH("Revenue",'Financials 財務數據'!$B$5:$B$19,0))),"n/a",INDEX('Financials 財務數據'!$D$5:$D$19,MATCH("Profit for the Year",'Financials 財務數據'!$B$5:$B$19,0))/INDEX('Financials 財務數據'!$D$5:$D$19,MATCH("Revenue",'Financials 財務數據'!$B$5:$B$19,0)))</f>
        <v>4.033123455231016</v>
      </c>
      <c r="D6" s="2" t="inlineStr">
        <is>
          <t>年內溢利 ÷ 收入</t>
        </is>
      </c>
    </row>
    <row r="7">
      <c r="A7" s="4" t="inlineStr">
        <is>
          <t>Current Ratio 流動比率</t>
        </is>
      </c>
      <c r="B7" s="16">
        <f>IF(ISERROR(INDEX('Financials 財務數據'!$C$5:$C$19,MATCH("Total Current Assets",'Financials 財務數據'!$B$5:$B$19,0))/INDEX('Financials 財務數據'!$C$5:$C$19,MATCH("Total Current Liabilities",'Financials 財務數據'!$B$5:$B$19,0))),"n/a",INDEX('Financials 財務數據'!$C$5:$C$19,MATCH("Total Current Assets",'Financials 財務數據'!$B$5:$B$19,0))/INDEX('Financials 財務數據'!$C$5:$C$19,MATCH("Total Current Liabilities",'Financials 財務數據'!$B$5:$B$19,0)))</f>
        <v>6.043824198029806</v>
      </c>
      <c r="C7" s="16">
        <f>IF(ISERROR(INDEX('Financials 財務數據'!$D$5:$D$19,MATCH("Total Current Assets",'Financials 財務數據'!$B$5:$B$19,0))/INDEX('Financials 財務數據'!$D$5:$D$19,MATCH("Total Current Liabilities",'Financials 財務數據'!$B$5:$B$19,0))),"n/a",INDEX('Financials 財務數據'!$D$5:$D$19,MATCH("Total Current Assets",'Financials 財務數據'!$B$5:$B$19,0))/INDEX('Financials 財務數據'!$D$5:$D$19,MATCH("Total Current Liabilities",'Financials 財務數據'!$B$5:$B$19,0)))</f>
        <v>21.911409368299523</v>
      </c>
      <c r="D7" s="2" t="inlineStr">
        <is>
          <t>流動資產 ÷ 流動負債</t>
        </is>
      </c>
    </row>
    <row r="8">
      <c r="A8" s="4" t="inlineStr">
        <is>
          <t>Debt / Equity 負債權益比</t>
        </is>
      </c>
      <c r="B8" s="16" t="str">
        <f>IF(ISERROR(INDEX('Financials 財務數據'!$C$5:$C$19,MATCH("Total Liabilities",'Financials 財務數據'!$B$5:$B$19,0))/INDEX('Financials 財務數據'!$C$5:$C$19,MATCH("Total Equity",'Financials 財務數據'!$B$5:$B$19,0))),"n/a",INDEX('Financials 財務數據'!$C$5:$C$19,MATCH("Total Liabilities",'Financials 財務數據'!$B$5:$B$19,0))/INDEX('Financials 財務數據'!$C$5:$C$19,MATCH("Total Equity",'Financials 財務數據'!$B$5:$B$19,0)))</f>
        <v>n/a</v>
      </c>
      <c r="C8" s="16" t="str">
        <f>IF(ISERROR(INDEX('Financials 財務數據'!$D$5:$D$19,MATCH("Total Liabilities",'Financials 財務數據'!$B$5:$B$19,0))/INDEX('Financials 財務數據'!$D$5:$D$19,MATCH("Total Equity",'Financials 財務數據'!$B$5:$B$19,0))),"n/a",INDEX('Financials 財務數據'!$D$5:$D$19,MATCH("Total Liabilities",'Financials 財務數據'!$B$5:$B$19,0))/INDEX('Financials 財務數據'!$D$5:$D$19,MATCH("Total Equity",'Financials 財務數據'!$B$5:$B$19,0)))</f>
        <v>n/a</v>
      </c>
      <c r="D8" s="2" t="inlineStr">
        <is>
          <t>總負債 ÷ 總權益</t>
        </is>
      </c>
    </row>
    <row r="9">
      <c r="A9" s="4" t="inlineStr">
        <is>
          <t>Goodwill / Total Assets</t>
        </is>
      </c>
      <c r="B9" s="15" t="str">
        <f>IF(ISERROR(INDEX('Financials 財務數據'!$C$5:$C$19,MATCH("Goodwill",'Financials 財務數據'!$B$5:$B$19,0))/INDEX('Financials 財務數據'!$C$5:$C$19,MATCH("Total Assets",'Financials 財務數據'!$B$5:$B$19,0))),"n/a",INDEX('Financials 財務數據'!$C$5:$C$19,MATCH("Goodwill",'Financials 財務數據'!$B$5:$B$19,0))/INDEX('Financials 財務數據'!$C$5:$C$19,MATCH("Total Assets",'Financials 財務數據'!$B$5:$B$19,0)))</f>
        <v>n/a</v>
      </c>
      <c r="C9" s="15" t="str">
        <f>IF(ISERROR(INDEX('Financials 財務數據'!$D$5:$D$19,MATCH("Goodwill",'Financials 財務數據'!$B$5:$B$19,0))/INDEX('Financials 財務數據'!$D$5:$D$19,MATCH("Total Assets",'Financials 財務數據'!$B$5:$B$19,0))),"n/a",INDEX('Financials 財務數據'!$D$5:$D$19,MATCH("Goodwill",'Financials 財務數據'!$B$5:$B$19,0))/INDEX('Financials 財務數據'!$D$5:$D$19,MATCH("Total Assets",'Financials 財務數據'!$B$5:$B$19,0)))</f>
        <v>n/a</v>
      </c>
      <c r="D9" s="2" t="inlineStr">
        <is>
          <t>商譽佔總資產比重 — 減值風險指標</t>
        </is>
      </c>
    </row>
    <row r="10">
      <c r="A10" s="4" t="inlineStr">
        <is>
          <t>Intangibles / Total Assets</t>
        </is>
      </c>
      <c r="B10" s="15" t="str">
        <f>IF(ISERROR(INDEX('Financials 財務數據'!$C$5:$C$19,MATCH("Intangible Assets",'Financials 財務數據'!$B$5:$B$19,0))/INDEX('Financials 財務數據'!$C$5:$C$19,MATCH("Total Assets",'Financials 財務數據'!$B$5:$B$19,0))),"n/a",INDEX('Financials 財務數據'!$C$5:$C$19,MATCH("Intangible Assets",'Financials 財務數據'!$B$5:$B$19,0))/INDEX('Financials 財務數據'!$C$5:$C$19,MATCH("Total Assets",'Financials 財務數據'!$B$5:$B$19,0)))</f>
        <v>n/a</v>
      </c>
      <c r="C10" s="15" t="str">
        <f>IF(ISERROR(INDEX('Financials 財務數據'!$D$5:$D$19,MATCH("Intangible Assets",'Financials 財務數據'!$B$5:$B$19,0))/INDEX('Financials 財務數據'!$D$5:$D$19,MATCH("Total Assets",'Financials 財務數據'!$B$5:$B$19,0))),"n/a",INDEX('Financials 財務數據'!$D$5:$D$19,MATCH("Intangible Assets",'Financials 財務數據'!$B$5:$B$19,0))/INDEX('Financials 財務數據'!$D$5:$D$19,MATCH("Total Assets",'Financials 財務數據'!$B$5:$B$19,0)))</f>
        <v>n/a</v>
      </c>
      <c r="D10" s="2" t="inlineStr">
        <is>
          <t>無形資產佔比</t>
        </is>
      </c>
    </row>
    <row r="11">
      <c r="A11" s="4" t="inlineStr">
        <is>
          <t>ROE 股本回報率</t>
        </is>
      </c>
      <c r="B11" s="15">
        <f>IF(ISERROR(INDEX('Financials 財務數據'!$C$5:$C$19,MATCH("Profit for the Year",'Financials 財務數據'!$B$5:$B$19,0))/INDEX('Financials 財務數據'!$C$5:$C$19,MATCH("Total Equity",'Financials 財務數據'!$B$5:$B$19,0))),"n/a",INDEX('Financials 財務數據'!$C$5:$C$19,MATCH("Profit for the Year",'Financials 財務數據'!$B$5:$B$19,0))/INDEX('Financials 財務數據'!$C$5:$C$19,MATCH("Total Equity",'Financials 財務數據'!$B$5:$B$19,0)))</f>
        <v>-2.604176099288891</v>
      </c>
      <c r="C11" s="15">
        <f>IF(ISERROR(INDEX('Financials 財務數據'!$D$5:$D$19,MATCH("Profit for the Year",'Financials 財務數據'!$B$5:$B$19,0))/INDEX('Financials 財務數據'!$D$5:$D$19,MATCH("Total Equity",'Financials 財務數據'!$B$5:$B$19,0))),"n/a",INDEX('Financials 財務數據'!$D$5:$D$19,MATCH("Profit for the Year",'Financials 財務數據'!$B$5:$B$19,0))/INDEX('Financials 財務數據'!$D$5:$D$19,MATCH("Total Equity",'Financials 財務數據'!$B$5:$B$19,0)))</f>
        <v>0.16747989772242863</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55429</v>
      </c>
      <c r="C5" s="18" t="n">
        <v>51481</v>
      </c>
    </row>
    <row r="6">
      <c r="A6" s="4" t="inlineStr">
        <is>
          <t>Gross Profit</t>
        </is>
      </c>
      <c r="B6" s="18" t="n">
        <v>21871</v>
      </c>
      <c r="C6" s="18" t="n">
        <v>22749</v>
      </c>
    </row>
    <row r="7">
      <c r="A7" s="4" t="inlineStr">
        <is>
          <t>Profit Before Tax</t>
        </is>
      </c>
      <c r="B7" s="18" t="n">
        <v>224719</v>
      </c>
      <c r="C7" s="18" t="n">
        <v>-986231</v>
      </c>
    </row>
    <row r="8">
      <c r="A8" s="4" t="inlineStr">
        <is>
          <t>Profit for the Year</t>
        </is>
      </c>
      <c r="B8" s="18" t="n">
        <v>223552</v>
      </c>
      <c r="C8" s="18" t="n">
        <v>-977790</v>
      </c>
    </row>
    <row r="9">
      <c r="A9" s="4" t="inlineStr">
        <is>
          <t>Total Equity</t>
        </is>
      </c>
      <c r="B9" s="18" t="n">
        <v>1334799</v>
      </c>
      <c r="C9" s="18" t="n">
        <v>375470</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202"/>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unobservable input</t>
        </is>
      </c>
      <c r="E4" s="11" t="inlineStr">
        <is>
          <t>PDF p.132 (印刷頁 131)</t>
        </is>
      </c>
      <c r="F4" s="11" t="inlineStr">
        <is>
          <t>使用該資產的市場參與者所產生的經濟 效益。 For financial instruments which is transacted at fair value and a valuation 就以公平值進行交易的金融工具及於往後 technique that unobservable inputs are to be used to measure fair 期間使用不可觀察輸入數據計量公平值的 value in subsequent periods, the valuation technique is calibrated so 估值技術而言，估值技術會經校準，以使 that at initial recognition the results of the valuation technique equal the 初始確認時估值技術的結果與交易價格 transaction price. 相同。 ANNUAL REPORT 2026 二零二六年年報 131</t>
        </is>
      </c>
    </row>
    <row r="5">
      <c r="A5" s="8" t="inlineStr">
        <is>
          <t>Fair Value Measurement</t>
        </is>
      </c>
      <c r="B5" s="8" t="inlineStr">
        <is>
          <t>公允價值計量</t>
        </is>
      </c>
      <c r="C5" s="19" t="inlineStr">
        <is>
          <t>high</t>
        </is>
      </c>
      <c r="D5" s="11" t="inlineStr">
        <is>
          <t>valuation technique</t>
        </is>
      </c>
      <c r="E5" s="11" t="inlineStr">
        <is>
          <t>PDF p.167 (印刷頁 166)</t>
        </is>
      </c>
      <c r="F5" s="11" t="inlineStr">
        <is>
          <t>TPL 按公平值計入損益計量之金融資 產之公平值 The Group’s financial assets measured at FVTPL invested by the Group 本集團所投資按公平值計入損益計量之金 is calculated using valuation techniques. Valuation techniques are 融資產之公平值乃採用估值法計算。估值 certified by independent qualified valuers before being implemented 法經獨立合資格估值師於估值前核實並 for valuation and are calibrated to ensure that outputs reflect market 予以調整，以確保得出之數據反映市況。 conditions. Valuation models established by valuers make the maximum 估值師確定之估值模式會充分利用市場輸 use of market inputs and rely as little as possible on the Group’s 入數據</t>
        </is>
      </c>
    </row>
    <row r="6">
      <c r="A6" s="8" t="inlineStr">
        <is>
          <t>Fair Value Measurement</t>
        </is>
      </c>
      <c r="B6" s="8" t="inlineStr">
        <is>
          <t>公允價值計量</t>
        </is>
      </c>
      <c r="C6" s="19" t="inlineStr">
        <is>
          <t>high</t>
        </is>
      </c>
      <c r="D6" s="11" t="inlineStr">
        <is>
          <t>level 3</t>
        </is>
      </c>
      <c r="E6" s="11" t="inlineStr">
        <is>
          <t>PDF p.186 (印刷頁 185)</t>
        </is>
      </c>
      <c r="F6" s="11" t="inlineStr">
        <is>
          <t>ant market. 資比較交易價格之市場憑證後按直接比較 法達致。 The fair value of the Group’s investment properties as at 31 March 於二零二六年三月三十一日，本集團之投 2026 is at Level 3 (2025: Level 3) non-recurring fair value measurement 資物業之公平值為按第三級（二零二五年： and based on the properties highest and best use, which does not 第三級）非經常性公平值計量並基於物業 differ from their actual use. 得到完全充分使用（與其實際用途相同）。 The valuation takes into account of the condition and location of the 估值會計及物業之狀況及位置，其中可 properties, in which the adjustments of comparable 1, comparable 資比較1、可資比較2及可資比較3的調整 2 and compar</t>
        </is>
      </c>
    </row>
    <row r="7">
      <c r="A7" s="8" t="inlineStr">
        <is>
          <t>Fair Value Measurement</t>
        </is>
      </c>
      <c r="B7" s="8" t="inlineStr">
        <is>
          <t>公允價值計量</t>
        </is>
      </c>
      <c r="C7" s="19" t="inlineStr">
        <is>
          <t>high</t>
        </is>
      </c>
      <c r="D7" s="11" t="inlineStr">
        <is>
          <t>income approach</t>
        </is>
      </c>
      <c r="E7" s="11" t="inlineStr">
        <is>
          <t>PDF p.190 (印刷頁 189)</t>
        </is>
      </c>
      <c r="F7" s="11" t="inlineStr">
        <is>
          <t>value-in-use 該單位之可收回金額乃根據使用價值計算而 calculation. In assessing the valuation of the CGU, the management adopted the 釐定。於評估該現金產生單位估值時，管理 income approach. That calculation uses cash flow projections based on financial 層採用收入法。該計算法使用的現金流預測 budgets approved by management covering a five-year period, and a discount 乃基於經管理層批准的五年期財務預算，貼 rate of 12% (2025: 11%). This unit’s cash flows beyond the five-year period are 現率為12%（二零二五年：11%）。該單位五年 extrapolated using a pre-tax 2% (2025: 2%) growth rate, which represents the 期後的現金流使用2%（二零二五年：2%）稅 lo</t>
        </is>
      </c>
    </row>
    <row r="8">
      <c r="A8" s="8" t="inlineStr">
        <is>
          <t>Fair Value Measurement</t>
        </is>
      </c>
      <c r="B8" s="8" t="inlineStr">
        <is>
          <t>公允價值計量</t>
        </is>
      </c>
      <c r="C8" s="19" t="inlineStr">
        <is>
          <t>high</t>
        </is>
      </c>
      <c r="D8" s="11" t="inlineStr">
        <is>
          <t>fair value hierarchy</t>
        </is>
      </c>
      <c r="E8" s="11" t="inlineStr">
        <is>
          <t>PDF p.196 (印刷頁 195)</t>
        </is>
      </c>
      <c r="F8" s="11" t="inlineStr">
        <is>
          <t>eporting date. This 輸入值。此項估值要求使用不可觀察 valuation requires the use of unobservable inputs and is within 的輸入數據，並屬於公平值層級的第 Level 3 of the fair value hierarchy. 三級。 The major assets held by the Smart Ascent Group is the 進生集團所持之主要資產為有關研 intangible asset in relation to the In-process R&amp;D involving the 發中項目之無形資產，當中涉及產品 Product and it is expected that the commercialisation of the 且預期將於二零三零年第一季度（二 Product will be in the first quarter of 2030 (2025: third quarter of 零二五年：二零二八年第三季度）將 2028). 該產品商品化。 The entire carrying amount of the Group’s</t>
        </is>
      </c>
    </row>
    <row r="9">
      <c r="A9" s="8" t="inlineStr">
        <is>
          <t>Fair Value Measurement</t>
        </is>
      </c>
      <c r="B9" s="8" t="inlineStr">
        <is>
          <t>公允價值計量</t>
        </is>
      </c>
      <c r="C9" s="19" t="inlineStr">
        <is>
          <t>high</t>
        </is>
      </c>
      <c r="D9" s="11" t="inlineStr">
        <is>
          <t>income approach</t>
        </is>
      </c>
      <c r="E9" s="11" t="inlineStr">
        <is>
          <t>PDF p.197 (印刷頁 196)</t>
        </is>
      </c>
      <c r="F9" s="11" t="inlineStr">
        <is>
          <t>e recoverable amount of the In-process 中，研發中項目之可收回金額乃使用 R&amp;D is determined based on fair value calculation using the 收益法按公平值計算釐定。公平值計 income approach. The fair value calculation used the cash 算法使用經董事批准的十年預測期 flow projection approved by the Directors based on 10-year 之現金流量預測。鑒於該產品之性質 projection period. Given the nature of the Product, which is （預期將為市場上首款可供銷售之口 expected to be the first oral insulin drug available in the market, 服胰島素藥物），董事認為，使用十 in the opinion of the Directors, using a 10-year projection period 年預測期更適用於反映長遠而言來 is m</t>
        </is>
      </c>
    </row>
    <row r="10">
      <c r="A10" s="8" t="inlineStr">
        <is>
          <t>Fair Value Measurement</t>
        </is>
      </c>
      <c r="B10" s="8" t="inlineStr">
        <is>
          <t>公允價值計量</t>
        </is>
      </c>
      <c r="C10" s="19" t="inlineStr">
        <is>
          <t>high</t>
        </is>
      </c>
      <c r="D10" s="11" t="inlineStr">
        <is>
          <t>fair value hierarchy</t>
        </is>
      </c>
      <c r="E10" s="11" t="inlineStr">
        <is>
          <t>PDF p.210 (印刷頁 209)</t>
        </is>
      </c>
      <c r="F10" s="11" t="inlineStr">
        <is>
          <t>the reporting date. This valuation 模式建立適當的估值技術及輸 requires the use of unobservable inputs and is within Level 入數據。此項估值要求使用不 3 of the fair value hierarchy. 可觀察的輸入數據，並屬於公 平值層級的第三級。 The inputs into the model as at 31 March 2025 are as 該模式於二零二五年三月三十 follows: 一日所用輸入數據如下： 2025 二零二五年 Stock price (HK$) 股份價格（港元） 0.174 Conversion price (HK$) 換股價（港元） 2.50 Discount rate 貼現率 27.109% Risk free rate (note (i) below) 無風險利率（下文附註(i)） 3.044% Expected volatility (note (ii) below) 預期波幅（下文附註(ii)） 54.022% Expected dividend yield (note (iii) below) 預期</t>
        </is>
      </c>
    </row>
    <row r="11">
      <c r="A11" s="8" t="inlineStr">
        <is>
          <t>Fair Value Measurement</t>
        </is>
      </c>
      <c r="B11" s="8" t="inlineStr">
        <is>
          <t>公允價值計量</t>
        </is>
      </c>
      <c r="C11" s="19" t="inlineStr">
        <is>
          <t>high</t>
        </is>
      </c>
      <c r="D11" s="11" t="inlineStr">
        <is>
          <t>fair value hierarchy</t>
        </is>
      </c>
      <c r="E11" s="11" t="inlineStr">
        <is>
          <t>PDF p.216 (印刷頁 215)</t>
        </is>
      </c>
      <c r="F11" s="11" t="inlineStr">
        <is>
          <t>the reporting date. This valuation 模式建立適當的估值技術及輸 requires the use of unobservable inputs and is within Level 入數據。此項估值要求使用不 3 of the fair value hierarchy. 可觀察的輸入數據，並屬於公 平值層級的第三級。 For the year ended 31 March 2026, the management of 截至二零二六年三月三十一日 the Company considers that the information used in the 止年度，儘管如上所述星太鏈 above valuation and assessment of the fair value of the 的財務流動性及狀況欠佳，本 Starcoin Bonds represented the best available estimates 公司管理層認為，用於上述星 from the information available despite of the poor financial 太鏈債券公平值估值及評估的 liqu</t>
        </is>
      </c>
    </row>
    <row r="12">
      <c r="A12" s="8" t="inlineStr">
        <is>
          <t>Fair Value Measurement</t>
        </is>
      </c>
      <c r="B12" s="8" t="inlineStr">
        <is>
          <t>公允價值計量</t>
        </is>
      </c>
      <c r="C12" s="19" t="inlineStr">
        <is>
          <t>high</t>
        </is>
      </c>
      <c r="D12" s="11" t="inlineStr">
        <is>
          <t>valuation technique</t>
        </is>
      </c>
      <c r="E12" s="11" t="inlineStr">
        <is>
          <t>PDF p.217 (印刷頁 216)</t>
        </is>
      </c>
      <c r="F12" s="11" t="inlineStr">
        <is>
          <t>臨之最高信貸風險 為該等投資之賬面值。 The fair value of this investment that is not traded in an active 該投資並非在活躍市場買賣，而其公 market is determined by using valuation techniques that 平值乃使用估值方法釐定。於存在可 maximise the use of observable market data where it is available 觀察市場數據時，該等估值方法盡量 and rely as little as possible on entity specific estimates. 運用有關數據，並盡可能減少依賴實 體之特定估計。 Details of the Group’s fair value measurement of the Group’s 本集團按公平值計入損益之金融資 financial assets at FVTPL are set out in note 38(b). 產之本集團公平值計量詳情載於附 註38(b)。 25. PLEDGED BANK DEPOSITS 25. 已抵押銀行</t>
        </is>
      </c>
    </row>
    <row r="13">
      <c r="A13" s="8" t="inlineStr">
        <is>
          <t>Fair Value Measurement</t>
        </is>
      </c>
      <c r="B13" s="8" t="inlineStr">
        <is>
          <t>公允價值計量</t>
        </is>
      </c>
      <c r="C13" s="19" t="inlineStr">
        <is>
          <t>high</t>
        </is>
      </c>
      <c r="D13" s="11" t="inlineStr">
        <is>
          <t>fair value hierarchy</t>
        </is>
      </c>
      <c r="E13" s="11" t="inlineStr">
        <is>
          <t>PDF p.232 (印刷頁 231)</t>
        </is>
      </c>
      <c r="F13" s="11" t="inlineStr">
        <is>
          <t>ancial instruments measured at fair value (b) 按公平值計量之金融工具 Financial asset at FVTPL — short-term investment 按公平值計入損益之金融資 產 — 短期投資 The fair value hierarchy is Level 2. 公平值層級為第二級。 The fair value of the short-term investment is determined 短期投資之公平值乃按1.08%至 based on estimated return of 1.08% to 1.24% (2025: 1.38% to 1.24%（二零二五年：1.38%至1.62%） 1.62%) and the credit quality of these investments which can be 之估計回報率釐定，而該等投資之信 assessed by reference to historical information or external credit 貸質素可經參考過往資料或銀行提 ratings, if any, provided by the</t>
        </is>
      </c>
    </row>
    <row r="14">
      <c r="A14" s="8" t="inlineStr">
        <is>
          <t>Fair Value Measurement</t>
        </is>
      </c>
      <c r="B14" s="8" t="inlineStr">
        <is>
          <t>公允價值計量</t>
        </is>
      </c>
      <c r="C14" s="19" t="inlineStr">
        <is>
          <t>high</t>
        </is>
      </c>
      <c r="D14" s="11" t="inlineStr">
        <is>
          <t>level 1</t>
        </is>
      </c>
      <c r="E14" s="11" t="inlineStr">
        <is>
          <t>PDF p.233 (印刷頁 232)</t>
        </is>
      </c>
      <c r="F14" s="11" t="inlineStr">
        <is>
          <t>n proceedings, thus providing a market-based measure 計，從而提供對違約債務最終價值的 of the ultimate value of the defaulted obligations. 基於市場的衡量標準。 Level 1 Level 2 Level 3 Total 第一級 第二級 第三級 總計 HK$’000 HK$’000 HK$’000 HK$’000 千港元 千港元 千港元 千港元 As at 31 March 2026 於二零二六年 三月三十一日 Financial assets at FVTPL 按公平值計入損益 之金融資產 — 1,651 101,826 103,477 As at 31 March 2025 於二零二五年 三月三十一日 Financial assets at FVTPL 按公平值計入損益 之金融資產 — 1,649 915,436 917,085 232 EXTRAWELL PHARMACEUTICAL HOLDINGS LIMITED 精優藥業控股有限公司</t>
        </is>
      </c>
    </row>
    <row r="15">
      <c r="A15" s="8" t="inlineStr">
        <is>
          <t>Impairment Testing</t>
        </is>
      </c>
      <c r="B15" s="8" t="inlineStr">
        <is>
          <t>減值測試</t>
        </is>
      </c>
      <c r="C15" s="19" t="inlineStr">
        <is>
          <t>high</t>
        </is>
      </c>
      <c r="D15" s="11" t="inlineStr">
        <is>
          <t>recoverable amount</t>
        </is>
      </c>
      <c r="E15" s="11" t="inlineStr">
        <is>
          <t>PDF p.14 (印刷頁 13)</t>
        </is>
      </c>
      <c r="F15" s="11" t="inlineStr">
        <is>
          <t>n. The asset- 值師」）進行估值。在進行估值時一直採用 based valuation approach has been consistently adopted in the 資產基礎估值法，而研發中項目的可收回 valuation and the recoverable amount of the In-process R&amp;D 金額乃使用現金流量預測根據公平值計算 was determined based on fair value calculation using cash flow 釐定，其中根據預算銷售額及毛利率計算 projections, which the estimated cash inflows derived from budgeted 之估計現金流入乃基於對市場發展之預 sales and gross margin were based on the expectation for the 期，當中包括該產品商品化之估計成功率 market development, and which included estimate successful rate 及於二零三零年第一季度前後取得有關政 for comme</t>
        </is>
      </c>
    </row>
    <row r="16">
      <c r="A16" s="8" t="inlineStr">
        <is>
          <t>Impairment Testing</t>
        </is>
      </c>
      <c r="B16" s="8" t="inlineStr">
        <is>
          <t>減值測試</t>
        </is>
      </c>
      <c r="C16" s="19" t="inlineStr">
        <is>
          <t>high</t>
        </is>
      </c>
      <c r="D16" s="11" t="inlineStr">
        <is>
          <t>impairment loss</t>
        </is>
      </c>
      <c r="E16" s="11" t="inlineStr">
        <is>
          <t>PDF p.15 (印刷頁 14)</t>
        </is>
      </c>
      <c r="F16" s="11" t="inlineStr">
        <is>
          <t>er, 回金額低於賬面值，因此已對聯營公司之 indicating its recoverable amount lower than the carrying amount, as 權益於二零二六年三月三十一日之賬面值 such, a provision for impairment loss on the carrying amount of the 作出減值虧損撥備。 interest in the associate at 31 March 2026 has been made. The Group will continue to closely coordinate with Starcoin in 本集團將繼續與星太鏈緊密協作，監察研 monitoring the progress of the In-process R&amp;D with a view to facilitating 發中項目之進展情況，以促使該產品成功 successful launching of the Product to the market. In addition, the 推出市場。此外，本集團於必要時將繼續根 Group will continue to</t>
        </is>
      </c>
    </row>
    <row r="17">
      <c r="A17" s="8" t="inlineStr">
        <is>
          <t>Impairment Testing</t>
        </is>
      </c>
      <c r="B17" s="8" t="inlineStr">
        <is>
          <t>減值測試</t>
        </is>
      </c>
      <c r="C17" s="19" t="inlineStr">
        <is>
          <t>high</t>
        </is>
      </c>
      <c r="D17" s="11" t="inlineStr">
        <is>
          <t>impairment loss</t>
        </is>
      </c>
      <c r="E17" s="11" t="inlineStr">
        <is>
          <t>PDF p.26 (印刷頁 25)</t>
        </is>
      </c>
      <c r="F17" s="11" t="inlineStr">
        <is>
          <t>f the Starcoin Bonds 月三十一日，星太鏈債券的公平值約 amounted to approximately HK$101.8 million. 為101,800,000港元。 (ii) the recognition of a non-cash impairment loss on the Group’s (ii) 確認本集團於聯營公司進生之權益的 interest in an associate, Smart Ascent, of approximately 非現金減值虧損約95,200,000港元。 HK$95.2 million. The share of loss from an associate amounted 應佔聯營公司的虧損約為3,400,000港 to approximately HK$3.4 million. As at 31 March 2026, 元。於二零二六年三月三十一日，本 the carrying amount of the Group’s interest in an associate 集團於聯營公司之權益的賬面值約為 amounted to approximately HK$213.3 m</t>
        </is>
      </c>
    </row>
    <row r="18">
      <c r="A18" s="8" t="inlineStr">
        <is>
          <t>Impairment Testing</t>
        </is>
      </c>
      <c r="B18" s="8" t="inlineStr">
        <is>
          <t>減值測試</t>
        </is>
      </c>
      <c r="C18" s="19" t="inlineStr">
        <is>
          <t>high</t>
        </is>
      </c>
      <c r="D18" s="11" t="inlineStr">
        <is>
          <t>impairment loss</t>
        </is>
      </c>
      <c r="E18" s="11" t="inlineStr">
        <is>
          <t>PDF p.27 (印刷頁 26)</t>
        </is>
      </c>
      <c r="F18" s="11" t="inlineStr">
        <is>
          <t>cash flows for the year 止年度的綜合財務表現及現金流量產生相 then ended. The Management considers that the fair value loss 應影響。管理層認為，公平值虧損及減值虧 and the impairment losses have been recorded in the consolidated 損已記錄於綜合財務報表中，並已反映於 financial statements and reflected in the loss for the year ended 31 截至二零二六年三月三十一日止年度的虧 March 2026, and that the maximum exposure in relation to the audit 損內，而與審計修改相關的最大風險將為 modifications would be the carrying amounts of the respective items. 各項目的賬面值。屬非現金性質的公平值 There is no impact on the cash flows for the year for the fair</t>
        </is>
      </c>
    </row>
    <row r="19">
      <c r="A19" s="8" t="inlineStr">
        <is>
          <t>Impairment Testing</t>
        </is>
      </c>
      <c r="B19" s="8" t="inlineStr">
        <is>
          <t>減值測試</t>
        </is>
      </c>
      <c r="C19" s="19" t="inlineStr">
        <is>
          <t>high</t>
        </is>
      </c>
      <c r="D19" s="11" t="inlineStr">
        <is>
          <t>impairment loss</t>
        </is>
      </c>
      <c r="E19" s="11" t="inlineStr">
        <is>
          <t>PDF p.113 (印刷頁 112)</t>
        </is>
      </c>
      <c r="F19" s="11" t="inlineStr">
        <is>
          <t>rable amount of the Group’s interest in the Smart Ascent Group was 益的可收回金額低於其賬面值，因此，已確認約 lower than its carrying amount and thus, an impairment loss of approximately 95,237,000港元的減值虧損，有關虧損已於截至 HK$95,237,000 was recognised which was charged to the profit or loss for 二零二六年三月三十一日止年度的損益中扣除， the year ended 31 March 2026 and the Group’s interest in the Smart Ascent 而於報告期末， 貴集團於進生集團的權益約為 Group amounted to approximately HK$213,261,000 as at end of the reporting 213,261,000港元。 period. The determination of the recoverable amount of the S</t>
        </is>
      </c>
    </row>
    <row r="20">
      <c r="A20" s="8" t="inlineStr">
        <is>
          <t>Impairment Testing</t>
        </is>
      </c>
      <c r="B20" s="8" t="inlineStr">
        <is>
          <t>減值測試</t>
        </is>
      </c>
      <c r="C20" s="19" t="inlineStr">
        <is>
          <t>high</t>
        </is>
      </c>
      <c r="D20" s="11" t="inlineStr">
        <is>
          <t>impairment loss</t>
        </is>
      </c>
      <c r="E20" s="11" t="inlineStr">
        <is>
          <t>PDF p.114 (印刷頁 113)</t>
        </is>
      </c>
      <c r="F20" s="11" t="inlineStr">
        <is>
          <t>層就應收進生集團款項及貸款 to amount due from the Smart Ascent Group and loan to the Smart Ascent 予進生集團進行減值評估。分別就截至二零二 Group. The validity of the impairment losses recognised on the amount due 六年三月三十一日止年度應收進生款項及貸款 from Smart Ascent and loan to Smart Ascent for the year ended 31 March 予進生確認的減值虧損（約為22,868,000港元及 2026 amounted to approximately HK$22,868,000 and HK$20,552,000, 20,552,000港元）的有效性取決於若干因素的結 respectively depends on the outcome of certain factors, such as whether 果，如星太鏈及進生是否擁有財務資源，以清償 Starcoin and Smart Ascent will have the financial</t>
        </is>
      </c>
    </row>
    <row r="21">
      <c r="A21" s="8" t="inlineStr">
        <is>
          <t>Impairment Testing</t>
        </is>
      </c>
      <c r="B21" s="8" t="inlineStr">
        <is>
          <t>減值測試</t>
        </is>
      </c>
      <c r="C21" s="19" t="inlineStr">
        <is>
          <t>high</t>
        </is>
      </c>
      <c r="D21" s="11" t="inlineStr">
        <is>
          <t>impairment loss</t>
        </is>
      </c>
      <c r="E21" s="11" t="inlineStr">
        <is>
          <t>PDF p.116 (印刷頁 115)</t>
        </is>
      </c>
      <c r="F21" s="11" t="inlineStr">
        <is>
          <t>oup’s 誠如綜合財務報表附註16及17所披露，於二零二六年三月三 property, plant and equipment and right-of-use assets 十一日， 貴集團之物業、廠房及設備以及使用權資產之賬 have suffered an impairment loss; 面值分別為約112,668,000港元及11,023,000港元，主要歸因 • 評估是否有任何跡象顯示 貴集團的物業、廠房及 於 貴集團開發、製造及銷售藥品業務。 設備及使用權資產已出現減值虧損； When indicator of possible impairment has been identified, • To assess the impairment assessment performed by the management of the Company has performed impairment the management and the reasonableness of value-inassessment on the Group’s property, plant and equipment and use calc</t>
        </is>
      </c>
    </row>
    <row r="22">
      <c r="A22" s="8" t="inlineStr">
        <is>
          <t>Impairment Testing</t>
        </is>
      </c>
      <c r="B22" s="8" t="inlineStr">
        <is>
          <t>減值測試</t>
        </is>
      </c>
      <c r="C22" s="19" t="inlineStr">
        <is>
          <t>high</t>
        </is>
      </c>
      <c r="D22" s="11" t="inlineStr">
        <is>
          <t>recoverable amount</t>
        </is>
      </c>
      <c r="E22" s="11" t="inlineStr">
        <is>
          <t>PDF p.117 (印刷頁 116)</t>
        </is>
      </c>
      <c r="F22" s="11" t="inlineStr">
        <is>
          <t>Y AUDIT MATTERS 關鍵審核事項（續） (Continued) Key Audit Matter How the matter was addressed in our audit 關鍵審核事項 吾等的審核如何處理該事項 The estimate of recoverable amounts of these assets involved management judgement in determining the future cash flows and key parameters for the value-in-use calculation. 估計該等資產的可收回金額需要管理層運用判斷來釐定未來 現金流量及計算使用價值的關鍵參數。 We have identified the impairment assessment of property, plant and equipment and right-of-use assets as a key audit matter due to their significance to the consolidated financial statements as a who</t>
        </is>
      </c>
    </row>
    <row r="23">
      <c r="A23" s="8" t="inlineStr">
        <is>
          <t>Impairment Testing</t>
        </is>
      </c>
      <c r="B23" s="8" t="inlineStr">
        <is>
          <t>減值測試</t>
        </is>
      </c>
      <c r="C23" s="19" t="inlineStr">
        <is>
          <t>high</t>
        </is>
      </c>
      <c r="D23" s="11" t="inlineStr">
        <is>
          <t>impairment loss</t>
        </is>
      </c>
      <c r="E23" s="11" t="inlineStr">
        <is>
          <t>PDF p.127 (印刷頁 126)</t>
        </is>
      </c>
      <c r="F23" s="11" t="inlineStr">
        <is>
          <t>n expenses 購股權費用 1,219 — Gain on disposal of items of property, plant and 出售物業、廠房及設備項目之收益 equipment, net 淨額 (107) (10) (Reversal of) impairment loss recognised on 就存貨確認之減值虧損（撥回） inventories (298) 252 Reversal of impairment loss recognised on trade 就貿易應收賬款及應收票據確認之減 and bills receivables, net 值虧損撥回淨額 (195) (847) (Reversal of) impairment loss recognised on 就其他應收款項確認之減值虧損 other receivables （撥回） (87) 61 Impairment loss recognised on loan to 就貸款予一間聯營公司確認之減值虧 an associate 損 20,552 1,256 Impairment loss recognised on amount due from 就應</t>
        </is>
      </c>
    </row>
    <row r="24">
      <c r="A24" s="8" t="inlineStr">
        <is>
          <t>Impairment Testing</t>
        </is>
      </c>
      <c r="B24" s="8" t="inlineStr">
        <is>
          <t>減值測試</t>
        </is>
      </c>
      <c r="C24" s="19" t="inlineStr">
        <is>
          <t>high</t>
        </is>
      </c>
      <c r="D24" s="11" t="inlineStr">
        <is>
          <t>value in use</t>
        </is>
      </c>
      <c r="E24" s="11" t="inlineStr">
        <is>
          <t>PDF p.132 (印刷頁 131)</t>
        </is>
      </c>
      <c r="F24" s="11" t="inlineStr">
        <is>
          <t>s to fair value but 並非公平值之計量（例如，香港會計準則第 are not fair value, such as net realisable value in HKAS 2 Inventories or 2號存貨中之可變現淨值或香港會計準則 value in use in HKAS 36 Impairment of Assets. 第36號資產減值中之使用價值）除外。 A fair value measurement of a non-financial asset takes into account 非金融資產的公平值計量計及市場參與者 a market participant’s ability to generate economic benefits by using 能否以最高及最佳用途使用該資產，或將 the asset in its highest and best use or by selling it to another market 該資產出售予另一能夠以最高及最佳用途 participant that would use the asset in its highest and best use.</t>
        </is>
      </c>
    </row>
    <row r="25">
      <c r="A25" s="8" t="inlineStr">
        <is>
          <t>Impairment Testing</t>
        </is>
      </c>
      <c r="B25" s="8" t="inlineStr">
        <is>
          <t>減值測試</t>
        </is>
      </c>
      <c r="C25" s="19" t="inlineStr">
        <is>
          <t>high</t>
        </is>
      </c>
      <c r="D25" s="11" t="inlineStr">
        <is>
          <t>impairment test</t>
        </is>
      </c>
      <c r="E25" s="11" t="inlineStr">
        <is>
          <t>PDF p.135 (印刷頁 134)</t>
        </is>
      </c>
      <c r="F25" s="11" t="inlineStr">
        <is>
          <t>d at the date of acquisition of the business less accumulated 日期所確立之成本減累計減值虧損（如有） impairment losses, if any. 列賬。 For the purposes of impairment testing, goodwill is allocated to each 就減值測試而言，商譽乃分配至預期從合 of the Group’s cash-generating units (the “CGU”) (or group of CGUs) 併之協同效應中獲利之本集團各現金產生 that is expected to benefit from the synergies of the combination, which 單位（「現金產生單位」） （或現金產生單位組 represent the lowest level at which the goodwill is monitored for internal 別），即為內部管理目的而對商譽進行監控 management purposes and is not larger than an operati</t>
        </is>
      </c>
    </row>
    <row r="26">
      <c r="A26" s="8" t="inlineStr">
        <is>
          <t>Impairment Testing</t>
        </is>
      </c>
      <c r="B26" s="8" t="inlineStr">
        <is>
          <t>減值測試</t>
        </is>
      </c>
      <c r="C26" s="19" t="inlineStr">
        <is>
          <t>high</t>
        </is>
      </c>
      <c r="D26" s="11" t="inlineStr">
        <is>
          <t>impairment loss</t>
        </is>
      </c>
      <c r="E26" s="11" t="inlineStr">
        <is>
          <t>PDF p.137 (印刷頁 136)</t>
        </is>
      </c>
      <c r="F26" s="11" t="inlineStr">
        <is>
          <t>t (higher 一資產進行減值測試，方法為比較其可收 of value in use and fair value less costs of disposal) with its carrying 回金額（以使用價值與公平值減出售成本 amount. Any impairment loss recognised is not allocated to any 之較高者計算）與其賬面金額。任何已確認 asset, including goodwill, that forms part of the carrying amount of the 減值虧損並非分配至屬於該投資賬面金額 investment. 之一部分之任何資產（包括商譽）。 Any reversal of that impairment loss is recognised in accordance with 根據香港會計準則第36號資產減值確認之 HKAS 36 Impairment of Assets to the extent that the recoverable 減值虧損之任何撥回以該投資其後所增加 amount of the investment subsequent</t>
        </is>
      </c>
    </row>
    <row r="27">
      <c r="A27" s="8" t="inlineStr">
        <is>
          <t>Impairment Testing</t>
        </is>
      </c>
      <c r="B27" s="8" t="inlineStr">
        <is>
          <t>減值測試</t>
        </is>
      </c>
      <c r="C27" s="19" t="inlineStr">
        <is>
          <t>high</t>
        </is>
      </c>
      <c r="D27" s="11" t="inlineStr">
        <is>
          <t>impairment loss</t>
        </is>
      </c>
      <c r="E27" s="11" t="inlineStr">
        <is>
          <t>PDF p.139 (印刷頁 138)</t>
        </is>
      </c>
      <c r="F27" s="11" t="inlineStr">
        <is>
          <t>ditions of the lease. 而將予產生之估計成本。 Right-of-use assets are measured at cost, less any accumulated 使用權資產按成本減任何累計折舊及減值 depreciation and impairment losses, and adjusted for any 虧損進行計量，並就租賃負債的任何重新 remeasurement of lease liabilities. 計量進行調整。 138 EXTRAWELL PHARMACEUTICAL HOLDINGS LIMITED 精優藥業控股有限公司</t>
        </is>
      </c>
    </row>
    <row r="28">
      <c r="A28" s="8" t="inlineStr">
        <is>
          <t>Impairment Testing</t>
        </is>
      </c>
      <c r="B28" s="8" t="inlineStr">
        <is>
          <t>減值測試</t>
        </is>
      </c>
      <c r="C28" s="19" t="inlineStr">
        <is>
          <t>high</t>
        </is>
      </c>
      <c r="D28" s="11" t="inlineStr">
        <is>
          <t>impairment loss</t>
        </is>
      </c>
      <c r="E28" s="11" t="inlineStr">
        <is>
          <t>PDF p.147 (印刷頁 146)</t>
        </is>
      </c>
      <c r="F28" s="11" t="inlineStr">
        <is>
          <t>房及設備按成本減其後累計折舊 of financial position at cost less subsequent accumulated depreciation 及其後累計減值虧損（如有）於綜合財務狀 and subsequent accumulated impairment losses, if any. 況表內列賬。 When the Group makes payments for ownership interests of properties 當本集團就包括租賃土地及樓宇部分之物 which includes both leasehold land and building elements, the entire 業所有權權益作出付款時，全部代價於初 consideration is allocated between the leasehold land and the building 步確認時在租賃土地及樓宇部分之間按相 elements in proportion to the relative fair values at initial recognition. To 對公平值比例分配。倘相關付款能可靠地 the</t>
        </is>
      </c>
    </row>
    <row r="29">
      <c r="A29" s="8" t="inlineStr">
        <is>
          <t>Impairment Testing</t>
        </is>
      </c>
      <c r="B29" s="8" t="inlineStr">
        <is>
          <t>減值測試</t>
        </is>
      </c>
      <c r="C29" s="19" t="inlineStr">
        <is>
          <t>high</t>
        </is>
      </c>
      <c r="D29" s="11" t="inlineStr">
        <is>
          <t>impairment loss</t>
        </is>
      </c>
      <c r="E29" s="11" t="inlineStr">
        <is>
          <t>PDF p.148 (印刷頁 147)</t>
        </is>
      </c>
      <c r="F29" s="11" t="inlineStr">
        <is>
          <t>步確認後，投資物業按成 investment properties are stated at cost less subsequent accumulated 本減其後累計折舊及任何累計減值虧損列 depreciation and any accumulated impairment losses. Depreciation is 賬。投資物業按估計可使用年期，經考慮 recognised so as to write off the cost of investment properties over their 其估計剩餘價值後，按直線法確認折舊， estimated useful lives and after taking into account of their estimated 以撇銷投資物業成本。 residual value, using the straight-line method. An investment property is derecognised upon disposal or when the 投資物業於出售後或於投資物業永久撤回 investment property is permanently wi</t>
        </is>
      </c>
    </row>
    <row r="30">
      <c r="A30" s="8" t="inlineStr">
        <is>
          <t>Impairment Testing</t>
        </is>
      </c>
      <c r="B30" s="8" t="inlineStr">
        <is>
          <t>減值測試</t>
        </is>
      </c>
      <c r="C30" s="19" t="inlineStr">
        <is>
          <t>high</t>
        </is>
      </c>
      <c r="D30" s="11" t="inlineStr">
        <is>
          <t>impairment loss</t>
        </is>
      </c>
      <c r="E30" s="11" t="inlineStr">
        <is>
          <t>PDF p.149 (印刷頁 148)</t>
        </is>
      </c>
      <c r="F30" s="11" t="inlineStr">
        <is>
          <t>ted to that group of CGUs, 分配至該組現金產生單位的公司資產或部 with the recoverable amount of the group of CGUs. In allocating the 分公司資產的賬面金額）與該組現金產生 impairment loss, the impairment loss is allocated first to reduce the 單位的可收回金額。在分配減值虧損時， carrying amount of any goodwill (if applicable) and then to the other 減值虧損首先獲分配以減低任何商譽（如 assets on a pro-rata basis based on the carrying amount of each asset 適用）的賬面金額，其後則基於該單位或現 in the unit or the group of CGUs. The carrying amount of an asset is 金產生單位組別內各資產的賬面金額按比 not reduced below the highest of its fair va</t>
        </is>
      </c>
    </row>
    <row r="31">
      <c r="A31" s="8" t="inlineStr">
        <is>
          <t>Impairment Testing</t>
        </is>
      </c>
      <c r="B31" s="8" t="inlineStr">
        <is>
          <t>減值測試</t>
        </is>
      </c>
      <c r="C31" s="19" t="inlineStr">
        <is>
          <t>high</t>
        </is>
      </c>
      <c r="D31" s="11" t="inlineStr">
        <is>
          <t>impairment loss</t>
        </is>
      </c>
      <c r="E31" s="11" t="inlineStr">
        <is>
          <t>PDF p.166 (印刷頁 165)</t>
        </is>
      </c>
      <c r="F31" s="11" t="inlineStr">
        <is>
          <t>二零二五年三月三十一日及二零二六年 details of the impairment of interest in the associate are disclosed in 三月三十一日，於聯營公司之權益之賬面 note 20. 值及減值詳情於附註20披露。 Impairment losses on trade receivables, loan to an 貿易應收賬款、貸款予一間聯營 associate and amount due from an associate 公司及應收一間聯營公司款項之 減值虧損 Impairment losses on trade receivables, loan to an associate and 貿易應收賬款、貸款予一間聯營公司及應 amount due from an associate are estimated based on the evaluation 收一間聯營公司款項之減值虧損乃基於管 of collectability and ageing analysis performed by the management. A 理層作出之可收回性評估及賬齡分析而 considerable a</t>
        </is>
      </c>
    </row>
    <row r="32">
      <c r="A32" s="8" t="inlineStr">
        <is>
          <t>Impairment Testing</t>
        </is>
      </c>
      <c r="B32" s="8" t="inlineStr">
        <is>
          <t>減值測試</t>
        </is>
      </c>
      <c r="C32" s="19" t="inlineStr">
        <is>
          <t>high</t>
        </is>
      </c>
      <c r="D32" s="11" t="inlineStr">
        <is>
          <t>recoverable amount</t>
        </is>
      </c>
      <c r="E32" s="11" t="inlineStr">
        <is>
          <t>PDF p.167 (印刷頁 166)</t>
        </is>
      </c>
      <c r="F32" s="11" t="inlineStr">
        <is>
          <t>affect the asset value; 響資產價值的事件或任何跡象；(2)資產賬 (2) whether the carrying value of an asset can be supported by the 面值能否以可收回金額（如為使用價值，則 recoverable amount, in the case of value in use, the net present value 按資產持續使用情況估計未來現金流量的 of future cash flows which are estimated based upon the continued 淨現值）支持；及(3)估計可收回金額所採用 use of the asset; and (3) the appropriate key assumptions to be applied 的適當主要假設，包括現金流量預測及適 in estimating the recoverable amounts including cash flow projections 當貼現率。倘無法估計個別資產的可收回 and an appropriate discount rate. When it</t>
        </is>
      </c>
    </row>
    <row r="33">
      <c r="A33" s="8" t="inlineStr">
        <is>
          <t>Impairment Testing</t>
        </is>
      </c>
      <c r="B33" s="8" t="inlineStr">
        <is>
          <t>減值測試</t>
        </is>
      </c>
      <c r="C33" s="19" t="inlineStr">
        <is>
          <t>high</t>
        </is>
      </c>
      <c r="D33" s="11" t="inlineStr">
        <is>
          <t>impairment loss</t>
        </is>
      </c>
      <c r="E33" s="11" t="inlineStr">
        <is>
          <t>PDF p.168 (印刷頁 167)</t>
        </is>
      </c>
      <c r="F33" s="11" t="inlineStr">
        <is>
          <t>分類（虧損）溢利指在並無分配利息 by each segment without allocation of interest income, other 收入、其他收益及虧損（不包括貿易 gains and losses (exclude reversal of impairment loss on trade 應收賬款及其他應收款項之減值虧 receivables and other receivables, net), corporate expenses, 損撥回淨額）、企業開支、可換股債 effective interest expense on Convertible Bonds and share of 券之實際利息開支及應佔一間聯營 results of an associate. This is the measure reported to the chief 公司業績之情況下，各分類（產生之 operating decision maker, being the Board, for the purposes of 虧損）賺取之溢利。此乃就資源分配 resource allocation and performance asse</t>
        </is>
      </c>
    </row>
    <row r="34">
      <c r="A34" s="8" t="inlineStr">
        <is>
          <t>Impairment Testing</t>
        </is>
      </c>
      <c r="B34" s="8" t="inlineStr">
        <is>
          <t>減值測試</t>
        </is>
      </c>
      <c r="C34" s="19" t="inlineStr">
        <is>
          <t>high</t>
        </is>
      </c>
      <c r="D34" s="11" t="inlineStr">
        <is>
          <t>impairment loss</t>
        </is>
      </c>
      <c r="E34" s="11" t="inlineStr">
        <is>
          <t>PDF p.171 (印刷頁 170)</t>
        </is>
      </c>
      <c r="F34" s="11" t="inlineStr">
        <is>
          <t>assets 資產折舊 6,605 1,543 8,148 — 8,148 Unallocated depreciation of investment properties 未分配投資物業折舊 133 8,281 Others: 其他： Reversal of impairment loss on trade receivables, 貿易應收賬款減值虧損撥回 net 淨額 (847) — (847) — (847) Impairment loss on other receivables 其他應收款項減值虧損 61 — 61 — 61 Impairment loss on inventories 存貨減值虧損 252 — 252 — 252 Unallocated gain on disposal of items of property, 未分配出售物業、廠房及 plant and equipment, net 設備項目之收益淨額 — — — — (10) Year ended 31 March 2026 截至二零二六年 三月三十一日止年度 Additions in property, plant and equipment 物業、廠房及設備</t>
        </is>
      </c>
    </row>
    <row r="35">
      <c r="A35" s="8" t="inlineStr">
        <is>
          <t>Impairment Testing</t>
        </is>
      </c>
      <c r="B35" s="8" t="inlineStr">
        <is>
          <t>減值測試</t>
        </is>
      </c>
      <c r="C35" s="19" t="inlineStr">
        <is>
          <t>high</t>
        </is>
      </c>
      <c r="D35" s="11" t="inlineStr">
        <is>
          <t>impairment loss</t>
        </is>
      </c>
      <c r="E35" s="11" t="inlineStr">
        <is>
          <t>PDF p.176 (印刷頁 175)</t>
        </is>
      </c>
      <c r="F35" s="11" t="inlineStr">
        <is>
          <t>府補助（下文附註(ii)） (note (ii) below) 117 117 Loan interest income from an associate 來自一間聯營公司之貸款利息收入 1,520 1,108 Sundry income 雜項收入 565 18 Impairment loss recognised on loan 貸款予一間聯營公司之已確認減值虧損 to an associate (20,552) (1,256) Impairment loss recognised on amount 應收一間聯營公司款項之已確認減值 due from an associate 虧損 (22,868) (1,797) Impairment loss recognised on interest 於一間聯營公司之權益之已確認減值 in an associate 虧損 (95,237) — Reversal of impairment loss recognised 貿易應收賬款之已確認減值虧損撥回 on trade receivables, net 淨額 195 847 Reversal of (impairment loss) recognise</t>
        </is>
      </c>
    </row>
    <row r="36">
      <c r="A36" s="8" t="inlineStr">
        <is>
          <t>Impairment Testing</t>
        </is>
      </c>
      <c r="B36" s="8" t="inlineStr">
        <is>
          <t>減值測試</t>
        </is>
      </c>
      <c r="C36" s="19" t="inlineStr">
        <is>
          <t>high</t>
        </is>
      </c>
      <c r="D36" s="11" t="inlineStr">
        <is>
          <t>impairment loss</t>
        </is>
      </c>
      <c r="E36" s="11" t="inlineStr">
        <is>
          <t>PDF p.178 (印刷頁 177)</t>
        </is>
      </c>
      <c r="F36" s="11" t="inlineStr">
        <is>
          <t>es 2,578 2,385 — Share-based payment — 以股份為基礎之付款 1,219 — 21,290 20,725 Cost of sales 銷售成本 28,732 33,558 Including: 包括： (Reversal of) impairment loss on inventories 存貨減值虧損（撥回） (298) 252 Cost of inventories recognised as expenses 確認為費用之存貨成本 10,163 11,042 Others: 其他： Auditor’s remuneration 核數師酬金 840 800 Depreciation of right-of-use assets 使用權資產折舊 1,710 1,723 Depreciation of investment properties 投資物業折舊 132 133 Depreciation of property, plant and equipment 物業、廠房及設備折舊 6,239 6,425 * No (loss) profit before income tax was related to t</t>
        </is>
      </c>
    </row>
    <row r="37">
      <c r="A37" s="8" t="inlineStr">
        <is>
          <t>Impairment Testing</t>
        </is>
      </c>
      <c r="B37" s="8" t="inlineStr">
        <is>
          <t>減值測試</t>
        </is>
      </c>
      <c r="C37" s="19" t="inlineStr">
        <is>
          <t>high</t>
        </is>
      </c>
      <c r="D37" s="11" t="inlineStr">
        <is>
          <t>impairment test</t>
        </is>
      </c>
      <c r="E37" s="11" t="inlineStr">
        <is>
          <t>PDF p.190 (印刷頁 189)</t>
        </is>
      </c>
      <c r="F37" s="11" t="inlineStr">
        <is>
          <t>購代價 the purchase considerations and the fair values of net identifiable assets of 與被收購方可識別資產淨值公平值的差額。 acquirees. For the purposes of impairment testing, goodwill with indefinite useful lives 就減值測試而言，具無限使用年期之商譽已 has been allocated to one individual CGU, comprising one subsidiary in the 分配至一個單一現金產生單位，當中包括製 Manufacturing segment. 造分類的一間附屬公司。 The recoverable amount of this unit has been determined based on value-in-use 該單位之可收回金額乃根據使用價值計算而 calculation. In assessing the valuation of the CGU, the management adopted the 釐定。於評估該現金產生單位估值</t>
        </is>
      </c>
    </row>
    <row r="38">
      <c r="A38" s="8" t="inlineStr">
        <is>
          <t>Impairment Testing</t>
        </is>
      </c>
      <c r="B38" s="8" t="inlineStr">
        <is>
          <t>減值測試</t>
        </is>
      </c>
      <c r="C38" s="19" t="inlineStr">
        <is>
          <t>high</t>
        </is>
      </c>
      <c r="D38" s="11" t="inlineStr">
        <is>
          <t>impairment loss</t>
        </is>
      </c>
      <c r="E38" s="11" t="inlineStr">
        <is>
          <t>PDF p.192 (印刷頁 191)</t>
        </is>
      </c>
      <c r="F38" s="11" t="inlineStr">
        <is>
          <t>之投資成本 Group 337,000 337,000 Share of post-acquisition losses and other 應佔收購後虧損及其他全面 comprehensive expense 開支 (28,502) (25,071) Less: Impairment loss recognised 減：已確認減值虧損 (95,237) — 213,261 311,929 Share of results of the Smart Ascent Group 年內應佔進生集團業績 for the year (3,431) (2,312) Amount due from the associate, Smart 應收聯營公司（進生）款項： Ascent: (b) Amount due from an associate 應收一間聯營公司款項 41,947 41,947 Less: Impairment loss recognised 減：已確認減值虧損 (32,153) (9,285) 9,794 32,662 Loan to the associate, Smart Ascent: 貸款予聯營公司（進生）： (c) Loan to a</t>
        </is>
      </c>
    </row>
    <row r="39">
      <c r="A39" s="8" t="inlineStr">
        <is>
          <t>Impairment Testing</t>
        </is>
      </c>
      <c r="B39" s="8" t="inlineStr">
        <is>
          <t>減值測試</t>
        </is>
      </c>
      <c r="C39" s="19" t="inlineStr">
        <is>
          <t>high</t>
        </is>
      </c>
      <c r="D39" s="11" t="inlineStr">
        <is>
          <t>recoverable amount</t>
        </is>
      </c>
      <c r="E39" s="11" t="inlineStr">
        <is>
          <t>PDF p.196 (印刷頁 195)</t>
        </is>
      </c>
      <c r="F39" s="11" t="inlineStr">
        <is>
          <t>d for impairment in accordance with HKAS 面值會根據香港會計準則第36號資 36 Impairment of Assets as a single asset by comparing its 產減值作為一項單一資產進行減值 recoverable amount (i.e. the higher of value in use and fair value 測試，方法是比較其可收回金額（即 less costs of disposals) with its carrying amount. 使用價值與公平值減出售成本的較 高者）與其賬面值。 ANNUAL REPORT 2026 二零二六年年報 195</t>
        </is>
      </c>
    </row>
    <row r="40">
      <c r="A40" s="8" t="inlineStr">
        <is>
          <t>Impairment Testing</t>
        </is>
      </c>
      <c r="B40" s="8" t="inlineStr">
        <is>
          <t>減值測試</t>
        </is>
      </c>
      <c r="C40" s="19" t="inlineStr">
        <is>
          <t>high</t>
        </is>
      </c>
      <c r="D40" s="11" t="inlineStr">
        <is>
          <t>recoverable amount</t>
        </is>
      </c>
      <c r="E40" s="11" t="inlineStr">
        <is>
          <t>PDF p.197 (印刷頁 196)</t>
        </is>
      </c>
      <c r="F40" s="11" t="inlineStr">
        <is>
          <t>之權益（續） (Continued) Impairment assessment (Continued) 減值評估（續） The asset-based approach was adopted in determining the 於釐定本集團於進生集團之權益之 recoverable amount of the Group’s interest in the Smart Ascent 可收回金額時採納資產法。在此過程 Group. In doing so, the recoverable amount of the In-process 中，研發中項目之可收回金額乃使用 R&amp;D is determined based on fair value calculation using the 收益法按公平值計算釐定。公平值計 income approach. The fair value calculation used the cash 算法使用經董事批准的十年預測期 flow projection approved by the Directors based on 10-year 之現金流量預測。鑒於該產品之性質 projection peri</t>
        </is>
      </c>
    </row>
    <row r="41">
      <c r="A41" s="8" t="inlineStr">
        <is>
          <t>Impairment Testing</t>
        </is>
      </c>
      <c r="B41" s="8" t="inlineStr">
        <is>
          <t>減值測試</t>
        </is>
      </c>
      <c r="C41" s="19" t="inlineStr">
        <is>
          <t>high</t>
        </is>
      </c>
      <c r="D41" s="11" t="inlineStr">
        <is>
          <t>impairment test</t>
        </is>
      </c>
      <c r="E41" s="11" t="inlineStr">
        <is>
          <t>PDF p.198 (印刷頁 197)</t>
        </is>
      </c>
      <c r="F41" s="11" t="inlineStr">
        <is>
          <t>g describes each key assumption on which 下文描述管理層基於現金流量預測 management has based its cash flow projections to undertake 進行本集團於進生集團之權益之減 impairment testing of the Group’s interest in the Smart Ascent 值測試的各項關鍵假設： Group: • Discount rates — The discount rate used is post-tax and • 貼現率 — 所用貼現率為除稅 reflects market assessments of the time value and the 後，反映市場對時間價值及行 specific risks relating to the industry. 業相關特定風險的評估。 • Growth rate — The rate was determined by the management • 增長率 — 增長率由管理層根 based on past performance and its expectation f</t>
        </is>
      </c>
    </row>
    <row r="42">
      <c r="A42" s="8" t="inlineStr">
        <is>
          <t>Impairment Testing</t>
        </is>
      </c>
      <c r="B42" s="8" t="inlineStr">
        <is>
          <t>減值測試</t>
        </is>
      </c>
      <c r="C42" s="19" t="inlineStr">
        <is>
          <t>high</t>
        </is>
      </c>
      <c r="D42" s="11" t="inlineStr">
        <is>
          <t>impairment loss</t>
        </is>
      </c>
      <c r="E42" s="11" t="inlineStr">
        <is>
          <t>PDF p.199 (印刷頁 198)</t>
        </is>
      </c>
      <c r="F42" s="11" t="inlineStr">
        <is>
          <t>三月三十 the recoverable amount of the Group’s interest in Smart Ascent 一日，本集團於進生之權益之可收回 is higher than its carrying amount and thus, no impairment loss 金額高於其賬面值，因此，於年內並 was recognised for the year. 無確認減值虧損。 For the year ended 31 March 2026 截至二零二六年三月三十一日止年度 For the year ended 31 March 2026, despite the fact as described 截至二零二六年三月三十一日止年 above, the management of the Company believes that: (i) Smart 度，儘管存在上文所述情況，本公司 Ascent has the availability of financial and other resources to 管理層認為：(i)進生具備財務及其他 complete the development and to use o</t>
        </is>
      </c>
    </row>
    <row r="43">
      <c r="A43" s="8" t="inlineStr">
        <is>
          <t>Impairment Testing</t>
        </is>
      </c>
      <c r="B43" s="8" t="inlineStr">
        <is>
          <t>減值測試</t>
        </is>
      </c>
      <c r="C43" s="19" t="inlineStr">
        <is>
          <t>high</t>
        </is>
      </c>
      <c r="D43" s="11" t="inlineStr">
        <is>
          <t>impairment loss</t>
        </is>
      </c>
      <c r="E43" s="11" t="inlineStr">
        <is>
          <t>PDF p.201 (印刷頁 200)</t>
        </is>
      </c>
      <c r="F43" s="11" t="inlineStr">
        <is>
          <t>r remeasurement to fair value 進生集團資產公平值於初始確認 of the assets of the Smart Ascent Group 時之重新計量調整 on initial recognition 279,317 279,317 Impairment loss recognised 已確認減值虧損 (95,237) — Carrying amount of the Group’s interest 本集團於進生集團之權益之賬 in the Smart Ascent Group 面值 213,261 311,929 200 EXTRAWELL PHARMACEUTICAL HOLDINGS LIMITED 精優藥業控股有限公司</t>
        </is>
      </c>
    </row>
    <row r="44">
      <c r="A44" s="8" t="inlineStr">
        <is>
          <t>Impairment Testing</t>
        </is>
      </c>
      <c r="B44" s="8" t="inlineStr">
        <is>
          <t>減值測試</t>
        </is>
      </c>
      <c r="C44" s="19" t="inlineStr">
        <is>
          <t>high</t>
        </is>
      </c>
      <c r="D44" s="11" t="inlineStr">
        <is>
          <t>impairment loss</t>
        </is>
      </c>
      <c r="E44" s="11" t="inlineStr">
        <is>
          <t>PDF p.204 (印刷頁 203)</t>
        </is>
      </c>
      <c r="F44" s="11" t="inlineStr">
        <is>
          <t>REST IN AN ASSOCIATE, AMOUNT 20. 於一間聯營公司之權益、應 DUE FROM AN ASSOCIATE AND LOAN TO 收一間聯營公司款項及貸款 AN ASSOCIATE 予一間聯營公司（續） (Continued) (d) Impairment loss on amount due from the (d) 應收進生集團款項及貸款 Smart Ascent Group and loan to the Smart 予進生集團之減值虧損 Ascent Group During the year ended 31 March 2026, despite the 截至二零二六年三月三十一日止年 circumstances regarding the current poor financial liquidity and 度，儘管如上文所述，目前星太鏈及 condition of Starcoin and Smart Ascent as mentioned above, 進生面臨財務流動性及狀況不佳的 the management of the Company believes that Starcoin and 情</t>
        </is>
      </c>
    </row>
    <row r="45">
      <c r="A45" s="8" t="inlineStr">
        <is>
          <t>Impairment Testing</t>
        </is>
      </c>
      <c r="B45" s="8" t="inlineStr">
        <is>
          <t>減值測試</t>
        </is>
      </c>
      <c r="C45" s="19" t="inlineStr">
        <is>
          <t>high</t>
        </is>
      </c>
      <c r="D45" s="11" t="inlineStr">
        <is>
          <t>impairment loss</t>
        </is>
      </c>
      <c r="E45" s="11" t="inlineStr">
        <is>
          <t>PDF p.205 (印刷頁 204)</t>
        </is>
      </c>
      <c r="F45" s="11" t="inlineStr">
        <is>
          <t>REST IN AN ASSOCIATE, AMOUNT 20. 於一間聯營公司之權益、應 DUE FROM AN ASSOCIATE AND LOAN TO 收一間聯營公司款項及貸款 AN ASSOCIATE 予一間聯營公司（續） (Continued) (d) Impairment loss on amount due from the (d) 應收進生集團款項及貸 Smart Ascent Group and loan to the Smart 款予進生集團之減值 Ascent Group 虧損（續） (Continued) The movements of the impairment losses on amount due from 截至二零二五年三月三十一日及二 the Smart Ascent Group and loan to the Smart Ascent Group 零二六年三月三十一日止年度，就應 during the years ended 31 March 2025 and 31 March 2026 are 收進生集團款項及貸款予進生集團 set out as below: 之減值虧損變動載列如下： Amount du</t>
        </is>
      </c>
    </row>
    <row r="46">
      <c r="A46" s="8" t="inlineStr">
        <is>
          <t>Impairment Testing</t>
        </is>
      </c>
      <c r="B46" s="8" t="inlineStr">
        <is>
          <t>減值測試</t>
        </is>
      </c>
      <c r="C46" s="19" t="inlineStr">
        <is>
          <t>high</t>
        </is>
      </c>
      <c r="D46" s="11" t="inlineStr">
        <is>
          <t>impairment loss</t>
        </is>
      </c>
      <c r="E46" s="11" t="inlineStr">
        <is>
          <t>PDF p.206 (印刷頁 205)</t>
        </is>
      </c>
      <c r="F46" s="11" t="inlineStr">
        <is>
          <t>RADE AND BILLS RECEIVABLES 22. 貿易應收賬款及應收票據 2026 2025 二零二六年 二零二五年 HK$’000 HK$’000 千港元 千港元 Trade receivables 貿易應收賬款 4,012 42,410 Less: Impairment loss recognised 減：已確認減值虧損 (606) (38,169) 3,406 4,241 Bills receivables 應收票據 3,687 3,561 7,093 7,802 The Group’s trading terms with its customers are mainly based on 本集團與其客戶之貿易條款主要為賒銷， credit, except for new customers, where payment in advance is 惟新客戶一般需要預先付款。一般情況 normally required. The customers are generally given a credit period for 下，客戶可獲得為期120日至180日之信貸 120 to 180 days, extending up</t>
        </is>
      </c>
    </row>
    <row r="47">
      <c r="A47" s="8" t="inlineStr">
        <is>
          <t>Impairment Testing</t>
        </is>
      </c>
      <c r="B47" s="8" t="inlineStr">
        <is>
          <t>減值測試</t>
        </is>
      </c>
      <c r="C47" s="19" t="inlineStr">
        <is>
          <t>high</t>
        </is>
      </c>
      <c r="D47" s="11" t="inlineStr">
        <is>
          <t>可收回金額</t>
        </is>
      </c>
      <c r="E47" s="11" t="inlineStr">
        <is>
          <t>PDF p.233 (印刷頁 232)</t>
        </is>
      </c>
      <c r="F47" s="11" t="inlineStr">
        <is>
          <t>s incorporate market estimates of recoverable 納入對來自資產出售、業務重組或正 amounts from asset disposals, business restructuring, or formal 式清算程序之可收回金額之市場估 liquidation proceedings, thus providing a market-based measure 計，從而提供對違約債務最終價值的 of the ultimate value of the defaulted obligations. 基於市場的衡量標準。 Level 1 Level 2 Level 3 Total 第一級 第二級 第三級 總計 HK$’000 HK$’000 HK$’000 HK$’000 千港元 千港元 千港元 千港元 As at 31 March 2026 於二零二六年 三月三十一日 Financial assets at FVTPL 按公平值計入損益 之金融資產 — 1,651 101,826 103,477 As at 31 March 2025 於二零二五年 三月三十一日 Financial assets at F</t>
        </is>
      </c>
    </row>
    <row r="48">
      <c r="A48" s="8" t="inlineStr">
        <is>
          <t>Impairment Testing</t>
        </is>
      </c>
      <c r="B48" s="8" t="inlineStr">
        <is>
          <t>減值測試</t>
        </is>
      </c>
      <c r="C48" s="19" t="inlineStr">
        <is>
          <t>high</t>
        </is>
      </c>
      <c r="D48" s="11" t="inlineStr">
        <is>
          <t>impairment loss</t>
        </is>
      </c>
      <c r="E48" s="11" t="inlineStr">
        <is>
          <t>PDF p.241 (印刷頁 240)</t>
        </is>
      </c>
      <c r="F48" s="11" t="inlineStr">
        <is>
          <t>應 receivables. 收款項確認的虧損撥備對賬。 Loan to an associate 貸款予一間聯營公司 Lifetime ECL* 全期預期 信貸損失* HK$’000 千港元 As at 1 April 2024 於二零二四年四月一日 6,616 Impairment losses recognised 已確認減值虧損 1,256 As at 31 March 2025 and 1 April 2025 於二零二五年三月三十一日及 二零二五年四月一日 7,872 Impairment losses recognised 已確認減值虧損 20,552 As at 31 March 2026 於二零二六年三月三十一日 28,424 * Being lifetime ECL (not credit-impaired) as at 31 March 2025 and being * 於二零二五年三月三十一日為全期預 lifetime ECL (credit-impaired) as at 31 March 2026. 期信貸損失（無信貸減值），而於二零 二六年三月三十一日則為全期預期信 貸損失（信貸減值）。 240 EXTRAWELL PH</t>
        </is>
      </c>
    </row>
    <row r="49">
      <c r="A49" s="8" t="inlineStr">
        <is>
          <t>Impairment Testing</t>
        </is>
      </c>
      <c r="B49" s="8" t="inlineStr">
        <is>
          <t>減值測試</t>
        </is>
      </c>
      <c r="C49" s="19" t="inlineStr">
        <is>
          <t>high</t>
        </is>
      </c>
      <c r="D49" s="11" t="inlineStr">
        <is>
          <t>impairment loss</t>
        </is>
      </c>
      <c r="E49" s="11" t="inlineStr">
        <is>
          <t>PDF p.242 (印刷頁 241)</t>
        </is>
      </c>
      <c r="F49" s="11" t="inlineStr">
        <is>
          <t>ired) Total 全期預期 全期預期 信貸損失 信貸損失 （無信貸減值） （信貸減值） 總計 HK$’000 HK$’000 HK$’000 千港元 千港元 千港元 As at 1 April 2024 於二零二四年 四月一日 39,422 — 39,422 Impairment losses reversed 已撥回減值虧損 (847) — (847) Exchange adjustments 匯兌調整 (406) — (406) As at 31 March 2025 and 1 April 於二零二五年 2025 三月三十一日及 二零二五年 四月一日 38,169 — 38,169 Impairment losses reversed 已撥回減值虧損 (195) — (195) Written-off 撇銷 (39,528) — (39,528) Exchange adjustments 匯兌調整 2,160 — 2,160 As at 31 March 2026 於二零二六年 三月三十一日 606 — 606 ANNUAL REPORT 2026 二零二六年年報 241</t>
        </is>
      </c>
    </row>
    <row r="50">
      <c r="A50" s="8" t="inlineStr">
        <is>
          <t>Impairment Testing</t>
        </is>
      </c>
      <c r="B50" s="8" t="inlineStr">
        <is>
          <t>減值測試</t>
        </is>
      </c>
      <c r="C50" s="19" t="inlineStr">
        <is>
          <t>high</t>
        </is>
      </c>
      <c r="D50" s="11" t="inlineStr">
        <is>
          <t>impairment loss</t>
        </is>
      </c>
      <c r="E50" s="11" t="inlineStr">
        <is>
          <t>PDF p.243 (印刷頁 242)</t>
        </is>
      </c>
      <c r="F50" s="11" t="inlineStr">
        <is>
          <t>港元） — 38,169 38,169 Amount due from an associate 應收一間聯營公司款項 Lifetime ECL* 全期預期 信貸損失* HK$’000 千港元 As at 1 April 2024 於二零二四年四月一日 7,488 Impairment losses recognised 已確認減值虧損 1,797 As at 31 March 2025 and 1 April 2025 於二零二五年三月三十一日及 二零二五年四月一日 9,285 Impairment losses recognised 已確認減值虧損 22,868 As at 31 March 2026 於二零二六年三月三十一日 32,153 * Being lifetime ECL (not credit-impaired) as at 31 March 2025 and being * 於二零二五年三月三十一日為全期預 lifetime ECL (credit-impaired) as at 31 March 2026. 期信貸損失（無信貸減值），而於二零 二六年三月三十一日則為全期預期信 貸損失（信貸減值）。 242 EXTRAWELL PH</t>
        </is>
      </c>
    </row>
    <row r="51">
      <c r="A51" s="8" t="inlineStr">
        <is>
          <t>Impairment Testing</t>
        </is>
      </c>
      <c r="B51" s="8" t="inlineStr">
        <is>
          <t>減值測試</t>
        </is>
      </c>
      <c r="C51" s="19" t="inlineStr">
        <is>
          <t>high</t>
        </is>
      </c>
      <c r="D51" s="11" t="inlineStr">
        <is>
          <t>impairment loss</t>
        </is>
      </c>
      <c r="E51" s="11" t="inlineStr">
        <is>
          <t>PDF p.244 (印刷頁 243)</t>
        </is>
      </c>
      <c r="F51" s="11" t="inlineStr">
        <is>
          <t>0) 虧損撥備（千港元） 9,285 — 9,285 Deposits and other receivables 按金及其他應收款項 12m ECL 12個月預期 信貸損失 HK$’000 千港元 As at 1 April 2024 於二零二四年四月一日 26 Impairment losses recognised 已確認減值虧損 61 As at 31 March 2025 and 1 April 2025 於二零二五年三月三十一日及 二零二五年四月一日 87 Impairment losses reversed 已撥回減值虧損 (87) As at 31 March 2026 於二零二六年三月三十一日 — ANNUAL REPORT 2026 二零二六年年報 243</t>
        </is>
      </c>
    </row>
    <row r="52">
      <c r="A52" s="8" t="inlineStr">
        <is>
          <t>Intangible Assets &amp; Goodwill</t>
        </is>
      </c>
      <c r="B52" s="8" t="inlineStr">
        <is>
          <t>無形資產及商譽</t>
        </is>
      </c>
      <c r="C52" s="19" t="inlineStr">
        <is>
          <t>high</t>
        </is>
      </c>
      <c r="D52" s="11" t="inlineStr">
        <is>
          <t>intangible asset</t>
        </is>
      </c>
      <c r="E52" s="11" t="inlineStr">
        <is>
          <t>PDF p.11 (印刷頁 10)</t>
        </is>
      </c>
      <c r="F52" s="11" t="inlineStr">
        <is>
          <t>t”, together with its subsidiaries, the “Smart Ascent Group”). 附屬公司統稱「進生集團」）49%股權。進生 The major asset of the Smart Ascent Group is an intangible asset in 集團之主要資產為有關進行中之研發項目 relation to an in-process research and development project (the “In- （「研發中項目」）之無形資產，當中涉及口 process R&amp;D”) involving an oral insulin product (the “Product”) which is 服胰島素產品（「該產品」），其處於臨床測試 in its clinical trial stage. As a minority shareholder of Smart Ascent, the 階段。作為進生之少數股東，本集團已與星 Group has been working closely with Starcoin Group Limited (“Starcoin”, 太鏈集團有限公司</t>
        </is>
      </c>
    </row>
    <row r="53">
      <c r="A53" s="8" t="inlineStr">
        <is>
          <t>Intangible Assets &amp; Goodwill</t>
        </is>
      </c>
      <c r="B53" s="8" t="inlineStr">
        <is>
          <t>無形資產及商譽</t>
        </is>
      </c>
      <c r="C53" s="19" t="inlineStr">
        <is>
          <t>high</t>
        </is>
      </c>
      <c r="D53" s="11" t="inlineStr">
        <is>
          <t>patent</t>
        </is>
      </c>
      <c r="E53" s="11" t="inlineStr">
        <is>
          <t>PDF p.88 (印刷頁 87)</t>
        </is>
      </c>
      <c r="F53" s="11" t="inlineStr">
        <is>
          <t>stration Law of the PRC, Advertising Law of the 護法》及《中國專利法》。 PRC, Law of the PRC on Protection of Consumer Rights and Interests, and Patent Law of the PRC. ANNUAL REPORT 2026 二零二六年年報 87</t>
        </is>
      </c>
    </row>
    <row r="54">
      <c r="A54" s="8" t="inlineStr">
        <is>
          <t>Intangible Assets &amp; Goodwill</t>
        </is>
      </c>
      <c r="B54" s="8" t="inlineStr">
        <is>
          <t>無形資產及商譽</t>
        </is>
      </c>
      <c r="C54" s="19" t="inlineStr">
        <is>
          <t>high</t>
        </is>
      </c>
      <c r="D54" s="11" t="inlineStr">
        <is>
          <t>patent</t>
        </is>
      </c>
      <c r="E54" s="11" t="inlineStr">
        <is>
          <t>PDF p.89 (印刷頁 88)</t>
        </is>
      </c>
      <c r="F54" s="11" t="inlineStr">
        <is>
          <t>he intellectual properties that have 知識產權保護機制，以保護為研 been acquired for research, development and production, 發及生產而獲取的知識產權，包 including patent rights, technology, trade secrets and 括研發過程中的專利權、技術、 materials in the research and development processes. 商業機密及材料。保密相關機制 The confidentiality-related mechanism requires employees 要求僱員保持高度保密性，謹慎 to maintain a high degree of confidentiality and to use and 使用及處理商業機密資料。 carefully handle trade secret data. Customer Privacy Protection — The Group implemented 保護客戶私隱 — 本集團實施客 measures on protection</t>
        </is>
      </c>
    </row>
    <row r="55">
      <c r="A55" s="8" t="inlineStr">
        <is>
          <t>Intangible Assets &amp; Goodwill</t>
        </is>
      </c>
      <c r="B55" s="8" t="inlineStr">
        <is>
          <t>無形資產及商譽</t>
        </is>
      </c>
      <c r="C55" s="19" t="inlineStr">
        <is>
          <t>high</t>
        </is>
      </c>
      <c r="D55" s="11" t="inlineStr">
        <is>
          <t>intangible asset</t>
        </is>
      </c>
      <c r="E55" s="11" t="inlineStr">
        <is>
          <t>PDF p.112 (印刷頁 111)</t>
        </is>
      </c>
      <c r="F55" s="11" t="inlineStr">
        <is>
          <t>up has an investment in an associate, Smart Ascent Group. The major 團已投資於一間聯營公司進生集團。進生集團持 asset held by the Smart Ascent Group is an intangible asset in relation to 有的主要資產為有關研發中項目（「研發中項目」） an in-process research and development project (the “In-process R&amp;D”) 的無形資產，當中涉及口服胰島素產品（「該產 involving an oral insulin product (the “Product”) and the Smart Ascent Group 品」），且進生集團正持續研發及商業化該產品。 is continuing the research and development and commercialising the Product. 透過全資附屬公司，星太鏈擁有進生集團51% Through a wholly-owned subsidiary, Starcoin owns 51% e</t>
        </is>
      </c>
    </row>
    <row r="56">
      <c r="A56" s="8" t="inlineStr">
        <is>
          <t>Intangible Assets &amp; Goodwill</t>
        </is>
      </c>
      <c r="B56" s="8" t="inlineStr">
        <is>
          <t>無形資產及商譽</t>
        </is>
      </c>
      <c r="C56" s="19" t="inlineStr">
        <is>
          <t>high</t>
        </is>
      </c>
      <c r="D56" s="11" t="inlineStr">
        <is>
          <t>intangible asset</t>
        </is>
      </c>
      <c r="E56" s="11" t="inlineStr">
        <is>
          <t>PDF p.123 (印刷頁 122)</t>
        </is>
      </c>
      <c r="F56" s="11" t="inlineStr">
        <is>
          <t>t properties 投資物業 15 2,152 2,284 Property, plant and equipment 物業、廠房及設備 16 112,668 111,731 Right-of-use assets 使用權資產 17 11,023 8,050 Intangible assets 無形資產 18 1,807 1,807 Financial assets at fair value through other 按公平值計入其他全面收益 comprehensive income (“FVTOCI”) （「按公平值計入其他全面 收益」）之金融資產 19 — — Interest in an associate 於一間聯營公司之權益 20 213,261 311,929 Loan to an associate 貸款予一間聯營公司 20 7,084 27,691 Deferred tax assets 遞延稅項資產 30 69 69 348,064 463,561 Current assets 流動資產 Inventories 存貨 21 4,891 4,738 Trade and bills receivables 貿易應收賬款及應收票</t>
        </is>
      </c>
    </row>
    <row r="57">
      <c r="A57" s="8" t="inlineStr">
        <is>
          <t>Intangible Assets &amp; Goodwill</t>
        </is>
      </c>
      <c r="B57" s="8" t="inlineStr">
        <is>
          <t>無形資產及商譽</t>
        </is>
      </c>
      <c r="C57" s="19" t="inlineStr">
        <is>
          <t>high</t>
        </is>
      </c>
      <c r="D57" s="11" t="inlineStr">
        <is>
          <t>goodwill</t>
        </is>
      </c>
      <c r="E57" s="11" t="inlineStr">
        <is>
          <t>PDF p.134 (印刷頁 133)</t>
        </is>
      </c>
      <c r="F57" s="11" t="inlineStr">
        <is>
          <t>ration received and the fair value of any retained interest and (ii) 公平值與任何保留權益公平值之總和，及 the carrying amount of the assets (including goodwill), and liabilities of (ii)本公司擁有人應佔該附屬公司之資產（包 the subsidiary attributable to the owners of the Company. All amounts 括商譽）及負債之賬面值。先前於其他全面 previously recognised in other comprehensive income in relation to 收益確認之有關該附屬公司之所有金額， that subsidiary are accounted for as if the Group had directly disposed 按本集團已直接出售該附屬公司相關資產 of the related assets or liabilities of the subsidiary (i.e. reclassified to 或負債</t>
        </is>
      </c>
    </row>
    <row r="58">
      <c r="A58" s="8" t="inlineStr">
        <is>
          <t>Intangible Assets &amp; Goodwill</t>
        </is>
      </c>
      <c r="B58" s="8" t="inlineStr">
        <is>
          <t>無形資產及商譽</t>
        </is>
      </c>
      <c r="C58" s="19" t="inlineStr">
        <is>
          <t>high</t>
        </is>
      </c>
      <c r="D58" s="11" t="inlineStr">
        <is>
          <t>goodwill</t>
        </is>
      </c>
      <c r="E58" s="11" t="inlineStr">
        <is>
          <t>PDF p.135 (印刷頁 134)</t>
        </is>
      </c>
      <c r="F58" s="11" t="inlineStr">
        <is>
          <t>策資料（續） AND MATERIAL ACCOUNTING POLICY INFORMATION (Continued) 3.2 Material accounting policy information 3.2 重大會計政策資料（續） (Continued) Goodwill 商譽 Goodwill arising on an acquisition of a business is carried at cost as 收購一項業務產生之商譽乃按於業務收購 established at the date of acquisition of the business less accumulated 日期所確立之成本減累計減值虧損（如有） impairment losses, if any. 列賬。 For the purposes of impairment testing, goodwill is allocated to each 就減值測試而言，商譽乃分配至預期從合 of the Group’s cash-generating units (the “CGU”) (or group of CGUs) 併之協同效應中獲利之本集團各現金產生</t>
        </is>
      </c>
    </row>
    <row r="59">
      <c r="A59" s="8" t="inlineStr">
        <is>
          <t>Intangible Assets &amp; Goodwill</t>
        </is>
      </c>
      <c r="B59" s="8" t="inlineStr">
        <is>
          <t>無形資產及商譽</t>
        </is>
      </c>
      <c r="C59" s="19" t="inlineStr">
        <is>
          <t>high</t>
        </is>
      </c>
      <c r="D59" s="11" t="inlineStr">
        <is>
          <t>goodwill</t>
        </is>
      </c>
      <c r="E59" s="11" t="inlineStr">
        <is>
          <t>PDF p.136 (印刷頁 135)</t>
        </is>
      </c>
      <c r="F59" s="11" t="inlineStr">
        <is>
          <t>the net fair value 團應佔被投資方可識別資產與負債公平值 of the identifiable assets and liabilities of the investee is recognised 淨額之差額會確認為商譽，並計入該投資 as goodwill, which is included within the carrying amount of the 之賬面值。本集團應佔可識別資產與負債 investment. Any excess of the Group’s share of the net fair value of the 之公平值淨額超出投資成本之任何差額， identifiable assets and liabilities over the cost of the investment, after 於重新評估後即時於收購投資期間之損益 reassessment, is recognised immediately in profit or loss in the period in 確認。 which the investment is acquired. ANNUAL REPORT 2026 二</t>
        </is>
      </c>
    </row>
    <row r="60">
      <c r="A60" s="8" t="inlineStr">
        <is>
          <t>Intangible Assets &amp; Goodwill</t>
        </is>
      </c>
      <c r="B60" s="8" t="inlineStr">
        <is>
          <t>無形資產及商譽</t>
        </is>
      </c>
      <c r="C60" s="19" t="inlineStr">
        <is>
          <t>high</t>
        </is>
      </c>
      <c r="D60" s="11" t="inlineStr">
        <is>
          <t>goodwill</t>
        </is>
      </c>
      <c r="E60" s="11" t="inlineStr">
        <is>
          <t>PDF p.137 (印刷頁 136)</t>
        </is>
      </c>
      <c r="F60" s="11" t="inlineStr">
        <is>
          <t>iate may be impaired. When any objective evidence 能減值之客觀證據。當存在任何客觀證據 exists, the entire carrying amount of the investment (including goodwill) 時，則根據香港會計準則第36號資產減值 is tested for impairment in accordance with HKAS 36 Impairment of 對投資（包括商譽）之全部賬面金額作為單 Assets as a single asset by comparing its recoverable amount (higher 一資產進行減值測試，方法為比較其可收 of value in use and fair value less costs of disposal) with its carrying 回金額（以使用價值與公平值減出售成本 amount. Any impairment loss recognised is not allocated to any 之較高者計算）與其賬面金額。任何已確認 asset, including good</t>
        </is>
      </c>
    </row>
    <row r="61">
      <c r="A61" s="8" t="inlineStr">
        <is>
          <t>Intangible Assets &amp; Goodwill</t>
        </is>
      </c>
      <c r="B61" s="8" t="inlineStr">
        <is>
          <t>無形資產及商譽</t>
        </is>
      </c>
      <c r="C61" s="19" t="inlineStr">
        <is>
          <t>high</t>
        </is>
      </c>
      <c r="D61" s="11" t="inlineStr">
        <is>
          <t>useful life</t>
        </is>
      </c>
      <c r="E61" s="11" t="inlineStr">
        <is>
          <t>PDF p.140 (印刷頁 139)</t>
        </is>
      </c>
      <c r="F61" s="11" t="inlineStr">
        <is>
          <t>he underlying leased assets at the end of the lease term 關租賃資產的所有權，則使用權資產自開 are depreciated from commencement date to the end of the useful life. 始日期起至可使用年期結束期間折舊。否 Otherwise, right-of-use assets are depreciated on a straight-line basis 則，使用權資產按其估計可使用年期及租 over the shorter of its estimated useful life and the lease term. 期的較短者以直線法折舊。 The Group presents right-of-use assets that do not meet the definition 本集團在綜合財務狀況表中將不符合投資 of investment property as a separate line item on the consolidated 物業定義的使用權資產作為單獨的項目列 statement of financial</t>
        </is>
      </c>
    </row>
    <row r="62">
      <c r="A62" s="8" t="inlineStr">
        <is>
          <t>Intangible Assets &amp; Goodwill</t>
        </is>
      </c>
      <c r="B62" s="8" t="inlineStr">
        <is>
          <t>無形資產及商譽</t>
        </is>
      </c>
      <c r="C62" s="19" t="inlineStr">
        <is>
          <t>high</t>
        </is>
      </c>
      <c r="D62" s="11" t="inlineStr">
        <is>
          <t>goodwill</t>
        </is>
      </c>
      <c r="E62" s="11" t="inlineStr">
        <is>
          <t>PDF p.146 (印刷頁 145)</t>
        </is>
      </c>
      <c r="F62" s="11" t="inlineStr">
        <is>
          <t>遞延稅 In addition, deferred tax liabilities are not recognised if the temporary 項負債。 difference arises from the initial recognition of goodwill. Deferred tax liabilities are recognised for taxable temporary differences 與於附屬公司的投資有關的應課稅暫時差 associated with investments in subsidiaries, except where the Group is 額會確認遞延稅項負債，惟倘本集團可控 able to control the reversal of the temporary difference and it is probable 制暫時差額撥回及暫時差額可能不會於可 that the temporary difference will not reverse in the foreseeable future. 見將來撥回則除外。與該等投資及權益相 Deferred tax assets</t>
        </is>
      </c>
    </row>
    <row r="63">
      <c r="A63" s="8" t="inlineStr">
        <is>
          <t>Intangible Assets &amp; Goodwill</t>
        </is>
      </c>
      <c r="B63" s="8" t="inlineStr">
        <is>
          <t>無形資產及商譽</t>
        </is>
      </c>
      <c r="C63" s="19" t="inlineStr">
        <is>
          <t>high</t>
        </is>
      </c>
      <c r="D63" s="11" t="inlineStr">
        <is>
          <t>intangible asset</t>
        </is>
      </c>
      <c r="E63" s="11" t="inlineStr">
        <is>
          <t>PDF p.147 (印刷頁 146)</t>
        </is>
      </c>
      <c r="F63" s="11" t="inlineStr">
        <is>
          <t>erence between the sales proceeds and the 所得款項與資產賬面值之差額釐定，並於 carrying amount of the asset and is recognised in profit or loss. 損益確認。 Intangible assets 無形資產 Intangible assets with finite useful lives that are acquired separately are 獨立收購具有限可使用年期之無形資產， carried at costs less accumulated amortisation and any accumulated 按成本減累計攤銷及任何累計減值虧損列 impairment losses. Amortisation for intangible assets with finite useful 賬。具有限可使用年期之無形資產按其估 lives is recognised on a straight-line basis over their estimated useful 計可使用年期以直線法確認攤銷。估計可 lives. The e</t>
        </is>
      </c>
    </row>
    <row r="64">
      <c r="A64" s="8" t="inlineStr">
        <is>
          <t>Intangible Assets &amp; Goodwill</t>
        </is>
      </c>
      <c r="B64" s="8" t="inlineStr">
        <is>
          <t>無形資產及商譽</t>
        </is>
      </c>
      <c r="C64" s="19" t="inlineStr">
        <is>
          <t>high</t>
        </is>
      </c>
      <c r="D64" s="11" t="inlineStr">
        <is>
          <t>intangible asset</t>
        </is>
      </c>
      <c r="E64" s="11" t="inlineStr">
        <is>
          <t>PDF p.148 (印刷頁 147)</t>
        </is>
      </c>
      <c r="F64" s="11" t="inlineStr">
        <is>
          <t>operty is derecognised. Impairment on property, plant and equipment, right-of- 物業、廠房及設備、使用權資產、 use assets, investment properties and intangible assets 投資物業及無形資產（商譽除外） other than goodwill 的減值 At the end of the reporting period, the Group reviews the carrying 本集團於報告期末審閱其物業、廠房及設 amounts of its property, plant and equipment, right- of-use assets, 備、使用權資產、投資物業及具有限可使 investment properties and intangible assets with finite useful lives 用年期之無形資產之賬面值，以釐定有否 to determine whether there is any indication that these assets 跡象顯示此等資產蒙受減值虧損。倘該等</t>
        </is>
      </c>
    </row>
    <row r="65">
      <c r="A65" s="8" t="inlineStr">
        <is>
          <t>Intangible Assets &amp; Goodwill</t>
        </is>
      </c>
      <c r="B65" s="8" t="inlineStr">
        <is>
          <t>無形資產及商譽</t>
        </is>
      </c>
      <c r="C65" s="19" t="inlineStr">
        <is>
          <t>high</t>
        </is>
      </c>
      <c r="D65" s="11" t="inlineStr">
        <is>
          <t>intangible asset</t>
        </is>
      </c>
      <c r="E65" s="11" t="inlineStr">
        <is>
          <t>PDF p.149 (印刷頁 148)</t>
        </is>
      </c>
      <c r="F65" s="11" t="inlineStr">
        <is>
          <t>重大會計政策資料（續） (Continued) Impairment on property, plant and equipment, right-of- 物業、廠房及設備、使用權資產、 use assets, investment properties and intangible assets 投資物業及無形資產（商譽除外） other than goodwill (Continued) 的減值（續） In testing a CGU for impairment, corporate assets are allocated to the 對現金產生單位進行減值測試時，當可確 relevant CGU when a reasonable and consistent basis of allocation can 立合理及一致的分配基準時，公司資產會 be established, or otherwise they are allocated to the smallest group 分配至相關現金產生單位，否則分配至有 of CGUs for which a reasonable and consistent allocation ba</t>
        </is>
      </c>
    </row>
    <row r="66">
      <c r="A66" s="8" t="inlineStr">
        <is>
          <t>Intangible Assets &amp; Goodwill</t>
        </is>
      </c>
      <c r="B66" s="8" t="inlineStr">
        <is>
          <t>無形資產及商譽</t>
        </is>
      </c>
      <c r="C66" s="19" t="inlineStr">
        <is>
          <t>high</t>
        </is>
      </c>
      <c r="D66" s="11" t="inlineStr">
        <is>
          <t>攤銷</t>
        </is>
      </c>
      <c r="E66" s="11" t="inlineStr">
        <is>
          <t>PDF p.152 (印刷頁 151)</t>
        </is>
      </c>
      <c r="F66" s="11" t="inlineStr">
        <is>
          <t>ssets are measured subsequently in their 所有已確認的金融資產其後視乎該等金 entirely at either amortised cost or fair value, depending on the 融資產的分類，以攤銷成本或公平值全數 classification of the financial assets. 計量。 Classification and subsequent measurement of financial assets 金融資產之分類及後續計量 Financial assets that meet the following conditions are subsequently 符合以下條件的金融資產於其後按攤銷成 measured at amortised cost: 本計量： • the financial asset is held within a business model whose • 該金融資產以收取合約現金流量為 objective is to collect contractual cash flows; and 目的之商業模式下持有；及 • the</t>
        </is>
      </c>
    </row>
    <row r="67">
      <c r="A67" s="8" t="inlineStr">
        <is>
          <t>Intangible Assets &amp; Goodwill</t>
        </is>
      </c>
      <c r="B67" s="8" t="inlineStr">
        <is>
          <t>無形資產及商譽</t>
        </is>
      </c>
      <c r="C67" s="19" t="inlineStr">
        <is>
          <t>high</t>
        </is>
      </c>
      <c r="D67" s="11" t="inlineStr">
        <is>
          <t>攤銷</t>
        </is>
      </c>
      <c r="E67" s="11" t="inlineStr">
        <is>
          <t>PDF p.153 (印刷頁 152)</t>
        </is>
      </c>
      <c r="F67" s="11" t="inlineStr">
        <is>
          <t>loss. (iii) Financial assets at FVTPL (iii) 按公平值計入損益之金融資產 Financial assets that do not meet the criteria for being measured 金融資產如不符合按攤銷成本計量 at amortised cost or FVTOCI or designated as FVTOCI are 或按公平值計入其他全面收益計量 measured at FVTPL. 或指定為按公平值計入其他全面收 益計量的條件，則按按公平值計入損 益的方式計量。 Financial assets at FVTPL are measured at fair value at the end 在各報告期末，按公平值計入損益之 of each reporting period, with any fair value gains or losses 金融資產按公平值計量，而任何公平 recognised in profit or loss. 值收益或虧損則於損益中確認。 152 EXTRAWELL PHARMACEUTICAL HOLDINGS LIMITED 精優藥業控股有限公司</t>
        </is>
      </c>
    </row>
    <row r="68">
      <c r="A68" s="8" t="inlineStr">
        <is>
          <t>Intangible Assets &amp; Goodwill</t>
        </is>
      </c>
      <c r="B68" s="8" t="inlineStr">
        <is>
          <t>無形資產及商譽</t>
        </is>
      </c>
      <c r="C68" s="19" t="inlineStr">
        <is>
          <t>high</t>
        </is>
      </c>
      <c r="D68" s="11" t="inlineStr">
        <is>
          <t>攤銷</t>
        </is>
      </c>
      <c r="E68" s="11" t="inlineStr">
        <is>
          <t>PDF p.159 (印刷頁 158)</t>
        </is>
      </c>
      <c r="F68" s="11" t="inlineStr">
        <is>
          <t>d, 額計算，除非金融資產出現信貸減 in which case interest income is calculated based on amortised 值，在這種情況下，利息收入乃根據 cost of the financial asset. 金融資產的攤銷成本計算。 The Group recognises an impairment gain or loss in profit or loss 本集團透過虧損撥備賬調整所有金 for all financial instruments by adjusting their carrying amount 融工具之賬面值，並於損益中確認彼 through a loss allowance account. 等之減值收益或虧損。 Foreign exchange gains and losses 外匯收益及虧損 The carrying amount of financial assets that are denominated in a 以外幣計值的金融資產的賬面值以該外幣 foreign currency is determined in that foreign currency</t>
        </is>
      </c>
    </row>
    <row r="69">
      <c r="A69" s="8" t="inlineStr">
        <is>
          <t>Intangible Assets &amp; Goodwill</t>
        </is>
      </c>
      <c r="B69" s="8" t="inlineStr">
        <is>
          <t>無形資產及商譽</t>
        </is>
      </c>
      <c r="C69" s="19" t="inlineStr">
        <is>
          <t>high</t>
        </is>
      </c>
      <c r="D69" s="11" t="inlineStr">
        <is>
          <t>攤銷</t>
        </is>
      </c>
      <c r="E69" s="11" t="inlineStr">
        <is>
          <t>PDF p.160 (印刷頁 159)</t>
        </is>
      </c>
      <c r="F69" s="11" t="inlineStr">
        <is>
          <t>adjusted to the carrying amount 成本或費用已調整至經修訂金融資產的賬 of the modified financial assets and are amortised over the remaining 面值，並於餘下年期予以攤銷。金融資產 term. Any adjustment to the carrying amount of the financial asset is 賬面值的任何調整於修訂日期在損益中 recognised in profit or loss at the date of modification. 確認。 Financial liabilities and equity 金融負債及權益 Classification as debt or equity 分類為債務或股本 Debt and equity instruments are classified as either financial liabilities or as 債務及股本工具根據合約安排的實質內容 equity in accordance with the substance of the contractual</t>
        </is>
      </c>
    </row>
    <row r="70">
      <c r="A70" s="8" t="inlineStr">
        <is>
          <t>Intangible Assets &amp; Goodwill</t>
        </is>
      </c>
      <c r="B70" s="8" t="inlineStr">
        <is>
          <t>無形資產及商譽</t>
        </is>
      </c>
      <c r="C70" s="19" t="inlineStr">
        <is>
          <t>high</t>
        </is>
      </c>
      <c r="D70" s="11" t="inlineStr">
        <is>
          <t>攤銷</t>
        </is>
      </c>
      <c r="E70" s="11" t="inlineStr">
        <is>
          <t>PDF p.161 (印刷頁 160)</t>
        </is>
      </c>
      <c r="F70" s="11" t="inlineStr">
        <is>
          <t>ontinued) 金融負債及權益（續） Financial liabilities 金融負債 All financial liabilities are subsequently measured at amortised cost 所有金融負債其後以實際利率法按攤銷成 using the effective interest method. 本計量。 Financial liabilities at amortised cost 按攤銷成本計量之金融負債 Financial liabilities including trade and bills payables, accruals and 金融負債（包括貿易應付賬款及應付票據、 other payables and convertible bonds are subsequently measured at 預提費用及其他應付款項及可換股債券） amortised cost, using the effective interest method. 其後以實際利率法按攤銷成本計量。 Convertible bonds 可換股債券 The component parts of the conv</t>
        </is>
      </c>
    </row>
    <row r="71">
      <c r="A71" s="8" t="inlineStr">
        <is>
          <t>Intangible Assets &amp; Goodwill</t>
        </is>
      </c>
      <c r="B71" s="8" t="inlineStr">
        <is>
          <t>無形資產及商譽</t>
        </is>
      </c>
      <c r="C71" s="19" t="inlineStr">
        <is>
          <t>high</t>
        </is>
      </c>
      <c r="D71" s="11" t="inlineStr">
        <is>
          <t>攤銷</t>
        </is>
      </c>
      <c r="E71" s="11" t="inlineStr">
        <is>
          <t>PDF p.162 (印刷頁 161)</t>
        </is>
      </c>
      <c r="F71" s="11" t="inlineStr">
        <is>
          <t>（續） Foreign exchange gains and losses 外匯收益及虧損 For financial liabilities that are denominated in a foreign currency and 就於各報告期末以外幣計值及按攤銷成本 are measured at amortised cost at the end of each reporting period, 計量的金融負債而言，外匯收益及虧損按 the foreign exchange gains and losses are determined based on the 有關工具的攤銷成本釐定。就並非指定對 amortised cost of the instruments. These foreign exchange gains and 沖關係一部分的金融負債而言，外匯收益 losses are recognised in the ‘Other income, gains and losses, net’ line 及虧損於損益項下「其他收入、收益及虧損 item in profit or loss as part of ‘exchange</t>
        </is>
      </c>
    </row>
    <row r="72">
      <c r="A72" s="8" t="inlineStr">
        <is>
          <t>Intangible Assets &amp; Goodwill</t>
        </is>
      </c>
      <c r="B72" s="8" t="inlineStr">
        <is>
          <t>無形資產及商譽</t>
        </is>
      </c>
      <c r="C72" s="19" t="inlineStr">
        <is>
          <t>high</t>
        </is>
      </c>
      <c r="D72" s="11" t="inlineStr">
        <is>
          <t>攤銷</t>
        </is>
      </c>
      <c r="E72" s="11" t="inlineStr">
        <is>
          <t>PDF p.163 (印刷頁 162)</t>
        </is>
      </c>
      <c r="F72" s="11" t="inlineStr">
        <is>
          <t>r fair value and subsequently 流動負債。貿易應付賬款及其他應付款項 measured at amortised cost using the effective interest method. 以公平值初步確認，隨後採用實際利率法 按攤銷成本計量。 Share capital 股本 Ordinary shares of the Company are classified as equity. 本公司普通股被分類為權益。 Incremental costs directly attributable to the issue of new shares are 直接歸屬於發行新股的新增成本在權益中 shown in equity as a deduction, net of tax, from the proceeds. 列為所得款項的減少（扣除稅項）。 Segment reporting 分類報告 Operating segments are reported in a manner consistent with the 經營分類按照與向首席營運決策者（「首席 internal reporting provided</t>
        </is>
      </c>
    </row>
    <row r="73">
      <c r="A73" s="8" t="inlineStr">
        <is>
          <t>Intangible Assets &amp; Goodwill</t>
        </is>
      </c>
      <c r="B73" s="8" t="inlineStr">
        <is>
          <t>無形資產及商譽</t>
        </is>
      </c>
      <c r="C73" s="19" t="inlineStr">
        <is>
          <t>high</t>
        </is>
      </c>
      <c r="D73" s="11" t="inlineStr">
        <is>
          <t>intangible asset</t>
        </is>
      </c>
      <c r="E73" s="11" t="inlineStr">
        <is>
          <t>PDF p.166 (印刷頁 165)</t>
        </is>
      </c>
      <c r="F73" s="11" t="inlineStr">
        <is>
          <t>sidiaries (the “Smart 進生有限公司（「進生」）及其附屬公司（「進 Ascent Group”). The major asset held by the Smart Ascent Group is an 生集團」）之權益。進生集團所持之主要資 intangible asset in relation to an in-process research and development 產為有關進行中之研究及開發項目（「研發 project (the “In-process R&amp;D”) involving an oral insulin product (the 中項目」）之無形資產，當中涉及口服胰島 “Product”) and the Smart Ascent Group is continuing the research 素產品（「該產品」）且進生集團正繼續研發 and development and commercialising the Product. At the end of the 及商品化產品。於報告期末，經參考獨立 reporting period, with reference to a valuation</t>
        </is>
      </c>
    </row>
    <row r="74">
      <c r="A74" s="8" t="inlineStr">
        <is>
          <t>Intangible Assets &amp; Goodwill</t>
        </is>
      </c>
      <c r="B74" s="8" t="inlineStr">
        <is>
          <t>無形資產及商譽</t>
        </is>
      </c>
      <c r="C74" s="19" t="inlineStr">
        <is>
          <t>high</t>
        </is>
      </c>
      <c r="D74" s="11" t="inlineStr">
        <is>
          <t>intangible asset</t>
        </is>
      </c>
      <c r="E74" s="11" t="inlineStr">
        <is>
          <t>PDF p.189 (印刷頁 188)</t>
        </is>
      </c>
      <c r="F74" s="11" t="inlineStr">
        <is>
          <t>NOTES TO THE CONSOLIDATED FINANCIAL STATEMENTS (CONTINUED) 綜合財務報表附註（續） For the year ended 31 March 2026 截至二零二六年三月三十一日止年度 18. INTANGIBLE ASSETS 18. 無形資產 Gene invention rights Goodwill Total 基因發明權 商譽 總計 HK$’000 HK$’000 HK$’000 千港元 千港元 千港元 (note (i) below) (note (ii) below) （下文附註(i)） （下文附註(ii)） Cost 成本 As at 1 April 2024, 31 March 2025 於二零二四年四月一日、 and 1 April 2025 二零二五年三月三十一日 及二零二五年四月一日 95,000 1,807 96,807 Write-off 撇銷 (95,000) — (95,000) As at 31 March 2026 於二零二六年三月三十一日 — 1,807 1,807 Accumulated amortisation and 累計攤銷及減值 i</t>
        </is>
      </c>
    </row>
    <row r="75">
      <c r="A75" s="8" t="inlineStr">
        <is>
          <t>Intangible Assets &amp; Goodwill</t>
        </is>
      </c>
      <c r="B75" s="8" t="inlineStr">
        <is>
          <t>無形資產及商譽</t>
        </is>
      </c>
      <c r="C75" s="19" t="inlineStr">
        <is>
          <t>high</t>
        </is>
      </c>
      <c r="D75" s="11" t="inlineStr">
        <is>
          <t>intangible asset</t>
        </is>
      </c>
      <c r="E75" s="11" t="inlineStr">
        <is>
          <t>PDF p.190 (印刷頁 189)</t>
        </is>
      </c>
      <c r="F75" s="11" t="inlineStr">
        <is>
          <t>NOTES TO THE CONSOLIDATED FINANCIAL STATEMENTS (CONTINUED) 綜合財務報表附註（續） For the year ended 31 March 2026 截至二零二六年三月三十一日止年度 18. INTANGIBLE ASSETS 18. 無形資產（續） (Continued) Notes (Continued): 附註（續）： (ii) Goodwill (ii) 商譽 The goodwill arose as part of business combinations in prior years and were 商譽乃作為過往年內的業務合併一部分產 determined at the respective acquisition dates, being the differences between 生，並於相關收購日期釐定，其為收購代價 the purchase considerations and the fair values of net identifiable assets of 與被收購方可識別資產淨值公平值的差額。 acquirees. For the</t>
        </is>
      </c>
    </row>
    <row r="76">
      <c r="A76" s="8" t="inlineStr">
        <is>
          <t>Intangible Assets &amp; Goodwill</t>
        </is>
      </c>
      <c r="B76" s="8" t="inlineStr">
        <is>
          <t>無形資產及商譽</t>
        </is>
      </c>
      <c r="C76" s="19" t="inlineStr">
        <is>
          <t>high</t>
        </is>
      </c>
      <c r="D76" s="11" t="inlineStr">
        <is>
          <t>patent</t>
        </is>
      </c>
      <c r="E76" s="11" t="inlineStr">
        <is>
          <t>PDF p.195 (印刷頁 194)</t>
        </is>
      </c>
      <c r="F76" s="11" t="inlineStr">
        <is>
          <t>Ascent 的研發項目。進生集團正持續進行研 Group is continuing the research and development work and 發工作及商品化該產品。一項有關該 commercialising the Product. The patents of an invention 產品之「一種製備口服胰島素油相製 “a method of production of oil-phase preparation of oral insulin 劑的方法」之發明專利以福仕及北京 (一種製備口服胰島素油相製劑的方法)” in relation to the 清華大學（「清華大學」）共同名義登 Product are registered under the joint names of Fosse Bio and 記。此外，福仕及清華大學於一九九 Tsinghua University, Beijing (“THU”). In addition, Fosse Bio and 八年簽訂有關研發該產品之合作協 THU have entered into the collaboration agreement in 1998 in</t>
        </is>
      </c>
    </row>
    <row r="77">
      <c r="A77" s="8" t="inlineStr">
        <is>
          <t>Intangible Assets &amp; Goodwill</t>
        </is>
      </c>
      <c r="B77" s="8" t="inlineStr">
        <is>
          <t>無形資產及商譽</t>
        </is>
      </c>
      <c r="C77" s="19" t="inlineStr">
        <is>
          <t>high</t>
        </is>
      </c>
      <c r="D77" s="11" t="inlineStr">
        <is>
          <t>intangible asset</t>
        </is>
      </c>
      <c r="E77" s="11" t="inlineStr">
        <is>
          <t>PDF p.196 (印刷頁 195)</t>
        </is>
      </c>
      <c r="F77" s="11" t="inlineStr">
        <is>
          <t>hin 的輸入數據，並屬於公平值層級的第 Level 3 of the fair value hierarchy. 三級。 The major assets held by the Smart Ascent Group is the 進生集團所持之主要資產為有關研 intangible asset in relation to the In-process R&amp;D involving the 發中項目之無形資產，當中涉及產品 Product and it is expected that the commercialisation of the 且預期將於二零三零年第一季度（二 Product will be in the first quarter of 2030 (2025: third quarter of 零二五年：二零二八年第三季度）將 2028). 該產品商品化。 The entire carrying amount of the Group’s interest in the 本集團於聯營公司的權益的全部賬 associate is tested for impairment in accordance with HKAS 面值會根據香</t>
        </is>
      </c>
    </row>
    <row r="78">
      <c r="A78" s="8" t="inlineStr">
        <is>
          <t>Intangible Assets &amp; Goodwill</t>
        </is>
      </c>
      <c r="B78" s="8" t="inlineStr">
        <is>
          <t>無形資產及商譽</t>
        </is>
      </c>
      <c r="C78" s="19" t="inlineStr">
        <is>
          <t>high</t>
        </is>
      </c>
      <c r="D78" s="11" t="inlineStr">
        <is>
          <t>intangible asset</t>
        </is>
      </c>
      <c r="E78" s="11" t="inlineStr">
        <is>
          <t>PDF p.200 (印刷頁 199)</t>
        </is>
      </c>
      <c r="F78" s="11" t="inlineStr">
        <is>
          <t>olicies, is as follows: 任何會計政策差異作出調整）如下： 2026 2025 二零二六年 二零二五年 HK$’000 HK$’000 千港元 千港元 (unaudited) （未經審核） Non-current assets, mainly intangible assets 非流動資產，主要為與研發中項 relating to In-process R&amp;D (Note below) 目（下文附註）相關之無形 資產 284,260 284,260 Current assets 流動資產 3,486 1,722 Current liabilities 流動負債 (61,081) (47,042) Non-current liabilities 非流動負債 (82,198) (83,710) 144,467 155,230 Non-controlling interests 非控股權益 (84,914) (88,675) Net assets of the Smart Ascent Group 進生擁有人應佔進生集團之資產 attributable to owners of Smart Ascent 淨值 59,553 66,55</t>
        </is>
      </c>
    </row>
    <row r="79">
      <c r="A79" s="8" t="inlineStr">
        <is>
          <t>Intangible Assets &amp; Goodwill</t>
        </is>
      </c>
      <c r="B79" s="8" t="inlineStr">
        <is>
          <t>無形資產及商譽</t>
        </is>
      </c>
      <c r="C79" s="19" t="inlineStr">
        <is>
          <t>high</t>
        </is>
      </c>
      <c r="D79" s="11" t="inlineStr">
        <is>
          <t>intangible asset</t>
        </is>
      </c>
      <c r="E79" s="11" t="inlineStr">
        <is>
          <t>PDF p.211 (印刷頁 210)</t>
        </is>
      </c>
      <c r="F79" s="11" t="inlineStr">
        <is>
          <t>ing observations from Starcoin’s latest published 四次修訂乃基於以下對星太鏈 information: (i) Starcoin’s assets primarily consist of 最新發佈資料的審閱結果釐 intangible assets held by its subsidiaries, the Smart 定：(i)星太鏈的資產主要包括 Ascent Group, the associate of the Group. These assets 其附屬公司、本集團聯營公司 are related to an in-process research and development 進生集團持有的無形資產。該 project for an oral insulin product (as further described 等資產與涉及口服胰島素產品 in note 20), which has not yet been commercialised and 的研發中項目（如附註20進一 has not yet been generated any revenue to date; and</t>
        </is>
      </c>
    </row>
    <row r="80">
      <c r="A80" s="8" t="inlineStr">
        <is>
          <t>Intangible Assets &amp; Goodwill</t>
        </is>
      </c>
      <c r="B80" s="8" t="inlineStr">
        <is>
          <t>無形資產及商譽</t>
        </is>
      </c>
      <c r="C80" s="19" t="inlineStr">
        <is>
          <t>high</t>
        </is>
      </c>
      <c r="D80" s="11" t="inlineStr">
        <is>
          <t>攤銷</t>
        </is>
      </c>
      <c r="E80" s="11" t="inlineStr">
        <is>
          <t>PDF p.231 (印刷頁 230)</t>
        </is>
      </c>
      <c r="F80" s="11" t="inlineStr">
        <is>
          <t>in Starcoin Bonds as a whole 星太鏈債券投資之整個部分 101,826 915,436 Short-term investment 短期投資 1,651 1,649 Financial assets at amortised cost 按攤銷成本計量之金融資產 Trade and bills receivables 貿易應收賬款及應收票據 7,093 7,802 Deposits and other receivables 按金及其他應收款項 1,104 1,210 Loan to an associate 貸款予一間聯營公司 8,659 27,691 Amount due from an associate 應收一間聯營公司款項 9,794 32,662 Pledged bank deposits 已抵押銀行存款 21,172 20,378 Bank balances and cash 銀行結餘及現金 89,508 77,774 Total 總計 240,807 1,084,602 Financial liabilities 金融負債 Financial liabilities at amortised cost 按攤銷</t>
        </is>
      </c>
    </row>
    <row r="81">
      <c r="A81" s="8" t="inlineStr">
        <is>
          <t>Intangible Assets &amp; Goodwill</t>
        </is>
      </c>
      <c r="B81" s="8" t="inlineStr">
        <is>
          <t>無形資產及商譽</t>
        </is>
      </c>
      <c r="C81" s="19" t="inlineStr">
        <is>
          <t>high</t>
        </is>
      </c>
      <c r="D81" s="11" t="inlineStr">
        <is>
          <t>攤銷</t>
        </is>
      </c>
      <c r="E81" s="11" t="inlineStr">
        <is>
          <t>PDF p.240 (印刷頁 239)</t>
        </is>
      </c>
      <c r="F81" s="11" t="inlineStr">
        <is>
          <t>CL Gross carrying amount 外部信貸 評級 內部信貸評級 12個月或全期預期信貸損失 賬面總值 2026 2025 二零二六年 二零二五年 Financial assets at amortised cost HK$’000 HK$’000 按攤銷成本計量之金融資產 千港元 千港元 Trade and bills receivables N/A Low risk Lifetime ECL — not credit-impaired 6,640 7,187 貿易應收賬款及應收票據 不適用 低風險 全期預期信貸損失 — 無信貸減值 Doubtful Lifetime ECL — not credit-impaired 1,059 38,784 呆賬 全期預期信貸損失 — 無信貸減值 Loan to an associate N/A Loss Lifetime ECL — credit-impaired 37,083 35,563 (2025: Doubtful) (2025: Lifetime ECL — not creditimpaired) 貸款予一間聯營公司 不適用 虧損 全期預期信貸損失 — 信貸減值 （二零二五年： （</t>
        </is>
      </c>
    </row>
    <row r="82">
      <c r="A82" s="8" t="inlineStr">
        <is>
          <t>Investment Properties</t>
        </is>
      </c>
      <c r="B82" s="8" t="inlineStr">
        <is>
          <t>投資物業</t>
        </is>
      </c>
      <c r="C82" s="19" t="inlineStr">
        <is>
          <t>high</t>
        </is>
      </c>
      <c r="D82" s="11" t="inlineStr">
        <is>
          <t>投資物業</t>
        </is>
      </c>
      <c r="E82" s="11" t="inlineStr">
        <is>
          <t>PDF p.95 (印刷頁 94)</t>
        </is>
      </c>
      <c r="F82" s="11" t="inlineStr">
        <is>
          <t>REPORT OF THE DIRECTORS (CONTINUED) 董事會報告（續） INVESTMENT PROPERTIES 投資物業 Details of movements in the investment properties of the Group 本集團之投資物業於年度內之變動詳情載 during the year are set out in note 15 to the consolidated financial 於綜合財務報表附註15。 statements. PROPERTY, PLANT AND EQUIPMENT 物業、廠房及設備 Details of movements in property, plant and equipment of the Group 本集團之物業、廠房及設備於年度內之變 during the year are set out in note 16 to the consolidated financial 動詳情載於綜合財務報表附註16。 statemen</t>
        </is>
      </c>
    </row>
    <row r="83">
      <c r="A83" s="8" t="inlineStr">
        <is>
          <t>Investment Properties</t>
        </is>
      </c>
      <c r="B83" s="8" t="inlineStr">
        <is>
          <t>投資物業</t>
        </is>
      </c>
      <c r="C83" s="19" t="inlineStr">
        <is>
          <t>high</t>
        </is>
      </c>
      <c r="D83" s="11" t="inlineStr">
        <is>
          <t>投資物業</t>
        </is>
      </c>
      <c r="E83" s="11" t="inlineStr">
        <is>
          <t>PDF p.123 (印刷頁 122)</t>
        </is>
      </c>
      <c r="F83" s="11" t="inlineStr">
        <is>
          <t>at 31 March 2026 於二零二六年三月三十一日 2026 2025 二零二六年 二零二五年 Notes HK$’000 HK$’000 附註 千港元 千港元 Non-current assets 非流動資產 Investment properties 投資物業 15 2,152 2,284 Property, plant and equipment 物業、廠房及設備 16 112,668 111,731 Right-of-use assets 使用權資產 17 11,023 8,050 Intangible assets 無形資產 18 1,807 1,807 Financial assets at fair value through other 按公平值計入其他全面收益 comprehensive income (“FVTOCI”) （「按公平值計入其他全面 收益」）之金融資產 19 — — Interest in an associate 於一間聯營公司之權益 20 213,261 311,929 Loan to an associate 貸款予一間聯營公司 20 7,084 27,691 Deferred tax assets</t>
        </is>
      </c>
    </row>
    <row r="84">
      <c r="A84" s="8" t="inlineStr">
        <is>
          <t>Investment Properties</t>
        </is>
      </c>
      <c r="B84" s="8" t="inlineStr">
        <is>
          <t>投資物業</t>
        </is>
      </c>
      <c r="C84" s="19" t="inlineStr">
        <is>
          <t>high</t>
        </is>
      </c>
      <c r="D84" s="11" t="inlineStr">
        <is>
          <t>投資物業</t>
        </is>
      </c>
      <c r="E84" s="11" t="inlineStr">
        <is>
          <t>PDF p.127 (印刷頁 126)</t>
        </is>
      </c>
      <c r="F84" s="11" t="inlineStr">
        <is>
          <t>,231) 224,614 Adjustments for: 調整以下項目： Depreciation of right-of-use assets 使用權資產折舊 1,710 1,723 Depreciation of investment properties 投資物業折舊 132 133 Depreciation of property, plant and equipment 物業、廠房及設備折舊 6,239 6,425 Share option expenses 購股權費用 1,219 — Gain on disposal of items of property, plant and 出售物業、廠房及設備項目之收益 equipment, net 淨額 (107) (10) (Reversal of) impairment loss recognised on 就存貨確認之減值虧損（撥回） inventories (298) 252 Reversal of impairment loss recognised on trade 就貿易應收賬款及應收票據確認之減 and bills receivables, net 值虧損撥回淨額 (195)</t>
        </is>
      </c>
    </row>
    <row r="85">
      <c r="A85" s="8" t="inlineStr">
        <is>
          <t>Investment Properties</t>
        </is>
      </c>
      <c r="B85" s="8" t="inlineStr">
        <is>
          <t>投資物業</t>
        </is>
      </c>
      <c r="C85" s="19" t="inlineStr">
        <is>
          <t>high</t>
        </is>
      </c>
      <c r="D85" s="11" t="inlineStr">
        <is>
          <t>investment property</t>
        </is>
      </c>
      <c r="E85" s="11" t="inlineStr">
        <is>
          <t>PDF p.140 (印刷頁 139)</t>
        </is>
      </c>
      <c r="F85" s="11" t="inlineStr">
        <is>
          <t>l life and the lease term. 期的較短者以直線法折舊。 The Group presents right-of-use assets that do not meet the definition 本集團在綜合財務狀況表中將不符合投資 of investment property as a separate line item on the consolidated 物業定義的使用權資產作為單獨的項目列 statement of financial position. Right-of-use assets that meet the 報。符合投資物業定義的使用權資產在「投 definition of investment property are presented within “investment 資物業」中列示。 properties” . Refundable rental deposits 可退還租賃按金 Refundable rental deposits paid are accounted under HKFRS 9 已付可退回租賃按金乃根據香港財務報告 Financial Instruments and</t>
        </is>
      </c>
    </row>
    <row r="86">
      <c r="A86" s="8" t="inlineStr">
        <is>
          <t>Investment Properties</t>
        </is>
      </c>
      <c r="B86" s="8" t="inlineStr">
        <is>
          <t>投資物業</t>
        </is>
      </c>
      <c r="C86" s="19" t="inlineStr">
        <is>
          <t>high</t>
        </is>
      </c>
      <c r="D86" s="11" t="inlineStr">
        <is>
          <t>投資物業</t>
        </is>
      </c>
      <c r="E86" s="11" t="inlineStr">
        <is>
          <t>PDF p.141 (印刷頁 140)</t>
        </is>
      </c>
      <c r="F86" s="11" t="inlineStr">
        <is>
          <t>asset, and such costs are recognised 賬面值，有關成本於租賃期內按直線基準 as an expense on a straight-line basis over the lease term except for 確認為支出，除投資物業則按公平值模式 investment properties measured under fair value model. 計量。 140 EXTRAWELL PHARMACEUTICAL HOLDINGS LIMITED 精優藥業控股有限公司</t>
        </is>
      </c>
    </row>
    <row r="87">
      <c r="A87" s="8" t="inlineStr">
        <is>
          <t>Investment Properties</t>
        </is>
      </c>
      <c r="B87" s="8" t="inlineStr">
        <is>
          <t>投資物業</t>
        </is>
      </c>
      <c r="C87" s="19" t="inlineStr">
        <is>
          <t>high</t>
        </is>
      </c>
      <c r="D87" s="11" t="inlineStr">
        <is>
          <t>investment property</t>
        </is>
      </c>
      <c r="E87" s="11" t="inlineStr">
        <is>
          <t>PDF p.148 (印刷頁 147)</t>
        </is>
      </c>
      <c r="F87" s="11" t="inlineStr">
        <is>
          <t>stimated useful lives and after taking into account of their estimated 以撇銷投資物業成本。 residual value, using the straight-line method. An investment property is derecognised upon disposal or when the 投資物業於出售後或於投資物業永久撤回 investment property is permanently withdrawn from use and no future 使用且預期出售不會產生未來經濟利益時 economic benefits are expected from its disposal. A leased property 予以終止確認。若本集團（作為中間出租 which is recognised as a right-of-use asset is derecognised if the Group 人）將分租分類為融資租賃，則終止確認已 as intermediate lessor classifies the sublease as a</t>
        </is>
      </c>
    </row>
    <row r="88">
      <c r="A88" s="8" t="inlineStr">
        <is>
          <t>Investment Properties</t>
        </is>
      </c>
      <c r="B88" s="8" t="inlineStr">
        <is>
          <t>投資物業</t>
        </is>
      </c>
      <c r="C88" s="19" t="inlineStr">
        <is>
          <t>high</t>
        </is>
      </c>
      <c r="D88" s="11" t="inlineStr">
        <is>
          <t>投資物業</t>
        </is>
      </c>
      <c r="E88" s="11" t="inlineStr">
        <is>
          <t>PDF p.149 (印刷頁 148)</t>
        </is>
      </c>
      <c r="F88" s="11" t="inlineStr">
        <is>
          <t>nued) Impairment on property, plant and equipment, right-of- 物業、廠房及設備、使用權資產、 use assets, investment properties and intangible assets 投資物業及無形資產（商譽除外） other than goodwill (Continued) 的減值（續） In testing a CGU for impairment, corporate assets are allocated to the 對現金產生單位進行減值測試時，當可確 relevant CGU when a reasonable and consistent basis of allocation can 立合理及一致的分配基準時，公司資產會 be established, or otherwise they are allocated to the smallest group 分配至相關現金產生單位，否則分配至有 of CGUs for which a reasonable and consistent allocation basis can 可確立合理一致分配基</t>
        </is>
      </c>
    </row>
    <row r="89">
      <c r="A89" s="8" t="inlineStr">
        <is>
          <t>Investment Properties</t>
        </is>
      </c>
      <c r="B89" s="8" t="inlineStr">
        <is>
          <t>投資物業</t>
        </is>
      </c>
      <c r="C89" s="19" t="inlineStr">
        <is>
          <t>high</t>
        </is>
      </c>
      <c r="D89" s="11" t="inlineStr">
        <is>
          <t>投資物業</t>
        </is>
      </c>
      <c r="E89" s="11" t="inlineStr">
        <is>
          <t>PDF p.171 (印刷頁 170)</t>
        </is>
      </c>
      <c r="F89" s="11" t="inlineStr">
        <is>
          <t>d equipment and 物業、廠房及設備及使用權 right-of-use assets 資產折舊 6,605 1,543 8,148 — 8,148 Unallocated depreciation of investment properties 未分配投資物業折舊 133 8,281 Others: 其他： Reversal of impairment loss on trade receivables, 貿易應收賬款減值虧損撥回 net 淨額 (847) — (847) — (847) Impairment loss on other receivables 其他應收款項減值虧損 61 — 61 — 61 Impairment loss on inventories 存貨減值虧損 252 — 252 — 252 Unallocated gain on disposal of items of property, 未分配出售物業、廠房及 plant and equipment, net 設備項目之收益淨額 — — — — (10) Year ended 31 March 2026 截至二零二六年 三月三十一日止年度 Additions</t>
        </is>
      </c>
    </row>
    <row r="90">
      <c r="A90" s="8" t="inlineStr">
        <is>
          <t>Investment Properties</t>
        </is>
      </c>
      <c r="B90" s="8" t="inlineStr">
        <is>
          <t>投資物業</t>
        </is>
      </c>
      <c r="C90" s="19" t="inlineStr">
        <is>
          <t>high</t>
        </is>
      </c>
      <c r="D90" s="11" t="inlineStr">
        <is>
          <t>投資物業</t>
        </is>
      </c>
      <c r="E90" s="11" t="inlineStr">
        <is>
          <t>PDF p.177 (印刷頁 176)</t>
        </is>
      </c>
      <c r="F90" s="11" t="inlineStr">
        <is>
          <t>generated rental income (i) 於截至二零二六年三月三十一日止年度，產 amounted to approximately HK$53,000 during the year ended 31 March 2026 (2025: 生租金收入的投資物業支銷為約53,000港元 HK$65,000). （二零二五年：65,000港元）。 (ii) Government grants of approximately HK$117,000 (2025: HK$117,000) (ii) 確認為其他收入的政府補助約117,000港元 recognised as other income are awarded to the Group by the PRC government （二零二五年：117,000港元）由中國政府以獎 as incentives primarily to encourage the development of the Group and the 勵形式授予本集團，主要用於鼓勵本集團發 contribution to the local economic development. There were no</t>
        </is>
      </c>
    </row>
    <row r="91">
      <c r="A91" s="8" t="inlineStr">
        <is>
          <t>Investment Properties</t>
        </is>
      </c>
      <c r="B91" s="8" t="inlineStr">
        <is>
          <t>投資物業</t>
        </is>
      </c>
      <c r="C91" s="19" t="inlineStr">
        <is>
          <t>high</t>
        </is>
      </c>
      <c r="D91" s="11" t="inlineStr">
        <is>
          <t>投資物業</t>
        </is>
      </c>
      <c r="E91" s="11" t="inlineStr">
        <is>
          <t>PDF p.178 (印刷頁 177)</t>
        </is>
      </c>
      <c r="F91" s="11" t="inlineStr">
        <is>
          <t>： Auditor’s remuneration 核數師酬金 840 800 Depreciation of right-of-use assets 使用權資產折舊 1,710 1,723 Depreciation of investment properties 投資物業折舊 132 133 Depreciation of property, plant and equipment 物業、廠房及設備折舊 6,239 6,425 * No (loss) profit before income tax was related to the Gene Development * 由二零二四年四月一日至二零二五年三月七 segment during the period from 1 April 2024 to 7 March 2025. 日止期間，概無有關基因開發分類之除所得 稅前（虧損）溢利。 For the purpose of disclosure in this note, unallocated items charged (credited) to (loss) 就本附註之披露目的而言，扣除自（計入）除所 profit before inc</t>
        </is>
      </c>
    </row>
    <row r="92">
      <c r="A92" s="8" t="inlineStr">
        <is>
          <t>Investment Properties</t>
        </is>
      </c>
      <c r="B92" s="8" t="inlineStr">
        <is>
          <t>投資物業</t>
        </is>
      </c>
      <c r="C92" s="19" t="inlineStr">
        <is>
          <t>high</t>
        </is>
      </c>
      <c r="D92" s="11" t="inlineStr">
        <is>
          <t>投資物業</t>
        </is>
      </c>
      <c r="E92" s="11" t="inlineStr">
        <is>
          <t>PDF p.185 (印刷頁 184)</t>
        </is>
      </c>
      <c r="F92" s="11" t="inlineStr">
        <is>
          <t>LIDATED FINANCIAL STATEMENTS (CONTINUED) 綜合財務報表附註（續） For the year ended 31 March 2026 截至二零二六年三月三十一日止年度 15. INVESTMENT PROPERTIES 15. 投資物業 Properties 物業 HK$’000 千港元 Cost 成本 As at 1 April 2024, 31 March 2025, 1 April 於二零二四年四月一日、二零二五年三月三十一日、 2025 and 31 March 2026 二零二五年四月一日及二零二六年三月三十一日 18,000 Accumulated depreciation and impairment 累計折舊及減值 As at 1 April 2024 於二零二四年四月一日 15,583 Charge for the year 本年度列支 133 As at 31 March 2025 and 1 April 2025 於二零二五年三月三十一日及二零二五年四月一日 15,716 Charge for the year 本年度列支 132 As at 31 March 2026 於二零二六年三月三十</t>
        </is>
      </c>
    </row>
    <row r="93">
      <c r="A93" s="8" t="inlineStr">
        <is>
          <t>Investment Properties</t>
        </is>
      </c>
      <c r="B93" s="8" t="inlineStr">
        <is>
          <t>投資物業</t>
        </is>
      </c>
      <c r="C93" s="19" t="inlineStr">
        <is>
          <t>high</t>
        </is>
      </c>
      <c r="D93" s="11" t="inlineStr">
        <is>
          <t>投資物業</t>
        </is>
      </c>
      <c r="E93" s="11" t="inlineStr">
        <is>
          <t>PDF p.186 (印刷頁 185)</t>
        </is>
      </c>
      <c r="F93" s="11" t="inlineStr">
        <is>
          <t>LIDATED FINANCIAL STATEMENTS (CONTINUED) 綜合財務報表附註（續） For the year ended 31 March 2026 截至二零二六年三月三十一日止年度 15. INVESTMENT PROPERTIES 15. 投資物業（續） (Continued) Fair value measurement 公平值計量 The fair value of the Group’s investment properties as at 31 March 於二零二六年三月三十一日，本集團之投 2026 amounting to HK$5,261,000 (equivalent to RMB4,630,000) 資物業公平值為5,261,000港元（相當於人 (2025: HK$6,366,000 (equivalent to RMB5,920,000)) has been arrived 民幣4,630,000元） （二零二五年：6,366,000 at on the basis of valuation carried out for that date by an independent 港元（相當於人民幣5</t>
        </is>
      </c>
    </row>
    <row r="94">
      <c r="A94" s="8" t="inlineStr">
        <is>
          <t>ESG Data</t>
        </is>
      </c>
      <c r="B94" s="8" t="inlineStr">
        <is>
          <t>環境社會及管治數據</t>
        </is>
      </c>
      <c r="C94" s="8" t="inlineStr">
        <is>
          <t>medium</t>
        </is>
      </c>
      <c r="D94" s="11" t="inlineStr">
        <is>
          <t>環境、社會及管治</t>
        </is>
      </c>
      <c r="E94" s="11" t="inlineStr">
        <is>
          <t>PDF p.2</t>
        </is>
      </c>
      <c r="F94" s="11" t="inlineStr">
        <is>
          <t>5 Corporate Governance Report 企業管治報告 126 Consolidated Statement of Cash Flows 綜合現金流量表 60 Environmental, Social and Governance Report 環境、社會及管治報告 128 Notes to the Consolidated Financial Statements 綜合財務報表附註 93 Report of the Directors 董事會報告 252 Five Years’ Financial Summary 五年財務概要</t>
        </is>
      </c>
    </row>
    <row r="95">
      <c r="A95" s="8" t="inlineStr">
        <is>
          <t>ESG Data</t>
        </is>
      </c>
      <c r="B95" s="8" t="inlineStr">
        <is>
          <t>環境社會及管治數據</t>
        </is>
      </c>
      <c r="C95" s="8" t="inlineStr">
        <is>
          <t>medium</t>
        </is>
      </c>
      <c r="D95" s="11" t="inlineStr">
        <is>
          <t>sustainability</t>
        </is>
      </c>
      <c r="E95" s="11" t="inlineStr">
        <is>
          <t>PDF p.6 (印刷頁 05)</t>
        </is>
      </c>
      <c r="F95" s="11" t="inlineStr">
        <is>
          <t>e previous phase of high-speed growth toward high-quality 家發展由過往高速增長階段轉入高質量發 development at a new stage, prioritising innovation and sustainability, 展新階段，優先推動創新及可持續發展， and making domestic demand a more prominent economic driver. 以及增強內需更突顯其經濟驅動力。與此 Meanwhile, China’s pharmaceutical industry continues to see policy 同時，中國醫藥行業配套政策持續完善，受 refinements and has entered a new development phase driven by 人口結構變化、醫療健康開支提升及持續 demographic shifts, rising healthcare expenditures, and ongoing 科研創新推動，行業步入新發展階段。隨著 scientific innovation. Influenced</t>
        </is>
      </c>
    </row>
    <row r="96">
      <c r="A96" s="8" t="inlineStr">
        <is>
          <t>ESG Data</t>
        </is>
      </c>
      <c r="B96" s="8" t="inlineStr">
        <is>
          <t>環境社會及管治數據</t>
        </is>
      </c>
      <c r="C96" s="8" t="inlineStr">
        <is>
          <t>medium</t>
        </is>
      </c>
      <c r="D96" s="11" t="inlineStr">
        <is>
          <t>可持續</t>
        </is>
      </c>
      <c r="E96" s="11" t="inlineStr">
        <is>
          <t>PDF p.16 (印刷頁 15)</t>
        </is>
      </c>
      <c r="F96" s="11" t="inlineStr">
        <is>
          <t>nue to place emphasis in enhancing its 發掘保健領域新商機，推動業務多元化發 manufacturing strengths and sales capabilities of its pharmaceutical 展，開拓新的可持續收益來源。 segments to strive for achieving profitability. Meanwhile, the Group is actively exploring new business opportunities in the healthcare sector for business diversification aiming for new and sustainable revenue streams. ANNUAL REPORT 2026 二零二六年年報 15</t>
        </is>
      </c>
    </row>
    <row r="97">
      <c r="A97" s="8" t="inlineStr">
        <is>
          <t>ESG Data</t>
        </is>
      </c>
      <c r="B97" s="8" t="inlineStr">
        <is>
          <t>環境社會及管治數據</t>
        </is>
      </c>
      <c r="C97" s="8" t="inlineStr">
        <is>
          <t>medium</t>
        </is>
      </c>
      <c r="D97" s="11" t="inlineStr">
        <is>
          <t>可持續</t>
        </is>
      </c>
      <c r="E97" s="11" t="inlineStr">
        <is>
          <t>PDF p.40 (印刷頁 39)</t>
        </is>
      </c>
      <c r="F97" s="11" t="inlineStr">
        <is>
          <t>by reference to the independence criteria as set 準則評估全體獨立非執董之獨立性， out in the Listing Rules to ensure that they can continually 以確保彼等可持續作出獨立判斷。除 exercise independent judgement. In addition to providing the 須每年發出獨立性書面確認函外，若 written confirmation of independence annually, each INED is 其個人情況有任何變動而可能對其獨 also required to inform the Company as soon as practicable if 立性產生重大影響，各獨立非執董亦 there is any change in his/her own personal particulars that may 須於可行情況下盡早通知本公司。 materially affect his/her independence. In accordance with the Company’s</t>
        </is>
      </c>
    </row>
    <row r="98">
      <c r="A98" s="8" t="inlineStr">
        <is>
          <t>ESG Data</t>
        </is>
      </c>
      <c r="B98" s="8" t="inlineStr">
        <is>
          <t>環境社會及管治數據</t>
        </is>
      </c>
      <c r="C98" s="8" t="inlineStr">
        <is>
          <t>medium</t>
        </is>
      </c>
      <c r="D98" s="11" t="inlineStr">
        <is>
          <t>ESG</t>
        </is>
      </c>
      <c r="E98" s="11" t="inlineStr">
        <is>
          <t>PDF p.61 (印刷頁 60)</t>
        </is>
      </c>
      <c r="F98" s="11" t="inlineStr">
        <is>
          <t>to sustainability 優化可持續表現。本環境、社會及管 performance in the years to come. This Environmental, Social 治（「環境、社會及管治」）報告乃根據 and Governance (“ESG”) Report was prepared in accordance 香港聯合交易所有限公司證券上市規 with the “Environmental, Social and Governance Reporting 則（「上市規則」）附錄C2項下的「環境、 Code” (the “ESG Code”, with effect from 1 January 2025) under 社會及管治報告守則」 （「環境、社會及 Appendix C2 of the Rules Governing the Listing of Securities 管治守則」，自二零二五年一月一日起 on The Stock Exchange of Hong Kong Limited (“Listing Rules”), 生效）編製，呈報本集團在環境保護、 which reports the Group’</t>
        </is>
      </c>
    </row>
    <row r="99">
      <c r="A99" s="8" t="inlineStr">
        <is>
          <t>ESG Data</t>
        </is>
      </c>
      <c r="B99" s="8" t="inlineStr">
        <is>
          <t>環境社會及管治數據</t>
        </is>
      </c>
      <c r="C99" s="8" t="inlineStr">
        <is>
          <t>medium</t>
        </is>
      </c>
      <c r="D99" s="11" t="inlineStr">
        <is>
          <t>ESG</t>
        </is>
      </c>
      <c r="E99" s="11" t="inlineStr">
        <is>
          <t>PDF p.62 (印刷頁 61)</t>
        </is>
      </c>
      <c r="F99" s="11" t="inlineStr">
        <is>
          <t>ENVIRONMENTAL, SOCIAL AND GOVERNANCE REPORT (CONTINUED) 環境、社會及管治報告（續） 2. ESG GOVERNANCE STRUCTURE 2. 環境、社會及管治之管治 (Continued) 架構（續） The Board is committed to conducting regular review and 董事會致力定期檢討及評估本集團環 evaluation of the Group’s ESG-related policies and risks so as 境、社會及管治相關的政策及風險， to ensure that appropriate and effective ESG risk management 以確保落實適當且有效的環境、社會 and internal control systems (the “Systems”) are in place and 及管治風險管理及內部監控制度（「該 embedded at the Group’s busines</t>
        </is>
      </c>
    </row>
    <row r="100">
      <c r="A100" s="8" t="inlineStr">
        <is>
          <t>ESG Data</t>
        </is>
      </c>
      <c r="B100" s="8" t="inlineStr">
        <is>
          <t>環境社會及管治數據</t>
        </is>
      </c>
      <c r="C100" s="8" t="inlineStr">
        <is>
          <t>medium</t>
        </is>
      </c>
      <c r="D100" s="11" t="inlineStr">
        <is>
          <t>ESG</t>
        </is>
      </c>
      <c r="E100" s="11" t="inlineStr">
        <is>
          <t>PDF p.63 (印刷頁 62)</t>
        </is>
      </c>
      <c r="F100" s="11" t="inlineStr">
        <is>
          <t>ENVIRONMENTAL, SOCIAL AND GOVERNANCE REPORT (CONTINUED) 環境、社會及管治報告（續） 3. REPORTING PRINCIPLES 3. 報告原則 In preparation of this ESG Report, the Group observes and 於編製本環境、社會及管治報告時， applies the principles of materiality, quantitative, balance and 本集團遵守及應用環境、社會及管治 consistency as set out in the ESG Code in order to provide a 守則所載有關重要性、量化、平衡及 clear, balanced, quantifiable and comparative information to its 一致性原則，以便向其利益相關者 stakeholders: 提供清晰、平衡、可量化及可比較的 資料： (1) Materiality : Major stakeholders are identified and their (1) 重要性：識別</t>
        </is>
      </c>
    </row>
    <row r="101">
      <c r="A101" s="8" t="inlineStr">
        <is>
          <t>ESG Data</t>
        </is>
      </c>
      <c r="B101" s="8" t="inlineStr">
        <is>
          <t>環境社會及管治數據</t>
        </is>
      </c>
      <c r="C101" s="8" t="inlineStr">
        <is>
          <t>medium</t>
        </is>
      </c>
      <c r="D101" s="11" t="inlineStr">
        <is>
          <t>ESG</t>
        </is>
      </c>
      <c r="E101" s="11" t="inlineStr">
        <is>
          <t>PDF p.64 (印刷頁 63)</t>
        </is>
      </c>
      <c r="F101" s="11" t="inlineStr">
        <is>
          <t>TAL, SOCIAL AND GOVERNANCE REPORT (CONTINUED) 環境、社會及管治報告（續） 5. STAKEHOLDER ENGAGEMENT AND 5. 利益相關者參與及識別重大 IDENTIFICATION OF MATERIAL ESG 環境、社會及管治議題 ISSUES The Group values opinions from stakeholders including 本集團重視利益相關者（包括股東、 shareholders, staff members, business partners, governments 員工、業務合作夥伴、政府及社區） and the communities, and is committed to building constructive 發表的意見，並致力於透過不同溝通 relationships with internal and external stakeholders through 渠道（包括培訓及與管理層及一般員 different communication channels including trainings and 工進行的研討會、電話、郵件查</t>
        </is>
      </c>
    </row>
    <row r="102">
      <c r="A102" s="8" t="inlineStr">
        <is>
          <t>ESG Data</t>
        </is>
      </c>
      <c r="B102" s="8" t="inlineStr">
        <is>
          <t>環境社會及管治數據</t>
        </is>
      </c>
      <c r="C102" s="8" t="inlineStr">
        <is>
          <t>medium</t>
        </is>
      </c>
      <c r="D102" s="11" t="inlineStr">
        <is>
          <t>greenhouse gas</t>
        </is>
      </c>
      <c r="E102" s="11" t="inlineStr">
        <is>
          <t>PDF p.65 (印刷頁 64)</t>
        </is>
      </c>
      <c r="F102" s="11" t="inlineStr">
        <is>
          <t>acturing* Subject Areas and Aspects 主要範疇及層面 製造 # 非製造* A. Environmental Aspects A. 環境層面 A1 Emissions A1 排放物 Air pollutants 空氣污染物 M NM Greenhouse gas 溫室氣體 M NM Water wastes 廢水 M NM Solid wastes 固體廢物 M NM A2 Use of Resources A2 資源使用 Water 水 M NM Electricity 電力 M NM Natural gas 天然氣 M NM Fuel (vehicle) 燃料（汽車） M NM Packing material 包裝物料 M NM A3 The Environment and Natural Resources A3 環境及自然資源 M NM A4 Climate Change A4 氣候變化 M NM B. Social Aspects B. 社會層面 Employment and Labour Practices 僱傭及勞工常規 B1 Employment B1 僱傭 M M B2 Health and Saf</t>
        </is>
      </c>
    </row>
    <row r="103">
      <c r="A103" s="8" t="inlineStr">
        <is>
          <t>ESG Data</t>
        </is>
      </c>
      <c r="B103" s="8" t="inlineStr">
        <is>
          <t>環境社會及管治數據</t>
        </is>
      </c>
      <c r="C103" s="8" t="inlineStr">
        <is>
          <t>medium</t>
        </is>
      </c>
      <c r="D103" s="11" t="inlineStr">
        <is>
          <t>greenhouse gas</t>
        </is>
      </c>
      <c r="E103" s="11" t="inlineStr">
        <is>
          <t>PDF p.66 (印刷頁 65)</t>
        </is>
      </c>
      <c r="F103" s="11" t="inlineStr">
        <is>
          <t>sions laws 並未違反相關排放法律及法規。 and regulations. Emissions arising from the Manufacturing Activities 製造活動產生的排放物包括空 include air pollutants, greenhouse gas (“GHG”), water and 氣污染物、溫室氣體（「溫室氣 solid wastes, whilst the Non-Manufacturing Activities have 體」）、廢水及固體廢物，而非製 insignificant emissions of air pollutants, water and solid 造活動則產生有限的温室氣體排 wastes and limited GHG emissions. 放，以及排放量微乎其微的空氣 污染物、廢水及固體廢棄物。 In this report, GHG emissions are categorised into three 在本報告中，溫室氣體排放分為 scopes as below: 以下三個範圍： (i) Scope 1 refers to direct emissions fro</t>
        </is>
      </c>
    </row>
    <row r="104">
      <c r="A104" s="8" t="inlineStr">
        <is>
          <t>ESG Data</t>
        </is>
      </c>
      <c r="B104" s="8" t="inlineStr">
        <is>
          <t>環境社會及管治數據</t>
        </is>
      </c>
      <c r="C104" s="8" t="inlineStr">
        <is>
          <t>medium</t>
        </is>
      </c>
      <c r="D104" s="11" t="inlineStr">
        <is>
          <t>GHG emission</t>
        </is>
      </c>
      <c r="E104" s="11" t="inlineStr">
        <is>
          <t>PDF p.67 (印刷頁 66)</t>
        </is>
      </c>
      <c r="F104" s="11" t="inlineStr">
        <is>
          <t>續） 6. ENVIRONMENTAL ASPECTS 6. 環境層面（續） (Continued) 6.1 Emissions (A1) 6.1 排放(A1)（續） (Continued) 6.1.1 Non-Manufacturing Activities — GHG emissions 6.1.1 非製造活動 — 非製造活動 arising from the Non-Manufacturing Activities 產生的溫室氣體排放主要 mainly relate to indirect emissions of purchased 與範圍2所購電力及範圍3 electricity under Scope 2 and third-party distribution 第三方分銷及物流以及商 and logistics as well as business travels under 務旅行的間接排放有關。 Scope 3. During the 2026 Period, the respective 於二零二六年期間，範圍 Scope 2 and Scope 3 carbon dioxide (“CO2”) 2及範圍3各自產生的二氧 emi</t>
        </is>
      </c>
    </row>
    <row r="105">
      <c r="A105" s="8" t="inlineStr">
        <is>
          <t>ESG Data</t>
        </is>
      </c>
      <c r="B105" s="8" t="inlineStr">
        <is>
          <t>環境社會及管治數據</t>
        </is>
      </c>
      <c r="C105" s="8" t="inlineStr">
        <is>
          <t>medium</t>
        </is>
      </c>
      <c r="D105" s="11" t="inlineStr">
        <is>
          <t>scope 1</t>
        </is>
      </c>
      <c r="E105" s="11" t="inlineStr">
        <is>
          <t>PDF p.68 (印刷頁 67)</t>
        </is>
      </c>
      <c r="F105" s="11" t="inlineStr">
        <is>
          <t>指南 — 準則》之現行 規定，經由獨立第三 方作監測及測量。 CO2 emissions arising from natural gas boilers 天然氣鍋爐以及汽車 and fuels for daily operations of vehicles (Scope 1), 日常使用所用燃料（範 purchased electricity (Scope 2) and business 圍1）、所購電力（範 travels (Scope 3) amounted to about 797 圍2）及商務旅行（範 tonnes (2025: 814 tonnes), 1,063 tonnes (2025: 圍3）產生的二氧化碳 1,172 tonnes) and 9 tonnes (2025: 11 tonnes) 排放量分別約為797 respectively. 噸（二零二五年：814 噸）、1,063噸（二零二 五年：1,172噸）及9噸 （二零二五年：11噸）。 ANNUAL REPORT 2026 二零二六年年報 67</t>
        </is>
      </c>
    </row>
    <row r="106">
      <c r="A106" s="8" t="inlineStr">
        <is>
          <t>ESG Data</t>
        </is>
      </c>
      <c r="B106" s="8" t="inlineStr">
        <is>
          <t>環境社會及管治數據</t>
        </is>
      </c>
      <c r="C106" s="8" t="inlineStr">
        <is>
          <t>medium</t>
        </is>
      </c>
      <c r="D106" s="11" t="inlineStr">
        <is>
          <t>環境、社會及管治</t>
        </is>
      </c>
      <c r="E106" s="11" t="inlineStr">
        <is>
          <t>PDF p.69 (印刷頁 68)</t>
        </is>
      </c>
      <c r="F106" s="11" t="inlineStr">
        <is>
          <t>ENVIRONMENTAL, SOCIAL AND GOVERNANCE REPORT (CONTINUED) 環境、社會及管治報告（續） 6. ENVIRONMENTAL ASPECTS 6. 環境層面（續） (Continued) 6.1 Emissions (A1) 6.1 排放(A1)（續） (Continued) 6.1.2 (Continued) 6.1.2 （續） (b) Wastewater management (b) 廢水管理 The factory has built its own wastewater 工廠已建立自身日處 treatment facilities with daily capacity of 理量為400噸的廢水 400 tonnes to treat the wastewater from its 處理設施以於排放 production processes before discharge, and 前處理其生產過程 about 27,489 tonnes</t>
        </is>
      </c>
    </row>
    <row r="107">
      <c r="A107" s="8" t="inlineStr">
        <is>
          <t>ESG Data</t>
        </is>
      </c>
      <c r="B107" s="8" t="inlineStr">
        <is>
          <t>環境社會及管治數據</t>
        </is>
      </c>
      <c r="C107" s="8" t="inlineStr">
        <is>
          <t>medium</t>
        </is>
      </c>
      <c r="D107" s="11" t="inlineStr">
        <is>
          <t>GHG emission</t>
        </is>
      </c>
      <c r="E107" s="11" t="inlineStr">
        <is>
          <t>PDF p.70 (印刷頁 69)</t>
        </is>
      </c>
      <c r="F107" s="11" t="inlineStr">
        <is>
          <t>a in 審閱二零二三年至二零二五年三 the three financial years from 2023 to 2025. The three 個財政年度的相關數據。溫室氣 years’ average intensity of the respective GHG emission 體排放以及有害及無害廢物各自 and hazardous and non-hazardous wastes are generally 的三年平均密度大致與二零二二 similar to the baseline data of 2022, however, the data in 年的基準數據相若，然而，二零 2025 indicates continuous improvement in GHG emission 二五年的數據顯示溫室氣體減排 reduction. The Group will continue to strive for reducing 持續改善。於二零二六年至二零 the intensity of total GHG emissions and the hazardous 二七年兩個財政年度，本集團將 and non-hazardous</t>
        </is>
      </c>
    </row>
    <row r="108">
      <c r="A108" s="8" t="inlineStr">
        <is>
          <t>ESG Data</t>
        </is>
      </c>
      <c r="B108" s="8" t="inlineStr">
        <is>
          <t>環境社會及管治數據</t>
        </is>
      </c>
      <c r="C108" s="8" t="inlineStr">
        <is>
          <t>medium</t>
        </is>
      </c>
      <c r="D108" s="11" t="inlineStr">
        <is>
          <t>環境、社會及管治</t>
        </is>
      </c>
      <c r="E108" s="11" t="inlineStr">
        <is>
          <t>PDF p.71 (印刷頁 70)</t>
        </is>
      </c>
      <c r="F108" s="11" t="inlineStr">
        <is>
          <t>ENVIRONMENTAL, SOCIAL AND GOVERNANCE REPORT (CONTINUED) 環境、社會及管治報告（續） 6. ENVIRONMENTAL ASPECTS 6. 環境層面（續） (Continued) 6.2 Use of Resources (A2) 6.2 資源使用(A2) It is the Group’s policy to encourage all staff to 本集團的政策為鼓勵全體員工 be environmentally friendly at work to reduce the 在工作中保護環境以減少紙張、 consumption of paper, water and electricity and effective 水及電力的消耗並高效使用資 use of the resources. Measures being implemented 源。所實行的措施包括雙面打印 include double-sided printing and</t>
        </is>
      </c>
    </row>
    <row r="109">
      <c r="A109" s="8" t="inlineStr">
        <is>
          <t>ESG Data</t>
        </is>
      </c>
      <c r="B109" s="8" t="inlineStr">
        <is>
          <t>環境社會及管治數據</t>
        </is>
      </c>
      <c r="C109" s="8" t="inlineStr">
        <is>
          <t>medium</t>
        </is>
      </c>
      <c r="D109" s="11" t="inlineStr">
        <is>
          <t>環境、社會及管治</t>
        </is>
      </c>
      <c r="E109" s="11" t="inlineStr">
        <is>
          <t>PDF p.72 (印刷頁 71)</t>
        </is>
      </c>
      <c r="F109" s="11" t="inlineStr">
        <is>
          <t>ENVIRONMENTAL, SOCIAL AND GOVERNANCE REPORT (CONTINUED) 環境、社會及管治報告（續） 6. ENVIRONMENTAL ASPECTS 6. 環境層面（續） (Continued) 6.2 Use of Resources (A2) 6.2 資源使用(A2)（續） (Continued) 6.2.2 Manufacturing Activities — These consume mainly 6.2.2 製造活動 — 其主要消耗 water, electricity, natural gas, fuel for vehicles and 水、電力、天然氣、汽車燃 packing materials used for finished products. Paper 料及製成品所用的包裝物 consumption in its daily operations amounted to 料。其日常業務的紙張消耗 about 1.6 tonnes (</t>
        </is>
      </c>
    </row>
    <row r="110">
      <c r="A110" s="8" t="inlineStr">
        <is>
          <t>ESG Data</t>
        </is>
      </c>
      <c r="B110" s="8" t="inlineStr">
        <is>
          <t>環境社會及管治數據</t>
        </is>
      </c>
      <c r="C110" s="8" t="inlineStr">
        <is>
          <t>medium</t>
        </is>
      </c>
      <c r="D110" s="11" t="inlineStr">
        <is>
          <t>環境、社會及管治</t>
        </is>
      </c>
      <c r="E110" s="11" t="inlineStr">
        <is>
          <t>PDF p.73 (印刷頁 72)</t>
        </is>
      </c>
      <c r="F110" s="11" t="inlineStr">
        <is>
          <t>ENVIRONMENTAL, SOCIAL AND GOVERNANCE REPORT (CONTINUED) 環境、社會及管治報告（續） 6. ENVIRONMENTAL ASPECTS 6. 環境層面（續） (Continued) 6.2 Use of Resources (A2) 6.2 資源使用(A2)（續） (Continued) 6.2.2 (Continued) 6.2.2 （續） It is the Group’s policy to ensure effective and 本集團的政策為在生產過 efficient use of resources in the production process 程中確保資源的高效使 with the aim of minimising wastes and reducing 用，以盡量減少廢棄物及降 consumption of the resources. 低資源消耗。 Water — Water is a key element of</t>
        </is>
      </c>
    </row>
    <row r="111">
      <c r="A111" s="8" t="inlineStr">
        <is>
          <t>ESG Data</t>
        </is>
      </c>
      <c r="B111" s="8" t="inlineStr">
        <is>
          <t>環境社會及管治數據</t>
        </is>
      </c>
      <c r="C111" s="8" t="inlineStr">
        <is>
          <t>medium</t>
        </is>
      </c>
      <c r="D111" s="11" t="inlineStr">
        <is>
          <t>GHG emission</t>
        </is>
      </c>
      <c r="E111" s="11" t="inlineStr">
        <is>
          <t>PDF p.74 (印刷頁 73)</t>
        </is>
      </c>
      <c r="F111" s="11" t="inlineStr">
        <is>
          <t>vities. As a member of an environmentally 深遠影響。作為具備環保意識的 aware business community, the Group is committed to 商界一員，本集團致力於減少溫 reducing GHG emissions, and aligning its businesses with 室氣體排放，使其業務與可持續 sustainable growth development. 增長發展保持一致。 The material climate change risks which the Group is 本集團所面臨的重大氣候變化風 exposed to are tied to its Manufacturing Activities in 險與中國製造活動息息相關。本 the PRC. The Group has identified the climate-related 集團已識別氣候相關風險以及應 risks and the measures to cope with them. The risks of 對有關風險的措施。根據氣候相 changing climate t</t>
        </is>
      </c>
    </row>
    <row r="112">
      <c r="A112" s="8" t="inlineStr">
        <is>
          <t>ESG Data</t>
        </is>
      </c>
      <c r="B112" s="8" t="inlineStr">
        <is>
          <t>環境社會及管治數據</t>
        </is>
      </c>
      <c r="C112" s="8" t="inlineStr">
        <is>
          <t>medium</t>
        </is>
      </c>
      <c r="D112" s="11" t="inlineStr">
        <is>
          <t>carbon</t>
        </is>
      </c>
      <c r="E112" s="11" t="inlineStr">
        <is>
          <t>PDF p.75 (印刷頁 74)</t>
        </is>
      </c>
      <c r="F112" s="11" t="inlineStr">
        <is>
          <t>n life and health. 危及人類性命及健康。 Transition Risks — The transition risks are brought by 轉型風險 — 國家目標在二零三 the nation’s target to peak its carbon dioxide emissions 零年之前達到二氧化碳排放的峰 before 2030 and achieve carbon neutrality before 2060. 值，並在二零六零年之前實現碳 It is expected that the Chinese authorities will implement 中和，由此帶來轉型風險。預期 more stringent policies and regulations to control GHG 中國當局將實施更嚴格的政策及 emissions, which will result in rising compliance-related 法規以控制溫室氣體排放，此舉 capital investment and operating costs. In addition, the 將導致與合規有關的資本投資及 o</t>
        </is>
      </c>
    </row>
    <row r="113">
      <c r="A113" s="8" t="inlineStr">
        <is>
          <t>ESG Data</t>
        </is>
      </c>
      <c r="B113" s="8" t="inlineStr">
        <is>
          <t>環境社會及管治數據</t>
        </is>
      </c>
      <c r="C113" s="8" t="inlineStr">
        <is>
          <t>medium</t>
        </is>
      </c>
      <c r="D113" s="11" t="inlineStr">
        <is>
          <t>carbon</t>
        </is>
      </c>
      <c r="E113" s="11" t="inlineStr">
        <is>
          <t>PDF p.76 (印刷頁 75)</t>
        </is>
      </c>
      <c r="F113" s="11" t="inlineStr">
        <is>
          <t>the environmental 於盡可能減少營運造成的環境足 footprints of the operations with a particular focus on 跡，尤其關注減少能源消耗、碳 reducing energy consumption, carbon emissions, paper 排放、紙張使用及廢棄物。 use, and waste. The Group currently does not apply an internal carbon 本集團目前尚未於其業務決策過 price on its business decision-making process. The 程中應用內部碳定價。目前，本 Group currently manages the climate-related risks by 集團透過將溫室氣體足跡指標與 tracking GHG footprint indicators directly against the 相關減排目標進行直接對標管理 relevant emission reduction targets. However, the Group 氣候相關風險。然而，倘情況需 wil</t>
        </is>
      </c>
    </row>
    <row r="114">
      <c r="A114" s="8" t="inlineStr">
        <is>
          <t>ESG Data</t>
        </is>
      </c>
      <c r="B114" s="8" t="inlineStr">
        <is>
          <t>環境社會及管治數據</t>
        </is>
      </c>
      <c r="C114" s="8" t="inlineStr">
        <is>
          <t>medium</t>
        </is>
      </c>
      <c r="D114" s="11" t="inlineStr">
        <is>
          <t>carbon</t>
        </is>
      </c>
      <c r="E114" s="11" t="inlineStr">
        <is>
          <t>PDF p.77 (印刷頁 76)</t>
        </is>
      </c>
      <c r="F114" s="11" t="inlineStr">
        <is>
          <t>er policies on energy Suppliers raising Increasing Short to long Monitor policy changes; improve from enhanced climate conservation, carbon emission prices due to compliance term persistently production processes policy requirements reduction, and compliance additional capital costs and technology; leading to additional regulatory expenditure required Advance low-carbon transformation obligations on the Group to cope with stricter environmental regulations 氣候政策要求趨嚴衍生之 節能減碳、合規政策趨嚴，導致 供應商因應環保法 合規成本不斷增 短期至長期 監督政策變動；持續優化生產流 政策及監管風險</t>
        </is>
      </c>
    </row>
    <row r="115">
      <c r="A115" s="8" t="inlineStr">
        <is>
          <t>ESG Data</t>
        </is>
      </c>
      <c r="B115" s="8" t="inlineStr">
        <is>
          <t>環境社會及管治數據</t>
        </is>
      </c>
      <c r="C115" s="8" t="inlineStr">
        <is>
          <t>medium</t>
        </is>
      </c>
      <c r="D115" s="11" t="inlineStr">
        <is>
          <t>carbon</t>
        </is>
      </c>
      <c r="E115" s="11" t="inlineStr">
        <is>
          <t>PDF p.78 (印刷頁 77)</t>
        </is>
      </c>
      <c r="F115" s="11" t="inlineStr">
        <is>
          <t>es; requirements leading to commitments and disclosure of expectation in green Enhance the Group’s performance reputational damage decarbonisation performance operations and in environmental management, reputational damage carbon reduction, disclosure and from inadequate compliance disclosure of climaterelated disclosure resulting in negative impacts on business performance and capital market attractiveness 未妥善應對氣候相關規定 利益相關者對增加氣候承諾及 綠色營運表現未達 融資成本增加 中期 優化綠色設備與環保技術運用； 將有損企業聲譽 減碳資訊披露之期望持續提升 利益相關者預期、 提升本集團的環境管理、減碳、 氣候資訊披露不足 信息披露及</t>
        </is>
      </c>
    </row>
    <row r="116">
      <c r="A116" s="8" t="inlineStr">
        <is>
          <t>ESG Data</t>
        </is>
      </c>
      <c r="B116" s="8" t="inlineStr">
        <is>
          <t>環境社會及管治數據</t>
        </is>
      </c>
      <c r="C116" s="8" t="inlineStr">
        <is>
          <t>medium</t>
        </is>
      </c>
      <c r="D116" s="11" t="inlineStr">
        <is>
          <t>GHG emission</t>
        </is>
      </c>
      <c r="E116" s="11" t="inlineStr">
        <is>
          <t>PDF p.79 (印刷頁 78)</t>
        </is>
      </c>
      <c r="F116" s="11" t="inlineStr">
        <is>
          <t>onmental Aspects” of this 如本環境、社會及管治報告6「環 ESG report, the Group will continue to strive for reducing 境層面」一節所詳述，於二零二 the intensity of GHG emissions in the two financial years 六年至二零二七年兩個財政年 from 2026 to 2027, building on a baseline year of 2025, 度，本集團將以二零二五年的數 referenced to the amount generated per HK$’000 of 據（參照每千港元收入及以每名 revenue and per employee as the baseline, to achieve 僱員所產生的計量）為基線繼續 continuous improvement. The Group’s progress in 致力降低溫室氣體排放密度， achieving the targets will be communicated on an annual 旨在實現進一步改善。本集團將 basis. H</t>
        </is>
      </c>
    </row>
    <row r="117">
      <c r="A117" s="8" t="inlineStr">
        <is>
          <t>ESG Data</t>
        </is>
      </c>
      <c r="B117" s="8" t="inlineStr">
        <is>
          <t>環境社會及管治數據</t>
        </is>
      </c>
      <c r="C117" s="8" t="inlineStr">
        <is>
          <t>medium</t>
        </is>
      </c>
      <c r="D117" s="11" t="inlineStr">
        <is>
          <t>環境、社會及管治</t>
        </is>
      </c>
      <c r="E117" s="11" t="inlineStr">
        <is>
          <t>PDF p.80 (印刷頁 79)</t>
        </is>
      </c>
      <c r="F117" s="11" t="inlineStr">
        <is>
          <t>ENVIRONMENTAL, SOCIAL AND GOVERNANCE REPORT (CONTINUED) 環境、社會及管治報告（續） 7. SOCIAL ASPECTS 7. 社會層面 Employment and Labour Practices 僱傭及勞工常規 7.1 Employment (B1) 7.1 僱傭(B1) As at 31 March 2026, the Group employed 158 full- 於二零二六年三月三十一日，本 time employees, and the Group’s manufacturing 集團聘有158名全職僱員，而本 segment accounts for approximately 93% of the Group’s 集團製造分類的僱員佔本集團員 total workforce. The statistics of the total workforce 工總數約93%。本集團員工總數 of the Group and the e</t>
        </is>
      </c>
    </row>
    <row r="118">
      <c r="A118" s="8" t="inlineStr">
        <is>
          <t>ESG Data</t>
        </is>
      </c>
      <c r="B118" s="8" t="inlineStr">
        <is>
          <t>環境社會及管治數據</t>
        </is>
      </c>
      <c r="C118" s="8" t="inlineStr">
        <is>
          <t>medium</t>
        </is>
      </c>
      <c r="D118" s="11" t="inlineStr">
        <is>
          <t>環境、社會及管治</t>
        </is>
      </c>
      <c r="E118" s="11" t="inlineStr">
        <is>
          <t>PDF p.81 (印刷頁 80)</t>
        </is>
      </c>
      <c r="F118" s="11" t="inlineStr">
        <is>
          <t>ENVIRONMENTAL, SOCIAL AND GOVERNANCE REPORT (CONTINUED) 環境、社會及管治報告（續） 7. SOCIAL ASPECTS 7. 社會層面（續） (Continued) Employment and Labour Practices 僱傭及勞工常規（續） (Continued) 7.1 Employment (B1) (Continued) 7.1 僱傭(B1)（續） The Group appreciates its employees as valuable assets 本集團將僱員視為本集團成功及 to the Group’s success and sustainable development. 可持續發展的寶貴資產。為本集 It is the Group’s policy to attract and retain high caliber 團之業務經營吸引及挽留優秀人 people for its business operatio</t>
        </is>
      </c>
    </row>
    <row r="119">
      <c r="A119" s="8" t="inlineStr">
        <is>
          <t>ESG Data</t>
        </is>
      </c>
      <c r="B119" s="8" t="inlineStr">
        <is>
          <t>環境社會及管治數據</t>
        </is>
      </c>
      <c r="C119" s="8" t="inlineStr">
        <is>
          <t>medium</t>
        </is>
      </c>
      <c r="D119" s="11" t="inlineStr">
        <is>
          <t>環境、社會及管治</t>
        </is>
      </c>
      <c r="E119" s="11" t="inlineStr">
        <is>
          <t>PDF p.82 (印刷頁 81)</t>
        </is>
      </c>
      <c r="F119" s="11" t="inlineStr">
        <is>
          <t>ENVIRONMENTAL, SOCIAL AND GOVERNANCE REPORT (CONTINUED) 環境、社會及管治報告（續） 7. SOCIAL ASPECTS 7. 社會層面（續） (Continued) Employment and Labour Practices 僱傭及勞工常規（續） (Continued) 7.2 Health and Safety (B2) 7.2 健康與安全(B2) The Group is committed to providing and maintaining 本集團致力為其全體僱員提供及 a safe and healthy working environment for all its 維持安全及健康的工作環境。 employees. For the Group’s office operations, management strives 就本集團的辦公室營運而言，管 to maintain smoke-free, healthy and s</t>
        </is>
      </c>
    </row>
    <row r="120">
      <c r="A120" s="8" t="inlineStr">
        <is>
          <t>ESG Data</t>
        </is>
      </c>
      <c r="B120" s="8" t="inlineStr">
        <is>
          <t>環境社會及管治數據</t>
        </is>
      </c>
      <c r="C120" s="8" t="inlineStr">
        <is>
          <t>medium</t>
        </is>
      </c>
      <c r="D120" s="11" t="inlineStr">
        <is>
          <t>環境、社會及管治</t>
        </is>
      </c>
      <c r="E120" s="11" t="inlineStr">
        <is>
          <t>PDF p.83 (印刷頁 82)</t>
        </is>
      </c>
      <c r="F120" s="11" t="inlineStr">
        <is>
          <t>ENVIRONMENTAL, SOCIAL AND GOVERNANCE REPORT (CONTINUED) 環境、社會及管治報告（續） 7. SOCIAL ASPECTS 7. 社會層面（續） (Continued) Employment and Labour Practices 僱傭及勞工常規（續） (Continued) 7.2 Health and Safety (B2) (Continued) 7.2 健康與安全(B2)（續） Preventive Measures on Covid-19 and other 於二零二五年期間及二零二六年 communicable diseases during the 2025 Period and 期間預防新冠肺炎及其他傳染性 2026 Period 疾病的措施 As a stakeholder of the society, the Group follows the 作為社會的利益相關者，本集團 government measures, both</t>
        </is>
      </c>
    </row>
    <row r="121">
      <c r="A121" s="8" t="inlineStr">
        <is>
          <t>ESG Data</t>
        </is>
      </c>
      <c r="B121" s="8" t="inlineStr">
        <is>
          <t>環境社會及管治數據</t>
        </is>
      </c>
      <c r="C121" s="8" t="inlineStr">
        <is>
          <t>medium</t>
        </is>
      </c>
      <c r="D121" s="11" t="inlineStr">
        <is>
          <t>環境、社會及管治</t>
        </is>
      </c>
      <c r="E121" s="11" t="inlineStr">
        <is>
          <t>PDF p.84 (印刷頁 83)</t>
        </is>
      </c>
      <c r="F121" s="11" t="inlineStr">
        <is>
          <t>ENVIRONMENTAL, SOCIAL AND GOVERNANCE REPORT (CONTINUED) 環境、社會及管治報告（續） 7. SOCIAL ASPECTS 7. 社會層面（續） (Continued) Employment and Labour Practices 僱傭及勞工常規（續） (Continued) 7.3 Development and Training (B3) 7.3 發展及培訓(B3) The Group organises and provides on-the-job training 本集團組織及提供在職培訓，以 to develop its employees’ potential in order to support 發展其僱員潛能支持本集團的可 the Group’s sustainable development. The Group also 持續性發展。本集團亦提供培訓 provides training subsidies to suppo</t>
        </is>
      </c>
    </row>
    <row r="122">
      <c r="A122" s="8" t="inlineStr">
        <is>
          <t>ESG Data</t>
        </is>
      </c>
      <c r="B122" s="8" t="inlineStr">
        <is>
          <t>環境社會及管治數據</t>
        </is>
      </c>
      <c r="C122" s="8" t="inlineStr">
        <is>
          <t>medium</t>
        </is>
      </c>
      <c r="D122" s="11" t="inlineStr">
        <is>
          <t>環境、社會及管治</t>
        </is>
      </c>
      <c r="E122" s="11" t="inlineStr">
        <is>
          <t>PDF p.85 (印刷頁 84)</t>
        </is>
      </c>
      <c r="F122" s="11" t="inlineStr">
        <is>
          <t>ENVIRONMENTAL, SOCIAL AND GOVERNANCE REPORT (CONTINUED) 環境、社會及管治報告（續） 7. SOCIAL ASPECTS 7. 社會層面（續） (Continued) Employment and Labour Practices 僱傭及勞工常規（續） (Continued) 7.3 Development and Training (B3) (Continued) 7.3 發展及培訓(B3)（續） Summary of the training performance during the 2026 二零二六年期間培訓表現概要載 Period is as follows: 列如下： 2026 Percentage of employees trained 受訓員工佔比 二零二六年 By gender 按性別劃分 Male 男性 94% Female 女性 95% By category 按類別劃分 Key executive/Senior ma</t>
        </is>
      </c>
    </row>
    <row r="123">
      <c r="A123" s="8" t="inlineStr">
        <is>
          <t>ESG Data</t>
        </is>
      </c>
      <c r="B123" s="8" t="inlineStr">
        <is>
          <t>環境社會及管治數據</t>
        </is>
      </c>
      <c r="C123" s="8" t="inlineStr">
        <is>
          <t>medium</t>
        </is>
      </c>
      <c r="D123" s="11" t="inlineStr">
        <is>
          <t>環境、社會及管治</t>
        </is>
      </c>
      <c r="E123" s="11" t="inlineStr">
        <is>
          <t>PDF p.86 (印刷頁 85)</t>
        </is>
      </c>
      <c r="F123" s="11" t="inlineStr">
        <is>
          <t>ENVIRONMENTAL, SOCIAL AND GOVERNANCE REPORT (CONTINUED) 環境、社會及管治報告（續） 7. SOCIAL ASPECTS 7. 社會層面（續） (Continued) Employment and Labour Practices 僱傭及勞工常規（續） (Continued) 7.4 Labour Standards (B4) 7.4 勞工準則(B4) All employees of the Group are employed in accordance 本集團全體僱員均按相關僱傭 with the relevant laws and regulations on employment 法律法規聘用，涵蓋（其中包括） including, inter alias, working hours, rest periods and 工作時間、休息時間及員工福利 staff benefits. The Group prohibits the use</t>
        </is>
      </c>
    </row>
    <row r="124">
      <c r="A124" s="8" t="inlineStr">
        <is>
          <t>ESG Data</t>
        </is>
      </c>
      <c r="B124" s="8" t="inlineStr">
        <is>
          <t>環境社會及管治數據</t>
        </is>
      </c>
      <c r="C124" s="8" t="inlineStr">
        <is>
          <t>medium</t>
        </is>
      </c>
      <c r="D124" s="11" t="inlineStr">
        <is>
          <t>carbon</t>
        </is>
      </c>
      <c r="E124" s="11" t="inlineStr">
        <is>
          <t>PDF p.87 (印刷頁 86)</t>
        </is>
      </c>
      <c r="F124" s="11" t="inlineStr">
        <is>
          <t>committed to supporting local economies 本集團致力支持當地經濟，優先 by prioritising procurement from local suppliers to 從當地供應商採購，減少運輸過 reduce the carbon footprint from transportation. The 程中的碳足跡。本集團持續關注 Group continuously monitors the policies implemented 中國政府實施的政策，並將考慮 by the PRC government and will consider adopting the 採納官方組織的建議，採購對環 recommendations of official organisations, to purchase 境影響較小的環保產品或服務。 environmentally friendly products or services that have less impact on the environment. 86 EXTRAWELL PHARMACEUTICAL HOLDINGS LIMITED 精優藥業</t>
        </is>
      </c>
    </row>
    <row r="125">
      <c r="A125" s="8" t="inlineStr">
        <is>
          <t>ESG Data</t>
        </is>
      </c>
      <c r="B125" s="8" t="inlineStr">
        <is>
          <t>環境社會及管治數據</t>
        </is>
      </c>
      <c r="C125" s="8" t="inlineStr">
        <is>
          <t>medium</t>
        </is>
      </c>
      <c r="D125" s="11" t="inlineStr">
        <is>
          <t>環境、社會及管治</t>
        </is>
      </c>
      <c r="E125" s="11" t="inlineStr">
        <is>
          <t>PDF p.88 (印刷頁 87)</t>
        </is>
      </c>
      <c r="F125" s="11" t="inlineStr">
        <is>
          <t>ENVIRONMENTAL, SOCIAL AND GOVERNANCE REPORT (CONTINUED) 環境、社會及管治報告（續） 7. SOCIAL ASPECTS 7. 社會層面（續） (Continued) Employment and Labour Practices 僱傭及勞工常規（續） (Continued) 7.5 Supply Chain Management (B5) (Continued) 7.5 供應鏈管理(B5)（續） Trading Activities — For imported products, the Group 貿易活動 — 就進口產品而言， adheres to the principle to minimise the negative impact 本集團堅守原則，透過篩選及委 of the entire supply chain on the environment and society 聘根據GMP法規規定的條件及 by selecting</t>
        </is>
      </c>
    </row>
    <row r="126">
      <c r="A126" s="8" t="inlineStr">
        <is>
          <t>ESG Data</t>
        </is>
      </c>
      <c r="B126" s="8" t="inlineStr">
        <is>
          <t>環境社會及管治數據</t>
        </is>
      </c>
      <c r="C126" s="8" t="inlineStr">
        <is>
          <t>medium</t>
        </is>
      </c>
      <c r="D126" s="11" t="inlineStr">
        <is>
          <t>環境、社會及管治</t>
        </is>
      </c>
      <c r="E126" s="11" t="inlineStr">
        <is>
          <t>PDF p.89 (印刷頁 88)</t>
        </is>
      </c>
      <c r="F126" s="11" t="inlineStr">
        <is>
          <t>ENVIRONMENTAL, SOCIAL AND GOVERNANCE REPORT (CONTINUED) 環境、社會及管治報告（續） 7. SOCIAL ASPECTS 7. 社會層面（續） (Continued) Employment and Labour Practices 僱傭及勞工常規（續） (Continued) 7.6 Product Responsibility (B6) (Continued) 7.6 產品責任(B6)（續） Product and Service Quality — All products sold by 產品及服務品質 — 本集團銷售 the Group have clear instructions and specifications as 的所有產品均就其成分、質量及 to its composition, quality and safety use for end-user 安全使用附有清晰的使用說明及 protection purpose, w</t>
        </is>
      </c>
    </row>
    <row r="127">
      <c r="A127" s="8" t="inlineStr">
        <is>
          <t>ESG Data</t>
        </is>
      </c>
      <c r="B127" s="8" t="inlineStr">
        <is>
          <t>環境社會及管治數據</t>
        </is>
      </c>
      <c r="C127" s="8" t="inlineStr">
        <is>
          <t>medium</t>
        </is>
      </c>
      <c r="D127" s="11" t="inlineStr">
        <is>
          <t>環境、社會及管治</t>
        </is>
      </c>
      <c r="E127" s="11" t="inlineStr">
        <is>
          <t>PDF p.90 (印刷頁 89)</t>
        </is>
      </c>
      <c r="F127" s="11" t="inlineStr">
        <is>
          <t>ENVIRONMENTAL, SOCIAL AND GOVERNANCE REPORT (CONTINUED) 環境、社會及管治報告（續） 7. SOCIAL ASPECTS 7. 社會層面（續） (Continued) Employment and Labour Practices 僱傭及勞工常規（續） (Continued) 7.7 Anti-corruption (B7) 7.7 反貪污(B7) The Company recognises the importance of good 本公司深明良好商業道德的重要 business ethics, which along with good corporate 性，其與良好的企業管治一起構 governance, are essential foundation to success. The 成達致成功的重要基礎。本集團 Group values an ethical approach to business activities to 重</t>
        </is>
      </c>
    </row>
    <row r="128">
      <c r="A128" s="8" t="inlineStr">
        <is>
          <t>ESG Data</t>
        </is>
      </c>
      <c r="B128" s="8" t="inlineStr">
        <is>
          <t>環境社會及管治數據</t>
        </is>
      </c>
      <c r="C128" s="8" t="inlineStr">
        <is>
          <t>medium</t>
        </is>
      </c>
      <c r="D128" s="11" t="inlineStr">
        <is>
          <t>環境、社會及管治</t>
        </is>
      </c>
      <c r="E128" s="11" t="inlineStr">
        <is>
          <t>PDF p.91 (印刷頁 90)</t>
        </is>
      </c>
      <c r="F128" s="11" t="inlineStr">
        <is>
          <t>ENVIRONMENTAL, SOCIAL AND GOVERNANCE REPORT (CONTINUED) 環境、社會及管治報告（續） 7. SOCIAL ASPECTS 7. 社會層面（續） (Continued) Employment and Labour Practices 僱傭及勞工常規（續） (Continued) 7.7 Anti-corruption (B7) (Continued) 7.7 反貪污(B7)（續） The Group provides regular training to employees to 本集團定期向僱員提供培訓，以 update them with the current trends and bribery issues 使彼等了解本集團面臨的最新趨 faced by the Group, which covers legal knowledge about 勢及賄賂問題，其中涵蓋工作場 anti-corruption and integrity b</t>
        </is>
      </c>
    </row>
    <row r="129">
      <c r="A129" s="8" t="inlineStr">
        <is>
          <t>ESG Data</t>
        </is>
      </c>
      <c r="B129" s="8" t="inlineStr">
        <is>
          <t>環境社會及管治數據</t>
        </is>
      </c>
      <c r="C129" s="8" t="inlineStr">
        <is>
          <t>medium</t>
        </is>
      </c>
      <c r="D129" s="11" t="inlineStr">
        <is>
          <t>greenhouse gas</t>
        </is>
      </c>
      <c r="E129" s="11" t="inlineStr">
        <is>
          <t>PDF p.92 (印刷頁 91)</t>
        </is>
      </c>
      <c r="F129" s="11" t="inlineStr">
        <is>
          <t>this report: 鍵績效指標資料： 2026 2025 二零二六年 二零二五年 Environment 環境 Air pollutants (Kg) 空氣污染物（千克） SOx 硫氧化物 — 159 NOx 氮氧化物 905 629 PM 顆粒物 9 — Greenhouse gas (Tonne CO2) 溫室氣體（噸二氧化碳） Total emission: 總排放量： 1,896 2,015 Direct emission (Scope 1) 直接排放（範圍1） 797 814 Indirect emission (Scope 2) 間接排放（範圍2） 1,072 1,182 Indirect emission (Scope 3) 間接排放（範圍3） 27 19 Intensity per employee 每名僱員強度 12 12 Wastes (Tonne) 廢棄物（噸） Total hazardous waste produced 所產生有害廢棄物總量 27,491 25,064 Intensity (Hazardous waste) per employee 每名僱員強度（有害廢棄物） 174 154 Total non-ha</t>
        </is>
      </c>
    </row>
    <row r="130">
      <c r="A130" s="8" t="inlineStr">
        <is>
          <t>ESG Data</t>
        </is>
      </c>
      <c r="B130" s="8" t="inlineStr">
        <is>
          <t>環境社會及管治數據</t>
        </is>
      </c>
      <c r="C130" s="8" t="inlineStr">
        <is>
          <t>medium</t>
        </is>
      </c>
      <c r="D130" s="11" t="inlineStr">
        <is>
          <t>環境、社會及管治</t>
        </is>
      </c>
      <c r="E130" s="11" t="inlineStr">
        <is>
          <t>PDF p.93 (印刷頁 92)</t>
        </is>
      </c>
      <c r="F130" s="11" t="inlineStr">
        <is>
          <t>ENVIRONMENTAL, SOCIAL AND GOVERNANCE REPORT (CONTINUED) 環境、社會及管治報告（續） 9. ENVIRONMENTAL KEY PERFORMANCE 9. 環境關鍵績效指標（「關鍵績 INDICATORS (“KPIs”) TABLE 效指標」）表（續） (Continued) 2026 2025 二零二六年 二零二五年 Social 社會 Total workforce (persons) — Group 工作員工（人員）總數 — 本集團 158 163 By gender: 按性別劃分： Male 男 64 66 Female 女 94 97 By age group: 按年齡組別劃分： &lt;30 30歲以下 7 7 30–50 30至50歲 102 107 &gt;50 50歲以上 49 49 By employment type: 按僱傭類型劃分： Permanent 全職 158 163 Part-time 兼職 — — Employee t</t>
        </is>
      </c>
    </row>
    <row r="131">
      <c r="A131" s="8" t="inlineStr">
        <is>
          <t>R&amp;D Expenditure</t>
        </is>
      </c>
      <c r="B131" s="8" t="inlineStr">
        <is>
          <t>研發開支</t>
        </is>
      </c>
      <c r="C131" s="8" t="inlineStr">
        <is>
          <t>medium</t>
        </is>
      </c>
      <c r="D131" s="11" t="inlineStr">
        <is>
          <t>research and development</t>
        </is>
      </c>
      <c r="E131" s="11" t="inlineStr">
        <is>
          <t>PDF p.11 (印刷頁 10)</t>
        </is>
      </c>
      <c r="F131" s="11" t="inlineStr">
        <is>
          <t>公司統稱「進生集團」）49%股權。進生 The major asset of the Smart Ascent Group is an intangible asset in 集團之主要資產為有關進行中之研發項目 relation to an in-process research and development project (the “In- （「研發中項目」）之無形資產，當中涉及口 process R&amp;D”) involving an oral insulin product (the “Product”) which is 服胰島素產品（「該產品」），其處於臨床測試 in its clinical trial stage. As a minority shareholder of Smart Ascent, the 階段。作為進生之少數股東，本集團已與星 Group has been working closely with Starcoin Group Limited (“Starcoin”, 太鏈集團有限公司（「星太鏈」，前稱領航醫 formerly known as Innovative Pharmaceutical Biotech</t>
        </is>
      </c>
    </row>
    <row r="132">
      <c r="A132" s="8" t="inlineStr">
        <is>
          <t>R&amp;D Expenditure</t>
        </is>
      </c>
      <c r="B132" s="8" t="inlineStr">
        <is>
          <t>研發開支</t>
        </is>
      </c>
      <c r="C132" s="8" t="inlineStr">
        <is>
          <t>medium</t>
        </is>
      </c>
      <c r="D132" s="11" t="inlineStr">
        <is>
          <t>研發</t>
        </is>
      </c>
      <c r="E132" s="11" t="inlineStr">
        <is>
          <t>PDF p.14 (印刷頁 13)</t>
        </is>
      </c>
      <c r="F132" s="11" t="inlineStr">
        <is>
          <t>esaid unexpected event, the Smart 意外事件，進生集團及星太鏈需要耗費一 Ascent Group and Starcoin shall take some time to rearrange their 些時間重新調配其財務資源，而研發中項 financial resources and the progress of the In-process R&amp;D has been 目的進展亦有所延緩，以待資金到位。鑒於 slowed down pending the availability of funding. Given the current 當前的情況，進生集團已重新評估該產品 circumstances, the Smart Ascent Group has reassessed the timeline 商品化的時間表，目前預期為二零三零年 for commercialisation of the Product, which is currently expected to 第一季度前後。 be in around the first quarter of 2030. Diabetes is a chron</t>
        </is>
      </c>
    </row>
    <row r="133">
      <c r="A133" s="8" t="inlineStr">
        <is>
          <t>R&amp;D Expenditure</t>
        </is>
      </c>
      <c r="B133" s="8" t="inlineStr">
        <is>
          <t>研發開支</t>
        </is>
      </c>
      <c r="C133" s="8" t="inlineStr">
        <is>
          <t>medium</t>
        </is>
      </c>
      <c r="D133" s="11" t="inlineStr">
        <is>
          <t>研發</t>
        </is>
      </c>
      <c r="E133" s="11" t="inlineStr">
        <is>
          <t>PDF p.15 (印刷頁 14)</t>
        </is>
      </c>
      <c r="F133" s="11" t="inlineStr">
        <is>
          <t>業務回顧（續） (Continued) Interest in an Associate 於一間聯營公司之權益（續） (Continued) The expected future economic benefits attributable to the In- 研發中項目應佔預期未來經濟利益乃假設 process R&amp;D was assumed to cover a 10-year period from the 自該產品商品化起涵蓋十年期間。用於計 commercialisation of the Product. The calculation used in the cash 算現金流量預測之若干關鍵參數如下： flow projections with certain key parameters are as below: 2026 2025 二零二六年 二零二五年 Discount rate (post-tax) 貼現率（除稅後） 31.00% 31.53% Growth rate 增長率 2% 2% Gross profit ratio 毛利率 34% 39% Estimate successful rate* 估計成功率* 52.</t>
        </is>
      </c>
    </row>
    <row r="134">
      <c r="A134" s="8" t="inlineStr">
        <is>
          <t>R&amp;D Expenditure</t>
        </is>
      </c>
      <c r="B134" s="8" t="inlineStr">
        <is>
          <t>研發開支</t>
        </is>
      </c>
      <c r="C134" s="8" t="inlineStr">
        <is>
          <t>medium</t>
        </is>
      </c>
      <c r="D134" s="11" t="inlineStr">
        <is>
          <t>研發</t>
        </is>
      </c>
      <c r="E134" s="11" t="inlineStr">
        <is>
          <t>PDF p.19 (印刷頁 18)</t>
        </is>
      </c>
      <c r="F134" s="11" t="inlineStr">
        <is>
          <t>iaries are principally engaged in the trading of 要從事美容產品及設備貿易以及口服胰島 beauty products and equipment, and research, development and 素產品的研發及商業化。 commercialisation of the oral insulin product. Pursuant to the third deed of amendment entered into between 根據本公司與星太鏈於二零二三年四月二 the Company and Starcoin on 28 April 2023, which was effective 十八日訂立並於二零二三年七月十二日生 on 12 July 2023, the maturity date of the Starcoin Bonds was 效的第三份修訂契據，星太鏈債券的到期 further extended for two years from 28 July 2023 to 28 July 2025. 日由二零二三年七月二十八日進一步延長 Any outstanding pr</t>
        </is>
      </c>
    </row>
    <row r="135">
      <c r="A135" s="8" t="inlineStr">
        <is>
          <t>R&amp;D Expenditure</t>
        </is>
      </c>
      <c r="B135" s="8" t="inlineStr">
        <is>
          <t>研發開支</t>
        </is>
      </c>
      <c r="C135" s="8" t="inlineStr">
        <is>
          <t>medium</t>
        </is>
      </c>
      <c r="D135" s="11" t="inlineStr">
        <is>
          <t>研發</t>
        </is>
      </c>
      <c r="E135" s="11" t="inlineStr">
        <is>
          <t>PDF p.28 (印刷頁 27)</t>
        </is>
      </c>
      <c r="F135" s="11" t="inlineStr">
        <is>
          <t>d direct engagement with Starcoin’s 行即時且持續的監察。同時，管理層正與進 management. In parallel, the Management is maintaining regular 生集團保持定期溝通，以追蹤其研發中項 communication with the Smart Ascent Group to track the progress of 目的進展，包括臨床試驗狀態、監管審批及 its In-process R&amp;D, including clinical trial status, regulatory approvals, 經修訂的商業化計劃。 and the revised commercialisation plan. In relation to Starcoin’s corporate developments, the Management is 有關星太鏈的企業發展事宜，管理層正每 actively tracking its fundraising activities on a monthly basis, as well 月積極追蹤其集資活動，以及其於截至二 as</t>
        </is>
      </c>
    </row>
    <row r="136">
      <c r="A136" s="8" t="inlineStr">
        <is>
          <t>R&amp;D Expenditure</t>
        </is>
      </c>
      <c r="B136" s="8" t="inlineStr">
        <is>
          <t>研發開支</t>
        </is>
      </c>
      <c r="C136" s="8" t="inlineStr">
        <is>
          <t>medium</t>
        </is>
      </c>
      <c r="D136" s="11" t="inlineStr">
        <is>
          <t>研發</t>
        </is>
      </c>
      <c r="E136" s="11" t="inlineStr">
        <is>
          <t>PDF p.29 (印刷頁 28)</t>
        </is>
      </c>
      <c r="F136" s="11" t="inlineStr">
        <is>
          <t>s that the ultimate resolution is 司承認，最終解決方案取決於其無法控制 dependent on factors beyond its control, including the financial 的因素，包括星太鏈的財務復甦及研發中 recovery of Starcoin and the progress of the In-process R&amp;D. The 項目的進展。本公司將繼續與核數師緊密 Company will continue to work closely with the Auditor and will 合作，並將提供所有可用資料，以在最大程 provide all available information to facilitate the removal of the audit 度上協助移除審核保留意見。尤其是，本公 qualification to the fullest extent possible. In particular, the Company 司不排除尋求機會接觸潛在買家以處置星 does not exclude the possibility of seeking</t>
        </is>
      </c>
    </row>
    <row r="137">
      <c r="A137" s="8" t="inlineStr">
        <is>
          <t>R&amp;D Expenditure</t>
        </is>
      </c>
      <c r="B137" s="8" t="inlineStr">
        <is>
          <t>研發開支</t>
        </is>
      </c>
      <c r="C137" s="8" t="inlineStr">
        <is>
          <t>medium</t>
        </is>
      </c>
      <c r="D137" s="11" t="inlineStr">
        <is>
          <t>research and development</t>
        </is>
      </c>
      <c r="E137" s="11" t="inlineStr">
        <is>
          <t>PDF p.30 (印刷頁 29)</t>
        </is>
      </c>
      <c r="F137" s="11" t="inlineStr">
        <is>
          <t>基因集團公司創始人之一。作為在人類基 scientist with significant breakthroughs in human genome research, 因研究中作出突破性進展的科學家，謝博 Dr. Xie is responsible for research and development and management 士負責聯合基因集團的研發工作及管理事 of United Gene group and is the vice chairman and chief executive 務，並擔任中國聯合基因控股有限公司之 officer of United Gene Holdings Limited in the PRC. 副董事長及行政總裁。 Dr. Xie was appointed as an executive director in June 2001 and 謝博士於二零零一年六月獲委任為執行董 was redesignated as the chairman of the board of directors of the 事，並於二零一三年十二月獲調任為本公 Company (the “Board”) in</t>
        </is>
      </c>
    </row>
    <row r="138">
      <c r="A138" s="8" t="inlineStr">
        <is>
          <t>R&amp;D Expenditure</t>
        </is>
      </c>
      <c r="B138" s="8" t="inlineStr">
        <is>
          <t>研發開支</t>
        </is>
      </c>
      <c r="C138" s="8" t="inlineStr">
        <is>
          <t>medium</t>
        </is>
      </c>
      <c r="D138" s="11" t="inlineStr">
        <is>
          <t>research and development</t>
        </is>
      </c>
      <c r="E138" s="11" t="inlineStr">
        <is>
          <t>PDF p.54 (印刷頁 53)</t>
        </is>
      </c>
      <c r="F138" s="11" t="inlineStr">
        <is>
          <t>2030; and (iv) 關批准星太鏈債券之建議第四次修訂 the uncertainty surrounding the revised commercialisation plan （將到期日延後至二零三零年七月二 of the product under research and development by the Smart 十八日）之不確定性；及(iv)有關進生集 Ascent Group. 團研發中之產品之經修訂商業計劃之 不確定性。 ANNUAL REPORT 2026 二零二六年年報 53</t>
        </is>
      </c>
    </row>
    <row r="139">
      <c r="A139" s="8" t="inlineStr">
        <is>
          <t>R&amp;D Expenditure</t>
        </is>
      </c>
      <c r="B139" s="8" t="inlineStr">
        <is>
          <t>研發開支</t>
        </is>
      </c>
      <c r="C139" s="8" t="inlineStr">
        <is>
          <t>medium</t>
        </is>
      </c>
      <c r="D139" s="11" t="inlineStr">
        <is>
          <t>research and development</t>
        </is>
      </c>
      <c r="E139" s="11" t="inlineStr">
        <is>
          <t>PDF p.78 (印刷頁 77)</t>
        </is>
      </c>
      <c r="F139" s="11" t="inlineStr">
        <is>
          <t>ugs resulting from opportunities to Develop new product lines to meet extreme weather encourage suppliers and logistic market demand research and development of service providers new drugs, further develop the pharmaceutical market and create more business opportunities 氣候機遇—產品與市場 極端天氣誘發更多新型疾病及 為供應商及物流服 拓闊收入來源 長期 持續跟蹤藥品市場需求變化； 特定藥品需求激增，推動新藥 務商帶來更多商機 開發新產品線滿足市場需求 研發、進一步拓展醫藥市場及 創造更多營商機會 The Group has not incorporated climate-related 由於於報告日期未能以不造成過 scenario analysis into its decision-making processes 度成本或負擔之方式取得合理且 due to reasonab</t>
        </is>
      </c>
    </row>
    <row r="140">
      <c r="A140" s="8" t="inlineStr">
        <is>
          <t>R&amp;D Expenditure</t>
        </is>
      </c>
      <c r="B140" s="8" t="inlineStr">
        <is>
          <t>研發開支</t>
        </is>
      </c>
      <c r="C140" s="8" t="inlineStr">
        <is>
          <t>medium</t>
        </is>
      </c>
      <c r="D140" s="11" t="inlineStr">
        <is>
          <t>research and development</t>
        </is>
      </c>
      <c r="E140" s="11" t="inlineStr">
        <is>
          <t>PDF p.89 (印刷頁 88)</t>
        </is>
      </c>
      <c r="F140" s="11" t="inlineStr">
        <is>
          <t>h, development and production, 發及生產而獲取的知識產權，包 including patent rights, technology, trade secrets and 括研發過程中的專利權、技術、 materials in the research and development processes. 商業機密及材料。保密相關機制 The confidentiality-related mechanism requires employees 要求僱員保持高度保密性，謹慎 to maintain a high degree of confidentiality and to use and 使用及處理商業機密資料。 carefully handle trade secret data. Customer Privacy Protection — The Group implemented 保護客戶私隱 — 本集團實施客 measures on protection of customers’ data and privacy 戶資料及私隱保護措施並進行 and carried out supervision. Gui</t>
        </is>
      </c>
    </row>
    <row r="141">
      <c r="A141" s="8" t="inlineStr">
        <is>
          <t>R&amp;D Expenditure</t>
        </is>
      </c>
      <c r="B141" s="8" t="inlineStr">
        <is>
          <t>研發開支</t>
        </is>
      </c>
      <c r="C141" s="8" t="inlineStr">
        <is>
          <t>medium</t>
        </is>
      </c>
      <c r="D141" s="11" t="inlineStr">
        <is>
          <t>research and development</t>
        </is>
      </c>
      <c r="E141" s="11" t="inlineStr">
        <is>
          <t>PDF p.96 (印刷頁 95)</t>
        </is>
      </c>
      <c r="F141" s="11" t="inlineStr">
        <is>
          <t>者，如可對本集團之長期 provide continuing services to the Group such as consultants and 增長作出貢獻之研究及開發或業務領域 professional advisers in the areas of research and development or 的顧問及專業顧問。 business that can contribute to the long-term growth of the Group. Maximum Number of Shares 股份數目上限 The total number of shares available for issue under the Option 購股權計劃項下可供發行的股份總數為 Scheme is 239,000,000 shares, which represent (i) 10% of the 239,000,000股，相當於：(i)批准購股權計 Company’s shares in issue at the date of passing the relevant 劃的相關決議案通過當日之本公司已發行 resolution a</t>
        </is>
      </c>
    </row>
    <row r="142">
      <c r="A142" s="8" t="inlineStr">
        <is>
          <t>R&amp;D Expenditure</t>
        </is>
      </c>
      <c r="B142" s="8" t="inlineStr">
        <is>
          <t>研發開支</t>
        </is>
      </c>
      <c r="C142" s="8" t="inlineStr">
        <is>
          <t>medium</t>
        </is>
      </c>
      <c r="D142" s="11" t="inlineStr">
        <is>
          <t>研發</t>
        </is>
      </c>
      <c r="E142" s="11" t="inlineStr">
        <is>
          <t>PDF p.111 (印刷頁 110)</t>
        </is>
      </c>
      <c r="F142" s="11" t="inlineStr">
        <is>
          <t>xchange”) which is mainly （「聯交所」）上市，主要於香港從事美容產品貿易 engaged in the trading of beauty products in Hong Kong and the research, 以及口服胰島素產品的研發及商業化。 development and commercialisation of the oral insulin product. 110 EXTRAWELL PHARMACEUTICAL HOLDINGS LIMITED 精優藥業控股有限公司</t>
        </is>
      </c>
    </row>
    <row r="143">
      <c r="A143" s="8" t="inlineStr">
        <is>
          <t>R&amp;D Expenditure</t>
        </is>
      </c>
      <c r="B143" s="8" t="inlineStr">
        <is>
          <t>研發開支</t>
        </is>
      </c>
      <c r="C143" s="8" t="inlineStr">
        <is>
          <t>medium</t>
        </is>
      </c>
      <c r="D143" s="11" t="inlineStr">
        <is>
          <t>research and development</t>
        </is>
      </c>
      <c r="E143" s="11" t="inlineStr">
        <is>
          <t>PDF p.112 (印刷頁 111)</t>
        </is>
      </c>
      <c r="F143" s="11" t="inlineStr">
        <is>
          <t>投資於一間聯營公司進生集團。進生集團持 asset held by the Smart Ascent Group is an intangible asset in relation to 有的主要資產為有關研發中項目（「研發中項目」） an in-process research and development project (the “In-process R&amp;D”) 的無形資產，當中涉及口服胰島素產品（「該產 involving an oral insulin product (the “Product”) and the Smart Ascent Group 品」），且進生集團正持續研發及商業化該產品。 is continuing the research and development and commercialising the Product. 透過全資附屬公司，星太鏈擁有進生集團51% Through a wholly-owned subsidiary, Starcoin owns 51% equity interest in the 股權。 Smart Ascent Group. ANNUAL REPORT 2026 二零二六年</t>
        </is>
      </c>
    </row>
    <row r="144">
      <c r="A144" s="8" t="inlineStr">
        <is>
          <t>R&amp;D Expenditure</t>
        </is>
      </c>
      <c r="B144" s="8" t="inlineStr">
        <is>
          <t>研發開支</t>
        </is>
      </c>
      <c r="C144" s="8" t="inlineStr">
        <is>
          <t>medium</t>
        </is>
      </c>
      <c r="D144" s="11" t="inlineStr">
        <is>
          <t>研發</t>
        </is>
      </c>
      <c r="E144" s="11" t="inlineStr">
        <is>
          <t>PDF p.113 (印刷頁 112)</t>
        </is>
      </c>
      <c r="F144" s="11" t="inlineStr">
        <is>
          <t>the first quarter of 2030 and 家藥品監督管理局是否將會根據經修訂及更新的 (ii) whether the clinical trial results will meet the standards and the National 研發中項目的商業計劃核發必要的證書。 Medical Products Administration will grant the necessary certificates in accordance with the revised and updated In-process R&amp;D commercialisation plan. In view of such circumstances, despite the best efforts of the management of 鑒於有關情況，儘管 貴公司管理層已竭力向進 the Company to obtain the financial information of the Smart Ascent Group 生集團管理層取得進生集團之財務資料，以釐定 from the management of the Smart A</t>
        </is>
      </c>
    </row>
    <row r="145">
      <c r="A145" s="8" t="inlineStr">
        <is>
          <t>R&amp;D Expenditure</t>
        </is>
      </c>
      <c r="B145" s="8" t="inlineStr">
        <is>
          <t>研發開支</t>
        </is>
      </c>
      <c r="C145" s="8" t="inlineStr">
        <is>
          <t>medium</t>
        </is>
      </c>
      <c r="D145" s="11" t="inlineStr">
        <is>
          <t>research and development</t>
        </is>
      </c>
      <c r="E145" s="11" t="inlineStr">
        <is>
          <t>PDF p.166 (印刷頁 165)</t>
        </is>
      </c>
      <c r="F145" s="11" t="inlineStr">
        <is>
          <t>cent Group”). The major asset held by the Smart Ascent Group is an 生集團」）之權益。進生集團所持之主要資 intangible asset in relation to an in-process research and development 產為有關進行中之研究及開發項目（「研發 project (the “In-process R&amp;D”) involving an oral insulin product (the 中項目」）之無形資產，當中涉及口服胰島 “Product”) and the Smart Ascent Group is continuing the research 素產品（「該產品」）且進生集團正繼續研發 and development and commercialising the Product. At the end of the 及商品化產品。於報告期末，經參考獨立 reporting period, with reference to a valuation report prepared by an 專業合資格估值師編製之估值報告，董事 inde</t>
        </is>
      </c>
    </row>
    <row r="146">
      <c r="A146" s="8" t="inlineStr">
        <is>
          <t>R&amp;D Expenditure</t>
        </is>
      </c>
      <c r="B146" s="8" t="inlineStr">
        <is>
          <t>研發開支</t>
        </is>
      </c>
      <c r="C146" s="8" t="inlineStr">
        <is>
          <t>medium</t>
        </is>
      </c>
      <c r="D146" s="11" t="inlineStr">
        <is>
          <t>research and development</t>
        </is>
      </c>
      <c r="E146" s="11" t="inlineStr">
        <is>
          <t>PDF p.195 (印刷頁 194)</t>
        </is>
      </c>
      <c r="F146" s="11" t="inlineStr">
        <is>
          <t>E AND LOAN TO 收一間聯營公司款項及貸款 AN ASSOCIATE 予一間聯營公司（續） (Continued) (a) Interest in an associate (a) 於一間聯營公司之權益（續） (Continued) In-process research and development project for 有關口服胰島素產品的研發 an oral insulin product 中項目 The In-process R&amp;D represents an in-process research and 研發中項目指涉及該產品正在進行 development project involving the Product. The Smart Ascent 的研發項目。進生集團正持續進行研 Group is continuing the research and development work and 發工作及商品化該產品。一項有關該 commercialising the Product. The patents of an invention 產品之「一種製備口服胰島素油相製 “a method of production</t>
        </is>
      </c>
    </row>
    <row r="147">
      <c r="A147" s="8" t="inlineStr">
        <is>
          <t>R&amp;D Expenditure</t>
        </is>
      </c>
      <c r="B147" s="8" t="inlineStr">
        <is>
          <t>研發開支</t>
        </is>
      </c>
      <c r="C147" s="8" t="inlineStr">
        <is>
          <t>medium</t>
        </is>
      </c>
      <c r="D147" s="11" t="inlineStr">
        <is>
          <t>research and development</t>
        </is>
      </c>
      <c r="E147" s="11" t="inlineStr">
        <is>
          <t>PDF p.196 (印刷頁 195)</t>
        </is>
      </c>
      <c r="F147" s="11" t="inlineStr">
        <is>
          <t>E AND LOAN TO 收一間聯營公司款項及貸款 AN ASSOCIATE 予一間聯營公司（續） (Continued) (a) Interest in an associate (a) 於一間聯營公司之權益（續） (Continued) In-process research and development project for 有關口服胰島素產品的研發 an oral insulin product (Continued) 中項目（續） In light of the above, during the year ended 31 March 2025, 鑒於上文所述者，於截至二零二五年 the Smart Ascent Group has not been able to fully implement 三月三十一日止年度，進生集團未能 all the necessary measures. After further consideration by 全面實施所有必要措施。在進生管理 the management of Smart Ascent and based on the then 層進一步考慮後及根據當時情況，因 circums</t>
        </is>
      </c>
    </row>
    <row r="148">
      <c r="A148" s="8" t="inlineStr">
        <is>
          <t>R&amp;D Expenditure</t>
        </is>
      </c>
      <c r="B148" s="8" t="inlineStr">
        <is>
          <t>研發開支</t>
        </is>
      </c>
      <c r="C148" s="8" t="inlineStr">
        <is>
          <t>medium</t>
        </is>
      </c>
      <c r="D148" s="11" t="inlineStr">
        <is>
          <t>研發</t>
        </is>
      </c>
      <c r="E148" s="11" t="inlineStr">
        <is>
          <t>PDF p.197 (印刷頁 196)</t>
        </is>
      </c>
      <c r="F148" s="11" t="inlineStr">
        <is>
          <t>e amount of the Group’s interest in the Smart Ascent 可收回金額時採納資產法。在此過程 Group. In doing so, the recoverable amount of the In-process 中，研發中項目之可收回金額乃使用 R&amp;D is determined based on fair value calculation using the 收益法按公平值計算釐定。公平值計 income approach. The fair value calculation used the cash 算法使用經董事批准的十年預測期 flow projection approved by the Directors based on 10-year 之現金流量預測。鑒於該產品之性質 projection period. Given the nature of the Product, which is （預期將為市場上首款可供銷售之口 expected to be the first oral insulin drug available in the market, 服胰島素藥物），董事認為</t>
        </is>
      </c>
    </row>
    <row r="149">
      <c r="A149" s="8" t="inlineStr">
        <is>
          <t>R&amp;D Expenditure</t>
        </is>
      </c>
      <c r="B149" s="8" t="inlineStr">
        <is>
          <t>研發開支</t>
        </is>
      </c>
      <c r="C149" s="8" t="inlineStr">
        <is>
          <t>medium</t>
        </is>
      </c>
      <c r="D149" s="11" t="inlineStr">
        <is>
          <t>研發</t>
        </is>
      </c>
      <c r="E149" s="11" t="inlineStr">
        <is>
          <t>PDF p.198 (印刷頁 197)</t>
        </is>
      </c>
      <c r="F149" s="11" t="inlineStr">
        <is>
          <t>司之權益（續） (Continued) Impairment assessment (Continued) 減值評估（續） The expected future economic benefits attributable to the In- 本公司管理層審批的研發中項目應 process R&amp;D approved by the management of the Company 佔預期未來經濟利益涵蓋十年期 cover a 10-year period. The calculation used in the determination 間。用於釐定進生集團之可收回金額 of the recoverable amount of the Smart Ascent Group and its key 之計算及其關鍵參數如下： parameters are as below: 2026 2025 二零二六年 二零二五年 Discount rate (post-tax) 貼現率（除稅後） 31.00% 31.53% Growth rate 增長率 2.0% 2.0% Gross profit ratio 毛利率 34% 39% Estimate suc</t>
        </is>
      </c>
    </row>
    <row r="150">
      <c r="A150" s="8" t="inlineStr">
        <is>
          <t>R&amp;D Expenditure</t>
        </is>
      </c>
      <c r="B150" s="8" t="inlineStr">
        <is>
          <t>研發開支</t>
        </is>
      </c>
      <c r="C150" s="8" t="inlineStr">
        <is>
          <t>medium</t>
        </is>
      </c>
      <c r="D150" s="11" t="inlineStr">
        <is>
          <t>研發</t>
        </is>
      </c>
      <c r="E150" s="11" t="inlineStr">
        <is>
          <t>PDF p.199 (印刷頁 198)</t>
        </is>
      </c>
      <c r="F150" s="11" t="inlineStr">
        <is>
          <t>will grant the necessary certificates in accordance 藥品監督管理局將根據經修訂及更 with the revised and updated In-process R&amp;D commercialisation 新的研發中項目商業化計劃頒發必 plan and thus, with reference to the valuation prepared by 要的證書，因此，參照上文所述由獨 independent professional qualified valuer as described above, 立專業合資格估值師編製的估值， the recoverable amount of the Group’s interest in the Smart 本集團於進生集團之權益之可收回 Ascent Group was lower than its carrying amount and thus, 金額低於其賬面值，因此，已確認 an impairment loss of approximately HK$95,237,000 was 約95,237,000港元的減值虧損，有關 recogn</t>
        </is>
      </c>
    </row>
    <row r="151">
      <c r="A151" s="8" t="inlineStr">
        <is>
          <t>R&amp;D Expenditure</t>
        </is>
      </c>
      <c r="B151" s="8" t="inlineStr">
        <is>
          <t>研發開支</t>
        </is>
      </c>
      <c r="C151" s="8" t="inlineStr">
        <is>
          <t>medium</t>
        </is>
      </c>
      <c r="D151" s="11" t="inlineStr">
        <is>
          <t>研發</t>
        </is>
      </c>
      <c r="E151" s="11" t="inlineStr">
        <is>
          <t>PDF p.200 (印刷頁 199)</t>
        </is>
      </c>
      <c r="F151" s="11" t="inlineStr">
        <is>
          <t>政策差異作出調整）如下： 2026 2025 二零二六年 二零二五年 HK$’000 HK$’000 千港元 千港元 (unaudited) （未經審核） Non-current assets, mainly intangible assets 非流動資產，主要為與研發中項 relating to In-process R&amp;D (Note below) 目（下文附註）相關之無形 資產 284,260 284,260 Current assets 流動資產 3,486 1,722 Current liabilities 流動負債 (61,081) (47,042) Non-current liabilities 非流動負債 (82,198) (83,710) 144,467 155,230 Non-controlling interests 非控股權益 (84,914) (88,675) Net assets of the Smart Ascent Group 進生擁有人應佔進生集團之資產 attributable to owners of Smart Ascent 淨值 59,553 66,555 Note: The In-process R&amp;D i</t>
        </is>
      </c>
    </row>
    <row r="152">
      <c r="A152" s="8" t="inlineStr">
        <is>
          <t>R&amp;D Expenditure</t>
        </is>
      </c>
      <c r="B152" s="8" t="inlineStr">
        <is>
          <t>研發開支</t>
        </is>
      </c>
      <c r="C152" s="8" t="inlineStr">
        <is>
          <t>medium</t>
        </is>
      </c>
      <c r="D152" s="11" t="inlineStr">
        <is>
          <t>研發</t>
        </is>
      </c>
      <c r="E152" s="11" t="inlineStr">
        <is>
          <t>PDF p.208 (印刷頁 207)</t>
        </is>
      </c>
      <c r="F152" s="11" t="inlineStr">
        <is>
          <t>in the trading of beauty products in Hong Kong 香港從事美容產品貿易以及口服胰 and the research, development and commercialisation of the oral 島素產品的研發及商業化。 insulin product. As at 31 March 2026, the Directors consider that (i) Starcoin 於二零二六年三月三十一日，董事 does not hold any shares of the Company; (ii) certain Directors 認為(i)星太鏈並無持有任何本公司 own certain equity interests in Starcoin; and (iii) Dr. Mao Yumin 股份；(ii)若干董事持有星太鏈若干 (“Dr. Mao”), a substantial shareholder of Starcoin, holds certain 股權；及(iii)毛裕民博士（「毛博士」） equity interests in the Company. Further,</t>
        </is>
      </c>
    </row>
    <row r="153">
      <c r="A153" s="8" t="inlineStr">
        <is>
          <t>R&amp;D Expenditure</t>
        </is>
      </c>
      <c r="B153" s="8" t="inlineStr">
        <is>
          <t>研發開支</t>
        </is>
      </c>
      <c r="C153" s="8" t="inlineStr">
        <is>
          <t>medium</t>
        </is>
      </c>
      <c r="D153" s="11" t="inlineStr">
        <is>
          <t>research and development</t>
        </is>
      </c>
      <c r="E153" s="11" t="inlineStr">
        <is>
          <t>PDF p.211 (印刷頁 210)</t>
        </is>
      </c>
      <c r="F153" s="11" t="inlineStr">
        <is>
          <t>diaries, the Smart 定：(i)星太鏈的資產主要包括 Ascent Group, the associate of the Group. These assets 其附屬公司、本集團聯營公司 are related to an in-process research and development 進生集團持有的無形資產。該 project for an oral insulin product (as further described 等資產與涉及口服胰島素產品 in note 20), which has not yet been commercialised and 的研發中項目（如附註20進一 has not yet been generated any revenue to date; and (ii) 步所述）有關，而該項目迄今 although Starcoin has been endeavoring to raise funds 尚未商業化且尚未產生任何收 through equity financing, its financial performance has 益；及(ii)儘管星太鏈一直努力 not imp</t>
        </is>
      </c>
    </row>
    <row r="154">
      <c r="A154" s="8" t="inlineStr">
        <is>
          <t>R&amp;D Expenditure</t>
        </is>
      </c>
      <c r="B154" s="8" t="inlineStr">
        <is>
          <t>研發開支</t>
        </is>
      </c>
      <c r="C154" s="8" t="inlineStr">
        <is>
          <t>medium</t>
        </is>
      </c>
      <c r="D154" s="11" t="inlineStr">
        <is>
          <t>research and development</t>
        </is>
      </c>
      <c r="E154" s="11" t="inlineStr">
        <is>
          <t>PDF p.226 (印刷頁 225)</t>
        </is>
      </c>
      <c r="F154" s="11" t="inlineStr">
        <is>
          <t>提供持續服務的 who provide continuing services to the Group such as consultants 服務提供者，如可對本集團長期增長作 and professional advisers in the areas of research and development or 出貢獻的研發或業務領域的顧問及專業 business that can contribute to the long-term growth of the Group. 顧問。 The total number of shares available for issue under the Option Scheme 於二零二六年三月三十一日，購股權計劃項下 is 239,000,000 (2025: 239,000,000) shares as at 31 March 2026, 可供發行的股份總數為239,000,000（二零二五 representing 10% of the Company’s shares in issue as at the date of 年：239,000,000）股，相當於批准購股權計劃 passin</t>
        </is>
      </c>
    </row>
    <row r="155">
      <c r="A155" s="8" t="inlineStr">
        <is>
          <t>Segment Information</t>
        </is>
      </c>
      <c r="B155" s="8" t="inlineStr">
        <is>
          <t>分部資料</t>
        </is>
      </c>
      <c r="C155" s="8" t="inlineStr">
        <is>
          <t>medium</t>
        </is>
      </c>
      <c r="D155" s="11" t="inlineStr">
        <is>
          <t>operating segment</t>
        </is>
      </c>
      <c r="E155" s="11" t="inlineStr">
        <is>
          <t>PDF p.63 (印刷頁 62)</t>
        </is>
      </c>
      <c r="F155" s="11" t="inlineStr">
        <is>
          <t>提供資料涵蓋二零二五年四 April 2025 to 31 March 2026 (the “2026 Period”) and relates to 月一日至二零二六年三月三十一日期 the ESG performance of the Group’s core operating segments; 間（「二零二六年期間」），涉及本集團 namely manufacturing and trading (and gene development — 核心營運分類（即製造及貿易（及於二 its operation was discontinued on 7 March 2025 and disposed 零二五年三月七日終止經營並於截至 during the year ended 31 March 2026) as well as the Hong 二零二六年三月三十一日止年度售出 Kong headquarters, which reflects the business activities of the 的基因開發））以及香港總部的環境、 Group’s subsidiaries disclosed in note 42 to the con</t>
        </is>
      </c>
    </row>
    <row r="156">
      <c r="A156" s="8" t="inlineStr">
        <is>
          <t>Segment Information</t>
        </is>
      </c>
      <c r="B156" s="8" t="inlineStr">
        <is>
          <t>分部資料</t>
        </is>
      </c>
      <c r="C156" s="8" t="inlineStr">
        <is>
          <t>medium</t>
        </is>
      </c>
      <c r="D156" s="11" t="inlineStr">
        <is>
          <t>operating segment</t>
        </is>
      </c>
      <c r="E156" s="11" t="inlineStr">
        <is>
          <t>PDF p.135 (印刷頁 134)</t>
        </is>
      </c>
      <c r="F156" s="11" t="inlineStr">
        <is>
          <t>t the lowest level at which the goodwill is monitored for internal 別），即為內部管理目的而對商譽進行監控 management purposes and is not larger than an operating segment. 且不大於經營分類的最低層次。 A CGU (or group of CGUs) to which goodwill has been allocated 已獲分配商譽之現金產生單位（或現金產 is tested for impairment annually or more frequently when there is 生單位組別）每年或當有跡象顯示單位可 indication that the unit may be impaired. For goodwill arising on an 能出現減值時更頻繁測試減值。就於年度 acquisition in an annual period, the CGU (or group of CGUs) to which 期間收購產生之商譽而言，獲分配商譽之 goodwill has been alloc</t>
        </is>
      </c>
    </row>
    <row r="157">
      <c r="A157" s="8" t="inlineStr">
        <is>
          <t>Segment Information</t>
        </is>
      </c>
      <c r="B157" s="8" t="inlineStr">
        <is>
          <t>分部資料</t>
        </is>
      </c>
      <c r="C157" s="8" t="inlineStr">
        <is>
          <t>medium</t>
        </is>
      </c>
      <c r="D157" s="11" t="inlineStr">
        <is>
          <t>operating segment</t>
        </is>
      </c>
      <c r="E157" s="11" t="inlineStr">
        <is>
          <t>PDF p.163 (印刷頁 162)</t>
        </is>
      </c>
      <c r="F157" s="11" t="inlineStr">
        <is>
          <t>shares are 直接歸屬於發行新股的新增成本在權益中 shown in equity as a deduction, net of tax, from the proceeds. 列為所得款項的減少（扣除稅項）。 Segment reporting 分類報告 Operating segments are reported in a manner consistent with the 經營分類按照與向首席營運決策者（「首席 internal reporting provided to the chief operating decision maker (the 營運決策者」）提供之內部報告貫徹一致之 “CODM”). The CODM, who is responsible for allocating resources and 方式報告。負責分配資源及評估經營分類 assessing performance of the operating segments, has been identified 表現的首席營運決策者已被識別為作出戰 as the Board that make strategic decisions. 略決策的董事會</t>
        </is>
      </c>
    </row>
    <row r="158">
      <c r="A158" s="8" t="inlineStr">
        <is>
          <t>Segment Information</t>
        </is>
      </c>
      <c r="B158" s="8" t="inlineStr">
        <is>
          <t>分部資料</t>
        </is>
      </c>
      <c r="C158" s="8" t="inlineStr">
        <is>
          <t>medium</t>
        </is>
      </c>
      <c r="D158" s="11" t="inlineStr">
        <is>
          <t>segment information</t>
        </is>
      </c>
      <c r="E158" s="11" t="inlineStr">
        <is>
          <t>PDF p.168 (印刷頁 167)</t>
        </is>
      </c>
      <c r="F158" s="11" t="inlineStr">
        <is>
          <t>NOTES TO THE CONSOLIDATED FINANCIAL STATEMENTS (CONTINUED) 綜合財務報表附註（續） For the year ended 31 March 2026 截至二零二六年三月三十一日止年度 5. SEGMENT INFORMATION 5. 分類資料 Operating segments are reported in a manner consistent with the 經營分類按照與向首席營運決策者提供之 internal reporting provided to the chief operating decision maker. 內部報告貫徹一致之方式報告。負責分配 The chief operating decision maker, who is responsible for allocating 資源及評估經營分類表現的首席營運決策 resources and assessing performance of the operating segments, has 者已被識別為作出戰略決策的董事會。 been identified as the Board</t>
        </is>
      </c>
    </row>
    <row r="159">
      <c r="A159" s="8" t="inlineStr">
        <is>
          <t>Segment Information</t>
        </is>
      </c>
      <c r="B159" s="8" t="inlineStr">
        <is>
          <t>分部資料</t>
        </is>
      </c>
      <c r="C159" s="8" t="inlineStr">
        <is>
          <t>medium</t>
        </is>
      </c>
      <c r="D159" s="11" t="inlineStr">
        <is>
          <t>segment information</t>
        </is>
      </c>
      <c r="E159" s="11" t="inlineStr">
        <is>
          <t>PDF p.169 (印刷頁 168)</t>
        </is>
      </c>
      <c r="F159" s="11" t="inlineStr">
        <is>
          <t>NOTES TO THE CONSOLIDATED FINANCIAL STATEMENTS (CONTINUED) 綜合財務報表附註（續） For the year ended 31 March 2026 截至二零二六年三月三十一日止年度 5. SEGMENT INFORMATION 5. 分類資料（續） (Continued) (a) Segment revenue and results (a) 分類收益及業績 The following is the Group’s revenue and results from operation 以下為本集團來自持續經營業務及 from Continuing Operations and Discontinued Operation by 已終止經營業務按可呈報及經營分 reportable and operating segment. 類劃分之收益及經營業績。 Discontinued Continuing Operations Operation 持續經營業務 已終止經營業務 Gene Manufacturing Trading Sub-total Development* Tot</t>
        </is>
      </c>
    </row>
    <row r="160">
      <c r="A160" s="8" t="inlineStr">
        <is>
          <t>Segment Information</t>
        </is>
      </c>
      <c r="B160" s="8" t="inlineStr">
        <is>
          <t>分部資料</t>
        </is>
      </c>
      <c r="C160" s="8" t="inlineStr">
        <is>
          <t>medium</t>
        </is>
      </c>
      <c r="D160" s="11" t="inlineStr">
        <is>
          <t>segment information</t>
        </is>
      </c>
      <c r="E160" s="11" t="inlineStr">
        <is>
          <t>PDF p.170 (印刷頁 169)</t>
        </is>
      </c>
      <c r="F160" s="11" t="inlineStr">
        <is>
          <t>NOTES TO THE CONSOLIDATED FINANCIAL STATEMENTS (CONTINUED) 綜合財務報表附註（續） For the year ended 31 March 2026 截至二零二六年三月三十一日止年度 5. SEGMENT INFORMATION 5. 分類資料（續） (Continued) (b) Segment assets and liabilities (b) 分類資產及負債 The following is the Group’s assets and liabilities from Continuing 以下為本集團來自持續經營業務及 Operations and Discontinued Operation by reportable and 已終止經營業務按可呈報及經營分 operating segment. 類劃分之資產及負債。 Discontinued Continuing Operations Operation 持續經營業務 已終止經營業務 Gene Manufacturing Trading Sub-total Development Total 製造 貿易 小計</t>
        </is>
      </c>
    </row>
    <row r="161">
      <c r="A161" s="8" t="inlineStr">
        <is>
          <t>Segment Information</t>
        </is>
      </c>
      <c r="B161" s="8" t="inlineStr">
        <is>
          <t>分部資料</t>
        </is>
      </c>
      <c r="C161" s="8" t="inlineStr">
        <is>
          <t>medium</t>
        </is>
      </c>
      <c r="D161" s="11" t="inlineStr">
        <is>
          <t>segment information</t>
        </is>
      </c>
      <c r="E161" s="11" t="inlineStr">
        <is>
          <t>PDF p.171 (印刷頁 170)</t>
        </is>
      </c>
      <c r="F161" s="11" t="inlineStr">
        <is>
          <t>NOTES TO THE CONSOLIDATED FINANCIAL STATEMENTS (CONTINUED) 綜合財務報表附註（續） For the year ended 31 March 2026 截至二零二六年三月三十一日止年度 5. SEGMENT INFORMATION 5. 分類資料（續） (Continued) (c) Other segment information (c) 其他分類資料 The following is the Group’s other segment information from 以下為本集團來自持續經營業務及 Continuing Operations and Discontinued Operation by reportable 已終止經營業務按可呈報及經營分 and operating segment. 類劃分之其他分類資料。 Discontinued Continuing Operations Operation 持續經營業務 已終止經營業務 Gene Manufacturing Trading Sub-total Development* Total 製造 貿易 小計 基</t>
        </is>
      </c>
    </row>
    <row r="162">
      <c r="A162" s="8" t="inlineStr">
        <is>
          <t>Segment Information</t>
        </is>
      </c>
      <c r="B162" s="8" t="inlineStr">
        <is>
          <t>分部資料</t>
        </is>
      </c>
      <c r="C162" s="8" t="inlineStr">
        <is>
          <t>medium</t>
        </is>
      </c>
      <c r="D162" s="11" t="inlineStr">
        <is>
          <t>segment information</t>
        </is>
      </c>
      <c r="E162" s="11" t="inlineStr">
        <is>
          <t>PDF p.172 (印刷頁 171)</t>
        </is>
      </c>
      <c r="F162" s="11" t="inlineStr">
        <is>
          <t>NOTES TO THE CONSOLIDATED FINANCIAL STATEMENTS (CONTINUED) 綜合財務報表附註（續） For the year ended 31 March 2026 截至二零二六年三月三十一日止年度 5. SEGMENT INFORMATION 5. 分類資料（續） (Continued) (c) Other segment information (c) 其他分類資料（續） (Continued) Other than the above, no other information regarding the Group’s 除上述者外，於二零二五年三月三十 reportable revenue and results and reportable segments’ assets 一日及二零二六年三月三十一日以及 and liabilities as provided to the Board for the purposes of 截至該等日期止年度，概無其他有關 resource allocation and assessment of segment performance as</t>
        </is>
      </c>
    </row>
    <row r="163">
      <c r="A163" s="8" t="inlineStr">
        <is>
          <t>Segment Information</t>
        </is>
      </c>
      <c r="B163" s="8" t="inlineStr">
        <is>
          <t>分部資料</t>
        </is>
      </c>
      <c r="C163" s="8" t="inlineStr">
        <is>
          <t>medium</t>
        </is>
      </c>
      <c r="D163" s="11" t="inlineStr">
        <is>
          <t>geographical</t>
        </is>
      </c>
      <c r="E163" s="11" t="inlineStr">
        <is>
          <t>PDF p.173 (印刷頁 172)</t>
        </is>
      </c>
      <c r="F163" s="11" t="inlineStr">
        <is>
          <t>戶合約之 收益 — At a point in time: — 在某一時間點： 51,481 55,429 (iii) The Group derives revenue from the transfer (iii) 本集團自轉讓商品產生 of goods by geographical markets 收益，按地理市場劃分 Information about the Group derives revenue from the 有關本集團自轉讓商品及服務 transfer of goods and services by geographical markets is 產生收益，按地理市場劃分的 set out in note 5. 資料載於附註5。 172 EXTRAWELL PHARMACEUTICAL HOLDINGS LIMITED 精優藥業控股有限公司</t>
        </is>
      </c>
    </row>
    <row r="164">
      <c r="A164" s="8" t="inlineStr">
        <is>
          <t>Share-based Payment</t>
        </is>
      </c>
      <c r="B164" s="8" t="inlineStr">
        <is>
          <t>以股份為基礎的付款</t>
        </is>
      </c>
      <c r="C164" s="8" t="inlineStr">
        <is>
          <t>medium</t>
        </is>
      </c>
      <c r="D164" s="11" t="inlineStr">
        <is>
          <t>share option</t>
        </is>
      </c>
      <c r="E164" s="11" t="inlineStr">
        <is>
          <t>PDF p.8 (印刷頁 07)</t>
        </is>
      </c>
      <c r="F164" s="11" t="inlineStr">
        <is>
          <t>加約1,900,000港元 when compared to about HK$30.9 million of last year. Such increase 或6.0%。有關增加主要是由於就年內授出 was mainly attributable to the share option expenses recognised for 購股權確認的購股權費用及營銷費用增加 the share options granted during the year and increase in marketing 以維持市場份額，一部分被外匯收益淨額 expenses to maintain market share, and partly offset by the increase 增加所抵銷。 in net foreign exchange gains. ANNUAL REPORT 2026 二零二六年年報 07</t>
        </is>
      </c>
    </row>
    <row r="165">
      <c r="A165" s="8" t="inlineStr">
        <is>
          <t>Share-based Payment</t>
        </is>
      </c>
      <c r="B165" s="8" t="inlineStr">
        <is>
          <t>以股份為基礎的付款</t>
        </is>
      </c>
      <c r="C165" s="8" t="inlineStr">
        <is>
          <t>medium</t>
        </is>
      </c>
      <c r="D165" s="11" t="inlineStr">
        <is>
          <t>share option</t>
        </is>
      </c>
      <c r="E165" s="11" t="inlineStr">
        <is>
          <t>PDF p.16 (印刷頁 15)</t>
        </is>
      </c>
      <c r="F165" s="11" t="inlineStr">
        <is>
          <t>se 港元（二零二五年：21,600,000港元），增加 of about HK$1.7 million or 7.7%. Such increase was mainly attributable 約1,700,000港元或7.7%。有關增加乃主要 to the share option expenses recognised for the share options granted 由於就年內授出的購股權確認購股權費用 during the year and the increase in maintenance-related costs, which 及維護相關成本增加所致，部分被外匯收 were partly offset by the increase in net foreign exchange gains. 益淨額增加所抵銷。 OUTLOOK 展望 The global environment remains uncertain and volatile impacted 受地緣政治格局分化及通脹壓力影響，環 by geopolitical fragmentation and inflationary pressures. Chi</t>
        </is>
      </c>
    </row>
    <row r="166">
      <c r="A166" s="8" t="inlineStr">
        <is>
          <t>Share-based Payment</t>
        </is>
      </c>
      <c r="B166" s="8" t="inlineStr">
        <is>
          <t>以股份為基礎的付款</t>
        </is>
      </c>
      <c r="C166" s="8" t="inlineStr">
        <is>
          <t>medium</t>
        </is>
      </c>
      <c r="D166" s="11" t="inlineStr">
        <is>
          <t>share option</t>
        </is>
      </c>
      <c r="E166" s="11" t="inlineStr">
        <is>
          <t>PDF p.23 (印刷頁 22)</t>
        </is>
      </c>
      <c r="F166" s="11" t="inlineStr">
        <is>
          <t>六年三月三十一日 approximately HK$21.3 million (2025: HK$20.7 million). The 止年度之員工成本（包括董事薪酬）約為 increase in staff costs was mainly due to the share option expenses 21,300,000港元（二零二五年：20,700,000 recognised for the share options granted to three executive directors 港元）。員工成本上升主要由於於年度內就 during the year and partly offset by the decreased expenses of 向三名執行董事授出之購股權確認購股權 salaries and allowances of the manufacturing segment as no payment 開支，而部分被由於年內製造分類並無支 of performance related rewards was made for the year. 付績效相關獎金令薪金及津貼開支減少所 抵銷。 The Group rem</t>
        </is>
      </c>
    </row>
    <row r="167">
      <c r="A167" s="8" t="inlineStr">
        <is>
          <t>Share-based Payment</t>
        </is>
      </c>
      <c r="B167" s="8" t="inlineStr">
        <is>
          <t>以股份為基礎的付款</t>
        </is>
      </c>
      <c r="C167" s="8" t="inlineStr">
        <is>
          <t>medium</t>
        </is>
      </c>
      <c r="D167" s="11" t="inlineStr">
        <is>
          <t>share option</t>
        </is>
      </c>
      <c r="E167" s="11" t="inlineStr">
        <is>
          <t>PDF p.48 (印刷頁 47)</t>
        </is>
      </c>
      <c r="F167" s="11" t="inlineStr">
        <is>
          <t>rd as authorised by the shareholders 會上之授權而作出決定。本公司亦已 at the annual general meeting. The Company has also adopted 採納購股權計劃作為對董事及高層管 a share option scheme as an incentive to the directors and 理人員之獎勵。薪酬委員會因應當時 the senior management. The Remuneration Committee 市況及個別成員之角色及職責，定期 conducts regular review of the Company’s remuneration 審視本公司就董事及高層管理人員採 policy and structure of the directors and senior management 納的薪酬政策以及架構，向董事會作 which takes into account the prevailing market conditions 出建議。於年度內，薪酬委員會審查 and the roles and responsibilities o</t>
        </is>
      </c>
    </row>
    <row r="168">
      <c r="A168" s="8" t="inlineStr">
        <is>
          <t>Share-based Payment</t>
        </is>
      </c>
      <c r="B168" s="8" t="inlineStr">
        <is>
          <t>以股份為基礎的付款</t>
        </is>
      </c>
      <c r="C168" s="8" t="inlineStr">
        <is>
          <t>medium</t>
        </is>
      </c>
      <c r="D168" s="11" t="inlineStr">
        <is>
          <t>share option</t>
        </is>
      </c>
      <c r="E168" s="11" t="inlineStr">
        <is>
          <t>PDF p.95 (印刷頁 94)</t>
        </is>
      </c>
      <c r="F168" s="11" t="inlineStr">
        <is>
          <t>lt in the 所詳述）。除上文所述者外，於年度內並無 Company issuing shares was entered into during the year. 訂立可能導致本公司發行股份之股票掛鈎 協議。 Further details of the share options granted during the year are 於年度內授出購股權的進一步詳情載於下 described in the section headed “Share Option Scheme” below. 文「購股權計劃」一節。 At 31 March 2026, the convertible bonds of the Company with a 於二零二六年三月三十一日，本公司本金 principal amount of HK$577,170,000 are outstanding. Details of 額為577,170,000港元之可換股債券尚未償 the convertible bonds are disclosed in note 31 to the consolidated 還。可換股債券之詳情於綜合財務報表附 financial s</t>
        </is>
      </c>
    </row>
    <row r="169">
      <c r="A169" s="8" t="inlineStr">
        <is>
          <t>Share-based Payment</t>
        </is>
      </c>
      <c r="B169" s="8" t="inlineStr">
        <is>
          <t>以股份為基礎的付款</t>
        </is>
      </c>
      <c r="C169" s="8" t="inlineStr">
        <is>
          <t>medium</t>
        </is>
      </c>
      <c r="D169" s="11" t="inlineStr">
        <is>
          <t>share option</t>
        </is>
      </c>
      <c r="E169" s="11" t="inlineStr">
        <is>
          <t>PDF p.96 (印刷頁 95)</t>
        </is>
      </c>
      <c r="F169" s="11" t="inlineStr">
        <is>
          <t>REPORT OF THE DIRECTORS (CONTINUED) 董事會報告（續） SHARE OPTION SCHEME 購股權計劃 Pursuant to an ordinary resolution passed at the annual general 根據本公司於二零二二年八月三十日舉 meeting of the Company held on 30 August 2022, a share option 行之股東週年大會上通過之普通決議案， scheme (the “Option Scheme”) had been adopted by the Company, 本公司已採納一項購股權計劃（「購股權 which became effective on 2 September 2022 upon obtaining listing 計劃」）。購股權計劃在取得香港聯合交易 approval from the The Stock Exchange of Hong</t>
        </is>
      </c>
    </row>
    <row r="170">
      <c r="A170" s="8" t="inlineStr">
        <is>
          <t>Share-based Payment</t>
        </is>
      </c>
      <c r="B170" s="8" t="inlineStr">
        <is>
          <t>以股份為基礎的付款</t>
        </is>
      </c>
      <c r="C170" s="8" t="inlineStr">
        <is>
          <t>medium</t>
        </is>
      </c>
      <c r="D170" s="11" t="inlineStr">
        <is>
          <t>share option</t>
        </is>
      </c>
      <c r="E170" s="11" t="inlineStr">
        <is>
          <t>PDF p.97 (印刷頁 96)</t>
        </is>
      </c>
      <c r="F170" s="11" t="inlineStr">
        <is>
          <t>REPORT OF THE DIRECTORS (CONTINUED) 董事會報告（續） SHARE OPTION SCHEME 購股權計劃（續） (Continued) Maximum Entitlement for Each Eligible Participant 各合資格參與者之最高配額 Unless approved by the Company’s shareholders, the total number 除非獲本公司股東批准，否則在任何12個 of shares issued and which may fall to be issued upon exercise of 月期間，根據購股權計劃授予每位合資格 the share options granted under the Option Scheme to each eligible 參與者的購股權（包括已行使及尚未行使的 participant (including both exercised an</t>
        </is>
      </c>
    </row>
    <row r="171">
      <c r="A171" s="8" t="inlineStr">
        <is>
          <t>Share-based Payment</t>
        </is>
      </c>
      <c r="B171" s="8" t="inlineStr">
        <is>
          <t>以股份為基礎的付款</t>
        </is>
      </c>
      <c r="C171" s="8" t="inlineStr">
        <is>
          <t>medium</t>
        </is>
      </c>
      <c r="D171" s="11" t="inlineStr">
        <is>
          <t>share option</t>
        </is>
      </c>
      <c r="E171" s="11" t="inlineStr">
        <is>
          <t>PDF p.98 (印刷頁 97)</t>
        </is>
      </c>
      <c r="F171" s="11" t="inlineStr">
        <is>
          <t>REPORT OF THE DIRECTORS (CONTINUED) 董事會報告（續） SHARE OPTION SCHEME 購股權計劃（續） (Continued) Remaining Life of the Option Scheme 購股權計劃之剩餘期限 Subject to early termination by the Company’s shareholders in a 購股權計劃須受本公司股東於股東大會上 general meeting, the Option Scheme is valid for a period of 10 years 提前終止所規限，其有效期為自二零二二 commencing on the effective adoption date of 2 September 2022 年九月二日生效採納日期起計十年，並將 and will expire on 1 September 2032. 於二零三二年九月一日屆滿。 From the</t>
        </is>
      </c>
    </row>
    <row r="172">
      <c r="A172" s="8" t="inlineStr">
        <is>
          <t>Share-based Payment</t>
        </is>
      </c>
      <c r="B172" s="8" t="inlineStr">
        <is>
          <t>以股份為基礎的付款</t>
        </is>
      </c>
      <c r="C172" s="8" t="inlineStr">
        <is>
          <t>medium</t>
        </is>
      </c>
      <c r="D172" s="11" t="inlineStr">
        <is>
          <t>share option</t>
        </is>
      </c>
      <c r="E172" s="11" t="inlineStr">
        <is>
          <t>PDF p.99 (印刷頁 98)</t>
        </is>
      </c>
      <c r="F172" s="11" t="inlineStr">
        <is>
          <t>REPORT OF THE DIRECTORS (CONTINUED) 董事會報告（續） SHARE OPTION SCHEME 購股權計劃（續） (Continued) Notes: 附註： (1) The number of share options available for grant under the scheme mandate of the (1) 於二零二五年四月一日，根據購股權計劃之計劃 Option Scheme is 239,000,000 shares at 1 April 2025, and 162,500,000 shares 授權可供授出之購股權數目為239,000,000股， at 31 March 2026 after the grant of 76,500,000 share options during the year. 而於年度內授出76,500,000份購股權後，於二零 二六年三月三十一日可供授出之購股權數目為 162,500,0</t>
        </is>
      </c>
    </row>
    <row r="173">
      <c r="A173" s="8" t="inlineStr">
        <is>
          <t>Share-based Payment</t>
        </is>
      </c>
      <c r="B173" s="8" t="inlineStr">
        <is>
          <t>以股份為基礎的付款</t>
        </is>
      </c>
      <c r="C173" s="8" t="inlineStr">
        <is>
          <t>medium</t>
        </is>
      </c>
      <c r="D173" s="11" t="inlineStr">
        <is>
          <t>share option</t>
        </is>
      </c>
      <c r="E173" s="11" t="inlineStr">
        <is>
          <t>PDF p.103 (印刷頁 102)</t>
        </is>
      </c>
      <c r="F173" s="11" t="inlineStr">
        <is>
          <t>trolled corporation 1,060,000 0.04% 透過受控制公司 Held by spouse 5,680,000 0.23% 由配偶持有 33,070,000 1.30% Notes: 附註： (a) These interests are share options granted under the share option scheme (a) 該等權益為根據本公司於二零二二年九月二日採 adopted by the Company on 2 September 2022 (the “Option Scheme”). 納之購股權計劃（「購股權計劃」）授出之購股權。 (b) These interests are share options granted under the Option Scheme. (b) 該等權益為根據購股權計劃授出之購股權。 (c) Among these interests, 830,000 are shares held, and 25,500,000 are share (c) 於該等權益中，830,000股為持有之股份， options granted under the Option</t>
        </is>
      </c>
    </row>
    <row r="174">
      <c r="A174" s="8" t="inlineStr">
        <is>
          <t>Share-based Payment</t>
        </is>
      </c>
      <c r="B174" s="8" t="inlineStr">
        <is>
          <t>以股份為基礎的付款</t>
        </is>
      </c>
      <c r="C174" s="8" t="inlineStr">
        <is>
          <t>medium</t>
        </is>
      </c>
      <c r="D174" s="11" t="inlineStr">
        <is>
          <t>share option</t>
        </is>
      </c>
      <c r="E174" s="11" t="inlineStr">
        <is>
          <t>PDF p.104 (印刷頁 103)</t>
        </is>
      </c>
      <c r="F174" s="11" t="inlineStr">
        <is>
          <t>REPORT OF THE DIRECTORS (CONTINUED) 董事會報告（續） DIRECTORS’ RIGHTS TO ACQUIRE SHARES 董事購入股份及債權證之權利 AND DEBENTURES Other than the share options granted to three executive directors 除上文「購股權計劃」一節所披露授予本公 of the Company as disclosed in the section headed “Share Option 司三名執行董事之購股權外，於年度內任 Scheme” above, at no time during the year were rights to acquire 何時間，任何董事或彼等各自之配偶或未 benefits by means of the acquisition of shares in, or debentures of, 成年子女概無獲授可藉購入本公司或任何 the Company or any other body corporate granted to any directors 其他法團股份或債權</t>
        </is>
      </c>
    </row>
    <row r="175">
      <c r="A175" s="8" t="inlineStr">
        <is>
          <t>Share-based Payment</t>
        </is>
      </c>
      <c r="B175" s="8" t="inlineStr">
        <is>
          <t>以股份為基礎的付款</t>
        </is>
      </c>
      <c r="C175" s="8" t="inlineStr">
        <is>
          <t>medium</t>
        </is>
      </c>
      <c r="D175" s="11" t="inlineStr">
        <is>
          <t>購股權</t>
        </is>
      </c>
      <c r="E175" s="11" t="inlineStr">
        <is>
          <t>PDF p.109 (印刷頁 108)</t>
        </is>
      </c>
      <c r="F175" s="11" t="inlineStr">
        <is>
          <t>, sold or 本公司或其任何附屬公司於年度內概無購 redeemed any of the Company’s listed securities during the year. 買、出售或贖回本公司任何上市證券。 PRE-EMPTIVE RIGHTS 優先購股權 There are no provisions for pre-emptive rights under the Company’s 本公司之公司細則或百慕達（即本公司註冊 bye-laws or the laws of Bermuda, being the jurisdiction in which the 成立所在之司法權區）法例概無規定本公司 Company is incorporated, which would oblige the Company to offer 須按比例向現有股東發售新股份之優先購 new shares on a pro-rata basis to existing shareholders. 股權之條文。 108 EXTRAWELL PHARMACEUTICAL HOLDINGS LIMITED 精優藥業控股有限公司</t>
        </is>
      </c>
    </row>
    <row r="176">
      <c r="A176" s="8" t="inlineStr">
        <is>
          <t>Share-based Payment</t>
        </is>
      </c>
      <c r="B176" s="8" t="inlineStr">
        <is>
          <t>以股份為基礎的付款</t>
        </is>
      </c>
      <c r="C176" s="8" t="inlineStr">
        <is>
          <t>medium</t>
        </is>
      </c>
      <c r="D176" s="11" t="inlineStr">
        <is>
          <t>share-based payment</t>
        </is>
      </c>
      <c r="E176" s="11" t="inlineStr">
        <is>
          <t>PDF p.125 (印刷頁 124)</t>
        </is>
      </c>
      <c r="F176" s="11" t="inlineStr">
        <is>
          <t>subsidiary (note 42(ii)) 股份回購之影 響（附註42(ii)） — — (3,067) — — — — — — — (3,067) (1,933) (5,000) Recognition of equity-settled 確認以權益結算以 share-based payments 股份為基礎之 (note 35) 付款（附註35） — — — — — — — — 1,219 — 1,219 — 1,219 As at 31 March 2026 於二零二六年 三月三十一日 25,500 205,554 (6,305) 6,542 4,839 24,033 512,359 (83,086) 1,219 (315,563) 375,092 378 375,470 * The reserves comprise the Group’s reserves of HK$349,592,000 (2025: * 儲備包括綜合財務狀況表內本集團之儲備 HK$1,310,642,000) in the consolidated statement of financial position. 349,592,000港元（二零二五年：1,31</t>
        </is>
      </c>
    </row>
    <row r="177">
      <c r="A177" s="8" t="inlineStr">
        <is>
          <t>Share-based Payment</t>
        </is>
      </c>
      <c r="B177" s="8" t="inlineStr">
        <is>
          <t>以股份為基礎的付款</t>
        </is>
      </c>
      <c r="C177" s="8" t="inlineStr">
        <is>
          <t>medium</t>
        </is>
      </c>
      <c r="D177" s="11" t="inlineStr">
        <is>
          <t>share option</t>
        </is>
      </c>
      <c r="E177" s="11" t="inlineStr">
        <is>
          <t>PDF p.126 (印刷頁 125)</t>
        </is>
      </c>
      <c r="F177" s="11" t="inlineStr">
        <is>
          <t>告準則」）第9號金融工具指定 9 Financial Instruments that are held at the end of the reporting period. 為按公平值計入其他全面收益之股本投資公平值之 累計變動淨額的公平值儲備。 (viii) Share option reserve (viii) 購股權儲備 Share option reserve represents value of employee services in respect of share options 購股權儲備指有關根據本公司所採納本公司股東於 granted under the share option scheme adopted by the Company which was approved 二零二二年八月三十日批准之購股權計劃（綜合財務 by the Company’s shareholders on 30 August 2022 (note 35 to the consolidated 報表附註35）授出之購股權之僱員服務之價值。 financial statements). ANNUAL REPORT 2026 二零二六年年報 12</t>
        </is>
      </c>
    </row>
    <row r="178">
      <c r="A178" s="8" t="inlineStr">
        <is>
          <t>Share-based Payment</t>
        </is>
      </c>
      <c r="B178" s="8" t="inlineStr">
        <is>
          <t>以股份為基礎的付款</t>
        </is>
      </c>
      <c r="C178" s="8" t="inlineStr">
        <is>
          <t>medium</t>
        </is>
      </c>
      <c r="D178" s="11" t="inlineStr">
        <is>
          <t>share option</t>
        </is>
      </c>
      <c r="E178" s="11" t="inlineStr">
        <is>
          <t>PDF p.127 (印刷頁 126)</t>
        </is>
      </c>
      <c r="F178" s="11" t="inlineStr">
        <is>
          <t>,710 1,723 Depreciation of investment properties 投資物業折舊 132 133 Depreciation of property, plant and equipment 物業、廠房及設備折舊 6,239 6,425 Share option expenses 購股權費用 1,219 — Gain on disposal of items of property, plant and 出售物業、廠房及設備項目之收益 equipment, net 淨額 (107) (10) (Reversal of) impairment loss recognised on 就存貨確認之減值虧損（撥回） inventories (298) 252 Reversal of impairment loss recognised on trade 就貿易應收賬款及應收票據確認之減 and bills receivables, net 值虧損撥回淨額 (195) (847) (Reversal of) impairment loss recognised on 就其他應收款項確認之減值虧損 other receivables</t>
        </is>
      </c>
    </row>
    <row r="179">
      <c r="A179" s="8" t="inlineStr">
        <is>
          <t>Share-based Payment</t>
        </is>
      </c>
      <c r="B179" s="8" t="inlineStr">
        <is>
          <t>以股份為基礎的付款</t>
        </is>
      </c>
      <c r="C179" s="8" t="inlineStr">
        <is>
          <t>medium</t>
        </is>
      </c>
      <c r="D179" s="11" t="inlineStr">
        <is>
          <t>share-based payment</t>
        </is>
      </c>
      <c r="E179" s="11" t="inlineStr">
        <is>
          <t>PDF p.132 (印刷頁 131)</t>
        </is>
      </c>
      <c r="F179" s="11" t="inlineStr">
        <is>
          <t>中計量及╱或披露之公平值均在此基礎上 purposes in these consolidated financial statements is determined 予以確定，惟屬香港財務報告準則第2號以 on such a basis, except for share-based payment transactions that 股份為基礎之付款範圍內之以股份為基礎 are within the scope of HKFRS 2 Share-based Payment, leasing 之付款交易、根據香港財務報告準則第16 transactions that are accounted for in accordance with HKFRS 16 號租賃入賬之租賃交易及與公平值類似但 Leases, and measurements that have some similarities to fair value but 並非公平值之計量（例如，香港會計準則第 are not fair value, such as net realisable value in HKAS 2 Inventories or 2號存貨中之可變現淨值或香港</t>
        </is>
      </c>
    </row>
    <row r="180">
      <c r="A180" s="8" t="inlineStr">
        <is>
          <t>Share-based Payment</t>
        </is>
      </c>
      <c r="B180" s="8" t="inlineStr">
        <is>
          <t>以股份為基礎的付款</t>
        </is>
      </c>
      <c r="C180" s="8" t="inlineStr">
        <is>
          <t>medium</t>
        </is>
      </c>
      <c r="D180" s="11" t="inlineStr">
        <is>
          <t>share-based payment</t>
        </is>
      </c>
      <c r="E180" s="11" t="inlineStr">
        <is>
          <t>PDF p.145 (印刷頁 144)</t>
        </is>
      </c>
      <c r="F180" s="11" t="inlineStr">
        <is>
          <t>策資料（續） AND MATERIAL ACCOUNTING POLICY INFORMATION (Continued) 3.2 Material accounting policy information 3.2 重大會計政策資料（續） (Continued) Share-based payment arrangements 以股份為基礎之付款安排 Equity-settled share-based payments 以權益結算以股份為基礎之付款 Share options granted to employees 向僱員授出購股權 Equity-settled share-based payments to employees and others 向僱員及其他提供類似服務之人士支付以 providing similar services are measured at the fair value of the equity 權益結算以股份為基礎之付款於授出日期 instruments at the grant date. 按股本工具的公平值計量。 The fair value of the equity-settled share-bas</t>
        </is>
      </c>
    </row>
    <row r="181">
      <c r="A181" s="8" t="inlineStr">
        <is>
          <t>Share-based Payment</t>
        </is>
      </c>
      <c r="B181" s="8" t="inlineStr">
        <is>
          <t>以股份為基礎的付款</t>
        </is>
      </c>
      <c r="C181" s="8" t="inlineStr">
        <is>
          <t>medium</t>
        </is>
      </c>
      <c r="D181" s="11" t="inlineStr">
        <is>
          <t>無風險利率</t>
        </is>
      </c>
      <c r="E181" s="11" t="inlineStr">
        <is>
          <t>PDF p.167 (印刷頁 166)</t>
        </is>
      </c>
      <c r="F181" s="11" t="inlineStr">
        <is>
          <t>tle as possible on the Group’s 入數據而盡量少依賴本集團之特定數據。 specific data. The model involves estimates on time to expiration, risk 該模式涉及對到期時間、無風險利率、股 free rate, share price, volatility, discount rate and others. 價、波動、貼現率及其他因素之估計。 As at 31 March 2025 and 31 March 2026, the carrying amounts and 於二零二五年三月三十一日及二零二六年 details of the fair value measurement of the Group’s financial assets 三月三十一日，本集團按公平值計入損益 measured at FVTPL are disclosed in notes 24(a) and 38(b), respectively. 之金融資產之賬面值及公平值計量詳情分 別於附註24(a)及38(b)披露。 Estimated impairment of proper</t>
        </is>
      </c>
    </row>
    <row r="182">
      <c r="A182" s="8" t="inlineStr">
        <is>
          <t>Share-based Payment</t>
        </is>
      </c>
      <c r="B182" s="8" t="inlineStr">
        <is>
          <t>以股份為基礎的付款</t>
        </is>
      </c>
      <c r="C182" s="8" t="inlineStr">
        <is>
          <t>medium</t>
        </is>
      </c>
      <c r="D182" s="11" t="inlineStr">
        <is>
          <t>share-based payment</t>
        </is>
      </c>
      <c r="E182" s="11" t="inlineStr">
        <is>
          <t>PDF p.178 (印刷頁 177)</t>
        </is>
      </c>
      <c r="F182" s="11" t="inlineStr">
        <is>
          <t>alaries and allowances — 員工薪金及津貼 17,493 18,340 — Contributions to defined contribution — 定額供款退休計劃供款 retirement schemes 2,578 2,385 — Share-based payment — 以股份為基礎之付款 1,219 — 21,290 20,725 Cost of sales 銷售成本 28,732 33,558 Including: 包括： (Reversal of) impairment loss on inventories 存貨減值虧損（撥回） (298) 252 Cost of inventories recognised as expenses 確認為費用之存貨成本 10,163 11,042 Others: 其他： Auditor’s remuneration 核數師酬金 840 800 Depreciation of right-of-use assets 使用權資產折舊 1,710 1,723 Depreciation of investment properties 投資物業折舊 132 133 Deprec</t>
        </is>
      </c>
    </row>
    <row r="183">
      <c r="A183" s="8" t="inlineStr">
        <is>
          <t>Share-based Payment</t>
        </is>
      </c>
      <c r="B183" s="8" t="inlineStr">
        <is>
          <t>以股份為基礎的付款</t>
        </is>
      </c>
      <c r="C183" s="8" t="inlineStr">
        <is>
          <t>medium</t>
        </is>
      </c>
      <c r="D183" s="11" t="inlineStr">
        <is>
          <t>share option</t>
        </is>
      </c>
      <c r="E183" s="11" t="inlineStr">
        <is>
          <t>PDF p.184 (印刷頁 183)</t>
        </is>
      </c>
      <c r="F183" s="11" t="inlineStr">
        <is>
          <t>d 31 March 截至二零二六年三月三十一日止年度的每 2026 did not assume the exercise of the Company’s outstanding 股攤薄虧損的計算並無假設行使本公司尚 Convertible Bonds and share options since their assumed exercise 未行使可換股債券及購股權，因為假設其 would result in a decrease in loss per share, and therefore diluted loss 行使將會導致每股虧損減少，因此每股攤 per share is same as basic loss per share. 薄虧損與每股基本虧損相同。 ANNUAL REPORT 2026 二零二六年年報 183</t>
        </is>
      </c>
    </row>
    <row r="184">
      <c r="A184" s="8" t="inlineStr">
        <is>
          <t>Share-based Payment</t>
        </is>
      </c>
      <c r="B184" s="8" t="inlineStr">
        <is>
          <t>以股份為基礎的付款</t>
        </is>
      </c>
      <c r="C184" s="8" t="inlineStr">
        <is>
          <t>medium</t>
        </is>
      </c>
      <c r="D184" s="11" t="inlineStr">
        <is>
          <t>expected volatility</t>
        </is>
      </c>
      <c r="E184" s="11" t="inlineStr">
        <is>
          <t>PDF p.210 (印刷頁 209)</t>
        </is>
      </c>
      <c r="F184" s="11" t="inlineStr">
        <is>
          <t>) 股份價格（港元） 0.174 Conversion price (HK$) 換股價（港元） 2.50 Discount rate 貼現率 27.109% Risk free rate (note (i) below) 無風險利率（下文附註(i)） 3.044% Expected volatility (note (ii) below) 預期波幅（下文附註(ii)） 54.022% Expected dividend yield (note (iii) below) 預期股息率（下文附註(iii)） 0% Option life (Years) 期權期限（年期） 0.326 Notes: 附註： (i) The rate was determined with reference to the yields of Hong (i) 該利率乃參考香港政府債券 Kong government bonds and treasury bills as at the date of 及庫券於估值日期之孳息率 valuation. 釐定。 (ii) Based on the historical price volatility of Starcoin. (i</t>
        </is>
      </c>
    </row>
    <row r="185">
      <c r="A185" s="8" t="inlineStr">
        <is>
          <t>Share-based Payment</t>
        </is>
      </c>
      <c r="B185" s="8" t="inlineStr">
        <is>
          <t>以股份為基礎的付款</t>
        </is>
      </c>
      <c r="C185" s="8" t="inlineStr">
        <is>
          <t>medium</t>
        </is>
      </c>
      <c r="D185" s="11" t="inlineStr">
        <is>
          <t>binomial model</t>
        </is>
      </c>
      <c r="E185" s="11" t="inlineStr">
        <is>
          <t>PDF p.215 (印刷頁 214)</t>
        </is>
      </c>
      <c r="F185" s="11" t="inlineStr">
        <is>
          <t>the fair value of the Starcoin Bonds 為星太鏈股份，星太鏈債券的 is remeasured using the expected cash flow approach 公平值已採用預期現金流量法 instead of the Binomial Model adopted in prior years (further 而非往年所採用的二項式模式 details please refer to note 38(b)). The calculation used in 重新計量（進一步詳情請參閱 the determination of the fair value of Starcoin Bonds with 附註38(b)）。計算釐定星太鏈債 key parameters, such as the recovery rate. The Directors 券公平值時使用了回收率等關 consider that the independent professional qualified valuer 鍵參數。董事認為，獨立專業 holds a recognised and relevant profession</t>
        </is>
      </c>
    </row>
    <row r="186">
      <c r="A186" s="8" t="inlineStr">
        <is>
          <t>Share-based Payment</t>
        </is>
      </c>
      <c r="B186" s="8" t="inlineStr">
        <is>
          <t>以股份為基礎的付款</t>
        </is>
      </c>
      <c r="C186" s="8" t="inlineStr">
        <is>
          <t>medium</t>
        </is>
      </c>
      <c r="D186" s="11" t="inlineStr">
        <is>
          <t>expected volatility</t>
        </is>
      </c>
      <c r="E186" s="11" t="inlineStr">
        <is>
          <t>PDF p.222 (印刷頁 221)</t>
        </is>
      </c>
      <c r="F186" s="11" t="inlineStr">
        <is>
          <t>(HK$) 股價（港元） 0.59 Exercise price (HK$) 行使價（港元） 0.6413 Discount rate 貼現率 18.72% Risk-free rate (note (i) below) 無風險利率（下文附註(i)） 2.63% Expected volatility (note (ii) below) 預期波幅（下文附註(ii)） 66.55% Expected dividend yield (note (iii) below) 預期股息收益率（下文附註(iii)） 0.00% Option life (Years) 期權期限（年期） 20 Notes: 附註： (i) The rate was determined with reference to the yields of Hong Kong government (i) 該利率乃參考香港政府債券及庫券於估值日 bonds and treasury bills as at the date of valuation. 期之孳息率釐定。 (ii) Based on the historical price volatility of the Company</t>
        </is>
      </c>
    </row>
    <row r="187">
      <c r="A187" s="8" t="inlineStr">
        <is>
          <t>Share-based Payment</t>
        </is>
      </c>
      <c r="B187" s="8" t="inlineStr">
        <is>
          <t>以股份為基礎的付款</t>
        </is>
      </c>
      <c r="C187" s="8" t="inlineStr">
        <is>
          <t>medium</t>
        </is>
      </c>
      <c r="D187" s="11" t="inlineStr">
        <is>
          <t>share option</t>
        </is>
      </c>
      <c r="E187" s="11" t="inlineStr">
        <is>
          <t>PDF p.226 (印刷頁 225)</t>
        </is>
      </c>
      <c r="F187" s="11" t="inlineStr">
        <is>
          <t>scheme of the Group is available for deduction of 三月三十一日，本集團並無退休金計劃下 contribution payable in coming years. 的已沒收供款可用於扣除未來年度應付 供款。 35. SHARE OPTION SCHEME 35. 購股權計劃 On 30 August 2022, the shareholders of the Company approved 於二零二二年八月三十日，本公司股東批 the adoption of a share option scheme (the “Option Scheme”) which 准採納一項購股權計劃（「購股權計劃」），經 became effective on 2 September 2022 upon obtaining listing approval 聯交所作出上市批准後，該計劃於二零二 from the Stock Exchange, and unless otherwise cancelled or amended, 二年九月二日生效，且有效期為自該日起 will remain in force for 10</t>
        </is>
      </c>
    </row>
    <row r="188">
      <c r="A188" s="8" t="inlineStr">
        <is>
          <t>Share-based Payment</t>
        </is>
      </c>
      <c r="B188" s="8" t="inlineStr">
        <is>
          <t>以股份為基礎的付款</t>
        </is>
      </c>
      <c r="C188" s="8" t="inlineStr">
        <is>
          <t>medium</t>
        </is>
      </c>
      <c r="D188" s="11" t="inlineStr">
        <is>
          <t>share option</t>
        </is>
      </c>
      <c r="E188" s="11" t="inlineStr">
        <is>
          <t>PDF p.227 (印刷頁 226)</t>
        </is>
      </c>
      <c r="F188" s="11" t="inlineStr">
        <is>
          <t>NOTES TO THE CONSOLIDATED FINANCIAL STATEMENTS (CONTINUED) 綜合財務報表附註（續） For the year ended 31 March 2026 截至二零二六年三月三十一日止年度 35. SHARE OPTION SCHEME 35. 購股權計劃（續） (Continued) Unless approved by the Company’s shareholders, the total number 除非獲本公司股東批准，否則在任何12個 of shares issued and which may fall to be issued upon exercise of the 月期間，根據購股權計劃授予每位合資格 options granted under the Option Scheme to each eligible participant 參與者的購股權（包括已行使及尚未行使 (including both exercised and outstanding options) in any 12-month 的購股權）獲行使後已發行及可能須予發 period s</t>
        </is>
      </c>
    </row>
    <row r="189">
      <c r="A189" s="8" t="inlineStr">
        <is>
          <t>Share-based Payment</t>
        </is>
      </c>
      <c r="B189" s="8" t="inlineStr">
        <is>
          <t>以股份為基礎的付款</t>
        </is>
      </c>
      <c r="C189" s="8" t="inlineStr">
        <is>
          <t>medium</t>
        </is>
      </c>
      <c r="D189" s="11" t="inlineStr">
        <is>
          <t>share option</t>
        </is>
      </c>
      <c r="E189" s="11" t="inlineStr">
        <is>
          <t>PDF p.228 (印刷頁 227)</t>
        </is>
      </c>
      <c r="F189" s="11" t="inlineStr">
        <is>
          <t>NOTES TO THE CONSOLIDATED FINANCIAL STATEMENTS (CONTINUED) 綜合財務報表附註（續） For the year ended 31 March 2026 截至二零二六年三月三十一日止年度 35. SHARE OPTION SCHEME 35. 購股權計劃（續） (Continued) The valuations were based on the Binomial Option Pricing Model with 估值乃根據二項式期權定價模型以下列數 the following data and assumptions: 據及假設作出： 19 December 2025 Grant 二零二五年十二月十九日授出 Fair value under binomial model 二項式模型下的公平值 HK$4,319,190 4,319,190港元 Closing share price at grant date 授出日期的股份收市價 HK$0.090 0.090港元 Exercise price 行使價 HK$0.0936 0.0936港元 Annual risk-free in</t>
        </is>
      </c>
    </row>
    <row r="190">
      <c r="A190" s="8" t="inlineStr">
        <is>
          <t>Share-based Payment</t>
        </is>
      </c>
      <c r="B190" s="8" t="inlineStr">
        <is>
          <t>以股份為基礎的付款</t>
        </is>
      </c>
      <c r="C190" s="8" t="inlineStr">
        <is>
          <t>medium</t>
        </is>
      </c>
      <c r="D190" s="11" t="inlineStr">
        <is>
          <t>share option</t>
        </is>
      </c>
      <c r="E190" s="11" t="inlineStr">
        <is>
          <t>PDF p.229 (印刷頁 228)</t>
        </is>
      </c>
      <c r="F190" s="11" t="inlineStr">
        <is>
          <t>NOTES TO THE CONSOLIDATED FINANCIAL STATEMENTS (CONTINUED) 綜合財務報表附註（續） For the year ended 31 March 2026 截至二零二六年三月三十一日止年度 35. SHARE OPTION SCHEME 35. 購股權計劃（續） (Continued) The following table discloses movements of the share options during 下表披露購股權於截至二零二六年三月三 the year ended 31 March 2026: 十一日止年度之變動： Outstanding as Granted during Outstanding as at 1 April 2025 the year at 31 March 2026 於二零二五年 於二零二六年 四月一日 三月三十一日 尚未行使 於年度內授出 尚未行使 19 December 2025 Grant 二零二五年十二月十九日 授出 — 76,500,000 76,500,000 Exercisable at the end of the year</t>
        </is>
      </c>
    </row>
    <row r="191">
      <c r="A191" s="8" t="inlineStr">
        <is>
          <t>Share-based Payment</t>
        </is>
      </c>
      <c r="B191" s="8" t="inlineStr">
        <is>
          <t>以股份為基礎的付款</t>
        </is>
      </c>
      <c r="C191" s="8" t="inlineStr">
        <is>
          <t>medium</t>
        </is>
      </c>
      <c r="D191" s="11" t="inlineStr">
        <is>
          <t>expected volatility</t>
        </is>
      </c>
      <c r="E191" s="11" t="inlineStr">
        <is>
          <t>PDF p.232 (印刷頁 231)</t>
        </is>
      </c>
      <c r="F191" s="11" t="inlineStr">
        <is>
          <t>ofile as at the valuation date. 及到期狀況之可資比較債券於估值 日之價格釐定。 Significant unobservable inputs as at 31 March 2025 於二零二五年三月三十一日之重大 不可觀察輸入數據 Expected Volatility 預期波幅 Expected volatility of the share price of Starcoin was determined 星太鏈之股價預期波幅乃經參考星 by reference to historical share price of Starcoin. 太鏈過往股價釐定。 In respect of the sensitivity relationship of the fair value 就公平值計量對輸入數據變動之敏 measurement to changes in inputs, an increase (decrease) in the 感度關係而言，預期波幅增加（減少） expected volatility would result in increase (decrease) in fair value 將導</t>
        </is>
      </c>
    </row>
    <row r="192">
      <c r="A192" s="8" t="inlineStr">
        <is>
          <t>Share-based Payment</t>
        </is>
      </c>
      <c r="B192" s="8" t="inlineStr">
        <is>
          <t>以股份為基礎的付款</t>
        </is>
      </c>
      <c r="C192" s="8" t="inlineStr">
        <is>
          <t>medium</t>
        </is>
      </c>
      <c r="D192" s="11" t="inlineStr">
        <is>
          <t>expected volatility</t>
        </is>
      </c>
      <c r="E192" s="11" t="inlineStr">
        <is>
          <t>PDF p.233 (印刷頁 232)</t>
        </is>
      </c>
      <c r="F192" s="11" t="inlineStr">
        <is>
          <t>on option to convert the Starcoin 低於行使價），將星太鏈債券轉換為 Bonds into shares of Starcoin would be expected worthless and 星太鏈股份的換股權預期將不具價 the expected volatility would have minimal effect on the fair value 值，則預期波幅對公平值計量的影響 measurement. 乃微不足道。 Significant unobservable inputs as at 31 March 2026 於二零二六年三月三十一日之重大 不可觀察輸入數據 Recovery rate 回收率 The recovery rate represents the percentage of the outstanding 回收率指本集團預期可收回的星太 principal amount and accrued interest of the Starcoin Bonds that 鏈債券未償還本金額及應計利息的 is expected to be recovered by the Group. It</t>
        </is>
      </c>
    </row>
    <row r="193">
      <c r="A193" s="8" t="inlineStr">
        <is>
          <t>Share-based Payment</t>
        </is>
      </c>
      <c r="B193" s="8" t="inlineStr">
        <is>
          <t>以股份為基礎的付款</t>
        </is>
      </c>
      <c r="C193" s="8" t="inlineStr">
        <is>
          <t>medium</t>
        </is>
      </c>
      <c r="D193" s="11" t="inlineStr">
        <is>
          <t>share option</t>
        </is>
      </c>
      <c r="E193" s="11" t="inlineStr">
        <is>
          <t>PDF p.251 (印刷頁 250)</t>
        </is>
      </c>
      <c r="F193" s="11" t="inlineStr">
        <is>
          <t>uring the years ended 31 本公司於截至二零二五年三月三十一日及 March 2025 and 31 March 2026 are as following: 二零二六年三月三十一日止年度之儲備變 動如下： Convertible Share Share option Contributed bonds equity Accumulated premium reserve surplus reserve losses Total 可換股債券 股份溢價 購股權儲備 繳入盈餘 權益儲備 累計虧損 總計 HK$’000 HK$’000 HK$’000 HK$’000 HK$’000 HK$’000 千港元 千港元 千港元 千港元 千港元 千港元 As at 1 April 2024 於二零二四年四月一日 191,738 — 64,636 512,359 (12,089) 756,644 Loss and total 本年度虧損及全面開支 comprehensive 總額 expense for the year — — — — (26,788) (26,788) As at 31 March 2025 and 於二零二五年 1 Apr</t>
        </is>
      </c>
    </row>
    <row r="194">
      <c r="A194" s="8" t="inlineStr">
        <is>
          <t>Related Party Transactions</t>
        </is>
      </c>
      <c r="B194" s="8" t="inlineStr">
        <is>
          <t>關聯方交易</t>
        </is>
      </c>
      <c r="C194" s="8" t="inlineStr">
        <is>
          <t>low</t>
        </is>
      </c>
      <c r="D194" s="11" t="inlineStr">
        <is>
          <t>related party</t>
        </is>
      </c>
      <c r="E194" s="11" t="inlineStr">
        <is>
          <t>PDF p.106 (印刷頁 105)</t>
        </is>
      </c>
      <c r="F194" s="11" t="inlineStr">
        <is>
          <t>REPORT OF THE DIRECTORS (CONTINUED) 董事會報告（續） CONNECTED AND RELATED PARTY 關連及關聯方交易 TRANSACTIONS During the year and up to the date of this report, the Group had the 於年度內及截至本報告日期，本集團與關 following transactions with related parties. 聯方訂立以下交易。 Connected transaction under Chapter 14A of the 上市規則第14A章項下關連交易 Listing Rules Discloseable transaction and connected transaction at 有關非全資附屬公司股份回購交易的 subsidiary level in relation to a share buy-back transaction 須予披露交易及附屬公司層</t>
        </is>
      </c>
    </row>
    <row r="195">
      <c r="A195" s="8" t="inlineStr">
        <is>
          <t>Related Party Transactions</t>
        </is>
      </c>
      <c r="B195" s="8" t="inlineStr">
        <is>
          <t>關聯方交易</t>
        </is>
      </c>
      <c r="C195" s="8" t="inlineStr">
        <is>
          <t>low</t>
        </is>
      </c>
      <c r="D195" s="11" t="inlineStr">
        <is>
          <t>related party</t>
        </is>
      </c>
      <c r="E195" s="11" t="inlineStr">
        <is>
          <t>PDF p.107 (印刷頁 106)</t>
        </is>
      </c>
      <c r="F195" s="11" t="inlineStr">
        <is>
          <t>REPORT OF THE DIRECTORS (CONTINUED) 董事會報告（續） CONNECTED AND RELATED PARTY 關連及關聯方交易（續） TRANSACTIONS (Continued) Connected transaction under Chapter 14A of the 上市規則第14A章項下關連交易（續） Listing Rules (Continued) Discloseable transaction and connected transaction at 有關非全資附屬公司股份回購交易的 subsidiary level in relation to a share buy-back transaction 須予披露交易及附屬公司層面的關連 of a non-wholly owned subsidiary (Continued) 交易（續） The Vendor holds 10.06% equity interest in Changchun Extr</t>
        </is>
      </c>
    </row>
    <row r="196">
      <c r="A196" s="8" t="inlineStr">
        <is>
          <t>Related Party Transactions</t>
        </is>
      </c>
      <c r="B196" s="8" t="inlineStr">
        <is>
          <t>關聯方交易</t>
        </is>
      </c>
      <c r="C196" s="8" t="inlineStr">
        <is>
          <t>low</t>
        </is>
      </c>
      <c r="D196" s="11" t="inlineStr">
        <is>
          <t>related party</t>
        </is>
      </c>
      <c r="E196" s="11" t="inlineStr">
        <is>
          <t>PDF p.108 (印刷頁 107)</t>
        </is>
      </c>
      <c r="F196" s="11" t="inlineStr">
        <is>
          <t>REPORT OF THE DIRECTORS (CONTINUED) 董事會報告（續） CONNECTED AND RELATED PARTY 關連及關聯方交易（續） TRANSACTIONS (Continued) Related party transaction not constituted a connected 不構成上市規則第14A章項下關連 transaction under Chapter 14A of the Listing Rules 交易之關聯方交易 The Fourth Amendments to the terms and conditions of 星太鏈集團有限公司（「星太鏈」，前稱 the HK$715,000,000 convertible bonds issued by Starcoin 領航醫藥及生物科技有限公司）發行 Group Limited (“Starcoin”, formerly known as Innovative 715,000,000港元可換股債</t>
        </is>
      </c>
    </row>
    <row r="197">
      <c r="A197" s="8" t="inlineStr">
        <is>
          <t>Related Party Transactions</t>
        </is>
      </c>
      <c r="B197" s="8" t="inlineStr">
        <is>
          <t>關聯方交易</t>
        </is>
      </c>
      <c r="C197" s="8" t="inlineStr">
        <is>
          <t>low</t>
        </is>
      </c>
      <c r="D197" s="11" t="inlineStr">
        <is>
          <t>related party</t>
        </is>
      </c>
      <c r="E197" s="11" t="inlineStr">
        <is>
          <t>PDF p.109 (印刷頁 108)</t>
        </is>
      </c>
      <c r="F197" s="11" t="inlineStr">
        <is>
          <t>REPORT OF THE DIRECTORS (CONTINUED) 董事會報告（續） CONTRACTS OF SIGNIFICANCE 重大合約 Save as disclosed in “Connected and Related Party Transactions” 除上文「關連及關聯方交易」所披露者外， above, no contracts of significance to which the Company or any of 於本年度末或年度內任何時間並不存在本 its subsidiaries was a party and in which a director of the Company 公司或其任何附屬公司參與訂立而本公司 had a material interest, whether directly or indirectly, subsisted at the 董事於當中直接或間接擁有重大利益之任 end of the year or at any time during the year. 何重大合約。 EVENTS AFTER THE REPORTING PERI</t>
        </is>
      </c>
    </row>
    <row r="198">
      <c r="A198" s="8" t="inlineStr">
        <is>
          <t>Related Party Transactions</t>
        </is>
      </c>
      <c r="B198" s="8" t="inlineStr">
        <is>
          <t>關聯方交易</t>
        </is>
      </c>
      <c r="C198" s="8" t="inlineStr">
        <is>
          <t>low</t>
        </is>
      </c>
      <c r="D198" s="11" t="inlineStr">
        <is>
          <t>關聯方</t>
        </is>
      </c>
      <c r="E198" s="11" t="inlineStr">
        <is>
          <t>PDF p.163 (印刷頁 162)</t>
        </is>
      </c>
      <c r="F198" s="11" t="inlineStr">
        <is>
          <t>the operating segments, has been identified 表現的首席營運決策者已被識別為作出戰 as the Board that make strategic decisions. 略決策的董事會。 Related parties 關聯方 For the purposes of these consolidated financial statements, a party is 就該等綜合財務報表而言，符合以下條件 considered to be related to the Group if: 的人士被視為與本集團有關聯： (a) the party is a person or a close member of that person’s family (a) 關連方指該人士或該人士之近親，而 and if that person: 該名人士： (i) has control or joint control over of the Group; (i) 控制或共同控制本集團； (ii) has significant influence over the Group; or (ii) 對本集團有重大影響；</t>
        </is>
      </c>
    </row>
    <row r="199">
      <c r="A199" s="8" t="inlineStr">
        <is>
          <t>Related Party Transactions</t>
        </is>
      </c>
      <c r="B199" s="8" t="inlineStr">
        <is>
          <t>關聯方交易</t>
        </is>
      </c>
      <c r="C199" s="8" t="inlineStr">
        <is>
          <t>low</t>
        </is>
      </c>
      <c r="D199" s="11" t="inlineStr">
        <is>
          <t>關聯方</t>
        </is>
      </c>
      <c r="E199" s="11" t="inlineStr">
        <is>
          <t>PDF p.164 (印刷頁 163)</t>
        </is>
      </c>
      <c r="F199" s="11" t="inlineStr">
        <is>
          <t>NG POLICY INFORMATION (Continued) 3.2 Material accounting policy information 3.2 重大會計政策資料（續） (Continued) Related parties (Continued) 關聯方（續） (b) the party is an entity and if any of the following conditions applies: (b) 該人士為實體，且符合下列任何 條件： (i) the entity and the Group are members of the same group. (i) 該實體與本集團屬同一集團之 成員公司。 (ii) one entity is an associate or joint venture of the other entity (or (ii) 一間實體為另一實體之聯營公 an associate or joint venture of a member of a group of 司或合營企業（或另一實體為 which the other entity is a member). 成員公司之集團旗下成員公</t>
        </is>
      </c>
    </row>
    <row r="200">
      <c r="A200" s="8" t="inlineStr">
        <is>
          <t>Related Party Transactions</t>
        </is>
      </c>
      <c r="B200" s="8" t="inlineStr">
        <is>
          <t>關聯方交易</t>
        </is>
      </c>
      <c r="C200" s="8" t="inlineStr">
        <is>
          <t>low</t>
        </is>
      </c>
      <c r="D200" s="11" t="inlineStr">
        <is>
          <t>connected transaction</t>
        </is>
      </c>
      <c r="E200" s="11" t="inlineStr">
        <is>
          <t>PDF p.202 (印刷頁 201)</t>
        </is>
      </c>
      <c r="F200" s="11" t="inlineStr">
        <is>
          <t>ter each drawdown of the First Loan. 運資金需求提供資金。第一筆貸款為 無抵押、按固定年利率5%計息及須 於每次提取第一筆貸款後60個月內 償還。 As the provision of the First Loan was a connected transaction 第一筆貸款條文雖構成上市規則第 under Chapter 14A of the Listing Rules but was made in 14A章項下之關連交易，惟按股東於 proportion to the equity interest of the shareholders in Smart 進生所持有之權益比例提供並按一 Ascent and on normal commercial terms, this connected 般商業條款訂立，故此項關連交易獲 transaction is fully exempted from the reporting, announcement 全面豁免遵守上市規則第14A.89條項 and shareholders’ approval requirements under Rule 14A.8</t>
        </is>
      </c>
    </row>
    <row r="201">
      <c r="A201" s="8" t="inlineStr">
        <is>
          <t>Related Party Transactions</t>
        </is>
      </c>
      <c r="B201" s="8" t="inlineStr">
        <is>
          <t>關聯方交易</t>
        </is>
      </c>
      <c r="C201" s="8" t="inlineStr">
        <is>
          <t>low</t>
        </is>
      </c>
      <c r="D201" s="11" t="inlineStr">
        <is>
          <t>related party</t>
        </is>
      </c>
      <c r="E201" s="11" t="inlineStr">
        <is>
          <t>PDF p.229 (印刷頁 228)</t>
        </is>
      </c>
      <c r="F201" s="11" t="inlineStr">
        <is>
          <t>9,000港元。 average fair value of each option granted during the year was 於年度內授出之每份購股權之加權平均公 approximately HK$0.0159. 平值約為0.0159港元。 36. RELATED PARTY TRANSACTIONS 36. 關聯方交易 Save as the transactions and balances detailed elsewhere in the 除綜合財務報表其他部分所詳述之交易及 consolidated financial statements, the Group has entered into the 結餘外，本集團已於截至二零二五年三月 following transactions and balances with related parties during the years 三十一日及二零二六年三月三十一日止年 ended 31 March 2025 and 31 March 2026: 度訂立以下關聯方交易及結餘： (a) Related transaction and balances (a) 關聯交易及結餘</t>
        </is>
      </c>
    </row>
    <row r="202">
      <c r="A202" s="8" t="inlineStr">
        <is>
          <t>Related Party Transactions</t>
        </is>
      </c>
      <c r="B202" s="8" t="inlineStr">
        <is>
          <t>關聯方交易</t>
        </is>
      </c>
      <c r="C202" s="8" t="inlineStr">
        <is>
          <t>low</t>
        </is>
      </c>
      <c r="D202" s="11" t="inlineStr">
        <is>
          <t>related party</t>
        </is>
      </c>
      <c r="E202" s="11" t="inlineStr">
        <is>
          <t>PDF p.230 (印刷頁 229)</t>
        </is>
      </c>
      <c r="F202" s="11" t="inlineStr">
        <is>
          <t>NOTES TO THE CONSOLIDATED FINANCIAL STATEMENTS (CONTINUED) 綜合財務報表附註（續） For the year ended 31 March 2026 截至二零二六年三月三十一日止年度 36. RELATED PARTY TRANSACTIONS 36. 關聯方交易（續） (Continued) (b) Compensation of key management (b) 主要管理層之報酬 The remuneration of Directors and five highest paid employees 截至二零二五年三月三十一日及二 for the years ended 31 March 2025 and 31 March 2026 are set 零二六年三月三十一日止年度的董 out in notes 11 and 12. 事及五名最高薪僱員之酬金載於附 註11及12。 (c) Share buy-back by a non-wholly owned (c) 一間非全資附屬公司回購 subsidiary 股份 Please refer to note 42(ii)</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8"/>
  <sheetViews>
    <sheetView workbookViewId="0">
      <pane ySplit="26" topLeftCell="A27"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Operating Profit</t>
        </is>
      </c>
    </row>
    <row r="9">
      <c r="A9" s="8" t="inlineStr">
        <is>
          <t>Income Statement</t>
        </is>
      </c>
      <c r="B9" s="8" t="inlineStr">
        <is>
          <t>R&amp;D Expenses</t>
        </is>
      </c>
    </row>
    <row r="10">
      <c r="A10" s="8" t="inlineStr">
        <is>
          <t>Income Statement</t>
        </is>
      </c>
      <c r="B10" s="8" t="inlineStr">
        <is>
          <t>Depreciation</t>
        </is>
      </c>
    </row>
    <row r="11">
      <c r="A11" s="8" t="inlineStr">
        <is>
          <t>Income Statement</t>
        </is>
      </c>
      <c r="B11" s="8" t="inlineStr">
        <is>
          <t>Amortisation</t>
        </is>
      </c>
    </row>
    <row r="12">
      <c r="A12" s="8" t="inlineStr">
        <is>
          <t>Balance Sheet</t>
        </is>
      </c>
      <c r="B12" s="8" t="inlineStr">
        <is>
          <t>Total Assets</t>
        </is>
      </c>
    </row>
    <row r="13">
      <c r="A13" s="8" t="inlineStr">
        <is>
          <t>Balance Sheet</t>
        </is>
      </c>
      <c r="B13" s="8" t="inlineStr">
        <is>
          <t>Cash and Equivalents</t>
        </is>
      </c>
    </row>
    <row r="14">
      <c r="A14" s="8" t="inlineStr">
        <is>
          <t>Balance Sheet</t>
        </is>
      </c>
      <c r="B14" s="8" t="inlineStr">
        <is>
          <t>Trade Receivables</t>
        </is>
      </c>
    </row>
    <row r="15">
      <c r="A15" s="8" t="inlineStr">
        <is>
          <t>Balance Sheet</t>
        </is>
      </c>
      <c r="B15" s="8" t="inlineStr">
        <is>
          <t>Goodwill</t>
        </is>
      </c>
    </row>
    <row r="16">
      <c r="A16" s="8" t="inlineStr">
        <is>
          <t>Balance Sheet</t>
        </is>
      </c>
      <c r="B16" s="8" t="inlineStr">
        <is>
          <t>Total Liabilities</t>
        </is>
      </c>
    </row>
    <row r="17">
      <c r="A17" s="8" t="inlineStr">
        <is>
          <t>Balance Sheet</t>
        </is>
      </c>
      <c r="B17" s="8" t="inlineStr">
        <is>
          <t>Borrowings</t>
        </is>
      </c>
    </row>
    <row r="18">
      <c r="A18" s="8" t="inlineStr">
        <is>
          <t>Cash Flow</t>
        </is>
      </c>
      <c r="B18" s="8" t="inlineStr">
        <is>
          <t>Investing Cash Flow</t>
        </is>
      </c>
    </row>
    <row r="19">
      <c r="A19" s="8" t="inlineStr">
        <is>
          <t>Cash Flow</t>
        </is>
      </c>
      <c r="B19" s="8" t="inlineStr">
        <is>
          <t>Financing Cash Flow</t>
        </is>
      </c>
    </row>
    <row r="20">
      <c r="A20" s="8" t="inlineStr">
        <is>
          <t>Cash Flow</t>
        </is>
      </c>
      <c r="B20" s="8" t="inlineStr">
        <is>
          <t>Capital Expenditure</t>
        </is>
      </c>
    </row>
    <row r="23">
      <c r="A23" s="5" t="inlineStr">
        <is>
          <t>二、文字量過低的頁面(疑似掃描頁)</t>
        </is>
      </c>
    </row>
    <row r="24">
      <c r="A24" s="2" t="inlineStr">
        <is>
          <t>這些頁面幾乎抓不到文字,通常是掃描件或純圖表,建議人手翻閱或另行 OCR。</t>
        </is>
      </c>
    </row>
    <row r="26">
      <c r="A26" s="7" t="inlineStr">
        <is>
          <t>PDF 頁碼</t>
        </is>
      </c>
      <c r="B26" s="7" t="inlineStr">
        <is>
          <t>狀態</t>
        </is>
      </c>
    </row>
    <row r="27">
      <c r="A27" s="8" t="n">
        <v>1</v>
      </c>
      <c r="B27" s="8" t="inlineStr">
        <is>
          <t>文字量過低 — 可能為掃描頁/圖表頁</t>
        </is>
      </c>
    </row>
    <row r="28">
      <c r="A28" s="8" t="n">
        <v>254</v>
      </c>
      <c r="B28"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2026-08-30T14:16:11Z</dcterms:created>
  <dcterms:modified xsi:type="dcterms:W3CDTF">2026-08-30T14:16:11Z</dcterms:modified>
</cp:coreProperties>
</file>
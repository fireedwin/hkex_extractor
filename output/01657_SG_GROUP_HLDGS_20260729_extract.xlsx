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01657_SG_GROUP_HLDGS_20260729.pdf</t>
        </is>
      </c>
    </row>
    <row r="5">
      <c r="A5" s="3" t="inlineStr">
        <is>
          <t>產生時間 Generated</t>
        </is>
      </c>
      <c r="B5" s="4" t="inlineStr">
        <is>
          <t>2026-08-30 22:16</t>
        </is>
      </c>
    </row>
    <row r="6">
      <c r="A6" s="4" t="inlineStr"/>
      <c r="B6" s="4" t="inlineStr"/>
    </row>
    <row r="7">
      <c r="A7" s="3" t="inlineStr">
        <is>
          <t>總頁數 Total pages</t>
        </is>
      </c>
      <c r="B7" s="4" t="n">
        <v>149</v>
      </c>
    </row>
    <row r="8">
      <c r="A8" s="3" t="inlineStr">
        <is>
          <t>已擷取字元 Characters extracted</t>
        </is>
      </c>
      <c r="B8" s="4" t="n">
        <v>329381</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6</v>
      </c>
    </row>
    <row r="13">
      <c r="A13" s="3" t="inlineStr">
        <is>
          <t>財務科目擷取筆數 Financial line items</t>
        </is>
      </c>
      <c r="B13" s="4" t="n">
        <v>8</v>
      </c>
    </row>
    <row r="14">
      <c r="A14" s="3" t="inlineStr">
        <is>
          <t>主題段落擷取筆數 Topic extracts</t>
        </is>
      </c>
      <c r="B14" s="4" t="n">
        <v>75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收入 − 銷售成本 = 毛利</t>
        </is>
      </c>
      <c r="B19" s="4" t="inlineStr">
        <is>
          <t>166,245 − 140,374 = 25,871 vs 毛利 25,871</t>
        </is>
      </c>
    </row>
    <row r="20">
      <c r="A20" s="6" t="inlineStr">
        <is>
          <t>✓ 除稅前溢利 ± 稅項 = 年內溢利</t>
        </is>
      </c>
      <c r="B20" s="4" t="inlineStr">
        <is>
          <t>-7,181 + 123 = -7,304 vs -7,304</t>
        </is>
      </c>
    </row>
    <row r="21">
      <c r="A21" s="7" t="inlineStr">
        <is>
          <t>✗ 三大報表應相鄰</t>
        </is>
      </c>
      <c r="B21" s="4" t="inlineStr">
        <is>
          <t>Income Statement: p.80、Balance Sheet: p.135、Cash Flow: p.145(相距 65 頁,可能有一張抓錯頁)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12.7</v>
      </c>
      <c r="D5" s="11" t="n">
        <v>12.7</v>
      </c>
      <c r="E5" s="12" t="inlineStr">
        <is>
          <t>12.7%</t>
        </is>
      </c>
      <c r="F5" s="12" t="inlineStr">
        <is>
          <t>High</t>
        </is>
      </c>
      <c r="G5" s="12" t="inlineStr">
        <is>
          <t>PDF p.119 (印刷頁 118)</t>
        </is>
      </c>
      <c r="H5" s="12" t="inlineStr">
        <is>
          <t>ment of the respective subsidiary covering the following 5 years with a pre-tax discount rate is 12.7% (2025: 12.1%) as at 30 April 2026. The annual growth rate used is 2.5% (2025: 2.5%), which is based on the human resources capacity and future busines</t>
        </is>
      </c>
    </row>
    <row r="6">
      <c r="A6" s="9" t="inlineStr">
        <is>
          <t>Discount Rate</t>
        </is>
      </c>
      <c r="B6" s="9" t="inlineStr">
        <is>
          <t>折現率</t>
        </is>
      </c>
      <c r="C6" s="10" t="n">
        <v>15.7</v>
      </c>
      <c r="D6" s="11" t="n">
        <v>25.1</v>
      </c>
      <c r="E6" s="12" t="inlineStr">
        <is>
          <t>15.7% and 25.1%</t>
        </is>
      </c>
      <c r="F6" s="12" t="inlineStr">
        <is>
          <t>Medium</t>
        </is>
      </c>
      <c r="G6" s="12" t="inlineStr">
        <is>
          <t>PDF p.143 (印刷頁 142)</t>
        </is>
      </c>
      <c r="H6" s="12" t="inlineStr">
        <is>
          <t xml:space="preserve">e derived from the ownership (Note 2) of this investee, based on an appropriate discount rate. Discount for lack of marketability and control of 15.7% and 25.1%, respectively (Note 1) 47 36 * The fair value as at initial recognition is approximately to </t>
        </is>
      </c>
    </row>
    <row r="7">
      <c r="A7" s="9" t="inlineStr">
        <is>
          <t>Gross Margin</t>
        </is>
      </c>
      <c r="B7" s="9" t="inlineStr">
        <is>
          <t>毛利率</t>
        </is>
      </c>
      <c r="C7" s="10" t="n">
        <v>15.6</v>
      </c>
      <c r="D7" s="11" t="n">
        <v>15.6</v>
      </c>
      <c r="E7" s="12" t="inlineStr">
        <is>
          <t>15.6%</t>
        </is>
      </c>
      <c r="F7" s="12" t="inlineStr">
        <is>
          <t>High</t>
        </is>
      </c>
      <c r="G7" s="12" t="inlineStr">
        <is>
          <t>PDF p.5 (印刷頁 4)</t>
        </is>
      </c>
      <c r="H7" s="12" t="inlineStr">
        <is>
          <t>llion (for the year ended 30 April 2025: HK$30.3 million), yielding an impaired gross margin of 15.6%, with an increase in loss to HK$7.3 million (for the year ended 30 April 2025: HK$6.0 million). With the deep understanding of our major customers’ ne</t>
        </is>
      </c>
    </row>
    <row r="8">
      <c r="A8" s="9" t="inlineStr">
        <is>
          <t>Gross Margin</t>
        </is>
      </c>
      <c r="B8" s="9" t="inlineStr">
        <is>
          <t>毛利率</t>
        </is>
      </c>
      <c r="C8" s="10" t="n">
        <v>15.6</v>
      </c>
      <c r="D8" s="11" t="n">
        <v>15.6</v>
      </c>
      <c r="E8" s="12" t="inlineStr">
        <is>
          <t>15.6%</t>
        </is>
      </c>
      <c r="F8" s="12" t="inlineStr">
        <is>
          <t>High</t>
        </is>
      </c>
      <c r="G8" s="12" t="inlineStr">
        <is>
          <t>PDF p.7 (印刷頁 6)</t>
        </is>
      </c>
      <c r="H8" s="12" t="inlineStr">
        <is>
          <t>ded 30 April 2025, representing an decrease of approximately 14.5%. The Group’s gross profit margin was approximately 15.6% for the Year and approximately 19.7% for the year ended 30 April 2025. Focusing on the supply of apparel products business segment, the</t>
        </is>
      </c>
    </row>
    <row r="9">
      <c r="A9" s="9" t="inlineStr">
        <is>
          <t>Gross Margin</t>
        </is>
      </c>
      <c r="B9" s="9" t="inlineStr">
        <is>
          <t>毛利率</t>
        </is>
      </c>
      <c r="C9" s="10" t="n">
        <v>13</v>
      </c>
      <c r="D9" s="11" t="n">
        <v>13</v>
      </c>
      <c r="E9" s="12" t="inlineStr">
        <is>
          <t>13.0%</t>
        </is>
      </c>
      <c r="F9" s="12" t="inlineStr">
        <is>
          <t>High</t>
        </is>
      </c>
      <c r="G9" s="12" t="inlineStr">
        <is>
          <t>PDF p.7 (印刷頁 6)</t>
        </is>
      </c>
      <c r="H9" s="12" t="inlineStr">
        <is>
          <t xml:space="preserve"> 2025. Focusing on the supply of apparel products business segment, the Group’s gross profit margin was approximately 13.0% for the Year and approximately 15.8% for the year ended 30 April 2025. Such decrease in gross profit margin was mainly attributable to </t>
        </is>
      </c>
    </row>
    <row r="10">
      <c r="A10" s="9" t="inlineStr">
        <is>
          <t>Gross Margin</t>
        </is>
      </c>
      <c r="B10" s="9" t="inlineStr">
        <is>
          <t>毛利率</t>
        </is>
      </c>
      <c r="C10" s="10" t="n">
        <v>15.8</v>
      </c>
      <c r="D10" s="11" t="n">
        <v>15.8</v>
      </c>
      <c r="E10" s="12" t="inlineStr">
        <is>
          <t>15.8%</t>
        </is>
      </c>
      <c r="F10" s="12" t="inlineStr">
        <is>
          <t>Medium</t>
        </is>
      </c>
      <c r="G10" s="12" t="inlineStr">
        <is>
          <t>PDF p.7 (印刷頁 6)</t>
        </is>
      </c>
      <c r="H10" s="12" t="inlineStr">
        <is>
          <t>Year and approximately 15.8% for the year ended 30 April 2025. Such decrease in gross profit margin was mainly attributable to (i) sales discount granted to the customers upon our customers’ requests; and (ii) the increase in production costs incurred in rela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166245</v>
      </c>
      <c r="D5" s="14" t="n">
        <v>153766</v>
      </c>
      <c r="E5" s="15">
        <f>IF(ISERROR((C5-D5)/ABS(D5)),"",(C5-D5)/ABS(D5))</f>
        <v>0.08115578216250667</v>
      </c>
      <c r="F5" s="12" t="inlineStr">
        <is>
          <t>PDF p.80 (印刷頁 79)</t>
        </is>
      </c>
      <c r="G5" s="12" t="inlineStr">
        <is>
          <t>Revenue 5 166,245 153,766</t>
        </is>
      </c>
    </row>
    <row r="6">
      <c r="A6" s="9" t="inlineStr">
        <is>
          <t>Income Statement</t>
        </is>
      </c>
      <c r="B6" s="9" t="inlineStr">
        <is>
          <t>Cost of Sales</t>
        </is>
      </c>
      <c r="C6" s="13" t="n">
        <v>-140374</v>
      </c>
      <c r="D6" s="14" t="n">
        <v>-123419</v>
      </c>
      <c r="E6" s="15">
        <f>IF(ISERROR((C6-D6)/ABS(D6)),"",(C6-D6)/ABS(D6))</f>
        <v>-0.13737755126844328</v>
      </c>
      <c r="F6" s="12" t="inlineStr">
        <is>
          <t>PDF p.80 (印刷頁 79)</t>
        </is>
      </c>
      <c r="G6" s="12" t="inlineStr">
        <is>
          <t>Cost of sales and services (140,374) (123,419)</t>
        </is>
      </c>
    </row>
    <row r="7">
      <c r="A7" s="9" t="inlineStr">
        <is>
          <t>Income Statement</t>
        </is>
      </c>
      <c r="B7" s="9" t="inlineStr">
        <is>
          <t>Gross Profit</t>
        </is>
      </c>
      <c r="C7" s="13" t="n">
        <v>25871</v>
      </c>
      <c r="D7" s="14" t="n">
        <v>30347</v>
      </c>
      <c r="E7" s="15">
        <f>IF(ISERROR((C7-D7)/ABS(D7)),"",(C7-D7)/ABS(D7))</f>
        <v>-0.14749398622598608</v>
      </c>
      <c r="F7" s="12" t="inlineStr">
        <is>
          <t>PDF p.80 (印刷頁 79)</t>
        </is>
      </c>
      <c r="G7" s="12" t="inlineStr">
        <is>
          <t>Gross profit 25,871 30,347</t>
        </is>
      </c>
    </row>
    <row r="8">
      <c r="A8" s="9" t="inlineStr">
        <is>
          <t>Income Statement</t>
        </is>
      </c>
      <c r="B8" s="9" t="inlineStr">
        <is>
          <t>Finance Costs</t>
        </is>
      </c>
      <c r="C8" s="13" t="n">
        <v>-441</v>
      </c>
      <c r="D8" s="14" t="n">
        <v>-479</v>
      </c>
      <c r="E8" s="15">
        <f>IF(ISERROR((C8-D8)/ABS(D8)),"",(C8-D8)/ABS(D8))</f>
        <v>0.07933194154488518</v>
      </c>
      <c r="F8" s="12" t="inlineStr">
        <is>
          <t>PDF p.80 (印刷頁 79)</t>
        </is>
      </c>
      <c r="G8" s="12" t="inlineStr">
        <is>
          <t>Finance costs 8 (441) (479)</t>
        </is>
      </c>
    </row>
    <row r="9">
      <c r="A9" s="9" t="inlineStr">
        <is>
          <t>Income Statement</t>
        </is>
      </c>
      <c r="B9" s="9" t="inlineStr">
        <is>
          <t>Profit Before Tax</t>
        </is>
      </c>
      <c r="C9" s="13" t="n">
        <v>-7181</v>
      </c>
      <c r="D9" s="14" t="n">
        <v>-6255</v>
      </c>
      <c r="E9" s="15">
        <f>IF(ISERROR((C9-D9)/ABS(D9)),"",(C9-D9)/ABS(D9))</f>
        <v>-0.1480415667466027</v>
      </c>
      <c r="F9" s="12" t="inlineStr">
        <is>
          <t>PDF p.80 (印刷頁 79)</t>
        </is>
      </c>
      <c r="G9" s="12" t="inlineStr">
        <is>
          <t>Loss before tax 9 (7,181) (6,255)</t>
        </is>
      </c>
    </row>
    <row r="10">
      <c r="A10" s="9" t="inlineStr">
        <is>
          <t>Income Statement</t>
        </is>
      </c>
      <c r="B10" s="9" t="inlineStr">
        <is>
          <t>Income Tax</t>
        </is>
      </c>
      <c r="C10" s="13" t="n">
        <v>-123</v>
      </c>
      <c r="D10" s="14" t="n">
        <v>214</v>
      </c>
      <c r="E10" s="15">
        <f>IF(ISERROR((C10-D10)/ABS(D10)),"",(C10-D10)/ABS(D10))</f>
        <v>-1.574766355140187</v>
      </c>
      <c r="F10" s="12" t="inlineStr">
        <is>
          <t>PDF p.80 (印刷頁 79)</t>
        </is>
      </c>
      <c r="G10" s="12" t="inlineStr">
        <is>
          <t>Income tax (expense) credit 12 (123) 214</t>
        </is>
      </c>
    </row>
    <row r="11">
      <c r="A11" s="9" t="inlineStr">
        <is>
          <t>Income Statement</t>
        </is>
      </c>
      <c r="B11" s="9" t="inlineStr">
        <is>
          <t>Profit for the Year</t>
        </is>
      </c>
      <c r="C11" s="13" t="n">
        <v>-7304</v>
      </c>
      <c r="D11" s="14" t="n">
        <v>-6041</v>
      </c>
      <c r="E11" s="15">
        <f>IF(ISERROR((C11-D11)/ABS(D11)),"",(C11-D11)/ABS(D11))</f>
        <v>-0.2090713458036749</v>
      </c>
      <c r="F11" s="12" t="inlineStr">
        <is>
          <t>PDF p.80 (印刷頁 79)</t>
        </is>
      </c>
      <c r="G11" s="12" t="inlineStr">
        <is>
          <t>Loss for the year (7,304) (6,041)</t>
        </is>
      </c>
    </row>
    <row r="12">
      <c r="A12" s="9" t="inlineStr">
        <is>
          <t>Balance Sheet</t>
        </is>
      </c>
      <c r="B12" s="9" t="inlineStr">
        <is>
          <t>Trade Receivables</t>
        </is>
      </c>
      <c r="C12" s="13" t="n">
        <v>2026</v>
      </c>
      <c r="D12" s="14" t="n">
        <v>25</v>
      </c>
      <c r="E12" s="15">
        <f>IF(ISERROR((C12-D12)/ABS(D12)),"",(C12-D12)/ABS(D12))</f>
        <v>80.04</v>
      </c>
      <c r="F12" s="12" t="inlineStr">
        <is>
          <t>PDF p.135 (印刷頁 134)</t>
        </is>
      </c>
      <c r="G12" s="12" t="inlineStr">
        <is>
          <t>Trade receivables … As at 30 April 2026, the Group has concentration of credit risk as 25% (2025: 34%) and 69% (2025: 78%)</t>
        </is>
      </c>
    </row>
    <row r="14">
      <c r="A1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財務數據'!$C$5:$C$12,MATCH("Gross Profit",'Financials 財務數據'!$B$5:$B$12,0))/INDEX('Financials 財務數據'!$C$5:$C$12,MATCH("Revenue",'Financials 財務數據'!$B$5:$B$12,0))),"n/a",INDEX('Financials 財務數據'!$C$5:$C$12,MATCH("Gross Profit",'Financials 財務數據'!$B$5:$B$12,0))/INDEX('Financials 財務數據'!$C$5:$C$12,MATCH("Revenue",'Financials 財務數據'!$B$5:$B$12,0)))</f>
        <v>0.15561971788625223</v>
      </c>
      <c r="C5" s="16">
        <f>IF(ISERROR(INDEX('Financials 財務數據'!$D$5:$D$12,MATCH("Gross Profit",'Financials 財務數據'!$B$5:$B$12,0))/INDEX('Financials 財務數據'!$D$5:$D$12,MATCH("Revenue",'Financials 財務數據'!$B$5:$B$12,0))),"n/a",INDEX('Financials 財務數據'!$D$5:$D$12,MATCH("Gross Profit",'Financials 財務數據'!$B$5:$B$12,0))/INDEX('Financials 財務數據'!$D$5:$D$12,MATCH("Revenue",'Financials 財務數據'!$B$5:$B$12,0)))</f>
        <v>0.19735832368664075</v>
      </c>
      <c r="D5" s="2" t="inlineStr">
        <is>
          <t>毛利 ÷ 收入</t>
        </is>
      </c>
    </row>
    <row r="6">
      <c r="A6" s="4" t="inlineStr">
        <is>
          <t>Net Margin 淨利率</t>
        </is>
      </c>
      <c r="B6" s="16">
        <f>IF(ISERROR(INDEX('Financials 財務數據'!$C$5:$C$12,MATCH("Profit for the Year",'Financials 財務數據'!$B$5:$B$12,0))/INDEX('Financials 財務數據'!$C$5:$C$12,MATCH("Revenue",'Financials 財務數據'!$B$5:$B$12,0))),"n/a",INDEX('Financials 財務數據'!$C$5:$C$12,MATCH("Profit for the Year",'Financials 財務數據'!$B$5:$B$12,0))/INDEX('Financials 財務數據'!$C$5:$C$12,MATCH("Revenue",'Financials 財務數據'!$B$5:$B$12,0)))</f>
        <v>-0.043935155944539686</v>
      </c>
      <c r="C6" s="16">
        <f>IF(ISERROR(INDEX('Financials 財務數據'!$D$5:$D$12,MATCH("Profit for the Year",'Financials 財務數據'!$B$5:$B$12,0))/INDEX('Financials 財務數據'!$D$5:$D$12,MATCH("Revenue",'Financials 財務數據'!$B$5:$B$12,0))),"n/a",INDEX('Financials 財務數據'!$D$5:$D$12,MATCH("Profit for the Year",'Financials 財務數據'!$B$5:$B$12,0))/INDEX('Financials 財務數據'!$D$5:$D$12,MATCH("Revenue",'Financials 財務數據'!$B$5:$B$12,0)))</f>
        <v>-0.03928696851059402</v>
      </c>
      <c r="D6" s="2" t="inlineStr">
        <is>
          <t>年內溢利 ÷ 收入</t>
        </is>
      </c>
    </row>
    <row r="7">
      <c r="A7" s="4" t="inlineStr">
        <is>
          <t>Current Ratio 流動比率</t>
        </is>
      </c>
      <c r="B7" s="17" t="str">
        <f>IF(ISERROR(INDEX('Financials 財務數據'!$C$5:$C$12,MATCH("Total Current Assets",'Financials 財務數據'!$B$5:$B$12,0))/INDEX('Financials 財務數據'!$C$5:$C$12,MATCH("Total Current Liabilities",'Financials 財務數據'!$B$5:$B$12,0))),"n/a",INDEX('Financials 財務數據'!$C$5:$C$12,MATCH("Total Current Assets",'Financials 財務數據'!$B$5:$B$12,0))/INDEX('Financials 財務數據'!$C$5:$C$12,MATCH("Total Current Liabilities",'Financials 財務數據'!$B$5:$B$12,0)))</f>
        <v>n/a</v>
      </c>
      <c r="C7" s="17" t="str">
        <f>IF(ISERROR(INDEX('Financials 財務數據'!$D$5:$D$12,MATCH("Total Current Assets",'Financials 財務數據'!$B$5:$B$12,0))/INDEX('Financials 財務數據'!$D$5:$D$12,MATCH("Total Current Liabilities",'Financials 財務數據'!$B$5:$B$12,0))),"n/a",INDEX('Financials 財務數據'!$D$5:$D$12,MATCH("Total Current Assets",'Financials 財務數據'!$B$5:$B$12,0))/INDEX('Financials 財務數據'!$D$5:$D$12,MATCH("Total Current Liabilities",'Financials 財務數據'!$B$5:$B$12,0)))</f>
        <v>n/a</v>
      </c>
      <c r="D7" s="2" t="inlineStr">
        <is>
          <t>流動資產 ÷ 流動負債</t>
        </is>
      </c>
    </row>
    <row r="8">
      <c r="A8" s="4" t="inlineStr">
        <is>
          <t>Debt / Equity 負債權益比</t>
        </is>
      </c>
      <c r="B8" s="17" t="str">
        <f>IF(ISERROR(INDEX('Financials 財務數據'!$C$5:$C$12,MATCH("Total Liabilities",'Financials 財務數據'!$B$5:$B$12,0))/INDEX('Financials 財務數據'!$C$5:$C$12,MATCH("Total Equity",'Financials 財務數據'!$B$5:$B$12,0))),"n/a",INDEX('Financials 財務數據'!$C$5:$C$12,MATCH("Total Liabilities",'Financials 財務數據'!$B$5:$B$12,0))/INDEX('Financials 財務數據'!$C$5:$C$12,MATCH("Total Equity",'Financials 財務數據'!$B$5:$B$12,0)))</f>
        <v>n/a</v>
      </c>
      <c r="C8" s="17" t="str">
        <f>IF(ISERROR(INDEX('Financials 財務數據'!$D$5:$D$12,MATCH("Total Liabilities",'Financials 財務數據'!$B$5:$B$12,0))/INDEX('Financials 財務數據'!$D$5:$D$12,MATCH("Total Equity",'Financials 財務數據'!$B$5:$B$12,0))),"n/a",INDEX('Financials 財務數據'!$D$5:$D$12,MATCH("Total Liabilities",'Financials 財務數據'!$B$5:$B$12,0))/INDEX('Financials 財務數據'!$D$5:$D$12,MATCH("Total Equity",'Financials 財務數據'!$B$5:$B$12,0)))</f>
        <v>n/a</v>
      </c>
      <c r="D8" s="2" t="inlineStr">
        <is>
          <t>總負債 ÷ 總權益</t>
        </is>
      </c>
    </row>
    <row r="9">
      <c r="A9" s="4" t="inlineStr">
        <is>
          <t>Goodwill / Total Assets</t>
        </is>
      </c>
      <c r="B9" s="16" t="str">
        <f>IF(ISERROR(INDEX('Financials 財務數據'!$C$5:$C$12,MATCH("Goodwill",'Financials 財務數據'!$B$5:$B$12,0))/INDEX('Financials 財務數據'!$C$5:$C$12,MATCH("Total Assets",'Financials 財務數據'!$B$5:$B$12,0))),"n/a",INDEX('Financials 財務數據'!$C$5:$C$12,MATCH("Goodwill",'Financials 財務數據'!$B$5:$B$12,0))/INDEX('Financials 財務數據'!$C$5:$C$12,MATCH("Total Assets",'Financials 財務數據'!$B$5:$B$12,0)))</f>
        <v>n/a</v>
      </c>
      <c r="C9" s="16" t="str">
        <f>IF(ISERROR(INDEX('Financials 財務數據'!$D$5:$D$12,MATCH("Goodwill",'Financials 財務數據'!$B$5:$B$12,0))/INDEX('Financials 財務數據'!$D$5:$D$12,MATCH("Total Assets",'Financials 財務數據'!$B$5:$B$12,0))),"n/a",INDEX('Financials 財務數據'!$D$5:$D$12,MATCH("Goodwill",'Financials 財務數據'!$B$5:$B$12,0))/INDEX('Financials 財務數據'!$D$5:$D$12,MATCH("Total Assets",'Financials 財務數據'!$B$5:$B$12,0)))</f>
        <v>n/a</v>
      </c>
      <c r="D9" s="2" t="inlineStr">
        <is>
          <t>商譽佔總資產比重 — 減值風險指標</t>
        </is>
      </c>
    </row>
    <row r="10">
      <c r="A10" s="4" t="inlineStr">
        <is>
          <t>Intangibles / Total Assets</t>
        </is>
      </c>
      <c r="B10" s="16" t="str">
        <f>IF(ISERROR(INDEX('Financials 財務數據'!$C$5:$C$12,MATCH("Intangible Assets",'Financials 財務數據'!$B$5:$B$12,0))/INDEX('Financials 財務數據'!$C$5:$C$12,MATCH("Total Assets",'Financials 財務數據'!$B$5:$B$12,0))),"n/a",INDEX('Financials 財務數據'!$C$5:$C$12,MATCH("Intangible Assets",'Financials 財務數據'!$B$5:$B$12,0))/INDEX('Financials 財務數據'!$C$5:$C$12,MATCH("Total Assets",'Financials 財務數據'!$B$5:$B$12,0)))</f>
        <v>n/a</v>
      </c>
      <c r="C10" s="16" t="str">
        <f>IF(ISERROR(INDEX('Financials 財務數據'!$D$5:$D$12,MATCH("Intangible Assets",'Financials 財務數據'!$B$5:$B$12,0))/INDEX('Financials 財務數據'!$D$5:$D$12,MATCH("Total Assets",'Financials 財務數據'!$B$5:$B$12,0))),"n/a",INDEX('Financials 財務數據'!$D$5:$D$12,MATCH("Intangible Assets",'Financials 財務數據'!$B$5:$B$12,0))/INDEX('Financials 財務數據'!$D$5:$D$12,MATCH("Total Assets",'Financials 財務數據'!$B$5:$B$12,0)))</f>
        <v>n/a</v>
      </c>
      <c r="D10" s="2" t="inlineStr">
        <is>
          <t>無形資產佔比</t>
        </is>
      </c>
    </row>
    <row r="11">
      <c r="A11" s="4" t="inlineStr">
        <is>
          <t>ROE 股本回報率</t>
        </is>
      </c>
      <c r="B11" s="16" t="str">
        <f>IF(ISERROR(INDEX('Financials 財務數據'!$C$5:$C$12,MATCH("Profit for the Year",'Financials 財務數據'!$B$5:$B$12,0))/INDEX('Financials 財務數據'!$C$5:$C$12,MATCH("Total Equity",'Financials 財務數據'!$B$5:$B$12,0))),"n/a",INDEX('Financials 財務數據'!$C$5:$C$12,MATCH("Profit for the Year",'Financials 財務數據'!$B$5:$B$12,0))/INDEX('Financials 財務數據'!$C$5:$C$12,MATCH("Total Equity",'Financials 財務數據'!$B$5:$B$12,0)))</f>
        <v>n/a</v>
      </c>
      <c r="C11" s="16" t="str">
        <f>IF(ISERROR(INDEX('Financials 財務數據'!$D$5:$D$12,MATCH("Profit for the Year",'Financials 財務數據'!$B$5:$B$12,0))/INDEX('Financials 財務數據'!$D$5:$D$12,MATCH("Total Equity",'Financials 財務數據'!$B$5:$B$12,0))),"n/a",INDEX('Financials 財務數據'!$D$5:$D$12,MATCH("Profit for the Year",'Financials 財務數據'!$B$5:$B$12,0))/INDEX('Financials 財務數據'!$D$5:$D$12,MATCH("Total Equity",'Financials 財務數據'!$B$5:$B$12,0)))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153766</v>
      </c>
      <c r="C5" s="19" t="n">
        <v>166245</v>
      </c>
    </row>
    <row r="6">
      <c r="A6" s="4" t="inlineStr">
        <is>
          <t>Gross Profit</t>
        </is>
      </c>
      <c r="B6" s="19" t="n">
        <v>30347</v>
      </c>
      <c r="C6" s="19" t="n">
        <v>25871</v>
      </c>
    </row>
    <row r="7">
      <c r="A7" s="4" t="inlineStr">
        <is>
          <t>Profit Before Tax</t>
        </is>
      </c>
      <c r="B7" s="19" t="n">
        <v>-6255</v>
      </c>
      <c r="C7" s="19" t="n">
        <v>-7181</v>
      </c>
    </row>
    <row r="8">
      <c r="A8" s="4" t="inlineStr">
        <is>
          <t>Profit for the Year</t>
        </is>
      </c>
      <c r="B8" s="19" t="n">
        <v>-6041</v>
      </c>
      <c r="C8" s="19" t="n">
        <v>-7304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valuation technique</t>
        </is>
      </c>
      <c r="E4" s="12" t="inlineStr">
        <is>
          <t>PDF p.106 (印刷頁 105)</t>
        </is>
      </c>
      <c r="F4" s="12" t="inlineStr">
        <is>
          <t>nt prices in active market for similar unlisted equity interests, the Group determines the fair values by using discounted cash flow valuation technique with input not based on observable market data and other available information. The investment was disposed during the year ended 30 April 2026. The carrying amounts of the unlisted investments as at 30 April 2025 was HK$Nil, further details of which are set out in note 21. Estimated impairment of property, plant and equipment, intangible assets and right-ofuse assets Propert</t>
        </is>
      </c>
    </row>
    <row r="5">
      <c r="A5" s="9" t="inlineStr">
        <is>
          <t>Fair Value Measurement</t>
        </is>
      </c>
      <c r="B5" s="9" t="inlineStr">
        <is>
          <t>公允價值計量</t>
        </is>
      </c>
      <c r="C5" s="20" t="inlineStr">
        <is>
          <t>high</t>
        </is>
      </c>
      <c r="D5" s="12" t="inlineStr">
        <is>
          <t>fair value hierarchy</t>
        </is>
      </c>
      <c r="E5" s="12" t="inlineStr">
        <is>
          <t>PDF p.119 (印刷頁 118)</t>
        </is>
      </c>
      <c r="F5" s="12" t="inlineStr">
        <is>
          <t>ilar properties adjusted for nature, location and conditions of the property. The fair value measurement is categorised into Level 3 fair value hierarchy. The relevant assets were impaired to their recoverable amount of HK$Nil (2025: HK$Nil), which is their carrying values at year end and the impairment of HK$Nil (2025: HK$Nil) has been recognised in profit or loss within the relevant functions to which these assets relate during the year. In addition, the Group estimates the recoverable amount of the cash-generating unit of su</t>
        </is>
      </c>
    </row>
    <row r="6">
      <c r="A6" s="9" t="inlineStr">
        <is>
          <t>Fair Value Measurement</t>
        </is>
      </c>
      <c r="B6" s="9" t="inlineStr">
        <is>
          <t>公允價值計量</t>
        </is>
      </c>
      <c r="C6" s="20" t="inlineStr">
        <is>
          <t>high</t>
        </is>
      </c>
      <c r="D6" s="12" t="inlineStr">
        <is>
          <t>fair value hierarchy</t>
        </is>
      </c>
      <c r="E6" s="12" t="inlineStr">
        <is>
          <t>PDF p.121 (印刷頁 120)</t>
        </is>
      </c>
      <c r="F6" s="12" t="inlineStr">
        <is>
          <t>the highest and best use of the property is its current use. Details of the Group’s investment properties and information about the fair value hierarchy and valuation technique are as follows: Carrying value Fair value at level 3 Valuation Major Description at April 30 at April 30 technique unobservable input 2026 2025 2026 2025 HK$’000 HK$’000 HK$’000 HK$’000 Car park slots in Royal Terrace 4,120 4,760 4,120 4,760 Market approach Adjusting factors, mainly taking into account the time, location and floor level, between the com</t>
        </is>
      </c>
    </row>
    <row r="7">
      <c r="A7" s="9" t="inlineStr">
        <is>
          <t>Fair Value Measurement</t>
        </is>
      </c>
      <c r="B7" s="9" t="inlineStr">
        <is>
          <t>公允價值計量</t>
        </is>
      </c>
      <c r="C7" s="20" t="inlineStr">
        <is>
          <t>high</t>
        </is>
      </c>
      <c r="D7" s="12" t="inlineStr">
        <is>
          <t>valuation technique</t>
        </is>
      </c>
      <c r="E7" s="12" t="inlineStr">
        <is>
          <t>PDF p.133 (印刷頁 132)</t>
        </is>
      </c>
      <c r="F7" s="12" t="inlineStr">
        <is>
          <t>roup’s equity price risk is concentrated on equity instruments quoted on the Stock Exchange and unlisted equity investment quoted by valuation techniques. The management manages the exposure to price risk by maintaining a portfolio of investments with different risk and return profiles. 132 SG GROUP HOLDINGS LIMITED</t>
        </is>
      </c>
    </row>
    <row r="8">
      <c r="A8" s="9" t="inlineStr">
        <is>
          <t>Fair Value Measurement</t>
        </is>
      </c>
      <c r="B8" s="9" t="inlineStr">
        <is>
          <t>公允價值計量</t>
        </is>
      </c>
      <c r="C8" s="20" t="inlineStr">
        <is>
          <t>high</t>
        </is>
      </c>
      <c r="D8" s="12" t="inlineStr">
        <is>
          <t>level 1</t>
        </is>
      </c>
      <c r="E8" s="12" t="inlineStr">
        <is>
          <t>PDF p.142 (印刷頁 141)</t>
        </is>
      </c>
      <c r="F8" s="12" t="inlineStr">
        <is>
          <t>riod. Fair value measurement of financial instruments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 for identical assets or liabilities that the entity can access at the measurement date; • Level 2: Inputs are inputs,</t>
        </is>
      </c>
    </row>
    <row r="9">
      <c r="A9" s="9" t="inlineStr">
        <is>
          <t>Fair Value Measurement</t>
        </is>
      </c>
      <c r="B9" s="9" t="inlineStr">
        <is>
          <t>公允價值計量</t>
        </is>
      </c>
      <c r="C9" s="20" t="inlineStr">
        <is>
          <t>high</t>
        </is>
      </c>
      <c r="D9" s="12" t="inlineStr">
        <is>
          <t>fair value hierarchy</t>
        </is>
      </c>
      <c r="E9" s="12" t="inlineStr">
        <is>
          <t>PDF p.143 (印刷頁 142)</t>
        </is>
      </c>
      <c r="F9" s="12" t="inlineStr">
        <is>
          <t>ollowing tables give information about how the fair values of financial assets measured at fair value are determined including their fair value hierarchy, valuation technique(s) and key inputs used. Basis of fair value Fair value measurement/valuation Significant unobservable Financial assets Fair value as at hierarchy technique(s) and key input(s) input(s) 2026 2025 HKD HKD 1. Listed equity securities 47 36 Level 1 The fair value of the equity N/A classified as equity securities is estimated by the instruments at FVTPL price q</t>
        </is>
      </c>
    </row>
    <row r="10">
      <c r="A10" s="9" t="inlineStr">
        <is>
          <t>Fair Value Measurement</t>
        </is>
      </c>
      <c r="B10" s="9" t="inlineStr">
        <is>
          <t>公允價值計量</t>
        </is>
      </c>
      <c r="C10" s="20" t="inlineStr">
        <is>
          <t>high</t>
        </is>
      </c>
      <c r="D10" s="12" t="inlineStr">
        <is>
          <t>level 3</t>
        </is>
      </c>
      <c r="E10" s="12" t="inlineStr">
        <is>
          <t>PDF p.144 (印刷頁 143)</t>
        </is>
      </c>
      <c r="F10" s="12" t="inlineStr">
        <is>
          <t>ES TO THE CONSOLIDATED FINANCIAL STATEMENTS FOR THE YEAR ENDED 30 APRIL 2026 33. FINANCIAL INSTRUMENTS (CONTINUED) Reconciliation of Level 3 fair value measurement of financial asset 2026 2025 HK$’000 HK$’000 Unlisted equity investment classified as equity instrument at FVTOCI At 1 May – – Loss on fair value change – – At 30 April – – Except for the financial assets that are measured at fair value on a recurring basis, the directors of the Company consider that the carrying amounts of other financial assets and financial liabil</t>
        </is>
      </c>
    </row>
    <row r="11">
      <c r="A11" s="9" t="inlineStr">
        <is>
          <t>Impairment Testing</t>
        </is>
      </c>
      <c r="B11" s="9" t="inlineStr">
        <is>
          <t>減值測試</t>
        </is>
      </c>
      <c r="C11" s="20" t="inlineStr">
        <is>
          <t>high</t>
        </is>
      </c>
      <c r="D11" s="12" t="inlineStr">
        <is>
          <t>impairment loss</t>
        </is>
      </c>
      <c r="E11" s="12" t="inlineStr">
        <is>
          <t>PDF p.7 (印刷頁 6)</t>
        </is>
      </c>
      <c r="F11" s="12" t="inlineStr">
        <is>
          <t>a prudent way, suitable investment opportunities to enhance the interests of the Company and its shareholders. The Group recorded an impairment loss recognised on investment properties of approximately HK$0.5 million for the Year (for the year ended 30 April 2025: HK$1.6 million). Impairment loss recognised on trade receivables The Group recorded a provision for impairment loss recognised on trade receivables of approximately HK$1.0 million for the Year, as compared to a provision for impairment loss recognised on trade receiva</t>
        </is>
      </c>
    </row>
    <row r="12">
      <c r="A12" s="9" t="inlineStr">
        <is>
          <t>Impairment Testing</t>
        </is>
      </c>
      <c r="B12" s="9" t="inlineStr">
        <is>
          <t>減值測試</t>
        </is>
      </c>
      <c r="C12" s="20" t="inlineStr">
        <is>
          <t>high</t>
        </is>
      </c>
      <c r="D12" s="12" t="inlineStr">
        <is>
          <t>impairment loss</t>
        </is>
      </c>
      <c r="E12" s="12" t="inlineStr">
        <is>
          <t>PDF p.75 (印刷頁 74)</t>
        </is>
      </c>
      <c r="F12" s="12" t="inlineStr">
        <is>
          <t>default rates and forward-looking information); and As disclosed in note 33 to the consolidated financial statements, the Group had impairment loss recognised • Evaluating the disclosures regarding the on trade receivables of approximately HK$990,000 impairment assessment of trade receivables (2025: HK$2,126,000) for the year ended 30 April 2026. in note 33 to the consolidated financial statements. 74 SG GROUP HOLDINGS LIMITED</t>
        </is>
      </c>
    </row>
    <row r="13">
      <c r="A13" s="9" t="inlineStr">
        <is>
          <t>Impairment Testing</t>
        </is>
      </c>
      <c r="B13" s="9" t="inlineStr">
        <is>
          <t>減值測試</t>
        </is>
      </c>
      <c r="C13" s="20" t="inlineStr">
        <is>
          <t>high</t>
        </is>
      </c>
      <c r="D13" s="12" t="inlineStr">
        <is>
          <t>impairment loss</t>
        </is>
      </c>
      <c r="E13" s="12" t="inlineStr">
        <is>
          <t>PDF p.76 (印刷頁 75)</t>
        </is>
      </c>
      <c r="F13" s="12" t="inlineStr">
        <is>
          <t>equired to write down these assets to their recoverable amounts. As disclosed in note 7 to the consolidated financial statements, no impairment loss was provided for property, plant and equipment, intangible assets and right-of-use assets for the year ended 30 April 2026 (2025: Nil). ANNUAL REPORT 2026 75</t>
        </is>
      </c>
    </row>
    <row r="14">
      <c r="A14" s="9" t="inlineStr">
        <is>
          <t>Impairment Testing</t>
        </is>
      </c>
      <c r="B14" s="9" t="inlineStr">
        <is>
          <t>減值測試</t>
        </is>
      </c>
      <c r="C14" s="20" t="inlineStr">
        <is>
          <t>high</t>
        </is>
      </c>
      <c r="D14" s="12" t="inlineStr">
        <is>
          <t>impairment loss</t>
        </is>
      </c>
      <c r="E14" s="12" t="inlineStr">
        <is>
          <t>PDF p.80 (印刷頁 79)</t>
        </is>
      </c>
      <c r="F14" s="12" t="inlineStr">
        <is>
          <t>of sales and services (140,374) (123,419) Gross profit 25,871 30,347 Other income 6 1,811 1,077 Other gains and losses 7 346 (1,336) Impairment loss recognised on trade receivables (990) (2,126) Administrative expenses (18,527) (16,676) Selling and distribution expenses (15,251) (17,062) Finance costs 8 (441) (479) Loss before tax 9 (7,181) (6,255) Income tax (expense) credit 12 (123) 214 Loss for the year (7,304) (6,041) OTHER COMPREHENSIVE INCOME (EXPENSE) FOR THE YEAR Item that may be reclassified subsequently to profit or l</t>
        </is>
      </c>
    </row>
    <row r="15">
      <c r="A15" s="9" t="inlineStr">
        <is>
          <t>Impairment Testing</t>
        </is>
      </c>
      <c r="B15" s="9" t="inlineStr">
        <is>
          <t>減值測試</t>
        </is>
      </c>
      <c r="C15" s="20" t="inlineStr">
        <is>
          <t>high</t>
        </is>
      </c>
      <c r="D15" s="12" t="inlineStr">
        <is>
          <t>impairment loss</t>
        </is>
      </c>
      <c r="E15" s="12" t="inlineStr">
        <is>
          <t>PDF p.84 (印刷頁 83)</t>
        </is>
      </c>
      <c r="F15" s="12" t="inlineStr">
        <is>
          <t>use assets 851 1,051 Depreciation of investment properties 108 144 Amortisation of intangible assets 514 1,468 Finance costs 441 479 Impairment loss recognised on trade receivables 990 2,126 Bad debts written off 59 – Net unrealised (gain) loss on financial assets at FVTPL (11) 10 Net realised loss on financial assets at FVTPL – 453 Interest income (16) (23) Write off on property, plant and equipment – 76 Gain on lease modification (33) – Impairment loss recognised on investment properties 532 1,552 Operating cash flows before</t>
        </is>
      </c>
    </row>
    <row r="16">
      <c r="A16" s="9" t="inlineStr">
        <is>
          <t>Impairment Testing</t>
        </is>
      </c>
      <c r="B16" s="9" t="inlineStr">
        <is>
          <t>減值測試</t>
        </is>
      </c>
      <c r="C16" s="20" t="inlineStr">
        <is>
          <t>high</t>
        </is>
      </c>
      <c r="D16" s="12" t="inlineStr">
        <is>
          <t>impairment loss</t>
        </is>
      </c>
      <c r="E16" s="12" t="inlineStr">
        <is>
          <t>PDF p.89 (印刷頁 88)</t>
        </is>
      </c>
      <c r="F16" s="12" t="inlineStr">
        <is>
          <t>ated in the consolidated statement of financial position at cost less subsequent accumulated depreciation and subsequent accumulated impairment losses, if any. Construction in progress for administrative purposes are carried at cost, less any recognised impairment loss. Costs include any costs directly attributable to bringing the asset to the location and condition necessary for it to be capable of operating in the manner intended by management and, for qualifying assets, borrowing costs capitalised in accordance with the Grou</t>
        </is>
      </c>
    </row>
    <row r="17">
      <c r="A17" s="9" t="inlineStr">
        <is>
          <t>Impairment Testing</t>
        </is>
      </c>
      <c r="B17" s="9" t="inlineStr">
        <is>
          <t>減值測試</t>
        </is>
      </c>
      <c r="C17" s="20" t="inlineStr">
        <is>
          <t>high</t>
        </is>
      </c>
      <c r="D17" s="12" t="inlineStr">
        <is>
          <t>impairment loss</t>
        </is>
      </c>
      <c r="E17" s="12" t="inlineStr">
        <is>
          <t>PDF p.90 (印刷頁 89)</t>
        </is>
      </c>
      <c r="F17" s="12" t="inlineStr">
        <is>
          <t>equent to initial recognition, investment properties are stated at cost less subsequent accumulated depreciation and any accumulated impairment losses. Depreciation is recognised so as to write off the cost of investment properties over their estimated useful lives and after taking into account of their estimated residual value, using the straight-line method. An investment property is derecognised upon disposal or when the investment property is permanently withdrawn from use and no future economic benefits are expected from i</t>
        </is>
      </c>
    </row>
    <row r="18">
      <c r="A18" s="9" t="inlineStr">
        <is>
          <t>Impairment Testing</t>
        </is>
      </c>
      <c r="B18" s="9" t="inlineStr">
        <is>
          <t>減值測試</t>
        </is>
      </c>
      <c r="C18" s="20" t="inlineStr">
        <is>
          <t>high</t>
        </is>
      </c>
      <c r="D18" s="12" t="inlineStr">
        <is>
          <t>impairment loss</t>
        </is>
      </c>
      <c r="E18" s="12" t="inlineStr">
        <is>
          <t>PDF p.91 (印刷頁 90)</t>
        </is>
      </c>
      <c r="F18" s="12"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9">
      <c r="A19" s="9" t="inlineStr">
        <is>
          <t>Impairment Testing</t>
        </is>
      </c>
      <c r="B19" s="9" t="inlineStr">
        <is>
          <t>減值測試</t>
        </is>
      </c>
      <c r="C19" s="20" t="inlineStr">
        <is>
          <t>high</t>
        </is>
      </c>
      <c r="D19" s="12" t="inlineStr">
        <is>
          <t>impairment loss</t>
        </is>
      </c>
      <c r="E19" s="12" t="inlineStr">
        <is>
          <t>PDF p.94 (印刷頁 93)</t>
        </is>
      </c>
      <c r="F19" s="12" t="inlineStr">
        <is>
          <t>e assets with finite useful lives that are acquired separately are carried at cost less accumulated amortisation and any accumulated impairment losses. Amortisation for intangible assets with finite useful lives is recognised on a straight-line basis over their estimated useful lives. The estimated useful life and amortisation method are reviewed at the end of each reporting period, with the effect of any changes in estimate being accounted for on a prospective basis. An intangible asset is derecognised on disposal, or when no</t>
        </is>
      </c>
    </row>
    <row r="20">
      <c r="A20" s="9" t="inlineStr">
        <is>
          <t>Impairment Testing</t>
        </is>
      </c>
      <c r="B20" s="9" t="inlineStr">
        <is>
          <t>減值測試</t>
        </is>
      </c>
      <c r="C20" s="20" t="inlineStr">
        <is>
          <t>high</t>
        </is>
      </c>
      <c r="D20" s="12" t="inlineStr">
        <is>
          <t>impairment loss</t>
        </is>
      </c>
      <c r="E20" s="12" t="inlineStr">
        <is>
          <t>PDF p.95 (印刷頁 94)</t>
        </is>
      </c>
      <c r="F20" s="12"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21">
      <c r="A21" s="9" t="inlineStr">
        <is>
          <t>Impairment Testing</t>
        </is>
      </c>
      <c r="B21" s="9" t="inlineStr">
        <is>
          <t>減值測試</t>
        </is>
      </c>
      <c r="C21" s="20" t="inlineStr">
        <is>
          <t>high</t>
        </is>
      </c>
      <c r="D21" s="12" t="inlineStr">
        <is>
          <t>impairment loss</t>
        </is>
      </c>
      <c r="E21" s="12" t="inlineStr">
        <is>
          <t>PDF p.105 (印刷頁 104)</t>
        </is>
      </c>
      <c r="F21" s="12" t="inlineStr">
        <is>
          <t>ve to changes in estimates. As at 30 April 2026, the carrying amount of trade receivables is HK$24,169,000 (2025: HK$39,383,000) and impairment loss of HK$1,788,000 (2025: HK$5,004,000). The information about the ECL is disclosed in note 33. 104 SG GROUP HOLDINGS LIMITED</t>
        </is>
      </c>
    </row>
    <row r="22">
      <c r="A22" s="9" t="inlineStr">
        <is>
          <t>Impairment Testing</t>
        </is>
      </c>
      <c r="B22" s="9" t="inlineStr">
        <is>
          <t>減值測試</t>
        </is>
      </c>
      <c r="C22" s="20" t="inlineStr">
        <is>
          <t>high</t>
        </is>
      </c>
      <c r="D22" s="12" t="inlineStr">
        <is>
          <t>impairment loss</t>
        </is>
      </c>
      <c r="E22" s="12" t="inlineStr">
        <is>
          <t>PDF p.106 (印刷頁 105)</t>
        </is>
      </c>
      <c r="F22" s="12" t="inlineStr">
        <is>
          <t>projections, could materially affect the recoverable amounts. Where the actual future cash flows are less than expected, a material impairment loss may arise. The fair value less costs of disposal of certain assets have been determined from market available information. As at 30 April 2026, the carrying amounts of property, plant and equipment, intangible assets and rightof-use assets subject to impairment assessment were HK$11,670,000, HK$Nil and HK$1,225,000 (2025: HK$13,528,000, HK$514,000 and HK$1,230,000) respectively,</t>
        </is>
      </c>
    </row>
    <row r="23">
      <c r="A23" s="9" t="inlineStr">
        <is>
          <t>Impairment Testing</t>
        </is>
      </c>
      <c r="B23" s="9" t="inlineStr">
        <is>
          <t>減值測試</t>
        </is>
      </c>
      <c r="C23" s="20" t="inlineStr">
        <is>
          <t>high</t>
        </is>
      </c>
      <c r="D23" s="12" t="inlineStr">
        <is>
          <t>impairment loss</t>
        </is>
      </c>
      <c r="E23" s="12" t="inlineStr">
        <is>
          <t>PDF p.112 (印刷頁 111)</t>
        </is>
      </c>
      <c r="F23" s="12" t="inlineStr">
        <is>
          <t>realised loss on financial assets at FVTPL – (453) Write off on property, plant and equipment – (76) Gain on lease modification 33 – Impairment loss recognised on investment properties (532) (1,552) 346 (1,336) 8. FINANCE COSTS 2026 2025 HK$’000 HK$’000 Interest on: Bank borrowings 79 124 Other borrowings 320 280 Lease liabilities 42 75 441 479 ANNUAL REPORT 2026 111</t>
        </is>
      </c>
    </row>
    <row r="24">
      <c r="A24" s="9" t="inlineStr">
        <is>
          <t>Impairment Testing</t>
        </is>
      </c>
      <c r="B24" s="9" t="inlineStr">
        <is>
          <t>減值測試</t>
        </is>
      </c>
      <c r="C24" s="20" t="inlineStr">
        <is>
          <t>high</t>
        </is>
      </c>
      <c r="D24" s="12" t="inlineStr">
        <is>
          <t>impairment loss</t>
        </is>
      </c>
      <c r="E24" s="12" t="inlineStr">
        <is>
          <t>PDF p.113 (印刷頁 112)</t>
        </is>
      </c>
      <c r="F24" s="12" t="inlineStr">
        <is>
          <t>ciation of investment properties 108 144 Amortisation of intangible assets 514 1,468 Write off on property, plant and equipment – 76 Impairment loss recognised on investment properties 532 1,552 Rental expenses in respect of short-term leases 328 180 Auditor’s remuneration 500 500 Marketing expenses 679 503 Testing charges 1,343 1,054 Transportation 3,197 3,890 Cost of inventories recognised as expenses 107,708 107,706 10. EMOLUMENTS OF DIRECTORS AND CHIEF EXECUTIVE Mr. Charles Choi is a director and the chief executive of the</t>
        </is>
      </c>
    </row>
    <row r="25">
      <c r="A25" s="9" t="inlineStr">
        <is>
          <t>Impairment Testing</t>
        </is>
      </c>
      <c r="B25" s="9" t="inlineStr">
        <is>
          <t>減值測試</t>
        </is>
      </c>
      <c r="C25" s="20" t="inlineStr">
        <is>
          <t>high</t>
        </is>
      </c>
      <c r="D25" s="12" t="inlineStr">
        <is>
          <t>recoverable amount</t>
        </is>
      </c>
      <c r="E25" s="12" t="inlineStr">
        <is>
          <t>PDF p.119 (印刷頁 118)</t>
        </is>
      </c>
      <c r="F25" s="12" t="inlineStr">
        <is>
          <t>with carrying amounts of HK$11,670,000, HK$Nil and HK$1,225,000 (2025: HK$13,528,000, HK$514,000 and HK$1,230,000) respectively. The recoverable amount of owned properties and related leasehold improvement, are estimated individually. The recoverable amounts of the owned properties and related leasehold improvement have been determined based on their fair value less costs of disposal. The Group uses direct comparison to estimate the fair value less costs of disposal of the assets which is based on the recent transaction prices</t>
        </is>
      </c>
    </row>
    <row r="26">
      <c r="A26" s="9" t="inlineStr">
        <is>
          <t>Impairment Testing</t>
        </is>
      </c>
      <c r="B26" s="9" t="inlineStr">
        <is>
          <t>減值測試</t>
        </is>
      </c>
      <c r="C26" s="20" t="inlineStr">
        <is>
          <t>high</t>
        </is>
      </c>
      <c r="D26" s="12" t="inlineStr">
        <is>
          <t>impairment loss</t>
        </is>
      </c>
      <c r="E26" s="12" t="inlineStr">
        <is>
          <t>PDF p.121 (印刷頁 120)</t>
        </is>
      </c>
      <c r="F26" s="12" t="inlineStr">
        <is>
          <t>HK$’000 COST At 1 May 2024, at 30 April 2025 and 2026 8,000 DEPRECIATION AND IMPAIRMENT At 1 May 2024 1,544 Charge for the year 144 Impairment loss recognised in profit or loss 1,552 At 30 April 2025 3,240 Charge for the year 108 Impairment loss recognised in profit or loss 532 At 30 April 2026 3,880 CARRYING VALUES At 30 April 2026 4,120 At 30 April 2025 4,760 The above item of investment properties is depreciated on a straight-line basis at 2% or over lease term, whichever is shorter per annum. The fair value of the investme</t>
        </is>
      </c>
    </row>
    <row r="27">
      <c r="A27" s="9" t="inlineStr">
        <is>
          <t>Impairment Testing</t>
        </is>
      </c>
      <c r="B27" s="9" t="inlineStr">
        <is>
          <t>減值測試</t>
        </is>
      </c>
      <c r="C27" s="20" t="inlineStr">
        <is>
          <t>high</t>
        </is>
      </c>
      <c r="D27" s="12" t="inlineStr">
        <is>
          <t>impairment loss</t>
        </is>
      </c>
      <c r="E27" s="12" t="inlineStr">
        <is>
          <t>PDF p.123 (印刷頁 122)</t>
        </is>
      </c>
      <c r="F27" s="12" t="inlineStr">
        <is>
          <t>0 (2025: approximately HK$4,781,000), which are past due at the end of the reporting period for which the Group has not provided for impairment loss because there has not been a significant change in credit quality and taking into account of forward looking information and the amounts are still considered recoverable. The Group does not hold any collateral over these balances. As at 30 April 2026, the Group has HK$3,926,000 (2025: HK$475,000) of trade receivables past due over 90 days but not impaired. The Group does not consid</t>
        </is>
      </c>
    </row>
    <row r="28">
      <c r="A28" s="9" t="inlineStr">
        <is>
          <t>Impairment Testing</t>
        </is>
      </c>
      <c r="B28" s="9" t="inlineStr">
        <is>
          <t>減值測試</t>
        </is>
      </c>
      <c r="C28" s="20" t="inlineStr">
        <is>
          <t>high</t>
        </is>
      </c>
      <c r="D28" s="12" t="inlineStr">
        <is>
          <t>impairment loss</t>
        </is>
      </c>
      <c r="E28" s="12" t="inlineStr">
        <is>
          <t>PDF p.135 (印刷頁 134)</t>
        </is>
      </c>
      <c r="F28" s="12" t="inlineStr">
        <is>
          <t>ddition, the Group reviews the recoverable amount of each individual debt at the end of the reporting period to ensure that adequate impairment losses are made for irrecoverable amounts. In this regard, the directors of the Company consider that the Group’s credit risk is significantly reduced. Trade receivables As at 30 April 2026, the Group has concentration of credit risk as 25% (2025: 34%) and 69% (2025: 78%) of the total trade receivable was due from the Group’s largest debtor and the top five largest debtors respectively.</t>
        </is>
      </c>
    </row>
    <row r="29">
      <c r="A29" s="9" t="inlineStr">
        <is>
          <t>Impairment Testing</t>
        </is>
      </c>
      <c r="B29" s="9" t="inlineStr">
        <is>
          <t>減值測試</t>
        </is>
      </c>
      <c r="C29" s="20" t="inlineStr">
        <is>
          <t>high</t>
        </is>
      </c>
      <c r="D29" s="12" t="inlineStr">
        <is>
          <t>impairment loss</t>
        </is>
      </c>
      <c r="E29" s="12" t="inlineStr">
        <is>
          <t>PDF p.139 (印刷頁 138)</t>
        </is>
      </c>
      <c r="F29" s="12" t="inlineStr">
        <is>
          <t>y 2024 261 2,617 2,878 Changes due to financial instruments recognised as at 1 May 2024: – Transfer to credit-impaired (133) 133 – – Impairment loss recognised 302 1,443 1,745 – Impairment loss reversed (67) (6) (73) New financial assets originated 454 – 454 As at 30 April 2025 817 4,187 5,004 Changes due to financial instruments recognised as at 1 May 2025: – Transfer to credit-impaired (72) 72 – – Impairment loss recognised 1,595 8 1,603 – Impairment loss reversed (640) – (640) – write-offs (19) (4,187) (4,206) New financial</t>
        </is>
      </c>
    </row>
    <row r="30">
      <c r="A30" s="9" t="inlineStr">
        <is>
          <t>Intangible Assets &amp; Goodwill</t>
        </is>
      </c>
      <c r="B30" s="9" t="inlineStr">
        <is>
          <t>無形資產及商譽</t>
        </is>
      </c>
      <c r="C30" s="20" t="inlineStr">
        <is>
          <t>high</t>
        </is>
      </c>
      <c r="D30" s="12" t="inlineStr">
        <is>
          <t>intangible asset</t>
        </is>
      </c>
      <c r="E30" s="12" t="inlineStr">
        <is>
          <t>PDF p.9 (印刷頁 8)</t>
        </is>
      </c>
      <c r="F30" s="12" t="inlineStr">
        <is>
          <t>pril 2025: HK$Nil). Such commitments related to capital expenditure in respect of renovation of an owned property and acquisition of intangible asset of the Group. CAPITAL STRUCTURE As at 30 April 2026 and 2025, the Company’s issued share capital was HK$320,000 divided into 32,000,000 Shares of HK$0.01 each. SIGNIFICANT INVESTMENTS As at 30 April 2026 and 2025, the Group did not hold any significant investments. MATERIAL ACQUISITIONS OR DISPOSALS OF SUBSIDIARIES AND AFFILIATED COMPANIES The Group did not have any material acqui</t>
        </is>
      </c>
    </row>
    <row r="31">
      <c r="A31" s="9" t="inlineStr">
        <is>
          <t>Intangible Assets &amp; Goodwill</t>
        </is>
      </c>
      <c r="B31" s="9" t="inlineStr">
        <is>
          <t>無形資產及商譽</t>
        </is>
      </c>
      <c r="C31" s="20" t="inlineStr">
        <is>
          <t>high</t>
        </is>
      </c>
      <c r="D31" s="12" t="inlineStr">
        <is>
          <t>customer relationship</t>
        </is>
      </c>
      <c r="E31" s="12" t="inlineStr">
        <is>
          <t>PDF p.13 (印刷頁 12)</t>
        </is>
      </c>
      <c r="F31" s="12" t="inlineStr">
        <is>
          <t>y responsible for the overall management, operations and reviewing of corporate directions and strategies of our Group, and managing customer relationships and marketing. Mr. Charles Choi has more than 20 years of experience in the apparel designing and sourcing industry. Mr. Charles Choi joined our Group in September 2011. Mr. Charles Choi worked as a general manager in JC Fashion Company Limited (旺利多有限公司) from November 2001 to December 2011. Mr. Charles Choi obtained a bachelor of commerce degree from the University of Toront</t>
        </is>
      </c>
    </row>
    <row r="32">
      <c r="A32" s="9" t="inlineStr">
        <is>
          <t>Intangible Assets &amp; Goodwill</t>
        </is>
      </c>
      <c r="B32" s="9" t="inlineStr">
        <is>
          <t>無形資產及商譽</t>
        </is>
      </c>
      <c r="C32" s="20" t="inlineStr">
        <is>
          <t>high</t>
        </is>
      </c>
      <c r="D32" s="12" t="inlineStr">
        <is>
          <t>trademark</t>
        </is>
      </c>
      <c r="E32" s="12" t="inlineStr">
        <is>
          <t>PDF p.56 (印刷頁 55)</t>
        </is>
      </c>
      <c r="F32" s="12" t="inlineStr">
        <is>
          <t>e Group prioritizes the protection of intellectual property (IP) rights. We strictly adhere to IP-related legislation, including the Trademark Law of the People’s Republic of China and Hong Kong’s Trade Marks Ordinance, demonstrating our dedication to legal compliance and ethical business practices. To reinforce this commitment, the Group has established comprehensive internal policies and protocols to protect both its own IP and that of its clients, ensuring proactive measures are in place to prevent any misuse or infringement</t>
        </is>
      </c>
    </row>
    <row r="33">
      <c r="A33" s="9" t="inlineStr">
        <is>
          <t>Intangible Assets &amp; Goodwill</t>
        </is>
      </c>
      <c r="B33" s="9" t="inlineStr">
        <is>
          <t>無形資產及商譽</t>
        </is>
      </c>
      <c r="C33" s="20" t="inlineStr">
        <is>
          <t>high</t>
        </is>
      </c>
      <c r="D33" s="12" t="inlineStr">
        <is>
          <t>intangible asset</t>
        </is>
      </c>
      <c r="E33" s="12" t="inlineStr">
        <is>
          <t>PDF p.76 (印刷頁 75)</t>
        </is>
      </c>
      <c r="F33" s="12" t="inlineStr">
        <is>
          <t>AUDIT MATTERS (CONTINUED) Key audit matter How our audit addressed the key audit matter Impairment of property, plant and equipment, intangible assets and right-of-use assets We identified the impairment of property, plant and Our procedures in relation to impairment of property, equipment, intangible assets and right-of-use assets plant and equipment, intangible assets and right-ofas a key audit matter because of its significance to the use assets included: consolidated financial statements and high degree of management judg</t>
        </is>
      </c>
    </row>
    <row r="34">
      <c r="A34" s="9" t="inlineStr">
        <is>
          <t>Intangible Assets &amp; Goodwill</t>
        </is>
      </c>
      <c r="B34" s="9" t="inlineStr">
        <is>
          <t>無形資產及商譽</t>
        </is>
      </c>
      <c r="C34" s="20" t="inlineStr">
        <is>
          <t>high</t>
        </is>
      </c>
      <c r="D34" s="12" t="inlineStr">
        <is>
          <t>intangible asset</t>
        </is>
      </c>
      <c r="E34" s="12" t="inlineStr">
        <is>
          <t>PDF p.81 (印刷頁 80)</t>
        </is>
      </c>
      <c r="F34" s="12" t="inlineStr">
        <is>
          <t>urrent assets Property, plant and equipment 15 11,670 13,528 Right-of-use assets 16 1,225 1,230 Investment properties 17 4,120 4,760 Intangible assets 18 – 514 Financial instrument at fair value through other comprehensive income (“FVTOCI”) 21 – – 17,015 20,032 Current assets Inventories 19 5,937 476 Trade and other receivables 20 50,939 65,494 Tax recoverables – 15 Financial assets at fair value through profit or loss (“FVTPL”) 22 47 36 Bank balances and cash 23 30,396 30,439 87,319 96,460 Current liabilities Contract liabilit</t>
        </is>
      </c>
    </row>
    <row r="35">
      <c r="A35" s="9" t="inlineStr">
        <is>
          <t>Intangible Assets &amp; Goodwill</t>
        </is>
      </c>
      <c r="B35" s="9" t="inlineStr">
        <is>
          <t>無形資產及商譽</t>
        </is>
      </c>
      <c r="C35" s="20" t="inlineStr">
        <is>
          <t>high</t>
        </is>
      </c>
      <c r="D35" s="12" t="inlineStr">
        <is>
          <t>intangible asset</t>
        </is>
      </c>
      <c r="E35" s="12" t="inlineStr">
        <is>
          <t>PDF p.84 (印刷頁 83)</t>
        </is>
      </c>
      <c r="F35" s="12" t="inlineStr">
        <is>
          <t>nd equipment 1,999 2,359 Depreciation of right-of-use assets 851 1,051 Depreciation of investment properties 108 144 Amortisation of intangible assets 514 1,468 Finance costs 441 479 Impairment loss recognised on trade receivables 990 2,126 Bad debts written off 59 – Net unrealised (gain) loss on financial assets at FVTPL (11) 10 Net realised loss on financial assets at FVTPL – 453 Interest income (16) (23) Write off on property, plant and equipment – 76 Gain on lease modification (33) – Impairment loss recognised on investment</t>
        </is>
      </c>
    </row>
    <row r="36">
      <c r="A36" s="9" t="inlineStr">
        <is>
          <t>Intangible Assets &amp; Goodwill</t>
        </is>
      </c>
      <c r="B36" s="9" t="inlineStr">
        <is>
          <t>無形資產及商譽</t>
        </is>
      </c>
      <c r="C36" s="20" t="inlineStr">
        <is>
          <t>high</t>
        </is>
      </c>
      <c r="D36" s="12" t="inlineStr">
        <is>
          <t>useful life</t>
        </is>
      </c>
      <c r="E36" s="12" t="inlineStr">
        <is>
          <t>PDF p.91 (印刷頁 90)</t>
        </is>
      </c>
      <c r="F36" s="12"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When the Group obtains ownership of the underlying leased assets at the end of the lease term, upon exercising purchase options, the carrying amount of the relevant right-of-use asset is transferred to property, plant and equipment. The Group presen</t>
        </is>
      </c>
    </row>
    <row r="37">
      <c r="A37" s="9" t="inlineStr">
        <is>
          <t>Intangible Assets &amp; Goodwill</t>
        </is>
      </c>
      <c r="B37" s="9" t="inlineStr">
        <is>
          <t>無形資產及商譽</t>
        </is>
      </c>
      <c r="C37" s="20" t="inlineStr">
        <is>
          <t>high</t>
        </is>
      </c>
      <c r="D37" s="12" t="inlineStr">
        <is>
          <t>intangible asset</t>
        </is>
      </c>
      <c r="E37" s="12" t="inlineStr">
        <is>
          <t>PDF p.94 (印刷頁 93)</t>
        </is>
      </c>
      <c r="F37" s="12" t="inlineStr">
        <is>
          <t>isable value. Net realisable value represents the estimated selling price for inventories less all costs necessary to make the sale. Intangible assets Intangible assets acquired separately Intangible assets with finite useful lives that are acquired separately are carried at cost less accumulated amortisation and any accumulated impairment losses. Amortisation for intangible assets with finite useful lives is recognised on a straight-line basis over their estimated useful lives. The estimated useful life and amortisation method</t>
        </is>
      </c>
    </row>
    <row r="38">
      <c r="A38" s="9" t="inlineStr">
        <is>
          <t>Intangible Assets &amp; Goodwill</t>
        </is>
      </c>
      <c r="B38" s="9" t="inlineStr">
        <is>
          <t>無形資產及商譽</t>
        </is>
      </c>
      <c r="C38" s="20" t="inlineStr">
        <is>
          <t>high</t>
        </is>
      </c>
      <c r="D38" s="12" t="inlineStr">
        <is>
          <t>intangible asset</t>
        </is>
      </c>
      <c r="E38" s="12" t="inlineStr">
        <is>
          <t>PDF p.95 (印刷頁 94)</t>
        </is>
      </c>
      <c r="F38" s="12" t="inlineStr">
        <is>
          <t>R THE YEAR ENDED 30 APRIL 2026 3. MATERIAL ACCOUNTING POLICY INFORMATION (CONTINUED) Impairment on property, plant and equipment and intangible assets (Continued) Recoverable amount is the higher of fair value less costs of disposal and value in use. In assessing value in use, the estimated future cash flows are discounted to their present value using a pre-tax discount rate that reflects current market assessments of the time value of money and the risks specific to the asset (or a cash-generating unit) for which the estimates</t>
        </is>
      </c>
    </row>
    <row r="39">
      <c r="A39" s="9" t="inlineStr">
        <is>
          <t>Intangible Assets &amp; Goodwill</t>
        </is>
      </c>
      <c r="B39" s="9" t="inlineStr">
        <is>
          <t>無形資產及商譽</t>
        </is>
      </c>
      <c r="C39" s="20" t="inlineStr">
        <is>
          <t>high</t>
        </is>
      </c>
      <c r="D39" s="12" t="inlineStr">
        <is>
          <t>intangible asset</t>
        </is>
      </c>
      <c r="E39" s="12" t="inlineStr">
        <is>
          <t>PDF p.106 (印刷頁 105)</t>
        </is>
      </c>
      <c r="F39" s="12" t="inlineStr">
        <is>
          <t>at 30 April 2025 was HK$Nil, further details of which are set out in note 21. Estimated impairment of property, plant and equipment, intangible assets and right-ofuse assets Property, plant and equipment, intangible assets and right-of-use assets are stated at costs less accumulated depreciation and impairment, if any. In determining whether an asset is impaired, the Group has to exercise judgement and make estimation, particularly in assessing: (1) whether an event has occurred or any indicators that may affect the asset val</t>
        </is>
      </c>
    </row>
    <row r="40">
      <c r="A40" s="9" t="inlineStr">
        <is>
          <t>Intangible Assets &amp; Goodwill</t>
        </is>
      </c>
      <c r="B40" s="9" t="inlineStr">
        <is>
          <t>無形資產及商譽</t>
        </is>
      </c>
      <c r="C40" s="20" t="inlineStr">
        <is>
          <t>high</t>
        </is>
      </c>
      <c r="D40" s="12" t="inlineStr">
        <is>
          <t>intangible asset</t>
        </is>
      </c>
      <c r="E40" s="12" t="inlineStr">
        <is>
          <t>PDF p.110 (印刷頁 109)</t>
        </is>
      </c>
      <c r="F40" s="12" t="inlineStr">
        <is>
          <t>g amounts of the Group’s non-current assets (including property, plant and equipment, right-of-use assets, investment properties and intangible assets), analysed by the geographical area in which the assets are located: 2026 2025 HK$’000 HK$’000 Hong Kong 16,195 16,631 The PRC 820 3,294 The UK – 107 17,015 20,032 Information about major customers Revenue from major customers which accounted for 10% or more of the Group’s revenue for the reporting period is set out below: 2026 2025 HK$’000 HK$’000 Customer A1 50,125 45,043 Custo</t>
        </is>
      </c>
    </row>
    <row r="41">
      <c r="A41" s="9" t="inlineStr">
        <is>
          <t>Intangible Assets &amp; Goodwill</t>
        </is>
      </c>
      <c r="B41" s="9" t="inlineStr">
        <is>
          <t>無形資產及商譽</t>
        </is>
      </c>
      <c r="C41" s="20" t="inlineStr">
        <is>
          <t>high</t>
        </is>
      </c>
      <c r="D41" s="12" t="inlineStr">
        <is>
          <t>intangible asset</t>
        </is>
      </c>
      <c r="E41" s="12" t="inlineStr">
        <is>
          <t>PDF p.113 (印刷頁 112)</t>
        </is>
      </c>
      <c r="F41" s="12" t="inlineStr">
        <is>
          <t>nd equipment 1,999 2,359 Depreciation of right-of-use assets 851 1,051 Depreciation of investment properties 108 144 Amortisation of intangible assets 514 1,468 Write off on property, plant and equipment – 76 Impairment loss recognised on investment properties 532 1,552 Rental expenses in respect of short-term leases 328 180 Auditor’s remuneration 500 500 Marketing expenses 679 503 Testing charges 1,343 1,054 Transportation 3,197 3,890 Cost of inventories recognised as expenses 107,708 107,706 10. EMOLUMENTS OF DIRECTORS AND CH</t>
        </is>
      </c>
    </row>
    <row r="42">
      <c r="A42" s="9" t="inlineStr">
        <is>
          <t>Intangible Assets &amp; Goodwill</t>
        </is>
      </c>
      <c r="B42" s="9" t="inlineStr">
        <is>
          <t>無形資產及商譽</t>
        </is>
      </c>
      <c r="C42" s="20" t="inlineStr">
        <is>
          <t>high</t>
        </is>
      </c>
      <c r="D42" s="12" t="inlineStr">
        <is>
          <t>intangible asset</t>
        </is>
      </c>
      <c r="E42" s="12" t="inlineStr">
        <is>
          <t>PDF p.119 (印刷頁 118)</t>
        </is>
      </c>
      <c r="F42" s="12" t="inlineStr">
        <is>
          <t>ssessment For the year ended 30 April 2026 and 2025, the Group has performed impairment assessment on property, plant and equipment, intangible assets and right-of-use assets. Certain subsidiaries were loss making during the year due to the economic downturn. Impairment assessment is performed on subsidiaries with operating losses which is considered as an impairment indicator for the years ended 30 April 2026 and 2025. The management of the Group concluded there was indication for impairment and conducted impairment assessment</t>
        </is>
      </c>
    </row>
    <row r="43">
      <c r="A43" s="9" t="inlineStr">
        <is>
          <t>Intangible Assets &amp; Goodwill</t>
        </is>
      </c>
      <c r="B43" s="9" t="inlineStr">
        <is>
          <t>無形資產及商譽</t>
        </is>
      </c>
      <c r="C43" s="20" t="inlineStr">
        <is>
          <t>high</t>
        </is>
      </c>
      <c r="D43" s="12" t="inlineStr">
        <is>
          <t>intangible asset</t>
        </is>
      </c>
      <c r="E43" s="12" t="inlineStr">
        <is>
          <t>PDF p.122 (印刷頁 121)</t>
        </is>
      </c>
      <c r="F43" s="12" t="inlineStr">
        <is>
          <t>NOTES TO THE CONSOLIDATED FINANCIAL STATEMENTS FOR THE YEAR ENDED 30 APRIL 2026 18. INTANGIBLE ASSETS Computer Online software showroom Brand names Total HK$’000 HK$’000 HK$’000 HK$’000 COST At 1 May 2024, 30 April 2025 and 2026 4,703 3,470 814 8,987 AMORTISATION At 1 May 2024 3,371 2,820 814 7,005 Charge for the year 941 527 – 1,468 At 30 April 2025 4,312 3,347 814 8,473 Charge for the year 391 123 – 514 At 30 April 2026 4,703 3,470 814 8,987 CARRYING VALUES At 30 April 2026 – –</t>
        </is>
      </c>
    </row>
    <row r="44">
      <c r="A44" s="9" t="inlineStr">
        <is>
          <t>Investment Properties</t>
        </is>
      </c>
      <c r="B44" s="9" t="inlineStr">
        <is>
          <t>投資物業</t>
        </is>
      </c>
      <c r="C44" s="20" t="inlineStr">
        <is>
          <t>high</t>
        </is>
      </c>
      <c r="D44" s="12" t="inlineStr">
        <is>
          <t>investment property</t>
        </is>
      </c>
      <c r="E44" s="12" t="inlineStr">
        <is>
          <t>PDF p.90 (印刷頁 89)</t>
        </is>
      </c>
      <c r="F44" s="12" t="inlineStr">
        <is>
          <t>ver their estimated useful lives and after taking into account of their estimated residual value, using the straight-line method.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45">
      <c r="A45" s="9" t="inlineStr">
        <is>
          <t>ESG Data</t>
        </is>
      </c>
      <c r="B45" s="9" t="inlineStr">
        <is>
          <t>環境社會及管治數據</t>
        </is>
      </c>
      <c r="C45" s="9" t="inlineStr">
        <is>
          <t>medium</t>
        </is>
      </c>
      <c r="D45" s="12" t="inlineStr">
        <is>
          <t>ESG</t>
        </is>
      </c>
      <c r="E45" s="12" t="inlineStr">
        <is>
          <t>PDF p.32 (印刷頁 31)</t>
        </is>
      </c>
      <c r="F45" s="12" t="inlineStr">
        <is>
          <t>ANCE REPORT ABOUT THIS REPORT Report Profile The Board of Directors of the Group presents the Environmental, Social, and Governance (ESG) Report (the “Report”) for the fiscal year ended 30 April 2026. Adhering to the reporting principles of Materiality, Quantitative, Balance, and Consistency, the Report details the practices and performance of the Group in the environmental, social, and governance (ESG) domains for FY25/26. It aims to facilitate effective communication with various stakeholders and systematically respond to the</t>
        </is>
      </c>
    </row>
    <row r="46">
      <c r="A46" s="9" t="inlineStr">
        <is>
          <t>ESG Data</t>
        </is>
      </c>
      <c r="B46" s="9" t="inlineStr">
        <is>
          <t>環境社會及管治數據</t>
        </is>
      </c>
      <c r="C46" s="9" t="inlineStr">
        <is>
          <t>medium</t>
        </is>
      </c>
      <c r="D46" s="12" t="inlineStr">
        <is>
          <t>ESG</t>
        </is>
      </c>
      <c r="E46" s="12" t="inlineStr">
        <is>
          <t>PDF p.33 (印刷頁 32)</t>
        </is>
      </c>
      <c r="F46" s="12" t="inlineStr">
        <is>
          <t>Y STRATEGY AND MANAGEMENT Governance Governance Structure Upholding the core values of sustainable development, the Group integrates ESG principles into its strategic planning and daily operational management. We proactively embrace our responsibilities as a publicly listed company to drive sustainable development for both humanity and society. To fully embed sustainability into our corporate strategy and business operations while enhancing our sustainable development capabilities, the Group has established a two-tier ESG gover</t>
        </is>
      </c>
    </row>
    <row r="47">
      <c r="A47" s="9" t="inlineStr">
        <is>
          <t>ESG Data</t>
        </is>
      </c>
      <c r="B47" s="9" t="inlineStr">
        <is>
          <t>環境社會及管治數據</t>
        </is>
      </c>
      <c r="C47" s="9" t="inlineStr">
        <is>
          <t>medium</t>
        </is>
      </c>
      <c r="D47" s="12" t="inlineStr">
        <is>
          <t>sustainability</t>
        </is>
      </c>
      <c r="E47" s="12" t="inlineStr">
        <is>
          <t>PDF p.34 (印刷頁 33)</t>
        </is>
      </c>
      <c r="F47" s="12" t="inlineStr">
        <is>
          <t>its corporate strategy. Centered around our corporate vision and combined with industry trends, we have thoroughly analyzed the IFRS Sustainability Disclosure Standards (IFRS S1 &amp; S2) issued by the International Sustainability Standards Board (ISSB), alongside Appendix C2 Environmental, Social and Governance Reporting Guide of the Listing Rules of the Stock Exchange of Hong Kong Limited. We have aligned these frameworks with the 17 United Nations Sustainable Development Goals (SDGs) to shape our core sustainability philosophy.</t>
        </is>
      </c>
    </row>
    <row r="48">
      <c r="A48" s="9" t="inlineStr">
        <is>
          <t>ESG Data</t>
        </is>
      </c>
      <c r="B48" s="9" t="inlineStr">
        <is>
          <t>環境社會及管治數據</t>
        </is>
      </c>
      <c r="C48" s="9" t="inlineStr">
        <is>
          <t>medium</t>
        </is>
      </c>
      <c r="D48" s="12" t="inlineStr">
        <is>
          <t>ESG</t>
        </is>
      </c>
      <c r="E48" s="12" t="inlineStr">
        <is>
          <t>PDF p.36 (印刷頁 35)</t>
        </is>
      </c>
      <c r="F48" s="12" t="inlineStr">
        <is>
          <t>here were no major adjustments to the Group’s operations during the current year, we have carried forward the results of the FY24/25 ESG materiality assessment, yielding 14 core ESG material topics. Environmental Social Governance • Climate Change • Employment • Legal Compliance • Use of Resources • Development and Training • Anti-Corruption • Emissions • Labor Standard • Business Ethics • Environmental and Natural • Health and Safety Resources • Product Responsibility • Supply Chain Management • Community Investment Materialit</t>
        </is>
      </c>
    </row>
    <row r="49">
      <c r="A49" s="9" t="inlineStr">
        <is>
          <t>ESG Data</t>
        </is>
      </c>
      <c r="B49" s="9" t="inlineStr">
        <is>
          <t>環境社會及管治數據</t>
        </is>
      </c>
      <c r="C49" s="9" t="inlineStr">
        <is>
          <t>medium</t>
        </is>
      </c>
      <c r="D49" s="12" t="inlineStr">
        <is>
          <t>ESG</t>
        </is>
      </c>
      <c r="E49" s="12" t="inlineStr">
        <is>
          <t>PDF p.37 (印刷頁 36)</t>
        </is>
      </c>
      <c r="F49" s="12" t="inlineStr">
        <is>
          <t>ce system, establishing a vertically integrated governance structure led by the Board of Directors (the “Board”) and executed by the ESG Working Group. As the highest decision-making body, the Board is responsible for defining the Group’s strategic direction regarding climate change and oversees the establishment of climate-related targets, guided by our short- and long-term sustainability goals. These goals focus on reducing emissions in line with regulatory requirements and industry best practices. Simultaneously, the Board i</t>
        </is>
      </c>
    </row>
    <row r="50">
      <c r="A50" s="9" t="inlineStr">
        <is>
          <t>ESG Data</t>
        </is>
      </c>
      <c r="B50" s="9" t="inlineStr">
        <is>
          <t>環境社會及管治數據</t>
        </is>
      </c>
      <c r="C50" s="9" t="inlineStr">
        <is>
          <t>medium</t>
        </is>
      </c>
      <c r="D50" s="12" t="inlineStr">
        <is>
          <t>carbon</t>
        </is>
      </c>
      <c r="E50" s="12" t="inlineStr">
        <is>
          <t>PDF p.38 (印刷頁 37)</t>
        </is>
      </c>
      <c r="F50" s="12" t="inlineStr">
        <is>
          <t>sures to maximize business climate resilience, demonstrating our corporate responsibility amid the global transition to a green, low-carbon economy. Climate Risk and Opportunity Identification To strengthen our climate resilience management, the Group adheres to scientific and prudent principles, drawing comprehensive references from the Sixth Assessment Report (AR6) of the Intergovernmental Panel on Climate Change (IPCC) to systematically identify climate-related risks and opportunities and assess their potential financial imp</t>
        </is>
      </c>
    </row>
    <row r="51">
      <c r="A51" s="9" t="inlineStr">
        <is>
          <t>ESG Data</t>
        </is>
      </c>
      <c r="B51" s="9" t="inlineStr">
        <is>
          <t>環境社會及管治數據</t>
        </is>
      </c>
      <c r="C51" s="9" t="inlineStr">
        <is>
          <t>medium</t>
        </is>
      </c>
      <c r="D51" s="12" t="inlineStr">
        <is>
          <t>carbon</t>
        </is>
      </c>
      <c r="E51" s="12" t="inlineStr">
        <is>
          <t>PDF p.40 (印刷頁 39)</t>
        </is>
      </c>
      <c r="F51" s="12" t="inlineStr">
        <is>
          <t>erations efficient technologies and towards products and services sustainable materials to reduce with lower climate impacts; if its carbon footprint and adapt to the company’s products do evolving regulatory and market not meet these expectations, demands. Ongoing training market share may decline. initiatives are in place to enhance staff awareness and capacity to Technology Technologies with lower climate Increased Medium Long- Direct respond effectively to climate- Risk impact replace those with operating term Operations re</t>
        </is>
      </c>
    </row>
    <row r="52">
      <c r="A52" s="9" t="inlineStr">
        <is>
          <t>ESG Data</t>
        </is>
      </c>
      <c r="B52" s="9" t="inlineStr">
        <is>
          <t>環境社會及管治數據</t>
        </is>
      </c>
      <c r="C52" s="9" t="inlineStr">
        <is>
          <t>medium</t>
        </is>
      </c>
      <c r="D52" s="12" t="inlineStr">
        <is>
          <t>carbon</t>
        </is>
      </c>
      <c r="E52" s="12" t="inlineStr">
        <is>
          <t>PDF p.41 (印刷頁 40)</t>
        </is>
      </c>
      <c r="F52" s="12" t="inlineStr">
        <is>
          <t>Value Chain Response Measures Market Growing demand for low- Increased High Medium- Direct Optimize the supply chain and Opportunity carbon solutions and revenue term Operations/ prioritize the selection of lowincreased investments in green Downstream carbon raw material suppliers. technologies and sustainable practices. Resilience Deepen ESG integration across Increased Medium Long- Direct Operations Promote transparent ESG all governance processes and revenue term information disclosures and construct a climate-resilient re</t>
        </is>
      </c>
    </row>
    <row r="53">
      <c r="A53" s="9" t="inlineStr">
        <is>
          <t>ESG Data</t>
        </is>
      </c>
      <c r="B53" s="9" t="inlineStr">
        <is>
          <t>環境社會及管治數據</t>
        </is>
      </c>
      <c r="C53" s="9" t="inlineStr">
        <is>
          <t>medium</t>
        </is>
      </c>
      <c r="D53" s="12" t="inlineStr">
        <is>
          <t>carbon</t>
        </is>
      </c>
      <c r="E53" s="12" t="inlineStr">
        <is>
          <t>PDF p.42 (印刷頁 41)</t>
        </is>
      </c>
      <c r="F53" s="12" t="inlineStr">
        <is>
          <t>ENVIRONMENTAL, SOCIAL AND GOVERNANCE REPORT Conversely, the low-carbon transition presents clear avenues for value creation and strategic growth; rising demand for sustainable solutions allows the Group to optimize its supply chain and strengthen market competitiveness, while embedding ESG principles across our governance structure and building climateadaptive operations reduces energy consumption through cross-functional synergies and enhances green market</t>
        </is>
      </c>
    </row>
    <row r="54">
      <c r="A54" s="9" t="inlineStr">
        <is>
          <t>ESG Data</t>
        </is>
      </c>
      <c r="B54" s="9" t="inlineStr">
        <is>
          <t>環境社會及管治數據</t>
        </is>
      </c>
      <c r="C54" s="9" t="inlineStr">
        <is>
          <t>medium</t>
        </is>
      </c>
      <c r="D54" s="12" t="inlineStr">
        <is>
          <t>greenhouse gas</t>
        </is>
      </c>
      <c r="E54" s="12" t="inlineStr">
        <is>
          <t>PDF p.43 (印刷頁 42)</t>
        </is>
      </c>
      <c r="F54" s="12" t="inlineStr">
        <is>
          <t>ENVIRONMENTAL, SOCIAL AND GOVERNANCE REPORT Metrics and Targets JC Fashion integrates greenhouse gas (GHG) emissions into the core of its corporate Key Performance Indicator (KPI) framework and scientifically establishes phased emission reduction targets. Leveraging the digital and intelligent management capabilities of the TT Green platform, the Group has achieved precise data tracking and carbon accounting. This digitized approach drives energy conservation and carbon reduction a</t>
        </is>
      </c>
    </row>
    <row r="55">
      <c r="A55" s="9" t="inlineStr">
        <is>
          <t>ESG Data</t>
        </is>
      </c>
      <c r="B55" s="9" t="inlineStr">
        <is>
          <t>環境社會及管治數據</t>
        </is>
      </c>
      <c r="C55" s="9" t="inlineStr">
        <is>
          <t>medium</t>
        </is>
      </c>
      <c r="D55" s="12" t="inlineStr">
        <is>
          <t>greenhouse gas</t>
        </is>
      </c>
      <c r="E55" s="12" t="inlineStr">
        <is>
          <t>PDF p.44 (印刷頁 43)</t>
        </is>
      </c>
      <c r="F55" s="12" t="inlineStr">
        <is>
          <t>tion,” we strive to systematically lower energy consumption and operational costs across our office scenarios, continuously reducing greenhouse gas emissions to facilitate green and lowcarbon development. To optimize energy consumption, the Group closely monitors and manages its resource utilization. During the 2025/26 financial year (FY25/26), the Group’s Scope 1 direct energy consumption from company vehicles (mobile combustion of motor gasoline) was 5,428.83 kg, representing a 4.48% reduction compared to 5,683.34 kg in the</t>
        </is>
      </c>
    </row>
    <row r="56">
      <c r="A56" s="9" t="inlineStr">
        <is>
          <t>ESG Data</t>
        </is>
      </c>
      <c r="B56" s="9" t="inlineStr">
        <is>
          <t>環境社會及管治數據</t>
        </is>
      </c>
      <c r="C56" s="9" t="inlineStr">
        <is>
          <t>medium</t>
        </is>
      </c>
      <c r="D56" s="12" t="inlineStr">
        <is>
          <t>carbon</t>
        </is>
      </c>
      <c r="E56" s="12" t="inlineStr">
        <is>
          <t>PDF p.45 (印刷頁 44)</t>
        </is>
      </c>
      <c r="F56" s="12" t="inlineStr">
        <is>
          <t>Recycle), we consistently seek to optimize the consumption of energy, water, paper, and other operational materials to minimize our carbon footprint and support conservation. While no standalone environmental policy exists, eco-conscious, resource-saving practices are seamlessly embedded into our daily workflows, fostering a culture of conservation and advancing our sustainability goals. Additionally, reflecting the streamlined nature of our business activities, no packaging material consumption was recorded during the Reporti</t>
        </is>
      </c>
    </row>
    <row r="57">
      <c r="A57" s="9" t="inlineStr">
        <is>
          <t>ESG Data</t>
        </is>
      </c>
      <c r="B57" s="9" t="inlineStr">
        <is>
          <t>環境社會及管治數據</t>
        </is>
      </c>
      <c r="C57" s="9" t="inlineStr">
        <is>
          <t>medium</t>
        </is>
      </c>
      <c r="D57" s="12" t="inlineStr">
        <is>
          <t>sustainability</t>
        </is>
      </c>
      <c r="E57" s="12" t="inlineStr">
        <is>
          <t>PDF p.46 (印刷頁 45)</t>
        </is>
      </c>
      <c r="F57" s="12" t="inlineStr">
        <is>
          <t>aximizing resource efficiency. We regularly evaluate our water consumption and discharge practices to ensure full alignment with our sustainability targets and regulatory requirements. During the 2025/26 financial year (FY25/26), reflecting the Group’s commitment to green operations and refined resource management, both the water consumption and the water withdrawal of JC Fashion were recorded at 0. This milestone highlights the Group’s ongoing success in controlling direct resource consumption across its operational footprint.</t>
        </is>
      </c>
    </row>
    <row r="58">
      <c r="A58" s="9" t="inlineStr">
        <is>
          <t>ESG Data</t>
        </is>
      </c>
      <c r="B58" s="9" t="inlineStr">
        <is>
          <t>環境社會及管治數據</t>
        </is>
      </c>
      <c r="C58" s="9" t="inlineStr">
        <is>
          <t>medium</t>
        </is>
      </c>
      <c r="D58" s="12" t="inlineStr">
        <is>
          <t>sustainability</t>
        </is>
      </c>
      <c r="E58" s="12" t="inlineStr">
        <is>
          <t>PDF p.47 (印刷頁 46)</t>
        </is>
      </c>
      <c r="F58" s="12" t="inlineStr">
        <is>
          <t>liance with regulatory standards. This ensures that no non-hazardous waste is sent for disposal, deeply embedding the core values of sustainability into our daily operations. Fabric Waste Management and Circular Economy A circular economy represents an economic framework designed to eradicate waste and foster the perpetual reuse of resources via recycling, reduction, and minimized ecological harm. The Group actively upholds this model by prioritizing waste reduction and material reuse, establishing a closed-loop system to optim</t>
        </is>
      </c>
    </row>
    <row r="59">
      <c r="A59" s="9" t="inlineStr">
        <is>
          <t>ESG Data</t>
        </is>
      </c>
      <c r="B59" s="9" t="inlineStr">
        <is>
          <t>環境社會及管治數據</t>
        </is>
      </c>
      <c r="C59" s="9" t="inlineStr">
        <is>
          <t>medium</t>
        </is>
      </c>
      <c r="D59" s="12" t="inlineStr">
        <is>
          <t>sustainability</t>
        </is>
      </c>
      <c r="E59" s="12" t="inlineStr">
        <is>
          <t>PDF p.52 (印刷頁 51)</t>
        </is>
      </c>
      <c r="F59" s="12" t="inlineStr">
        <is>
          <t>ams to broaden their industry perspectives, build future and Courses sustainable practices in leadership capabilities, and integrate sustainability concepts fashion. into the Group’s fashion business operations. Mentorship Knowledge transfer, career Launched structured mentorship initiatives pairing junior Programs guidance, and peer employees with senior management. This program support. successfully facilitated intergenerational knowledge transfer, provided customized guidance on career development, and fostered a collaborati</t>
        </is>
      </c>
    </row>
    <row r="60">
      <c r="A60" s="9" t="inlineStr">
        <is>
          <t>ESG Data</t>
        </is>
      </c>
      <c r="B60" s="9" t="inlineStr">
        <is>
          <t>環境社會及管治數據</t>
        </is>
      </c>
      <c r="C60" s="9" t="inlineStr">
        <is>
          <t>medium</t>
        </is>
      </c>
      <c r="D60" s="12" t="inlineStr">
        <is>
          <t>carbon</t>
        </is>
      </c>
      <c r="E60" s="12" t="inlineStr">
        <is>
          <t>PDF p.55 (印刷頁 54)</t>
        </is>
      </c>
      <c r="F60" s="12" t="inlineStr">
        <is>
          <t>r self-reporting and bilateral feedback channels, requiring suppliers to submit periodic updates on their environmental performance, carbon reduction initiatives, and operational improvements. The Group systematically reviews these reports to verify ongoing adherence to our strict sustainability criteria. Through the strict implementation of these practices, JC Fashion Group Limited not only champions the market promotion of environmentally preferable products and services but also cultivates a deeply rooted culture of sustaina</t>
        </is>
      </c>
    </row>
    <row r="61">
      <c r="A61" s="9" t="inlineStr">
        <is>
          <t>ESG Data</t>
        </is>
      </c>
      <c r="B61" s="9" t="inlineStr">
        <is>
          <t>環境社會及管治數據</t>
        </is>
      </c>
      <c r="C61" s="9" t="inlineStr">
        <is>
          <t>medium</t>
        </is>
      </c>
      <c r="D61" s="12" t="inlineStr">
        <is>
          <t>sustainability</t>
        </is>
      </c>
      <c r="E61" s="12" t="inlineStr">
        <is>
          <t>PDF p.60 (印刷頁 59)</t>
        </is>
      </c>
      <c r="F61" s="12" t="inlineStr">
        <is>
          <t>ENVIRONMENTAL, SOCIAL AND GOVERNANCE REPORT HKEX CONTENT AND GRI STANDARDS INDEX GRI HKEX Appendix C2 – Sustainability Environmental, Social and Reporting Report Chapters Governance Reporting Code Standards About this Report Report Profile Part A: Introduction – Paragraph 4 2-1/2-2/2-3/2-6 Reporting Basis Part A: Introduction – Paragraph 8 Reporting Scope Part B: Mandatory Disclosure Requirements – Paragraph 15 Reporting Terminology / Sustainability Strategy and Management Governance Governance Stru</t>
        </is>
      </c>
    </row>
    <row r="62">
      <c r="A62" s="9" t="inlineStr">
        <is>
          <t>ESG Data</t>
        </is>
      </c>
      <c r="B62" s="9" t="inlineStr">
        <is>
          <t>環境社會及管治數據</t>
        </is>
      </c>
      <c r="C62" s="9" t="inlineStr">
        <is>
          <t>medium</t>
        </is>
      </c>
      <c r="D62" s="12" t="inlineStr">
        <is>
          <t>sustainability</t>
        </is>
      </c>
      <c r="E62" s="12" t="inlineStr">
        <is>
          <t>PDF p.61 (印刷頁 60)</t>
        </is>
      </c>
      <c r="F62" s="12" t="inlineStr">
        <is>
          <t>ENVIRONMENTAL, SOCIAL AND GOVERNANCE REPORT GRI HKEX Appendix C2 – Sustainability Environmental, Social and Reporting Report Chapters Governance Reporting Code Standards Environmental Addressing Governance Part D: Climate–Related Disclosures – (I) 201-2/305-1/ Climate Change Governance 305-2/305-3/ 305-5 Strategy Part D: Climate–Related Disclosures – (II) Strategy Risk and Opportunity Part D: Climate–Related Disclosures – (III) Management Risk Management Metrics</t>
        </is>
      </c>
    </row>
    <row r="63">
      <c r="A63" s="9" t="inlineStr">
        <is>
          <t>ESG Data</t>
        </is>
      </c>
      <c r="B63" s="9" t="inlineStr">
        <is>
          <t>環境社會及管治數據</t>
        </is>
      </c>
      <c r="C63" s="9" t="inlineStr">
        <is>
          <t>medium</t>
        </is>
      </c>
      <c r="D63" s="12" t="inlineStr">
        <is>
          <t>sustainability</t>
        </is>
      </c>
      <c r="E63" s="12" t="inlineStr">
        <is>
          <t>PDF p.62 (印刷頁 61)</t>
        </is>
      </c>
      <c r="F63" s="12" t="inlineStr">
        <is>
          <t>ENVIRONMENTAL, SOCIAL AND GOVERNANCE REPORT GRI HKEX Appendix C2 – Sustainability Environmental, Social and Reporting Report Chapters Governance Reporting Code Standards Social Employment Compliance and Labor Part C: “Comply or Explain” Provisions – 2-7/2-8/401-1/ Practices Aspect B1 405-1/405-2/ 406-1 Talent Management and Meritocracy Diversity, Equity, and Inclusion (DEI) Workforce Profile Employee Turnover Profile Health and Health and Safety Part C: “Comply o</t>
        </is>
      </c>
    </row>
    <row r="64">
      <c r="A64" s="9" t="inlineStr">
        <is>
          <t>ESG Data</t>
        </is>
      </c>
      <c r="B64" s="9" t="inlineStr">
        <is>
          <t>環境社會及管治數據</t>
        </is>
      </c>
      <c r="C64" s="9" t="inlineStr">
        <is>
          <t>medium</t>
        </is>
      </c>
      <c r="D64" s="12" t="inlineStr">
        <is>
          <t>sustainability</t>
        </is>
      </c>
      <c r="E64" s="12" t="inlineStr">
        <is>
          <t>PDF p.63 (印刷頁 62)</t>
        </is>
      </c>
      <c r="F64" s="12" t="inlineStr">
        <is>
          <t>ENVIRONMENTAL, SOCIAL AND GOVERNANCE REPORT GRI HKEX Appendix C2 – Sustainability Environmental, Social and Reporting Report Chapters Governance Reporting Code Standards Product Product Quality and Safety Part C: “Comply or Explain” Provisions – 416-1/418-1 Responsibility Aspect B6 Protecting Intellectual Property Rights Consumer Data Protection and Privacy Anti-Corruption Code of Conduct and Part C: “Comply or Explain” Provisions – 2-23/2-26/205-1/ Prevention Me</t>
        </is>
      </c>
    </row>
    <row r="65">
      <c r="A65" s="9" t="inlineStr">
        <is>
          <t>Segment Information</t>
        </is>
      </c>
      <c r="B65" s="9" t="inlineStr">
        <is>
          <t>分部資料</t>
        </is>
      </c>
      <c r="C65" s="9" t="inlineStr">
        <is>
          <t>medium</t>
        </is>
      </c>
      <c r="D65" s="12" t="inlineStr">
        <is>
          <t>geographical</t>
        </is>
      </c>
      <c r="E65" s="12" t="inlineStr">
        <is>
          <t>PDF p.49 (印刷頁 48)</t>
        </is>
      </c>
      <c r="F65" s="12" t="inlineStr">
        <is>
          <t>phic profile reflects our commitment to a balanced and diverse workforce: a gender composition of 66.037% female and 33.963% male; a geographical footprint spanning Mainland China (56.603%), Hong Kong (35.849%), and the UK (7.547%); and a balanced age structure that effectively integrates fresh perspectives with seasoned professional expertise, providing a robust foundation for the Group’s long-term sustainable development. Employee Age Composition Gender Composition 7.547% 9.434% 30.189% 33.963% 30.189% 66.037% 22.642% 20-29 3</t>
        </is>
      </c>
    </row>
    <row r="66">
      <c r="A66" s="9" t="inlineStr">
        <is>
          <t>Segment Information</t>
        </is>
      </c>
      <c r="B66" s="9" t="inlineStr">
        <is>
          <t>分部資料</t>
        </is>
      </c>
      <c r="C66" s="9" t="inlineStr">
        <is>
          <t>medium</t>
        </is>
      </c>
      <c r="D66" s="12" t="inlineStr">
        <is>
          <t>geographical</t>
        </is>
      </c>
      <c r="E66" s="12" t="inlineStr">
        <is>
          <t>PDF p.54 (印刷頁 53)</t>
        </is>
      </c>
      <c r="F66" s="12" t="inlineStr">
        <is>
          <t>vely promoting the fair, orderly, and sustainable development of Small and Medium-sized Enterprises (SMEs). Number of Suppliers – by Geographical Region Geographical Region Amount Mainland China 20 Hong Kong 12 Supplier Onboarding To safeguard a high-quality and sustainable supply chain, the Group continuously optimizes its supplier onboarding and admission processes. At the onboarding stage, a dedicated supply chain management team rigorously evaluates potential partners through on-site factory inspections, product quality con</t>
        </is>
      </c>
    </row>
    <row r="67">
      <c r="A67" s="9" t="inlineStr">
        <is>
          <t>Segment Information</t>
        </is>
      </c>
      <c r="B67" s="9" t="inlineStr">
        <is>
          <t>分部資料</t>
        </is>
      </c>
      <c r="C67" s="9" t="inlineStr">
        <is>
          <t>medium</t>
        </is>
      </c>
      <c r="D67" s="12" t="inlineStr">
        <is>
          <t>segment information</t>
        </is>
      </c>
      <c r="E67" s="12" t="inlineStr">
        <is>
          <t>PDF p.106 (印刷頁 105)</t>
        </is>
      </c>
      <c r="F67" s="12" t="inlineStr">
        <is>
          <t>y, plant and equipment, intangible assets and rightof-use assets are disclosed in notes 15, 18 and 16 respectively. 5. REVENUE AND SEGMENT INFORMATION Revenue represents revenue arising on supply of apparel products and provision of institutional catering. The Group determines its operating segments based on the reports reviewed by the executive directors, being the chief operating decision makers (the “CODM”), which are used to make strategic decisions for the purposes of resource allocation and assessment of segment perform</t>
        </is>
      </c>
    </row>
    <row r="68">
      <c r="A68" s="9" t="inlineStr">
        <is>
          <t>Segment Information</t>
        </is>
      </c>
      <c r="B68" s="9" t="inlineStr">
        <is>
          <t>分部資料</t>
        </is>
      </c>
      <c r="C68" s="9" t="inlineStr">
        <is>
          <t>medium</t>
        </is>
      </c>
      <c r="D68" s="12" t="inlineStr">
        <is>
          <t>segment information</t>
        </is>
      </c>
      <c r="E68" s="12" t="inlineStr">
        <is>
          <t>PDF p.107 (印刷頁 106)</t>
        </is>
      </c>
      <c r="F68" s="12" t="inlineStr">
        <is>
          <t>NOTES TO THE CONSOLIDATED FINANCIAL STATEMENTS FOR THE YEAR ENDED 30 APRIL 2026 5. REVENUE AND SEGMENT INFORMATION (CONTINUED) The details of the Group’s each reportable segment is as follows: Supply of Apparel Products Supply of branded label apparel products with designing and sourcing services to fashion retailers. Provision of institutional catering Provision of institutional catering to private institution This operating segments also represent the Group’s reportable segments. Segment</t>
        </is>
      </c>
    </row>
    <row r="69">
      <c r="A69" s="9" t="inlineStr">
        <is>
          <t>Segment Information</t>
        </is>
      </c>
      <c r="B69" s="9" t="inlineStr">
        <is>
          <t>分部資料</t>
        </is>
      </c>
      <c r="C69" s="9" t="inlineStr">
        <is>
          <t>medium</t>
        </is>
      </c>
      <c r="D69" s="12" t="inlineStr">
        <is>
          <t>segment information</t>
        </is>
      </c>
      <c r="E69" s="12" t="inlineStr">
        <is>
          <t>PDF p.108 (印刷頁 107)</t>
        </is>
      </c>
      <c r="F69" s="12" t="inlineStr">
        <is>
          <t>NOTES TO THE CONSOLIDATED FINANCIAL STATEMENTS FOR THE YEAR ENDED 30 APRIL 2026 5. REVENUE AND SEGMENT INFORMATION (CONTINUED) Segment revenue and results (Continued) For the year ended 30 April 2025 Supply of Apparel Institutional Products catering Total HK$’000 HK$’000 HK$’000 Segment revenue Supply of Apparel Products Womenswear 121,513 – 121,513 Childrenswear 20,441 – 20,441 Menswear 650 – 650 142,604 – 142,604 Institutional catering – 11,162 11,162 142,604 11,162 153,766 Segment (loss)</t>
        </is>
      </c>
    </row>
    <row r="70">
      <c r="A70" s="9" t="inlineStr">
        <is>
          <t>Segment Information</t>
        </is>
      </c>
      <c r="B70" s="9" t="inlineStr">
        <is>
          <t>分部資料</t>
        </is>
      </c>
      <c r="C70" s="9" t="inlineStr">
        <is>
          <t>medium</t>
        </is>
      </c>
      <c r="D70" s="12" t="inlineStr">
        <is>
          <t>segment information</t>
        </is>
      </c>
      <c r="E70" s="12" t="inlineStr">
        <is>
          <t>PDF p.109 (印刷頁 108)</t>
        </is>
      </c>
      <c r="F70" s="12" t="inlineStr">
        <is>
          <t>NOTES TO THE CONSOLIDATED FINANCIAL STATEMENTS FOR THE YEAR ENDED 30 APRIL 2026 5. REVENUE AND SEGMENT INFORMATION (CONTINUED) Revenue by type of products 2026 2025 HK$’000 HK$’000 At a point in time: Supply of apparel products Womenswear 142,824 121,513 Childrenswear 13,465 20,441 Menswear 115 650 Institutional catering 9,841 11,162 166,245 153,766 Revenue from the supply of apparel products is recognised at a point in time, when control of the goods has transferred, being when the goods h</t>
        </is>
      </c>
    </row>
    <row r="71">
      <c r="A71" s="9" t="inlineStr">
        <is>
          <t>Segment Information</t>
        </is>
      </c>
      <c r="B71" s="9" t="inlineStr">
        <is>
          <t>分部資料</t>
        </is>
      </c>
      <c r="C71" s="9" t="inlineStr">
        <is>
          <t>medium</t>
        </is>
      </c>
      <c r="D71" s="12" t="inlineStr">
        <is>
          <t>segment information</t>
        </is>
      </c>
      <c r="E71" s="12" t="inlineStr">
        <is>
          <t>PDF p.110 (印刷頁 109)</t>
        </is>
      </c>
      <c r="F71" s="12" t="inlineStr">
        <is>
          <t>NOTES TO THE CONSOLIDATED FINANCIAL STATEMENTS FOR THE YEAR ENDED 30 APRIL 2026 5. REVENUE AND SEGMENT INFORMATION (CONTINUED) Geographical information (Continued) The following is an analysis of the carrying amounts of the Group’s non-current assets (including property, plant and equipment, right-of-use assets, investment properties and intangible assets), analysed by the geographical area in which the assets are located: 2026 2025 HK$’000 HK$’000 Hong Kong 16,195 16,631 The PRC 820 3,294</t>
        </is>
      </c>
    </row>
    <row r="72">
      <c r="A72" s="9" t="inlineStr">
        <is>
          <t>Segment Information</t>
        </is>
      </c>
      <c r="B72" s="9" t="inlineStr">
        <is>
          <t>分部資料</t>
        </is>
      </c>
      <c r="C72" s="9" t="inlineStr">
        <is>
          <t>medium</t>
        </is>
      </c>
      <c r="D72" s="12" t="inlineStr">
        <is>
          <t>segment information</t>
        </is>
      </c>
      <c r="E72" s="12" t="inlineStr">
        <is>
          <t>PDF p.111 (印刷頁 110)</t>
        </is>
      </c>
      <c r="F72" s="12" t="inlineStr">
        <is>
          <t>NOTES TO THE CONSOLIDATED FINANCIAL STATEMENTS FOR THE YEAR ENDED 30 APRIL 2026 5. REVENUE AND SEGMENT INFORMATION (CONTINUED) Contract liabilities A contract liability represents the Group’s obligation to transfer goods or services to a customer for which the Group has received consideration (or an amount of consideration is due) from the customer. Refund liabilities The Group recognises a refund liability if the Group expects to refund some or all of the consideration received from custom</t>
        </is>
      </c>
    </row>
    <row r="73">
      <c r="A73" s="9" t="inlineStr">
        <is>
          <t>Related Party Transactions</t>
        </is>
      </c>
      <c r="B73" s="9" t="inlineStr">
        <is>
          <t>關聯方交易</t>
        </is>
      </c>
      <c r="C73" s="9" t="inlineStr">
        <is>
          <t>low</t>
        </is>
      </c>
      <c r="D73" s="12" t="inlineStr">
        <is>
          <t>connected transaction</t>
        </is>
      </c>
      <c r="E73" s="12" t="inlineStr">
        <is>
          <t>PDF p.19 (印刷頁 18)</t>
        </is>
      </c>
      <c r="F73" s="12" t="inlineStr">
        <is>
          <t>ing potential conflicts of interest of management, board members and shareholders, including misuse of corporate assets and abuse in connected transaction; and (iv) ensuing processes are in place to maintain the overall integrity of the Company, including financial statements, relationships with suppliers, customers and other stakeholders, and compliance with all laws and ethics. Director’s Responsibilities for the Consolidated Financial Statements The Directors acknowledge their responsibilities for the preparation of the cons</t>
        </is>
      </c>
    </row>
    <row r="74">
      <c r="A74" s="9" t="inlineStr">
        <is>
          <t>Related Party Transactions</t>
        </is>
      </c>
      <c r="B74" s="9" t="inlineStr">
        <is>
          <t>關聯方交易</t>
        </is>
      </c>
      <c r="C74" s="9" t="inlineStr">
        <is>
          <t>low</t>
        </is>
      </c>
      <c r="D74" s="12" t="inlineStr">
        <is>
          <t>related party</t>
        </is>
      </c>
      <c r="E74" s="12" t="inlineStr">
        <is>
          <t>PDF p.57 (印刷頁 56)</t>
        </is>
      </c>
      <c r="F74" s="12" t="inlineStr">
        <is>
          <t>relations, which requires employees to immediately report any gift or monetary benefit exceeding HK$500 received from a supplier or related party to the Administration Department, while strictly prohibiting the acceptance of any gifts or benefits above this threshold. 56 SG GROUP HOLDINGS LIMITED</t>
        </is>
      </c>
    </row>
    <row r="75">
      <c r="A75" s="9" t="inlineStr">
        <is>
          <t>Related Party Transactions</t>
        </is>
      </c>
      <c r="B75" s="9" t="inlineStr">
        <is>
          <t>關聯方交易</t>
        </is>
      </c>
      <c r="C75" s="9" t="inlineStr">
        <is>
          <t>low</t>
        </is>
      </c>
      <c r="D75" s="12" t="inlineStr">
        <is>
          <t>related party</t>
        </is>
      </c>
      <c r="E75" s="12" t="inlineStr">
        <is>
          <t>PDF p.71 (印刷頁 70)</t>
        </is>
      </c>
      <c r="F75" s="12" t="inlineStr">
        <is>
          <t>omplied with the applicable accounting standards, the Listing Rules and legal requirements, and adequate disclosures have been made. RELATED PARTY TRANSACTIONS Details of related party transactions of the Group during the Year are set out in note 34 to the consolidated financial statements in this annual report. None of these related party transactions constituted a connected transaction as defined under the Listing Rules for the Year. SUFFICIENCY OF PUBLIC FLOAT From the information publicly available to the Company and within</t>
        </is>
      </c>
    </row>
    <row r="76">
      <c r="A76" s="9" t="inlineStr">
        <is>
          <t>Related Party Transactions</t>
        </is>
      </c>
      <c r="B76" s="9" t="inlineStr">
        <is>
          <t>關聯方交易</t>
        </is>
      </c>
      <c r="C76" s="9" t="inlineStr">
        <is>
          <t>low</t>
        </is>
      </c>
      <c r="D76" s="12" t="inlineStr">
        <is>
          <t>related party</t>
        </is>
      </c>
      <c r="E76" s="12" t="inlineStr">
        <is>
          <t>PDF p.124 (印刷頁 123)</t>
        </is>
      </c>
      <c r="F76" s="12" t="inlineStr">
        <is>
          <t>no fair value change (2025: HK$Nil) was recognised to other comprehensive income. Detail of the transaction is also disclosed in the related party disclosures note. 22. FINANCIAL ASSETS AT FVTPL 2026 2025 HK$’000 HK$’000 Hong Kong listed equity securities held for trading (Note 1) 47 36 Analysed for reporting purpose as: Current assets 47 36 Note 1: The fair values of listed securities are based on the bid prices quoted in active markets in Hong Kong. ANNUAL REPORT 2026 123</t>
        </is>
      </c>
    </row>
    <row r="77">
      <c r="A77" s="9" t="inlineStr">
        <is>
          <t>Related Party Transactions</t>
        </is>
      </c>
      <c r="B77" s="9" t="inlineStr">
        <is>
          <t>關聯方交易</t>
        </is>
      </c>
      <c r="C77" s="9" t="inlineStr">
        <is>
          <t>low</t>
        </is>
      </c>
      <c r="D77" s="12" t="inlineStr">
        <is>
          <t>related party</t>
        </is>
      </c>
      <c r="E77" s="12" t="inlineStr">
        <is>
          <t>PDF p.144 (印刷頁 143)</t>
        </is>
      </c>
      <c r="F77" s="12" t="inlineStr">
        <is>
          <t>er financial assets and financial liabilities recognised in the consolidated financial statements approximate their fair values. 34. RELATED PARTY DISCLOSURES (i) Other than as disclosed elsewhere in these consolidated financial statements, the Group has following transactions and balances with related parties: Relationships Nature of transactions 2026 2025 HK$’000 HK$’000 Director Disposal of a subsidiary 1 – Family member Disposal of financial instrument –* – of a director at FVTOCI Related company A Purchase of ingredients a</t>
        </is>
      </c>
    </row>
    <row r="78">
      <c r="A78" s="9" t="inlineStr">
        <is>
          <t>Related Party Transactions</t>
        </is>
      </c>
      <c r="B78" s="9" t="inlineStr">
        <is>
          <t>關聯方交易</t>
        </is>
      </c>
      <c r="C78" s="9" t="inlineStr">
        <is>
          <t>low</t>
        </is>
      </c>
      <c r="D78" s="12" t="inlineStr">
        <is>
          <t>related party</t>
        </is>
      </c>
      <c r="E78" s="12" t="inlineStr">
        <is>
          <t>PDF p.145 (印刷頁 144)</t>
        </is>
      </c>
      <c r="F78" s="12" t="inlineStr">
        <is>
          <t>NOTES TO THE CONSOLIDATED FINANCIAL STATEMENTS FOR THE YEAR ENDED 30 APRIL 2026 34. RELATED PARTY DISCLOSURES (CONTINUED) (ii) Compensation of key management personnel The remuneration of directors and other members of key management during the year was as follows: 2026 2025 HK$’000 HK$’000 Salaries and allowances 2,810 2,816 Retirement benefit schemes contributions 88 90 2,898 2,906 Further details of the directors’ emoluments are included in note 10. 35. RECONCILIATION OF LIABI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33" topLeftCell="A3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Total Current Assets</t>
        </is>
      </c>
    </row>
    <row r="14">
      <c r="A14" s="9" t="inlineStr">
        <is>
          <t>Balance Sheet</t>
        </is>
      </c>
      <c r="B14" s="9" t="inlineStr">
        <is>
          <t>Cash and Equivalents</t>
        </is>
      </c>
    </row>
    <row r="15">
      <c r="A15" s="9" t="inlineStr">
        <is>
          <t>Balance Sheet</t>
        </is>
      </c>
      <c r="B15" s="9" t="inlineStr">
        <is>
          <t>Inventories</t>
        </is>
      </c>
    </row>
    <row r="16">
      <c r="A16" s="9" t="inlineStr">
        <is>
          <t>Balance Sheet</t>
        </is>
      </c>
      <c r="B16" s="9" t="inlineStr">
        <is>
          <t>Goodwill</t>
        </is>
      </c>
    </row>
    <row r="17">
      <c r="A17" s="9" t="inlineStr">
        <is>
          <t>Balance Sheet</t>
        </is>
      </c>
      <c r="B17" s="9" t="inlineStr">
        <is>
          <t>Intangible Assets</t>
        </is>
      </c>
    </row>
    <row r="18">
      <c r="A18" s="9" t="inlineStr">
        <is>
          <t>Balance Sheet</t>
        </is>
      </c>
      <c r="B18" s="9" t="inlineStr">
        <is>
          <t>Investment Properties</t>
        </is>
      </c>
    </row>
    <row r="19">
      <c r="A19" s="9" t="inlineStr">
        <is>
          <t>Balance Sheet</t>
        </is>
      </c>
      <c r="B19" s="9" t="inlineStr">
        <is>
          <t>Property Plant and Equipment</t>
        </is>
      </c>
    </row>
    <row r="20">
      <c r="A20" s="9" t="inlineStr">
        <is>
          <t>Balance Sheet</t>
        </is>
      </c>
      <c r="B20" s="9" t="inlineStr">
        <is>
          <t>Total Liabilities</t>
        </is>
      </c>
    </row>
    <row r="21">
      <c r="A21" s="9" t="inlineStr">
        <is>
          <t>Balance Sheet</t>
        </is>
      </c>
      <c r="B21" s="9" t="inlineStr">
        <is>
          <t>Total Current Liabilities</t>
        </is>
      </c>
    </row>
    <row r="22">
      <c r="A22" s="9" t="inlineStr">
        <is>
          <t>Balance Sheet</t>
        </is>
      </c>
      <c r="B22" s="9" t="inlineStr">
        <is>
          <t>Borrowings</t>
        </is>
      </c>
    </row>
    <row r="23">
      <c r="A23" s="9" t="inlineStr">
        <is>
          <t>Balance Sheet</t>
        </is>
      </c>
      <c r="B23" s="9" t="inlineStr">
        <is>
          <t>Total Equity</t>
        </is>
      </c>
    </row>
    <row r="24">
      <c r="A24" s="9" t="inlineStr">
        <is>
          <t>Cash Flow</t>
        </is>
      </c>
      <c r="B24" s="9" t="inlineStr">
        <is>
          <t>Operating Cash Flow</t>
        </is>
      </c>
    </row>
    <row r="25">
      <c r="A25" s="9" t="inlineStr">
        <is>
          <t>Cash Flow</t>
        </is>
      </c>
      <c r="B25" s="9" t="inlineStr">
        <is>
          <t>Investing Cash Flow</t>
        </is>
      </c>
    </row>
    <row r="26">
      <c r="A26" s="9" t="inlineStr">
        <is>
          <t>Cash Flow</t>
        </is>
      </c>
      <c r="B26" s="9" t="inlineStr">
        <is>
          <t>Financing Cash Flow</t>
        </is>
      </c>
    </row>
    <row r="27">
      <c r="A27" s="9" t="inlineStr">
        <is>
          <t>Cash Flow</t>
        </is>
      </c>
      <c r="B27" s="9" t="inlineStr">
        <is>
          <t>Capital Expenditure</t>
        </is>
      </c>
    </row>
    <row r="30">
      <c r="A30" s="5" t="inlineStr">
        <is>
          <t>二、文字量過低的頁面(疑似掃描頁)</t>
        </is>
      </c>
    </row>
    <row r="31">
      <c r="A31" s="2" t="inlineStr">
        <is>
          <t>這些頁面幾乎抓不到文字,通常是掃描件或純圖表,建議人手翻閱或另行 OCR。</t>
        </is>
      </c>
    </row>
    <row r="33">
      <c r="A33" s="8" t="inlineStr">
        <is>
          <t>PDF 頁碼</t>
        </is>
      </c>
      <c r="B33" s="8" t="inlineStr">
        <is>
          <t>狀態</t>
        </is>
      </c>
    </row>
    <row r="34">
      <c r="A34"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2026-08-30T14:16:24Z</dcterms:created>
  <dcterms:modified xsi:type="dcterms:W3CDTF">2026-08-30T14:16:24Z</dcterms:modified>
</cp:coreProperties>
</file>
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趨勢圖'!$A$5:$A$7</f>
            </numRef>
          </cat>
          <val>
            <numRef>
              <f>'Chart 趨勢圖'!$B$5:$B$7</f>
            </numRef>
          </val>
        </ser>
        <ser>
          <idx val="1"/>
          <order val="1"/>
          <tx>
            <strRef>
              <f>'Chart 趨勢圖'!C4</f>
            </strRef>
          </tx>
          <spPr>
            <a:ln>
              <a:prstDash val="solid"/>
            </a:ln>
          </spPr>
          <cat>
            <numRef>
              <f>'Chart 趨勢圖'!$A$5:$A$7</f>
            </numRef>
          </cat>
          <val>
            <numRef>
              <f>'Chart 趨勢圖'!$C$5:$C$7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01653_MOS_HOUSE_20260731.pdf</t>
        </is>
      </c>
    </row>
    <row r="5">
      <c r="A5" s="3" t="inlineStr">
        <is>
          <t>產生時間 Generated</t>
        </is>
      </c>
      <c r="B5" s="4" t="inlineStr">
        <is>
          <t>2026-08-30 22:16</t>
        </is>
      </c>
    </row>
    <row r="6">
      <c r="A6" s="4" t="inlineStr"/>
      <c r="B6" s="4" t="inlineStr"/>
    </row>
    <row r="7">
      <c r="A7" s="3" t="inlineStr">
        <is>
          <t>總頁數 Total pages</t>
        </is>
      </c>
      <c r="B7" s="4" t="n">
        <v>139</v>
      </c>
    </row>
    <row r="8">
      <c r="A8" s="3" t="inlineStr">
        <is>
          <t>已擷取字元 Characters extracted</t>
        </is>
      </c>
      <c r="B8" s="4" t="n">
        <v>323367</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2</v>
      </c>
    </row>
    <row r="13">
      <c r="A13" s="3" t="inlineStr">
        <is>
          <t>財務科目擷取筆數 Financial line items</t>
        </is>
      </c>
      <c r="B13" s="4" t="n">
        <v>14</v>
      </c>
    </row>
    <row r="14">
      <c r="A14" s="3" t="inlineStr">
        <is>
          <t>主題段落擷取筆數 Topic extracts</t>
        </is>
      </c>
      <c r="B14" s="4" t="n">
        <v>82</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219,955 − 129,118 = 90,837</t>
        </is>
      </c>
    </row>
    <row r="20">
      <c r="A20" s="6" t="inlineStr">
        <is>
          <t>✓ 三大報表應相鄰</t>
        </is>
      </c>
      <c r="B20" s="4" t="inlineStr">
        <is>
          <t>Income Statement: p.77、Balance Sheet: p.78、Cash Flow: p.80(相距 3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13</v>
      </c>
      <c r="D5" s="10" t="n">
        <v>13</v>
      </c>
      <c r="E5" s="11" t="inlineStr">
        <is>
          <t>13%</t>
        </is>
      </c>
      <c r="F5" s="11" t="inlineStr">
        <is>
          <t>High</t>
        </is>
      </c>
      <c r="G5" s="11" t="inlineStr">
        <is>
          <t>PDF p.113 (印刷頁 112)</t>
        </is>
      </c>
      <c r="H5" s="11" t="inlineStr">
        <is>
          <t>w projections based on financial budgets covering a five-year period at pre-tax discount rate of 13% (2025: n/a). Cash flows beyond the five-year period are extrapolated using the estimated growth rate of 3% (2025: n/a). An impairment loss amounted to a</t>
        </is>
      </c>
    </row>
    <row r="6">
      <c r="A6" s="8" t="inlineStr">
        <is>
          <t>Expected Volatility</t>
        </is>
      </c>
      <c r="B6" s="8" t="inlineStr">
        <is>
          <t>預期波幅</t>
        </is>
      </c>
      <c r="C6" s="9" t="n">
        <v>64.33</v>
      </c>
      <c r="D6" s="10" t="n">
        <v>64.33</v>
      </c>
      <c r="E6" s="11" t="inlineStr">
        <is>
          <t>64.33%</t>
        </is>
      </c>
      <c r="F6" s="11" t="inlineStr">
        <is>
          <t>High</t>
        </is>
      </c>
      <c r="G6" s="11" t="inlineStr">
        <is>
          <t>PDF p.123 (印刷頁 122)</t>
        </is>
      </c>
      <c r="H6" s="11" t="inlineStr">
        <is>
          <t xml:space="preserve">terest rate : 3.770% Time to maturity : 9.97 years Expected dividend yield : 0% Expected volatility : 64.33% The risk-free interest rate was based on the market yield of Hong Kong government bonds as of the option acceptance date. Expected dividend yield was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114113</v>
      </c>
      <c r="D5" s="13" t="n">
        <v>109393</v>
      </c>
      <c r="E5" s="14">
        <f>IF(ISERROR((C5-D5)/ABS(D5)),"",(C5-D5)/ABS(D5))</f>
        <v>0.043147184920424526</v>
      </c>
      <c r="F5" s="11" t="inlineStr">
        <is>
          <t>PDF p.77 (印刷頁 76)</t>
        </is>
      </c>
      <c r="G5" s="11" t="inlineStr">
        <is>
          <t>Revenue 5 114,113 109,393</t>
        </is>
      </c>
    </row>
    <row r="6">
      <c r="A6" s="8" t="inlineStr">
        <is>
          <t>Income Statement</t>
        </is>
      </c>
      <c r="B6" s="8" t="inlineStr">
        <is>
          <t>Depreciation</t>
        </is>
      </c>
      <c r="C6" s="12" t="n">
        <v>-23187</v>
      </c>
      <c r="D6" s="13" t="n">
        <v>-25848</v>
      </c>
      <c r="E6" s="14">
        <f>IF(ISERROR((C6-D6)/ABS(D6)),"",(C6-D6)/ABS(D6))</f>
        <v>0.10294800371402042</v>
      </c>
      <c r="F6" s="11" t="inlineStr">
        <is>
          <t>PDF p.77 (印刷頁 76)</t>
        </is>
      </c>
      <c r="G6" s="11" t="inlineStr">
        <is>
          <t>Depreciation 10 (23,187) (25,848)</t>
        </is>
      </c>
    </row>
    <row r="7">
      <c r="A7" s="8" t="inlineStr">
        <is>
          <t>Income Statement</t>
        </is>
      </c>
      <c r="B7" s="8" t="inlineStr">
        <is>
          <t>Finance Costs</t>
        </is>
      </c>
      <c r="C7" s="12" t="n">
        <v>-5684</v>
      </c>
      <c r="D7" s="13" t="n">
        <v>-6819</v>
      </c>
      <c r="E7" s="14">
        <f>IF(ISERROR((C7-D7)/ABS(D7)),"",(C7-D7)/ABS(D7))</f>
        <v>0.16644669306349905</v>
      </c>
      <c r="F7" s="11" t="inlineStr">
        <is>
          <t>PDF p.77 (印刷頁 76)</t>
        </is>
      </c>
      <c r="G7" s="11" t="inlineStr">
        <is>
          <t>Finance costs 9 (5,684) (6,819)</t>
        </is>
      </c>
    </row>
    <row r="8">
      <c r="A8" s="8" t="inlineStr">
        <is>
          <t>Income Statement</t>
        </is>
      </c>
      <c r="B8" s="8" t="inlineStr">
        <is>
          <t>Profit Before Tax</t>
        </is>
      </c>
      <c r="C8" s="12" t="n">
        <v>-17950</v>
      </c>
      <c r="D8" s="13" t="n">
        <v>-2856</v>
      </c>
      <c r="E8" s="14">
        <f>IF(ISERROR((C8-D8)/ABS(D8)),"",(C8-D8)/ABS(D8))</f>
        <v>-5.285014005602241</v>
      </c>
      <c r="F8" s="11" t="inlineStr">
        <is>
          <t>PDF p.77 (印刷頁 76)</t>
        </is>
      </c>
      <c r="G8" s="11" t="inlineStr">
        <is>
          <t>Loss before taxation 10 (17,950) (2,856)</t>
        </is>
      </c>
    </row>
    <row r="9">
      <c r="A9" s="8" t="inlineStr">
        <is>
          <t>Balance Sheet</t>
        </is>
      </c>
      <c r="B9" s="8" t="inlineStr">
        <is>
          <t>Investment Properties</t>
        </is>
      </c>
      <c r="C9" s="12" t="n">
        <v>25607</v>
      </c>
      <c r="D9" s="13" t="n">
        <v>26000</v>
      </c>
      <c r="E9" s="14">
        <f>IF(ISERROR((C9-D9)/ABS(D9)),"",(C9-D9)/ABS(D9))</f>
        <v>-0.015115384615384616</v>
      </c>
      <c r="F9" s="11" t="inlineStr">
        <is>
          <t>PDF p.78 (印刷頁 77)</t>
        </is>
      </c>
      <c r="G9" s="11" t="inlineStr">
        <is>
          <t>Investment properties 14 25,607 26,000</t>
        </is>
      </c>
    </row>
    <row r="10">
      <c r="A10" s="8" t="inlineStr">
        <is>
          <t>Balance Sheet</t>
        </is>
      </c>
      <c r="B10" s="8" t="inlineStr">
        <is>
          <t>Property Plant and Equipment</t>
        </is>
      </c>
      <c r="C10" s="12" t="n">
        <v>12585</v>
      </c>
      <c r="D10" s="13" t="n">
        <v>13726</v>
      </c>
      <c r="E10" s="14">
        <f>IF(ISERROR((C10-D10)/ABS(D10)),"",(C10-D10)/ABS(D10))</f>
        <v>-0.08312691242896693</v>
      </c>
      <c r="F10" s="11" t="inlineStr">
        <is>
          <t>PDF p.78 (印刷頁 77)</t>
        </is>
      </c>
      <c r="G10" s="11" t="inlineStr">
        <is>
          <t>Property, plant and equipment 15 12,585 13,726</t>
        </is>
      </c>
    </row>
    <row r="11">
      <c r="A11" s="8" t="inlineStr">
        <is>
          <t>Balance Sheet</t>
        </is>
      </c>
      <c r="B11" s="8" t="inlineStr">
        <is>
          <t>Inventories</t>
        </is>
      </c>
      <c r="C11" s="12" t="n">
        <v>77215</v>
      </c>
      <c r="D11" s="13" t="n">
        <v>70394</v>
      </c>
      <c r="E11" s="14">
        <f>IF(ISERROR((C11-D11)/ABS(D11)),"",(C11-D11)/ABS(D11))</f>
        <v>0.09689746285194761</v>
      </c>
      <c r="F11" s="11" t="inlineStr">
        <is>
          <t>PDF p.78 (印刷頁 77)</t>
        </is>
      </c>
      <c r="G11" s="11" t="inlineStr">
        <is>
          <t>Inventories 19 77,215 70,394</t>
        </is>
      </c>
    </row>
    <row r="12">
      <c r="A12" s="8" t="inlineStr">
        <is>
          <t>Balance Sheet</t>
        </is>
      </c>
      <c r="B12" s="8" t="inlineStr">
        <is>
          <t>Trade Receivables</t>
        </is>
      </c>
      <c r="C12" s="12" t="n">
        <v>42633</v>
      </c>
      <c r="D12" s="13" t="n">
        <v>61730</v>
      </c>
      <c r="E12" s="14">
        <f>IF(ISERROR((C12-D12)/ABS(D12)),"",(C12-D12)/ABS(D12))</f>
        <v>-0.3093633565527296</v>
      </c>
      <c r="F12" s="11" t="inlineStr">
        <is>
          <t>PDF p.78 (印刷頁 77)</t>
        </is>
      </c>
      <c r="G12" s="11" t="inlineStr">
        <is>
          <t>Trade receivables 20 42,633 61,730</t>
        </is>
      </c>
    </row>
    <row r="13">
      <c r="A13" s="8" t="inlineStr">
        <is>
          <t>Balance Sheet</t>
        </is>
      </c>
      <c r="B13" s="8" t="inlineStr">
        <is>
          <t>Borrowings</t>
        </is>
      </c>
      <c r="C13" s="12" t="n">
        <v>24584</v>
      </c>
      <c r="D13" s="13" t="n">
        <v>66964</v>
      </c>
      <c r="E13" s="14">
        <f>IF(ISERROR((C13-D13)/ABS(D13)),"",(C13-D13)/ABS(D13))</f>
        <v>-0.6328773669434323</v>
      </c>
      <c r="F13" s="11" t="inlineStr">
        <is>
          <t>PDF p.78 (印刷頁 77)</t>
        </is>
      </c>
      <c r="G13" s="11" t="inlineStr">
        <is>
          <t>Bank borrowings 28 24,584 66,964</t>
        </is>
      </c>
    </row>
    <row r="14">
      <c r="A14" s="8" t="inlineStr">
        <is>
          <t>Balance Sheet</t>
        </is>
      </c>
      <c r="B14" s="8" t="inlineStr">
        <is>
          <t>Total Equity</t>
        </is>
      </c>
      <c r="C14" s="12" t="n">
        <v>123375</v>
      </c>
      <c r="D14" s="13" t="n">
        <v>140020</v>
      </c>
      <c r="E14" s="14">
        <f>IF(ISERROR((C14-D14)/ABS(D14)),"",(C14-D14)/ABS(D14))</f>
        <v>-0.11887587487501786</v>
      </c>
      <c r="F14" s="11" t="inlineStr">
        <is>
          <t>PDF p.78 (印刷頁 77)</t>
        </is>
      </c>
      <c r="G14" s="11" t="inlineStr">
        <is>
          <t>TOTAL EQUITY 123,375 140,020</t>
        </is>
      </c>
    </row>
    <row r="15">
      <c r="A15" s="8" t="inlineStr">
        <is>
          <t>Balance Sheet</t>
        </is>
      </c>
      <c r="B15" s="8" t="inlineStr">
        <is>
          <t>Total Current Assets</t>
        </is>
      </c>
      <c r="C15" s="12" t="n">
        <v>219955</v>
      </c>
      <c r="D15" s="13" t="n">
        <v>221333</v>
      </c>
      <c r="E15" s="14">
        <f>IF(ISERROR((C15-D15)/ABS(D15)),"",(C15-D15)/ABS(D15))</f>
        <v>-0.006225912990832818</v>
      </c>
      <c r="F15" s="11" t="inlineStr">
        <is>
          <t>PDF p.78 (印刷頁 77)</t>
        </is>
      </c>
      <c r="G15" s="11" t="inlineStr">
        <is>
          <t>[current assets 區段小計] 219,955 221,333</t>
        </is>
      </c>
    </row>
    <row r="16">
      <c r="A16" s="8" t="inlineStr">
        <is>
          <t>Balance Sheet</t>
        </is>
      </c>
      <c r="B16" s="8" t="inlineStr">
        <is>
          <t>Total Current Liabilities</t>
        </is>
      </c>
      <c r="C16" s="12" t="n">
        <v>129118</v>
      </c>
      <c r="D16" s="13" t="n">
        <v>136962</v>
      </c>
      <c r="E16" s="14">
        <f>IF(ISERROR((C16-D16)/ABS(D16)),"",(C16-D16)/ABS(D16))</f>
        <v>-0.057271359939253225</v>
      </c>
      <c r="F16" s="11" t="inlineStr">
        <is>
          <t>PDF p.78 (印刷頁 77)</t>
        </is>
      </c>
      <c r="G16" s="11" t="inlineStr">
        <is>
          <t>[current liabilities 區段小計] 129,118 136,962</t>
        </is>
      </c>
    </row>
    <row r="17">
      <c r="A17" s="8" t="inlineStr">
        <is>
          <t>Cash Flow</t>
        </is>
      </c>
      <c r="B17" s="8" t="inlineStr">
        <is>
          <t>Operating Cash Flow</t>
        </is>
      </c>
      <c r="C17" s="12" t="n">
        <v>18529</v>
      </c>
      <c r="D17" s="13" t="n">
        <v>14465</v>
      </c>
      <c r="E17" s="14">
        <f>IF(ISERROR((C17-D17)/ABS(D17)),"",(C17-D17)/ABS(D17))</f>
        <v>0.2809540269616315</v>
      </c>
      <c r="F17" s="11" t="inlineStr">
        <is>
          <t>PDF p.80 (印刷頁 79)</t>
        </is>
      </c>
      <c r="G17" s="11" t="inlineStr">
        <is>
          <t>Net cash from operating activities 18,529 14,465</t>
        </is>
      </c>
    </row>
    <row r="18">
      <c r="A18" s="8" t="inlineStr">
        <is>
          <t>Cash Flow</t>
        </is>
      </c>
      <c r="B18" s="8" t="inlineStr">
        <is>
          <t>Financing Cash Flow</t>
        </is>
      </c>
      <c r="C18" s="12" t="n">
        <v>-35855</v>
      </c>
      <c r="D18" s="13" t="n">
        <v>-10837</v>
      </c>
      <c r="E18" s="14">
        <f>IF(ISERROR((C18-D18)/ABS(D18)),"",(C18-D18)/ABS(D18))</f>
        <v>-2.308572483159546</v>
      </c>
      <c r="F18" s="11" t="inlineStr">
        <is>
          <t>PDF p.80 (印刷頁 79)</t>
        </is>
      </c>
      <c r="G18" s="11" t="inlineStr">
        <is>
          <t>Net cash used in financing activities (35,855) (10,837)</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n/a</v>
      </c>
      <c r="C5" s="15" t="str">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n/a</v>
      </c>
      <c r="D5" s="2" t="inlineStr">
        <is>
          <t>毛利 ÷ 收入</t>
        </is>
      </c>
    </row>
    <row r="6">
      <c r="A6" s="4" t="inlineStr">
        <is>
          <t>Net Margin 淨利率</t>
        </is>
      </c>
      <c r="B6" s="15" t="str">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n/a</v>
      </c>
      <c r="C6" s="15" t="str">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n/a</v>
      </c>
      <c r="D6" s="2" t="inlineStr">
        <is>
          <t>年內溢利 ÷ 收入</t>
        </is>
      </c>
    </row>
    <row r="7">
      <c r="A7" s="4" t="inlineStr">
        <is>
          <t>Current Ratio 流動比率</t>
        </is>
      </c>
      <c r="B7" s="16">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1.703519261450766</v>
      </c>
      <c r="C7" s="16">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1.6160175815189615</v>
      </c>
      <c r="D7" s="2" t="inlineStr">
        <is>
          <t>流動資產 ÷ 流動負債</t>
        </is>
      </c>
    </row>
    <row r="8">
      <c r="A8" s="4" t="inlineStr">
        <is>
          <t>Debt / Equity 負債權益比</t>
        </is>
      </c>
      <c r="B8" s="16" t="str">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n/a</v>
      </c>
      <c r="C8" s="16" t="str">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n/a</v>
      </c>
      <c r="D8" s="2" t="inlineStr">
        <is>
          <t>總負債 ÷ 總權益</t>
        </is>
      </c>
    </row>
    <row r="9">
      <c r="A9" s="4" t="inlineStr">
        <is>
          <t>Goodwill / Total Assets</t>
        </is>
      </c>
      <c r="B9" s="15"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5"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5" t="str">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n/a</v>
      </c>
      <c r="C10" s="15" t="str">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n/a</v>
      </c>
      <c r="D10" s="2" t="inlineStr">
        <is>
          <t>無形資產佔比</t>
        </is>
      </c>
    </row>
    <row r="11">
      <c r="A11" s="4" t="inlineStr">
        <is>
          <t>ROE 股本回報率</t>
        </is>
      </c>
      <c r="B11" s="15" t="str">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n/a</v>
      </c>
      <c r="C11" s="15" t="str">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109393</v>
      </c>
      <c r="C5" s="18" t="n">
        <v>114113</v>
      </c>
    </row>
    <row r="6">
      <c r="A6" s="4" t="inlineStr">
        <is>
          <t>Profit Before Tax</t>
        </is>
      </c>
      <c r="B6" s="18" t="n">
        <v>-2856</v>
      </c>
      <c r="C6" s="18" t="n">
        <v>-17950</v>
      </c>
    </row>
    <row r="7">
      <c r="A7" s="4" t="inlineStr">
        <is>
          <t>Total Equity</t>
        </is>
      </c>
      <c r="B7" s="18" t="n">
        <v>140020</v>
      </c>
      <c r="C7" s="18" t="n">
        <v>123375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85"/>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p.84 (印刷頁 83)</t>
        </is>
      </c>
      <c r="F4" s="11" t="inlineStr">
        <is>
          <t>in use in HKAS 36 Impairment of Assets.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5">
      <c r="A5" s="8" t="inlineStr">
        <is>
          <t>Fair Value Measurement</t>
        </is>
      </c>
      <c r="B5" s="8" t="inlineStr">
        <is>
          <t>公允價值計量</t>
        </is>
      </c>
      <c r="C5" s="19" t="inlineStr">
        <is>
          <t>high</t>
        </is>
      </c>
      <c r="D5" s="11" t="inlineStr">
        <is>
          <t>independent valuer</t>
        </is>
      </c>
      <c r="E5" s="11" t="inlineStr">
        <is>
          <t>PDF p.87 (印刷頁 86)</t>
        </is>
      </c>
      <c r="F5" s="11" t="inlineStr">
        <is>
          <t>ing from a change in fair value is recognised in profit or loss. The fair value of investment property is based on a valuation by an independent valuer who holds a recognised professional qualification and has recent experience in the location and category of property being valued. Financial instruments Financial assets Recognition and derecognition Financial assets are recognised when and only when the Group becomes a party to the contractual provisions of the instruments and on a trade date basis. A financial asset is derecog</t>
        </is>
      </c>
    </row>
    <row r="6">
      <c r="A6" s="8" t="inlineStr">
        <is>
          <t>Fair Value Measurement</t>
        </is>
      </c>
      <c r="B6" s="8" t="inlineStr">
        <is>
          <t>公允價值計量</t>
        </is>
      </c>
      <c r="C6" s="19" t="inlineStr">
        <is>
          <t>high</t>
        </is>
      </c>
      <c r="D6" s="11" t="inlineStr">
        <is>
          <t>valuation technique</t>
        </is>
      </c>
      <c r="E6" s="11" t="inlineStr">
        <is>
          <t>PDF p.100 (印刷頁 99)</t>
        </is>
      </c>
      <c r="F6" s="11" t="inlineStr">
        <is>
          <t>perties, the Group obtains the valuation of the investment properties provided by the independent professional qualified valuer. The valuation techniques applied by the independent professional qualified valuer for the investment properties have been discussed with the directors of the Company. The directors review the valuations performed by the independent professional qualified valuer and use their estimation to determine whether valuation techniques applied are appropriate to the circumstances of the Group. Changes in assum</t>
        </is>
      </c>
    </row>
    <row r="7">
      <c r="A7" s="8" t="inlineStr">
        <is>
          <t>Fair Value Measurement</t>
        </is>
      </c>
      <c r="B7" s="8" t="inlineStr">
        <is>
          <t>公允價值計量</t>
        </is>
      </c>
      <c r="C7" s="19" t="inlineStr">
        <is>
          <t>high</t>
        </is>
      </c>
      <c r="D7" s="11" t="inlineStr">
        <is>
          <t>valuation technique</t>
        </is>
      </c>
      <c r="E7" s="11" t="inlineStr">
        <is>
          <t>PDF p.109 (印刷頁 108)</t>
        </is>
      </c>
      <c r="F7" s="11" t="inlineStr">
        <is>
          <t>nt professional qualified valuer, on the market value basis using direct comparison approach (2025: direct comparison approach). The valuation techniques of the investment properties are disclosed in note 39. The investment properties were pledged to secure banking facilities of a related company which is controlled by Mr. Tso. 108 Mos House Group Limited / Annual Report 2026</t>
        </is>
      </c>
    </row>
    <row r="8">
      <c r="A8" s="8" t="inlineStr">
        <is>
          <t>Fair Value Measurement</t>
        </is>
      </c>
      <c r="B8" s="8" t="inlineStr">
        <is>
          <t>公允價值計量</t>
        </is>
      </c>
      <c r="C8" s="19" t="inlineStr">
        <is>
          <t>high</t>
        </is>
      </c>
      <c r="D8" s="11" t="inlineStr">
        <is>
          <t>fair value hierarchy</t>
        </is>
      </c>
      <c r="E8" s="11" t="inlineStr">
        <is>
          <t>PDF p.132 (印刷頁 131)</t>
        </is>
      </c>
      <c r="F8" s="11" t="inlineStr">
        <is>
          <t>r required to disclose their fair value in the consolidated financial statements on a recurring basis across the three levels of the fair value hierarchy defined in HKFRS 13 Fair Value Measurement with the fair value measurement categorised in its entirety based on the lowest level input that is significant to the entire measurement. The levels of inputs are defined as follows: • Level 1 (highest level): quoted prices (unadjusted) in active markets for identical assets or liabilities that the Group can access at the measurement</t>
        </is>
      </c>
    </row>
    <row r="9">
      <c r="A9" s="8" t="inlineStr">
        <is>
          <t>Fair Value Measurement</t>
        </is>
      </c>
      <c r="B9" s="8" t="inlineStr">
        <is>
          <t>公允價值計量</t>
        </is>
      </c>
      <c r="C9" s="19" t="inlineStr">
        <is>
          <t>high</t>
        </is>
      </c>
      <c r="D9" s="11" t="inlineStr">
        <is>
          <t>level 1</t>
        </is>
      </c>
      <c r="E9" s="11" t="inlineStr">
        <is>
          <t>PDF p.133 (印刷頁 132)</t>
        </is>
      </c>
      <c r="F9" s="11" t="inlineStr">
        <is>
          <t>AR ENDED 31 MARCH 2026 39. FAIR VALUE MEASUREMENTS (Continued) a) Assets and liabilities measured at fair value 2026 Carrying amount Level 1 Level 2 Level 3 HK$’000 HK$’000 HK$’000 HK$’000 Assets measured at fair value Investment properties 25,607 – – 25,607 Financial assets at FVTPL — Unlisted investments — payments for life insurance policies (note) 2,580 – 2,580 – 28,187 – 2,580 25,607 2025 Carrying amount Level 1 Level 2 Level 3 HK$’000 HK$’000 HK$’000 HK$’000 Assets measured at fair value Investment properties 26,000 – – 2</t>
        </is>
      </c>
    </row>
    <row r="10">
      <c r="A10" s="8" t="inlineStr">
        <is>
          <t>Fair Value Measurement</t>
        </is>
      </c>
      <c r="B10" s="8" t="inlineStr">
        <is>
          <t>公允價值計量</t>
        </is>
      </c>
      <c r="C10" s="19" t="inlineStr">
        <is>
          <t>high</t>
        </is>
      </c>
      <c r="D10" s="11" t="inlineStr">
        <is>
          <t>level 3</t>
        </is>
      </c>
      <c r="E10" s="11" t="inlineStr">
        <is>
          <t>PDF p.134 (印刷頁 133)</t>
        </is>
      </c>
      <c r="F10" s="11" t="inlineStr">
        <is>
          <t>FAIR VALUE MEASUREMENTS (Continued) a) Assets and liabilities measured at fair value (Continued) Valuation techniques and inputs in Level 3 fair value measurement Investment properties The investment properties situated in the Hong Kong of HK$25,607,000 (2025: HK$26,000,000) were revalued by Professional Properties Co, an independent professional qualified valuer. The fair value was determined based on direct comparison method (2025: direct comparison method) assuming sales of each of the property interests existing in their e</t>
        </is>
      </c>
    </row>
    <row r="11">
      <c r="A11" s="8" t="inlineStr">
        <is>
          <t>Impairment Testing</t>
        </is>
      </c>
      <c r="B11" s="8" t="inlineStr">
        <is>
          <t>減值測試</t>
        </is>
      </c>
      <c r="C11" s="19" t="inlineStr">
        <is>
          <t>high</t>
        </is>
      </c>
      <c r="D11" s="11" t="inlineStr">
        <is>
          <t>impairment loss</t>
        </is>
      </c>
      <c r="E11" s="11" t="inlineStr">
        <is>
          <t>PDF p.4 (印刷頁 3)</t>
        </is>
      </c>
      <c r="F11" s="11" t="inlineStr">
        <is>
          <t>ly due to (i) decrease in gross profit from sale of tiles and bathroom fixtures by approximately HK$8.1 million; and (ii) a non-cash impairment loss of interest in an associate of approximately HK$14.0 million. These were partially offset by (i) improvements in other operating expenses and finance costs during the year; and (ii) decrease in fair value loss on investment property of approximately HK$7.9 million. BUSINESS REVIEW The Group was principally engaged in (i) the trading of tiles, bathroom fixtures and other products th</t>
        </is>
      </c>
    </row>
    <row r="12">
      <c r="A12" s="8" t="inlineStr">
        <is>
          <t>Impairment Testing</t>
        </is>
      </c>
      <c r="B12" s="8" t="inlineStr">
        <is>
          <t>減值測試</t>
        </is>
      </c>
      <c r="C12" s="19" t="inlineStr">
        <is>
          <t>high</t>
        </is>
      </c>
      <c r="D12" s="11" t="inlineStr">
        <is>
          <t>impairment loss</t>
        </is>
      </c>
      <c r="E12" s="11" t="inlineStr">
        <is>
          <t>PDF p.8 (印刷頁 7)</t>
        </is>
      </c>
      <c r="F12" s="11" t="inlineStr">
        <is>
          <t>y due to (i) decrease in gross profit from sale of tiles and bathroom fixtures by approximately HK$8.1 million; and (ii) a noncash impairment loss of interest in an associate of approximately HK$14.0 million. These were partially offset by (i) improvements in other operating expenses and finance costs during the year; and (ii) decrease in fair value loss on investment property of approximately HK$7.9 million. Interest in an associate/Impairment loss of interest in an associate Interest in an associate decreased from approxima</t>
        </is>
      </c>
    </row>
    <row r="13">
      <c r="A13" s="8" t="inlineStr">
        <is>
          <t>Impairment Testing</t>
        </is>
      </c>
      <c r="B13" s="8" t="inlineStr">
        <is>
          <t>減值測試</t>
        </is>
      </c>
      <c r="C13" s="19" t="inlineStr">
        <is>
          <t>high</t>
        </is>
      </c>
      <c r="D13" s="11" t="inlineStr">
        <is>
          <t>impairment loss</t>
        </is>
      </c>
      <c r="E13" s="11" t="inlineStr">
        <is>
          <t>PDF p.77 (印刷頁 76)</t>
        </is>
      </c>
      <c r="F13" s="11" t="inlineStr">
        <is>
          <t>ENDED 31 MARCH 2026 2026 2025 Notes HK$’000 HK$’000 Revenue 5 114,113 109,393 Other income gains and losses 6 791 4,607 Reversal of impairment loss under expected credit loss model on trade receivables, net 218 1,870 Impairment loss of interest in an associate 17 (13,965) – Change in fair value of investment properties 14 (393) (8,280) Cost of inventories sold (67,214) (54,408) Staff costs 10 (14,582) (14,627) Depreciation 10 (23,187) (25,848) Property related expenses (1,180) (2,064) Other expenses 10 (6,774) (8,274) Share of</t>
        </is>
      </c>
    </row>
    <row r="14">
      <c r="A14" s="8" t="inlineStr">
        <is>
          <t>Impairment Testing</t>
        </is>
      </c>
      <c r="B14" s="8" t="inlineStr">
        <is>
          <t>減值測試</t>
        </is>
      </c>
      <c r="C14" s="19" t="inlineStr">
        <is>
          <t>high</t>
        </is>
      </c>
      <c r="D14" s="11" t="inlineStr">
        <is>
          <t>impairment loss</t>
        </is>
      </c>
      <c r="E14" s="11" t="inlineStr">
        <is>
          <t>PDF p.80 (印刷頁 79)</t>
        </is>
      </c>
      <c r="F14" s="11" t="inlineStr">
        <is>
          <t>5 HK$’000 HK$’000 OPERATING ACTIVITIES Loss before taxation (17,950) (3,400) Adjustments for: Depreciation 23,187 25,848 Reversal of impairment loss under expected credit loss model on trade receivables, net (218) (1,870) Impairment loss on interest in an associate 13,965 – Interest income (144) (997) Interest expenses 5,684 6,819 Gain on early termination of lease – (204) Loss on disposal of property, plant and equipment – 228 Fair value gain on financial assets at FVTPL (83) (299) Change in fair value of investment properties</t>
        </is>
      </c>
    </row>
    <row r="15">
      <c r="A15" s="8" t="inlineStr">
        <is>
          <t>Impairment Testing</t>
        </is>
      </c>
      <c r="B15" s="8" t="inlineStr">
        <is>
          <t>減值測試</t>
        </is>
      </c>
      <c r="C15" s="19" t="inlineStr">
        <is>
          <t>high</t>
        </is>
      </c>
      <c r="D15" s="11" t="inlineStr">
        <is>
          <t>value in use</t>
        </is>
      </c>
      <c r="E15" s="11" t="inlineStr">
        <is>
          <t>PDF p.84 (印刷頁 83)</t>
        </is>
      </c>
      <c r="F15" s="11" t="inlineStr">
        <is>
          <t>measurements that have some similarities to fair value but are not fair value, such as net realisable value in HKAS 2 Inventories or value in use in HKAS 36 Impairment of Assets.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t>
        </is>
      </c>
    </row>
    <row r="16">
      <c r="A16" s="8" t="inlineStr">
        <is>
          <t>Impairment Testing</t>
        </is>
      </c>
      <c r="B16" s="8" t="inlineStr">
        <is>
          <t>減值測試</t>
        </is>
      </c>
      <c r="C16" s="19" t="inlineStr">
        <is>
          <t>high</t>
        </is>
      </c>
      <c r="D16" s="11" t="inlineStr">
        <is>
          <t>impairment loss</t>
        </is>
      </c>
      <c r="E16" s="11" t="inlineStr">
        <is>
          <t>PDF p.85 (印刷頁 84)</t>
        </is>
      </c>
      <c r="F16" s="11" t="inlineStr">
        <is>
          <t>set by comparing its recoverable amount (higher of value in use and fair value less costs of disposal) with its carrying amount. Any impairment loss recognised is not allocated to any asset, including goodwill, that forms part of the carrying amount of the investment. Any reversal of that impairment loss is recognised in accordance with HKAS 36 to the extent that the recoverable amount of the investment subsequently increases. 84 Mos House Group Limited / Annual Report 2026</t>
        </is>
      </c>
    </row>
    <row r="17">
      <c r="A17" s="8" t="inlineStr">
        <is>
          <t>Impairment Testing</t>
        </is>
      </c>
      <c r="B17" s="8" t="inlineStr">
        <is>
          <t>減值測試</t>
        </is>
      </c>
      <c r="C17" s="19" t="inlineStr">
        <is>
          <t>high</t>
        </is>
      </c>
      <c r="D17" s="11" t="inlineStr">
        <is>
          <t>impairment loss</t>
        </is>
      </c>
      <c r="E17" s="11" t="inlineStr">
        <is>
          <t>PDF p.86 (印刷頁 85)</t>
        </is>
      </c>
      <c r="F17" s="11" t="inlineStr">
        <is>
          <t>lated to the Group. Property, plant and equipment Property, plant and equipment are stated at cost less accumulated depreciation and impairment losses. Construction in progress are carried at cost, less any recognised impairment loss. The cost of an item of property, plant and equipment comprises its purchase price and any directly attributable costs of bringing the asset to its working condition and location for its intended use. Repairs and maintenance are charged to profit or loss during the year in which they are incurred.</t>
        </is>
      </c>
    </row>
    <row r="18">
      <c r="A18" s="8" t="inlineStr">
        <is>
          <t>Impairment Testing</t>
        </is>
      </c>
      <c r="B18" s="8" t="inlineStr">
        <is>
          <t>減值測試</t>
        </is>
      </c>
      <c r="C18" s="19" t="inlineStr">
        <is>
          <t>high</t>
        </is>
      </c>
      <c r="D18" s="11" t="inlineStr">
        <is>
          <t>impairment loss</t>
        </is>
      </c>
      <c r="E18" s="11" t="inlineStr">
        <is>
          <t>PDF p.93 (印刷頁 92)</t>
        </is>
      </c>
      <c r="F18" s="11" t="inlineStr">
        <is>
          <t>roperty, plant and equipment and right-of-use assets to determine whether there is any indication that those assets have suffered an impairment loss. If any such indication exists, the recoverable amount of the asset is estimated in order to determine the extent of the impairment loss, if any. 92 Mos House Group Limited / Annual Report 2026</t>
        </is>
      </c>
    </row>
    <row r="19">
      <c r="A19" s="8" t="inlineStr">
        <is>
          <t>Impairment Testing</t>
        </is>
      </c>
      <c r="B19" s="8" t="inlineStr">
        <is>
          <t>減值測試</t>
        </is>
      </c>
      <c r="C19" s="19" t="inlineStr">
        <is>
          <t>high</t>
        </is>
      </c>
      <c r="D19" s="11" t="inlineStr">
        <is>
          <t>impairment loss</t>
        </is>
      </c>
      <c r="E19" s="11" t="inlineStr">
        <is>
          <t>PDF p.94 (印刷頁 93)</t>
        </is>
      </c>
      <c r="F19" s="11" t="inlineStr">
        <is>
          <t>less than its carrying amount, the carrying amount of the asset (or a cash-generating unit) is reduced to its recoverable amount. An impairment loss is recognised immediately in profit or loss. Where an impairment loss subsequently reverses, the carrying amount of the asset (or a cash-generating unit) is increased to the revised estimate of its recoverable amount, but so that the increased carrying amount does not exceed the carrying amount that would have been determined had no impairment loss been recognised for the asset (or</t>
        </is>
      </c>
    </row>
    <row r="20">
      <c r="A20" s="8" t="inlineStr">
        <is>
          <t>Impairment Testing</t>
        </is>
      </c>
      <c r="B20" s="8" t="inlineStr">
        <is>
          <t>減值測試</t>
        </is>
      </c>
      <c r="C20" s="19" t="inlineStr">
        <is>
          <t>high</t>
        </is>
      </c>
      <c r="D20" s="11" t="inlineStr">
        <is>
          <t>impairment loss</t>
        </is>
      </c>
      <c r="E20" s="11" t="inlineStr">
        <is>
          <t>PDF p.95 (印刷頁 94)</t>
        </is>
      </c>
      <c r="F20" s="11" t="inlineStr">
        <is>
          <t>produce inventories. Subsequently, the right-of-use asset is measured at cost less any accumulated depreciation and any accumulated impairment losses and adjusted for any remeasurement of the lease liability. Depreciation is provided on a straight-line basis over the shorter of the lease term and the estimated useful lives of the rightof-use asset (unless the lease transfers ownership of the underlying asset to the Group by the end of the lease term or if the cost of the right-of-use asset reflects that the Group will exerci</t>
        </is>
      </c>
    </row>
    <row r="21">
      <c r="A21" s="8" t="inlineStr">
        <is>
          <t>Impairment Testing</t>
        </is>
      </c>
      <c r="B21" s="8" t="inlineStr">
        <is>
          <t>減值測試</t>
        </is>
      </c>
      <c r="C21" s="19" t="inlineStr">
        <is>
          <t>high</t>
        </is>
      </c>
      <c r="D21" s="11" t="inlineStr">
        <is>
          <t>impairment loss</t>
        </is>
      </c>
      <c r="E21" s="11" t="inlineStr">
        <is>
          <t>PDF p.100 (印刷頁 99)</t>
        </is>
      </c>
      <c r="F21" s="11" t="inlineStr">
        <is>
          <t>es high degree of estimation uncertainty. When the actual future cash flows are less than expected or more than expected, a material impairment loss or a material reversal of impairment loss may arise accordingly in future periods. Net realisable value of inventories Net realisable value of inventories is the estimated selling price in the ordinary course of business, less estimated selling expenses necessary to make the sale. These estimates are based on the current market condition and the historical experience of selling pro</t>
        </is>
      </c>
    </row>
    <row r="22">
      <c r="A22" s="8" t="inlineStr">
        <is>
          <t>Impairment Testing</t>
        </is>
      </c>
      <c r="B22" s="8" t="inlineStr">
        <is>
          <t>減值測試</t>
        </is>
      </c>
      <c r="C22" s="19" t="inlineStr">
        <is>
          <t>high</t>
        </is>
      </c>
      <c r="D22" s="11" t="inlineStr">
        <is>
          <t>impairment loss</t>
        </is>
      </c>
      <c r="E22" s="11" t="inlineStr">
        <is>
          <t>PDF p.102 (印刷頁 101)</t>
        </is>
      </c>
      <c r="F22" s="11" t="inlineStr">
        <is>
          <t>corporate expenses (5,540) (4,801) Fair value gain on financial assets at FVTPL 83 299 Share of result of an associate (93) 1,594 Impairment loss on interest in an associate (13,965) – Finance costs (other than interest on lease liabilities) (4,751) (5,937) Loss before taxation (17,950) (2,856) 101 Annual Report 2026 / Mos House Group Limited</t>
        </is>
      </c>
    </row>
    <row r="23">
      <c r="A23" s="8" t="inlineStr">
        <is>
          <t>Impairment Testing</t>
        </is>
      </c>
      <c r="B23" s="8" t="inlineStr">
        <is>
          <t>減值測試</t>
        </is>
      </c>
      <c r="C23" s="19" t="inlineStr">
        <is>
          <t>high</t>
        </is>
      </c>
      <c r="D23" s="11" t="inlineStr">
        <is>
          <t>impairment loss</t>
        </is>
      </c>
      <c r="E23" s="11" t="inlineStr">
        <is>
          <t>PDF p.103 (印刷頁 102)</t>
        </is>
      </c>
      <c r="F23" s="11" t="inlineStr">
        <is>
          <t>stment properties – – (393) (8,280) – – (393) (8,280) Fair value gain on financial assets at FVTPL – – – – 83 299 83 299 Reversal of impairment loss under ECL model on trade receivables, net 218 1,870 – – – – 218 1,870 Provision of inventories 1,241 – – – – – 1,241 – Net exchange gain 27 38 – – – – 27 38 102 Mos House Group Limited / Annual Report 2026</t>
        </is>
      </c>
    </row>
    <row r="24">
      <c r="A24" s="8" t="inlineStr">
        <is>
          <t>Impairment Testing</t>
        </is>
      </c>
      <c r="B24" s="8" t="inlineStr">
        <is>
          <t>減值測試</t>
        </is>
      </c>
      <c r="C24" s="19" t="inlineStr">
        <is>
          <t>high</t>
        </is>
      </c>
      <c r="D24" s="11" t="inlineStr">
        <is>
          <t>impairment loss</t>
        </is>
      </c>
      <c r="E24" s="11" t="inlineStr">
        <is>
          <t>PDF p.113 (印刷頁 112)</t>
        </is>
      </c>
      <c r="F24" s="11" t="inlineStr">
        <is>
          <t>of an associate and other comprehensive income, net of dividend 1,518 1,612 Share of net assets of an associate 15,415 15,509 Less: Impairment loss (13,965) – 1,450 15,509 During the year ended 31 March 2026, Smart Asian incurred a net loss amounted to approximately HK$187,000 (2025: net profit of approximately HK$3,187,000). The significant decline in financial performance of Smart Asian is regarded as an impairment indicator. The recoverable amount of the interest in an associate has been determined by the directors of the C</t>
        </is>
      </c>
    </row>
    <row r="25">
      <c r="A25" s="8" t="inlineStr">
        <is>
          <t>Impairment Testing</t>
        </is>
      </c>
      <c r="B25" s="8" t="inlineStr">
        <is>
          <t>減值測試</t>
        </is>
      </c>
      <c r="C25" s="19" t="inlineStr">
        <is>
          <t>high</t>
        </is>
      </c>
      <c r="D25" s="11" t="inlineStr">
        <is>
          <t>impairment loss</t>
        </is>
      </c>
      <c r="E25" s="11" t="inlineStr">
        <is>
          <t>PDF p.114 (印刷頁 113)</t>
        </is>
      </c>
      <c r="F25" s="11" t="inlineStr">
        <is>
          <t>on of the Group’s ownership interest 50% 50% The Group’s share of net assets of Smart Asian 1,510 1,604 Goodwill 13,905 13,905 Less: impairment loss recognised (13,965) – Carrying amount of the Group’s interest in Smart Asian 1,450 15,509 113 Annual Report 2026 / Mos House Group Limited</t>
        </is>
      </c>
    </row>
    <row r="26">
      <c r="A26" s="8" t="inlineStr">
        <is>
          <t>Intangible Assets &amp; Goodwill</t>
        </is>
      </c>
      <c r="B26" s="8" t="inlineStr">
        <is>
          <t>無形資產及商譽</t>
        </is>
      </c>
      <c r="C26" s="19" t="inlineStr">
        <is>
          <t>high</t>
        </is>
      </c>
      <c r="D26" s="11" t="inlineStr">
        <is>
          <t>trademark</t>
        </is>
      </c>
      <c r="E26" s="11" t="inlineStr">
        <is>
          <t>PDF p.48 (印刷頁 47)</t>
        </is>
      </c>
      <c r="F26" s="11" t="inlineStr">
        <is>
          <t>ontrol and proper procedures. The Group also pays close attention to defending and protecting our intellectual property rights. Some trademarks and domain names of the Group have been registered in Hong Kong and China. During the Reporting Period, the Group has complied with relevant laws and regulations on product safety, health and advertising, including but not limited to Sale of Goods Ordinance, Trade Descriptions Ordinance, and Consumer Goods Safety Ordinance. There were no products sold or shipped subsequently subject to</t>
        </is>
      </c>
    </row>
    <row r="27">
      <c r="A27" s="8" t="inlineStr">
        <is>
          <t>Intangible Assets &amp; Goodwill</t>
        </is>
      </c>
      <c r="B27" s="8" t="inlineStr">
        <is>
          <t>無形資產及商譽</t>
        </is>
      </c>
      <c r="C27" s="19" t="inlineStr">
        <is>
          <t>high</t>
        </is>
      </c>
      <c r="D27" s="11" t="inlineStr">
        <is>
          <t>goodwill</t>
        </is>
      </c>
      <c r="E27" s="11" t="inlineStr">
        <is>
          <t>PDF p.85 (印刷頁 84)</t>
        </is>
      </c>
      <c r="F27" s="11" t="inlineStr">
        <is>
          <t>investment over the Group’s share of the net fair value of the identifiable assets and liabilities of the investee is recognised as goodwill, which is included within the carrying amount of the investment. Any excess of the Group’s share of the net fair value of the identifiable assets and liabilities over the cost of the investment, after reassessment, is recognised immediately in profit or loss in the period in which the investment is acquired. The Group assesses whether there is an objective evidence that the interest in an</t>
        </is>
      </c>
    </row>
    <row r="28">
      <c r="A28" s="8" t="inlineStr">
        <is>
          <t>Intangible Assets &amp; Goodwill</t>
        </is>
      </c>
      <c r="B28" s="8" t="inlineStr">
        <is>
          <t>無形資產及商譽</t>
        </is>
      </c>
      <c r="C28" s="19" t="inlineStr">
        <is>
          <t>high</t>
        </is>
      </c>
      <c r="D28" s="11" t="inlineStr">
        <is>
          <t>amortisation</t>
        </is>
      </c>
      <c r="E28" s="11" t="inlineStr">
        <is>
          <t>PDF p.88 (印刷頁 87)</t>
        </is>
      </c>
      <c r="F28" s="11" t="inlineStr">
        <is>
          <t>the effective interest method and are subject to impairment. Gains and losses arising from impairment, derecognition or through the amortisation process are recognised in profit or loss. The Group’s financial assets at amortised cost include trade and other receivables, refundable rental deposits, pledged bank deposit and bank balances and cash. 2) Financial assets at FVTPL These investments include financial assets that are not measured at amortised cost or FVTOCI, including financial assets held for trading, financial assets</t>
        </is>
      </c>
    </row>
    <row r="29">
      <c r="A29" s="8" t="inlineStr">
        <is>
          <t>Intangible Assets &amp; Goodwill</t>
        </is>
      </c>
      <c r="B29" s="8" t="inlineStr">
        <is>
          <t>無形資產及商譽</t>
        </is>
      </c>
      <c r="C29" s="19" t="inlineStr">
        <is>
          <t>high</t>
        </is>
      </c>
      <c r="D29" s="11" t="inlineStr">
        <is>
          <t>useful life</t>
        </is>
      </c>
      <c r="E29" s="11" t="inlineStr">
        <is>
          <t>PDF p.95 (印刷頁 94)</t>
        </is>
      </c>
      <c r="F29" s="11" t="inlineStr">
        <is>
          <t>right-of-use asset reflects that the Group will exercise a purchase option in which case depreciation is provided over the estimated useful life of the underlying asset) as follows: Office premises 3 years Retail shops 2 to 3 years Warehouses 1 to 4 years Motor vehicles 2 years The Group presents right-of-use assets as a separate line item on the consolidated statement of financial position. The lease liability is initially measured at the present value of the lease payments that are not paid at the commencement date of the con</t>
        </is>
      </c>
    </row>
    <row r="30">
      <c r="A30" s="8" t="inlineStr">
        <is>
          <t>Intangible Assets &amp; Goodwill</t>
        </is>
      </c>
      <c r="B30" s="8" t="inlineStr">
        <is>
          <t>無形資產及商譽</t>
        </is>
      </c>
      <c r="C30" s="19" t="inlineStr">
        <is>
          <t>high</t>
        </is>
      </c>
      <c r="D30" s="11" t="inlineStr">
        <is>
          <t>goodwill</t>
        </is>
      </c>
      <c r="E30" s="11" t="inlineStr">
        <is>
          <t>PDF p.98 (印刷頁 97)</t>
        </is>
      </c>
      <c r="F30" s="11" t="inlineStr">
        <is>
          <t>ctible temporary differences can be utilised. Such assets and liabilities are not recognised if the temporary difference arises from goodwill or from the initial recognition (other than in a business combination) of other assets and liabilities in a transaction that affects neither the taxable profit nor the accounting profit and at the time of the transaction does not give rise to equal taxable and deductible temporary differences. Deferred tax liabilities are recognised for taxable temporary differences associated with invest</t>
        </is>
      </c>
    </row>
    <row r="31">
      <c r="A31" s="8" t="inlineStr">
        <is>
          <t>Intangible Assets &amp; Goodwill</t>
        </is>
      </c>
      <c r="B31" s="8" t="inlineStr">
        <is>
          <t>無形資產及商譽</t>
        </is>
      </c>
      <c r="C31" s="19" t="inlineStr">
        <is>
          <t>high</t>
        </is>
      </c>
      <c r="D31" s="11" t="inlineStr">
        <is>
          <t>goodwill</t>
        </is>
      </c>
      <c r="E31" s="11" t="inlineStr">
        <is>
          <t>PDF p.114 (印刷頁 113)</t>
        </is>
      </c>
      <c r="F31" s="11" t="inlineStr">
        <is>
          <t>rt Asian 3,020 3,207 Proportion of the Group’s ownership interest 50% 50% The Group’s share of net assets of Smart Asian 1,510 1,604 Goodwill 13,905 13,905 Less: impairment loss recognised (13,965) – Carrying amount of the Group’s interest in Smart Asian 1,450 15,509 113 Annual Report 2026 / Mos House Group Limited</t>
        </is>
      </c>
    </row>
    <row r="32">
      <c r="A32" s="8" t="inlineStr">
        <is>
          <t>Investment Properties</t>
        </is>
      </c>
      <c r="B32" s="8" t="inlineStr">
        <is>
          <t>投資物業</t>
        </is>
      </c>
      <c r="C32" s="19" t="inlineStr">
        <is>
          <t>high</t>
        </is>
      </c>
      <c r="D32" s="11" t="inlineStr">
        <is>
          <t>investment property</t>
        </is>
      </c>
      <c r="E32" s="11" t="inlineStr">
        <is>
          <t>PDF p.4 (印刷頁 3)</t>
        </is>
      </c>
      <c r="F32" s="11" t="inlineStr">
        <is>
          <t>ly offset by (i) improvements in other operating expenses and finance costs during the year; and (ii) decrease in fair value loss on investment property of approximately HK$7.9 million. BUSINESS REVIEW The Group was principally engaged in (i) the trading of tiles, bathroom fixtures and other products through its retail shops in Hong Kong and non-retail channels in Hong Kong and Macau; and (ii) the property investment in Hong Kong, where the Group earns rental income. Over the years, the global political and economic environment</t>
        </is>
      </c>
    </row>
    <row r="33">
      <c r="A33" s="8" t="inlineStr">
        <is>
          <t>Investment Properties</t>
        </is>
      </c>
      <c r="B33" s="8" t="inlineStr">
        <is>
          <t>投資物業</t>
        </is>
      </c>
      <c r="C33" s="19" t="inlineStr">
        <is>
          <t>high</t>
        </is>
      </c>
      <c r="D33" s="11" t="inlineStr">
        <is>
          <t>investment property</t>
        </is>
      </c>
      <c r="E33" s="11" t="inlineStr">
        <is>
          <t>PDF p.6 (印刷頁 5)</t>
        </is>
      </c>
      <c r="F33" s="11" t="inlineStr">
        <is>
          <t>fixtures and other products through its retail shops in Hong Kong and non-retail channels in Hong Kong and Macau; while also holding investment property in Hong Kong that contributes rental income to the Group. During the year under review, the Group operated in a persistently volatile market environment. Nevertheless, the Group’s performance has proven resilient during such challenging time. The Group’s revenue recorded an increase of approximately 4.3%, from approximately HK$109.4 million for the year ended 31 March 2025 to a</t>
        </is>
      </c>
    </row>
    <row r="34">
      <c r="A34" s="8" t="inlineStr">
        <is>
          <t>Investment Properties</t>
        </is>
      </c>
      <c r="B34" s="8" t="inlineStr">
        <is>
          <t>投資物業</t>
        </is>
      </c>
      <c r="C34" s="19" t="inlineStr">
        <is>
          <t>high</t>
        </is>
      </c>
      <c r="D34" s="11" t="inlineStr">
        <is>
          <t>investment property</t>
        </is>
      </c>
      <c r="E34" s="11" t="inlineStr">
        <is>
          <t>PDF p.8 (印刷頁 7)</t>
        </is>
      </c>
      <c r="F34" s="11" t="inlineStr">
        <is>
          <t>ly offset by (i) improvements in other operating expenses and finance costs during the year; and (ii) decrease in fair value loss on investment property of approximately HK$7.9 million. Interest in an associate/Impairment loss of interest in an associate Interest in an associate decreased from approximately HK$15.5 million as at 31 March 2025 to approximately HK$1.5 million as at 31 March 2026. During the year, the associate recorded a revenue of approximately HK$0.13 million (2025: HK$11.4 million) due to the decrease in tradi</t>
        </is>
      </c>
    </row>
    <row r="35">
      <c r="A35" s="8" t="inlineStr">
        <is>
          <t>Investment Properties</t>
        </is>
      </c>
      <c r="B35" s="8" t="inlineStr">
        <is>
          <t>投資物業</t>
        </is>
      </c>
      <c r="C35" s="19" t="inlineStr">
        <is>
          <t>high</t>
        </is>
      </c>
      <c r="D35" s="11" t="inlineStr">
        <is>
          <t>investment property</t>
        </is>
      </c>
      <c r="E35" s="11" t="inlineStr">
        <is>
          <t>PDF p.87 (印刷頁 86)</t>
        </is>
      </c>
      <c r="F35" s="11" t="inlineStr">
        <is>
          <t>end of the reporting period. Any gain or loss arising from a change in fair value is recognised in profit or loss. The fair value of investment property is based on a valuation by an independent valuer who holds a recognised professional qualification and has recent experience in the location and category of property being valued. Financial instruments Financial assets Recognition and derecognition Financial assets are recognised when and only when the Group becomes a party to the contractual provisions of the instruments and o</t>
        </is>
      </c>
    </row>
    <row r="36">
      <c r="A36" s="8" t="inlineStr">
        <is>
          <t>ESG Data</t>
        </is>
      </c>
      <c r="B36" s="8" t="inlineStr">
        <is>
          <t>環境社會及管治數據</t>
        </is>
      </c>
      <c r="C36" s="8" t="inlineStr">
        <is>
          <t>medium</t>
        </is>
      </c>
      <c r="D36" s="11" t="inlineStr">
        <is>
          <t>sustainability</t>
        </is>
      </c>
      <c r="E36" s="11" t="inlineStr">
        <is>
          <t>PDF p.4 (印刷頁 3)</t>
        </is>
      </c>
      <c r="F36" s="11" t="inlineStr">
        <is>
          <t>olid brand image enables potential project customers to have a higher degree of trust in our brand. Also, the Group was committed to sustainability through the use of renewable energy. As highlighted in the annual report for the year ended 31 March 2025, the Group installed solar panels at the warehouses. By integrating solar energy into operation, the Group reduced the operating expenses while generating an income of approximately HK$0.4 million by selling renewable energy to the power company under the Feed-in Tariff (“FiT”)</t>
        </is>
      </c>
    </row>
    <row r="37">
      <c r="A37" s="8" t="inlineStr">
        <is>
          <t>ESG Data</t>
        </is>
      </c>
      <c r="B37" s="8" t="inlineStr">
        <is>
          <t>環境社會及管治數據</t>
        </is>
      </c>
      <c r="C37" s="8" t="inlineStr">
        <is>
          <t>medium</t>
        </is>
      </c>
      <c r="D37" s="11" t="inlineStr">
        <is>
          <t>sustainability</t>
        </is>
      </c>
      <c r="E37" s="11" t="inlineStr">
        <is>
          <t>PDF p.6 (印刷頁 5)</t>
        </is>
      </c>
      <c r="F37" s="11" t="inlineStr">
        <is>
          <t>5: approximately 66.1%) of the total revenue from the sales of tiles and bathroom fixture products. Also, the Group was committed to sustainability through the use of renewable energy. As highlighted in the annual report for the year ended 31 March 2025, the Group installed solar panels at the warehouses. By integrating solar energy into operation, the Group reduced the operating expenses while generating an income of approximately HK$0.4 million by selling renewable energy to the power company under the Feed-in-Tariff (“FiT”)</t>
        </is>
      </c>
    </row>
    <row r="38">
      <c r="A38" s="8" t="inlineStr">
        <is>
          <t>ESG Data</t>
        </is>
      </c>
      <c r="B38" s="8" t="inlineStr">
        <is>
          <t>環境社會及管治數據</t>
        </is>
      </c>
      <c r="C38" s="8" t="inlineStr">
        <is>
          <t>medium</t>
        </is>
      </c>
      <c r="D38" s="11" t="inlineStr">
        <is>
          <t>ESG</t>
        </is>
      </c>
      <c r="E38" s="11" t="inlineStr">
        <is>
          <t>PDF p.32 (印刷頁 31)</t>
        </is>
      </c>
      <c r="F38" s="11" t="inlineStr">
        <is>
          <t>its subsidiaries, (collectively known as the “Group” or “we”) are pleased to present our 2026 Environmental, Social and Governance (“ESG”) Report (the “Report”). This Report outlines our sustainable development approaches, describes measures implemented and summarizes the Group’s ESG performance. We understand that ESG performances are connected with the long-term growth and value of our business, and being a responsible corporate citizen benefits our stakeholders. Scope of Reporting This Report covers our principal operation,</t>
        </is>
      </c>
    </row>
    <row r="39">
      <c r="A39" s="8" t="inlineStr">
        <is>
          <t>ESG Data</t>
        </is>
      </c>
      <c r="B39" s="8" t="inlineStr">
        <is>
          <t>環境社會及管治數據</t>
        </is>
      </c>
      <c r="C39" s="8" t="inlineStr">
        <is>
          <t>medium</t>
        </is>
      </c>
      <c r="D39" s="11" t="inlineStr">
        <is>
          <t>ESG</t>
        </is>
      </c>
      <c r="E39" s="11" t="inlineStr">
        <is>
          <t>PDF p.33 (印刷頁 32)</t>
        </is>
      </c>
      <c r="F39" s="11" t="inlineStr">
        <is>
          <t>ENVIRONMENTAL, SOCIAL AND GOVERNANCE REPORT 1. INTRODUCTION (Continued) Reporting Period This Report specifies the ESG activities, challenges and measures taken during the financial year ended 31 March 2026. Comments and Feedback We welcome any comments on our ESG issues, stakeholder opinions and suggestions as these motivate and impact our improvements and future developments in regard to sustainability. If you have any enquiries or comments, feel free to submit them by mail. Our address is: Unit 1001, 10/F,</t>
        </is>
      </c>
    </row>
    <row r="40">
      <c r="A40" s="8" t="inlineStr">
        <is>
          <t>ESG Data</t>
        </is>
      </c>
      <c r="B40" s="8" t="inlineStr">
        <is>
          <t>環境社會及管治數據</t>
        </is>
      </c>
      <c r="C40" s="8" t="inlineStr">
        <is>
          <t>medium</t>
        </is>
      </c>
      <c r="D40" s="11" t="inlineStr">
        <is>
          <t>ESG</t>
        </is>
      </c>
      <c r="E40" s="11" t="inlineStr">
        <is>
          <t>PDF p.34 (印刷頁 33)</t>
        </is>
      </c>
      <c r="F40" s="11" t="inlineStr">
        <is>
          <t>ENVIRONMENTAL, SOCIAL AND GOVERNANCE REPORT 2. ESG GOVERNANCE (Continued) Internal Control and Risk Management (Continued) The Company’s Audit Committee conducts annual internal audits and oversees risk management processes to uphold a robust internal control framework. Furthermore, to strengthen this system, we have appointed an independent internal control consultant to perform comprehensive reviews of our risk management and internal contro</t>
        </is>
      </c>
    </row>
    <row r="41">
      <c r="A41" s="8" t="inlineStr">
        <is>
          <t>ESG Data</t>
        </is>
      </c>
      <c r="B41" s="8" t="inlineStr">
        <is>
          <t>環境社會及管治數據</t>
        </is>
      </c>
      <c r="C41" s="8" t="inlineStr">
        <is>
          <t>medium</t>
        </is>
      </c>
      <c r="D41" s="11" t="inlineStr">
        <is>
          <t>ESG</t>
        </is>
      </c>
      <c r="E41" s="11" t="inlineStr">
        <is>
          <t>PDF p.35 (印刷頁 34)</t>
        </is>
      </c>
      <c r="F41" s="11" t="inlineStr">
        <is>
          <t>labour and forced labour The Group has established appropriate and effective management policies and internal control systems for ESG issues, and confirmed that the contents disclosed herein are in compliance with the requirements of the HKEx ESG Reporting Guide. This Report will pay attention to the aforementioned issues and respond to stakeholders’ concerns in the relevant sections. 34 Mos House Group Limited / Annual Report 2026</t>
        </is>
      </c>
    </row>
    <row r="42">
      <c r="A42" s="8" t="inlineStr">
        <is>
          <t>ESG Data</t>
        </is>
      </c>
      <c r="B42" s="8" t="inlineStr">
        <is>
          <t>環境社會及管治數據</t>
        </is>
      </c>
      <c r="C42" s="8" t="inlineStr">
        <is>
          <t>medium</t>
        </is>
      </c>
      <c r="D42" s="11" t="inlineStr">
        <is>
          <t>ESG</t>
        </is>
      </c>
      <c r="E42" s="11" t="inlineStr">
        <is>
          <t>PDF p.36 (印刷頁 35)</t>
        </is>
      </c>
      <c r="F42" s="11" t="inlineStr">
        <is>
          <t>ich are governance, strategy, risk management, metrics and targets. Governance The Board evaluates the materiality of the identified ESG risks and oversees the progress made against ESG related targets and initiatives. The Board sets the overall direction for the Group’s ESG strategies, integrating ESG considerations as part of the business decision-making process. Strategy Climate change is a prevalent issue for companies across all sectors and geographical regions. Physical climate risks come in the form of extreme weather co</t>
        </is>
      </c>
    </row>
    <row r="43">
      <c r="A43" s="8" t="inlineStr">
        <is>
          <t>ESG Data</t>
        </is>
      </c>
      <c r="B43" s="8" t="inlineStr">
        <is>
          <t>環境社會及管治數據</t>
        </is>
      </c>
      <c r="C43" s="8" t="inlineStr">
        <is>
          <t>medium</t>
        </is>
      </c>
      <c r="D43" s="11" t="inlineStr">
        <is>
          <t>carbon</t>
        </is>
      </c>
      <c r="E43" s="11" t="inlineStr">
        <is>
          <t>PDF p.37 (印刷頁 36)</t>
        </is>
      </c>
      <c r="F43" s="11" t="inlineStr">
        <is>
          <t>ntial impacts of climate change on our future businesses are growing, the Group plans to enhance the strategies and performance on decarbonization. We aim to reduce our carbon emissions yearon-year, and we have implemented many measures to reduce energy and water use during daily operation to achieve this target. The metrics used to assess climate-related risks and opportunities, to manage relevant strategies and review performance mainly include carbon emissions, energy use, and water consumption. Detailed figures are listed</t>
        </is>
      </c>
    </row>
    <row r="44">
      <c r="A44" s="8" t="inlineStr">
        <is>
          <t>ESG Data</t>
        </is>
      </c>
      <c r="B44" s="8" t="inlineStr">
        <is>
          <t>環境社會及管治數據</t>
        </is>
      </c>
      <c r="C44" s="8" t="inlineStr">
        <is>
          <t>medium</t>
        </is>
      </c>
      <c r="D44" s="11" t="inlineStr">
        <is>
          <t>ESG</t>
        </is>
      </c>
      <c r="E44" s="11" t="inlineStr">
        <is>
          <t>PDF p.38 (印刷頁 37)</t>
        </is>
      </c>
      <c r="F44" s="11" t="inlineStr">
        <is>
          <t>ialogue with stakeholders is important for the continuous development of the Company on its sustainable journey. We regularly review ESG related policies to respond to our stakeholders’ concerns, as well as rebalance the resources on different ESG issues. By doing so, the Company is able to identify the most material issues that matter to our business. Concurrently, we can mitigate risks and spot opportunities through this process. The Group aims to collaborate with its stakeholders to improve its ESG performance and create gre</t>
        </is>
      </c>
    </row>
    <row r="45">
      <c r="A45" s="8" t="inlineStr">
        <is>
          <t>ESG Data</t>
        </is>
      </c>
      <c r="B45" s="8" t="inlineStr">
        <is>
          <t>環境社會及管治數據</t>
        </is>
      </c>
      <c r="C45" s="8" t="inlineStr">
        <is>
          <t>medium</t>
        </is>
      </c>
      <c r="D45" s="11" t="inlineStr">
        <is>
          <t>greenhouse gas</t>
        </is>
      </c>
      <c r="E45" s="11" t="inlineStr">
        <is>
          <t>PDF p.39 (印刷頁 38)</t>
        </is>
      </c>
      <c r="F45" s="11" t="inlineStr">
        <is>
          <t>sary energy-consuming devices must be turned off when employees leave the office to reduce energy consumption and lower the relevant greenhouse gas (“GHG”) emissions • Educate employees on the importance of water conservation and reduce unnecessary water waste. When any leaks occur on any equipment, perform maintenance procedures immediately to avoid waste • Ensure equipment and devices are switched off during downtime and breaks • Set the temperature of air conditioning in our office within an energy-efficient level from 24°C</t>
        </is>
      </c>
    </row>
    <row r="46">
      <c r="A46" s="8" t="inlineStr">
        <is>
          <t>ESG Data</t>
        </is>
      </c>
      <c r="B46" s="8" t="inlineStr">
        <is>
          <t>環境社會及管治數據</t>
        </is>
      </c>
      <c r="C46" s="8" t="inlineStr">
        <is>
          <t>medium</t>
        </is>
      </c>
      <c r="D46" s="11" t="inlineStr">
        <is>
          <t>GHG emission</t>
        </is>
      </c>
      <c r="E46" s="11" t="inlineStr">
        <is>
          <t>PDF p.40 (印刷頁 39)</t>
        </is>
      </c>
      <c r="F46" s="11" t="inlineStr">
        <is>
          <t>n below: Air pollutants1 Unit FY2026 FY2025 Nitrogen Oxides Kg 3.12 3.63 Sulphur Oxides Kg 0.67 0.78 Particulate Matter Kg 0.23 0.27 GHG emissions2 Unit FY2026 FY2025 Scope I (Direct emissions) Tonnes of CO2e 9.20 10.72 Mobile combustion Tonnes of CO2e 9.20 10.72 Scope II (Indirect emissions) Tonnes of CO2e 213.08 268.55 Electricity purchased Tonnes of CO2e 213.08 268.55 Total GHG emissions (Scope I, II) Tonnes of CO2e 222.28 279.27 GHG emissions intensity (Scope I, II) Tonnes of CO2e/ 1.95 2.54 HKD million revenue Waste Mana</t>
        </is>
      </c>
    </row>
    <row r="47">
      <c r="A47" s="8" t="inlineStr">
        <is>
          <t>ESG Data</t>
        </is>
      </c>
      <c r="B47" s="8" t="inlineStr">
        <is>
          <t>環境社會及管治數據</t>
        </is>
      </c>
      <c r="C47" s="8" t="inlineStr">
        <is>
          <t>medium</t>
        </is>
      </c>
      <c r="D47" s="11" t="inlineStr">
        <is>
          <t>energy consumption</t>
        </is>
      </c>
      <c r="E47" s="11" t="inlineStr">
        <is>
          <t>PDF p.41 (印刷頁 40)</t>
        </is>
      </c>
      <c r="F47" s="11" t="inlineStr">
        <is>
          <t>consumed due to the nature of the Group’s operations, the Group aims to further reduce the environmental impacts of its activities. Energy Consumption To mitigate energy consumption and foster a culture of conservation, the Group encourages its offices and retail outlets to implement energy efficiency initiatives. Furthermore, the Group has adopted specific measures to enhance its energy performance, as detailed in the ‘Emissions’ section, with a strategic objective of achieving year-on-year reductions in energy use. During th</t>
        </is>
      </c>
    </row>
    <row r="48">
      <c r="A48" s="8" t="inlineStr">
        <is>
          <t>ESG Data</t>
        </is>
      </c>
      <c r="B48" s="8" t="inlineStr">
        <is>
          <t>環境社會及管治數據</t>
        </is>
      </c>
      <c r="C48" s="8" t="inlineStr">
        <is>
          <t>medium</t>
        </is>
      </c>
      <c r="D48" s="11" t="inlineStr">
        <is>
          <t>sustainability</t>
        </is>
      </c>
      <c r="E48" s="11" t="inlineStr">
        <is>
          <t>PDF p.47 (印刷頁 46)</t>
        </is>
      </c>
      <c r="F48" s="11" t="inlineStr">
        <is>
          <t>ertification on quality management system and ISO 10545 certification on standards and quality of tiles. We also take our suppliers’ sustainability performance into account, as such, the products’ environmental friendliness is one of our concerns when choosing the suitable suppliers. Therefore, most of our suppliers have obtained environmental certifications, such as Ecolabel4 which recognizes products that have less environmental impact throughout their life cycle, and LEED5 certifications for the production premises, as well</t>
        </is>
      </c>
    </row>
    <row r="49">
      <c r="A49" s="8" t="inlineStr">
        <is>
          <t>ESG Data</t>
        </is>
      </c>
      <c r="B49" s="8" t="inlineStr">
        <is>
          <t>環境社會及管治數據</t>
        </is>
      </c>
      <c r="C49" s="8" t="inlineStr">
        <is>
          <t>medium</t>
        </is>
      </c>
      <c r="D49" s="11" t="inlineStr">
        <is>
          <t>greenhouse gas</t>
        </is>
      </c>
      <c r="E49" s="11" t="inlineStr">
        <is>
          <t>PDF p.49 (印刷頁 48)</t>
        </is>
      </c>
      <c r="F49" s="11" t="inlineStr">
        <is>
          <t>types of emissions and respective emissions data Air Emissions KPI A1.2 Direct (Scope 1) and energy indirect (Scope 2) Air Emissions greenhouse gas emissions (in tonnes) and, where appropriate, intensity (e.g. per unit of production volume, per facility). KPI A1.3 Total hazardous waste produced (in tonnes) and, where Waste Management appropriate, intensity (e.g. per unit of production volume, per facility). KPI A1.4 Total non-hazardous waste produced (in tonnes) and, Air Emissions, where appropriate, intensity (e.g. per unit of</t>
        </is>
      </c>
    </row>
    <row r="50">
      <c r="A50" s="8" t="inlineStr">
        <is>
          <t>ESG Data</t>
        </is>
      </c>
      <c r="B50" s="8" t="inlineStr">
        <is>
          <t>環境社會及管治數據</t>
        </is>
      </c>
      <c r="C50" s="8" t="inlineStr">
        <is>
          <t>medium</t>
        </is>
      </c>
      <c r="D50" s="11" t="inlineStr">
        <is>
          <t>energy consumption</t>
        </is>
      </c>
      <c r="E50" s="11" t="inlineStr">
        <is>
          <t>PDF p.50 (印刷頁 49)</t>
        </is>
      </c>
      <c r="F50" s="11" t="inlineStr">
        <is>
          <t>I Description Statement/Section A2: Use of Resources A2 General disclosures Policies Our Environment KPI A2.1 Direct and/or indirect energy consumption by type (e.g. Energy Consumption electricity, gas or oil) in total (kWh in ’000s) and intensity (e.g. per unit of production volume, per facility). KPI A2.2 Water consumption in total and intensity (e.g. per unit of Water Consumption production volume, per facility). KPI A2.3 Description of energy use efficiency target(s) set and Energy Consumption steps taken to achieve them. K</t>
        </is>
      </c>
    </row>
    <row r="51">
      <c r="A51" s="8" t="inlineStr">
        <is>
          <t>ESG Data</t>
        </is>
      </c>
      <c r="B51" s="8" t="inlineStr">
        <is>
          <t>環境社會及管治數據</t>
        </is>
      </c>
      <c r="C51" s="8" t="inlineStr">
        <is>
          <t>medium</t>
        </is>
      </c>
      <c r="D51" s="11" t="inlineStr">
        <is>
          <t>ESG</t>
        </is>
      </c>
      <c r="E51" s="11" t="inlineStr">
        <is>
          <t>PDF p.51 (印刷頁 50)</t>
        </is>
      </c>
      <c r="F51" s="11" t="inlineStr">
        <is>
          <t>ENVIRONMENTAL, SOCIAL AND GOVERNANCE REPORT 10. HKEx ESG REPORTING CODE INDEX (Continued) Aspect KPI Description Statement/Section Subject Area (B) Social B1: Employment and Labour Practices B1 General disclosures Information on: Employment (a) the policies; and (b) compliance KPI B1.1 Total workforce by gender, employment type (for Employment example, full- or part-time), age group and geographical region. KPI B1.2 Employee turnover rate by gender,</t>
        </is>
      </c>
    </row>
    <row r="52">
      <c r="A52" s="8" t="inlineStr">
        <is>
          <t>ESG Data</t>
        </is>
      </c>
      <c r="B52" s="8" t="inlineStr">
        <is>
          <t>環境社會及管治數據</t>
        </is>
      </c>
      <c r="C52" s="8" t="inlineStr">
        <is>
          <t>medium</t>
        </is>
      </c>
      <c r="D52" s="11" t="inlineStr">
        <is>
          <t>ESG</t>
        </is>
      </c>
      <c r="E52" s="11" t="inlineStr">
        <is>
          <t>PDF p.52 (印刷頁 51)</t>
        </is>
      </c>
      <c r="F52" s="11" t="inlineStr">
        <is>
          <t>ENVIRONMENTAL, SOCIAL AND GOVERNANCE REPORT 10. HKEx ESG REPORTING CODE INDEX (Continued) Aspect KPI Description Statement/Section B4: Labour Standards B4 General disclosures Information on: Labour Standards (a) the policies; and (b) compliance KPI B4.1 Description of measures to review employment practices Labour Standards to avoid child and forced labour. KPI B4.2 Description of steps taken to eliminate such practices Labour Standards when discove</t>
        </is>
      </c>
    </row>
    <row r="53">
      <c r="A53" s="8" t="inlineStr">
        <is>
          <t>ESG Data</t>
        </is>
      </c>
      <c r="B53" s="8" t="inlineStr">
        <is>
          <t>環境社會及管治數據</t>
        </is>
      </c>
      <c r="C53" s="8" t="inlineStr">
        <is>
          <t>medium</t>
        </is>
      </c>
      <c r="D53" s="11" t="inlineStr">
        <is>
          <t>ESG</t>
        </is>
      </c>
      <c r="E53" s="11" t="inlineStr">
        <is>
          <t>PDF p.53 (印刷頁 52)</t>
        </is>
      </c>
      <c r="F53" s="11" t="inlineStr">
        <is>
          <t>ENVIRONMENTAL, SOCIAL AND GOVERNANCE REPORT 10. HKEx ESG REPORTING CODE INDEX (Continued) Aspect KPI Description Statement/Section B6: Product Responsibility B6 General Disclosures Information on: Product Responsibility (a) the policies; and (b) compliance KPI B6.1 Percentage of total products sold or shipped subject to Product Responsibility recalls for safety and health reasons. KPI B6.2 Number of products and service- related complaints Product R</t>
        </is>
      </c>
    </row>
    <row r="54">
      <c r="A54" s="8" t="inlineStr">
        <is>
          <t>ESG Data</t>
        </is>
      </c>
      <c r="B54" s="8" t="inlineStr">
        <is>
          <t>環境社會及管治數據</t>
        </is>
      </c>
      <c r="C54" s="8" t="inlineStr">
        <is>
          <t>medium</t>
        </is>
      </c>
      <c r="D54" s="11" t="inlineStr">
        <is>
          <t>ESG</t>
        </is>
      </c>
      <c r="E54" s="11" t="inlineStr">
        <is>
          <t>PDF p.54 (印刷頁 53)</t>
        </is>
      </c>
      <c r="F54" s="11" t="inlineStr">
        <is>
          <t>ENVIRONMENTAL, SOCIAL AND GOVERNANCE REPORT 10. HKEx ESG REPORTING CODE INDEX (Continued) Part D: Climate-related Disclosures Aspects Description Statement/Section Governance 19 An issuer shall disclose information about: ESG Governance (a) the governance body(s) (which can include a board, committee or equivalent body charged with governance) or individual(s) responsible for oversight of climate related risks and opportunities; and (b) management’s</t>
        </is>
      </c>
    </row>
    <row r="55">
      <c r="A55" s="8" t="inlineStr">
        <is>
          <t>ESG Data</t>
        </is>
      </c>
      <c r="B55" s="8" t="inlineStr">
        <is>
          <t>環境社會及管治數據</t>
        </is>
      </c>
      <c r="C55" s="8" t="inlineStr">
        <is>
          <t>medium</t>
        </is>
      </c>
      <c r="D55" s="11" t="inlineStr">
        <is>
          <t>ESG</t>
        </is>
      </c>
      <c r="E55" s="11" t="inlineStr">
        <is>
          <t>PDF p.55 (印刷頁 54)</t>
        </is>
      </c>
      <c r="F55" s="11" t="inlineStr">
        <is>
          <t>ENVIRONMENTAL, SOCIAL AND GOVERNANCE REPORT 10. HKEx ESG REPORTING CODE INDEX (Continued) Part D: Climate-related Disclosures (Continued) Aspects General Disclosures/KPIs Index/Reference Business Model and Value Chain 21 An issuer shall disclose information that enables an understanding of the current Climate-Related and anticipated effects of climate — related risks and opportunities on the issuer’s Disclosure — Strategy business model and value ch</t>
        </is>
      </c>
    </row>
    <row r="56">
      <c r="A56" s="8" t="inlineStr">
        <is>
          <t>ESG Data</t>
        </is>
      </c>
      <c r="B56" s="8" t="inlineStr">
        <is>
          <t>環境社會及管治數據</t>
        </is>
      </c>
      <c r="C56" s="8" t="inlineStr">
        <is>
          <t>medium</t>
        </is>
      </c>
      <c r="D56" s="11" t="inlineStr">
        <is>
          <t>ESG</t>
        </is>
      </c>
      <c r="E56" s="11" t="inlineStr">
        <is>
          <t>PDF p.56 (印刷頁 55)</t>
        </is>
      </c>
      <c r="F56" s="11" t="inlineStr">
        <is>
          <t>ENVIRONMENTAL, SOCIAL AND GOVERNANCE REPORT 10. HKEx ESG REPORTING CODE INDEX (Continued) Part D: Climate-related Disclosures (Continued) Aspects General Disclosures/KPIs Index/Reference Anticipated Financial Effect 25 The issuer shall provide qualitative and quantitative disclosures about: Climate-Related Disclosure — Strategy (a) how the issuer expects its financial position to change over the short, medium and long-term, given its strategy to man</t>
        </is>
      </c>
    </row>
    <row r="57">
      <c r="A57" s="8" t="inlineStr">
        <is>
          <t>ESG Data</t>
        </is>
      </c>
      <c r="B57" s="8" t="inlineStr">
        <is>
          <t>環境社會及管治數據</t>
        </is>
      </c>
      <c r="C57" s="8" t="inlineStr">
        <is>
          <t>medium</t>
        </is>
      </c>
      <c r="D57" s="11" t="inlineStr">
        <is>
          <t>greenhouse gas</t>
        </is>
      </c>
      <c r="E57" s="11" t="inlineStr">
        <is>
          <t>PDF p.57 (印刷頁 56)</t>
        </is>
      </c>
      <c r="F57" s="11" t="inlineStr">
        <is>
          <t>DEX (Continued) Part D: Climate-related Disclosures (Continued) Aspects General Disclosures/KPIs Index/Reference Metrics and Targets Greenhouse Gas Emissions 28 An issuer shall disclose its absolute gross greenhouse gas emissions generated Climate-Related during the reporting period, expressed as metric tons of CO2 equivalent, classified Disclosure — Climateas: Related Targets (a) Scope 1 greenhouse gas emissions; (b) Scope 2 greenhouse gas emissions; and (c) Scope 3 greenhouse gas emissions. 29 An issuer shall: Climate-Relat</t>
        </is>
      </c>
    </row>
    <row r="58">
      <c r="A58" s="8" t="inlineStr">
        <is>
          <t>ESG Data</t>
        </is>
      </c>
      <c r="B58" s="8" t="inlineStr">
        <is>
          <t>環境社會及管治數據</t>
        </is>
      </c>
      <c r="C58" s="8" t="inlineStr">
        <is>
          <t>medium</t>
        </is>
      </c>
      <c r="D58" s="11" t="inlineStr">
        <is>
          <t>greenhouse gas</t>
        </is>
      </c>
      <c r="E58" s="11" t="inlineStr">
        <is>
          <t>PDF p.58 (印刷頁 57)</t>
        </is>
      </c>
      <c r="F58" s="11" t="inlineStr">
        <is>
          <t>ision-making (for example, investment decisions, transfer pricing, and scenario analysis); and (b) the price of each metric tonne of greenhouse gas emissions the issuer uses to assess the costs of its greenhouse gas emissions. Remuneration 35 An issuer shall disclose whether and how climate-related considerations are ESG Management factored into remuneration policy, or an appropriate negative statement. This may System form part of the disclosure under paragraph 19(a)(iv). Industry-Based Metrics 36 An issuer is encouraged to di</t>
        </is>
      </c>
    </row>
    <row r="59">
      <c r="A59" s="8" t="inlineStr">
        <is>
          <t>ESG Data</t>
        </is>
      </c>
      <c r="B59" s="8" t="inlineStr">
        <is>
          <t>環境社會及管治數據</t>
        </is>
      </c>
      <c r="C59" s="8" t="inlineStr">
        <is>
          <t>medium</t>
        </is>
      </c>
      <c r="D59" s="11" t="inlineStr">
        <is>
          <t>greenhouse gas</t>
        </is>
      </c>
      <c r="E59" s="11" t="inlineStr">
        <is>
          <t>PDF p.59 (印刷頁 58)</t>
        </is>
      </c>
      <c r="F59" s="11" t="inlineStr">
        <is>
          <t>goals; and Disclosure — Climate- (b) any targets the issuer is required to meet by law or regulation, including any Related Targets greenhouse gas emissions targets. For each target, the issuer shall disclose: (a) the metric used to set the target; (b) the objective of the target (for example, mitigation, adaptation or conformance with science-based initiatives); (c) the part of the issuer to which the target applies (for example, whether the target applies to the issuer in its entirety or only a part of the issuer, such as a</t>
        </is>
      </c>
    </row>
    <row r="60">
      <c r="A60" s="8" t="inlineStr">
        <is>
          <t>ESG Data</t>
        </is>
      </c>
      <c r="B60" s="8" t="inlineStr">
        <is>
          <t>環境社會及管治數據</t>
        </is>
      </c>
      <c r="C60" s="8" t="inlineStr">
        <is>
          <t>medium</t>
        </is>
      </c>
      <c r="D60" s="11" t="inlineStr">
        <is>
          <t>greenhouse gas</t>
        </is>
      </c>
      <c r="E60" s="11" t="inlineStr">
        <is>
          <t>PDF p.60 (印刷頁 59)</t>
        </is>
      </c>
      <c r="F60" s="11" t="inlineStr">
        <is>
          <t>d related target and an analysis of trends or changes in the issuer’s performance. Disclosure — Climate- Related Targets 40 For each greenhouse gas emissions target disclosed in accordance with Climate-Related paragraphs 37 to 39, an issuer shall disclose: Disclosure — Climate- Related Targets (a) which greenhouse gases are covered by the target; (b) whether Scope 1, Scope 2 or Scope 3 greenhouse gas emissions are covered by the target; (c) whether the target is a gross greenhouse gas emissions target or a net greenhouse gas em</t>
        </is>
      </c>
    </row>
    <row r="61">
      <c r="A61" s="8" t="inlineStr">
        <is>
          <t>Segment Information</t>
        </is>
      </c>
      <c r="B61" s="8" t="inlineStr">
        <is>
          <t>分部資料</t>
        </is>
      </c>
      <c r="C61" s="8" t="inlineStr">
        <is>
          <t>medium</t>
        </is>
      </c>
      <c r="D61" s="11" t="inlineStr">
        <is>
          <t>geographical</t>
        </is>
      </c>
      <c r="E61" s="11" t="inlineStr">
        <is>
          <t>PDF p.36 (印刷頁 35)</t>
        </is>
      </c>
      <c r="F61" s="11" t="inlineStr">
        <is>
          <t>s as part of the business decision-making process. Strategy Climate change is a prevalent issue for companies across all sectors and geographical regions. Physical climate risks come in the form of extreme weather conditions in greater frequency and intensity, as well as rise in sea level. Extreme weather (e.g. more frequent and intense typhoons) and changes in climate patterns (e.g. higher humidity) can affect the safety of our employees and can cause damage to our physical retail locations. The Group recognizes the transition</t>
        </is>
      </c>
    </row>
    <row r="62">
      <c r="A62" s="8" t="inlineStr">
        <is>
          <t>Segment Information</t>
        </is>
      </c>
      <c r="B62" s="8" t="inlineStr">
        <is>
          <t>分部資料</t>
        </is>
      </c>
      <c r="C62" s="8" t="inlineStr">
        <is>
          <t>medium</t>
        </is>
      </c>
      <c r="D62" s="11" t="inlineStr">
        <is>
          <t>geographical</t>
        </is>
      </c>
      <c r="E62" s="11" t="inlineStr">
        <is>
          <t>PDF p.51 (印刷頁 50)</t>
        </is>
      </c>
      <c r="F62" s="11" t="inlineStr">
        <is>
          <t>; and (b) compliance KPI B1.1 Total workforce by gender, employment type (for Employment example, full- or part-time), age group and geographical region. KPI B1.2 Employee turnover rate by gender, age group and Employment geographical region. B2: Health and Safety B2 General disclosures Information on: Health and Safety (a) the policies; and (b) compliance KPI B2.1 Number and rate of work-related fatalities occurred in Health and Safety each of the past three years including the reporting year. KPI B2.2 Lost days due to work in</t>
        </is>
      </c>
    </row>
    <row r="63">
      <c r="A63" s="8" t="inlineStr">
        <is>
          <t>Segment Information</t>
        </is>
      </c>
      <c r="B63" s="8" t="inlineStr">
        <is>
          <t>分部資料</t>
        </is>
      </c>
      <c r="C63" s="8" t="inlineStr">
        <is>
          <t>medium</t>
        </is>
      </c>
      <c r="D63" s="11" t="inlineStr">
        <is>
          <t>geographical</t>
        </is>
      </c>
      <c r="E63" s="11" t="inlineStr">
        <is>
          <t>PDF p.52 (印刷頁 51)</t>
        </is>
      </c>
      <c r="F63" s="11" t="inlineStr">
        <is>
          <t>rating Practices B5: Supply Chain Management B5 General disclosures Policies Supply Chain Management KPI B5.1 Number of suppliers by geographical region. Supply Chain Management KPI B5.2 Description of practices relating to engaging suppliers, Supply Chain number of suppliers where the practices are being Management implemented, and how they are implemented and monitored. KPI B5.3 Description of practices used to identify environmental Supply Chain and social risks along the supply chain, and how they are Management implemented</t>
        </is>
      </c>
    </row>
    <row r="64">
      <c r="A64" s="8" t="inlineStr">
        <is>
          <t>Segment Information</t>
        </is>
      </c>
      <c r="B64" s="8" t="inlineStr">
        <is>
          <t>分部資料</t>
        </is>
      </c>
      <c r="C64" s="8" t="inlineStr">
        <is>
          <t>medium</t>
        </is>
      </c>
      <c r="D64" s="11" t="inlineStr">
        <is>
          <t>geographical</t>
        </is>
      </c>
      <c r="E64" s="11" t="inlineStr">
        <is>
          <t>PDF p.55 (印刷頁 54)</t>
        </is>
      </c>
      <c r="F64" s="11" t="inlineStr">
        <is>
          <t>ption of where in the issuer’s business model and value chain climate related risks and opportunities are concentrated (for example, geographical areas, facilities and types of assets). Strategy and Decision-Making 22 An issuer shall disclose information that enables an understanding of the effects Climate-Related of climate-related risks and opportunities on its strategy and decision-making. Disclosure — Strategy Specifically, the issuer shall disclose: (a) information about how the issuer has responded to, and plans to respon</t>
        </is>
      </c>
    </row>
    <row r="65">
      <c r="A65" s="8" t="inlineStr">
        <is>
          <t>Segment Information</t>
        </is>
      </c>
      <c r="B65" s="8" t="inlineStr">
        <is>
          <t>分部資料</t>
        </is>
      </c>
      <c r="C65" s="8" t="inlineStr">
        <is>
          <t>medium</t>
        </is>
      </c>
      <c r="D65" s="11" t="inlineStr">
        <is>
          <t>segment information</t>
        </is>
      </c>
      <c r="E65" s="11" t="inlineStr">
        <is>
          <t>PDF p.102 (印刷頁 101)</t>
        </is>
      </c>
      <c r="F65" s="11" t="inlineStr">
        <is>
          <t>NOTES TO THE CONSOLIDATED FINANCIAL STATEMENTS YEAR ENDED 31 MARCH 2026 7. SEGMENT INFORMATION For the purpose of resources allocation and performance assessment, the chief operating decision maker (i.e. the chief executive of the Group) reviews the results of the Group’s operating segments separately for the purpose of making decisions about resources allocation and performance assessment. The Group’s operating segments are structured and managed separately according to</t>
        </is>
      </c>
    </row>
    <row r="66">
      <c r="A66" s="8" t="inlineStr">
        <is>
          <t>Segment Information</t>
        </is>
      </c>
      <c r="B66" s="8" t="inlineStr">
        <is>
          <t>分部資料</t>
        </is>
      </c>
      <c r="C66" s="8" t="inlineStr">
        <is>
          <t>medium</t>
        </is>
      </c>
      <c r="D66" s="11" t="inlineStr">
        <is>
          <t>segment information</t>
        </is>
      </c>
      <c r="E66" s="11" t="inlineStr">
        <is>
          <t>PDF p.103 (印刷頁 102)</t>
        </is>
      </c>
      <c r="F66" s="11" t="inlineStr">
        <is>
          <t>NOTES TO THE CONSOLIDATED FINANCIAL STATEMENTS YEAR ENDED 31 MARCH 2026 7. SEGMENT INFORMATION (Continued) Segment assets and liabilities The following table presents segment assets and liabilities of the Group’s business segments as at 31 March 2026: Trading of tiles and bathroom fixture products Property investment Consolidated 2026 2025 2026 2025 2026 2025 HK$’000 HK$’000 HK$’000 HK$’000 HK$’000 HK$’000 Assets and liabilities Segment assets 243,419 247,700 25,610 26,0</t>
        </is>
      </c>
    </row>
    <row r="67">
      <c r="A67" s="8" t="inlineStr">
        <is>
          <t>Segment Information</t>
        </is>
      </c>
      <c r="B67" s="8" t="inlineStr">
        <is>
          <t>分部資料</t>
        </is>
      </c>
      <c r="C67" s="8" t="inlineStr">
        <is>
          <t>medium</t>
        </is>
      </c>
      <c r="D67" s="11" t="inlineStr">
        <is>
          <t>segment information</t>
        </is>
      </c>
      <c r="E67" s="11" t="inlineStr">
        <is>
          <t>PDF p.104 (印刷頁 103)</t>
        </is>
      </c>
      <c r="F67" s="11" t="inlineStr">
        <is>
          <t>NOTES TO THE CONSOLIDATED FINANCIAL STATEMENTS YEAR ENDED 31 MARCH 2026 7. SEGMENT INFORMATION (Continued) Geographical information The Group’s operations are principally located in Hong Kong and Macau. The following table provides an analysis of the Group’s revenue from external customers by geographical market in which the products are delivered: 2026 2025 HK$’000 HK$’000 Hong Kong 87,869 90,994 Macau 26,244 18,399 114,113 109,393 The following is an analysis of the ca</t>
        </is>
      </c>
    </row>
    <row r="68">
      <c r="A68" s="8" t="inlineStr">
        <is>
          <t>Share-based Payment</t>
        </is>
      </c>
      <c r="B68" s="8" t="inlineStr">
        <is>
          <t>以股份為基礎的付款</t>
        </is>
      </c>
      <c r="C68" s="8" t="inlineStr">
        <is>
          <t>medium</t>
        </is>
      </c>
      <c r="D68" s="11" t="inlineStr">
        <is>
          <t>share option</t>
        </is>
      </c>
      <c r="E68" s="11" t="inlineStr">
        <is>
          <t>PDF p.10 (印刷頁 9)</t>
        </is>
      </c>
      <c r="F68" s="11" t="inlineStr">
        <is>
          <t>On 28 October 2025, 4,800,000 new shares were allotted and issued to the executive Directors pursuant to the full exercise of their share options (“Share Options”). Following such allotment, the number of shares in issue of the Company increased from 284,117,000 shares to 288,917,000 shares. As at 31 March 2026, the total issued share capital of the Company was HK$28,891,700 divided into 288,917,000 ordinary shares with par value of HK$0.1 each. Significant investments, material acquisitions and disposals, plans for material i</t>
        </is>
      </c>
    </row>
    <row r="69">
      <c r="A69" s="8" t="inlineStr">
        <is>
          <t>Share-based Payment</t>
        </is>
      </c>
      <c r="B69" s="8" t="inlineStr">
        <is>
          <t>以股份為基礎的付款</t>
        </is>
      </c>
      <c r="C69" s="8" t="inlineStr">
        <is>
          <t>medium</t>
        </is>
      </c>
      <c r="D69" s="11" t="inlineStr">
        <is>
          <t>share option</t>
        </is>
      </c>
      <c r="E69" s="11" t="inlineStr">
        <is>
          <t>PDF p.64 (印刷頁 63)</t>
        </is>
      </c>
      <c r="F69" s="11" t="inlineStr">
        <is>
          <t>assumed by each Director and each member of the Senior Management as well as their individual performance. The Company has adopted a share option scheme as incentive to the Directors and eligible employees, details of which are set out in the section headed “Share Option Scheme” below. 63 Annual Report 2026 / Mos House Group Limited</t>
        </is>
      </c>
    </row>
    <row r="70">
      <c r="A70" s="8" t="inlineStr">
        <is>
          <t>Share-based Payment</t>
        </is>
      </c>
      <c r="B70" s="8" t="inlineStr">
        <is>
          <t>以股份為基礎的付款</t>
        </is>
      </c>
      <c r="C70" s="8" t="inlineStr">
        <is>
          <t>medium</t>
        </is>
      </c>
      <c r="D70" s="11" t="inlineStr">
        <is>
          <t>share option</t>
        </is>
      </c>
      <c r="E70" s="11" t="inlineStr">
        <is>
          <t>PDF p.66 (印刷頁 65)</t>
        </is>
      </c>
      <c r="F70" s="11" t="inlineStr">
        <is>
          <t>urities during the Year. ARRANGEMENTS TO PURCHASE SHARES OR DEBENTURES Apart from the sections headed “Disclosure of Interests” and “Share Option Scheme” below, at no time during the Year were rights to acquire benefits by means of the acquisition of Shares in or debentures of the Company granted to any of its Directors or their respective associates nor was the Company and any of its subsidiaries a party to any arrangement to enable the Directors or their respective associates to acquire such rights in any other body corporate</t>
        </is>
      </c>
    </row>
    <row r="71">
      <c r="A71" s="8" t="inlineStr">
        <is>
          <t>Share-based Payment</t>
        </is>
      </c>
      <c r="B71" s="8" t="inlineStr">
        <is>
          <t>以股份為基礎的付款</t>
        </is>
      </c>
      <c r="C71" s="8" t="inlineStr">
        <is>
          <t>medium</t>
        </is>
      </c>
      <c r="D71" s="11" t="inlineStr">
        <is>
          <t>share option</t>
        </is>
      </c>
      <c r="E71" s="11" t="inlineStr">
        <is>
          <t>PDF p.68 (印刷頁 67)</t>
        </is>
      </c>
      <c r="F71" s="11" t="inlineStr">
        <is>
          <t>REPORT OF THE DIRECTORS SHARE OPTION SCHEME The Company has adopted a share option scheme on 20 September 2018 (the “Share Option Scheme”). The terms of the Share Option Scheme are in accordance with the provisions of Chapter 17 of the Listing Rules. The primary purpose of the Share Option Scheme is to provide incentives to Directors, employees, and any advisers, consultants, agents, suppliers, customers, distributors an</t>
        </is>
      </c>
    </row>
    <row r="72">
      <c r="A72" s="8" t="inlineStr">
        <is>
          <t>Share-based Payment</t>
        </is>
      </c>
      <c r="B72" s="8" t="inlineStr">
        <is>
          <t>以股份為基礎的付款</t>
        </is>
      </c>
      <c r="C72" s="8" t="inlineStr">
        <is>
          <t>medium</t>
        </is>
      </c>
      <c r="D72" s="11" t="inlineStr">
        <is>
          <t>share-based payment</t>
        </is>
      </c>
      <c r="E72" s="11" t="inlineStr">
        <is>
          <t>PDF p.79 (印刷頁 78)</t>
        </is>
      </c>
      <c r="F72" s="11" t="inlineStr">
        <is>
          <t>nexercised share options granted to executive directors of the Group recognised in accordance with the accounting policy adopted for share-based payments. During the year ended 31 March 2026, the share options were exercised at the subscription price of HK$0.3 per share. 78 Mos House Group Limited / Annual Report 2026</t>
        </is>
      </c>
    </row>
    <row r="73">
      <c r="A73" s="8" t="inlineStr">
        <is>
          <t>Share-based Payment</t>
        </is>
      </c>
      <c r="B73" s="8" t="inlineStr">
        <is>
          <t>以股份為基礎的付款</t>
        </is>
      </c>
      <c r="C73" s="8" t="inlineStr">
        <is>
          <t>medium</t>
        </is>
      </c>
      <c r="D73" s="11" t="inlineStr">
        <is>
          <t>share-based payment</t>
        </is>
      </c>
      <c r="E73" s="11" t="inlineStr">
        <is>
          <t>PDF p.84 (印刷頁 83)</t>
        </is>
      </c>
      <c r="F73" s="11" t="inlineStr">
        <is>
          <t>alue for measurement and/or disclosure purposes in these consolidated financial statements is determined on such a basis, except for share-based payment transactions that are within the scope of HKFRS 2 Sharebased Payment, leasing transactions that are accounted for in accordance with HKFRS 16 Leases, and measurements that have some similarities to fair value but are not fair value, such as net realisable value in HKAS 2 Inventories or value in use in HKAS 36 Impairment of Assets. In addition, for financial reporting purposes</t>
        </is>
      </c>
    </row>
    <row r="74">
      <c r="A74" s="8" t="inlineStr">
        <is>
          <t>Share-based Payment</t>
        </is>
      </c>
      <c r="B74" s="8" t="inlineStr">
        <is>
          <t>以股份為基礎的付款</t>
        </is>
      </c>
      <c r="C74" s="8" t="inlineStr">
        <is>
          <t>medium</t>
        </is>
      </c>
      <c r="D74" s="11" t="inlineStr">
        <is>
          <t>share-based payment</t>
        </is>
      </c>
      <c r="E74" s="11" t="inlineStr">
        <is>
          <t>PDF p.97 (印刷頁 96)</t>
        </is>
      </c>
      <c r="F74" s="11" t="inlineStr">
        <is>
          <t>iscounted to its present value and after deducting the fair value of any related assets, including those retirement scheme benefits. Share-based payment transactions Equity-settled transactions The Group’s employees, including directors, receive remuneration in the form of share-based payment transactions, whereby the employees rendered services in exchange for shares or rights over shares. The cost of such transactions with employees is measured by reference to the fair value of the equity instruments at the grant date. The fa</t>
        </is>
      </c>
    </row>
    <row r="75">
      <c r="A75" s="8" t="inlineStr">
        <is>
          <t>Share-based Payment</t>
        </is>
      </c>
      <c r="B75" s="8" t="inlineStr">
        <is>
          <t>以股份為基礎的付款</t>
        </is>
      </c>
      <c r="C75" s="8" t="inlineStr">
        <is>
          <t>medium</t>
        </is>
      </c>
      <c r="D75" s="11" t="inlineStr">
        <is>
          <t>share-based payment</t>
        </is>
      </c>
      <c r="E75" s="11" t="inlineStr">
        <is>
          <t>PDF p.98 (印刷頁 97)</t>
        </is>
      </c>
      <c r="F75" s="11" t="inlineStr">
        <is>
          <t>ED 31 MARCH 2026 3. BASIS OF PREPARATION OF CONSOLIDATED FINANCIAL STATEMENTS AND MATERIAL ACCOUNTING POLICY INFORMATION (Continued) Share-based payment transactions (Continued) Equity-settled transactions (Continued) The cost of equity-settled transactions is recognised, together with a corresponding increase in equity, over the period in which the vesting conditions are to be fulfilled, ending on the date on which the entitlement of relevant employees to the award is no longer conditional on the satisfaction of any non-market</t>
        </is>
      </c>
    </row>
    <row r="76">
      <c r="A76" s="8" t="inlineStr">
        <is>
          <t>Share-based Payment</t>
        </is>
      </c>
      <c r="B76" s="8" t="inlineStr">
        <is>
          <t>以股份為基礎的付款</t>
        </is>
      </c>
      <c r="C76" s="8" t="inlineStr">
        <is>
          <t>medium</t>
        </is>
      </c>
      <c r="D76" s="11" t="inlineStr">
        <is>
          <t>share option</t>
        </is>
      </c>
      <c r="E76" s="11" t="inlineStr">
        <is>
          <t>PDF p.120 (印刷頁 119)</t>
        </is>
      </c>
      <c r="F76" s="11" t="inlineStr">
        <is>
          <t>1 March 2026 500,000,000 50,000 Issued and fully paid: As at 1 April 2024 and 31 March 2025 284,117,000 28,412 Issue of shares under share option scheme 4,800,000 480 As at 31 March 2026 288,917,000 28,892 32. CAPITAL COMMITMENTS 2026 2025 HK$’000 HK$’000 Capital expenditure in respect of property, plant and equipment contracted for but not provided in the consolidated financial statements – 1,000 119 Annual Report 2026 / Mos House Group Limited</t>
        </is>
      </c>
    </row>
    <row r="77">
      <c r="A77" s="8" t="inlineStr">
        <is>
          <t>Share-based Payment</t>
        </is>
      </c>
      <c r="B77" s="8" t="inlineStr">
        <is>
          <t>以股份為基礎的付款</t>
        </is>
      </c>
      <c r="C77" s="8" t="inlineStr">
        <is>
          <t>medium</t>
        </is>
      </c>
      <c r="D77" s="11" t="inlineStr">
        <is>
          <t>share-based payment</t>
        </is>
      </c>
      <c r="E77" s="11" t="inlineStr">
        <is>
          <t>PDF p.122 (印刷頁 121)</t>
        </is>
      </c>
      <c r="F77" s="11" t="inlineStr">
        <is>
          <t>are Options were vested immediately on the grantees on 11 October 2022 (i.e. the date at which the executive directors agreed to the share-based payment arrangement). The validity period of the Share Options is from the respective acceptance date to 29 September 2032. 121 Annual Report 2026 / Mos House Group Limited</t>
        </is>
      </c>
    </row>
    <row r="78">
      <c r="A78" s="8" t="inlineStr">
        <is>
          <t>Share-based Payment</t>
        </is>
      </c>
      <c r="B78" s="8" t="inlineStr">
        <is>
          <t>以股份為基礎的付款</t>
        </is>
      </c>
      <c r="C78" s="8" t="inlineStr">
        <is>
          <t>medium</t>
        </is>
      </c>
      <c r="D78" s="11" t="inlineStr">
        <is>
          <t>share option</t>
        </is>
      </c>
      <c r="E78" s="11" t="inlineStr">
        <is>
          <t>PDF p.123 (印刷頁 122)</t>
        </is>
      </c>
      <c r="F78" s="11" t="inlineStr">
        <is>
          <t>NOTES TO THE CONSOLIDATED FINANCIAL STATEMENTS YEAR ENDED 31 MARCH 2026 36. SHARE OPTION SCHEME (Continued) All share options were exercised during the year ended 31 March 2026. The movement of the share options during the year is summarised below: Number of share options Outstanding Outstanding Vested and as at Granted Exercised as at exercisable at Category of grantees Date of grant 1 April 2025 during the year during the year 31 March 2026 31 March 2026 Directors Mr. T</t>
        </is>
      </c>
    </row>
    <row r="79">
      <c r="A79" s="8" t="inlineStr">
        <is>
          <t>Share-based Payment</t>
        </is>
      </c>
      <c r="B79" s="8" t="inlineStr">
        <is>
          <t>以股份為基礎的付款</t>
        </is>
      </c>
      <c r="C79" s="8" t="inlineStr">
        <is>
          <t>medium</t>
        </is>
      </c>
      <c r="D79" s="11" t="inlineStr">
        <is>
          <t>share option</t>
        </is>
      </c>
      <c r="E79" s="11" t="inlineStr">
        <is>
          <t>PDF p.136 (印刷頁 135)</t>
        </is>
      </c>
      <c r="F79" s="11" t="inlineStr">
        <is>
          <t>TATEMENTS YEAR ENDED 31 MARCH 2026 40. STATEMENT OF FINANCIAL POSITION OF THE COMPANY (Continued) (a) Movement of the reserves Share Share option Accumulated premium reserve losses Total HK$’000 HK$’000 HK$’000 HK$’000 At 1 April 2024 83,822 1,102 (26,567) 58,357 Profit and total comprehensive income for the year – – 475 475 At 31 March 2025 and 1 April 2025 83,822 1,102 (26,092) 58,832 Exercise of share options 2,062 (1,102) – 960 Loss and total comprehensive income for the year – – (15,277) (15,277) At 31 March 2026 85,884 –</t>
        </is>
      </c>
    </row>
    <row r="80">
      <c r="A80" s="8" t="inlineStr">
        <is>
          <t>Related Party Transactions</t>
        </is>
      </c>
      <c r="B80" s="8" t="inlineStr">
        <is>
          <t>關聯方交易</t>
        </is>
      </c>
      <c r="C80" s="8" t="inlineStr">
        <is>
          <t>low</t>
        </is>
      </c>
      <c r="D80" s="11" t="inlineStr">
        <is>
          <t>related party</t>
        </is>
      </c>
      <c r="E80" s="11" t="inlineStr">
        <is>
          <t>PDF p.63 (印刷頁 62)</t>
        </is>
      </c>
      <c r="F80" s="11" t="inlineStr">
        <is>
          <t>n (other than statutory compensation). DIRECTORS’ INTERESTS IN TRANSACTIONS, ARRANGEMENTS AND CONTRACTS OF SIGNIFICANCE Save for the related party transactions disclosed in Note 34 to the Financial Statements of this annual report, no transactions, arrangements or contract of significance to which the Company or any of its subsidiaries, holding company or fellow subsidiaries was a party and in which a Director had a material interest directly or indirectly subsisting at 31 March 2026 or at any time during the Year. 62 Mos House</t>
        </is>
      </c>
    </row>
    <row r="81">
      <c r="A81" s="8" t="inlineStr">
        <is>
          <t>Related Party Transactions</t>
        </is>
      </c>
      <c r="B81" s="8" t="inlineStr">
        <is>
          <t>關聯方交易</t>
        </is>
      </c>
      <c r="C81" s="8" t="inlineStr">
        <is>
          <t>low</t>
        </is>
      </c>
      <c r="D81" s="11" t="inlineStr">
        <is>
          <t>connected transaction</t>
        </is>
      </c>
      <c r="E81" s="11" t="inlineStr">
        <is>
          <t>PDF p.64 (印刷頁 63)</t>
        </is>
      </c>
      <c r="F81" s="11" t="inlineStr">
        <is>
          <t>or existed during the Year. CONTROLLING SHAREHOLDERS’ INTEREST IN CONTRACT OF SIGNIFICANCE Save as disclosed in the section headed “Connected Transaction” below, there was no contract of significance between the Company or any of its subsidiaries and a Controlling Shareholder or any of its subsidiaries for the Year. REMUNERATION OF THE DIRECTORS, SENIOR MANAGEMENT AND THE FIVE HIGHEST PAID INDIVIDUALS Details of the remuneration of the Directors and the five highest paid individuals in the Group are set out in Note 8 to the Fi</t>
        </is>
      </c>
    </row>
    <row r="82">
      <c r="A82" s="8" t="inlineStr">
        <is>
          <t>Related Party Transactions</t>
        </is>
      </c>
      <c r="B82" s="8" t="inlineStr">
        <is>
          <t>關聯方交易</t>
        </is>
      </c>
      <c r="C82" s="8" t="inlineStr">
        <is>
          <t>low</t>
        </is>
      </c>
      <c r="D82" s="11" t="inlineStr">
        <is>
          <t>related party</t>
        </is>
      </c>
      <c r="E82" s="11" t="inlineStr">
        <is>
          <t>PDF p.70 (印刷頁 69)</t>
        </is>
      </c>
      <c r="F82" s="11" t="inlineStr">
        <is>
          <t>rt position in the Shares or underlying Shares which were recorded in the register required to be kept under Section 336 of the SFO. RELATED PARTY TRANSACTIONS AND CONNECTED TRANSACTIONS Other than the related party transactions disclosed in Note 34 to the Financial Statements, no transactions, arrangements, contracts of significance in relation to the Group’s business to which the Company or any of its subsidiaries was a party, and in which a Director or his/her connected entity had a material interest, whether directly or ind</t>
        </is>
      </c>
    </row>
    <row r="83">
      <c r="A83" s="8" t="inlineStr">
        <is>
          <t>Related Party Transactions</t>
        </is>
      </c>
      <c r="B83" s="8" t="inlineStr">
        <is>
          <t>關聯方交易</t>
        </is>
      </c>
      <c r="C83" s="8" t="inlineStr">
        <is>
          <t>low</t>
        </is>
      </c>
      <c r="D83" s="11" t="inlineStr">
        <is>
          <t>related party</t>
        </is>
      </c>
      <c r="E83" s="11" t="inlineStr">
        <is>
          <t>PDF p.71 (印刷頁 70)</t>
        </is>
      </c>
      <c r="F83" s="11" t="inlineStr">
        <is>
          <t>REPORT OF THE DIRECTORS RELATED PARTY TRANSACTIONS AND CONNECTED TRANSACTIONS (Continued) Mr. Tso is an executive Director and a Controlling Shareholder of the Company. Ms. Tsui is an executive Director and the spouse of Mr. Tso. Cyber Building is owned as to 50% by Mr. Tso and 50% by Ms. Tsui. As such, Cyber Building is an associate of Mr. Tso and Ms. Tsui and hence a connected person of the Company for the purpose of t</t>
        </is>
      </c>
    </row>
    <row r="84">
      <c r="A84" s="8" t="inlineStr">
        <is>
          <t>Related Party Transactions</t>
        </is>
      </c>
      <c r="B84" s="8" t="inlineStr">
        <is>
          <t>關聯方交易</t>
        </is>
      </c>
      <c r="C84" s="8" t="inlineStr">
        <is>
          <t>low</t>
        </is>
      </c>
      <c r="D84" s="11" t="inlineStr">
        <is>
          <t>related party</t>
        </is>
      </c>
      <c r="E84" s="11" t="inlineStr">
        <is>
          <t>PDF p.99 (印刷頁 98)</t>
        </is>
      </c>
      <c r="F84" s="11" t="inlineStr">
        <is>
          <t>. BASIS OF PREPARATION OF CONSOLIDATED FINANCIAL STATEMENTS AND MATERIAL ACCOUNTING POLICY INFORMATION (Continued) Related parties A related party is a person or entity that is related to the Group. (a) A person or a close member of that person’s family is related to the Group if that person: (i) has control or joint control over the Group; (ii) has significant influence over the Group; or (iii) is a member of the key management personnel of the Group. (b) An entity is related to the Group if any of the following conditions app</t>
        </is>
      </c>
    </row>
    <row r="85">
      <c r="A85" s="8" t="inlineStr">
        <is>
          <t>Related Party Transactions</t>
        </is>
      </c>
      <c r="B85" s="8" t="inlineStr">
        <is>
          <t>關聯方交易</t>
        </is>
      </c>
      <c r="C85" s="8" t="inlineStr">
        <is>
          <t>low</t>
        </is>
      </c>
      <c r="D85" s="11" t="inlineStr">
        <is>
          <t>related party</t>
        </is>
      </c>
      <c r="E85" s="11" t="inlineStr">
        <is>
          <t>PDF p.121 (印刷頁 120)</t>
        </is>
      </c>
      <c r="F85" s="11" t="inlineStr">
        <is>
          <t>t benefits scheme contributions made by the Group amounted to HK$434,000 (2025: HK$465,000) during the year ended 31 March 2026. 34. RELATED PARTY TRANSACTIONS Save as disclosed elsewhere in the consolidated financial statements, the Group had the following transactions with related parties during both years: (a) Balances with related parties Name of the related company Nature of the balances 2026 2025 HK$’000 HK$’000 Cyber Building Loan from a related party (note 30) 20,283 20,283 Ms. Tsui (note) Loan from a director (note 29)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7" topLeftCell="A2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Income Tax</t>
        </is>
      </c>
    </row>
    <row r="12">
      <c r="A12" s="8" t="inlineStr">
        <is>
          <t>Income Statement</t>
        </is>
      </c>
      <c r="B12" s="8" t="inlineStr">
        <is>
          <t>Profit for the Year</t>
        </is>
      </c>
    </row>
    <row r="13">
      <c r="A13" s="8" t="inlineStr">
        <is>
          <t>Income Statement</t>
        </is>
      </c>
      <c r="B13" s="8" t="inlineStr">
        <is>
          <t>R&amp;D Expenses</t>
        </is>
      </c>
    </row>
    <row r="14">
      <c r="A14" s="8" t="inlineStr">
        <is>
          <t>Income Statement</t>
        </is>
      </c>
      <c r="B14" s="8" t="inlineStr">
        <is>
          <t>Amortisation</t>
        </is>
      </c>
    </row>
    <row r="15">
      <c r="A15" s="8" t="inlineStr">
        <is>
          <t>Balance Sheet</t>
        </is>
      </c>
      <c r="B15" s="8" t="inlineStr">
        <is>
          <t>Total Assets</t>
        </is>
      </c>
    </row>
    <row r="16">
      <c r="A16" s="8" t="inlineStr">
        <is>
          <t>Balance Sheet</t>
        </is>
      </c>
      <c r="B16" s="8" t="inlineStr">
        <is>
          <t>Cash and Equivalents</t>
        </is>
      </c>
    </row>
    <row r="17">
      <c r="A17" s="8" t="inlineStr">
        <is>
          <t>Balance Sheet</t>
        </is>
      </c>
      <c r="B17" s="8" t="inlineStr">
        <is>
          <t>Goodwill</t>
        </is>
      </c>
    </row>
    <row r="18">
      <c r="A18" s="8" t="inlineStr">
        <is>
          <t>Balance Sheet</t>
        </is>
      </c>
      <c r="B18" s="8" t="inlineStr">
        <is>
          <t>Intangible Assets</t>
        </is>
      </c>
    </row>
    <row r="19">
      <c r="A19" s="8" t="inlineStr">
        <is>
          <t>Balance Sheet</t>
        </is>
      </c>
      <c r="B19" s="8" t="inlineStr">
        <is>
          <t>Total Liabilities</t>
        </is>
      </c>
    </row>
    <row r="20">
      <c r="A20" s="8" t="inlineStr">
        <is>
          <t>Cash Flow</t>
        </is>
      </c>
      <c r="B20" s="8" t="inlineStr">
        <is>
          <t>Investing Cash Flow</t>
        </is>
      </c>
    </row>
    <row r="21">
      <c r="A21" s="8" t="inlineStr">
        <is>
          <t>Cash Flow</t>
        </is>
      </c>
      <c r="B21" s="8" t="inlineStr">
        <is>
          <t>Capital Expenditure</t>
        </is>
      </c>
    </row>
    <row r="24">
      <c r="A24" s="5" t="inlineStr">
        <is>
          <t>二、文字量過低的頁面(疑似掃描頁)</t>
        </is>
      </c>
    </row>
    <row r="25">
      <c r="A25" s="2" t="inlineStr">
        <is>
          <t>這些頁面幾乎抓不到文字,通常是掃描件或純圖表,建議人手翻閱或另行 OCR。</t>
        </is>
      </c>
    </row>
    <row r="27">
      <c r="A27" s="7" t="inlineStr">
        <is>
          <t>PDF 頁碼</t>
        </is>
      </c>
      <c r="B27" s="7" t="inlineStr">
        <is>
          <t>狀態</t>
        </is>
      </c>
    </row>
    <row r="28">
      <c r="A28" s="8" t="n">
        <v>1</v>
      </c>
      <c r="B28"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2026-08-30T14:16:55Z</dcterms:created>
  <dcterms:modified xsi:type="dcterms:W3CDTF">2026-08-30T14:16:55Z</dcterms:modified>
</cp:coreProperties>
</file>
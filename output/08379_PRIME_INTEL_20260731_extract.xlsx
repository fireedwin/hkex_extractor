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趨勢圖'!$A$5:$A$7</f>
            </numRef>
          </cat>
          <val>
            <numRef>
              <f>'Chart 趨勢圖'!$B$5:$B$7</f>
            </numRef>
          </val>
        </ser>
        <ser>
          <idx val="1"/>
          <order val="1"/>
          <tx>
            <strRef>
              <f>'Chart 趨勢圖'!C4</f>
            </strRef>
          </tx>
          <spPr>
            <a:ln>
              <a:prstDash val="solid"/>
            </a:ln>
          </spPr>
          <cat>
            <numRef>
              <f>'Chart 趨勢圖'!$A$5:$A$7</f>
            </numRef>
          </cat>
          <val>
            <numRef>
              <f>'Chart 趨勢圖'!$C$5:$C$7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08379_PRIME_INTEL_20260731.pdf</t>
        </is>
      </c>
    </row>
    <row r="5">
      <c r="A5" s="3" t="inlineStr">
        <is>
          <t>產生時間 Generated</t>
        </is>
      </c>
      <c r="B5" s="4" t="inlineStr">
        <is>
          <t>2026-08-30 22:17</t>
        </is>
      </c>
    </row>
    <row r="6">
      <c r="A6" s="4" t="inlineStr"/>
      <c r="B6" s="4" t="inlineStr"/>
    </row>
    <row r="7">
      <c r="A7" s="3" t="inlineStr">
        <is>
          <t>總頁數 Total pages</t>
        </is>
      </c>
      <c r="B7" s="4" t="n">
        <v>178</v>
      </c>
    </row>
    <row r="8">
      <c r="A8" s="3" t="inlineStr">
        <is>
          <t>已擷取字元 Characters extracted</t>
        </is>
      </c>
      <c r="B8" s="4" t="n">
        <v>388729</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5</v>
      </c>
    </row>
    <row r="13">
      <c r="A13" s="3" t="inlineStr">
        <is>
          <t>財務科目擷取筆數 Financial line items</t>
        </is>
      </c>
      <c r="B13" s="4" t="n">
        <v>15</v>
      </c>
    </row>
    <row r="14">
      <c r="A14" s="3" t="inlineStr">
        <is>
          <t>主題段落擷取筆數 Topic extracts</t>
        </is>
      </c>
      <c r="B14" s="4" t="n">
        <v>87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55,181 − 42,899 = 12,282</t>
        </is>
      </c>
    </row>
    <row r="20">
      <c r="A20" s="6" t="inlineStr">
        <is>
          <t>✓ 收入 − 銷售成本 = 毛利</t>
        </is>
      </c>
      <c r="B20" s="4" t="inlineStr">
        <is>
          <t>82,429 − 49,164 = 33,265 vs 毛利 33,265</t>
        </is>
      </c>
    </row>
    <row r="21">
      <c r="A21" s="6" t="inlineStr">
        <is>
          <t>✓ 三大報表應相鄰</t>
        </is>
      </c>
      <c r="B21" s="4" t="inlineStr">
        <is>
          <t>Income Statement: p.90、Balance Sheet: p.92、Cash Flow: p.95(相距 5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12.72</v>
      </c>
      <c r="D5" s="10" t="n">
        <v>12.72</v>
      </c>
      <c r="E5" s="11" t="inlineStr">
        <is>
          <t>12.72%</t>
        </is>
      </c>
      <c r="F5" s="11" t="inlineStr">
        <is>
          <t>High</t>
        </is>
      </c>
      <c r="G5" s="11" t="inlineStr">
        <is>
          <t>PDF p.152 (印刷頁 151)</t>
        </is>
      </c>
      <c r="H5" s="11" t="inlineStr">
        <is>
          <t>ue) 12.84–21.15% 毛利率（佔收益百分比） 12.84–21.15% Growth rate 2.00–2.50% 增長率 2.00–2.50% Discount rate 11.32–12.72% 貼現率 11.32–12.72% The above key assumptions were used in the value in use 上述主要假設已用於本集團生物特徵識別裝置現 calculation of the Group’s biometric identification</t>
        </is>
      </c>
    </row>
    <row r="6">
      <c r="A6" s="8" t="inlineStr">
        <is>
          <t>Discount Rate</t>
        </is>
      </c>
      <c r="B6" s="8" t="inlineStr">
        <is>
          <t>折現率</t>
        </is>
      </c>
      <c r="C6" s="9" t="n">
        <v>2.9</v>
      </c>
      <c r="D6" s="10" t="n">
        <v>3.4</v>
      </c>
      <c r="E6" s="11" t="inlineStr">
        <is>
          <t>2.9% to 3.4%</t>
        </is>
      </c>
      <c r="F6" s="11" t="inlineStr">
        <is>
          <t>High</t>
        </is>
      </c>
      <c r="G6" s="11" t="inlineStr">
        <is>
          <t>PDF p.161 (印刷頁 160)</t>
        </is>
      </c>
      <c r="H6" s="11" t="inlineStr">
        <is>
          <t>mptions for the determination of the LSP 釐定長期服務金責任的重大精算假設包括 2.9% obligation are discount rate of 2.9% to 3.4% (2025: 3.4% to 3.6%), 至3.4%（2025年：3.4%至3.6%）的貼現率及3.4% expected salary increase of 3.4% (2025: 3.1%). （2025年：3.1%）的預期薪酬增長率。 160 Prime Intelligen</t>
        </is>
      </c>
    </row>
    <row r="7">
      <c r="A7" s="8" t="inlineStr">
        <is>
          <t>Discount Rate</t>
        </is>
      </c>
      <c r="B7" s="8" t="inlineStr">
        <is>
          <t>折現率</t>
        </is>
      </c>
      <c r="C7" s="9" t="n">
        <v>3.4</v>
      </c>
      <c r="D7" s="10" t="n">
        <v>3.4</v>
      </c>
      <c r="E7" s="11" t="inlineStr">
        <is>
          <t>3.4%</t>
        </is>
      </c>
      <c r="F7" s="11" t="inlineStr">
        <is>
          <t>High</t>
        </is>
      </c>
      <c r="G7" s="11" t="inlineStr">
        <is>
          <t>PDF p.161 (印刷頁 160)</t>
        </is>
      </c>
      <c r="H7" s="11" t="inlineStr">
        <is>
          <t xml:space="preserve"> are discount rate of 2.9% to 3.4% (2025: 3.4% to 3.6%), 至3.4%（2025年：3.4%至3.6%）的貼現率及3.4% expected salary increase of 3.4% (2025: 3.1%). （2025年：3.1%）的預期薪酬增長率。 160 Prime Intelligence Solutions Group Limited / Annual Report 2026</t>
        </is>
      </c>
    </row>
    <row r="8">
      <c r="A8" s="8" t="inlineStr">
        <is>
          <t>Gross Margin</t>
        </is>
      </c>
      <c r="B8" s="8" t="inlineStr">
        <is>
          <t>毛利率</t>
        </is>
      </c>
      <c r="C8" s="9" t="n">
        <v>46.1</v>
      </c>
      <c r="D8" s="10" t="n">
        <v>46.1</v>
      </c>
      <c r="E8" s="11" t="inlineStr">
        <is>
          <t>46.1%</t>
        </is>
      </c>
      <c r="F8" s="11" t="inlineStr">
        <is>
          <t>High</t>
        </is>
      </c>
      <c r="G8" s="11" t="inlineStr">
        <is>
          <t>PDF p.9 (印刷頁 8)</t>
        </is>
      </c>
      <c r="H8" s="11" t="inlineStr">
        <is>
          <t xml:space="preserve">24.8百萬 ended 31 March 2026 (2025: approximately HK$24.8 million). The gross 港元）。毛利率由截至2025年3月31日止年度約46.1% profit margin dropped from approximately 46.1% for the year ended 31 下跌至截至2026年3月31日止年度約40.4%。毛利由截 March 2025 to approximately 40.4% for </t>
        </is>
      </c>
    </row>
    <row r="9">
      <c r="A9" s="8" t="inlineStr">
        <is>
          <t>Gross Margin</t>
        </is>
      </c>
      <c r="B9" s="8" t="inlineStr">
        <is>
          <t>毛利率</t>
        </is>
      </c>
      <c r="C9" s="9" t="n">
        <v>21.15</v>
      </c>
      <c r="D9" s="10" t="n">
        <v>21.15</v>
      </c>
      <c r="E9" s="11" t="inlineStr">
        <is>
          <t>21.15%</t>
        </is>
      </c>
      <c r="F9" s="11" t="inlineStr">
        <is>
          <t>High</t>
        </is>
      </c>
      <c r="G9" s="11" t="inlineStr">
        <is>
          <t>PDF p.152 (印刷頁 151)</t>
        </is>
      </c>
      <c r="H9" s="11" t="inlineStr">
        <is>
          <t xml:space="preserve"> the relevant markets. Set out below the key assumptions 設： adopted in the DCF: Gross profit margin (% of revenue) 12.84–21.15% 毛利率（佔收益百分比） 12.84–21.15% Growth rate 2.00–2.50% 增長率 2.00–2.50% Discount rate 11.32–12.72% 貼現率 11.32–12.72% The above key assumption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82429</v>
      </c>
      <c r="D5" s="13" t="n">
        <v>67384</v>
      </c>
      <c r="E5" s="14">
        <f>IF(ISERROR((C5-D5)/ABS(D5)),"",(C5-D5)/ABS(D5))</f>
        <v>0.22327258696426452</v>
      </c>
      <c r="F5" s="11" t="inlineStr">
        <is>
          <t>PDF p.90 (印刷頁 89)</t>
        </is>
      </c>
      <c r="G5" s="11" t="inlineStr">
        <is>
          <t>Revenue 收益 8 82,429 67,384</t>
        </is>
      </c>
    </row>
    <row r="6">
      <c r="A6" s="8" t="inlineStr">
        <is>
          <t>Income Statement</t>
        </is>
      </c>
      <c r="B6" s="8" t="inlineStr">
        <is>
          <t>Cost of Sales</t>
        </is>
      </c>
      <c r="C6" s="12" t="n">
        <v>-49164</v>
      </c>
      <c r="D6" s="13" t="n">
        <v>-36307</v>
      </c>
      <c r="E6" s="14">
        <f>IF(ISERROR((C6-D6)/ABS(D6)),"",(C6-D6)/ABS(D6))</f>
        <v>-0.35411904040543146</v>
      </c>
      <c r="F6" s="11" t="inlineStr">
        <is>
          <t>PDF p.90 (印刷頁 89)</t>
        </is>
      </c>
      <c r="G6" s="11" t="inlineStr">
        <is>
          <t>Cost of sales and services rendered 銷售及已提供服務成本 (49,164) (36,307)</t>
        </is>
      </c>
    </row>
    <row r="7">
      <c r="A7" s="8" t="inlineStr">
        <is>
          <t>Income Statement</t>
        </is>
      </c>
      <c r="B7" s="8" t="inlineStr">
        <is>
          <t>Gross Profit</t>
        </is>
      </c>
      <c r="C7" s="12" t="n">
        <v>33265</v>
      </c>
      <c r="D7" s="13" t="n">
        <v>31077</v>
      </c>
      <c r="E7" s="14">
        <f>IF(ISERROR((C7-D7)/ABS(D7)),"",(C7-D7)/ABS(D7))</f>
        <v>0.07040576632236059</v>
      </c>
      <c r="F7" s="11" t="inlineStr">
        <is>
          <t>PDF p.90 (印刷頁 89)</t>
        </is>
      </c>
      <c r="G7" s="11" t="inlineStr">
        <is>
          <t>Gross profit 毛利 33,265 31,077</t>
        </is>
      </c>
    </row>
    <row r="8">
      <c r="A8" s="8" t="inlineStr">
        <is>
          <t>Income Statement</t>
        </is>
      </c>
      <c r="B8" s="8" t="inlineStr">
        <is>
          <t>Finance Costs</t>
        </is>
      </c>
      <c r="C8" s="12" t="n">
        <v>-462</v>
      </c>
      <c r="D8" s="13" t="n">
        <v>-280</v>
      </c>
      <c r="E8" s="14">
        <f>IF(ISERROR((C8-D8)/ABS(D8)),"",(C8-D8)/ABS(D8))</f>
        <v>-0.65</v>
      </c>
      <c r="F8" s="11" t="inlineStr">
        <is>
          <t>PDF p.90 (印刷頁 89)</t>
        </is>
      </c>
      <c r="G8" s="11" t="inlineStr">
        <is>
          <t>Finance costs 財務成本 10 (462) (280)</t>
        </is>
      </c>
    </row>
    <row r="9">
      <c r="A9" s="8" t="inlineStr">
        <is>
          <t>Income Statement</t>
        </is>
      </c>
      <c r="B9" s="8" t="inlineStr">
        <is>
          <t>Income Tax</t>
        </is>
      </c>
      <c r="C9" s="12" t="n">
        <v>-838</v>
      </c>
      <c r="D9" s="13" t="n">
        <v>-24</v>
      </c>
      <c r="E9" s="14">
        <f>IF(ISERROR((C9-D9)/ABS(D9)),"",(C9-D9)/ABS(D9))</f>
        <v>-33.916666666666664</v>
      </c>
      <c r="F9" s="11" t="inlineStr">
        <is>
          <t>PDF p.90 (印刷頁 89)</t>
        </is>
      </c>
      <c r="G9" s="11" t="inlineStr">
        <is>
          <t>Income tax expense 所得稅開支 12 (838) (24)</t>
        </is>
      </c>
    </row>
    <row r="10">
      <c r="A10" s="8" t="inlineStr">
        <is>
          <t>Balance Sheet</t>
        </is>
      </c>
      <c r="B10" s="8" t="inlineStr">
        <is>
          <t>Property Plant and Equipment</t>
        </is>
      </c>
      <c r="C10" s="12" t="n">
        <v>1203</v>
      </c>
      <c r="D10" s="13" t="n">
        <v>269</v>
      </c>
      <c r="E10" s="14">
        <f>IF(ISERROR((C10-D10)/ABS(D10)),"",(C10-D10)/ABS(D10))</f>
        <v>3.4721189591078065</v>
      </c>
      <c r="F10" s="11" t="inlineStr">
        <is>
          <t>PDF p.92 (印刷頁 91)</t>
        </is>
      </c>
      <c r="G10" s="11" t="inlineStr">
        <is>
          <t>Property, plant and equipment 物業、廠房及設備 17 1,203 269</t>
        </is>
      </c>
    </row>
    <row r="11">
      <c r="A11" s="8" t="inlineStr">
        <is>
          <t>Balance Sheet</t>
        </is>
      </c>
      <c r="B11" s="8" t="inlineStr">
        <is>
          <t>Intangible Assets</t>
        </is>
      </c>
      <c r="C11" s="12" t="n">
        <v>0</v>
      </c>
      <c r="D11" s="13" t="n">
        <v>0</v>
      </c>
      <c r="E11" s="14" t="str">
        <f>IF(ISERROR((C11-D11)/ABS(D11)),"",(C11-D11)/ABS(D11))</f>
        <v/>
      </c>
      <c r="F11" s="11" t="inlineStr">
        <is>
          <t>PDF p.92 (印刷頁 91)</t>
        </is>
      </c>
      <c r="G11" s="11" t="inlineStr">
        <is>
          <t>Intangible assets 無形資產 19 – –</t>
        </is>
      </c>
    </row>
    <row r="12">
      <c r="A12" s="8" t="inlineStr">
        <is>
          <t>Balance Sheet</t>
        </is>
      </c>
      <c r="B12" s="8" t="inlineStr">
        <is>
          <t>Inventories</t>
        </is>
      </c>
      <c r="C12" s="12" t="n">
        <v>19486</v>
      </c>
      <c r="D12" s="13" t="n">
        <v>19310</v>
      </c>
      <c r="E12" s="14">
        <f>IF(ISERROR((C12-D12)/ABS(D12)),"",(C12-D12)/ABS(D12))</f>
        <v>0.009114448472294149</v>
      </c>
      <c r="F12" s="11" t="inlineStr">
        <is>
          <t>PDF p.92 (印刷頁 91)</t>
        </is>
      </c>
      <c r="G12" s="11" t="inlineStr">
        <is>
          <t>Inventories 存貨 20 19,486 19,310</t>
        </is>
      </c>
    </row>
    <row r="13">
      <c r="A13" s="8" t="inlineStr">
        <is>
          <t>Balance Sheet</t>
        </is>
      </c>
      <c r="B13" s="8" t="inlineStr">
        <is>
          <t>Trade Receivables</t>
        </is>
      </c>
      <c r="C13" s="12" t="n">
        <v>10545</v>
      </c>
      <c r="D13" s="13" t="n">
        <v>18762</v>
      </c>
      <c r="E13" s="14">
        <f>IF(ISERROR((C13-D13)/ABS(D13)),"",(C13-D13)/ABS(D13))</f>
        <v>-0.4379597057882955</v>
      </c>
      <c r="F13" s="11" t="inlineStr">
        <is>
          <t>PDF p.92 (印刷頁 91)</t>
        </is>
      </c>
      <c r="G13" s="11" t="inlineStr">
        <is>
          <t>Trade receivables 貿易應收款項 21 10,545 18,762</t>
        </is>
      </c>
    </row>
    <row r="14">
      <c r="A14" s="8" t="inlineStr">
        <is>
          <t>Balance Sheet</t>
        </is>
      </c>
      <c r="B14" s="8" t="inlineStr">
        <is>
          <t>Total Equity</t>
        </is>
      </c>
      <c r="C14" s="12" t="n">
        <v>5332</v>
      </c>
      <c r="D14" s="13" t="n">
        <v>20266</v>
      </c>
      <c r="E14" s="14">
        <f>IF(ISERROR((C14-D14)/ABS(D14)),"",(C14-D14)/ABS(D14))</f>
        <v>-0.7368992401065825</v>
      </c>
      <c r="F14" s="11" t="inlineStr">
        <is>
          <t>PDF p.93 (印刷頁 92)</t>
        </is>
      </c>
      <c r="G14" s="11" t="inlineStr">
        <is>
          <t>TOTAL EQUITY 總權益 5,332 20,266</t>
        </is>
      </c>
    </row>
    <row r="15">
      <c r="A15" s="8" t="inlineStr">
        <is>
          <t>Balance Sheet</t>
        </is>
      </c>
      <c r="B15" s="8" t="inlineStr">
        <is>
          <t>Total Current Assets</t>
        </is>
      </c>
      <c r="C15" s="12" t="n">
        <v>55181</v>
      </c>
      <c r="D15" s="13" t="n">
        <v>46673</v>
      </c>
      <c r="E15" s="14">
        <f>IF(ISERROR((C15-D15)/ABS(D15)),"",(C15-D15)/ABS(D15))</f>
        <v>0.18228954641870032</v>
      </c>
      <c r="F15" s="11" t="inlineStr">
        <is>
          <t>PDF p.92 (印刷頁 91)</t>
        </is>
      </c>
      <c r="G15" s="11" t="inlineStr">
        <is>
          <t>[current assets 區段小計] 55,181 46,673</t>
        </is>
      </c>
    </row>
    <row r="16">
      <c r="A16" s="8" t="inlineStr">
        <is>
          <t>Balance Sheet</t>
        </is>
      </c>
      <c r="B16" s="8" t="inlineStr">
        <is>
          <t>Total Current Liabilities</t>
        </is>
      </c>
      <c r="C16" s="12" t="n">
        <v>42899</v>
      </c>
      <c r="D16" s="13" t="n">
        <v>22486</v>
      </c>
      <c r="E16" s="14">
        <f>IF(ISERROR((C16-D16)/ABS(D16)),"",(C16-D16)/ABS(D16))</f>
        <v>0.9078093035666637</v>
      </c>
      <c r="F16" s="11" t="inlineStr">
        <is>
          <t>PDF p.92 (印刷頁 91)</t>
        </is>
      </c>
      <c r="G16" s="11" t="inlineStr">
        <is>
          <t>[current liabilities 區段小計] 42,899 22,486</t>
        </is>
      </c>
    </row>
    <row r="17">
      <c r="A17" s="8" t="inlineStr">
        <is>
          <t>Cash Flow</t>
        </is>
      </c>
      <c r="B17" s="8" t="inlineStr">
        <is>
          <t>Operating Cash Flow</t>
        </is>
      </c>
      <c r="C17" s="12" t="n">
        <v>12360</v>
      </c>
      <c r="D17" s="13" t="n">
        <v>127</v>
      </c>
      <c r="E17" s="14">
        <f>IF(ISERROR((C17-D17)/ABS(D17)),"",(C17-D17)/ABS(D17))</f>
        <v>96.32283464566929</v>
      </c>
      <c r="F17" s="11" t="inlineStr">
        <is>
          <t>PDF p.95 (印刷頁 94)</t>
        </is>
      </c>
      <c r="G17" s="11" t="inlineStr">
        <is>
          <t>Cash generated from operations 經營所得現金 12,360 127</t>
        </is>
      </c>
    </row>
    <row r="18">
      <c r="A18" s="8" t="inlineStr">
        <is>
          <t>Cash Flow</t>
        </is>
      </c>
      <c r="B18" s="8" t="inlineStr">
        <is>
          <t>Investing Cash Flow</t>
        </is>
      </c>
      <c r="C18" s="12" t="n">
        <v>-2007</v>
      </c>
      <c r="D18" s="13" t="n">
        <v>-20</v>
      </c>
      <c r="E18" s="14">
        <f>IF(ISERROR((C18-D18)/ABS(D18)),"",(C18-D18)/ABS(D18))</f>
        <v>-99.35</v>
      </c>
      <c r="F18" s="11" t="inlineStr">
        <is>
          <t>PDF p.96 (印刷頁 95)</t>
        </is>
      </c>
      <c r="G18" s="11" t="inlineStr">
        <is>
          <t>Net cash used in investing activities 投資活動所用現金淨額 (2,007) (20)</t>
        </is>
      </c>
    </row>
    <row r="19">
      <c r="A19" s="8" t="inlineStr">
        <is>
          <t>Cash Flow</t>
        </is>
      </c>
      <c r="B19" s="8" t="inlineStr">
        <is>
          <t>Financing Cash Flow</t>
        </is>
      </c>
      <c r="C19" s="12" t="n">
        <v>3288</v>
      </c>
      <c r="D19" s="13" t="n">
        <v>595</v>
      </c>
      <c r="E19" s="14">
        <f>IF(ISERROR((C19-D19)/ABS(D19)),"",(C19-D19)/ABS(D19))</f>
        <v>4.526050420168067</v>
      </c>
      <c r="F19" s="11" t="inlineStr">
        <is>
          <t>PDF p.96 (印刷頁 95)</t>
        </is>
      </c>
      <c r="G19" s="11" t="inlineStr">
        <is>
          <t>Net cash from financing activities 融資活動所得現金淨額 3,288 595</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0.40355942690072666</v>
      </c>
      <c r="C5" s="15">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0.46119256796865726</v>
      </c>
      <c r="D5" s="2" t="inlineStr">
        <is>
          <t>毛利 ÷ 收入</t>
        </is>
      </c>
    </row>
    <row r="6">
      <c r="A6" s="4" t="inlineStr">
        <is>
          <t>Net Margin 淨利率</t>
        </is>
      </c>
      <c r="B6" s="15" t="str">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n/a</v>
      </c>
      <c r="C6" s="15" t="str">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n/a</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1.2863003799622368</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2.0756470692875566</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t="str">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n/a</v>
      </c>
      <c r="C11" s="15" t="str">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67384</v>
      </c>
      <c r="C5" s="18" t="n">
        <v>82429</v>
      </c>
    </row>
    <row r="6">
      <c r="A6" s="4" t="inlineStr">
        <is>
          <t>Gross Profit</t>
        </is>
      </c>
      <c r="B6" s="18" t="n">
        <v>31077</v>
      </c>
      <c r="C6" s="18" t="n">
        <v>33265</v>
      </c>
    </row>
    <row r="7">
      <c r="A7" s="4" t="inlineStr">
        <is>
          <t>Total Equity</t>
        </is>
      </c>
      <c r="B7" s="18" t="n">
        <v>20266</v>
      </c>
      <c r="C7" s="18" t="n">
        <v>5332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9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Impairment Testing</t>
        </is>
      </c>
      <c r="B4" s="8" t="inlineStr">
        <is>
          <t>減值測試</t>
        </is>
      </c>
      <c r="C4" s="19" t="inlineStr">
        <is>
          <t>high</t>
        </is>
      </c>
      <c r="D4" s="11" t="inlineStr">
        <is>
          <t>impairment loss</t>
        </is>
      </c>
      <c r="E4" s="11" t="inlineStr">
        <is>
          <t>PDF p.9 (印刷頁 8)</t>
        </is>
      </c>
      <c r="F4" s="11" t="inlineStr">
        <is>
          <t>mpared 14.8百萬港元，主要由於員工成本增加及使用權資產減 with the last corresponding period, which was mainly due to the increase 值虧損所致。 in staff costs and impairment loss on right-of-use assets. Taxes 稅項 The income tax expense comprised Hong Kong Profits Tax and PRC 所得稅開支包括年內香港利得稅及中國企業所得稅。截 Enterprise Income Tax for the year. The income tax expense for the 至2026年3月31日止年度，所得稅開支約為0.8百萬港 year ended 31 March 2026 was approximately HK$0.8 million (2025: 元（2025年：24,000港元）。 HK$24,000). Under the two-tiered Profits Tax Regime, one of the Company’s Hong 根據兩級</t>
        </is>
      </c>
    </row>
    <row r="5">
      <c r="A5" s="8" t="inlineStr">
        <is>
          <t>Impairment Testing</t>
        </is>
      </c>
      <c r="B5" s="8" t="inlineStr">
        <is>
          <t>減值測試</t>
        </is>
      </c>
      <c r="C5" s="19" t="inlineStr">
        <is>
          <t>high</t>
        </is>
      </c>
      <c r="D5" s="11" t="inlineStr">
        <is>
          <t>impairment loss</t>
        </is>
      </c>
      <c r="E5" s="11" t="inlineStr">
        <is>
          <t>PDF p.10 (印刷頁 9)</t>
        </is>
      </c>
      <c r="F5" s="11" t="inlineStr">
        <is>
          <t>ing lease charges in respect 增加、使用權資產減值虧損增加及員工成本增加；及(ii) of premises under short-term lease arrangements and increase in 承兌票據利息開支增加。 impairment loss on right-of-use assets and increase in staff costs (ii) an increase in interest expenses on promissory notes. Liquidity, Financial Resources and Capital Structure 流動資金、財務資源及資本結構 Historically, the Group has funded the liquidity and capital requirements 過往，本集團主要以經營現金流量、銀行借款及上市所 primarily through operating cash flows, bank borrowings and proceeds 得款項為流動資金及資本需求提供資金。董事相信，由 from Listing.</t>
        </is>
      </c>
    </row>
    <row r="6">
      <c r="A6" s="8" t="inlineStr">
        <is>
          <t>Impairment Testing</t>
        </is>
      </c>
      <c r="B6" s="8" t="inlineStr">
        <is>
          <t>減值測試</t>
        </is>
      </c>
      <c r="C6" s="19" t="inlineStr">
        <is>
          <t>high</t>
        </is>
      </c>
      <c r="D6" s="11" t="inlineStr">
        <is>
          <t>impairment loss</t>
        </is>
      </c>
      <c r="E6" s="11" t="inlineStr">
        <is>
          <t>PDF p.90 (印刷頁 89)</t>
        </is>
      </c>
      <c r="F6" s="11" t="inlineStr">
        <is>
          <t>) (7,127) Administrative and other operating expenses 行政及其他經營開支 (38,301) (23,518) Reversal of impairment allowance/ 貿易應收款項減值撥備撥回╱ (impairment loss) of trade receivables （減值虧損） 325 (150) (Loss)/profit from operation 來自經營之（虧損）╱溢利 (14,247) 1,868 Finance costs 財務成本 10 (462) (280) (Loss)/profit before tax 除稅前（虧損）╱溢利 11 (14,709) 1,588 Income tax expense 所得稅開支 12 (838) (24) (Loss)/profit for the year attributable to 本公司權益擁有人應佔 equity owners of the Company 年內（虧損）╱溢利 (15,547) 1,564 Other comprehensive income/(loss) 除稅後其他全面收益╱（虧損）： a</t>
        </is>
      </c>
    </row>
    <row r="7">
      <c r="A7" s="8" t="inlineStr">
        <is>
          <t>Impairment Testing</t>
        </is>
      </c>
      <c r="B7" s="8" t="inlineStr">
        <is>
          <t>減值測試</t>
        </is>
      </c>
      <c r="C7" s="19" t="inlineStr">
        <is>
          <t>high</t>
        </is>
      </c>
      <c r="D7" s="11" t="inlineStr">
        <is>
          <t>impairment loss</t>
        </is>
      </c>
      <c r="E7" s="11" t="inlineStr">
        <is>
          <t>PDF p.95 (印刷頁 94)</t>
        </is>
      </c>
      <c r="F7" s="11" t="inlineStr">
        <is>
          <t>tion of right-of-use assets 使用權資產折舊 1,328 465 Finance costs 財務成本 462 280 (Reversal of impairment allowance)/ 貿易應收款項（減值撥備撥回）╱ impairment loss of trade receivables 減值虧損 (325) 150 Impairment loss on property, 物業、廠房及設備減值虧損 plant and equipment 910 114 Impairment loss on right-of-use assets 使用權資產減值虧損 3,368 1,568 Reversal of allowance for inventories 存貨撥備撥回 (387) (874) Gain on disposal of a subsidiary 出售一間附屬公司之收益 (946) (1,069) Loss/(gain) on disposals of property, 出售物業、廠房及設備 plant and equipment 之虧損╱（收益） 52 (2</t>
        </is>
      </c>
    </row>
    <row r="8">
      <c r="A8" s="8" t="inlineStr">
        <is>
          <t>Impairment Testing</t>
        </is>
      </c>
      <c r="B8" s="8" t="inlineStr">
        <is>
          <t>減值測試</t>
        </is>
      </c>
      <c r="C8" s="19" t="inlineStr">
        <is>
          <t>high</t>
        </is>
      </c>
      <c r="D8" s="11" t="inlineStr">
        <is>
          <t>impairment test</t>
        </is>
      </c>
      <c r="E8" s="11" t="inlineStr">
        <is>
          <t>PDF p.105 (印刷頁 104)</t>
        </is>
      </c>
      <c r="F8" s="11" t="inlineStr">
        <is>
          <t>。附屬公司的業績乃由本公司按已收 results of subsidiaries are accounted for by the Company on 或應收的股息入賬。 the basis of dividend received or receivable. Impairment testing of the investments in subsidiaries is required 於收到該等投資的股息後，如股息超過附 upon receiving a dividend from these investments if the dividend 屬公司於宣派股息期間的綜合收入總額或 exceeds the total comprehensive income of the subsidiary in 如投資於獨立財務報表的賬面值超過投資 the period the dividend is declared or if the carrying amount of 方資產淨值（包括商譽）於綜合財務報表的 the investment in the separate financial statements exceeds the 賬面金</t>
        </is>
      </c>
    </row>
    <row r="9">
      <c r="A9" s="8" t="inlineStr">
        <is>
          <t>Impairment Testing</t>
        </is>
      </c>
      <c r="B9" s="8" t="inlineStr">
        <is>
          <t>減值測試</t>
        </is>
      </c>
      <c r="C9" s="19" t="inlineStr">
        <is>
          <t>high</t>
        </is>
      </c>
      <c r="D9" s="11" t="inlineStr">
        <is>
          <t>impairment loss</t>
        </is>
      </c>
      <c r="E9" s="11" t="inlineStr">
        <is>
          <t>PDF p.107 (印刷頁 106)</t>
        </is>
      </c>
      <c r="F9" s="11" t="inlineStr">
        <is>
          <t>ant and equipment (d) 物業、廠房及設備 Property, plant and equipment are stated at cost less 物業、廠房及設備乃按成本減累計折舊及 accumulated depreciation and impairment losses. The cost 減值虧損列賬。物業、廠房及設備項目之 of an item of property, plant and equipment comprises its 成本值包括其購買價及促使該資產達至其 purchase price and any directly attributable costs of bringing 擬定用途之營運狀況及地點之任何直接應 the asset to its working condition and location for its intended 佔成本。 use. Subsequent costs are included in the asset’s carrying amount 僅當與項目相關的未來經濟利益將會流入 or recognised as a separate asset, as a</t>
        </is>
      </c>
    </row>
    <row r="10">
      <c r="A10" s="8" t="inlineStr">
        <is>
          <t>Impairment Testing</t>
        </is>
      </c>
      <c r="B10" s="8" t="inlineStr">
        <is>
          <t>減值測試</t>
        </is>
      </c>
      <c r="C10" s="19" t="inlineStr">
        <is>
          <t>high</t>
        </is>
      </c>
      <c r="D10" s="11" t="inlineStr">
        <is>
          <t>impairment loss</t>
        </is>
      </c>
      <c r="E10" s="11" t="inlineStr">
        <is>
          <t>PDF p.108 (印刷頁 107)</t>
        </is>
      </c>
      <c r="F10" s="11" t="inlineStr">
        <is>
          <t>s and charged to profit or loss of the Group accordingly. Software development costs are stated at cost less any 軟件開發成本按成本減任何減值虧損列賬， impairment losses and are amortised using the straight-line 並以直線法在相關產品不超過其經濟可用 basis over the commercial lives of the underlying products 年期的五年（自其投產日期起計）內攤銷。 not exceeding five years, commencing from the date when the software are put into commercial production. 107 盈證國際控股有限公司 / 年報2026</t>
        </is>
      </c>
    </row>
    <row r="11">
      <c r="A11" s="8" t="inlineStr">
        <is>
          <t>Impairment Testing</t>
        </is>
      </c>
      <c r="B11" s="8" t="inlineStr">
        <is>
          <t>減值測試</t>
        </is>
      </c>
      <c r="C11" s="19" t="inlineStr">
        <is>
          <t>high</t>
        </is>
      </c>
      <c r="D11" s="11" t="inlineStr">
        <is>
          <t>impairment loss</t>
        </is>
      </c>
      <c r="E11" s="11" t="inlineStr">
        <is>
          <t>PDF p.110 (印刷頁 109)</t>
        </is>
      </c>
      <c r="F11" s="11" t="inlineStr">
        <is>
          <t>y lease incentives received. The right- 本減累計折舊及減值虧損列賬。 of-use asset is subsequently stated at cost less accumulated depreciation and impairment losses. Right-of-use assets in which the Group is reasonably certain 本集團合理確定於租賃期結束時獲得相關 to obtain ownership of the underlying leased assets at the 租賃資產擁有權的使用權資產自開始日期 end of the lease term are depreciated from commencement 起至可使用年期結束止計提折舊。否則， date to the end of the useful life. Otherwise, right-of-use 使用權資產於其估計可使用年期及租賃期 assets are depreciated on a straight-line basis over the 兩者中的較短者按直線法計</t>
        </is>
      </c>
    </row>
    <row r="12">
      <c r="A12" s="8" t="inlineStr">
        <is>
          <t>Impairment Testing</t>
        </is>
      </c>
      <c r="B12" s="8" t="inlineStr">
        <is>
          <t>減值測試</t>
        </is>
      </c>
      <c r="C12" s="19" t="inlineStr">
        <is>
          <t>high</t>
        </is>
      </c>
      <c r="D12" s="11" t="inlineStr">
        <is>
          <t>impairment loss</t>
        </is>
      </c>
      <c r="E12" s="11" t="inlineStr">
        <is>
          <t>PDF p.121 (印刷頁 120)</t>
        </is>
      </c>
      <c r="F12" s="11" t="inlineStr">
        <is>
          <t>e time value of money 間價值及資產╱現金產生單位（已計量減值） and the risks specific to the asset/CGU whose impairment is 特定風險的稅前貼現率計算。 being measured. Impairment losses for CGU are allocated first against the 現金產生單位的減值虧損應當先分配至單 goodwill of the unit and then pro rata amongst the other 位中的商譽，再按比例分配至現金產生單 assets of the CGU. Subsequent increases in the recoverable 位的其他資產。由於估計變動而導致的其 amount caused by changes in estimates are credited to profit 後可收回金額增加按所撥回的減值額計入 or loss to the extent that they reverse the impairment. 損益。 (v) Impairment of financial a</t>
        </is>
      </c>
    </row>
    <row r="13">
      <c r="A13" s="8" t="inlineStr">
        <is>
          <t>Impairment Testing</t>
        </is>
      </c>
      <c r="B13" s="8" t="inlineStr">
        <is>
          <t>減值測試</t>
        </is>
      </c>
      <c r="C13" s="19" t="inlineStr">
        <is>
          <t>high</t>
        </is>
      </c>
      <c r="D13" s="11" t="inlineStr">
        <is>
          <t>impairment test</t>
        </is>
      </c>
      <c r="E13" s="11" t="inlineStr">
        <is>
          <t>PDF p.128 (印刷頁 127)</t>
        </is>
      </c>
      <c r="F13" s="11" t="inlineStr">
        <is>
          <t>luding the discount rates or the growth rate in the cash flow projections, could materially affect the net present value used in the impairment test. The carrying amount of property, plant and equipment and 於2026年3月31日，物業、廠房及設備以 right-of-use assets as at 31 March 2026 were approximately 及使用權資產的賬面值分別約為1,203,000 HK$1,203,000 (2025: HK$269,000) and HK$4,298,000 港元（2025年：269,000港元）及4,298,000 (2025: HK$Nil) respectively. Intangible assets was fully 港元（2025年：零港元）。無形資產於2026 impaired at 31 March 2026 and 2025. 年及2025年3月31日悉數減值。 During</t>
        </is>
      </c>
    </row>
    <row r="14">
      <c r="A14" s="8" t="inlineStr">
        <is>
          <t>Impairment Testing</t>
        </is>
      </c>
      <c r="B14" s="8" t="inlineStr">
        <is>
          <t>減值測試</t>
        </is>
      </c>
      <c r="C14" s="19" t="inlineStr">
        <is>
          <t>high</t>
        </is>
      </c>
      <c r="D14" s="11" t="inlineStr">
        <is>
          <t>impairment loss</t>
        </is>
      </c>
      <c r="E14" s="11" t="inlineStr">
        <is>
          <t>PDF p.129 (印刷頁 128)</t>
        </is>
      </c>
      <c r="F14" s="11" t="inlineStr">
        <is>
          <t>or loss. (iii) Impairment of trade receivables (iii) 貿易應收款項減值 The management of the Group estimates the amount of 本集團管理層乃根據貿易應收款項的信貸 impairment loss of trade receivables under ECL model based 風險估計預期信貸虧損模式下貿易應收款 on the credit risk of trade receivables. The amount of the 項的減值虧損金額。基於預期信貸虧損模 impairment loss based on ECL model is measured as the 式的減值虧損金額乃按根據合約應付本集 difference between all contractual cash flows that are due to 團的所有合約現金流量與本集團預期收取 the Group in accordance with the contract and all the cash 的所有現金流量之間的差額計量，並按初 flows that t</t>
        </is>
      </c>
    </row>
    <row r="15">
      <c r="A15" s="8" t="inlineStr">
        <is>
          <t>Impairment Testing</t>
        </is>
      </c>
      <c r="B15" s="8" t="inlineStr">
        <is>
          <t>減值測試</t>
        </is>
      </c>
      <c r="C15" s="19" t="inlineStr">
        <is>
          <t>high</t>
        </is>
      </c>
      <c r="D15" s="11" t="inlineStr">
        <is>
          <t>impairment loss</t>
        </is>
      </c>
      <c r="E15" s="11" t="inlineStr">
        <is>
          <t>PDF p.133 (印刷頁 132)</t>
        </is>
      </c>
      <c r="F15" s="11" t="inlineStr">
        <is>
          <t>he year are as follows: 2026 2025 2026年 2025年 HK$’000 HK$’000 千港元 千港元 At 1 April 於4月1日 985 835 Utilised during the year 年內動用 (312) – Impairment losses recognised for the year 年內確認減值虧損 – 150 Reversal of impairment losses for the year 年內減值虧損撥回 (325) – Derecognised upon disposal of a subsidiary 出售一間附屬公司後終止確認 (12) – At 31 March 於3月31日 336 985 Other receivables and deposits 其他應收款及按金 For other receivables and deposits, the directors of the 就其他應收款項及按金而言，本公司董事 Company make periodic individual assessment on the ECL of 根據歷史結算記錄、過往經驗，對該等餘</t>
        </is>
      </c>
    </row>
    <row r="16">
      <c r="A16" s="8" t="inlineStr">
        <is>
          <t>Impairment Testing</t>
        </is>
      </c>
      <c r="B16" s="8" t="inlineStr">
        <is>
          <t>減值測試</t>
        </is>
      </c>
      <c r="C16" s="19" t="inlineStr">
        <is>
          <t>high</t>
        </is>
      </c>
      <c r="D16" s="11" t="inlineStr">
        <is>
          <t>impairment loss</t>
        </is>
      </c>
      <c r="E16" s="11" t="inlineStr">
        <is>
          <t>PDF p.135 (印刷頁 134)</t>
        </is>
      </c>
      <c r="F16" s="11" t="inlineStr">
        <is>
          <t>h comprise selling and distribution 業行政及其他經營開支、貿易應收款項減值虧損 expenses, corporate administrative and other operating expenses, 以及所得稅開支）。 impairment loss of trade receivables and income tax expense. Segment assets and liabilities are not presented in the consolidated 分部資產及負債未在綜合財務報表中呈列，乃因 financial statements as they are not regularly reviewed by the 為其並不定期由本集團董事審閱。 Group’s directors. 134 Prime Intelligence Solutions Group Limited / Annual Report 2026</t>
        </is>
      </c>
    </row>
    <row r="17">
      <c r="A17" s="8" t="inlineStr">
        <is>
          <t>Impairment Testing</t>
        </is>
      </c>
      <c r="B17" s="8" t="inlineStr">
        <is>
          <t>減值測試</t>
        </is>
      </c>
      <c r="C17" s="19" t="inlineStr">
        <is>
          <t>high</t>
        </is>
      </c>
      <c r="D17" s="11" t="inlineStr">
        <is>
          <t>impairment loss</t>
        </is>
      </c>
      <c r="E17" s="11" t="inlineStr">
        <is>
          <t>PDF p.136 (印刷頁 135)</t>
        </is>
      </c>
      <c r="F17" s="11" t="inlineStr">
        <is>
          <t>orate administrative and 企業行政及其他經營開支 other operating expenses (38,301) (23,518) Reversal of impairment allowance/ 貿易應收款項減值撥備撥回╱ (impairment loss) of trade receivables （減值虧損） 325 (150) Finance costs 財務成本 (462) (280) Income tax expense 所得稅開支 (838) (24) Consolidated (loss)/profit for the year 年內綜合（虧損）╱溢利 (15,547) 1,564 135 盈證國際控股有限公司 / 年報2026</t>
        </is>
      </c>
    </row>
    <row r="18">
      <c r="A18" s="8" t="inlineStr">
        <is>
          <t>Impairment Testing</t>
        </is>
      </c>
      <c r="B18" s="8" t="inlineStr">
        <is>
          <t>減值測試</t>
        </is>
      </c>
      <c r="C18" s="19" t="inlineStr">
        <is>
          <t>high</t>
        </is>
      </c>
      <c r="D18" s="11" t="inlineStr">
        <is>
          <t>impairment loss</t>
        </is>
      </c>
      <c r="E18" s="11" t="inlineStr">
        <is>
          <t>PDF p.140 (印刷頁 139)</t>
        </is>
      </c>
      <c r="F18" s="11" t="inlineStr">
        <is>
          <t>tion 核數師酬金 — Audit services — 審核服務 610 530 — Non-audit services — 非審核服務 – 50 (Reversal of impairment allowance)/ 貿易應收款項（減值撥備撥回）╱ impairment loss of trade receivables 減值虧損 (325) 150 Bad debts written-off of trade 貿易應收款項壞賬撇銷 receivables – 179 Impairment loss on property, plant 物業、廠房及設備減值虧損 and equipment 910 114 Impairment loss on right-of-use assets 使用權資產減值虧損 3,368 1,568 Reversal of allowance for inventories 存貨撥備撥回（計入銷售 (included in costs of sales and 及已提供服務成本） services rendered) (387) (874) Notes: 附註： (a) Depreciation on own</t>
        </is>
      </c>
    </row>
    <row r="19">
      <c r="A19" s="8" t="inlineStr">
        <is>
          <t>Impairment Testing</t>
        </is>
      </c>
      <c r="B19" s="8" t="inlineStr">
        <is>
          <t>減值測試</t>
        </is>
      </c>
      <c r="C19" s="19" t="inlineStr">
        <is>
          <t>high</t>
        </is>
      </c>
      <c r="D19" s="11" t="inlineStr">
        <is>
          <t>impairment loss</t>
        </is>
      </c>
      <c r="E19" s="11" t="inlineStr">
        <is>
          <t>PDF p.149 (印刷頁 148)</t>
        </is>
      </c>
      <c r="F19" s="11" t="inlineStr">
        <is>
          <t>,014 Carrying amount 賬面值 At 31 March 2026 於2026年3月31日 176 – 154 69 804 1,203 At 31 March 2025 於2025年3月31日 – – 269 – – 269 Details of impairment loss recognised during the year are disclosed 年內已確認減值虧損詳情於綜合財務報表附註18 in note 18 to the consolidated financial statements. 內披露。 148 Prime Intelligence Solutions Group Limited / Annual Report 2026</t>
        </is>
      </c>
    </row>
    <row r="20">
      <c r="A20" s="8" t="inlineStr">
        <is>
          <t>Impairment Testing</t>
        </is>
      </c>
      <c r="B20" s="8" t="inlineStr">
        <is>
          <t>減值測試</t>
        </is>
      </c>
      <c r="C20" s="19" t="inlineStr">
        <is>
          <t>high</t>
        </is>
      </c>
      <c r="D20" s="11" t="inlineStr">
        <is>
          <t>recoverable amount</t>
        </is>
      </c>
      <c r="E20" s="11" t="inlineStr">
        <is>
          <t>PDF p.151 (印刷頁 150)</t>
        </is>
      </c>
      <c r="F20" s="11" t="inlineStr">
        <is>
          <t>sed below. 情於下文披露。 Except for the motor vehicles held under the Biometric identification 除生物特徵識別裝置現金產生單位所持汽車的可 devices CGU which the recoverable amount was assessed based 收回金額乃按公平值減出售成本評估外，現金產 on fair value less cost of disposals, impairment of the remaining 生單位所持其餘物業、廠房及設備以及使用權資 property, plant equipment and rights of use assets held under the 產的減值乃按使用價值評估。 CGUs were assessed based on value in use. The valuation of motor vehicles assumes that the owner sells the 汽車的估值假設擁有人在現有狀況下出售汽車， motor vehicles in its existing state withou</t>
        </is>
      </c>
    </row>
    <row r="21">
      <c r="A21" s="8" t="inlineStr">
        <is>
          <t>Impairment Testing</t>
        </is>
      </c>
      <c r="B21" s="8" t="inlineStr">
        <is>
          <t>減值測試</t>
        </is>
      </c>
      <c r="C21" s="19" t="inlineStr">
        <is>
          <t>high</t>
        </is>
      </c>
      <c r="D21" s="11" t="inlineStr">
        <is>
          <t>impairment test</t>
        </is>
      </c>
      <c r="E21" s="11" t="inlineStr">
        <is>
          <t>PDF p.152 (印刷頁 151)</t>
        </is>
      </c>
      <c r="F21" s="11" t="inlineStr">
        <is>
          <t>管理層就現金流量 describes each key assumption on which management has based 預測以進行減值測試所依據的各項主要假設： its cash flow projections to undertake the impairment testing: Gross profit margin — The basis used to determine the value 毛利率 — 用於釐定分配予預算毛利率的價值的基 assigned to the budgeted gross profit margin is the average gross 準為預期達到的平均毛利率。 profit margin expected to achieve. Growth rate — The growth rate does not exceed the average 增長率 — 增長率不超過各現金產生單位經營所在 growth rate for the respective industry and the country in which the 行業及國家的平均增長率。 CGUs operate. Dis</t>
        </is>
      </c>
    </row>
    <row r="22">
      <c r="A22" s="8" t="inlineStr">
        <is>
          <t>Impairment Testing</t>
        </is>
      </c>
      <c r="B22" s="8" t="inlineStr">
        <is>
          <t>減值測試</t>
        </is>
      </c>
      <c r="C22" s="19" t="inlineStr">
        <is>
          <t>high</t>
        </is>
      </c>
      <c r="D22" s="11" t="inlineStr">
        <is>
          <t>impairment loss</t>
        </is>
      </c>
      <c r="E22" s="11" t="inlineStr">
        <is>
          <t>PDF p.177 (印刷頁 176)</t>
        </is>
      </c>
      <c r="F22" s="11" t="inlineStr">
        <is>
          <t>Administrative and other expenses 行政及其他開支 (38,301) (23,518) (33,386) (28,675) (26,197) Reversal of impairment allowance/ 貿易應收款項減值撥備 (impairment losses) on trade 撥回╱（減值虧損） receivables 325 (150) (138) (96) (65) Profit/(loss) from operation 經營溢利╱（虧損） (14,247) 1,868 (15,422) (23,905) (22,935) Finance costs 財務成本 (462) (280) (234) (119) (107) Profit/(loss) before tax 除稅前溢利╱（虧損） (14,709) 1,588 (15,656) (24,024) (23,041) Income tax (expense)/credit 所得稅（開支）╱抵免 (838) (24) 29 (132) (146) Profit/(loss) for the year 年內溢利╱（虧損） (15,547) 1,564</t>
        </is>
      </c>
    </row>
    <row r="23">
      <c r="A23" s="8" t="inlineStr">
        <is>
          <t>Intangible Assets &amp; Goodwill</t>
        </is>
      </c>
      <c r="B23" s="8" t="inlineStr">
        <is>
          <t>無形資產及商譽</t>
        </is>
      </c>
      <c r="C23" s="19" t="inlineStr">
        <is>
          <t>high</t>
        </is>
      </c>
      <c r="D23" s="11" t="inlineStr">
        <is>
          <t>intangible asset</t>
        </is>
      </c>
      <c r="E23" s="11" t="inlineStr">
        <is>
          <t>PDF p.92 (印刷頁 91)</t>
        </is>
      </c>
      <c r="F23" s="11" t="inlineStr">
        <is>
          <t>HK$’000 附註 千港元 千港元 Non-current assets 非流動資產 Property, plant and equipment 物業、廠房及設備 17 1,203 269 Right-of-use assets 使用權資產 18 4,298 – Intangible assets 無形資產 19 – – 5,501 269 Current assets 流動資產 Inventories 存貨 20 19,486 19,310 Trade receivables 貿易應收款項 21 10,545 18,762 Other receivables, prepayments 其他應收款項、預付款項及按金 and deposits 22 7,402 4,208 Tax recoverable 可收回稅項 – 192 Bank and cash balances 銀行及現金結餘 23 17,748 4,201 55,181 46,673 Current liabilities 流動負債 Trade payables 貿易應付款項 24 960 2,503 Other payables and accrued expenses 其他應付款</t>
        </is>
      </c>
    </row>
    <row r="24">
      <c r="A24" s="8" t="inlineStr">
        <is>
          <t>Intangible Assets &amp; Goodwill</t>
        </is>
      </c>
      <c r="B24" s="8" t="inlineStr">
        <is>
          <t>無形資產及商譽</t>
        </is>
      </c>
      <c r="C24" s="19" t="inlineStr">
        <is>
          <t>high</t>
        </is>
      </c>
      <c r="D24" s="11" t="inlineStr">
        <is>
          <t>amortisation</t>
        </is>
      </c>
      <c r="E24" s="11" t="inlineStr">
        <is>
          <t>PDF p.102 (印刷頁 101)</t>
        </is>
      </c>
      <c r="F24" s="11" t="inlineStr">
        <is>
          <t>s (e.g., adjusted • 本集團在其業績公佈及年報中披露若 operating profits and adjusted earnings before interest, 干管理層表現計量（例如經調整經營 tax, depreciation and amortisation) in its results 溢利及經調整除利息、稅項、折舊及 announcements and the annual report. Under HKFRS 攤銷前盈利）。根據香港財務報告準 18, this will likely require additional disclosure for the 則第18號，這將可能需要在綜合財 MPMs within the notes to the consolidated financial 務報表附註內對管理層表現計量作出 statements. 額外披露。 • The consolidated statement of cash flows will also be • 綜合現金流量表亦將受到影響，原因 impacted, as the operating profit subtotal will be</t>
        </is>
      </c>
    </row>
    <row r="25">
      <c r="A25" s="8" t="inlineStr">
        <is>
          <t>Intangible Assets &amp; Goodwill</t>
        </is>
      </c>
      <c r="B25" s="8" t="inlineStr">
        <is>
          <t>無形資產及商譽</t>
        </is>
      </c>
      <c r="C25" s="19" t="inlineStr">
        <is>
          <t>high</t>
        </is>
      </c>
      <c r="D25" s="11" t="inlineStr">
        <is>
          <t>goodwill</t>
        </is>
      </c>
      <c r="E25" s="11" t="inlineStr">
        <is>
          <t>PDF p.104 (印刷頁 103)</t>
        </is>
      </c>
      <c r="F25" s="11" t="inlineStr">
        <is>
          <t>diary; and (ii) the Company’s 平值；及(ii)本公司分佔該附屬公司資產淨 share of the net assets of that subsidiary plus any remaining 值加與該附屬公司有關的任何其餘商譽及 goodwill and any accumulated foreign currency translation 任何累計外幣換算儲備。 reserve relating to that subsidiary. Intragroup transactions, balances, unrealised profits are 集團內公司間交易、結餘、未變現溢利均 eliminated. Unrealised losses are also eliminated unless the 予以撇除。未變現虧損亦予以撇除，除非 transaction provides evidence of an impairment of the asset 該交易提供所轉讓資產減值的憑據。附屬 transferred. Accounting policies of subsidiaries have bee</t>
        </is>
      </c>
    </row>
    <row r="26">
      <c r="A26" s="8" t="inlineStr">
        <is>
          <t>Intangible Assets &amp; Goodwill</t>
        </is>
      </c>
      <c r="B26" s="8" t="inlineStr">
        <is>
          <t>無形資產及商譽</t>
        </is>
      </c>
      <c r="C26" s="19" t="inlineStr">
        <is>
          <t>high</t>
        </is>
      </c>
      <c r="D26" s="11" t="inlineStr">
        <is>
          <t>goodwill</t>
        </is>
      </c>
      <c r="E26" s="11" t="inlineStr">
        <is>
          <t>PDF p.105 (印刷頁 104)</t>
        </is>
      </c>
      <c r="F26" s="11" t="inlineStr">
        <is>
          <t>ents exceeds the 賬面金額，則須對該等投資進行減值測試。 carrying amount in the consolidated financial statements of the investee’s net assets including goodwill. (c) Foreign currency translation (c) 外幣換算 (i) Functional and presentation currency (i) 功能及呈列貨幣 Items included in the financial statements of each of 本集團各實體的財務報表內所包括項 the Group’s entities are measured using the currency 目，均利用該實體經營的主要經濟環 of the primary economic environment in which the 境的貨幣（「功能貨幣」）計量。綜合財 entity operates (the “functional currency”). The 務報表以港元（「港元」）呈列，港元為 consolidated finan</t>
        </is>
      </c>
    </row>
    <row r="27">
      <c r="A27" s="8" t="inlineStr">
        <is>
          <t>Intangible Assets &amp; Goodwill</t>
        </is>
      </c>
      <c r="B27" s="8" t="inlineStr">
        <is>
          <t>無形資產及商譽</t>
        </is>
      </c>
      <c r="C27" s="19" t="inlineStr">
        <is>
          <t>high</t>
        </is>
      </c>
      <c r="D27" s="11" t="inlineStr">
        <is>
          <t>goodwill</t>
        </is>
      </c>
      <c r="E27" s="11" t="inlineStr">
        <is>
          <t>PDF p.106 (印刷頁 105)</t>
        </is>
      </c>
      <c r="F27" s="11" t="inlineStr">
        <is>
          <t>ld, such exchange differences are 益或虧損的一部分。 reclassified to the consolidated profit or loss as part of the gain or loss on disposal. Goodwill and fair value adjustments arising on the 於收購海外實體產生之商譽及公平值 acquisition of a foreign entity are treated as assets 調整被視為海外實體的資產及負債， and liabilities of the foreign entity and translated at the 並按收市匯率換算。 closing rate. 105 盈證國際控股有限公司 / 年報2026</t>
        </is>
      </c>
    </row>
    <row r="28">
      <c r="A28" s="8" t="inlineStr">
        <is>
          <t>Intangible Assets &amp; Goodwill</t>
        </is>
      </c>
      <c r="B28" s="8" t="inlineStr">
        <is>
          <t>無形資產及商譽</t>
        </is>
      </c>
      <c r="C28" s="19" t="inlineStr">
        <is>
          <t>high</t>
        </is>
      </c>
      <c r="D28" s="11" t="inlineStr">
        <is>
          <t>可使用年期</t>
        </is>
      </c>
      <c r="E28" s="11" t="inlineStr">
        <is>
          <t>PDF p.107 (印刷頁 106)</t>
        </is>
      </c>
      <c r="F28" s="11" t="inlineStr">
        <is>
          <t>0% Computer equipment 20% 電腦設備 20% Leasehold improvement 20% 租賃裝修 20% The residual values, useful lives and depreciation method 剩餘價值、可使用年期及折舊方法於各報 are reviewed and adjusted, if appropriate, at the end of each 告期末進行檢討及作出調整（如適用），而 reporting period, with the effect of any changes in estimate 任何估計變動的影響則依據前瞻基準入賬。 accounted for on a prospective basis. An item of property, plant and equipment is derecognised 物業、廠房及設備項目於出售時或預期繼 upon disposal or when no future economic benefits are 續使用有關資產不會產生未來經濟利益時 expected to arise from the continued</t>
        </is>
      </c>
    </row>
    <row r="29">
      <c r="A29" s="8" t="inlineStr">
        <is>
          <t>Intangible Assets &amp; Goodwill</t>
        </is>
      </c>
      <c r="B29" s="8" t="inlineStr">
        <is>
          <t>無形資產及商譽</t>
        </is>
      </c>
      <c r="C29" s="19" t="inlineStr">
        <is>
          <t>high</t>
        </is>
      </c>
      <c r="D29" s="11" t="inlineStr">
        <is>
          <t>intangible asset</t>
        </is>
      </c>
      <c r="E29" s="11" t="inlineStr">
        <is>
          <t>PDF p.108 (印刷頁 107)</t>
        </is>
      </c>
      <c r="F29" s="11" t="inlineStr">
        <is>
          <t>s 綜合財務報表附註 For the year ended 31 March 2026 截至2026年3月31日止年度 4. MATERIAL ACCOUNTING POLICY INFORMATION 4. 重大會計政策資料（續） (continued) (e) Intangible assets (other than goodwill) (e) 無形資產（商譽除外） Intangible assets acquired are measured on initial recognition 購入的無形資產於初步確認時按成本計量。 at cost. The useful lives of intangible assets are assessed to 無形資產的可使用年期評估為有限或無限。 be whether finite or indefinite. Intangible assets with finite lives 年期有限的無形資產隨後於可使用經濟年 are subsequently amortised over the useful economic life and 期內攤銷，並評估是否有跡象顯示無形資 assessed fo</t>
        </is>
      </c>
    </row>
    <row r="30">
      <c r="A30" s="8" t="inlineStr">
        <is>
          <t>Intangible Assets &amp; Goodwill</t>
        </is>
      </c>
      <c r="B30" s="8" t="inlineStr">
        <is>
          <t>無形資產及商譽</t>
        </is>
      </c>
      <c r="C30" s="19" t="inlineStr">
        <is>
          <t>high</t>
        </is>
      </c>
      <c r="D30" s="11" t="inlineStr">
        <is>
          <t>攤銷</t>
        </is>
      </c>
      <c r="E30" s="11" t="inlineStr">
        <is>
          <t>PDF p.109 (印刷頁 108)</t>
        </is>
      </c>
      <c r="F30" s="11" t="inlineStr">
        <is>
          <t>se payments to be made under reasonably certain 款亦包括在租賃負債的計量中。於初步確 extension options are also included in the measurement of 認後，租賃負債按攤銷成本計量，而利息 the lease liability. After initial recognition, the lease liability 開支則使用實際利率法計算。不取決於指 is measured at amortised cost and interest expense is 數或利率的可變租賃付款並不計入租賃負 calculated using the effective interest method. Variable lease 債的計量，故於其產生的會計期間自損益 payments that do not depend on an index or rate are not 扣除。 included in the measurement of the lease liability and hence are charged to profit or l</t>
        </is>
      </c>
    </row>
    <row r="31">
      <c r="A31" s="8" t="inlineStr">
        <is>
          <t>Intangible Assets &amp; Goodwill</t>
        </is>
      </c>
      <c r="B31" s="8" t="inlineStr">
        <is>
          <t>無形資產及商譽</t>
        </is>
      </c>
      <c r="C31" s="19" t="inlineStr">
        <is>
          <t>high</t>
        </is>
      </c>
      <c r="D31" s="11" t="inlineStr">
        <is>
          <t>useful life</t>
        </is>
      </c>
      <c r="E31" s="11" t="inlineStr">
        <is>
          <t>PDF p.110 (印刷頁 109)</t>
        </is>
      </c>
      <c r="F31" s="11" t="inlineStr">
        <is>
          <t>d assets at the 租賃資產擁有權的使用權資產自開始日期 end of the lease term are depreciated from commencement 起至可使用年期結束止計提折舊。否則， date to the end of the useful life. Otherwise, right-of-use 使用權資產於其估計可使用年期及租賃期 assets are depreciated on a straight-line basis over the 兩者中的較短者按直線法計提折舊。 shorter of its estimated useful life and the lease term. 109 盈證國際控股有限公司 / 年報2026</t>
        </is>
      </c>
    </row>
    <row r="32">
      <c r="A32" s="8" t="inlineStr">
        <is>
          <t>Intangible Assets &amp; Goodwill</t>
        </is>
      </c>
      <c r="B32" s="8" t="inlineStr">
        <is>
          <t>無形資產及商譽</t>
        </is>
      </c>
      <c r="C32" s="19" t="inlineStr">
        <is>
          <t>high</t>
        </is>
      </c>
      <c r="D32" s="11" t="inlineStr">
        <is>
          <t>攤銷</t>
        </is>
      </c>
      <c r="E32" s="11" t="inlineStr">
        <is>
          <t>PDF p.114 (印刷頁 113)</t>
        </is>
      </c>
      <c r="F32" s="11" t="inlineStr">
        <is>
          <t>quire delivery of assets within the time frame 買賣。視乎金融資產的分類，所有已確認 established by regulation or convention in the marketplace. 金融資產其後按攤銷成本或公平值作整體 All recognised financial assets are measured subsequently in 計量。 their entirety at either amortised cost or fair value, depending on the classification of the financial assets. Debt investments 債務投資 Debt investments held by the Group are classified into one of 本集團持有的債務投資分類為以下計量類 the following measurement categories: 別之一： — amortised cost, if the investment is held for the — 攤銷成本，如持有投資是</t>
        </is>
      </c>
    </row>
    <row r="33">
      <c r="A33" s="8" t="inlineStr">
        <is>
          <t>Intangible Assets &amp; Goodwill</t>
        </is>
      </c>
      <c r="B33" s="8" t="inlineStr">
        <is>
          <t>無形資產及商譽</t>
        </is>
      </c>
      <c r="C33" s="19" t="inlineStr">
        <is>
          <t>high</t>
        </is>
      </c>
      <c r="D33" s="11" t="inlineStr">
        <is>
          <t>攤銷</t>
        </is>
      </c>
      <c r="E33" s="11" t="inlineStr">
        <is>
          <t>PDF p.115 (印刷頁 114)</t>
        </is>
      </c>
      <c r="F33" s="11" t="inlineStr">
        <is>
          <t>her receivables are recognised initially at fair 貿易及其他應收款項初步按公平值確認， value and subsequently measured at amortised cost using 其後按實際利率法以攤銷成本扣除信貸虧 the effective interest method less allowance for credit loss. 損撥備計量。 (l) Cash and cash equivalents (l) 現金及現金等價物 Cash and cash equivalents comprise cash at bank and 現金及現金等價物包括銀行現金及手頭現 on hand, demand deposits with banks and other financial 金、銀行及其他金融機構的活期存款，以 institutions, and short-term, highly liquid investments that are 及購入時於三個月內到期可隨時兌換為已 readily convertible into known amounts of cash a</t>
        </is>
      </c>
    </row>
    <row r="34">
      <c r="A34" s="8" t="inlineStr">
        <is>
          <t>Intangible Assets &amp; Goodwill</t>
        </is>
      </c>
      <c r="B34" s="8" t="inlineStr">
        <is>
          <t>無形資產及商譽</t>
        </is>
      </c>
      <c r="C34" s="19" t="inlineStr">
        <is>
          <t>high</t>
        </is>
      </c>
      <c r="D34" s="11" t="inlineStr">
        <is>
          <t>攤銷</t>
        </is>
      </c>
      <c r="E34" s="11" t="inlineStr">
        <is>
          <t>PDF p.116 (印刷頁 115)</t>
        </is>
      </c>
      <c r="F34" s="11" t="inlineStr">
        <is>
          <t>bles are stated initially at fair value and 貿易及其他應付款項初步按公平值列賬， subsequently measured at amortised cost using the effective 其後採用實際利率法按攤銷成本計量，除 interest method unless the effect of discounting would be 非貼現影響甚微，於此情況下，則以成本 immaterial, in which case they are stated at cost. 列賬。 (o) Equity instruments (o) 權益工具 An equity instrument is any contract that evidence a residual 權益工具為證明某一實體資產的剩餘權益 interest in the assets of an entity after deducting all of its （扣減其所有負債後）的任何合約。本公司 liabilities. Equity instruments issued by the Company are 所發行的權</t>
        </is>
      </c>
    </row>
    <row r="35">
      <c r="A35" s="8" t="inlineStr">
        <is>
          <t>Intangible Assets &amp; Goodwill</t>
        </is>
      </c>
      <c r="B35" s="8" t="inlineStr">
        <is>
          <t>無形資產及商譽</t>
        </is>
      </c>
      <c r="C35" s="19" t="inlineStr">
        <is>
          <t>high</t>
        </is>
      </c>
      <c r="D35" s="11" t="inlineStr">
        <is>
          <t>攤銷</t>
        </is>
      </c>
      <c r="E35" s="11" t="inlineStr">
        <is>
          <t>PDF p.117 (印刷頁 116)</t>
        </is>
      </c>
      <c r="F35" s="11" t="inlineStr">
        <is>
          <t>come is recognised as it accrues using the effective 利息收入於產生時以實際利率法確認。就 interest method. For financial assets measured at amortised 按攤銷成本或按公平值計入其他全面收益 cost or FVTOCI (recycling) that are not credit-impaired, the （可劃轉）計量且並無出現信貸減值的金融 effective interest rate is applied to the gross carrying amount 資產而言，實際利率適用於該資產的賬面 of the asset. For credit impaired financial assets, the effective 總值。就出現信貸減值的金融資產而言， interest rate is applied to the amortised cost (i.e. gross 實際利率應用於該資產的攤銷成本（即扣除 carrying amount net of loss allowance) of the asset. 虧</t>
        </is>
      </c>
    </row>
    <row r="36">
      <c r="A36" s="8" t="inlineStr">
        <is>
          <t>Intangible Assets &amp; Goodwill</t>
        </is>
      </c>
      <c r="B36" s="8" t="inlineStr">
        <is>
          <t>無形資產及商譽</t>
        </is>
      </c>
      <c r="C36" s="19" t="inlineStr">
        <is>
          <t>high</t>
        </is>
      </c>
      <c r="D36" s="11" t="inlineStr">
        <is>
          <t>goodwill</t>
        </is>
      </c>
      <c r="E36" s="11" t="inlineStr">
        <is>
          <t>PDF p.120 (印刷頁 119)</t>
        </is>
      </c>
      <c r="F36" s="11" t="inlineStr">
        <is>
          <t>lised. Such assets and liabilities 之交易（業務合併除外）中之其他資產及負 are not recognised if the temporary difference arises from 債而產生，則不會確認有關資產及負債。 goodwill or from the initial recognition (other than in a business combination) of other assets and liabilities in a transaction that affects neither the taxable profit nor the accounting profit. Deferred tax liabilities are recognised for taxable temporary 於附屬公司之投資而產生之應課稅暫時差 differences arising on investments in subsidiaries, except 額確認為遞延稅項負債，惟倘本集團可控 where the Group is able to control the revers</t>
        </is>
      </c>
    </row>
    <row r="37">
      <c r="A37" s="8" t="inlineStr">
        <is>
          <t>Intangible Assets &amp; Goodwill</t>
        </is>
      </c>
      <c r="B37" s="8" t="inlineStr">
        <is>
          <t>無形資產及商譽</t>
        </is>
      </c>
      <c r="C37" s="19" t="inlineStr">
        <is>
          <t>high</t>
        </is>
      </c>
      <c r="D37" s="11" t="inlineStr">
        <is>
          <t>goodwill</t>
        </is>
      </c>
      <c r="E37" s="11" t="inlineStr">
        <is>
          <t>PDF p.121 (印刷頁 120)</t>
        </is>
      </c>
      <c r="F37" s="11" t="inlineStr">
        <is>
          <t>t/CGU whose impairment is 特定風險的稅前貼現率計算。 being measured. Impairment losses for CGU are allocated first against the 現金產生單位的減值虧損應當先分配至單 goodwill of the unit and then pro rata amongst the other 位中的商譽，再按比例分配至現金產生單 assets of the CGU. Subsequent increases in the recoverable 位的其他資產。由於估計變動而導致的其 amount caused by changes in estimates are credited to profit 後可收回金額增加按所撥回的減值額計入 or loss to the extent that they reverse the impairment. 損益。 (v) Impairment of financial assets (v) 金融資產減值 The Group recognises a loss allowance for ECL measured 本集團就按</t>
        </is>
      </c>
    </row>
    <row r="38">
      <c r="A38" s="8" t="inlineStr">
        <is>
          <t>Intangible Assets &amp; Goodwill</t>
        </is>
      </c>
      <c r="B38" s="8" t="inlineStr">
        <is>
          <t>無形資產及商譽</t>
        </is>
      </c>
      <c r="C38" s="19" t="inlineStr">
        <is>
          <t>high</t>
        </is>
      </c>
      <c r="D38" s="11" t="inlineStr">
        <is>
          <t>intangible asset</t>
        </is>
      </c>
      <c r="E38" s="11" t="inlineStr">
        <is>
          <t>PDF p.128 (印刷頁 127)</t>
        </is>
      </c>
      <c r="F38" s="11" t="inlineStr">
        <is>
          <t>險。 year, are discussed below. (i) Impairment loss for property, plant and equipment, right-of- (i) 物業、廠房及設備、使用權資產及無形資 use assets and intangible assets (other than goodwill) 產（商譽除外）的減值虧損 Property, plant and equipment, right-of-use assets and 物業、廠房及設備、使用權資產及無形資 intangible assets are stated at costs less accumulated 產按成本減累計折舊及減值（如有）列賬。 depreciation and impairment, if any. In determining whether 於釐定資產是否減值時，本集團須進行判 an asset is impaired, the Group has to exercise judgment 斷及估計，尤其評估：(1)是否有事件已發 and make estimation, particularly in asse</t>
        </is>
      </c>
    </row>
    <row r="39">
      <c r="A39" s="8" t="inlineStr">
        <is>
          <t>Intangible Assets &amp; Goodwill</t>
        </is>
      </c>
      <c r="B39" s="8" t="inlineStr">
        <is>
          <t>無形資產及商譽</t>
        </is>
      </c>
      <c r="C39" s="19" t="inlineStr">
        <is>
          <t>high</t>
        </is>
      </c>
      <c r="D39" s="11" t="inlineStr">
        <is>
          <t>攤銷</t>
        </is>
      </c>
      <c r="E39" s="11" t="inlineStr">
        <is>
          <t>PDF p.135 (印刷頁 134)</t>
        </is>
      </c>
      <c r="F39" s="11" t="inlineStr">
        <is>
          <t>1 March (e) 於3月31日的金融工具類別 2026 2025 2026年 2025年 HK$’000 HK$’000 千港元 千港元 Financial assets: 金融資產： Financial assets at amortised costs 按攤銷成本列賬的金融資產 32,406 24,631 Financial liabilities: 金融負債： Financial liabilities at amortised costs 按攤銷成本列賬的金融負債 24,164 15,086 (f) Fair values (f) 公平值 The carrying amounts of the Group’s financial assets and 本集團的金融資產及金融負債於綜合財務 financial liabilities as reflected in the consolidated statement 狀況表反映的賬面值與其各自的公平值相 of financial position approximate their respective fair values. 若。 7. SEGMENT INFORMATION 7.</t>
        </is>
      </c>
    </row>
    <row r="40">
      <c r="A40" s="8" t="inlineStr">
        <is>
          <t>Intangible Assets &amp; Goodwill</t>
        </is>
      </c>
      <c r="B40" s="8" t="inlineStr">
        <is>
          <t>無形資產及商譽</t>
        </is>
      </c>
      <c r="C40" s="19" t="inlineStr">
        <is>
          <t>high</t>
        </is>
      </c>
      <c r="D40" s="11" t="inlineStr">
        <is>
          <t>intangible asset</t>
        </is>
      </c>
      <c r="E40" s="11" t="inlineStr">
        <is>
          <t>PDF p.137 (印刷頁 136)</t>
        </is>
      </c>
      <c r="F40" s="11" t="inlineStr">
        <is>
          <t>54 269 PRC 中國 5,347 – 5,501 269 Non-current assets include property, plant and equipment, 非流動資產包括物業、廠房及設備、使用 right-of-use assets and intangible assets. 權資產以及無形資產。 Information about the Group’s revenue from external 有關本集團按其經營所處地區位置呈列之 customers presented based on the geographical location 來自外部客戶收益的資料如下： where the Group operates is as follows: 2026 2025 2026年 2025年 HK$’000 HK$’000 千港元 千港元 Hong Kong 香港 50,764 63,622 PRC 中國 31,549 2,980 Macau 澳門 116 782 Consolidated total 綜合總計 82,429 67,384 (c) Information about major customers (c)</t>
        </is>
      </c>
    </row>
    <row r="41">
      <c r="A41" s="8" t="inlineStr">
        <is>
          <t>Intangible Assets &amp; Goodwill</t>
        </is>
      </c>
      <c r="B41" s="8" t="inlineStr">
        <is>
          <t>無形資產及商譽</t>
        </is>
      </c>
      <c r="C41" s="19" t="inlineStr">
        <is>
          <t>high</t>
        </is>
      </c>
      <c r="D41" s="11" t="inlineStr">
        <is>
          <t>intangible asset</t>
        </is>
      </c>
      <c r="E41" s="11" t="inlineStr">
        <is>
          <t>PDF p.153 (印刷頁 152)</t>
        </is>
      </c>
      <c r="F41" s="11" t="inlineStr">
        <is>
          <t>Notes to the Consolidated Financial Statements 綜合財務報表附註 For the year ended 31 March 2026 截至2026年3月31日止年度 19. INTANGIBLE ASSETS 19. 無形資產 HK$’000 千港元 Cost 成本 At 1 April 2024, 31 March 2025, 1 April 2025 and 於2024年4月1日、2025年3月31日、 31 March 2026 2025年4月1日及2026年3月31日 1,850 Accumulated amortisation 累計攤銷 At 1 April 2024, 31 March 2025, 1 April 2025 and 於2024年4月1日、2025年3月31日、 31 March 2026 2025年4月1日及2026年3月31日 1,850 Carrying amount 賬面值 At 31 March 2026 於2026年3月31日 – At 31 March 2025 於2025年3月31日 – Intangible asse</t>
        </is>
      </c>
    </row>
    <row r="42">
      <c r="A42" s="8" t="inlineStr">
        <is>
          <t>Investment Properties</t>
        </is>
      </c>
      <c r="B42" s="8" t="inlineStr">
        <is>
          <t>投資物業</t>
        </is>
      </c>
      <c r="C42" s="19" t="inlineStr">
        <is>
          <t>high</t>
        </is>
      </c>
      <c r="D42" s="11" t="inlineStr">
        <is>
          <t>gross floor area</t>
        </is>
      </c>
      <c r="E42" s="11" t="inlineStr">
        <is>
          <t>PDF p.27 (印刷頁 26)</t>
        </is>
      </c>
      <c r="F42" s="11" t="inlineStr">
        <is>
          <t>on dioxide, methane and 體（主要為二氧化碳、甲烷及氧化亞氮）為 nitrous oxide) emitted from the Group’s operation. 141,332公斤（2025年：116,777公斤）。 The total gross floor area coverage for the Group during the 於年內，本集團總建築面積為4,919平方米 Year was 4,919 m2 (2025: 2,102 m2). The annual emission （2025年：2,102平方米）。年排放密度為 intensity was 28.7 KgCO2e/m2 (2025: 55.6 KgCO2e/m2). 每平方米28.7公斤二氧化碳當量（2025年： 每平方米55.6公斤二氧化碳當量）。 The Group has previously set the amount of GHG emission 本集團先前將年內溫室氣體排放量設定為 for the Year to 160,000 kg. The target will be reviewed in 160,000公斤。目標將於203</t>
        </is>
      </c>
    </row>
    <row r="43">
      <c r="A43" s="8" t="inlineStr">
        <is>
          <t>Investment Properties</t>
        </is>
      </c>
      <c r="B43" s="8" t="inlineStr">
        <is>
          <t>投資物業</t>
        </is>
      </c>
      <c r="C43" s="19" t="inlineStr">
        <is>
          <t>high</t>
        </is>
      </c>
      <c r="D43" s="11" t="inlineStr">
        <is>
          <t>capitalisation rate</t>
        </is>
      </c>
      <c r="E43" s="11" t="inlineStr">
        <is>
          <t>PDF p.119 (印刷頁 118)</t>
        </is>
      </c>
      <c r="F43" s="11" t="inlineStr">
        <is>
          <t>g asset, the amount 產，合資格資本化的借款成本金額乃按該 of borrowing costs eligible for capitalisation is determined 資產支銷的資本化率釐定。資本化率為適 by applying a capitalisation rate to the expenditures on that 用於本集團於期內未償還借款的加權平均 asset. The capitalisation rate is the weighted average of the 借款成本，不包括為取得合資格資產而專 borrowing costs applicable to the borrowings of the Group 門借入的借款。 that are outstanding during the period, other than borrowings made specifically for the purpose of obtaining a qualifying asset. All other borrowing costs are recognised in profit or los</t>
        </is>
      </c>
    </row>
    <row r="44">
      <c r="A44" s="8" t="inlineStr">
        <is>
          <t>ESG Data</t>
        </is>
      </c>
      <c r="B44" s="8" t="inlineStr">
        <is>
          <t>環境社會及管治數據</t>
        </is>
      </c>
      <c r="C44" s="8" t="inlineStr">
        <is>
          <t>medium</t>
        </is>
      </c>
      <c r="D44" s="11" t="inlineStr">
        <is>
          <t>環境、社會及管治</t>
        </is>
      </c>
      <c r="E44" s="11" t="inlineStr">
        <is>
          <t>PDF p.3</t>
        </is>
      </c>
      <c r="F44" s="11" t="inlineStr">
        <is>
          <t>ion and Analysis 管理層討論及分析 7 Biographies of Directors and Senior Management 董事及高級管理層履歷 13 Environmental, Social and Governance Report 環境、社會及管治報告 19 Corporate Governance Report 企業管治報告 40 Directors’ Report 董事會報告 69 Independent Auditor’s Report 獨立核數師報告 82 Audited Financial Statements 經審核財務報表 Consolidated: 綜合： Statement of Profit or Loss and Other Comprehensive Income 損益及其他全面收益表 89 Statement of Financial Position 財務狀況表 91 Statement of Changes in Equity 權益變動表 93 Statement of Cash Flows 現金流量表 94 Notes to the Consol</t>
        </is>
      </c>
    </row>
    <row r="45">
      <c r="A45" s="8" t="inlineStr">
        <is>
          <t>ESG Data</t>
        </is>
      </c>
      <c r="B45" s="8" t="inlineStr">
        <is>
          <t>環境社會及管治數據</t>
        </is>
      </c>
      <c r="C45" s="8" t="inlineStr">
        <is>
          <t>medium</t>
        </is>
      </c>
      <c r="D45" s="11" t="inlineStr">
        <is>
          <t>ESG</t>
        </is>
      </c>
      <c r="E45" s="11" t="inlineStr">
        <is>
          <t>PDF p.20 (印刷頁 19)</t>
        </is>
      </c>
      <c r="F45" s="11" t="inlineStr">
        <is>
          <t>oup primarily adopts the principles and basis of the 本集團主要採用GEM上市規則附錄C2所載的《環 “Environmental, Social and Governance Reporting Code” (“ESG 境，社會及管治報告守則》 （「《ESG守則》」）中的原 Code”) as set out in Appendix C2 to the GEM Listing Rules, with 則及基礎，旨在建立健全的環境、社會及管治結 an aim to establish a sound environmental, social and governance 構。 structure. This report covers the Group’s overall performance in two subject 除非另有說明，本報告涵蓋範圍為2025年4月1 areas, namely, environmental and social aspect of the business 日至2026年3月31日期間（「年內」或「2026年」） operations in Hong Ko</t>
        </is>
      </c>
    </row>
    <row r="46">
      <c r="A46" s="8" t="inlineStr">
        <is>
          <t>ESG Data</t>
        </is>
      </c>
      <c r="B46" s="8" t="inlineStr">
        <is>
          <t>環境社會及管治數據</t>
        </is>
      </c>
      <c r="C46" s="8" t="inlineStr">
        <is>
          <t>medium</t>
        </is>
      </c>
      <c r="D46" s="11" t="inlineStr">
        <is>
          <t>ESG</t>
        </is>
      </c>
      <c r="E46" s="11" t="inlineStr">
        <is>
          <t>PDF p.21 (印刷頁 20)</t>
        </is>
      </c>
      <c r="F46" s="11" t="inlineStr">
        <is>
          <t>cial and Governance Report 環境、社會及管治報告 The basis of reporting principles: 報告原則基準： • Materiality: • 重要性： The Group determines material ESG issues by stakeholder 本集團透過持份者參與及重要性評估確定 engagement and materiality assessment. 重大ESG議題。 • Quantitative: • 量化： Information is presented with quantitative measure, 本集團於可行情況下以量化計量單位呈報 whenever feasible, including information on the standards, 資料，包括有關所用標準、方法、假設及 methodologies, assumptions used and provision of 提供比較數據的資料。 comparative data. • Consistency: • 一致性： The Report will use consistent metho</t>
        </is>
      </c>
    </row>
    <row r="47">
      <c r="A47" s="8" t="inlineStr">
        <is>
          <t>ESG Data</t>
        </is>
      </c>
      <c r="B47" s="8" t="inlineStr">
        <is>
          <t>環境社會及管治數據</t>
        </is>
      </c>
      <c r="C47" s="8" t="inlineStr">
        <is>
          <t>medium</t>
        </is>
      </c>
      <c r="D47" s="11" t="inlineStr">
        <is>
          <t>環境、社會及管治</t>
        </is>
      </c>
      <c r="E47" s="11" t="inlineStr">
        <is>
          <t>PDF p.22 (印刷頁 21)</t>
        </is>
      </c>
      <c r="F47" s="11" t="inlineStr">
        <is>
          <t>Environmental, Social and Governance Report 環境、社會及管治報告 4 MATERIALITY MATRIX 4 重要性矩陣 During the Year, the Group has evaluated a number of 年內，本集團對多項環境、社會及營運相關議題 environmental, social and operation related issues, and assessed 進行評估，並通過各種渠道評估該等議題對持份 their importance to stakeholders and the Group through various 者及本集團的重要性。 channels. Importance to the Group 對本集團的重要性 Low Medium High 低 中 高 High • Anti-discrimination • Talent management • Customers’</t>
        </is>
      </c>
    </row>
    <row r="48">
      <c r="A48" s="8" t="inlineStr">
        <is>
          <t>ESG Data</t>
        </is>
      </c>
      <c r="B48" s="8" t="inlineStr">
        <is>
          <t>環境社會及管治數據</t>
        </is>
      </c>
      <c r="C48" s="8" t="inlineStr">
        <is>
          <t>medium</t>
        </is>
      </c>
      <c r="D48" s="11" t="inlineStr">
        <is>
          <t>energy consumption</t>
        </is>
      </c>
      <c r="E48" s="11" t="inlineStr">
        <is>
          <t>PDF p.23 (印刷頁 22)</t>
        </is>
      </c>
      <c r="F48" s="11" t="inlineStr">
        <is>
          <t>ts as set forth in ESG Guide Material ESG issues to the Group 《ESG指引》中所載的ESG層面 對本集團而言屬重大的ESG議題 (A) Environmental (A) 環境 A1 Emissions Energy consumption A1 排放物 用電量 A2 Use of Resources Use of energy and paper A2 資源使用 能源及紙張的使用 A3 Environment and Natural Resources A3 環境及天然資源 A4 Climate change A4 氣候變化 (B) Social (B) 社會 B1 Employment and Labour Practices Labour practices B1 僱傭及勞工常規 勞工常規 B2 Health and Safety Workplace health and safety B2 健康與安全 工作場所的健康與安全 B3 Development and Training Employee development and training B3 發展及培訓 員工發展及培訓 B</t>
        </is>
      </c>
    </row>
    <row r="49">
      <c r="A49" s="8" t="inlineStr">
        <is>
          <t>ESG Data</t>
        </is>
      </c>
      <c r="B49" s="8" t="inlineStr">
        <is>
          <t>環境社會及管治數據</t>
        </is>
      </c>
      <c r="C49" s="8" t="inlineStr">
        <is>
          <t>medium</t>
        </is>
      </c>
      <c r="D49" s="11" t="inlineStr">
        <is>
          <t>carbon</t>
        </is>
      </c>
      <c r="E49" s="11" t="inlineStr">
        <is>
          <t>PDF p.24 (印刷頁 23)</t>
        </is>
      </c>
      <c r="F49" s="11" t="inlineStr">
        <is>
          <t>Current Environmental Policies 當前的環境政策 The Group’s main task is to measure and report the efforts in 本集團的主要任務為測量並匯報減少碳足跡的成 reducing carbon footprints, promote waste reduction at source, 果，從源頭上促進廢棄物減少，加強廢棄物處理 enhance its waste disposal management and set targets on 管理，並設定環境績效目標。為盡量減少活動、 environmental performance. To minimise the environmental impacts 產品與服務對環境的影響，本集團將： concerning the activities, products and services, the Group will: • comply with applicable legal requirements and other • 遵守與本集團的環境層面有關及本集團須 requirements which re</t>
        </is>
      </c>
    </row>
    <row r="50">
      <c r="A50" s="8" t="inlineStr">
        <is>
          <t>ESG Data</t>
        </is>
      </c>
      <c r="B50" s="8" t="inlineStr">
        <is>
          <t>環境社會及管治數據</t>
        </is>
      </c>
      <c r="C50" s="8" t="inlineStr">
        <is>
          <t>medium</t>
        </is>
      </c>
      <c r="D50" s="11" t="inlineStr">
        <is>
          <t>環境、社會及管治</t>
        </is>
      </c>
      <c r="E50" s="11" t="inlineStr">
        <is>
          <t>PDF p.25 (印刷頁 24)</t>
        </is>
      </c>
      <c r="F50" s="11" t="inlineStr">
        <is>
          <t>Environmental, Social and Governance Report 環境、社會及管治報告 The Group is committed to ensuring its businesses are operated 本集團致力確保其業務營運遵守以下具有重大影 in compliance with the following laws and regulations which have 響的法律及法規： significant impact: a. the Law of the PRC on Import and Export Commodity a. 《中華人民共和國進出口商品檢驗法》； Inspection 《中華人民共和國進出口商品檢驗法》; b. Guangdong Safety Technology and Prevention Regulation b. 《廣東省安全技術防範管理條例》； 《廣東省安全技術防範管理條例》; c. Product</t>
        </is>
      </c>
    </row>
    <row r="51">
      <c r="A51" s="8" t="inlineStr">
        <is>
          <t>ESG Data</t>
        </is>
      </c>
      <c r="B51" s="8" t="inlineStr">
        <is>
          <t>環境社會及管治數據</t>
        </is>
      </c>
      <c r="C51" s="8" t="inlineStr">
        <is>
          <t>medium</t>
        </is>
      </c>
      <c r="D51" s="11" t="inlineStr">
        <is>
          <t>greenhouse gas</t>
        </is>
      </c>
      <c r="E51" s="11" t="inlineStr">
        <is>
          <t>PDF p.26 (印刷頁 25)</t>
        </is>
      </c>
      <c r="F51" s="11" t="inlineStr">
        <is>
          <t>of e-statement or scanning 代替傳統複印，以減少紙張使用及溫室氣 instead of traditional photocopying to reduce the use of paper 體排放；在每個工作日結束時，關閉所有 and greenhouse gas emissions; to switch-off all computers 電腦與辦公設備（如照明及空調）。 and office equipment (such as lighting and air-conditioner) at the end of each working day. (a) Since the Group did not have town fuel and town gas (a) 由於本集團於年內並無消耗城市燃料 consumption during the Year, therefore no relevant 及城市氣體，故並無相關排放數據。 emissions data is available. (b) the Company had certain motor vehicles during the (b) 於年內，本</t>
        </is>
      </c>
    </row>
    <row r="52">
      <c r="A52" s="8" t="inlineStr">
        <is>
          <t>ESG Data</t>
        </is>
      </c>
      <c r="B52" s="8" t="inlineStr">
        <is>
          <t>環境社會及管治數據</t>
        </is>
      </c>
      <c r="C52" s="8" t="inlineStr">
        <is>
          <t>medium</t>
        </is>
      </c>
      <c r="D52" s="11" t="inlineStr">
        <is>
          <t>greenhouse gas</t>
        </is>
      </c>
      <c r="E52" s="11" t="inlineStr">
        <is>
          <t>PDF p.27 (印刷頁 26)</t>
        </is>
      </c>
      <c r="F52" s="11" t="inlineStr">
        <is>
          <t>Environmental, Social and Governance Report 環境、社會及管治報告 A1.2 Greenhouse Gas Emission A1.2 溫室氣體排放 KPI 關鍵績效指標 2026 Unit % 2026年 單位 % Scope 1 範圍1 Direct Emission 39,169 Kg 28% 直接排放 公斤 Scope 2 範圍2 Indirect Emission 102,163 Kg 72% 間接排放 公斤 Scope 3 範圍3 Other indirect Emission – Kg 0% 其他間接排放 公斤 Total 141,332 Kg 100% 總數 公斤 During the Year, there were 141,332 kg (2025: 116,777 kg) 於年內，因本集團營運所產生的溫室氣 of greenhouse gases (mainly carbon dioxide, methane and 體（主要為二氧化碳、甲烷及</t>
        </is>
      </c>
    </row>
    <row r="53">
      <c r="A53" s="8" t="inlineStr">
        <is>
          <t>ESG Data</t>
        </is>
      </c>
      <c r="B53" s="8" t="inlineStr">
        <is>
          <t>環境社會及管治數據</t>
        </is>
      </c>
      <c r="C53" s="8" t="inlineStr">
        <is>
          <t>medium</t>
        </is>
      </c>
      <c r="D53" s="11" t="inlineStr">
        <is>
          <t>環境、社會及管治</t>
        </is>
      </c>
      <c r="E53" s="11" t="inlineStr">
        <is>
          <t>PDF p.28 (印刷頁 27)</t>
        </is>
      </c>
      <c r="F53" s="11" t="inlineStr">
        <is>
          <t>Environmental, Social and Governance Report 環境、社會及管治報告 A1.3 &amp; A1.4 Hazardous and Non-hazardous Waste A1.3及A1.4有害及無害廢棄物 The Group generates no hazardous waste in its operation. 本集團營運過程中並無產生有害廢棄物。 However, there were non-hazardous waste which the 然而，在本集團營運過程中由於使用電力 management of the Group believe to be insignificant arose 而產生無害廢棄物，而本集團管理層認為 from the use of electricity during the Group’s operation. 此等無害廢棄物無關重要。本集團在生產 Wastes produced by the Gro</t>
        </is>
      </c>
    </row>
    <row r="54">
      <c r="A54" s="8" t="inlineStr">
        <is>
          <t>ESG Data</t>
        </is>
      </c>
      <c r="B54" s="8" t="inlineStr">
        <is>
          <t>環境社會及管治數據</t>
        </is>
      </c>
      <c r="C54" s="8" t="inlineStr">
        <is>
          <t>medium</t>
        </is>
      </c>
      <c r="D54" s="11" t="inlineStr">
        <is>
          <t>energy consumption</t>
        </is>
      </c>
      <c r="E54" s="11" t="inlineStr">
        <is>
          <t>PDF p.29 (印刷頁 28)</t>
        </is>
      </c>
      <c r="F54" s="11" t="inlineStr">
        <is>
          <t>Environmental, Social and Governance Report 環境、社會及管治報告 During the Year, the energy consumption by type in total of 於年內，本集團的總能源消耗情況按類別 the Group are showed as below: 劃分如下： KPI 關鍵績效指標 % increase/ 2026 2025 Unit (decrease) 增加╱（減少） 2026年 2025年 單位 之百分比 Electricity consumed 181,428 147,184 kWh 23% 用電量 千瓦時 Oil consumed 140,820 134,094 kWh 5% 油耗量 千瓦時 Total energy consumed 322,248 281,278 kWh 15% 總能源消耗量 千瓦時 Total floor area of facilities 4,919 2,102 m2 134% 設施總樓面面積 平方米 Electricity</t>
        </is>
      </c>
    </row>
    <row r="55">
      <c r="A55" s="8" t="inlineStr">
        <is>
          <t>ESG Data</t>
        </is>
      </c>
      <c r="B55" s="8" t="inlineStr">
        <is>
          <t>環境社會及管治數據</t>
        </is>
      </c>
      <c r="C55" s="8" t="inlineStr">
        <is>
          <t>medium</t>
        </is>
      </c>
      <c r="D55" s="11" t="inlineStr">
        <is>
          <t>greenhouse gas</t>
        </is>
      </c>
      <c r="E55" s="11" t="inlineStr">
        <is>
          <t>PDF p.30 (印刷頁 29)</t>
        </is>
      </c>
      <c r="F55" s="11" t="inlineStr">
        <is>
          <t>introduce measures as far as 致力於在切實可行的情況下推行措施（如上 practicable, such as those mentioned in A2.1 above, to 文A2.1所述者），以減少業務營運產生的溫 reduce greenhouse gas emissions from business operations. 室氣體排放。 Governance on climate change 氣候變化的管治 The Group’s oversight of climate change matters is led by 本集團對氣候變化事宜的監督由董事會主 the Board, which regularly reviews applicable regulations and 導，董事會定期檢討適用的法規及指引， guidelines, evaluates the Group’s governance framework, 評估本集團的管治框架，並制定措施以減 and formulates measures to mitigate the impact of climate 輕氣候變化對其營運及業務的影</t>
        </is>
      </c>
    </row>
    <row r="56">
      <c r="A56" s="8" t="inlineStr">
        <is>
          <t>ESG Data</t>
        </is>
      </c>
      <c r="B56" s="8" t="inlineStr">
        <is>
          <t>環境社會及管治數據</t>
        </is>
      </c>
      <c r="C56" s="8" t="inlineStr">
        <is>
          <t>medium</t>
        </is>
      </c>
      <c r="D56" s="11" t="inlineStr">
        <is>
          <t>環境、社會及管治</t>
        </is>
      </c>
      <c r="E56" s="11" t="inlineStr">
        <is>
          <t>PDF p.31 (印刷頁 30)</t>
        </is>
      </c>
      <c r="F56" s="11" t="inlineStr">
        <is>
          <t>Environmental, Social and Governance Report 環境、社會及管治報告 (ii) Transition risks (ii) 過渡風險 Transition risks may arise from amendments to local 過渡風險可能源於當地環保法律及 environmental laws and regulations that increase 法規的修訂，從而增加合規成本。 compliance costs. To mitigate these risks, we conduct 為減輕該等風險，我們定期檢討及 regular reviews and assessments of regulatory 評估監管規定，確保遵守適用標 requirements, ensure adherence to applicable 準，並為員工提供有關政策及監管 standards, and provide employees</t>
        </is>
      </c>
    </row>
    <row r="57">
      <c r="A57" s="8" t="inlineStr">
        <is>
          <t>ESG Data</t>
        </is>
      </c>
      <c r="B57" s="8" t="inlineStr">
        <is>
          <t>環境社會及管治數據</t>
        </is>
      </c>
      <c r="C57" s="8" t="inlineStr">
        <is>
          <t>medium</t>
        </is>
      </c>
      <c r="D57" s="11" t="inlineStr">
        <is>
          <t>環境、社會及管治</t>
        </is>
      </c>
      <c r="E57" s="11" t="inlineStr">
        <is>
          <t>PDF p.32 (印刷頁 31)</t>
        </is>
      </c>
      <c r="F57" s="11" t="inlineStr">
        <is>
          <t>Environmental, Social and Governance Report 環境、社會及管治報告 The Group complies with relevant ordinances and statutory 本集團遵守相關條例與法定要求，如香港 requirements, such as the Employment Ordinance (Chapter 僱傭條例（香港法例第57章）、僱員補償條 57 of the Laws of Hong Kong), Employees’ Compensation 例（香港法例第282章）以及強制性公積金 Ordinance (Chapter 282 of the Laws of Hong Kong) and the 計劃條例（香港法例第485章）。於年內，本 Mandatory Provident Fund Schemes Ordinance (Chapter 485 集團並無違反任何有關僱傭的法律及法規。 of th</t>
        </is>
      </c>
    </row>
    <row r="58">
      <c r="A58" s="8" t="inlineStr">
        <is>
          <t>ESG Data</t>
        </is>
      </c>
      <c r="B58" s="8" t="inlineStr">
        <is>
          <t>環境社會及管治數據</t>
        </is>
      </c>
      <c r="C58" s="8" t="inlineStr">
        <is>
          <t>medium</t>
        </is>
      </c>
      <c r="D58" s="11" t="inlineStr">
        <is>
          <t>環境、社會及管治</t>
        </is>
      </c>
      <c r="E58" s="11" t="inlineStr">
        <is>
          <t>PDF p.33 (印刷頁 32)</t>
        </is>
      </c>
      <c r="F58" s="11" t="inlineStr">
        <is>
          <t>Environmental, Social and Governance Report 環境、社會及管治報告 The Group is committed to ensuring its businesses are 本集團致力確保其業務營運遵守以下具有 operated in compliance with the following laws and 重大影響的法律及法規： regulations which have significant impact: a. Employees’ Compensation Ordinance (Chapter 282 of a. 《僱員補償條例》（香港法例第282 the Laws of Hong Kong); 章）； b. Occupiers Liability Ordinance (Chapter 314 of the Laws b. 《佔用人法律責任條例》（香港法例第 of Hong Kong); 314章）； c. Mini</t>
        </is>
      </c>
    </row>
    <row r="59">
      <c r="A59" s="8" t="inlineStr">
        <is>
          <t>ESG Data</t>
        </is>
      </c>
      <c r="B59" s="8" t="inlineStr">
        <is>
          <t>環境社會及管治數據</t>
        </is>
      </c>
      <c r="C59" s="8" t="inlineStr">
        <is>
          <t>medium</t>
        </is>
      </c>
      <c r="D59" s="11" t="inlineStr">
        <is>
          <t>環境、社會及管治</t>
        </is>
      </c>
      <c r="E59" s="11" t="inlineStr">
        <is>
          <t>PDF p.34 (印刷頁 33)</t>
        </is>
      </c>
      <c r="F59" s="11" t="inlineStr">
        <is>
          <t>Environmental, Social and Governance Report 環境、社會及管治報告 Staff Composition 員工構成 As at 31 March 2026, the Group employed a total of 165 於2026年3月31日，本集團共僱用165名 (2025: 79) staff. All staff members are allocated in Hong Kong （2025年：79名）員工。所有工作人員均分 and the PRC. 派在香港以及中國。 (a) Employee’s Employment Type Distribution (a) 員工僱傭類型分佈 2026 2025 2026年 2025年 Employment type Male Female Male Female 僱傭類型 男性 女性 男性 女性 Part-time staff 0% 0% 0% 0% 兼職員工 Full-time</t>
        </is>
      </c>
    </row>
    <row r="60">
      <c r="A60" s="8" t="inlineStr">
        <is>
          <t>ESG Data</t>
        </is>
      </c>
      <c r="B60" s="8" t="inlineStr">
        <is>
          <t>環境社會及管治數據</t>
        </is>
      </c>
      <c r="C60" s="8" t="inlineStr">
        <is>
          <t>medium</t>
        </is>
      </c>
      <c r="D60" s="11" t="inlineStr">
        <is>
          <t>環境、社會及管治</t>
        </is>
      </c>
      <c r="E60" s="11" t="inlineStr">
        <is>
          <t>PDF p.35 (印刷頁 34)</t>
        </is>
      </c>
      <c r="F60" s="11" t="inlineStr">
        <is>
          <t>Environmental, Social and Governance Report 環境、社會及管治報告 (c) Employee’s Geographical and Gender Distribution (c) 員工地區及性別分佈 2026 2025 2026年 2025年 Geographical Male Female Male Female 地區 男性 女性 男性 女性 Hong Kong 26% 11% 52% 18% 香港 The PRC 29% 34% 23% 7% 中國 Total 55% 45% 75% 25% 總數 The Group will continue to provide a well-structured 本集團將繼續為員工提供結構良好、 and caring environment to employees to raise their 關愛的環境，以提高本集團員工的歸 sense of belonging and work eff</t>
        </is>
      </c>
    </row>
    <row r="61">
      <c r="A61" s="8" t="inlineStr">
        <is>
          <t>ESG Data</t>
        </is>
      </c>
      <c r="B61" s="8" t="inlineStr">
        <is>
          <t>環境社會及管治數據</t>
        </is>
      </c>
      <c r="C61" s="8" t="inlineStr">
        <is>
          <t>medium</t>
        </is>
      </c>
      <c r="D61" s="11" t="inlineStr">
        <is>
          <t>環境、社會及管治</t>
        </is>
      </c>
      <c r="E61" s="11" t="inlineStr">
        <is>
          <t>PDF p.36 (印刷頁 35)</t>
        </is>
      </c>
      <c r="F61" s="11" t="inlineStr">
        <is>
          <t>Environmental, Social and Governance Report 環境、社會及管治報告 The Group provides its employee with flexible rest leave 本集團為員工提供靈活的休息休假安排、 arrangement, medical and hospital scheme. The Group 醫療及醫院計劃。本集團明白為員工提供 understands that a good working environment for its 一個安全、舒適的良好工作環境非常重要。 employees with a safe and comfortable working condition is 本集團已制定明晰的颱風、暴雨警告工作 very important. A set of clear guideline of work arrangement 安排指引，以便員工據此行事。 under typhoon an</t>
        </is>
      </c>
    </row>
    <row r="62">
      <c r="A62" s="8" t="inlineStr">
        <is>
          <t>ESG Data</t>
        </is>
      </c>
      <c r="B62" s="8" t="inlineStr">
        <is>
          <t>環境社會及管治數據</t>
        </is>
      </c>
      <c r="C62" s="8" t="inlineStr">
        <is>
          <t>medium</t>
        </is>
      </c>
      <c r="D62" s="11" t="inlineStr">
        <is>
          <t>環境、社會及管治</t>
        </is>
      </c>
      <c r="E62" s="11" t="inlineStr">
        <is>
          <t>PDF p.37 (印刷頁 36)</t>
        </is>
      </c>
      <c r="F62" s="11" t="inlineStr">
        <is>
          <t>Environmental, Social and Governance Report 環境、社會及管治報告 B4 Labour Standard B4 勞工準則 The Group is fully awarded that child labour and forced 本集團充分認識到，童工及強制勞工違反 labour violate fundamental human rights, International Labour 基本人權、國際勞工公約和建議書，並可 Conventions and Recommendations and poses a threat to 能對社會與經濟的可持續發展構成威脅。 sustainable social and economic development. Therefore, the 因此，本集團嚴格遵守相關法律及法規。 Group strictly complied with relevant laws and regulat</t>
        </is>
      </c>
    </row>
    <row r="63">
      <c r="A63" s="8" t="inlineStr">
        <is>
          <t>ESG Data</t>
        </is>
      </c>
      <c r="B63" s="8" t="inlineStr">
        <is>
          <t>環境社會及管治數據</t>
        </is>
      </c>
      <c r="C63" s="8" t="inlineStr">
        <is>
          <t>medium</t>
        </is>
      </c>
      <c r="D63" s="11" t="inlineStr">
        <is>
          <t>sustainability</t>
        </is>
      </c>
      <c r="E63" s="11" t="inlineStr">
        <is>
          <t>PDF p.38 (印刷頁 37)</t>
        </is>
      </c>
      <c r="F63" s="11" t="inlineStr">
        <is>
          <t>境有利的產品及服務。 preferable products and services in supply chain. Performance of suppliers impose direct impact on the 供應商的表現對本集團經營的可持續性有 sustainability of the Group’s operation. The Group implements 直接影響。本集團嚴格執行甄選供應商的 the procedures on selection of suppliers strictly to minimize 程序，以盡量減少本集團供應鏈的環境及 both the environmental and social risks of the Group’s supply 社會風險。我們已建立有系統的供應商管 chain. A systematic supplier management mechanism has 理機制，密切監測供應商的表現。於2026 been set up to closely monitor the performance of suppliers. 年3月31日，本集團有62家主要供應商。</t>
        </is>
      </c>
    </row>
    <row r="64">
      <c r="A64" s="8" t="inlineStr">
        <is>
          <t>ESG Data</t>
        </is>
      </c>
      <c r="B64" s="8" t="inlineStr">
        <is>
          <t>環境社會及管治數據</t>
        </is>
      </c>
      <c r="C64" s="8" t="inlineStr">
        <is>
          <t>medium</t>
        </is>
      </c>
      <c r="D64" s="11" t="inlineStr">
        <is>
          <t>環境、社會及管治</t>
        </is>
      </c>
      <c r="E64" s="11" t="inlineStr">
        <is>
          <t>PDF p.39 (印刷頁 38)</t>
        </is>
      </c>
      <c r="F64" s="11" t="inlineStr">
        <is>
          <t>Environmental, Social and Governance Report 環境、社會及管治報告 B6 Product Responsibility B6 產品責任 A high priority for the Group is to ensure customer 確保顧客滿意我們的產品及服務是本集團 satisfaction in terms of the products and services. Strenuous 的首要任務。本集團致力確保本集團在產 efforts are made to ensure compliance with the relevant 品健康與安全、廣告、標籤以及私隱權方 laws and regulations relating to product health and safety, 面遵守本集團經營所在司法權區的相關法 advertising, labelling and privacy matters of the</t>
        </is>
      </c>
    </row>
    <row r="65">
      <c r="A65" s="8" t="inlineStr">
        <is>
          <t>ESG Data</t>
        </is>
      </c>
      <c r="B65" s="8" t="inlineStr">
        <is>
          <t>環境社會及管治數據</t>
        </is>
      </c>
      <c r="C65" s="8" t="inlineStr">
        <is>
          <t>medium</t>
        </is>
      </c>
      <c r="D65" s="11" t="inlineStr">
        <is>
          <t>sustainability</t>
        </is>
      </c>
      <c r="E65" s="11" t="inlineStr">
        <is>
          <t>PDF p.40 (印刷頁 39)</t>
        </is>
      </c>
      <c r="F65" s="11" t="inlineStr">
        <is>
          <t>al responsibility, as well as a 礎，也是企業競爭優勢與可持續性的基本 fundamental element for a business’s competitive advantage 因素。本集團致力於實現開放、廉潔及問 and sustainability. The Group is committed to the highest 責制的最高可能標準。 possible standards of openness, probity and accountability. To combat corruption and to govern conflicts of interest, 為打擊貪污及管治利益衝突，除非得到本 unless with the Group’s approval, Directors and employees 集團批准，否則董事及僱員不得從同事、 are prohibited from accepting any valuable items from co- 客戶、供應商或其他持份者處獲取任何有 workers, customers, suppliers or other stake</t>
        </is>
      </c>
    </row>
    <row r="66">
      <c r="A66" s="8" t="inlineStr">
        <is>
          <t>ESG Data</t>
        </is>
      </c>
      <c r="B66" s="8" t="inlineStr">
        <is>
          <t>環境社會及管治數據</t>
        </is>
      </c>
      <c r="C66" s="8" t="inlineStr">
        <is>
          <t>medium</t>
        </is>
      </c>
      <c r="D66" s="11" t="inlineStr">
        <is>
          <t>環境、社會及管治</t>
        </is>
      </c>
      <c r="E66" s="11" t="inlineStr">
        <is>
          <t>PDF p.79 (印刷頁 78)</t>
        </is>
      </c>
      <c r="F66" s="11" t="inlineStr">
        <is>
          <t>icies and key relationship 有關本集團環保政策與僱員的主要關係的論述載於本年 with employees is set out in the section headed “Environmental, Social 報第19至39頁之「環境、社會及管治報告」。 and Governance Report” from pages 19 to 39 of this annual report. CONFIRMATION OF INDEPENDENCE 獨立性確認書 The Company has received annual confirmation of independence from 本公司已接獲各名獨立非執行董事根據GEM上市規則第 each of the independent non-executive Directors pursuant to the factors 5.09條所載因素而作出的年度獨立性確認書。本公司認 as set out in Rule 5.09 of the GEM Listing Rules. The Company considers 為全體獨立非執行董事均為獨立。 all in</t>
        </is>
      </c>
    </row>
    <row r="67">
      <c r="A67" s="8" t="inlineStr">
        <is>
          <t>R&amp;D Expenditure</t>
        </is>
      </c>
      <c r="B67" s="8" t="inlineStr">
        <is>
          <t>研發開支</t>
        </is>
      </c>
      <c r="C67" s="8" t="inlineStr">
        <is>
          <t>medium</t>
        </is>
      </c>
      <c r="D67" s="11" t="inlineStr">
        <is>
          <t>research and development</t>
        </is>
      </c>
      <c r="E67" s="11" t="inlineStr">
        <is>
          <t>PDF p.6 (印刷頁 5)</t>
        </is>
      </c>
      <c r="F67" s="11" t="inlineStr">
        <is>
          <t>) setting up a new and separate software development centre in the PRC to further enhance and develop the Group’s software; and (iv) research and development on touchless biometrics identification devices and Artificial Intelligence &amp; Internet of Things (“AIoT”). 5 盈證國際控股有限公司 / 年報2026</t>
        </is>
      </c>
    </row>
    <row r="68">
      <c r="A68" s="8" t="inlineStr">
        <is>
          <t>R&amp;D Expenditure</t>
        </is>
      </c>
      <c r="B68" s="8" t="inlineStr">
        <is>
          <t>研發開支</t>
        </is>
      </c>
      <c r="C68" s="8" t="inlineStr">
        <is>
          <t>medium</t>
        </is>
      </c>
      <c r="D68" s="11" t="inlineStr">
        <is>
          <t>research and development</t>
        </is>
      </c>
      <c r="E68" s="11" t="inlineStr">
        <is>
          <t>PDF p.11 (印刷頁 10)</t>
        </is>
      </c>
      <c r="F68" s="11" t="inlineStr">
        <is>
          <t>集團已將部分上市 the COVID-19 pandemic. As such, the Group has applied part of the net 所得款項淨額用於研發非接觸式生物特徵識別裝置及 proceeds from the Listing for research and development on touchless AIoT。本集團計劃利用AIoT多元化其非接觸式生物特徵 biometrics identification devices and AIoT. The Group plans to diversify 識別裝置的功能及應用，以佔領具醫療相關功能的非接 the functions of its touchless biometrics identification devices and their 觸式生物特徵識別裝置市場。展望未來，董事會認為， applications by utilizing AIoT in order to capture the market of touchless AIoT及其功能可應用於本集團生物特徵識別裝置可涉及 biometrics identification devices</t>
        </is>
      </c>
    </row>
    <row r="69">
      <c r="A69" s="8" t="inlineStr">
        <is>
          <t>R&amp;D Expenditure</t>
        </is>
      </c>
      <c r="B69" s="8" t="inlineStr">
        <is>
          <t>研發開支</t>
        </is>
      </c>
      <c r="C69" s="8" t="inlineStr">
        <is>
          <t>medium</t>
        </is>
      </c>
      <c r="D69" s="11" t="inlineStr">
        <is>
          <t>研發</t>
        </is>
      </c>
      <c r="E69" s="11" t="inlineStr">
        <is>
          <t>PDF p.14 (印刷頁 13)</t>
        </is>
      </c>
      <c r="F69" s="11" t="inlineStr">
        <is>
          <t>ponsible for overseeing corporate 公司政策及人力資源。彼擔任誠威、專訊科技、專訊工 policies and human resources of the Group. She is a director of Power 程、專訊研發及專訊深圳的董事。阮女士辭任本公司合 Truth, SE Technology, SE Engineering, SE R&amp;D and SE Shenzhen. Ms. 規主任及本公司薪酬委員會成員，自2024年7月20日 Pauline Yuen resigned from the positions of compliance officer of the 起生效。 Company and member of the Remuneration Committee of the Company with effect from 20 July 2024. Ms. Pauline Yuen has over 33 years of experience in accounting, during 阮女士在會計方面擁有逾33年經驗，期間彼亦獲得逾 which she has also o</t>
        </is>
      </c>
    </row>
    <row r="70">
      <c r="A70" s="8" t="inlineStr">
        <is>
          <t>R&amp;D Expenditure</t>
        </is>
      </c>
      <c r="B70" s="8" t="inlineStr">
        <is>
          <t>研發開支</t>
        </is>
      </c>
      <c r="C70" s="8" t="inlineStr">
        <is>
          <t>medium</t>
        </is>
      </c>
      <c r="D70" s="11" t="inlineStr">
        <is>
          <t>研發</t>
        </is>
      </c>
      <c r="E70" s="11" t="inlineStr">
        <is>
          <t>PDF p.16 (印刷頁 15)</t>
        </is>
      </c>
      <c r="F70" s="11" t="inlineStr">
        <is>
          <t>, Solution Expert 科技有限公司（「專訊科技」）、專訊工程有限公司（「專訊 Technology Limited (“SE Technology”), Solution Expert Engineering 工程」）及專訊科技研究發展有限公司（「專訊研發」）的董 Limited (“SE Engineering”) and Solution Expert Technology (R&amp;D) 事。彼亦為專訊科技（深圳）有限公司（「專訊深圳」）的主 Limited (“SE R&amp;D”). He is also the chairman, general manager and legal 席、總經理及法定代表人。 representative of Solution Expert Technology (Shenzhen) Limited* (“SE Shenzhen”). Mr. Tony Yuen has over 29 years of experience in software programming. 阮先生在軟件程式方面擁有逾29年經驗。彼於1995年1 He obtained a bachelor of engineerin</t>
        </is>
      </c>
    </row>
    <row r="71">
      <c r="A71" s="8" t="inlineStr">
        <is>
          <t>R&amp;D Expenditure</t>
        </is>
      </c>
      <c r="B71" s="8" t="inlineStr">
        <is>
          <t>研發開支</t>
        </is>
      </c>
      <c r="C71" s="8" t="inlineStr">
        <is>
          <t>medium</t>
        </is>
      </c>
      <c r="D71" s="11" t="inlineStr">
        <is>
          <t>研發</t>
        </is>
      </c>
      <c r="E71" s="11" t="inlineStr">
        <is>
          <t>PDF p.108 (印刷頁 107)</t>
        </is>
      </c>
      <c r="F71" s="11" t="inlineStr">
        <is>
          <t>a 檢討。 finite useful life are reviewed at the end of each reporting period. Expenditure incurred on projects to develop new products 研發新產品項目所產生的開支只會在本集 is capitalised and deferred only when the Group can 團能夠顯示其在技術上能夠完成無形資產 demonstrate the technical feasibility of completing the 以能供使用或出售、打算完成資產並能夠 intangible asset so that it will be available for use or sale, its 加以使用或將之出售、資產如何產生未來 intention to complete and its ability to use or sell the asset, 經濟利益、有足夠資源以完成項目並且有 how the asset will generate future economic benefits, the 能力可靠地計算發</t>
        </is>
      </c>
    </row>
    <row r="72">
      <c r="A72" s="8" t="inlineStr">
        <is>
          <t>R&amp;D Expenditure</t>
        </is>
      </c>
      <c r="B72" s="8" t="inlineStr">
        <is>
          <t>研發開支</t>
        </is>
      </c>
      <c r="C72" s="8" t="inlineStr">
        <is>
          <t>medium</t>
        </is>
      </c>
      <c r="D72" s="11" t="inlineStr">
        <is>
          <t>開發成本</t>
        </is>
      </c>
      <c r="E72" s="11" t="inlineStr">
        <is>
          <t>PDF p.153 (印刷頁 152)</t>
        </is>
      </c>
      <c r="F72" s="11" t="inlineStr">
        <is>
          <t>26 於2026年3月31日 – At 31 March 2025 於2025年3月31日 – Intangible assets represent internally generated capitalised software 無形資產指內部產生之資本化軟件開發成本。該 development costs. Such intangible assets have definite useful life 等無形資產具有有限可使用年期並按直線法於5 and are amortised on a straight-line basis over 5 years. 年內攤銷。 20. INVENTORIES 20. 存貨 2026 2025 2026年 2025年 HK$’000 HK$’000 千港元 千港元 Merchandises 商品 19,486 19,310 At the end of reporting period, the Group’s inventories are stated at 於報告期末，本集團存貨按成本減存貨撥備列賬。 cost less allowance for inventories. During the</t>
        </is>
      </c>
    </row>
    <row r="73">
      <c r="A73" s="8" t="inlineStr">
        <is>
          <t>Segment Information</t>
        </is>
      </c>
      <c r="B73" s="8" t="inlineStr">
        <is>
          <t>分部資料</t>
        </is>
      </c>
      <c r="C73" s="8" t="inlineStr">
        <is>
          <t>medium</t>
        </is>
      </c>
      <c r="D73" s="11" t="inlineStr">
        <is>
          <t>geographical</t>
        </is>
      </c>
      <c r="E73" s="11" t="inlineStr">
        <is>
          <t>PDF p.35 (印刷頁 34)</t>
        </is>
      </c>
      <c r="F73" s="11" t="inlineStr">
        <is>
          <t>Environmental, Social and Governance Report 環境、社會及管治報告 (c) Employee’s Geographical and Gender Distribution (c) 員工地區及性別分佈 2026 2025 2026年 2025年 Geographical Male Female Male Female 地區 男性 女性 男性 女性 Hong Kong 26% 11% 52% 18% 香港 The PRC 29% 34% 23% 7% 中國 Total 55% 45% 75% 25% 總數 The Group will continue to provide a well-structured 本集團將繼續為員工提供結構良好、 and caring environment to employees to raise their 關愛的環境，以提高本集團員工的歸 sense of belonging and work efficiency in the Group. 屬感與工</t>
        </is>
      </c>
    </row>
    <row r="74">
      <c r="A74" s="8" t="inlineStr">
        <is>
          <t>Segment Information</t>
        </is>
      </c>
      <c r="B74" s="8" t="inlineStr">
        <is>
          <t>分部資料</t>
        </is>
      </c>
      <c r="C74" s="8" t="inlineStr">
        <is>
          <t>medium</t>
        </is>
      </c>
      <c r="D74" s="11" t="inlineStr">
        <is>
          <t>geographical</t>
        </is>
      </c>
      <c r="E74" s="11" t="inlineStr">
        <is>
          <t>PDF p.38 (印刷頁 37)</t>
        </is>
      </c>
      <c r="F74" s="11" t="inlineStr">
        <is>
          <t>up to closely monitor the performance of suppliers. 年3月31日，本集團有62家主要供應商。 As at 31 March 2026, the Group has 62 major suppliers. The geographical distribution of suppliers are set out below: 供應商的地區分佈載列如下： By Location 2026 按地區劃分 2026年 Hong Kong 53% 香港 China 40% 中國 Macau 2% 澳門 Malaysia 2% 馬來西亞 Korea 3% 南韓 Other countries 0% 其他國家 Total 100% 總數 37 盈證國際控股有限公司 / 年報2026</t>
        </is>
      </c>
    </row>
    <row r="75">
      <c r="A75" s="8" t="inlineStr">
        <is>
          <t>Segment Information</t>
        </is>
      </c>
      <c r="B75" s="8" t="inlineStr">
        <is>
          <t>分部資料</t>
        </is>
      </c>
      <c r="C75" s="8" t="inlineStr">
        <is>
          <t>medium</t>
        </is>
      </c>
      <c r="D75" s="11" t="inlineStr">
        <is>
          <t>geographical</t>
        </is>
      </c>
      <c r="E75" s="11" t="inlineStr">
        <is>
          <t>PDF p.70 (印刷頁 69)</t>
        </is>
      </c>
      <c r="F75" s="11" t="inlineStr">
        <is>
          <t>ts. There were no significant changes in the nature of 業務性質並無重大變動。 the Group’s principal activities during the year. The analysis of geographical locations of the Group for the year is set out 於年內，本集團的地理位置分析載於綜合財務報表附註 in note 7 to the consolidated financial statements. 7。 69 盈證國際控股有限公司 / 年報2026</t>
        </is>
      </c>
    </row>
    <row r="76">
      <c r="A76" s="8" t="inlineStr">
        <is>
          <t>Segment Information</t>
        </is>
      </c>
      <c r="B76" s="8" t="inlineStr">
        <is>
          <t>分部資料</t>
        </is>
      </c>
      <c r="C76" s="8" t="inlineStr">
        <is>
          <t>medium</t>
        </is>
      </c>
      <c r="D76" s="11" t="inlineStr">
        <is>
          <t>segment information</t>
        </is>
      </c>
      <c r="E76" s="11" t="inlineStr">
        <is>
          <t>PDF p.71 (印刷頁 70)</t>
        </is>
      </c>
      <c r="F76" s="11" t="inlineStr">
        <is>
          <t>論及分析」一節。有關討論構成本董事會報告的一 and Analysis” on pages 7 to 12 of the annual report. The discussion forms 部分。 part of this Director’s report. SEGMENT INFORMATION 分部資料 Details of segment reporting are set out in note 7 to the consolidated 有關分部資料的詳情載於綜合財務報表附註7。 financial statements. RESULTS AND APPROPRIATION 業績及分派 The results of the Group for the year ended 31 March 2026 and the state 本集團截至2026年3月31日止年度之業績以及本公司 of the Company’s and the Group’s affairs as at that date are set out in 及本集團於該日的事務狀況載於第89至175頁綜合財務 the consolidated financial sta</t>
        </is>
      </c>
    </row>
    <row r="77">
      <c r="A77" s="8" t="inlineStr">
        <is>
          <t>Segment Information</t>
        </is>
      </c>
      <c r="B77" s="8" t="inlineStr">
        <is>
          <t>分部資料</t>
        </is>
      </c>
      <c r="C77" s="8" t="inlineStr">
        <is>
          <t>medium</t>
        </is>
      </c>
      <c r="D77" s="11" t="inlineStr">
        <is>
          <t>segment information</t>
        </is>
      </c>
      <c r="E77" s="11" t="inlineStr">
        <is>
          <t>PDF p.135 (印刷頁 134)</t>
        </is>
      </c>
      <c r="F77" s="11" t="inlineStr">
        <is>
          <t>as reflected in the consolidated statement 狀況表反映的賬面值與其各自的公平值相 of financial position approximate their respective fair values. 若。 7. SEGMENT INFORMATION 7. 分部資料 The Group has two reportable segments as follows: 本集團的兩個可呈報分部如下： — Sales of biometrics identification devices, security products — 銷售生物特徵識別裝置、保安產品及其他 and other accessories; and 配件；及 — Provision of auxiliary services, including (i) maintenance, — 提供配套服務，包括(i)維護、安裝及解決方 installation, and solution services, and (ii) software licensing 案服務，以及(ii)軟件許可服務；提供網上 services; provisi</t>
        </is>
      </c>
    </row>
    <row r="78">
      <c r="A78" s="8" t="inlineStr">
        <is>
          <t>Segment Information</t>
        </is>
      </c>
      <c r="B78" s="8" t="inlineStr">
        <is>
          <t>分部資料</t>
        </is>
      </c>
      <c r="C78" s="8" t="inlineStr">
        <is>
          <t>medium</t>
        </is>
      </c>
      <c r="D78" s="11" t="inlineStr">
        <is>
          <t>segment information</t>
        </is>
      </c>
      <c r="E78" s="11" t="inlineStr">
        <is>
          <t>PDF p.136 (印刷頁 135)</t>
        </is>
      </c>
      <c r="F78" s="11" t="inlineStr">
        <is>
          <t>Notes to the Consolidated Financial Statements 綜合財務報表附註 For the year ended 31 March 2026 截至2026年3月31日止年度 7. SEGMENT INFORMATION (continued) 7. 分部資料（續） (a) Operating segment of the Group (a) 本集團經營分部 Information about reportable segment profit or loss: 有關可呈報分部損益的資料： Provision of Sales of auxiliary biometrics services, identification online devices, information security and digital products marketing and other services, and accessories other services Total 銷售生物特徵 提供配套服務、 識別裝置、 網上資訊及 保安產品 數碼營銷服務 及其他配件 以及其他服</t>
        </is>
      </c>
    </row>
    <row r="79">
      <c r="A79" s="8" t="inlineStr">
        <is>
          <t>Segment Information</t>
        </is>
      </c>
      <c r="B79" s="8" t="inlineStr">
        <is>
          <t>分部資料</t>
        </is>
      </c>
      <c r="C79" s="8" t="inlineStr">
        <is>
          <t>medium</t>
        </is>
      </c>
      <c r="D79" s="11" t="inlineStr">
        <is>
          <t>segment information</t>
        </is>
      </c>
      <c r="E79" s="11" t="inlineStr">
        <is>
          <t>PDF p.137 (印刷頁 136)</t>
        </is>
      </c>
      <c r="F79" s="11" t="inlineStr">
        <is>
          <t>Notes to the Consolidated Financial Statements 綜合財務報表附註 For the year ended 31 March 2026 截至2026年3月31日止年度 7. SEGMENT INFORMATION (continued) 7. 分部資料（續） (b) Geographical information (b) 地理資料 Information about the Group’s non-current assets based on 有關本集團按所處地區位置之非流動資產 the geographical location is presented as follows: 資料呈列如下： 2026 2025 2026年 2025年 HK$’000 HK$’000 千港元 千港元 Hong Kong 香港 154 269 PRC 中國 5,347 – 5,501 269 Non-current assets include property, plant and equipment, 非流動資產包括物業、廠房及設備、使用 right-of-use a</t>
        </is>
      </c>
    </row>
    <row r="80">
      <c r="A80" s="8" t="inlineStr">
        <is>
          <t>Share-based Payment</t>
        </is>
      </c>
      <c r="B80" s="8" t="inlineStr">
        <is>
          <t>以股份為基礎的付款</t>
        </is>
      </c>
      <c r="C80" s="8" t="inlineStr">
        <is>
          <t>medium</t>
        </is>
      </c>
      <c r="D80" s="11" t="inlineStr">
        <is>
          <t>share option</t>
        </is>
      </c>
      <c r="E80" s="11" t="inlineStr">
        <is>
          <t>PDF p.11 (印刷頁 10)</t>
        </is>
      </c>
      <c r="F80" s="11" t="inlineStr">
        <is>
          <t>remuneration 括培訓及購股權。 payable to its employees includes salaries and allowances. Other benefits and incentives include training and share option. 10 Prime Intelligence Solutions Group Limited / Annual Report 2026</t>
        </is>
      </c>
    </row>
    <row r="81">
      <c r="A81" s="8" t="inlineStr">
        <is>
          <t>Share-based Payment</t>
        </is>
      </c>
      <c r="B81" s="8" t="inlineStr">
        <is>
          <t>以股份為基礎的付款</t>
        </is>
      </c>
      <c r="C81" s="8" t="inlineStr">
        <is>
          <t>medium</t>
        </is>
      </c>
      <c r="D81" s="11" t="inlineStr">
        <is>
          <t>share option</t>
        </is>
      </c>
      <c r="E81" s="11" t="inlineStr">
        <is>
          <t>PDF p.13 (印刷頁 12)</t>
        </is>
      </c>
      <c r="F81" s="11" t="inlineStr">
        <is>
          <t>ividend 股息 The Directors do not recommend payment of a final dividend for the year 董事不建議就截至2026年3月31日止年度派付末期股息。 ended 31 March 2026. Share Option Schemes 購股權計劃 The share option scheme of the Company (the “Share Option Scheme”) 本公司購股權計劃（「該購股權計劃」）乃根據當時本公司 was adopted pursuant to a resolution passed by the then shareholders of 股東（「股東」）於2018年1月18日通過的決議案採納， the Company (the “Shareholders”) on 18 January 2018 for the primary 主要目的為吸引、保留及激勵有才能的參與者為本集團 purpose to attract, retain and motivate talented participants, to strive for 的未來發展及擴展</t>
        </is>
      </c>
    </row>
    <row r="82">
      <c r="A82" s="8" t="inlineStr">
        <is>
          <t>Share-based Payment</t>
        </is>
      </c>
      <c r="B82" s="8" t="inlineStr">
        <is>
          <t>以股份為基礎的付款</t>
        </is>
      </c>
      <c r="C82" s="8" t="inlineStr">
        <is>
          <t>medium</t>
        </is>
      </c>
      <c r="D82" s="11" t="inlineStr">
        <is>
          <t>share option</t>
        </is>
      </c>
      <c r="E82" s="11" t="inlineStr">
        <is>
          <t>PDF p.48 (印刷頁 47)</t>
        </is>
      </c>
      <c r="F82" s="11" t="inlineStr">
        <is>
          <t>有董事均有權就彼等履行本公司職責而產生的合理開 incurred during the performance of their duties to the Company and are 支獲得補償，且合資格獲得該購股權計劃下的購股權。 eligible for share options under the Share Option Scheme. BOARD COMMITTEES 董事委員會 The Board has established three board committees, namely, the audit 董事會已成立三個董事委員會，即審核委員會（「審核委 committee (the “Audit Committee”), the remuneration committee 員會」）、薪酬委員會（「薪酬委員會」）及提名委員會（「提 (the “Remuneration Committee”) and the nomination committee 名委員會」），全部已制定特定職權範圍，明確界定各董 (the “Nomination Committee”), all with specific terms of refe</t>
        </is>
      </c>
    </row>
    <row r="83">
      <c r="A83" s="8" t="inlineStr">
        <is>
          <t>Share-based Payment</t>
        </is>
      </c>
      <c r="B83" s="8" t="inlineStr">
        <is>
          <t>以股份為基礎的付款</t>
        </is>
      </c>
      <c r="C83" s="8" t="inlineStr">
        <is>
          <t>medium</t>
        </is>
      </c>
      <c r="D83" s="11" t="inlineStr">
        <is>
          <t>share option</t>
        </is>
      </c>
      <c r="E83" s="11" t="inlineStr">
        <is>
          <t>PDF p.56 (印刷頁 55)</t>
        </is>
      </c>
      <c r="F83" s="11" t="inlineStr">
        <is>
          <t>tor who has a material interest in any such contracts shall not sit on the Remuneration Committee; (xii) to consider the granting of share options to Directors pursuant to (xii) 考慮根據本公司採納之任何購股權計劃向董事授 any share option scheme adopted by the Company; 出購股權； (xiii) to ensure due compliance with any relevant disclosure requirements (xiii) 確保妥為遵守GEM上市規則、公司條例及任何其 in respect of the remuneration of Directors under the GEM 他法定規定內任何有關董事薪酬之相關披露的規 Listing Rules, the Companies Ordinance and any other statutory 定； requirements; (xiv) to consul</t>
        </is>
      </c>
    </row>
    <row r="84">
      <c r="A84" s="8" t="inlineStr">
        <is>
          <t>Share-based Payment</t>
        </is>
      </c>
      <c r="B84" s="8" t="inlineStr">
        <is>
          <t>以股份為基礎的付款</t>
        </is>
      </c>
      <c r="C84" s="8" t="inlineStr">
        <is>
          <t>medium</t>
        </is>
      </c>
      <c r="D84" s="11" t="inlineStr">
        <is>
          <t>share option</t>
        </is>
      </c>
      <c r="E84" s="11" t="inlineStr">
        <is>
          <t>PDF p.77 (印刷頁 76)</t>
        </is>
      </c>
      <c r="F84" s="11" t="inlineStr">
        <is>
          <t>derlying 團的股份、相關股份及債權證的權益及淡倉」及「購股權 Shares and Debentures of the Company or any Associated Corporation” 計劃」各段披露者以及招股章程所闡述重組及資本化發 and “Share Option Scheme” in this annual report, and save for the 行外，本公司或其任何附屬公司或其母公司概無於截至 reorganisation and the capitalisation issue as explained in the Prospectus, 2026年3月31日止年度任何時間訂立任何安排，使董事 at no time during the year ended 31 March 2026 was the Company, or 及最高行政人員（包括其配偶及18歲以下的子女）可透 any of its subsidiaries or its parent company a party to any arrangements 過收購本公司或任何其相聯法團所收購的股份或相關股 to enable the Dire</t>
        </is>
      </c>
    </row>
    <row r="85">
      <c r="A85" s="8" t="inlineStr">
        <is>
          <t>Share-based Payment</t>
        </is>
      </c>
      <c r="B85" s="8" t="inlineStr">
        <is>
          <t>以股份為基礎的付款</t>
        </is>
      </c>
      <c r="C85" s="8" t="inlineStr">
        <is>
          <t>medium</t>
        </is>
      </c>
      <c r="D85" s="11" t="inlineStr">
        <is>
          <t>share option</t>
        </is>
      </c>
      <c r="E85" s="11" t="inlineStr">
        <is>
          <t>PDF p.78 (印刷頁 77)</t>
        </is>
      </c>
      <c r="F85" s="11" t="inlineStr">
        <is>
          <t>Directors’ Report 董事會報告 EQUITY-LINKED AGREEMENTS 股票掛鈎協議 Save and except for the Share Option Scheme as disclosed in the 除於上文「購股權計劃」一段所披露的該購股權計劃外， paragraph headed “Share Option Scheme” above, no equity-linked 本公司於截至2026年3月31日止年度並無訂立或於年 agreement that (i) will or may result in the Company issuing shares or (ii) 末存續(i)將或可能導致本公司發行股份或(ii)要求本公司 requires the Company to enter into any agreement that will or may result 訂立任何將或可能導致本公司發行股份的股票掛鈎協議。 in the Company issuing shares, was ente</t>
        </is>
      </c>
    </row>
    <row r="86">
      <c r="A86" s="8" t="inlineStr">
        <is>
          <t>Share-based Payment</t>
        </is>
      </c>
      <c r="B86" s="8" t="inlineStr">
        <is>
          <t>以股份為基礎的付款</t>
        </is>
      </c>
      <c r="C86" s="8" t="inlineStr">
        <is>
          <t>medium</t>
        </is>
      </c>
      <c r="D86" s="11" t="inlineStr">
        <is>
          <t>無風險利率</t>
        </is>
      </c>
      <c r="E86" s="11" t="inlineStr">
        <is>
          <t>PDF p.110 (印刷頁 109)</t>
        </is>
      </c>
      <c r="F86" s="11" t="inlineStr">
        <is>
          <t>erest rate adjusted for credit risk for leases held by 資的租賃，採用建立法，以按信貸風 the group entities, which do not have recent third-party 險調整的無風險利率為起點，及 financing, and • makes adjustments specific to the lease, e.g. term, • 對租賃作出具體調整，如期限、國 country, currency and security. 家、貨幣及安全。 If a readily observable amortising loan rate is available to the 如個別承租人可（透過最近融資或市場數據） individual lessee (through recent financing or market data) 得到輕易可觀察的攤銷貸款利率（具有與租 which has a similar payment profile to the lease, then the 賃類似的支付情況），集團實體將該利率用 group entities u</t>
        </is>
      </c>
    </row>
    <row r="87">
      <c r="A87" s="8" t="inlineStr">
        <is>
          <t>Share-based Payment</t>
        </is>
      </c>
      <c r="B87" s="8" t="inlineStr">
        <is>
          <t>以股份為基礎的付款</t>
        </is>
      </c>
      <c r="C87" s="8" t="inlineStr">
        <is>
          <t>medium</t>
        </is>
      </c>
      <c r="D87" s="11" t="inlineStr">
        <is>
          <t>share option</t>
        </is>
      </c>
      <c r="E87" s="11" t="inlineStr">
        <is>
          <t>PDF p.168 (印刷頁 167)</t>
        </is>
      </c>
      <c r="F87" s="11" t="inlineStr">
        <is>
          <t>n 10 November 2015. The 威於2015年9月30日的資產淨值。 consideration represented the net asset value of Power Truth as at 30 September 2015. 34. SHARE OPTION SCHEME 34. 購股權計劃 On 18 January 2018, written resolution of the shareholders of 2018年1月18日，本公司股東書面決議案獲通過 the Company was passed to conditionally approve and adopt a 以有條件批准及採納購股權計劃（「購股權計劃」） share option scheme (“Share Option Scheme”) to recognise and 以表揚及激勵合資格參與者對本集團已作出或可 motivate the contributions that eligible participants have made or 能作出的貢獻。 may make to the Group. The Share Option S</t>
        </is>
      </c>
    </row>
    <row r="88">
      <c r="A88" s="8" t="inlineStr">
        <is>
          <t>Related Party Transactions</t>
        </is>
      </c>
      <c r="B88" s="8" t="inlineStr">
        <is>
          <t>關聯方交易</t>
        </is>
      </c>
      <c r="C88" s="8" t="inlineStr">
        <is>
          <t>low</t>
        </is>
      </c>
      <c r="D88" s="11" t="inlineStr">
        <is>
          <t>related party</t>
        </is>
      </c>
      <c r="E88" s="11" t="inlineStr">
        <is>
          <t>PDF p.79 (印刷頁 78)</t>
        </is>
      </c>
      <c r="F88" s="11" t="inlineStr">
        <is>
          <t>Rule 5.09 of the GEM Listing Rules. The Company considers 為全體獨立非執行董事均為獨立。 all independent non-executive Directors to be independent. RELATED PARTY TRANSACTIONS 關聯方交易 Details of the related party transactions of the Group are set out in 有關本集團關聯方交易的詳情載於綜合財務報表附註 note 39 to the consolidated financial statements. 39。 CONTINUING CONNECTED TRANSACTIONS 持續關連交易 On 1 February 2026, Prime Intelligence Trading Company Limited, being 於2026年2月1日，本公司間接全資附屬公司匯安智能 an indirectly wholly-owned subsidiary of the Company, entered into a 貿易有限公司（作為租戶）</t>
        </is>
      </c>
    </row>
    <row r="89">
      <c r="A89" s="8" t="inlineStr">
        <is>
          <t>Related Party Transactions</t>
        </is>
      </c>
      <c r="B89" s="8" t="inlineStr">
        <is>
          <t>關聯方交易</t>
        </is>
      </c>
      <c r="C89" s="8" t="inlineStr">
        <is>
          <t>low</t>
        </is>
      </c>
      <c r="D89" s="11" t="inlineStr">
        <is>
          <t>related party</t>
        </is>
      </c>
      <c r="E89" s="11" t="inlineStr">
        <is>
          <t>PDF p.175 (印刷頁 174)</t>
        </is>
      </c>
      <c r="F89" s="11" t="inlineStr">
        <is>
          <t>負債 The Group did not have any contingent liabilities at the end of the 本集團於報告期末並無任何或然負債（2025年： reporting period (2025: Nil). 無）。 39. RELATED PARTY TRANSACTIONS 39. 關聯方交易 Save for those transactions or balances of related parties disclosed 除附註25及綜合財務報表其他章節披露的該等關 in note 25 and elsewhere in the consolidated financial statements, 聯方交易或結餘外，本集團於年內與其關聯方有 the Group had the following material transactions with its related 下列重大交易。 parties during the year. 174 Prime Intelligence Solutions Group Limited / Annual Report 2026</t>
        </is>
      </c>
    </row>
    <row r="90">
      <c r="A90" s="8" t="inlineStr">
        <is>
          <t>Related Party Transactions</t>
        </is>
      </c>
      <c r="B90" s="8" t="inlineStr">
        <is>
          <t>關聯方交易</t>
        </is>
      </c>
      <c r="C90" s="8" t="inlineStr">
        <is>
          <t>low</t>
        </is>
      </c>
      <c r="D90" s="11" t="inlineStr">
        <is>
          <t>related party</t>
        </is>
      </c>
      <c r="E90" s="11" t="inlineStr">
        <is>
          <t>PDF p.176 (印刷頁 175)</t>
        </is>
      </c>
      <c r="F90" s="11" t="inlineStr">
        <is>
          <t>Notes to the Consolidated Financial Statements 綜合財務報表附註 For the year ended 31 March 2026 截至2026年3月31日止年度 39. RELATED PARTY TRANSACTIONS (continued) 39. 關聯方交易（續） (a) Transactions with related parties (a) 與關聯方的交易 2026 2025 2026年 2025年 Note HK$’000 HK$’000 附註 千港元 千港元 Sales of goods to a related company: 向關聯公司銷售商品： — Long Yield Company Limited — 隆逸有限公司（「隆逸」） (“Long Yield”) (i), (ii) 235 62 Services rendered to a related 向關聯公司提供服務： company: — Long Yield — 隆逸 (i), (ii) 97 84 Short-term lease charges on 已</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Profit Before Tax</t>
        </is>
      </c>
    </row>
    <row r="10">
      <c r="A10" s="8" t="inlineStr">
        <is>
          <t>Income Statement</t>
        </is>
      </c>
      <c r="B10" s="8" t="inlineStr">
        <is>
          <t>Profit for the Year</t>
        </is>
      </c>
    </row>
    <row r="11">
      <c r="A11" s="8" t="inlineStr">
        <is>
          <t>Income Statement</t>
        </is>
      </c>
      <c r="B11" s="8" t="inlineStr">
        <is>
          <t>R&amp;D Expenses</t>
        </is>
      </c>
    </row>
    <row r="12">
      <c r="A12" s="8" t="inlineStr">
        <is>
          <t>Income Statement</t>
        </is>
      </c>
      <c r="B12" s="8" t="inlineStr">
        <is>
          <t>Depreciation</t>
        </is>
      </c>
    </row>
    <row r="13">
      <c r="A13" s="8" t="inlineStr">
        <is>
          <t>Income Statement</t>
        </is>
      </c>
      <c r="B13" s="8" t="inlineStr">
        <is>
          <t>Amortisation</t>
        </is>
      </c>
    </row>
    <row r="14">
      <c r="A14" s="8" t="inlineStr">
        <is>
          <t>Balance Sheet</t>
        </is>
      </c>
      <c r="B14" s="8" t="inlineStr">
        <is>
          <t>Total Assets</t>
        </is>
      </c>
    </row>
    <row r="15">
      <c r="A15" s="8" t="inlineStr">
        <is>
          <t>Balance Sheet</t>
        </is>
      </c>
      <c r="B15" s="8" t="inlineStr">
        <is>
          <t>Cash and Equivalents</t>
        </is>
      </c>
    </row>
    <row r="16">
      <c r="A16" s="8" t="inlineStr">
        <is>
          <t>Balance Sheet</t>
        </is>
      </c>
      <c r="B16" s="8" t="inlineStr">
        <is>
          <t>Goodwill</t>
        </is>
      </c>
    </row>
    <row r="17">
      <c r="A17" s="8" t="inlineStr">
        <is>
          <t>Balance Sheet</t>
        </is>
      </c>
      <c r="B17" s="8" t="inlineStr">
        <is>
          <t>Investment Properties</t>
        </is>
      </c>
    </row>
    <row r="18">
      <c r="A18" s="8" t="inlineStr">
        <is>
          <t>Balance Sheet</t>
        </is>
      </c>
      <c r="B18" s="8" t="inlineStr">
        <is>
          <t>Total Liabilities</t>
        </is>
      </c>
    </row>
    <row r="19">
      <c r="A19" s="8" t="inlineStr">
        <is>
          <t>Balance Sheet</t>
        </is>
      </c>
      <c r="B19" s="8" t="inlineStr">
        <is>
          <t>Borrowings</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8" t="n">
        <v>1</v>
      </c>
      <c r="B27" s="8" t="inlineStr">
        <is>
          <t>文字量過低 — 可能為掃描頁/圖表頁</t>
        </is>
      </c>
    </row>
    <row r="28">
      <c r="A28" s="8" t="n">
        <v>178</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2026-08-30T14:17:00Z</dcterms:created>
  <dcterms:modified xsi:type="dcterms:W3CDTF">2026-08-30T14:17:00Z</dcterms:modified>
</cp:coreProperties>
</file>
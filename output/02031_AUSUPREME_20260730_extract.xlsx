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02031_AUSUPREME_20260730.pdf</t>
        </is>
      </c>
    </row>
    <row r="5">
      <c r="A5" s="3" t="inlineStr">
        <is>
          <t>產生時間 Generated</t>
        </is>
      </c>
      <c r="B5" s="4" t="inlineStr">
        <is>
          <t>2026-08-30 22:16</t>
        </is>
      </c>
    </row>
    <row r="6">
      <c r="A6" s="4" t="inlineStr"/>
      <c r="B6" s="4" t="inlineStr"/>
    </row>
    <row r="7">
      <c r="A7" s="3" t="inlineStr">
        <is>
          <t>總頁數 Total pages</t>
        </is>
      </c>
      <c r="B7" s="4" t="n">
        <v>189</v>
      </c>
    </row>
    <row r="8">
      <c r="A8" s="3" t="inlineStr">
        <is>
          <t>已擷取字元 Characters extracted</t>
        </is>
      </c>
      <c r="B8" s="4" t="n">
        <v>396034</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4</v>
      </c>
    </row>
    <row r="13">
      <c r="A13" s="3" t="inlineStr">
        <is>
          <t>財務科目擷取筆數 Financial line items</t>
        </is>
      </c>
      <c r="B13" s="4" t="n">
        <v>18</v>
      </c>
    </row>
    <row r="14">
      <c r="A14" s="3" t="inlineStr">
        <is>
          <t>主題段落擷取筆數 Topic extracts</t>
        </is>
      </c>
      <c r="B14" s="4" t="n">
        <v>76</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171,879 − 35,183 = 136,696</t>
        </is>
      </c>
    </row>
    <row r="20">
      <c r="A20" s="6" t="inlineStr">
        <is>
          <t>✓ 收入 − 銷售成本 = 毛利</t>
        </is>
      </c>
      <c r="B20" s="4" t="inlineStr">
        <is>
          <t>300,244 − 39,135 = 261,109 vs 毛利 261,109</t>
        </is>
      </c>
    </row>
    <row r="21">
      <c r="A21" s="6" t="inlineStr">
        <is>
          <t>✓ 除稅前溢利 ± 稅項 = 年內溢利</t>
        </is>
      </c>
      <c r="B21" s="4" t="inlineStr">
        <is>
          <t>44,370 + 7,019 = 37,351 vs 37,351</t>
        </is>
      </c>
    </row>
    <row r="22">
      <c r="A22" s="6" t="inlineStr">
        <is>
          <t>✓ 三大報表應相鄰</t>
        </is>
      </c>
      <c r="B22" s="4" t="inlineStr">
        <is>
          <t>Income Statement: p.105、Balance Sheet: p.106、Cash Flow: p.109(相距 4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12</v>
      </c>
      <c r="D5" s="10" t="n">
        <v>12</v>
      </c>
      <c r="E5" s="11" t="inlineStr">
        <is>
          <t>12.0%</t>
        </is>
      </c>
      <c r="F5" s="11" t="inlineStr">
        <is>
          <t>High</t>
        </is>
      </c>
      <c r="G5" s="11" t="inlineStr">
        <is>
          <t>PDF p.172 (印刷頁 171)</t>
        </is>
      </c>
      <c r="H5" s="11" t="inlineStr">
        <is>
          <t>roup covering the remaining lease terms of the individual specialty stores. The discount rate applied to cash flow projection is 12.0% (2025: 12.0%). Another key assumption in the calculation is the budgeted revenue and the budgeted gross margin and the</t>
        </is>
      </c>
    </row>
    <row r="6">
      <c r="A6" s="8" t="inlineStr">
        <is>
          <t>Discount Rate</t>
        </is>
      </c>
      <c r="B6" s="8" t="inlineStr">
        <is>
          <t>折現率</t>
        </is>
      </c>
      <c r="C6" s="9" t="n">
        <v>3.1</v>
      </c>
      <c r="D6" s="10" t="n">
        <v>3.1</v>
      </c>
      <c r="E6" s="11" t="inlineStr">
        <is>
          <t>3.1%</t>
        </is>
      </c>
      <c r="F6" s="11" t="inlineStr">
        <is>
          <t>High</t>
        </is>
      </c>
      <c r="G6" s="11" t="inlineStr">
        <is>
          <t>PDF p.185 (印刷頁 184)</t>
        </is>
      </c>
      <c r="H6" s="11" t="inlineStr">
        <is>
          <t>gnificant actuarial assumptions for the determination of the LSP obligation are discount rate of 3.1% (2025: 3.3%) and expected salary increase of 2.5% (2025: 2.0%). The sensitivity analysis below have been determined based on reasonably possible change</t>
        </is>
      </c>
    </row>
    <row r="7">
      <c r="A7" s="8" t="inlineStr">
        <is>
          <t>Gross Margin</t>
        </is>
      </c>
      <c r="B7" s="8" t="inlineStr">
        <is>
          <t>毛利率</t>
        </is>
      </c>
      <c r="C7" s="9" t="n">
        <v>87</v>
      </c>
      <c r="D7" s="10" t="n">
        <v>87</v>
      </c>
      <c r="E7" s="11" t="inlineStr">
        <is>
          <t>87.0%</t>
        </is>
      </c>
      <c r="F7" s="11" t="inlineStr">
        <is>
          <t>High</t>
        </is>
      </c>
      <c r="G7" s="11" t="inlineStr">
        <is>
          <t>PDF p.17 (印刷頁 16)</t>
        </is>
      </c>
      <c r="H7" s="11" t="inlineStr">
        <is>
          <t>0) and profit for the Year amounted to HK$37,351,000 (2025: HK$27,911,000). The gross profit margin held steady for the Year at 87.0% (2025: 86.5%). 16 AUSUPREME INTERNATIONAL HOLDINGS LIMITED Annual Report 2025-26</t>
        </is>
      </c>
    </row>
    <row r="8">
      <c r="A8" s="8" t="inlineStr">
        <is>
          <t>Gross Margin</t>
        </is>
      </c>
      <c r="B8" s="8" t="inlineStr">
        <is>
          <t>毛利率</t>
        </is>
      </c>
      <c r="C8" s="9" t="n">
        <v>5</v>
      </c>
      <c r="D8" s="10" t="n">
        <v>5</v>
      </c>
      <c r="E8" s="11" t="inlineStr">
        <is>
          <t>5%</t>
        </is>
      </c>
      <c r="F8" s="11" t="inlineStr">
        <is>
          <t>High</t>
        </is>
      </c>
      <c r="G8" s="11" t="inlineStr">
        <is>
          <t>PDF p.172 (印刷頁 171)</t>
        </is>
      </c>
      <c r="H8" s="11" t="inlineStr">
        <is>
          <t>ther key assumption in the calculation is the budgeted revenue and the budgeted gross margin and the growth rate 5% (2025: 4%), which is determined based on the past performance of the individual specialty stores and management’s expectations for the 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300244</v>
      </c>
      <c r="D5" s="13" t="n">
        <v>269567</v>
      </c>
      <c r="E5" s="14">
        <f>IF(ISERROR((C5-D5)/ABS(D5)),"",(C5-D5)/ABS(D5))</f>
        <v>0.11380102163840529</v>
      </c>
      <c r="F5" s="11" t="inlineStr">
        <is>
          <t>PDF p.105 (印刷頁 104)</t>
        </is>
      </c>
      <c r="G5" s="11" t="inlineStr">
        <is>
          <t>Revenue 7 300,244 269,567</t>
        </is>
      </c>
    </row>
    <row r="6">
      <c r="A6" s="8" t="inlineStr">
        <is>
          <t>Income Statement</t>
        </is>
      </c>
      <c r="B6" s="8" t="inlineStr">
        <is>
          <t>Cost of Sales</t>
        </is>
      </c>
      <c r="C6" s="12" t="n">
        <v>-39135</v>
      </c>
      <c r="D6" s="13" t="n">
        <v>-36522</v>
      </c>
      <c r="E6" s="14">
        <f>IF(ISERROR((C6-D6)/ABS(D6)),"",(C6-D6)/ABS(D6))</f>
        <v>-0.07154591752916051</v>
      </c>
      <c r="F6" s="11" t="inlineStr">
        <is>
          <t>PDF p.105 (印刷頁 104)</t>
        </is>
      </c>
      <c r="G6" s="11" t="inlineStr">
        <is>
          <t>Cost of sales (39,135) (36,522)</t>
        </is>
      </c>
    </row>
    <row r="7">
      <c r="A7" s="8" t="inlineStr">
        <is>
          <t>Income Statement</t>
        </is>
      </c>
      <c r="B7" s="8" t="inlineStr">
        <is>
          <t>Gross Profit</t>
        </is>
      </c>
      <c r="C7" s="12" t="n">
        <v>261109</v>
      </c>
      <c r="D7" s="13" t="n">
        <v>233045</v>
      </c>
      <c r="E7" s="14">
        <f>IF(ISERROR((C7-D7)/ABS(D7)),"",(C7-D7)/ABS(D7))</f>
        <v>0.12042309425218306</v>
      </c>
      <c r="F7" s="11" t="inlineStr">
        <is>
          <t>PDF p.105 (印刷頁 104)</t>
        </is>
      </c>
      <c r="G7" s="11" t="inlineStr">
        <is>
          <t>Gross profit 261,109 233,045</t>
        </is>
      </c>
    </row>
    <row r="8">
      <c r="A8" s="8" t="inlineStr">
        <is>
          <t>Income Statement</t>
        </is>
      </c>
      <c r="B8" s="8" t="inlineStr">
        <is>
          <t>Finance Costs</t>
        </is>
      </c>
      <c r="C8" s="12" t="n">
        <v>-986</v>
      </c>
      <c r="D8" s="13" t="n">
        <v>-1183</v>
      </c>
      <c r="E8" s="14">
        <f>IF(ISERROR((C8-D8)/ABS(D8)),"",(C8-D8)/ABS(D8))</f>
        <v>0.1665257819103973</v>
      </c>
      <c r="F8" s="11" t="inlineStr">
        <is>
          <t>PDF p.105 (印刷頁 104)</t>
        </is>
      </c>
      <c r="G8" s="11" t="inlineStr">
        <is>
          <t>Finance costs 9 (986) (1,183)</t>
        </is>
      </c>
    </row>
    <row r="9">
      <c r="A9" s="8" t="inlineStr">
        <is>
          <t>Income Statement</t>
        </is>
      </c>
      <c r="B9" s="8" t="inlineStr">
        <is>
          <t>Profit Before Tax</t>
        </is>
      </c>
      <c r="C9" s="12" t="n">
        <v>44370</v>
      </c>
      <c r="D9" s="13" t="n">
        <v>32938</v>
      </c>
      <c r="E9" s="14">
        <f>IF(ISERROR((C9-D9)/ABS(D9)),"",(C9-D9)/ABS(D9))</f>
        <v>0.3470763252170745</v>
      </c>
      <c r="F9" s="11" t="inlineStr">
        <is>
          <t>PDF p.105 (印刷頁 104)</t>
        </is>
      </c>
      <c r="G9" s="11" t="inlineStr">
        <is>
          <t>Profit before taxation 44,370 32,938</t>
        </is>
      </c>
    </row>
    <row r="10">
      <c r="A10" s="8" t="inlineStr">
        <is>
          <t>Income Statement</t>
        </is>
      </c>
      <c r="B10" s="8" t="inlineStr">
        <is>
          <t>Income Tax</t>
        </is>
      </c>
      <c r="C10" s="12" t="n">
        <v>-7019</v>
      </c>
      <c r="D10" s="13" t="n">
        <v>-5027</v>
      </c>
      <c r="E10" s="14">
        <f>IF(ISERROR((C10-D10)/ABS(D10)),"",(C10-D10)/ABS(D10))</f>
        <v>-0.39626019494728465</v>
      </c>
      <c r="F10" s="11" t="inlineStr">
        <is>
          <t>PDF p.105 (印刷頁 104)</t>
        </is>
      </c>
      <c r="G10" s="11" t="inlineStr">
        <is>
          <t>Income tax expense 10 (7,019) (5,027)</t>
        </is>
      </c>
    </row>
    <row r="11">
      <c r="A11" s="8" t="inlineStr">
        <is>
          <t>Income Statement</t>
        </is>
      </c>
      <c r="B11" s="8" t="inlineStr">
        <is>
          <t>Profit for the Year</t>
        </is>
      </c>
      <c r="C11" s="12" t="n">
        <v>37351</v>
      </c>
      <c r="D11" s="13" t="n">
        <v>27911</v>
      </c>
      <c r="E11" s="14">
        <f>IF(ISERROR((C11-D11)/ABS(D11)),"",(C11-D11)/ABS(D11))</f>
        <v>0.33821790691841924</v>
      </c>
      <c r="F11" s="11" t="inlineStr">
        <is>
          <t>PDF p.105 (印刷頁 104)</t>
        </is>
      </c>
      <c r="G11" s="11" t="inlineStr">
        <is>
          <t>Profit for the year 11 37,351 27,911</t>
        </is>
      </c>
    </row>
    <row r="12">
      <c r="A12" s="8" t="inlineStr">
        <is>
          <t>Balance Sheet</t>
        </is>
      </c>
      <c r="B12" s="8" t="inlineStr">
        <is>
          <t>Property Plant and Equipment</t>
        </is>
      </c>
      <c r="C12" s="12" t="n">
        <v>56161</v>
      </c>
      <c r="D12" s="13" t="n">
        <v>57337</v>
      </c>
      <c r="E12" s="14">
        <f>IF(ISERROR((C12-D12)/ABS(D12)),"",(C12-D12)/ABS(D12))</f>
        <v>-0.020510316200708093</v>
      </c>
      <c r="F12" s="11" t="inlineStr">
        <is>
          <t>PDF p.106 (印刷頁 105)</t>
        </is>
      </c>
      <c r="G12" s="11" t="inlineStr">
        <is>
          <t>Property, plant and equipment 16 56,161 57,337</t>
        </is>
      </c>
    </row>
    <row r="13">
      <c r="A13" s="8" t="inlineStr">
        <is>
          <t>Balance Sheet</t>
        </is>
      </c>
      <c r="B13" s="8" t="inlineStr">
        <is>
          <t>Investment Properties</t>
        </is>
      </c>
      <c r="C13" s="12" t="n">
        <v>8572</v>
      </c>
      <c r="D13" s="13" t="n">
        <v>9452</v>
      </c>
      <c r="E13" s="14">
        <f>IF(ISERROR((C13-D13)/ABS(D13)),"",(C13-D13)/ABS(D13))</f>
        <v>-0.09310198899703766</v>
      </c>
      <c r="F13" s="11" t="inlineStr">
        <is>
          <t>PDF p.106 (印刷頁 105)</t>
        </is>
      </c>
      <c r="G13" s="11" t="inlineStr">
        <is>
          <t>Investment properties 18 8,572 9,452</t>
        </is>
      </c>
    </row>
    <row r="14">
      <c r="A14" s="8" t="inlineStr">
        <is>
          <t>Balance Sheet</t>
        </is>
      </c>
      <c r="B14" s="8" t="inlineStr">
        <is>
          <t>Inventories</t>
        </is>
      </c>
      <c r="C14" s="12" t="n">
        <v>22830</v>
      </c>
      <c r="D14" s="13" t="n">
        <v>19057</v>
      </c>
      <c r="E14" s="14">
        <f>IF(ISERROR((C14-D14)/ABS(D14)),"",(C14-D14)/ABS(D14))</f>
        <v>0.1979849923912473</v>
      </c>
      <c r="F14" s="11" t="inlineStr">
        <is>
          <t>PDF p.106 (印刷頁 105)</t>
        </is>
      </c>
      <c r="G14" s="11" t="inlineStr">
        <is>
          <t>Inventories 22 22,830 19,057</t>
        </is>
      </c>
    </row>
    <row r="15">
      <c r="A15" s="8" t="inlineStr">
        <is>
          <t>Balance Sheet</t>
        </is>
      </c>
      <c r="B15" s="8" t="inlineStr">
        <is>
          <t>Trade Receivables</t>
        </is>
      </c>
      <c r="C15" s="12" t="n">
        <v>40854</v>
      </c>
      <c r="D15" s="13" t="n">
        <v>32606</v>
      </c>
      <c r="E15" s="14">
        <f>IF(ISERROR((C15-D15)/ABS(D15)),"",(C15-D15)/ABS(D15))</f>
        <v>0.25295957799178065</v>
      </c>
      <c r="F15" s="11" t="inlineStr">
        <is>
          <t>PDF p.106 (印刷頁 105)</t>
        </is>
      </c>
      <c r="G15" s="11" t="inlineStr">
        <is>
          <t>Trade and other receivables 23 40,854 32,606</t>
        </is>
      </c>
    </row>
    <row r="16">
      <c r="A16" s="8" t="inlineStr">
        <is>
          <t>Balance Sheet</t>
        </is>
      </c>
      <c r="B16" s="8" t="inlineStr">
        <is>
          <t>Cash and Equivalents</t>
        </is>
      </c>
      <c r="C16" s="12" t="n">
        <v>78405</v>
      </c>
      <c r="D16" s="13" t="n">
        <v>78723</v>
      </c>
      <c r="E16" s="14">
        <f>IF(ISERROR((C16-D16)/ABS(D16)),"",(C16-D16)/ABS(D16))</f>
        <v>-0.004039480202736177</v>
      </c>
      <c r="F16" s="11" t="inlineStr">
        <is>
          <t>PDF p.106 (印刷頁 105)</t>
        </is>
      </c>
      <c r="G16" s="11" t="inlineStr">
        <is>
          <t>Cash and cash equivalents 24 78,405 78,723</t>
        </is>
      </c>
    </row>
    <row r="17">
      <c r="A17" s="8" t="inlineStr">
        <is>
          <t>Balance Sheet</t>
        </is>
      </c>
      <c r="B17" s="8" t="inlineStr">
        <is>
          <t>Total Equity</t>
        </is>
      </c>
      <c r="C17" s="12" t="n">
        <v>213635</v>
      </c>
      <c r="D17" s="13" t="n">
        <v>191206</v>
      </c>
      <c r="E17" s="14">
        <f>IF(ISERROR((C17-D17)/ABS(D17)),"",(C17-D17)/ABS(D17))</f>
        <v>0.11730280430530422</v>
      </c>
      <c r="F17" s="11" t="inlineStr">
        <is>
          <t>PDF p.107 (印刷頁 106)</t>
        </is>
      </c>
      <c r="G17" s="11" t="inlineStr">
        <is>
          <t>TOTAL EQUITY 213,635 191,206</t>
        </is>
      </c>
    </row>
    <row r="18">
      <c r="A18" s="8" t="inlineStr">
        <is>
          <t>Balance Sheet</t>
        </is>
      </c>
      <c r="B18" s="8" t="inlineStr">
        <is>
          <t>Total Current Assets</t>
        </is>
      </c>
      <c r="C18" s="12" t="n">
        <v>171879</v>
      </c>
      <c r="D18" s="13" t="n">
        <v>140382</v>
      </c>
      <c r="E18" s="14">
        <f>IF(ISERROR((C18-D18)/ABS(D18)),"",(C18-D18)/ABS(D18))</f>
        <v>0.22436637175706287</v>
      </c>
      <c r="F18" s="11" t="inlineStr">
        <is>
          <t>PDF p.106 (印刷頁 105)</t>
        </is>
      </c>
      <c r="G18" s="11" t="inlineStr">
        <is>
          <t>[current assets 區段小計] 171,879 140,382</t>
        </is>
      </c>
    </row>
    <row r="19">
      <c r="A19" s="8" t="inlineStr">
        <is>
          <t>Balance Sheet</t>
        </is>
      </c>
      <c r="B19" s="8" t="inlineStr">
        <is>
          <t>Total Current Liabilities</t>
        </is>
      </c>
      <c r="C19" s="12" t="n">
        <v>35183</v>
      </c>
      <c r="D19" s="13" t="n">
        <v>29575</v>
      </c>
      <c r="E19" s="14">
        <f>IF(ISERROR((C19-D19)/ABS(D19)),"",(C19-D19)/ABS(D19))</f>
        <v>0.1896196111580727</v>
      </c>
      <c r="F19" s="11" t="inlineStr">
        <is>
          <t>PDF p.106 (印刷頁 105)</t>
        </is>
      </c>
      <c r="G19" s="11" t="inlineStr">
        <is>
          <t>[current liabilities 區段小計] 35,183 29,575</t>
        </is>
      </c>
    </row>
    <row r="20">
      <c r="A20" s="8" t="inlineStr">
        <is>
          <t>Cash Flow</t>
        </is>
      </c>
      <c r="B20" s="8" t="inlineStr">
        <is>
          <t>Operating Cash Flow</t>
        </is>
      </c>
      <c r="C20" s="12" t="n">
        <v>50652</v>
      </c>
      <c r="D20" s="13" t="n">
        <v>42764</v>
      </c>
      <c r="E20" s="14">
        <f>IF(ISERROR((C20-D20)/ABS(D20)),"",(C20-D20)/ABS(D20))</f>
        <v>0.1844542138247124</v>
      </c>
      <c r="F20" s="11" t="inlineStr">
        <is>
          <t>PDF p.109 (印刷頁 108)</t>
        </is>
      </c>
      <c r="G20" s="11" t="inlineStr">
        <is>
          <t>NET CASH FROM OPERATING ACTIVITIES 50,652 42,764</t>
        </is>
      </c>
    </row>
    <row r="21">
      <c r="A21" s="8" t="inlineStr">
        <is>
          <t>Cash Flow</t>
        </is>
      </c>
      <c r="B21" s="8" t="inlineStr">
        <is>
          <t>Investing Cash Flow</t>
        </is>
      </c>
      <c r="C21" s="12" t="n">
        <v>-20074</v>
      </c>
      <c r="D21" s="13" t="n">
        <v>-4032</v>
      </c>
      <c r="E21" s="14">
        <f>IF(ISERROR((C21-D21)/ABS(D21)),"",(C21-D21)/ABS(D21))</f>
        <v>-3.978670634920635</v>
      </c>
      <c r="F21" s="11" t="inlineStr">
        <is>
          <t>PDF p.109 (印刷頁 108)</t>
        </is>
      </c>
      <c r="G21" s="11" t="inlineStr">
        <is>
          <t>NET CASH USED IN INVESTING ACTIVITIES (20,074) (4,032)</t>
        </is>
      </c>
    </row>
    <row r="22">
      <c r="A22" s="8" t="inlineStr">
        <is>
          <t>Cash Flow</t>
        </is>
      </c>
      <c r="B22" s="8" t="inlineStr">
        <is>
          <t>Financing Cash Flow</t>
        </is>
      </c>
      <c r="C22" s="12" t="n">
        <v>-31029</v>
      </c>
      <c r="D22" s="13" t="n">
        <v>-29931</v>
      </c>
      <c r="E22" s="14">
        <f>IF(ISERROR((C22-D22)/ABS(D22)),"",(C22-D22)/ABS(D22))</f>
        <v>-0.03668437406033878</v>
      </c>
      <c r="F22" s="11" t="inlineStr">
        <is>
          <t>PDF p.109 (印刷頁 108)</t>
        </is>
      </c>
      <c r="G22" s="11" t="inlineStr">
        <is>
          <t>NET CASH USED IN FINANCING ACTIVITIES (31,029) (29,931)</t>
        </is>
      </c>
    </row>
    <row r="24">
      <c r="A24"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財務數據'!$C$5:$C$22,MATCH("Gross Profit",'Financials 財務數據'!$B$5:$B$22,0))/INDEX('Financials 財務數據'!$C$5:$C$22,MATCH("Revenue",'Financials 財務數據'!$B$5:$B$22,0))),"n/a",INDEX('Financials 財務數據'!$C$5:$C$22,MATCH("Gross Profit",'Financials 財務數據'!$B$5:$B$22,0))/INDEX('Financials 財務數據'!$C$5:$C$22,MATCH("Revenue",'Financials 財務數據'!$B$5:$B$22,0)))</f>
        <v>0.8696560131093377</v>
      </c>
      <c r="C5" s="15">
        <f>IF(ISERROR(INDEX('Financials 財務數據'!$D$5:$D$22,MATCH("Gross Profit",'Financials 財務數據'!$B$5:$B$22,0))/INDEX('Financials 財務數據'!$D$5:$D$22,MATCH("Revenue",'Financials 財務數據'!$B$5:$B$22,0))),"n/a",INDEX('Financials 財務數據'!$D$5:$D$22,MATCH("Gross Profit",'Financials 財務數據'!$B$5:$B$22,0))/INDEX('Financials 財務數據'!$D$5:$D$22,MATCH("Revenue",'Financials 財務數據'!$B$5:$B$22,0)))</f>
        <v>0.8645160572325248</v>
      </c>
      <c r="D5" s="2" t="inlineStr">
        <is>
          <t>毛利 ÷ 收入</t>
        </is>
      </c>
    </row>
    <row r="6">
      <c r="A6" s="4" t="inlineStr">
        <is>
          <t>Net Margin 淨利率</t>
        </is>
      </c>
      <c r="B6" s="15">
        <f>IF(ISERROR(INDEX('Financials 財務數據'!$C$5:$C$22,MATCH("Profit for the Year",'Financials 財務數據'!$B$5:$B$22,0))/INDEX('Financials 財務數據'!$C$5:$C$22,MATCH("Revenue",'Financials 財務數據'!$B$5:$B$22,0))),"n/a",INDEX('Financials 財務數據'!$C$5:$C$22,MATCH("Profit for the Year",'Financials 財務數據'!$B$5:$B$22,0))/INDEX('Financials 財務數據'!$C$5:$C$22,MATCH("Revenue",'Financials 財務數據'!$B$5:$B$22,0)))</f>
        <v>0.12440215291562862</v>
      </c>
      <c r="C6" s="15">
        <f>IF(ISERROR(INDEX('Financials 財務數據'!$D$5:$D$22,MATCH("Profit for the Year",'Financials 財務數據'!$B$5:$B$22,0))/INDEX('Financials 財務數據'!$D$5:$D$22,MATCH("Revenue",'Financials 財務數據'!$B$5:$B$22,0))),"n/a",INDEX('Financials 財務數據'!$D$5:$D$22,MATCH("Profit for the Year",'Financials 財務數據'!$B$5:$B$22,0))/INDEX('Financials 財務數據'!$D$5:$D$22,MATCH("Revenue",'Financials 財務數據'!$B$5:$B$22,0)))</f>
        <v>0.10354012175080778</v>
      </c>
      <c r="D6" s="2" t="inlineStr">
        <is>
          <t>年內溢利 ÷ 收入</t>
        </is>
      </c>
    </row>
    <row r="7">
      <c r="A7" s="4" t="inlineStr">
        <is>
          <t>Current Ratio 流動比率</t>
        </is>
      </c>
      <c r="B7" s="16">
        <f>IF(ISERROR(INDEX('Financials 財務數據'!$C$5:$C$22,MATCH("Total Current Assets",'Financials 財務數據'!$B$5:$B$22,0))/INDEX('Financials 財務數據'!$C$5:$C$22,MATCH("Total Current Liabilities",'Financials 財務數據'!$B$5:$B$22,0))),"n/a",INDEX('Financials 財務數據'!$C$5:$C$22,MATCH("Total Current Assets",'Financials 財務數據'!$B$5:$B$22,0))/INDEX('Financials 財務數據'!$C$5:$C$22,MATCH("Total Current Liabilities",'Financials 財務數據'!$B$5:$B$22,0)))</f>
        <v>4.885285507205184</v>
      </c>
      <c r="C7" s="16">
        <f>IF(ISERROR(INDEX('Financials 財務數據'!$D$5:$D$22,MATCH("Total Current Assets",'Financials 財務數據'!$B$5:$B$22,0))/INDEX('Financials 財務數據'!$D$5:$D$22,MATCH("Total Current Liabilities",'Financials 財務數據'!$B$5:$B$22,0))),"n/a",INDEX('Financials 財務數據'!$D$5:$D$22,MATCH("Total Current Assets",'Financials 財務數據'!$B$5:$B$22,0))/INDEX('Financials 財務數據'!$D$5:$D$22,MATCH("Total Current Liabilities",'Financials 財務數據'!$B$5:$B$22,0)))</f>
        <v>4.7466441251056635</v>
      </c>
      <c r="D7" s="2" t="inlineStr">
        <is>
          <t>流動資產 ÷ 流動負債</t>
        </is>
      </c>
    </row>
    <row r="8">
      <c r="A8" s="4" t="inlineStr">
        <is>
          <t>Debt / Equity 負債權益比</t>
        </is>
      </c>
      <c r="B8" s="16" t="str">
        <f>IF(ISERROR(INDEX('Financials 財務數據'!$C$5:$C$22,MATCH("Total Liabilities",'Financials 財務數據'!$B$5:$B$22,0))/INDEX('Financials 財務數據'!$C$5:$C$22,MATCH("Total Equity",'Financials 財務數據'!$B$5:$B$22,0))),"n/a",INDEX('Financials 財務數據'!$C$5:$C$22,MATCH("Total Liabilities",'Financials 財務數據'!$B$5:$B$22,0))/INDEX('Financials 財務數據'!$C$5:$C$22,MATCH("Total Equity",'Financials 財務數據'!$B$5:$B$22,0)))</f>
        <v>n/a</v>
      </c>
      <c r="C8" s="16" t="str">
        <f>IF(ISERROR(INDEX('Financials 財務數據'!$D$5:$D$22,MATCH("Total Liabilities",'Financials 財務數據'!$B$5:$B$22,0))/INDEX('Financials 財務數據'!$D$5:$D$22,MATCH("Total Equity",'Financials 財務數據'!$B$5:$B$22,0))),"n/a",INDEX('Financials 財務數據'!$D$5:$D$22,MATCH("Total Liabilities",'Financials 財務數據'!$B$5:$B$22,0))/INDEX('Financials 財務數據'!$D$5:$D$22,MATCH("Total Equity",'Financials 財務數據'!$B$5:$B$22,0)))</f>
        <v>n/a</v>
      </c>
      <c r="D8" s="2" t="inlineStr">
        <is>
          <t>總負債 ÷ 總權益</t>
        </is>
      </c>
    </row>
    <row r="9">
      <c r="A9" s="4" t="inlineStr">
        <is>
          <t>Goodwill / Total Assets</t>
        </is>
      </c>
      <c r="B9" s="15" t="str">
        <f>IF(ISERROR(INDEX('Financials 財務數據'!$C$5:$C$22,MATCH("Goodwill",'Financials 財務數據'!$B$5:$B$22,0))/INDEX('Financials 財務數據'!$C$5:$C$22,MATCH("Total Assets",'Financials 財務數據'!$B$5:$B$22,0))),"n/a",INDEX('Financials 財務數據'!$C$5:$C$22,MATCH("Goodwill",'Financials 財務數據'!$B$5:$B$22,0))/INDEX('Financials 財務數據'!$C$5:$C$22,MATCH("Total Assets",'Financials 財務數據'!$B$5:$B$22,0)))</f>
        <v>n/a</v>
      </c>
      <c r="C9" s="15" t="str">
        <f>IF(ISERROR(INDEX('Financials 財務數據'!$D$5:$D$22,MATCH("Goodwill",'Financials 財務數據'!$B$5:$B$22,0))/INDEX('Financials 財務數據'!$D$5:$D$22,MATCH("Total Assets",'Financials 財務數據'!$B$5:$B$22,0))),"n/a",INDEX('Financials 財務數據'!$D$5:$D$22,MATCH("Goodwill",'Financials 財務數據'!$B$5:$B$22,0))/INDEX('Financials 財務數據'!$D$5:$D$22,MATCH("Total Assets",'Financials 財務數據'!$B$5:$B$22,0)))</f>
        <v>n/a</v>
      </c>
      <c r="D9" s="2" t="inlineStr">
        <is>
          <t>商譽佔總資產比重 — 減值風險指標</t>
        </is>
      </c>
    </row>
    <row r="10">
      <c r="A10" s="4" t="inlineStr">
        <is>
          <t>Intangibles / Total Assets</t>
        </is>
      </c>
      <c r="B10" s="15" t="str">
        <f>IF(ISERROR(INDEX('Financials 財務數據'!$C$5:$C$22,MATCH("Intangible Assets",'Financials 財務數據'!$B$5:$B$22,0))/INDEX('Financials 財務數據'!$C$5:$C$22,MATCH("Total Assets",'Financials 財務數據'!$B$5:$B$22,0))),"n/a",INDEX('Financials 財務數據'!$C$5:$C$22,MATCH("Intangible Assets",'Financials 財務數據'!$B$5:$B$22,0))/INDEX('Financials 財務數據'!$C$5:$C$22,MATCH("Total Assets",'Financials 財務數據'!$B$5:$B$22,0)))</f>
        <v>n/a</v>
      </c>
      <c r="C10" s="15" t="str">
        <f>IF(ISERROR(INDEX('Financials 財務數據'!$D$5:$D$22,MATCH("Intangible Assets",'Financials 財務數據'!$B$5:$B$22,0))/INDEX('Financials 財務數據'!$D$5:$D$22,MATCH("Total Assets",'Financials 財務數據'!$B$5:$B$22,0))),"n/a",INDEX('Financials 財務數據'!$D$5:$D$22,MATCH("Intangible Assets",'Financials 財務數據'!$B$5:$B$22,0))/INDEX('Financials 財務數據'!$D$5:$D$22,MATCH("Total Assets",'Financials 財務數據'!$B$5:$B$22,0)))</f>
        <v>n/a</v>
      </c>
      <c r="D10" s="2" t="inlineStr">
        <is>
          <t>無形資產佔比</t>
        </is>
      </c>
    </row>
    <row r="11">
      <c r="A11" s="4" t="inlineStr">
        <is>
          <t>ROE 股本回報率</t>
        </is>
      </c>
      <c r="B11" s="15">
        <f>IF(ISERROR(INDEX('Financials 財務數據'!$C$5:$C$22,MATCH("Profit for the Year",'Financials 財務數據'!$B$5:$B$22,0))/INDEX('Financials 財務數據'!$C$5:$C$22,MATCH("Total Equity",'Financials 財務數據'!$B$5:$B$22,0))),"n/a",INDEX('Financials 財務數據'!$C$5:$C$22,MATCH("Profit for the Year",'Financials 財務數據'!$B$5:$B$22,0))/INDEX('Financials 財務數據'!$C$5:$C$22,MATCH("Total Equity",'Financials 財務數據'!$B$5:$B$22,0)))</f>
        <v>0.1748355840569195</v>
      </c>
      <c r="C11" s="15">
        <f>IF(ISERROR(INDEX('Financials 財務數據'!$D$5:$D$22,MATCH("Profit for the Year",'Financials 財務數據'!$B$5:$B$22,0))/INDEX('Financials 財務數據'!$D$5:$D$22,MATCH("Total Equity",'Financials 財務數據'!$B$5:$B$22,0))),"n/a",INDEX('Financials 財務數據'!$D$5:$D$22,MATCH("Profit for the Year",'Financials 財務數據'!$B$5:$B$22,0))/INDEX('Financials 財務數據'!$D$5:$D$22,MATCH("Total Equity",'Financials 財務數據'!$B$5:$B$22,0)))</f>
        <v>0.14597345271591897</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269567</v>
      </c>
      <c r="C5" s="18" t="n">
        <v>300244</v>
      </c>
    </row>
    <row r="6">
      <c r="A6" s="4" t="inlineStr">
        <is>
          <t>Gross Profit</t>
        </is>
      </c>
      <c r="B6" s="18" t="n">
        <v>233045</v>
      </c>
      <c r="C6" s="18" t="n">
        <v>261109</v>
      </c>
    </row>
    <row r="7">
      <c r="A7" s="4" t="inlineStr">
        <is>
          <t>Profit Before Tax</t>
        </is>
      </c>
      <c r="B7" s="18" t="n">
        <v>32938</v>
      </c>
      <c r="C7" s="18" t="n">
        <v>44370</v>
      </c>
    </row>
    <row r="8">
      <c r="A8" s="4" t="inlineStr">
        <is>
          <t>Profit for the Year</t>
        </is>
      </c>
      <c r="B8" s="18" t="n">
        <v>27911</v>
      </c>
      <c r="C8" s="18" t="n">
        <v>37351</v>
      </c>
    </row>
    <row r="9">
      <c r="A9" s="4" t="inlineStr">
        <is>
          <t>Total Equity</t>
        </is>
      </c>
      <c r="B9" s="18" t="n">
        <v>191206</v>
      </c>
      <c r="C9" s="18" t="n">
        <v>213635</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79"/>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unobservable input</t>
        </is>
      </c>
      <c r="E4" s="11" t="inlineStr">
        <is>
          <t>PDF p.140 (印刷頁 139)</t>
        </is>
      </c>
      <c r="F4" s="11" t="inlineStr">
        <is>
          <t>sured at fair value with fair value being determined using valuation techniques based on market approach which including significant unobservable inputs. 139 Annual Report 2025-26 AUSUPREME INTERNATIONAL HOLDINGS LIMITED</t>
        </is>
      </c>
    </row>
    <row r="5">
      <c r="A5" s="8" t="inlineStr">
        <is>
          <t>Fair Value Measurement</t>
        </is>
      </c>
      <c r="B5" s="8" t="inlineStr">
        <is>
          <t>公允價值計量</t>
        </is>
      </c>
      <c r="C5" s="19" t="inlineStr">
        <is>
          <t>high</t>
        </is>
      </c>
      <c r="D5" s="11" t="inlineStr">
        <is>
          <t>valuation technique</t>
        </is>
      </c>
      <c r="E5" s="11" t="inlineStr">
        <is>
          <t>PDF p.141 (印刷頁 140)</t>
        </is>
      </c>
      <c r="F5" s="11" t="inlineStr">
        <is>
          <t>Fair value measurement of equity investment at FVTOCI (Continued) Judgement and estimation are required in establishing the relevant valuation techniques and the relevant inputs thereof. Changes in assumptions relating to these factors could result in material adjustments to the fair value of this instrument. Details of fair value measurement and equity investment at FVTOCI are disclosed in Notes 6(c) and 20 respectively. (b) Provision of ECL for trade receivables and deposits and other receivables The Group uses practical expe</t>
        </is>
      </c>
    </row>
    <row r="6">
      <c r="A6" s="8" t="inlineStr">
        <is>
          <t>Fair Value Measurement</t>
        </is>
      </c>
      <c r="B6" s="8" t="inlineStr">
        <is>
          <t>公允價值計量</t>
        </is>
      </c>
      <c r="C6" s="19" t="inlineStr">
        <is>
          <t>high</t>
        </is>
      </c>
      <c r="D6" s="11" t="inlineStr">
        <is>
          <t>level 3</t>
        </is>
      </c>
      <c r="E6" s="11" t="inlineStr">
        <is>
          <t>PDF p.148 (印刷頁 147)</t>
        </is>
      </c>
      <c r="F6" s="11" t="inlineStr">
        <is>
          <t>price risk at the reporting date. Sensitivity analysis for unquoted equity securities with fair value measurement categorised within Level 3 were disclosed in Note 6(c). 147 Annual Report 2025-26 AUSUPREME INTERNATIONAL HOLDINGS LIMITED</t>
        </is>
      </c>
    </row>
    <row r="7">
      <c r="A7" s="8" t="inlineStr">
        <is>
          <t>Fair Value Measurement</t>
        </is>
      </c>
      <c r="B7" s="8" t="inlineStr">
        <is>
          <t>公允價值計量</t>
        </is>
      </c>
      <c r="C7" s="19" t="inlineStr">
        <is>
          <t>high</t>
        </is>
      </c>
      <c r="D7" s="11" t="inlineStr">
        <is>
          <t>level 3</t>
        </is>
      </c>
      <c r="E7" s="11" t="inlineStr">
        <is>
          <t>PDF p.153 (印刷頁 152)</t>
        </is>
      </c>
      <c r="F7" s="11" t="inlineStr">
        <is>
          <t>lue, the Group uses market-observable data to the extent it is available. For instruments with significant unobservable inputs under Level 3, the Group engages third party qualified valuers to perform the valuation. The management of the Group works closely with the qualified external valuers to establish the appropriate valuation techniques and inputs to the model. 152 AUSUPREME INTERNATIONAL HOLDINGS LIMITED Annual Report 2025-26</t>
        </is>
      </c>
    </row>
    <row r="8">
      <c r="A8" s="8" t="inlineStr">
        <is>
          <t>Fair Value Measurement</t>
        </is>
      </c>
      <c r="B8" s="8" t="inlineStr">
        <is>
          <t>公允價值計量</t>
        </is>
      </c>
      <c r="C8" s="19" t="inlineStr">
        <is>
          <t>high</t>
        </is>
      </c>
      <c r="D8" s="11" t="inlineStr">
        <is>
          <t>level 3</t>
        </is>
      </c>
      <c r="E8" s="11" t="inlineStr">
        <is>
          <t>PDF p.154 (印刷頁 153)</t>
        </is>
      </c>
      <c r="F8" s="11" t="inlineStr">
        <is>
          <t>Financial asset Fair value as at hierarchy input(s) input(s) 31 March 31 March 2026 2025 Private equity Approximately Approximately Level 3 Market approach using Guideline A number of market multiples have investment at HK$2,214,000 HK$2,551,000 Publicly Traded Company been considered, including but FVTOCI Method not limited to: price-to-earning of approximately 15.5 (2025: 15.4) — 0.7% equity and enterprise value-to-earnings investment in before interest, taxes, the ordinary depreciation and amortisation share capital of (“EB</t>
        </is>
      </c>
    </row>
    <row r="9">
      <c r="A9" s="8" t="inlineStr">
        <is>
          <t>Fair Value Measurement</t>
        </is>
      </c>
      <c r="B9" s="8" t="inlineStr">
        <is>
          <t>公允價值計量</t>
        </is>
      </c>
      <c r="C9" s="19" t="inlineStr">
        <is>
          <t>high</t>
        </is>
      </c>
      <c r="D9" s="11" t="inlineStr">
        <is>
          <t>fair value hierarchy</t>
        </is>
      </c>
      <c r="E9" s="11" t="inlineStr">
        <is>
          <t>PDF p.155 (印刷頁 154)</t>
        </is>
      </c>
      <c r="F9" s="11" t="inlineStr">
        <is>
          <t>ers between Level 1 and Level 2, or transfers into or out of Level 3. The Group’s policy is to recognise transfers between levels of fair value hierarchy as at the end of the reporting period in which they occur. (iii) The Directors consider that the carrying amounts of financial assets and financial liabilities recorded at amortised cost in the consolidated financial statements approximate their fair values. 154 AUSUPREME INTERNATIONAL HOLDINGS LIMITED Annual Report 2025-26</t>
        </is>
      </c>
    </row>
    <row r="10">
      <c r="A10" s="8" t="inlineStr">
        <is>
          <t>Fair Value Measurement</t>
        </is>
      </c>
      <c r="B10" s="8" t="inlineStr">
        <is>
          <t>公允價值計量</t>
        </is>
      </c>
      <c r="C10" s="19" t="inlineStr">
        <is>
          <t>high</t>
        </is>
      </c>
      <c r="D10" s="11" t="inlineStr">
        <is>
          <t>valuation technique</t>
        </is>
      </c>
      <c r="E10" s="11" t="inlineStr">
        <is>
          <t>PDF p.170 (印刷頁 169)</t>
        </is>
      </c>
      <c r="F10" s="11" t="inlineStr">
        <is>
          <t>ed (“Masterpiece”), an independent professional qualified valuer not connected to the Group. The Directors determine the appropriate valuation techniques and inputs for fair value measurement. In estimating the fair value of the properties, the highest and best use of properties is their current use. 169 Annual Report 2025-26 AUSUPREME INTERNATIONAL HOLDINGS LIMITED</t>
        </is>
      </c>
    </row>
    <row r="11">
      <c r="A11" s="8" t="inlineStr">
        <is>
          <t>Fair Value Measurement</t>
        </is>
      </c>
      <c r="B11" s="8" t="inlineStr">
        <is>
          <t>公允價值計量</t>
        </is>
      </c>
      <c r="C11" s="19" t="inlineStr">
        <is>
          <t>high</t>
        </is>
      </c>
      <c r="D11" s="11" t="inlineStr">
        <is>
          <t>fair value hierarchy</t>
        </is>
      </c>
      <c r="E11" s="11" t="inlineStr">
        <is>
          <t>PDF p.171 (印刷頁 170)</t>
        </is>
      </c>
      <c r="F11" s="11" t="inlineStr">
        <is>
          <t>ely value, and vice HK$2,926,000) average RMB33,220 per square meter). versa. The fair value measurement is categorised into Level 3 fair value hierarchy. There were no transfers into or out of Level 3 during the year. 19. IMPAIRMENT TESTING ON PROPERTY, PLANT AND EQUIPMENT AND RIGHTOFUSE ASSETS The Directors regard each specialty store as an individual cash-generating unit. At 31 March 2026, certain specialty stores continued to underperform, the management of the Group concluded there was indication for impairment and condu</t>
        </is>
      </c>
    </row>
    <row r="12">
      <c r="A12" s="8" t="inlineStr">
        <is>
          <t>Fair Value Measurement</t>
        </is>
      </c>
      <c r="B12" s="8" t="inlineStr">
        <is>
          <t>公允價值計量</t>
        </is>
      </c>
      <c r="C12" s="19" t="inlineStr">
        <is>
          <t>high</t>
        </is>
      </c>
      <c r="D12" s="11" t="inlineStr">
        <is>
          <t>level 3</t>
        </is>
      </c>
      <c r="E12" s="11" t="inlineStr">
        <is>
          <t>PDF p.172 (印刷頁 171)</t>
        </is>
      </c>
      <c r="F12" s="11" t="inlineStr">
        <is>
          <t>aking reference to comparable sales transactions as available in the relevant market. The fair value measurement is categorised into Level 3 fair value hierarchy. The carrying amount of leasehold land and buildings does not exceed the recoverable amount based on fair value less costs of disposal and no impairment (2025: Nil) has been recognised. In addition, the Group estimates the recoverable amount of the cash-generating units of certain specialty stores to which the asset belongs when it is not possible to estimate the recov</t>
        </is>
      </c>
    </row>
    <row r="13">
      <c r="A13" s="8" t="inlineStr">
        <is>
          <t>Fair Value Measurement</t>
        </is>
      </c>
      <c r="B13" s="8" t="inlineStr">
        <is>
          <t>公允價值計量</t>
        </is>
      </c>
      <c r="C13" s="19" t="inlineStr">
        <is>
          <t>high</t>
        </is>
      </c>
      <c r="D13" s="11" t="inlineStr">
        <is>
          <t>level 3</t>
        </is>
      </c>
      <c r="E13" s="11" t="inlineStr">
        <is>
          <t>PDF p.188 (印刷頁 187)</t>
        </is>
      </c>
      <c r="F13" s="11" t="inlineStr">
        <is>
          <t>e Group’s investment properties are disclosed as follows: Attributable to interests of Location Use Lease term the Group Unit 303 on Level 3, Block 50, Xidao Garden, Property letting Long lease 100% Bihai Silver Lake, No. 198 Zhongxing Road, Yamen Town, Xinhui District, Jiangmen City, Guangdong Province, the PRC Unit 308 on Level 3, Block 50, Xidao Garden, Property letting Long lease 100% Bihai Silver Lake, No. 198 Zhongxing Road, Yamen Town, Xinhui District, Jiangmen City, Guangdong Province, the PRC 2214, Building 2, No. 67 M</t>
        </is>
      </c>
    </row>
    <row r="14">
      <c r="A14" s="8" t="inlineStr">
        <is>
          <t>Impairment Testing</t>
        </is>
      </c>
      <c r="B14" s="8" t="inlineStr">
        <is>
          <t>減值測試</t>
        </is>
      </c>
      <c r="C14" s="19" t="inlineStr">
        <is>
          <t>high</t>
        </is>
      </c>
      <c r="D14" s="11" t="inlineStr">
        <is>
          <t>impairment loss</t>
        </is>
      </c>
      <c r="E14" s="11" t="inlineStr">
        <is>
          <t>PDF p.98 (印刷頁 97)</t>
        </is>
      </c>
      <c r="F14" s="11" t="inlineStr">
        <is>
          <t>pproximately HK$53,339,000 and right-of-use assets included: and HK$2,890,000 respectively were subject to impairment assessment. No impairment loss in — Understanding the management’s basis of identifying respect of property, plant and equipment and impairment indicators and challenged the judgements right-of-use assets was recognised during the year made in the identification of impairment indicators; ended 31 March 2026. — Evaluating the experience, competence, objectivity and The Group has to exercise judgement and make ind</t>
        </is>
      </c>
    </row>
    <row r="15">
      <c r="A15" s="8" t="inlineStr">
        <is>
          <t>Impairment Testing</t>
        </is>
      </c>
      <c r="B15" s="8" t="inlineStr">
        <is>
          <t>減值測試</t>
        </is>
      </c>
      <c r="C15" s="19" t="inlineStr">
        <is>
          <t>high</t>
        </is>
      </c>
      <c r="D15" s="11" t="inlineStr">
        <is>
          <t>recoverable amount</t>
        </is>
      </c>
      <c r="E15" s="11" t="inlineStr">
        <is>
          <t>PDF p.99 (印刷頁 98)</t>
        </is>
      </c>
      <c r="F15" s="11" t="inlineStr">
        <is>
          <t>is performed by the significant estimates and judgement involved in management by making adjustments to key inputs and assessing the recoverable amount of properties, assumptions in the impairment assessments and plant and equipment and right-of-use assets. considering whether any reasonably possible adjustments would result in material impairment. 98 AUSUPREME INTERNATIONAL HOLDINGS LIMITED Annual Report 2025-26</t>
        </is>
      </c>
    </row>
    <row r="16">
      <c r="A16" s="8" t="inlineStr">
        <is>
          <t>Impairment Testing</t>
        </is>
      </c>
      <c r="B16" s="8" t="inlineStr">
        <is>
          <t>減值測試</t>
        </is>
      </c>
      <c r="C16" s="19" t="inlineStr">
        <is>
          <t>high</t>
        </is>
      </c>
      <c r="D16" s="11" t="inlineStr">
        <is>
          <t>impairment loss</t>
        </is>
      </c>
      <c r="E16" s="11" t="inlineStr">
        <is>
          <t>PDF p.117 (印刷頁 116)</t>
        </is>
      </c>
      <c r="F16" s="11" t="inlineStr">
        <is>
          <t>ated in the consolidated statement of financial position at cost less subsequent accumulated depreciation and subsequent accumulated impairment losses, if any. When the Group makes payments for ownership interests of properties which includes both leasehold land and building elements, the entire consideration is allocated between the leasehold land and the building elements in proportion to the relative fair values at initial recognition. To the extent the allocation of the relevant payments can be made reliably, interest in le</t>
        </is>
      </c>
    </row>
    <row r="17">
      <c r="A17" s="8" t="inlineStr">
        <is>
          <t>Impairment Testing</t>
        </is>
      </c>
      <c r="B17" s="8" t="inlineStr">
        <is>
          <t>減值測試</t>
        </is>
      </c>
      <c r="C17" s="19" t="inlineStr">
        <is>
          <t>high</t>
        </is>
      </c>
      <c r="D17" s="11" t="inlineStr">
        <is>
          <t>impairment loss</t>
        </is>
      </c>
      <c r="E17" s="11" t="inlineStr">
        <is>
          <t>PDF p.119 (印刷頁 118)</t>
        </is>
      </c>
      <c r="F17" s="11" t="inlineStr">
        <is>
          <t>n required by the terms and conditions of the lease. Right-of use assets are measured at cost, less any accumulated depreciation and impairment losses, and adjusted for any remeasurement of lease liabilities. Right-of-use assets in which the Group is reasonably certain to obtain ownership of the underlying leased assets at the end of the lease term are depreciated from commencement date to the end of the useful life. Otherwise, right-of-use assets are depreciated on a straight-line basis over the shorter of its estimated useful</t>
        </is>
      </c>
    </row>
    <row r="18">
      <c r="A18" s="8" t="inlineStr">
        <is>
          <t>Impairment Testing</t>
        </is>
      </c>
      <c r="B18" s="8" t="inlineStr">
        <is>
          <t>減值測試</t>
        </is>
      </c>
      <c r="C18" s="19" t="inlineStr">
        <is>
          <t>high</t>
        </is>
      </c>
      <c r="D18" s="11" t="inlineStr">
        <is>
          <t>impairment loss</t>
        </is>
      </c>
      <c r="E18" s="11" t="inlineStr">
        <is>
          <t>PDF p.125 (印刷頁 124)</t>
        </is>
      </c>
      <c r="F18" s="11" t="inlineStr">
        <is>
          <t>roperty, plant and equipment and right-of-use assets to determine whether there is any indication that these assets have suffered an impairment loss. If any such indication exists, the recoverable amount of the relevant asset is estimated in order to determine the extent of the impairment loss, if any. The recoverable amount of property, plant and equipment and right-of-use assets are estimated individually. When it is not possible to estimate the recoverable amount individually, the Group estimates the recoverable amount of th</t>
        </is>
      </c>
    </row>
    <row r="19">
      <c r="A19" s="8" t="inlineStr">
        <is>
          <t>Impairment Testing</t>
        </is>
      </c>
      <c r="B19" s="8" t="inlineStr">
        <is>
          <t>減值測試</t>
        </is>
      </c>
      <c r="C19" s="19" t="inlineStr">
        <is>
          <t>high</t>
        </is>
      </c>
      <c r="D19" s="11" t="inlineStr">
        <is>
          <t>impairment loss</t>
        </is>
      </c>
      <c r="E19" s="11" t="inlineStr">
        <is>
          <t>PDF p.126 (印刷頁 125)</t>
        </is>
      </c>
      <c r="F19" s="11" t="inlineStr">
        <is>
          <t>located to that group of cash-generating units, with the recoverable amount of the group of cash-generating units. In allocating the impairment loss, the impairment loss is allocated first to reduce the carrying amount of any goodwill (if applicable) and then to the other assets on a pro-rata basis based on the carrying amount of each asset in the unit or the group of cash-generating units. The carrying amount of an asset is not reduced below the highest of its fair value less costs of disposal (if measurable), its value in use</t>
        </is>
      </c>
    </row>
    <row r="20">
      <c r="A20" s="8" t="inlineStr">
        <is>
          <t>Impairment Testing</t>
        </is>
      </c>
      <c r="B20" s="8" t="inlineStr">
        <is>
          <t>減值測試</t>
        </is>
      </c>
      <c r="C20" s="19" t="inlineStr">
        <is>
          <t>high</t>
        </is>
      </c>
      <c r="D20" s="11" t="inlineStr">
        <is>
          <t>impairment test</t>
        </is>
      </c>
      <c r="E20" s="11" t="inlineStr">
        <is>
          <t>PDF p.142 (印刷頁 141)</t>
        </is>
      </c>
      <c r="F20" s="11" t="inlineStr">
        <is>
          <t>025: HK$55,449,000 and HK$9,288,000) respectively. Details of the Group’s property, plant and equipment and right-of-use assets, the impairment testing on property, plant and equipment and right-of-use assets are disclosed in Notes 16, 17 and 19 respectively. (e) Deferred tax asset As at 31 March 2026, a deferred tax asset of approximately HK$99,000 (2025: HK$118,000) in relation to unused tax losses has been recognised in the consolidated statement of financial position. No deferred tax asset has been recognised on the tax los</t>
        </is>
      </c>
    </row>
    <row r="21">
      <c r="A21" s="8" t="inlineStr">
        <is>
          <t>Impairment Testing</t>
        </is>
      </c>
      <c r="B21" s="8" t="inlineStr">
        <is>
          <t>減值測試</t>
        </is>
      </c>
      <c r="C21" s="19" t="inlineStr">
        <is>
          <t>high</t>
        </is>
      </c>
      <c r="D21" s="11" t="inlineStr">
        <is>
          <t>impairment test</t>
        </is>
      </c>
      <c r="E21" s="11" t="inlineStr">
        <is>
          <t>PDF p.171 (印刷頁 170)</t>
        </is>
      </c>
      <c r="F21" s="11" t="inlineStr">
        <is>
          <t>ue measurement is categorised into Level 3 fair value hierarchy. There were no transfers into or out of Level 3 during the year. 19. IMPAIRMENT TESTING ON PROPERTY, PLANT AND EQUIPMENT AND RIGHTOFUSE ASSETS The Directors regard each specialty store as an individual cash-generating unit. At 31 March 2026, certain specialty stores continued to underperform, the management of the Group concluded there was indication for impairment and conducted impairment assessment on certain property, plant and equipment and certain right-of-u</t>
        </is>
      </c>
    </row>
    <row r="22">
      <c r="A22" s="8" t="inlineStr">
        <is>
          <t>Impairment Testing</t>
        </is>
      </c>
      <c r="B22" s="8" t="inlineStr">
        <is>
          <t>減值測試</t>
        </is>
      </c>
      <c r="C22" s="19" t="inlineStr">
        <is>
          <t>high</t>
        </is>
      </c>
      <c r="D22" s="11" t="inlineStr">
        <is>
          <t>impairment test</t>
        </is>
      </c>
      <c r="E22" s="11" t="inlineStr">
        <is>
          <t>PDF p.172 (印刷頁 171)</t>
        </is>
      </c>
      <c r="F22" s="11" t="inlineStr">
        <is>
          <t>Notes to the Consolidated Financial Statements For the year ended 31 March 2026 19. IMPAIRMENT TESTING ON PROPERTY, PLANT AND EQUIPMENT AND RIGHTOFUSE ASSETS (Continued) The Group estimates the recoverable amounts of the leasehold land and buildings included in the property, plant and equipment based on higher of fair value less costs of disposal and value in use, with reference to the valuation performed by Masterpiece and LCH (Asia-Pacific) Surveyors Limited, independent qual</t>
        </is>
      </c>
    </row>
    <row r="23">
      <c r="A23" s="8" t="inlineStr">
        <is>
          <t>Intangible Assets &amp; Goodwill</t>
        </is>
      </c>
      <c r="B23" s="8" t="inlineStr">
        <is>
          <t>無形資產及商譽</t>
        </is>
      </c>
      <c r="C23" s="19" t="inlineStr">
        <is>
          <t>high</t>
        </is>
      </c>
      <c r="D23" s="11" t="inlineStr">
        <is>
          <t>licence</t>
        </is>
      </c>
      <c r="E23" s="11" t="inlineStr">
        <is>
          <t>PDF p.44 (印刷頁 43)</t>
        </is>
      </c>
      <c r="F23" s="11" t="inlineStr">
        <is>
          <t>s where we operate our business as well as the relevant sub-legislations and regulations. Various registrations, certificates and/or licences for the conduct of our business are required under the relevant laws and regulations, which also contain provisions for requirements on the storage, labelling, advertising and importation of some of our products. Failure to comply with the rules and requirements may lead to penalties, amendments or suspension of the business operation by the authorities. The Group closely monitors changes</t>
        </is>
      </c>
    </row>
    <row r="24">
      <c r="A24" s="8" t="inlineStr">
        <is>
          <t>Intangible Assets &amp; Goodwill</t>
        </is>
      </c>
      <c r="B24" s="8" t="inlineStr">
        <is>
          <t>無形資產及商譽</t>
        </is>
      </c>
      <c r="C24" s="19" t="inlineStr">
        <is>
          <t>high</t>
        </is>
      </c>
      <c r="D24" s="11" t="inlineStr">
        <is>
          <t>trademark</t>
        </is>
      </c>
      <c r="E24" s="11" t="inlineStr">
        <is>
          <t>PDF p.67 (印刷頁 66)</t>
        </is>
      </c>
      <c r="F24" s="11" t="inlineStr">
        <is>
          <t>es have the responsibility to protect the Group’s assets and the confidentiality of our intellectual properties, such as copyrights, trademarks, and proprietary information. Supervisors are responsible for ensuring that their subordinates fully understand and comply with the Group’s Code of Conduct. The Group also provides a channel for employees to report any potential breaches of the code. Upon joining the Group, all employees are required to sign a non-disclosure undertaking to formalise their confidentiality obligations. In</t>
        </is>
      </c>
    </row>
    <row r="25">
      <c r="A25" s="8" t="inlineStr">
        <is>
          <t>Intangible Assets &amp; Goodwill</t>
        </is>
      </c>
      <c r="B25" s="8" t="inlineStr">
        <is>
          <t>無形資產及商譽</t>
        </is>
      </c>
      <c r="C25" s="19" t="inlineStr">
        <is>
          <t>high</t>
        </is>
      </c>
      <c r="D25" s="11" t="inlineStr">
        <is>
          <t>goodwill</t>
        </is>
      </c>
      <c r="E25" s="11" t="inlineStr">
        <is>
          <t>PDF p.69 (印刷頁 68)</t>
        </is>
      </c>
      <c r="F25" s="11" t="inlineStr">
        <is>
          <t>• We conduct a preliminary assessment on the brand proprietors’ credentials to ascertain their background, production facilities and goodwill, and estimate the projected sales of Preliminary a particular product manufactured and/or supplied by them. assessment • We obtain ingredient information and specifications of the products from the potential brand proprietors to ensure that the products are up to industry standards and the Product ingredients meet the requirements under relevant laws and regulations. assessment • We condu</t>
        </is>
      </c>
    </row>
    <row r="26">
      <c r="A26" s="8" t="inlineStr">
        <is>
          <t>Intangible Assets &amp; Goodwill</t>
        </is>
      </c>
      <c r="B26" s="8" t="inlineStr">
        <is>
          <t>無形資產及商譽</t>
        </is>
      </c>
      <c r="C26" s="19" t="inlineStr">
        <is>
          <t>high</t>
        </is>
      </c>
      <c r="D26" s="11" t="inlineStr">
        <is>
          <t>intangible asset</t>
        </is>
      </c>
      <c r="E26" s="11" t="inlineStr">
        <is>
          <t>PDF p.70 (印刷頁 69)</t>
        </is>
      </c>
      <c r="F26" s="11" t="inlineStr">
        <is>
          <t>Environmental, Social and Governance Report EMPLOYMENT AND LABOUR PRACTICES Employment Employees are among the Group’s most valuable intangible assets, playing a pivotal role in driving our long-term success. To motivate and retain exceptional talent, we prioritise creating a fair and harmonious workplace while offering competitive compensation and benefits. We strictly comply with all applicable laws and regulations relating to compensation and dismissal, recruitment and promotion, working hours, rest periods, equal opportunit</t>
        </is>
      </c>
    </row>
    <row r="27">
      <c r="A27" s="8" t="inlineStr">
        <is>
          <t>Intangible Assets &amp; Goodwill</t>
        </is>
      </c>
      <c r="B27" s="8" t="inlineStr">
        <is>
          <t>無形資產及商譽</t>
        </is>
      </c>
      <c r="C27" s="19" t="inlineStr">
        <is>
          <t>high</t>
        </is>
      </c>
      <c r="D27" s="11" t="inlineStr">
        <is>
          <t>useful life</t>
        </is>
      </c>
      <c r="E27" s="11" t="inlineStr">
        <is>
          <t>PDF p.119 (印刷頁 118)</t>
        </is>
      </c>
      <c r="F27" s="11" t="inlineStr">
        <is>
          <t>tain ownership of the underlying leased assets at the end of the lease term are depreciated from commencement date to the end of the useful life. Otherwise, right-of-use assets are depreciated on a straight-line basis over the shorter of its estimated useful life and the lease term. The Group presents right-of-use assets as a separate line item on the consolidated statement of financial position. Refundable rental deposits Refundable rental deposits paid are accounted under HKFRS 9 and initially measured at fair value. Adjustme</t>
        </is>
      </c>
    </row>
    <row r="28">
      <c r="A28" s="8" t="inlineStr">
        <is>
          <t>Intangible Assets &amp; Goodwill</t>
        </is>
      </c>
      <c r="B28" s="8" t="inlineStr">
        <is>
          <t>無形資產及商譽</t>
        </is>
      </c>
      <c r="C28" s="19" t="inlineStr">
        <is>
          <t>high</t>
        </is>
      </c>
      <c r="D28" s="11" t="inlineStr">
        <is>
          <t>goodwill</t>
        </is>
      </c>
      <c r="E28" s="11" t="inlineStr">
        <is>
          <t>PDF p.124 (印刷頁 123)</t>
        </is>
      </c>
      <c r="F28" s="11" t="inlineStr">
        <is>
          <t>erences. In addition, deferred tax liabilities are not recognised if the temporary difference arises from the initial recognition of goodwill. Deferred tax liabilities are recognised for taxable temporary differences associated with investments in subsidiaries, except where the Group is able to control the reversal of the temporary difference and it is probable that the temporary difference will not reverse in the foreseeable future. Deferred tax assets arising from deductible temporary differences associated with such investme</t>
        </is>
      </c>
    </row>
    <row r="29">
      <c r="A29" s="8" t="inlineStr">
        <is>
          <t>Intangible Assets &amp; Goodwill</t>
        </is>
      </c>
      <c r="B29" s="8" t="inlineStr">
        <is>
          <t>無形資產及商譽</t>
        </is>
      </c>
      <c r="C29" s="19" t="inlineStr">
        <is>
          <t>high</t>
        </is>
      </c>
      <c r="D29" s="11" t="inlineStr">
        <is>
          <t>goodwill</t>
        </is>
      </c>
      <c r="E29" s="11" t="inlineStr">
        <is>
          <t>PDF p.126 (印刷頁 125)</t>
        </is>
      </c>
      <c r="F29" s="11" t="inlineStr">
        <is>
          <t>ash-generating units. In allocating the impairment loss, the impairment loss is allocated first to reduce the carrying amount of any goodwill (if applicable) and then to the other assets on a pro-rata basis based on the carrying amount of each asset in the unit or the group of cash-generating units. The carrying amount of an asset is not reduced below the highest of its fair value less costs of disposal (if measurable), its value in use (if determinable) and zero. The amount of the impairment loss that would otherwise have been</t>
        </is>
      </c>
    </row>
    <row r="30">
      <c r="A30" s="8" t="inlineStr">
        <is>
          <t>Intangible Assets &amp; Goodwill</t>
        </is>
      </c>
      <c r="B30" s="8" t="inlineStr">
        <is>
          <t>無形資產及商譽</t>
        </is>
      </c>
      <c r="C30" s="19" t="inlineStr">
        <is>
          <t>high</t>
        </is>
      </c>
      <c r="D30" s="11" t="inlineStr">
        <is>
          <t>amortisation</t>
        </is>
      </c>
      <c r="E30" s="11" t="inlineStr">
        <is>
          <t>PDF p.154 (印刷頁 153)</t>
        </is>
      </c>
      <c r="F30" s="11" t="inlineStr">
        <is>
          <t>15.5 (2025: 15.4) — 0.7% equity and enterprise value-to-earnings investment in before interest, taxes, the ordinary depreciation and amortisation share capital of (“EBITDA”) multiples of an investee approximately 8.0 (2025: 6.5). (ii) Reconciliation of Level 3 fair value measurements of financial assets on recurring basis: Equity instruments at FVTOCI HK$’000 At 1 April 2024 1,890 Total gain in other comprehensive income 661 At 31 March 2025 2,551 Total loss in other comprehensive income (337) At 31 March 2026 2,214 153 Annual</t>
        </is>
      </c>
    </row>
    <row r="31">
      <c r="A31" s="8" t="inlineStr">
        <is>
          <t>Intangible Assets &amp; Goodwill</t>
        </is>
      </c>
      <c r="B31" s="8" t="inlineStr">
        <is>
          <t>無形資產及商譽</t>
        </is>
      </c>
      <c r="C31" s="19" t="inlineStr">
        <is>
          <t>high</t>
        </is>
      </c>
      <c r="D31" s="11" t="inlineStr">
        <is>
          <t>amortisation</t>
        </is>
      </c>
      <c r="E31" s="11" t="inlineStr">
        <is>
          <t>PDF p.173 (印刷頁 172)</t>
        </is>
      </c>
      <c r="F31" s="11" t="inlineStr">
        <is>
          <t>ng are the major deferred tax assets and liabilities recognised and movements thereon during the current and prior years: Unrealised Amortisation Retirement profit on and benefit Tax losses inventories depreciation obligation Total HK$’000 HK$’000 HK$’000 HK$’000 HK$’000 At 1 April 2024 263 148 82 343 836 (Charged) credited to profit or loss (Note 10) (145) (92) (10) 91 (156) At 31 March 2025 118 56 72 434 680 (Charged) credited to profit or loss (Note 10) (19) 95 (28) 160 208 At 31 March 2026 99 151 44 594 888 At the end of th</t>
        </is>
      </c>
    </row>
    <row r="32">
      <c r="A32" s="8" t="inlineStr">
        <is>
          <t>Intangible Assets &amp; Goodwill</t>
        </is>
      </c>
      <c r="B32" s="8" t="inlineStr">
        <is>
          <t>無形資產及商譽</t>
        </is>
      </c>
      <c r="C32" s="19" t="inlineStr">
        <is>
          <t>high</t>
        </is>
      </c>
      <c r="D32" s="11" t="inlineStr">
        <is>
          <t>trademark</t>
        </is>
      </c>
      <c r="E32" s="11" t="inlineStr">
        <is>
          <t>PDF p.180 (印刷頁 179)</t>
        </is>
      </c>
      <c r="F32" s="11" t="inlineStr">
        <is>
          <t>alth and Limited personal care products Ausupreme International Hong Kong Ordinary share HK$2 — — 100% 100% — — 100% 100% Holding of trademarks Limited Ausupreme International Trade The PRC Registered HK$5,000,000 — — 100% 100% — — 100% 100% Trading of e-commerce, (Shenzhen) Co., Limited*+ capital retail and 澳至尊國際貿易(深圳) wholesale of health 有限公司 and personal care products in the PRC and properties investment Ausupreme International Trade The PRC Registered HK$21,500,000 — — 100% 100% — — 100% 100% Trading of e-commerce, (Hainan</t>
        </is>
      </c>
    </row>
    <row r="33">
      <c r="A33" s="8" t="inlineStr">
        <is>
          <t>Investment Properties</t>
        </is>
      </c>
      <c r="B33" s="8" t="inlineStr">
        <is>
          <t>投資物業</t>
        </is>
      </c>
      <c r="C33" s="19" t="inlineStr">
        <is>
          <t>high</t>
        </is>
      </c>
      <c r="D33" s="11" t="inlineStr">
        <is>
          <t>investment property</t>
        </is>
      </c>
      <c r="E33" s="11" t="inlineStr">
        <is>
          <t>PDF p.118 (印刷頁 117)</t>
        </is>
      </c>
      <c r="F33" s="11" t="inlineStr">
        <is>
          <t>NTING POLICIES INFORMATION (Continued) 3.2 Material accounting policies information (Continued) Investment properties (Continued) An investment property is derecognised upon disposal or when the investment property is permanently withdrawn from use and no future economic benefits are expected from its disposal. A leased property which is recognised as a right-of-use asset is derecognised if the Group as intermediate lessor classifies the sublease as a finance lease. Any gain or loss arising on derecognition of the property (cal</t>
        </is>
      </c>
    </row>
    <row r="34">
      <c r="A34" s="8" t="inlineStr">
        <is>
          <t>Investment Properties</t>
        </is>
      </c>
      <c r="B34" s="8" t="inlineStr">
        <is>
          <t>投資物業</t>
        </is>
      </c>
      <c r="C34" s="19" t="inlineStr">
        <is>
          <t>high</t>
        </is>
      </c>
      <c r="D34" s="11" t="inlineStr">
        <is>
          <t>market rent</t>
        </is>
      </c>
      <c r="E34" s="11" t="inlineStr">
        <is>
          <t>PDF p.120 (印刷頁 119)</t>
        </is>
      </c>
      <c r="F34" s="11" t="inlineStr">
        <is>
          <t>e, if the lease term reflects the Group exercising an option to terminate the lease. Variable lease payments that reflect changes in market rental rates are initially measured using the market rental rates as at the commencement date. Variable lease payments that do not depend on an index or a rate are not included in the measurement of lease liabilities and right-of-use assets, and are recognised as expense in the period in which the event or condition that triggers the payment occurs. After the commencement date, lease liabil</t>
        </is>
      </c>
    </row>
    <row r="35">
      <c r="A35" s="8" t="inlineStr">
        <is>
          <t>Investment Properties</t>
        </is>
      </c>
      <c r="B35" s="8" t="inlineStr">
        <is>
          <t>投資物業</t>
        </is>
      </c>
      <c r="C35" s="19" t="inlineStr">
        <is>
          <t>high</t>
        </is>
      </c>
      <c r="D35" s="11" t="inlineStr">
        <is>
          <t>investment property</t>
        </is>
      </c>
      <c r="E35" s="11" t="inlineStr">
        <is>
          <t>PDF p.124 (印刷頁 123)</t>
        </is>
      </c>
      <c r="F35" s="11" t="inlineStr">
        <is>
          <t>perties are presumed to be recovered entirely through sale, unless the presumption is rebutted. The presumption is rebutted when the investment property is depreciable and is held within a business model whose objective is to consume substantially all of the economic benefits embodied in the investment property over time, rather than through sale, except for freehold land, which is always presumed to be recovered entirely through sale. 123 Annual Report 2025-26 AUSUPREME INTERNATIONAL HOLDINGS LIMITED</t>
        </is>
      </c>
    </row>
    <row r="36">
      <c r="A36" s="8" t="inlineStr">
        <is>
          <t>Investment Properties</t>
        </is>
      </c>
      <c r="B36" s="8" t="inlineStr">
        <is>
          <t>投資物業</t>
        </is>
      </c>
      <c r="C36" s="19" t="inlineStr">
        <is>
          <t>high</t>
        </is>
      </c>
      <c r="D36" s="11" t="inlineStr">
        <is>
          <t>investment property</t>
        </is>
      </c>
      <c r="E36" s="11" t="inlineStr">
        <is>
          <t>PDF p.140 (印刷頁 139)</t>
        </is>
      </c>
      <c r="F36" s="11" t="inlineStr">
        <is>
          <t>eferred tax arising from investment properties that are measured using the fair value model, the Directors have reviewed the Group’s investment property portfolios and concluded that the Group’s investment properties are not held under a business model whose objective is to consume substantially all of the economic benefits embodied in the investment properties over time. Therefore, in determining the deferred taxation on investment properties, the Directors have determined that the presumption that the carrying amounts of inve</t>
        </is>
      </c>
    </row>
    <row r="37">
      <c r="A37" s="8" t="inlineStr">
        <is>
          <t>ESG Data</t>
        </is>
      </c>
      <c r="B37" s="8" t="inlineStr">
        <is>
          <t>環境社會及管治數據</t>
        </is>
      </c>
      <c r="C37" s="8" t="inlineStr">
        <is>
          <t>medium</t>
        </is>
      </c>
      <c r="D37" s="11" t="inlineStr">
        <is>
          <t>ESG</t>
        </is>
      </c>
      <c r="E37" s="11" t="inlineStr">
        <is>
          <t>PDF p.39 (印刷頁 38)</t>
        </is>
      </c>
      <c r="F37" s="11" t="inlineStr">
        <is>
          <t>fecting the Shareholders and other key stakeholders, to ensure compliance with the relevant legal and regulatory requirements of the ESG Reporting Guide and the Listing Rules. The Board acknowledges that such risk management and internal control systems are designed to manage rather than eliminate the risk of failure to achieve business objectives, and can only provide reasonable but not absolute assurance against material misstatement or loss. The Company has reviewed the need for an internal audit function and considered it a</t>
        </is>
      </c>
    </row>
    <row r="38">
      <c r="A38" s="8" t="inlineStr">
        <is>
          <t>ESG Data</t>
        </is>
      </c>
      <c r="B38" s="8" t="inlineStr">
        <is>
          <t>環境社會及管治數據</t>
        </is>
      </c>
      <c r="C38" s="8" t="inlineStr">
        <is>
          <t>medium</t>
        </is>
      </c>
      <c r="D38" s="11" t="inlineStr">
        <is>
          <t>sustainability</t>
        </is>
      </c>
      <c r="E38" s="11" t="inlineStr">
        <is>
          <t>PDF p.44 (印刷頁 43)</t>
        </is>
      </c>
      <c r="F38" s="11" t="inlineStr">
        <is>
          <t>AGM to be held on 11 September 2026. Environmental, Social and Governance Report The Group is committed to maintaining the long-term sustainability of the environment and devoted to building an environmentally friendly corporation. The Group implements policies and practices to achieve resources conservation, energy saving and waste reduction, so as to minimise its impact on the environment. Detailed information on the environmental, social and governance practices adopted by the Group is set out in the “Environmental, Social a</t>
        </is>
      </c>
    </row>
    <row r="39">
      <c r="A39" s="8" t="inlineStr">
        <is>
          <t>ESG Data</t>
        </is>
      </c>
      <c r="B39" s="8" t="inlineStr">
        <is>
          <t>環境社會及管治數據</t>
        </is>
      </c>
      <c r="C39" s="8" t="inlineStr">
        <is>
          <t>medium</t>
        </is>
      </c>
      <c r="D39" s="11" t="inlineStr">
        <is>
          <t>sustainability</t>
        </is>
      </c>
      <c r="E39" s="11" t="inlineStr">
        <is>
          <t>PDF p.57 (印刷頁 56)</t>
        </is>
      </c>
      <c r="F39" s="11" t="inlineStr">
        <is>
          <t>in Board of the Stock Exchange on 12 September 2016 and became the first Western-style health product company on the Main Board. OUR SUSTAINABILITY The Group places paramount importance on sustainability across both environmental and social spheres, weaving sustainable development principles throughout our operational framework — from daily operations to strategic planning and investment decisions. We are deeply committed to harmonising operational efficiency with environmental preservation. The Group places strong emphasis on</t>
        </is>
      </c>
    </row>
    <row r="40">
      <c r="A40" s="8" t="inlineStr">
        <is>
          <t>ESG Data</t>
        </is>
      </c>
      <c r="B40" s="8" t="inlineStr">
        <is>
          <t>環境社會及管治數據</t>
        </is>
      </c>
      <c r="C40" s="8" t="inlineStr">
        <is>
          <t>medium</t>
        </is>
      </c>
      <c r="D40" s="11" t="inlineStr">
        <is>
          <t>ESG</t>
        </is>
      </c>
      <c r="E40" s="11" t="inlineStr">
        <is>
          <t>PDF p.58 (印刷頁 57)</t>
        </is>
      </c>
      <c r="F40" s="11" t="inlineStr">
        <is>
          <t>AWARD AND RECOGNITION Over recent years, the Group has made substantial advances in executing environmental, social and governance (“ESG”) policies, generating meaningful positive outcomes. Our achievements have been acknowledged through various distinguished awards, including: Quality Tourism Services (“QTS”) Retail Shop Super Manpower Developer Award Caring Company 5 Years+ SportsHour Company Scheme 2023–25 Recognised Company ABOUT THIS REPORT The Company is pleased to release its tenth Environmental, Social and Governance Re</t>
        </is>
      </c>
    </row>
    <row r="41">
      <c r="A41" s="8" t="inlineStr">
        <is>
          <t>ESG Data</t>
        </is>
      </c>
      <c r="B41" s="8" t="inlineStr">
        <is>
          <t>環境社會及管治數據</t>
        </is>
      </c>
      <c r="C41" s="8" t="inlineStr">
        <is>
          <t>medium</t>
        </is>
      </c>
      <c r="D41" s="11" t="inlineStr">
        <is>
          <t>ESG</t>
        </is>
      </c>
      <c r="E41" s="11" t="inlineStr">
        <is>
          <t>PDF p.59 (印刷頁 58)</t>
        </is>
      </c>
      <c r="F41" s="11" t="inlineStr">
        <is>
          <t>Environmental, Social and Governance Report Reporting Period and Scope The Report presents the Group’s ESG measures and performance from 1 April 2025 to 31 March 2026 (the “Reporting Period”). It covers all business regions of the Group, including Hong Kong, Macau and Chinese Mainland. Reporting Standard The Group has prepared the Report in accordance with the mandatory disclosure requirements and the “comply or explain” provisions stipulated in the Environmental, Social and Governance Reporting Co</t>
        </is>
      </c>
    </row>
    <row r="42">
      <c r="A42" s="8" t="inlineStr">
        <is>
          <t>ESG Data</t>
        </is>
      </c>
      <c r="B42" s="8" t="inlineStr">
        <is>
          <t>環境社會及管治數據</t>
        </is>
      </c>
      <c r="C42" s="8" t="inlineStr">
        <is>
          <t>medium</t>
        </is>
      </c>
      <c r="D42" s="11" t="inlineStr">
        <is>
          <t>ESG</t>
        </is>
      </c>
      <c r="E42" s="11" t="inlineStr">
        <is>
          <t>PDF p.60 (印刷頁 59)</t>
        </is>
      </c>
      <c r="F42" s="11" t="inlineStr">
        <is>
          <t>s are key to the enhancement of our sustainability management and performance. We welcome stakeholders to express their views on our ESG strategies via the following channels: Email: info@ausupreme.com Website: www.ausupreme.com Postal address: Office E, 30/F, EGL Tower, 83 Hung To Road, Kwun Tong, Kowloon, Hong Kong SUSTAINABILITY GOVERNANCE The Board is dedicated to incorporating ESG principles across all business strategies and operations throughout the Group’s locations, including our Hong Kong registered office and offices</t>
        </is>
      </c>
    </row>
    <row r="43">
      <c r="A43" s="8" t="inlineStr">
        <is>
          <t>ESG Data</t>
        </is>
      </c>
      <c r="B43" s="8" t="inlineStr">
        <is>
          <t>環境社會及管治數據</t>
        </is>
      </c>
      <c r="C43" s="8" t="inlineStr">
        <is>
          <t>medium</t>
        </is>
      </c>
      <c r="D43" s="11" t="inlineStr">
        <is>
          <t>ESG</t>
        </is>
      </c>
      <c r="E43" s="11" t="inlineStr">
        <is>
          <t>PDF p.62 (印刷頁 61)</t>
        </is>
      </c>
      <c r="F43" s="11" t="inlineStr">
        <is>
          <t>Ensuring safety, environmental approval protection, and social responsibility MATERIALITY ASSESSMENT To pinpoint and prioritise the ESG matters considered materially important to the Group, we engaged an independent consultant to assist in conducting an internal materiality assessment. Preliminary Prioritising Confirmation of the Materiality Material Issues Assessment Result Assessment • Potential material • The identified ESG • The Board and the issues were identified issues were reviewed management reviewed by making referen</t>
        </is>
      </c>
    </row>
    <row r="44">
      <c r="A44" s="8" t="inlineStr">
        <is>
          <t>ESG Data</t>
        </is>
      </c>
      <c r="B44" s="8" t="inlineStr">
        <is>
          <t>環境社會及管治數據</t>
        </is>
      </c>
      <c r="C44" s="8" t="inlineStr">
        <is>
          <t>medium</t>
        </is>
      </c>
      <c r="D44" s="11" t="inlineStr">
        <is>
          <t>greenhouse gas</t>
        </is>
      </c>
      <c r="E44" s="11" t="inlineStr">
        <is>
          <t>PDF p.63 (印刷頁 62)</t>
        </is>
      </c>
      <c r="F44" s="11" t="inlineStr">
        <is>
          <t>s material to the Group, as shown in the list below: Material ESG Issues Level of Materiality Environmental Aspect Energy efficiency Greenhouse gas emissions Highest Climate change Exhaust gas emissions Medium Waste management Water consumption Impact of business on the environment Relevant Use of packaging materials Social Aspect Employee welfare Occupational health and safety Customer satisfaction Anti-corruption Highest Product quality and safety Protection of customers’ privacy Development and training Diversity and equal o</t>
        </is>
      </c>
    </row>
    <row r="45">
      <c r="A45" s="8" t="inlineStr">
        <is>
          <t>ESG Data</t>
        </is>
      </c>
      <c r="B45" s="8" t="inlineStr">
        <is>
          <t>環境社會及管治數據</t>
        </is>
      </c>
      <c r="C45" s="8" t="inlineStr">
        <is>
          <t>medium</t>
        </is>
      </c>
      <c r="D45" s="11" t="inlineStr">
        <is>
          <t>greenhouse gas</t>
        </is>
      </c>
      <c r="E45" s="11" t="inlineStr">
        <is>
          <t>PDF p.74 (印刷頁 73)</t>
        </is>
      </c>
      <c r="F45" s="11" t="inlineStr">
        <is>
          <t>including energy-saving policies and guidelines. Emissions The Group strictly complies with relevant regulations relating to air and greenhouse gas emissions, discharges into water and land, and generation of hazardous and non-hazardous waste, including but not limited to the Waste Disposal Ordinance (Cap. 354 of the Laws of Hong Kong). During the Reporting Period, the Group was not aware of any material non-compliance with environmental laws and regulations, which would have a significant impact on the Group. Exhaust Gas Emiss</t>
        </is>
      </c>
    </row>
    <row r="46">
      <c r="A46" s="8" t="inlineStr">
        <is>
          <t>ESG Data</t>
        </is>
      </c>
      <c r="B46" s="8" t="inlineStr">
        <is>
          <t>環境社會及管治數據</t>
        </is>
      </c>
      <c r="C46" s="8" t="inlineStr">
        <is>
          <t>medium</t>
        </is>
      </c>
      <c r="D46" s="11" t="inlineStr">
        <is>
          <t>greenhouse gas</t>
        </is>
      </c>
      <c r="E46" s="11" t="inlineStr">
        <is>
          <t>PDF p.75 (印刷頁 74)</t>
        </is>
      </c>
      <c r="F46" s="11" t="inlineStr">
        <is>
          <t>Exhaust gas Unit 2026 2025 Nitrogen oxide (NOx) kg 49.95 52.80 Sulphur oxide (SOx) kg 0.09 0.10 Particulate matter (PM) kg 4.63 4.90 Greenhouse Gas Emissions In accordance with China’s dual carbon goals of reaching peak carbon emissions by 2030 and achieving carbon neutrality by 2060, alongside Hong Kong’s 2050 carbon neutrality commitment, the Group has developed and deployed a comprehensive suite of measures focused on enhancing energy efficiency and reducing our greenhouse gas footprint. These strategic measures include: Ene</t>
        </is>
      </c>
    </row>
    <row r="47">
      <c r="A47" s="8" t="inlineStr">
        <is>
          <t>ESG Data</t>
        </is>
      </c>
      <c r="B47" s="8" t="inlineStr">
        <is>
          <t>環境社會及管治數據</t>
        </is>
      </c>
      <c r="C47" s="8" t="inlineStr">
        <is>
          <t>medium</t>
        </is>
      </c>
      <c r="D47" s="11" t="inlineStr">
        <is>
          <t>greenhouse gas</t>
        </is>
      </c>
      <c r="E47" s="11" t="inlineStr">
        <is>
          <t>PDF p.77 (印刷頁 76)</t>
        </is>
      </c>
      <c r="F47" s="11" t="inlineStr">
        <is>
          <t>lectricity conservation and remains firmly committed to progressively reducing our energy consumption, thereby contributing to lower greenhouse gas emissions. Details of the measures have been described in the section “Greenhouse Gas Emissions”. During the Reporting Period, the Group mainly consumed purchased electricity and petrol for general lighting, laptops, monitors, printers, Point-of-Sale systems and other equipment in the office, speciality stores and warehouse, and vehicles respectively. Our energy consumption data is</t>
        </is>
      </c>
    </row>
    <row r="48">
      <c r="A48" s="8" t="inlineStr">
        <is>
          <t>ESG Data</t>
        </is>
      </c>
      <c r="B48" s="8" t="inlineStr">
        <is>
          <t>環境社會及管治數據</t>
        </is>
      </c>
      <c r="C48" s="8" t="inlineStr">
        <is>
          <t>medium</t>
        </is>
      </c>
      <c r="D48" s="11" t="inlineStr">
        <is>
          <t>greenhouse gas</t>
        </is>
      </c>
      <c r="E48" s="11" t="inlineStr">
        <is>
          <t>PDF p.78 (印刷頁 77)</t>
        </is>
      </c>
      <c r="F48" s="11" t="inlineStr">
        <is>
          <t>ntal protection as a corporate responsibility. Therefore, we are committed to minimising waste generation, exhaust gas emissions and greenhouse gases, while simultaneously enhancing energy, water, and resource efficiency. Sustainable business is one of the fundamental principles in our business ethics. The Group aims to drive its business growth in a sustainable manner and develop future plans for improvement in its environmental performance. Climate Change The growing impact of climate change in recent years has resulted in mo</t>
        </is>
      </c>
    </row>
    <row r="49">
      <c r="A49" s="8" t="inlineStr">
        <is>
          <t>ESG Data</t>
        </is>
      </c>
      <c r="B49" s="8" t="inlineStr">
        <is>
          <t>環境社會及管治數據</t>
        </is>
      </c>
      <c r="C49" s="8" t="inlineStr">
        <is>
          <t>medium</t>
        </is>
      </c>
      <c r="D49" s="11" t="inlineStr">
        <is>
          <t>ESG</t>
        </is>
      </c>
      <c r="E49" s="11" t="inlineStr">
        <is>
          <t>PDF p.79 (印刷頁 78)</t>
        </is>
      </c>
      <c r="F49" s="11" t="inlineStr">
        <is>
          <t>ve roles and responsibilities of the Board, the management, and relevant departments are as follows: • Provides overall oversight of ESG and climate-related strategy, risks, and performance; • Approves ESG and climate-related policies, targets, and major initiatives; The Board • Reviews material ESG and climate-related disclosures and progress; • Assists the Board in overseeing ESG and climate-related matters; • Oversees implementation of ESG strategies and climate action plans; • Monitors ESG and climate performance and report</t>
        </is>
      </c>
    </row>
    <row r="50">
      <c r="A50" s="8" t="inlineStr">
        <is>
          <t>ESG Data</t>
        </is>
      </c>
      <c r="B50" s="8" t="inlineStr">
        <is>
          <t>環境社會及管治數據</t>
        </is>
      </c>
      <c r="C50" s="8" t="inlineStr">
        <is>
          <t>medium</t>
        </is>
      </c>
      <c r="D50" s="11" t="inlineStr">
        <is>
          <t>carbon</t>
        </is>
      </c>
      <c r="E50" s="11" t="inlineStr">
        <is>
          <t>PDF p.80 (印刷頁 79)</t>
        </is>
      </c>
      <c r="F50" s="11" t="inlineStr">
        <is>
          <t>dges the importance of proactively managing climate-related risks while capturing opportunities arising from the transition to a low-carbon economy. The Group also remains committed to complying with increasingly stringent regulatory requirements and fulfilling its climate-related disclosure obligations. With reference to the HKEX Implementation Guidance and prevailing market practice, the Group has categorised climate-related risks into short-term (2030) and medium-term (2050) time horizons. As no climate-related risks or oppo</t>
        </is>
      </c>
    </row>
    <row r="51">
      <c r="A51" s="8" t="inlineStr">
        <is>
          <t>ESG Data</t>
        </is>
      </c>
      <c r="B51" s="8" t="inlineStr">
        <is>
          <t>環境社會及管治數據</t>
        </is>
      </c>
      <c r="C51" s="8" t="inlineStr">
        <is>
          <t>medium</t>
        </is>
      </c>
      <c r="D51" s="11" t="inlineStr">
        <is>
          <t>carbon</t>
        </is>
      </c>
      <c r="E51" s="11" t="inlineStr">
        <is>
          <t>PDF p.81 (印刷頁 80)</t>
        </is>
      </c>
      <c r="F51" s="11" t="inlineStr">
        <is>
          <t>Stricter regulations and a) Cash flow, access to finance or cost of capital • Monitor regulatory developments legal risk policies on carbon Short term: Increased compliance costs and carbon tax and proactively align internal emissions, energy or carbon trading expenses. policies with emerging climateefficiency and product related laws and standards. standards may result Medium term: Sustained increases in operating costs in higher compliance and financing costs. • Implement energy efficiency and costs, carbon taxes or emissio</t>
        </is>
      </c>
    </row>
    <row r="52">
      <c r="A52" s="8" t="inlineStr">
        <is>
          <t>ESG Data</t>
        </is>
      </c>
      <c r="B52" s="8" t="inlineStr">
        <is>
          <t>環境社會及管治數據</t>
        </is>
      </c>
      <c r="C52" s="8" t="inlineStr">
        <is>
          <t>medium</t>
        </is>
      </c>
      <c r="D52" s="11" t="inlineStr">
        <is>
          <t>greenhouse gas</t>
        </is>
      </c>
      <c r="E52" s="11" t="inlineStr">
        <is>
          <t>PDF p.82 (印刷頁 81)</t>
        </is>
      </c>
      <c r="F52" s="11" t="inlineStr">
        <is>
          <t>Horizons Short-term 2030 Medium-term 2050 Key Assumptions • The analysis was conducted in 2026 and expected the parameters (e.g. the greenhouse gas emissions and operating costs) will remain broadly comparable over the time horizons. 81 Annual Report 2025-26 AUSUPREME INTERNATIONAL HOLDINGS LIMITED</t>
        </is>
      </c>
    </row>
    <row r="53">
      <c r="A53" s="8" t="inlineStr">
        <is>
          <t>ESG Data</t>
        </is>
      </c>
      <c r="B53" s="8" t="inlineStr">
        <is>
          <t>環境社會及管治數據</t>
        </is>
      </c>
      <c r="C53" s="8" t="inlineStr">
        <is>
          <t>medium</t>
        </is>
      </c>
      <c r="D53" s="11" t="inlineStr">
        <is>
          <t>greenhouse gas</t>
        </is>
      </c>
      <c r="E53" s="11" t="inlineStr">
        <is>
          <t>PDF p.83 (印刷頁 82)</t>
        </is>
      </c>
      <c r="F53" s="11" t="inlineStr">
        <is>
          <t>ed cost of In assessing this risk, we considered the Under this scenario, global climate Under this scenario, climate carbon Pricing greenhouse gas emissions and operating policies are assumed to become more policies are assumed to continue costs for the Reporting Period ended stringent over time, which may lead to broadly in line with existing 31 March 2026 as a reference point and higher carbon pricing levels. Such commitments. As a result, assumed these parameters would remain developments could increase the Group’s potentia</t>
        </is>
      </c>
    </row>
    <row r="54">
      <c r="A54" s="8" t="inlineStr">
        <is>
          <t>ESG Data</t>
        </is>
      </c>
      <c r="B54" s="8" t="inlineStr">
        <is>
          <t>環境社會及管治數據</t>
        </is>
      </c>
      <c r="C54" s="8" t="inlineStr">
        <is>
          <t>medium</t>
        </is>
      </c>
      <c r="D54" s="11" t="inlineStr">
        <is>
          <t>greenhouse gas</t>
        </is>
      </c>
      <c r="E54" s="11" t="inlineStr">
        <is>
          <t>PDF p.84 (印刷頁 83)</t>
        </is>
      </c>
      <c r="F54" s="11" t="inlineStr">
        <is>
          <t>Reporting Period, there were no material changes to our risk management processes compared to the previous year. Metrics and Targets Greenhouse Gas (GHG) Emissions The Group’s direct greenhouse gas emissions (Scope 1) were mainly from the use of vehicles to deliver goods to business operation areas, while the energy indirect emissions (Scope 2) were mainly from the use of purchased electricity. Emissions are calculated according to the GHG Protocol Corporate Accounting and Reporting Standard (2004). The Group have adopted the o</t>
        </is>
      </c>
    </row>
    <row r="55">
      <c r="A55" s="8" t="inlineStr">
        <is>
          <t>ESG Data</t>
        </is>
      </c>
      <c r="B55" s="8" t="inlineStr">
        <is>
          <t>環境社會及管治數據</t>
        </is>
      </c>
      <c r="C55" s="8" t="inlineStr">
        <is>
          <t>medium</t>
        </is>
      </c>
      <c r="D55" s="11" t="inlineStr">
        <is>
          <t>greenhouse gas</t>
        </is>
      </c>
      <c r="E55" s="11" t="inlineStr">
        <is>
          <t>PDF p.85 (印刷頁 84)</t>
        </is>
      </c>
      <c r="F55" s="11" t="inlineStr">
        <is>
          <t>to emissions reduction and accelerating the transition to a low-carbon future. In addition, we utilised carbon offsets to reduce our greenhouse gas emissions. We have chosen the Hebei ChengAn Biomass Cogeneration Project (Project ID: 3797) from the United Nations Clean Development Mechanism (“CDM”) as the carbon offset project. This project generates electricity by utilising local straw from cotton. The electricity generated from this project is sold to the Hebei Provincial Power Grid, replacing the capacity of coal-fired power</t>
        </is>
      </c>
    </row>
    <row r="56">
      <c r="A56" s="8" t="inlineStr">
        <is>
          <t>ESG Data</t>
        </is>
      </c>
      <c r="B56" s="8" t="inlineStr">
        <is>
          <t>環境社會及管治數據</t>
        </is>
      </c>
      <c r="C56" s="8" t="inlineStr">
        <is>
          <t>medium</t>
        </is>
      </c>
      <c r="D56" s="11" t="inlineStr">
        <is>
          <t>sustainability</t>
        </is>
      </c>
      <c r="E56" s="11" t="inlineStr">
        <is>
          <t>PDF p.86 (印刷頁 85)</t>
        </is>
      </c>
      <c r="F56" s="11" t="inlineStr">
        <is>
          <t>uted to providing access to clean water and sanitation facilities in communities of need, reflecting our commitment to environmental sustainability and humanitarian support. A Night of Music and Meaning: “Silent Night, Starry Night” Christmas Concert We are committed to fostering employee wellbeing and cultural enrichment to build a harmonious and engaged workforce. On 23 to 24 December 2025, Group Chairman Mr. Choy and Mrs. Choy sponsored Ausupreme employees to attend the large-scale Christmas concert “Silent Night, Starry Nig</t>
        </is>
      </c>
    </row>
    <row r="57">
      <c r="A57" s="8" t="inlineStr">
        <is>
          <t>ESG Data</t>
        </is>
      </c>
      <c r="B57" s="8" t="inlineStr">
        <is>
          <t>環境社會及管治數據</t>
        </is>
      </c>
      <c r="C57" s="8" t="inlineStr">
        <is>
          <t>medium</t>
        </is>
      </c>
      <c r="D57" s="11" t="inlineStr">
        <is>
          <t>carbon</t>
        </is>
      </c>
      <c r="E57" s="11" t="inlineStr">
        <is>
          <t>PDF p.87 (印刷頁 86)</t>
        </is>
      </c>
      <c r="F57" s="11" t="inlineStr">
        <is>
          <t>d employees with valuable inspiration and reinforced the Group’s culture of determination and continuous personal growth. Supporting Carbon Neutral Initiatives: “Chill &amp; Decarbonise: ESG Charity Concert” The Group is committed to advancing sustainable development through concrete actions that align with our corporate values and create positive social impact. During the Reporting Period, we supported Hong Kong’s first community-initiated carbon-neutral concert, “Chill &amp; Decarbonise: ESG Charity Concert,” organised by Riskory S,</t>
        </is>
      </c>
    </row>
    <row r="58">
      <c r="A58" s="8" t="inlineStr">
        <is>
          <t>ESG Data</t>
        </is>
      </c>
      <c r="B58" s="8" t="inlineStr">
        <is>
          <t>環境社會及管治數據</t>
        </is>
      </c>
      <c r="C58" s="8" t="inlineStr">
        <is>
          <t>medium</t>
        </is>
      </c>
      <c r="D58" s="11" t="inlineStr">
        <is>
          <t>energy consumption</t>
        </is>
      </c>
      <c r="E58" s="11" t="inlineStr">
        <is>
          <t>PDF p.88 (印刷頁 87)</t>
        </is>
      </c>
      <c r="F58" s="11" t="inlineStr">
        <is>
          <t>methodologies, assumptions and/or calculation tools used, and the source of conversion factors used, for the reporting of emissions/energy consumption (where applicable) should be disclosed. Consistency: The issuer should disclose in the ESG report any changes to the methods or KPIs used, or any other relevant factors affecting a meaningful comparison. 87 Annual Report 2025-26 AUSUPREME INTERNATIONAL HOLDINGS LIMITED</t>
        </is>
      </c>
    </row>
    <row r="59">
      <c r="A59" s="8" t="inlineStr">
        <is>
          <t>ESG Data</t>
        </is>
      </c>
      <c r="B59" s="8" t="inlineStr">
        <is>
          <t>環境社會及管治數據</t>
        </is>
      </c>
      <c r="C59" s="8" t="inlineStr">
        <is>
          <t>medium</t>
        </is>
      </c>
      <c r="D59" s="11" t="inlineStr">
        <is>
          <t>greenhouse gas</t>
        </is>
      </c>
      <c r="E59" s="11" t="inlineStr">
        <is>
          <t>PDF p.89 (印刷頁 88)</t>
        </is>
      </c>
      <c r="F59" s="11" t="inlineStr">
        <is>
          <t>the policies; and (b) compliance with relevant laws and regulations that have a significant impact on the issuer relating to air and greenhouse gas emissions, discharges into water and land, and the generation of hazardous and non-hazardous waste. KPI A1.1 The types of emissions and respective emissions Emissions — Exhaust Gas data. Emissions KPI A1.3 Total hazardous waste produced (in tonnes) and, Emissions — Waste where appropriate, intensity (e.g. per unit of Management production volume, per facility). KPI A1.4 Total non-ha</t>
        </is>
      </c>
    </row>
    <row r="60">
      <c r="A60" s="8" t="inlineStr">
        <is>
          <t>ESG Data</t>
        </is>
      </c>
      <c r="B60" s="8" t="inlineStr">
        <is>
          <t>環境社會及管治數據</t>
        </is>
      </c>
      <c r="C60" s="8" t="inlineStr">
        <is>
          <t>medium</t>
        </is>
      </c>
      <c r="D60" s="11" t="inlineStr">
        <is>
          <t>energy consumption</t>
        </is>
      </c>
      <c r="E60" s="11" t="inlineStr">
        <is>
          <t>PDF p.90 (印刷頁 89)</t>
        </is>
      </c>
      <c r="F60" s="11" t="inlineStr">
        <is>
          <t>on the efficient use of resources, including Use of Resources energy, water and other raw materials. KPI A2.1 Direct and/or indirect energy consumption by type Use of Resources — (e.g. electricity, gas or oil) in total (kWh in’000s) and Energy Consumption intensity (e.g. per unit of production volume, per facility). KPI A2.2 Water consumption in total and intensity (e.g. per Use of Resources — Water unit of production volume, per facility). Consumption KPI A2.3 Description of energy use efficiency target(s) set and Use of Resou</t>
        </is>
      </c>
    </row>
    <row r="61">
      <c r="A61" s="8" t="inlineStr">
        <is>
          <t>ESG Data</t>
        </is>
      </c>
      <c r="B61" s="8" t="inlineStr">
        <is>
          <t>環境社會及管治數據</t>
        </is>
      </c>
      <c r="C61" s="8" t="inlineStr">
        <is>
          <t>medium</t>
        </is>
      </c>
      <c r="D61" s="11" t="inlineStr">
        <is>
          <t>ESG</t>
        </is>
      </c>
      <c r="E61" s="11" t="inlineStr">
        <is>
          <t>PDF p.95 (印刷頁 94)</t>
        </is>
      </c>
      <c r="F61" s="11" t="inlineStr">
        <is>
          <t>Environmental, Social and Governance Report APPENDIX B: CLIMATERELATED DISCLOSURES INDEX ESG Code Section Remarks and/or Interpretation Governance 19(a)(i)–(iii) Climate change — Governance Disclosed. 19(a)(iv) Not applicable The Group has not incorporated climate-related considerations into our remuneration policies. 19(b)(i)–(ii) Climate Change — Governance Disclosed. Strategy 20(a)–(d) Climate Change — Strategy — Disclosed. Climate-related risk and opportunities 21(a)–(b) Climate C</t>
        </is>
      </c>
    </row>
    <row r="62">
      <c r="A62" s="8" t="inlineStr">
        <is>
          <t>ESG Data</t>
        </is>
      </c>
      <c r="B62" s="8" t="inlineStr">
        <is>
          <t>環境社會及管治數據</t>
        </is>
      </c>
      <c r="C62" s="8" t="inlineStr">
        <is>
          <t>medium</t>
        </is>
      </c>
      <c r="D62" s="11" t="inlineStr">
        <is>
          <t>greenhouse gas</t>
        </is>
      </c>
      <c r="E62" s="11" t="inlineStr">
        <is>
          <t>PDF p.96 (印刷頁 95)</t>
        </is>
      </c>
      <c r="F62" s="11" t="inlineStr">
        <is>
          <t>s. 27(c) Climate Change — Risk Management Disclosed. Metrics and Targets 28(a)–(c) Climate Change — Metrics and Disclosed. Targets — Greenhouse gas emission 29(a)–(d) Climate Change — Metrics and Disclosed. Targets — Greenhouse gas emission 30 Not Applicable The Group is currently refining the data for the quantification of assets and business activities exposed to climate-related risks and opportunities. 31 Not Applicable The Group is currently refining the data for the quantification of assets and business activities exposed</t>
        </is>
      </c>
    </row>
    <row r="63">
      <c r="A63" s="8" t="inlineStr">
        <is>
          <t>Segment Information</t>
        </is>
      </c>
      <c r="B63" s="8" t="inlineStr">
        <is>
          <t>分部資料</t>
        </is>
      </c>
      <c r="C63" s="8" t="inlineStr">
        <is>
          <t>medium</t>
        </is>
      </c>
      <c r="D63" s="11" t="inlineStr">
        <is>
          <t>segment information</t>
        </is>
      </c>
      <c r="E63" s="11" t="inlineStr">
        <is>
          <t>PDF p.43 (印刷頁 42)</t>
        </is>
      </c>
      <c r="F63" s="11" t="inlineStr">
        <is>
          <t>d distributing of the branded products managed by the Group through “澳至尊” sales and distribution network. An analysis of the Group’s segment information for the Year by sales channels, categories and geographical areas is set out in note 7 to the consolidated financial statements. RESULTS AND DIVIDENDS Details of the consolidated profit of the Group for the Year and the Group’s financial position as at 31 March 2026 are set out in the consolidated financial statements and their accompanying notes on pages 104 to 186 of this ann</t>
        </is>
      </c>
    </row>
    <row r="64">
      <c r="A64" s="8" t="inlineStr">
        <is>
          <t>Segment Information</t>
        </is>
      </c>
      <c r="B64" s="8" t="inlineStr">
        <is>
          <t>分部資料</t>
        </is>
      </c>
      <c r="C64" s="8" t="inlineStr">
        <is>
          <t>medium</t>
        </is>
      </c>
      <c r="D64" s="11" t="inlineStr">
        <is>
          <t>geographical</t>
        </is>
      </c>
      <c r="E64" s="11" t="inlineStr">
        <is>
          <t>PDF p.70 (印刷頁 69)</t>
        </is>
      </c>
      <c r="F64" s="11" t="inlineStr">
        <is>
          <t>6 214 210 200 200 200 200 100 100 100 100 13 14 8 10 0 0 0 0 Male Female Full time Part-time 2026 2025 2026 2025 200 By Age Group By Geographical Region 150 200 200 163 164 98 104 150 150 100 68 100 100 55 50 39 43 50 50 42 40 10 9 9 17 16 7 0 0 0 0 19–30 31–40 41–50 51–60 61 or Hong Kong Chinese Macau above Mainland 2026 2025 2026 2025 69 Annual Report 2025-26 AUSUPREME INTERNATIONAL HOLDINGS LIMITED</t>
        </is>
      </c>
    </row>
    <row r="65">
      <c r="A65" s="8" t="inlineStr">
        <is>
          <t>Segment Information</t>
        </is>
      </c>
      <c r="B65" s="8" t="inlineStr">
        <is>
          <t>分部資料</t>
        </is>
      </c>
      <c r="C65" s="8" t="inlineStr">
        <is>
          <t>medium</t>
        </is>
      </c>
      <c r="D65" s="11" t="inlineStr">
        <is>
          <t>geographical</t>
        </is>
      </c>
      <c r="E65" s="11" t="inlineStr">
        <is>
          <t>PDF p.71 (印刷頁 70)</t>
        </is>
      </c>
      <c r="F65" s="11" t="inlineStr">
        <is>
          <t>ntage 50.0 100.0 31–40 percentage 28.2 30.2 41–50 percentage 21.4 11.5 51–60 percentage 19.1 14.6 61 or above percentage 28.6 0.0 By geographical region Hong Kong percentage 28.8 17.1 Chinese Mainland percentage 17.6 75.0 Macau percentage 4.8 5.0 Singapore percentage 0.0 100.0 70 AUSUPREME INTERNATIONAL HOLDINGS LIMITED Annual Report 2025-26</t>
        </is>
      </c>
    </row>
    <row r="66">
      <c r="A66" s="8" t="inlineStr">
        <is>
          <t>Segment Information</t>
        </is>
      </c>
      <c r="B66" s="8" t="inlineStr">
        <is>
          <t>分部資料</t>
        </is>
      </c>
      <c r="C66" s="8" t="inlineStr">
        <is>
          <t>medium</t>
        </is>
      </c>
      <c r="D66" s="11" t="inlineStr">
        <is>
          <t>geographical</t>
        </is>
      </c>
      <c r="E66" s="11" t="inlineStr">
        <is>
          <t>PDF p.91 (印刷頁 90)</t>
        </is>
      </c>
      <c r="F66" s="11" t="inlineStr">
        <is>
          <t>enefits and welfare. KPI B1.1 Total workforce by gender, employment type (for Employment example, full- or part-time), age group and geographical region. KPI B1.2 Employee turnover rate by gender, age group and Employment geographical region. Aspect B2: Health and Safety General Disclosure Information on: Health and Safety (a) the policies; and (b) compliance with relevant laws and regulations that have a significant impact on the issuer relating to providing a safe working environment and protecting employees from occupational</t>
        </is>
      </c>
    </row>
    <row r="67">
      <c r="A67" s="8" t="inlineStr">
        <is>
          <t>Segment Information</t>
        </is>
      </c>
      <c r="B67" s="8" t="inlineStr">
        <is>
          <t>分部資料</t>
        </is>
      </c>
      <c r="C67" s="8" t="inlineStr">
        <is>
          <t>medium</t>
        </is>
      </c>
      <c r="D67" s="11" t="inlineStr">
        <is>
          <t>geographical</t>
        </is>
      </c>
      <c r="E67" s="11" t="inlineStr">
        <is>
          <t>PDF p.92 (印刷頁 91)</t>
        </is>
      </c>
      <c r="F67" s="11" t="inlineStr">
        <is>
          <t>ure Policies on managing environmental and social risks Supply Chain of the supply chain. Management KPI B5.1 Number of suppliers by geographical region. Supply Chain Management KPI B5.2 Description of practices relating to engaging Supply Chain suppliers, number of suppliers where the practices Management are being implemented, and how they are implemented and monitored. 91 Annual Report 2025-26 AUSUPREME INTERNATIONAL HOLDINGS LIMITED</t>
        </is>
      </c>
    </row>
    <row r="68">
      <c r="A68" s="8" t="inlineStr">
        <is>
          <t>Segment Information</t>
        </is>
      </c>
      <c r="B68" s="8" t="inlineStr">
        <is>
          <t>分部資料</t>
        </is>
      </c>
      <c r="C68" s="8" t="inlineStr">
        <is>
          <t>medium</t>
        </is>
      </c>
      <c r="D68" s="11" t="inlineStr">
        <is>
          <t>geographical</t>
        </is>
      </c>
      <c r="E68" s="11" t="inlineStr">
        <is>
          <t>PDF p.149 (印刷頁 148)</t>
        </is>
      </c>
      <c r="F68" s="11" t="inlineStr">
        <is>
          <t>: 64.7% and 83.3%) respectively, of the total gross trade receivables. At 31 March 2026, the Group’s concentration of credit risk by geographical location is in Hong Kong as 89.8% (2025: 89.5%) of total gross trade receivables are arisen in Hong Kong. The Group applies the simplified approach to provide for ECL prescribed by HKFRS 9, which permits the use of the lifetime ECL for trade receivables arising from ordinary course of business. To measure the expected credit losses, these trade receivables are grouped based on shared</t>
        </is>
      </c>
    </row>
    <row r="69">
      <c r="A69" s="8" t="inlineStr">
        <is>
          <t>Segment Information</t>
        </is>
      </c>
      <c r="B69" s="8" t="inlineStr">
        <is>
          <t>分部資料</t>
        </is>
      </c>
      <c r="C69" s="8" t="inlineStr">
        <is>
          <t>medium</t>
        </is>
      </c>
      <c r="D69" s="11" t="inlineStr">
        <is>
          <t>reportable segment</t>
        </is>
      </c>
      <c r="E69" s="11" t="inlineStr">
        <is>
          <t>PDF p.157 (印刷頁 156)</t>
        </is>
      </c>
      <c r="F69" s="11" t="inlineStr">
        <is>
          <t>pes of goods or services delivered or provided. No operating segments identified by the CODM have been aggregated in arriving at the reportable segments of the Group. Specifically, the Group’s reportable and operating segment under HKFRS 8 Operating Segments is retail and wholesale of health and personal care products. Since this is the only reportable and operating segment of the Group, no further analysis thereof is presented. All the revenue of the Group are generated from retail and wholesale of health and personal care pro</t>
        </is>
      </c>
    </row>
    <row r="70">
      <c r="A70" s="8" t="inlineStr">
        <is>
          <t>Segment Information</t>
        </is>
      </c>
      <c r="B70" s="8" t="inlineStr">
        <is>
          <t>分部資料</t>
        </is>
      </c>
      <c r="C70" s="8" t="inlineStr">
        <is>
          <t>medium</t>
        </is>
      </c>
      <c r="D70" s="11" t="inlineStr">
        <is>
          <t>geographical</t>
        </is>
      </c>
      <c r="E70" s="11" t="inlineStr">
        <is>
          <t>PDF p.158 (印刷頁 157)</t>
        </is>
      </c>
      <c r="F70" s="11" t="inlineStr">
        <is>
          <t>ncial Statements For the year ended 31 March 2026 7. REVENUE AND SEGMENT REPORTING (Continued) (b) Segment reporting (Continued) (i) Geographical information (Continued) Non-current assets As at 31 March 2026 2025 HK$’000 HK$’000 Hong Kong 60,891 64,177 Chinese Mainland 14,915 15,876 Macau 3,024 4,631 78,830 84,684 (ii) Information about major customers and wholesaler/consignees No revenue from a single customer contributed more than 10% of the Group’s revenue for the year. In addition, revenue earned through the Group’s wholes</t>
        </is>
      </c>
    </row>
    <row r="71">
      <c r="A71" s="8" t="inlineStr">
        <is>
          <t>Share-based Payment</t>
        </is>
      </c>
      <c r="B71" s="8" t="inlineStr">
        <is>
          <t>以股份為基礎的付款</t>
        </is>
      </c>
      <c r="C71" s="8" t="inlineStr">
        <is>
          <t>medium</t>
        </is>
      </c>
      <c r="D71" s="11" t="inlineStr">
        <is>
          <t>share option</t>
        </is>
      </c>
      <c r="E71" s="11" t="inlineStr">
        <is>
          <t>PDF p.21 (印刷頁 20)</t>
        </is>
      </c>
      <c r="F71" s="11" t="inlineStr">
        <is>
          <t>esults as well as prevailing market condition. In addition to salary and commission payment to staff, other staff benefits include a share option scheme, discretionary bonus, staff discount on purchases and internal training. DIVIDEND The Board has resolved to recommend a final dividend of HK3 cents per ordinary share for the year ended 31 March 2026, totalling HK$22,860,000 (2025: HK2 cents, totalling HK$15,240,000). Such payment of dividend will be subject to the approval of the Shareholders at the forthcoming AGM. If the res</t>
        </is>
      </c>
    </row>
    <row r="72">
      <c r="A72" s="8" t="inlineStr">
        <is>
          <t>Share-based Payment</t>
        </is>
      </c>
      <c r="B72" s="8" t="inlineStr">
        <is>
          <t>以股份為基礎的付款</t>
        </is>
      </c>
      <c r="C72" s="8" t="inlineStr">
        <is>
          <t>medium</t>
        </is>
      </c>
      <c r="D72" s="11" t="inlineStr">
        <is>
          <t>share option</t>
        </is>
      </c>
      <c r="E72" s="11" t="inlineStr">
        <is>
          <t>PDF p.33 (印刷頁 32)</t>
        </is>
      </c>
      <c r="F72" s="11" t="inlineStr">
        <is>
          <t>sentation to the Board for consideration and approval the remuneration of the Directors and senior management; and (ii) reviewed the share option scheme of the Company. The attendance of each Director at the Remuneration Committee meetings during the Year is as follows: No. of Attendance/ Name of Directors No. of Meeting(s) Dr. Wan Cho Yee 2/2 Ms. Pang Sin Mei Ada 2/2 Mr. Choy Chi Fai 2/2 Nomination Committee The Nomination Committee was established on 20 July 2016 with written terms of reference in compliance with the CG Code.</t>
        </is>
      </c>
    </row>
    <row r="73">
      <c r="A73" s="8" t="inlineStr">
        <is>
          <t>Share-based Payment</t>
        </is>
      </c>
      <c r="B73" s="8" t="inlineStr">
        <is>
          <t>以股份為基礎的付款</t>
        </is>
      </c>
      <c r="C73" s="8" t="inlineStr">
        <is>
          <t>medium</t>
        </is>
      </c>
      <c r="D73" s="11" t="inlineStr">
        <is>
          <t>share option</t>
        </is>
      </c>
      <c r="E73" s="11" t="inlineStr">
        <is>
          <t>PDF p.49 (印刷頁 48)</t>
        </is>
      </c>
      <c r="F73" s="11" t="inlineStr">
        <is>
          <t>tered in the register referred to therein or which were, pursuant to the Model Code, notified to the Company and the Stock Exchange. SHARE OPTION SCHEME Pursuant to the written resolution of the sole Shareholder passed on 20 July 2016, the Company adopted a share option scheme (the “Share Option Scheme”) conditional upon the Listing. The Share Option Scheme became effective on the Listing Date. No share options have been granted since the Listing Date and therefore, there were no outstanding share options as at 1 April 2025 and</t>
        </is>
      </c>
    </row>
    <row r="74">
      <c r="A74" s="8" t="inlineStr">
        <is>
          <t>Share-based Payment</t>
        </is>
      </c>
      <c r="B74" s="8" t="inlineStr">
        <is>
          <t>以股份為基礎的付款</t>
        </is>
      </c>
      <c r="C74" s="8" t="inlineStr">
        <is>
          <t>medium</t>
        </is>
      </c>
      <c r="D74" s="11" t="inlineStr">
        <is>
          <t>share option</t>
        </is>
      </c>
      <c r="E74" s="11" t="inlineStr">
        <is>
          <t>PDF p.50 (印刷頁 49)</t>
        </is>
      </c>
      <c r="F74" s="11" t="inlineStr">
        <is>
          <t>tal number of Shares issued and to be issued upon exercise of all options already granted and to be granted to such person under the Share Option Scheme and any other share option schemes of the Company (including options exercised, cancelled and outstanding) in any 12-month period up to and including the date of grant: (i) representing in aggregate over 0.1% of the Shares in issue; and (ii) having an aggregate value, based on the closing price of the Shares at the date of each grant, in excess of HK$5 million, such further gra</t>
        </is>
      </c>
    </row>
    <row r="75">
      <c r="A75" s="8" t="inlineStr">
        <is>
          <t>Share-based Payment</t>
        </is>
      </c>
      <c r="B75" s="8" t="inlineStr">
        <is>
          <t>以股份為基礎的付款</t>
        </is>
      </c>
      <c r="C75" s="8" t="inlineStr">
        <is>
          <t>medium</t>
        </is>
      </c>
      <c r="D75" s="11" t="inlineStr">
        <is>
          <t>share option</t>
        </is>
      </c>
      <c r="E75" s="11" t="inlineStr">
        <is>
          <t>PDF p.51 (印刷頁 50)</t>
        </is>
      </c>
      <c r="F75" s="11" t="inlineStr">
        <is>
          <t>Report of the Directors (9) Remaining life The Share Option Scheme will remain in force for a period of ten years commencing on the date of adoption of the Share Option Scheme (i.e. 12 September 2016) and shall expire at the close of business on the business day immediately preceding the tenth anniversary thereof (i.e. 11 September 2026) unless terminated earlier by the Shareholders in general meeting. No further share options will be offered</t>
        </is>
      </c>
    </row>
    <row r="76">
      <c r="A76" s="8" t="inlineStr">
        <is>
          <t>Share-based Payment</t>
        </is>
      </c>
      <c r="B76" s="8" t="inlineStr">
        <is>
          <t>以股份為基礎的付款</t>
        </is>
      </c>
      <c r="C76" s="8" t="inlineStr">
        <is>
          <t>medium</t>
        </is>
      </c>
      <c r="D76" s="11" t="inlineStr">
        <is>
          <t>share option</t>
        </is>
      </c>
      <c r="E76" s="11" t="inlineStr">
        <is>
          <t>PDF p.56 (印刷頁 55)</t>
        </is>
      </c>
      <c r="F76" s="11" t="inlineStr">
        <is>
          <t>e Company’s operating results, individual performance of the Directors and comparable market statistics. The Company has adopted the Share Option Scheme as an incentive to eligible participants. TAX RELIEF The Company is not aware of any relief on taxation available to the Shareholders by reason of their holdings of the Shares. If the Shareholders are unsure about the taxation implications of purchasing, holding, disposing of, dealing in or exercising of any rights in relation to the Shares, they are advised to consult their pr</t>
        </is>
      </c>
    </row>
    <row r="77">
      <c r="A77" s="8" t="inlineStr">
        <is>
          <t>Related Party Transactions</t>
        </is>
      </c>
      <c r="B77" s="8" t="inlineStr">
        <is>
          <t>關聯方交易</t>
        </is>
      </c>
      <c r="C77" s="8" t="inlineStr">
        <is>
          <t>low</t>
        </is>
      </c>
      <c r="D77" s="11" t="inlineStr">
        <is>
          <t>related party</t>
        </is>
      </c>
      <c r="E77" s="11" t="inlineStr">
        <is>
          <t>PDF p.53 (印刷頁 52)</t>
        </is>
      </c>
      <c r="F77" s="11" t="inlineStr">
        <is>
          <t>S IN TRANSACTIONS, ARRANGEMENTS AND CONTRACTS Save as disclosed in note 30 to the consolidated financial statements headed “Material Related Party Transactions” in this annual report and the section headed “Connected Transaction” of this report below, no Director nor a connected entity of a Director had a material interest, whether directly or indirectly, in any transaction, arrangement or contract of significance to the business of the Group to which the Company or its holding company or any of its subsidiaries or fellow subsi</t>
        </is>
      </c>
    </row>
    <row r="78">
      <c r="A78" s="8" t="inlineStr">
        <is>
          <t>Related Party Transactions</t>
        </is>
      </c>
      <c r="B78" s="8" t="inlineStr">
        <is>
          <t>關聯方交易</t>
        </is>
      </c>
      <c r="C78" s="8" t="inlineStr">
        <is>
          <t>low</t>
        </is>
      </c>
      <c r="D78" s="11" t="inlineStr">
        <is>
          <t>related party</t>
        </is>
      </c>
      <c r="E78" s="11" t="inlineStr">
        <is>
          <t>PDF p.54 (印刷頁 53)</t>
        </is>
      </c>
      <c r="F78" s="11" t="inlineStr">
        <is>
          <t>nistration of the whole or any substantial part of business of the Company was entered into or existed during the year under review. RELATED PARTY TRANSACTIONS Details of material related party transactions of the Group are provided under note 30 to the consolidated financial statements. Save as disclosed herein and in the paragraph headed “Connected Transaction” below, none of them constituted a one-off connected transaction or continuing connected transaction as defined under Chapter 14A of the Listing Rules. CONNECTED TRANSA</t>
        </is>
      </c>
    </row>
    <row r="79">
      <c r="A79" s="8" t="inlineStr">
        <is>
          <t>Related Party Transactions</t>
        </is>
      </c>
      <c r="B79" s="8" t="inlineStr">
        <is>
          <t>關聯方交易</t>
        </is>
      </c>
      <c r="C79" s="8" t="inlineStr">
        <is>
          <t>low</t>
        </is>
      </c>
      <c r="D79" s="11" t="inlineStr">
        <is>
          <t>related party</t>
        </is>
      </c>
      <c r="E79" s="11" t="inlineStr">
        <is>
          <t>PDF p.179 (印刷頁 178)</t>
        </is>
      </c>
      <c r="F79" s="11" t="inlineStr">
        <is>
          <t>Notes to the Consolidated Financial Statements For the year ended 31 March 2026 30. MATERIAL RELATED PARTY TRANSACTIONS (a) Key management personnel remuneration The key management comprises all the Directors, details of their remuneration are disclosed in Note 12 to the consolidated financial statements. The remuneration of the Directors are determined by the remuneration committee having regard to the performance of individuals and market trends. (b) Other related party transactions (i)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4"/>
  <sheetViews>
    <sheetView workbookViewId="0">
      <pane ySplit="23" topLeftCell="A24"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Operating Profit</t>
        </is>
      </c>
    </row>
    <row r="9">
      <c r="A9" s="8" t="inlineStr">
        <is>
          <t>Income Statement</t>
        </is>
      </c>
      <c r="B9" s="8" t="inlineStr">
        <is>
          <t>R&amp;D Expenses</t>
        </is>
      </c>
    </row>
    <row r="10">
      <c r="A10" s="8" t="inlineStr">
        <is>
          <t>Income Statement</t>
        </is>
      </c>
      <c r="B10" s="8" t="inlineStr">
        <is>
          <t>Depreciation</t>
        </is>
      </c>
    </row>
    <row r="11">
      <c r="A11" s="8" t="inlineStr">
        <is>
          <t>Income Statement</t>
        </is>
      </c>
      <c r="B11" s="8" t="inlineStr">
        <is>
          <t>Amortisation</t>
        </is>
      </c>
    </row>
    <row r="12">
      <c r="A12" s="8" t="inlineStr">
        <is>
          <t>Balance Sheet</t>
        </is>
      </c>
      <c r="B12" s="8" t="inlineStr">
        <is>
          <t>Total Assets</t>
        </is>
      </c>
    </row>
    <row r="13">
      <c r="A13" s="8" t="inlineStr">
        <is>
          <t>Balance Sheet</t>
        </is>
      </c>
      <c r="B13" s="8" t="inlineStr">
        <is>
          <t>Goodwill</t>
        </is>
      </c>
    </row>
    <row r="14">
      <c r="A14" s="8" t="inlineStr">
        <is>
          <t>Balance Sheet</t>
        </is>
      </c>
      <c r="B14" s="8" t="inlineStr">
        <is>
          <t>Intangible Assets</t>
        </is>
      </c>
    </row>
    <row r="15">
      <c r="A15" s="8" t="inlineStr">
        <is>
          <t>Balance Sheet</t>
        </is>
      </c>
      <c r="B15" s="8" t="inlineStr">
        <is>
          <t>Total Liabilities</t>
        </is>
      </c>
    </row>
    <row r="16">
      <c r="A16" s="8" t="inlineStr">
        <is>
          <t>Balance Sheet</t>
        </is>
      </c>
      <c r="B16" s="8" t="inlineStr">
        <is>
          <t>Borrowings</t>
        </is>
      </c>
    </row>
    <row r="17">
      <c r="A17" s="8" t="inlineStr">
        <is>
          <t>Cash Flow</t>
        </is>
      </c>
      <c r="B17" s="8" t="inlineStr">
        <is>
          <t>Capital Expenditure</t>
        </is>
      </c>
    </row>
    <row r="20">
      <c r="A20" s="5" t="inlineStr">
        <is>
          <t>二、文字量過低的頁面(疑似掃描頁)</t>
        </is>
      </c>
    </row>
    <row r="21">
      <c r="A21" s="2" t="inlineStr">
        <is>
          <t>這些頁面幾乎抓不到文字,通常是掃描件或純圖表,建議人手翻閱或另行 OCR。</t>
        </is>
      </c>
    </row>
    <row r="23">
      <c r="A23" s="7" t="inlineStr">
        <is>
          <t>PDF 頁碼</t>
        </is>
      </c>
      <c r="B23" s="7" t="inlineStr">
        <is>
          <t>狀態</t>
        </is>
      </c>
    </row>
    <row r="24">
      <c r="A24" s="8" t="n">
        <v>1</v>
      </c>
      <c r="B24"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2026-08-30T14:16:15Z</dcterms:created>
  <dcterms:modified xsi:type="dcterms:W3CDTF">2026-08-30T14:16:15Z</dcterms:modified>
</cp:coreProperties>
</file>
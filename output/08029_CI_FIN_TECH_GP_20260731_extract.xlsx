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趨勢圖'!$A$5:$A$8</f>
            </numRef>
          </cat>
          <val>
            <numRef>
              <f>'Chart 趨勢圖'!$B$5:$B$8</f>
            </numRef>
          </val>
        </ser>
        <ser>
          <idx val="1"/>
          <order val="1"/>
          <tx>
            <strRef>
              <f>'Chart 趨勢圖'!C4</f>
            </strRef>
          </tx>
          <spPr>
            <a:ln>
              <a:prstDash val="solid"/>
            </a:ln>
          </spPr>
          <cat>
            <numRef>
              <f>'Chart 趨勢圖'!$A$5:$A$8</f>
            </numRef>
          </cat>
          <val>
            <numRef>
              <f>'Chart 趨勢圖'!$C$5:$C$8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08029_CI_FIN_TECH_GP_20260731.pdf</t>
        </is>
      </c>
    </row>
    <row r="5">
      <c r="A5" s="3" t="inlineStr">
        <is>
          <t>產生時間 Generated</t>
        </is>
      </c>
      <c r="B5" s="4" t="inlineStr">
        <is>
          <t>2026-08-30 22:16</t>
        </is>
      </c>
    </row>
    <row r="6">
      <c r="A6" s="4" t="inlineStr"/>
      <c r="B6" s="4" t="inlineStr"/>
    </row>
    <row r="7">
      <c r="A7" s="3" t="inlineStr">
        <is>
          <t>總頁數 Total pages</t>
        </is>
      </c>
      <c r="B7" s="4" t="n">
        <v>133</v>
      </c>
    </row>
    <row r="8">
      <c r="A8" s="3" t="inlineStr">
        <is>
          <t>已擷取字元 Characters extracted</t>
        </is>
      </c>
      <c r="B8" s="4" t="n">
        <v>260849</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0</v>
      </c>
    </row>
    <row r="13">
      <c r="A13" s="3" t="inlineStr">
        <is>
          <t>財務科目擷取筆數 Financial line items</t>
        </is>
      </c>
      <c r="B13" s="4" t="n">
        <v>15</v>
      </c>
    </row>
    <row r="14">
      <c r="A14" s="3" t="inlineStr">
        <is>
          <t>主題段落擷取筆數 Topic extracts</t>
        </is>
      </c>
      <c r="B14" s="4" t="n">
        <v>50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88,729 − 174,895 = -86,166</t>
        </is>
      </c>
    </row>
    <row r="20">
      <c r="A20" s="6" t="inlineStr">
        <is>
          <t>✓ 除稅前溢利 ± 稅項 = 年內溢利</t>
        </is>
      </c>
      <c r="B20" s="4" t="inlineStr">
        <is>
          <t>-37,381 + 0 = -37,381 vs -37,381</t>
        </is>
      </c>
    </row>
    <row r="21">
      <c r="A21" s="6" t="inlineStr">
        <is>
          <t>✓ 三大報表應相鄰</t>
        </is>
      </c>
      <c r="B21" s="4" t="inlineStr">
        <is>
          <t>Income Statement: p.40、Balance Sheet: p.42、Cash Flow: p.45(相距 5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19947</v>
      </c>
      <c r="D5" s="10" t="n">
        <v>32208</v>
      </c>
      <c r="E5" s="11">
        <f>IF(ISERROR((C5-D5)/ABS(D5)),"",(C5-D5)/ABS(D5))</f>
        <v>-0.3806818181818182</v>
      </c>
      <c r="F5" s="12" t="inlineStr">
        <is>
          <t>PDF p.40 (印刷頁 39)</t>
        </is>
      </c>
      <c r="G5" s="12" t="inlineStr">
        <is>
          <t>Revenue 7 19,947 32,208</t>
        </is>
      </c>
    </row>
    <row r="6">
      <c r="A6" s="8" t="inlineStr">
        <is>
          <t>Income Statement</t>
        </is>
      </c>
      <c r="B6" s="8" t="inlineStr">
        <is>
          <t>Gross Profit</t>
        </is>
      </c>
      <c r="C6" s="9" t="n">
        <v>4875</v>
      </c>
      <c r="D6" s="10" t="n">
        <v>4686</v>
      </c>
      <c r="E6" s="11">
        <f>IF(ISERROR((C6-D6)/ABS(D6)),"",(C6-D6)/ABS(D6))</f>
        <v>0.04033290653008963</v>
      </c>
      <c r="F6" s="12" t="inlineStr">
        <is>
          <t>PDF p.40 (印刷頁 39)</t>
        </is>
      </c>
      <c r="G6" s="12" t="inlineStr">
        <is>
          <t>Gross profit 4,875 4,686</t>
        </is>
      </c>
    </row>
    <row r="7">
      <c r="A7" s="8" t="inlineStr">
        <is>
          <t>Income Statement</t>
        </is>
      </c>
      <c r="B7" s="8" t="inlineStr">
        <is>
          <t>Finance Costs</t>
        </is>
      </c>
      <c r="C7" s="9" t="n">
        <v>-11729</v>
      </c>
      <c r="D7" s="10" t="n">
        <v>-14965</v>
      </c>
      <c r="E7" s="11">
        <f>IF(ISERROR((C7-D7)/ABS(D7)),"",(C7-D7)/ABS(D7))</f>
        <v>0.21623788840628133</v>
      </c>
      <c r="F7" s="12" t="inlineStr">
        <is>
          <t>PDF p.40 (印刷頁 39)</t>
        </is>
      </c>
      <c r="G7" s="12" t="inlineStr">
        <is>
          <t>Finance costs 12 (11,729) (14,965)</t>
        </is>
      </c>
    </row>
    <row r="8">
      <c r="A8" s="8" t="inlineStr">
        <is>
          <t>Income Statement</t>
        </is>
      </c>
      <c r="B8" s="8" t="inlineStr">
        <is>
          <t>Profit Before Tax</t>
        </is>
      </c>
      <c r="C8" s="9" t="n">
        <v>-37381</v>
      </c>
      <c r="D8" s="10" t="n">
        <v>-46442</v>
      </c>
      <c r="E8" s="11">
        <f>IF(ISERROR((C8-D8)/ABS(D8)),"",(C8-D8)/ABS(D8))</f>
        <v>0.1951035700443564</v>
      </c>
      <c r="F8" s="12" t="inlineStr">
        <is>
          <t>PDF p.40 (印刷頁 39)</t>
        </is>
      </c>
      <c r="G8" s="12" t="inlineStr">
        <is>
          <t>Loss before taxation 13 (37,381) (46,442)</t>
        </is>
      </c>
    </row>
    <row r="9">
      <c r="A9" s="8" t="inlineStr">
        <is>
          <t>Income Statement</t>
        </is>
      </c>
      <c r="B9" s="8" t="inlineStr">
        <is>
          <t>Income Tax</t>
        </is>
      </c>
      <c r="C9" s="9" t="n">
        <v>0</v>
      </c>
      <c r="D9" s="10" t="n">
        <v>0</v>
      </c>
      <c r="E9" s="11" t="str">
        <f>IF(ISERROR((C9-D9)/ABS(D9)),"",(C9-D9)/ABS(D9))</f>
        <v/>
      </c>
      <c r="F9" s="12" t="inlineStr">
        <is>
          <t>PDF p.40 (印刷頁 39)</t>
        </is>
      </c>
      <c r="G9" s="12" t="inlineStr">
        <is>
          <t>Income tax expense 14 – –</t>
        </is>
      </c>
    </row>
    <row r="10">
      <c r="A10" s="8" t="inlineStr">
        <is>
          <t>Income Statement</t>
        </is>
      </c>
      <c r="B10" s="8" t="inlineStr">
        <is>
          <t>Profit for the Year</t>
        </is>
      </c>
      <c r="C10" s="9" t="n">
        <v>-37381</v>
      </c>
      <c r="D10" s="10" t="n">
        <v>-46442</v>
      </c>
      <c r="E10" s="11">
        <f>IF(ISERROR((C10-D10)/ABS(D10)),"",(C10-D10)/ABS(D10))</f>
        <v>0.1951035700443564</v>
      </c>
      <c r="F10" s="12" t="inlineStr">
        <is>
          <t>PDF p.40 (印刷頁 39)</t>
        </is>
      </c>
      <c r="G10" s="12" t="inlineStr">
        <is>
          <t>Loss for the year from continuing operations (37,381) (46,442)</t>
        </is>
      </c>
    </row>
    <row r="11">
      <c r="A11" s="8" t="inlineStr">
        <is>
          <t>Balance Sheet</t>
        </is>
      </c>
      <c r="B11" s="8" t="inlineStr">
        <is>
          <t>Intangible Assets</t>
        </is>
      </c>
      <c r="C11" s="9" t="n">
        <v>500</v>
      </c>
      <c r="D11" s="10" t="n">
        <v>500</v>
      </c>
      <c r="E11" s="11">
        <f>IF(ISERROR((C11-D11)/ABS(D11)),"",(C11-D11)/ABS(D11))</f>
        <v>0.0</v>
      </c>
      <c r="F11" s="12" t="inlineStr">
        <is>
          <t>PDF p.42 (印刷頁 41)</t>
        </is>
      </c>
      <c r="G11" s="12" t="inlineStr">
        <is>
          <t>Intangible assets 19 500 500</t>
        </is>
      </c>
    </row>
    <row r="12">
      <c r="A12" s="8" t="inlineStr">
        <is>
          <t>Balance Sheet</t>
        </is>
      </c>
      <c r="B12" s="8" t="inlineStr">
        <is>
          <t>Property Plant and Equipment</t>
        </is>
      </c>
      <c r="C12" s="9" t="n">
        <v>1167</v>
      </c>
      <c r="D12" s="10" t="n">
        <v>1580</v>
      </c>
      <c r="E12" s="11">
        <f>IF(ISERROR((C12-D12)/ABS(D12)),"",(C12-D12)/ABS(D12))</f>
        <v>-0.26139240506329114</v>
      </c>
      <c r="F12" s="12" t="inlineStr">
        <is>
          <t>PDF p.42 (印刷頁 41)</t>
        </is>
      </c>
      <c r="G12" s="12" t="inlineStr">
        <is>
          <t>Property, plant and equipment 20 1,167 1,580</t>
        </is>
      </c>
    </row>
    <row r="13">
      <c r="A13" s="8" t="inlineStr">
        <is>
          <t>Balance Sheet</t>
        </is>
      </c>
      <c r="B13" s="8" t="inlineStr">
        <is>
          <t>Inventories</t>
        </is>
      </c>
      <c r="C13" s="9" t="n">
        <v>0</v>
      </c>
      <c r="D13" s="10" t="n">
        <v>661</v>
      </c>
      <c r="E13" s="11">
        <f>IF(ISERROR((C13-D13)/ABS(D13)),"",(C13-D13)/ABS(D13))</f>
        <v>-1.0</v>
      </c>
      <c r="F13" s="12" t="inlineStr">
        <is>
          <t>PDF p.42 (印刷頁 41)</t>
        </is>
      </c>
      <c r="G13" s="12" t="inlineStr">
        <is>
          <t>Inventories 27 – 661</t>
        </is>
      </c>
    </row>
    <row r="14">
      <c r="A14" s="8" t="inlineStr">
        <is>
          <t>Balance Sheet</t>
        </is>
      </c>
      <c r="B14" s="8" t="inlineStr">
        <is>
          <t>Trade Receivables</t>
        </is>
      </c>
      <c r="C14" s="9" t="n">
        <v>1106</v>
      </c>
      <c r="D14" s="10" t="n">
        <v>4275</v>
      </c>
      <c r="E14" s="11">
        <f>IF(ISERROR((C14-D14)/ABS(D14)),"",(C14-D14)/ABS(D14))</f>
        <v>-0.7412865497076023</v>
      </c>
      <c r="F14" s="12" t="inlineStr">
        <is>
          <t>PDF p.42 (印刷頁 41)</t>
        </is>
      </c>
      <c r="G14" s="12" t="inlineStr">
        <is>
          <t>Trade receivables 28 1,106 4,275</t>
        </is>
      </c>
    </row>
    <row r="15">
      <c r="A15" s="8" t="inlineStr">
        <is>
          <t>Balance Sheet</t>
        </is>
      </c>
      <c r="B15" s="8" t="inlineStr">
        <is>
          <t>Cash and Equivalents</t>
        </is>
      </c>
      <c r="C15" s="9" t="n">
        <v>30584</v>
      </c>
      <c r="D15" s="10" t="n">
        <v>29527</v>
      </c>
      <c r="E15" s="11">
        <f>IF(ISERROR((C15-D15)/ABS(D15)),"",(C15-D15)/ABS(D15))</f>
        <v>0.03579774443729468</v>
      </c>
      <c r="F15" s="12" t="inlineStr">
        <is>
          <t>PDF p.42 (印刷頁 41)</t>
        </is>
      </c>
      <c r="G15" s="12" t="inlineStr">
        <is>
          <t>Cash and cash equivalents 31 30,584 29,527</t>
        </is>
      </c>
    </row>
    <row r="16">
      <c r="A16" s="8" t="inlineStr">
        <is>
          <t>Balance Sheet</t>
        </is>
      </c>
      <c r="B16" s="8" t="inlineStr">
        <is>
          <t>Borrowings</t>
        </is>
      </c>
      <c r="C16" s="9" t="n">
        <v>3810</v>
      </c>
      <c r="D16" s="10" t="n">
        <v>5102</v>
      </c>
      <c r="E16" s="11">
        <f>IF(ISERROR((C16-D16)/ABS(D16)),"",(C16-D16)/ABS(D16))</f>
        <v>-0.253234025872207</v>
      </c>
      <c r="F16" s="12" t="inlineStr">
        <is>
          <t>PDF p.42 (印刷頁 41)</t>
        </is>
      </c>
      <c r="G16" s="12" t="inlineStr">
        <is>
          <t>Borrowings and overdrafts 39 3,810 5,102</t>
        </is>
      </c>
    </row>
    <row r="17">
      <c r="A17" s="8" t="inlineStr">
        <is>
          <t>Balance Sheet</t>
        </is>
      </c>
      <c r="B17" s="8" t="inlineStr">
        <is>
          <t>Total Current Assets</t>
        </is>
      </c>
      <c r="C17" s="9" t="n">
        <v>88729</v>
      </c>
      <c r="D17" s="10" t="n">
        <v>87279</v>
      </c>
      <c r="E17" s="11">
        <f>IF(ISERROR((C17-D17)/ABS(D17)),"",(C17-D17)/ABS(D17))</f>
        <v>0.01661338924598128</v>
      </c>
      <c r="F17" s="12" t="inlineStr">
        <is>
          <t>PDF p.42 (印刷頁 41)</t>
        </is>
      </c>
      <c r="G17" s="12" t="inlineStr">
        <is>
          <t>[current assets 區段小計] 88,729 87,279</t>
        </is>
      </c>
    </row>
    <row r="18">
      <c r="A18" s="8" t="inlineStr">
        <is>
          <t>Balance Sheet</t>
        </is>
      </c>
      <c r="B18" s="8" t="inlineStr">
        <is>
          <t>Total Current Liabilities</t>
        </is>
      </c>
      <c r="C18" s="9" t="n">
        <v>174895</v>
      </c>
      <c r="D18" s="10" t="n">
        <v>171001</v>
      </c>
      <c r="E18" s="11">
        <f>IF(ISERROR((C18-D18)/ABS(D18)),"",(C18-D18)/ABS(D18))</f>
        <v>0.022771796656159905</v>
      </c>
      <c r="F18" s="12" t="inlineStr">
        <is>
          <t>PDF p.42 (印刷頁 41)</t>
        </is>
      </c>
      <c r="G18" s="12" t="inlineStr">
        <is>
          <t>[current liabilities 區段小計] 174,895 171,001</t>
        </is>
      </c>
    </row>
    <row r="19">
      <c r="A19" s="8" t="inlineStr">
        <is>
          <t>Cash Flow</t>
        </is>
      </c>
      <c r="B19" s="8" t="inlineStr">
        <is>
          <t>Financing Cash Flow</t>
        </is>
      </c>
      <c r="C19" s="9" t="n">
        <v>17864</v>
      </c>
      <c r="D19" s="10" t="n">
        <v>-31814</v>
      </c>
      <c r="E19" s="11">
        <f>IF(ISERROR((C19-D19)/ABS(D19)),"",(C19-D19)/ABS(D19))</f>
        <v>1.5615137989564343</v>
      </c>
      <c r="F19" s="12" t="inlineStr">
        <is>
          <t>PDF p.46 (印刷頁 45)</t>
        </is>
      </c>
      <c r="G19" s="12" t="inlineStr">
        <is>
          <t>NET CASH FROM (USED IN) FINANCING ACTIVITIES 17,864 (31,814)</t>
        </is>
      </c>
    </row>
    <row r="21">
      <c r="A21"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財務數據'!$C$5:$C$19,MATCH("Gross Profit",'Financials 財務數據'!$B$5:$B$19,0))/INDEX('Financials 財務數據'!$C$5:$C$19,MATCH("Revenue",'Financials 財務數據'!$B$5:$B$19,0))),"n/a",INDEX('Financials 財務數據'!$C$5:$C$19,MATCH("Gross Profit",'Financials 財務數據'!$B$5:$B$19,0))/INDEX('Financials 財務數據'!$C$5:$C$19,MATCH("Revenue",'Financials 財務數據'!$B$5:$B$19,0)))</f>
        <v>0.24439765378252368</v>
      </c>
      <c r="C5" s="13">
        <f>IF(ISERROR(INDEX('Financials 財務數據'!$D$5:$D$19,MATCH("Gross Profit",'Financials 財務數據'!$B$5:$B$19,0))/INDEX('Financials 財務數據'!$D$5:$D$19,MATCH("Revenue",'Financials 財務數據'!$B$5:$B$19,0))),"n/a",INDEX('Financials 財務數據'!$D$5:$D$19,MATCH("Gross Profit",'Financials 財務數據'!$B$5:$B$19,0))/INDEX('Financials 財務數據'!$D$5:$D$19,MATCH("Revenue",'Financials 財務數據'!$B$5:$B$19,0)))</f>
        <v>0.14549180327868852</v>
      </c>
      <c r="D5" s="2" t="inlineStr">
        <is>
          <t>毛利 ÷ 收入</t>
        </is>
      </c>
    </row>
    <row r="6">
      <c r="A6" s="4" t="inlineStr">
        <is>
          <t>Net Margin 淨利率</t>
        </is>
      </c>
      <c r="B6" s="13">
        <f>IF(ISERROR(INDEX('Financials 財務數據'!$C$5:$C$19,MATCH("Profit for the Year",'Financials 財務數據'!$B$5:$B$19,0))/INDEX('Financials 財務數據'!$C$5:$C$19,MATCH("Revenue",'Financials 財務數據'!$B$5:$B$19,0))),"n/a",INDEX('Financials 財務數據'!$C$5:$C$19,MATCH("Profit for the Year",'Financials 財務數據'!$B$5:$B$19,0))/INDEX('Financials 財務數據'!$C$5:$C$19,MATCH("Revenue",'Financials 財務數據'!$B$5:$B$19,0)))</f>
        <v>-1.8740161427783626</v>
      </c>
      <c r="C6" s="13">
        <f>IF(ISERROR(INDEX('Financials 財務數據'!$D$5:$D$19,MATCH("Profit for the Year",'Financials 財務數據'!$B$5:$B$19,0))/INDEX('Financials 財務數據'!$D$5:$D$19,MATCH("Revenue",'Financials 財務數據'!$B$5:$B$19,0))),"n/a",INDEX('Financials 財務數據'!$D$5:$D$19,MATCH("Profit for the Year",'Financials 財務數據'!$B$5:$B$19,0))/INDEX('Financials 財務數據'!$D$5:$D$19,MATCH("Revenue",'Financials 財務數據'!$B$5:$B$19,0)))</f>
        <v>-1.4419398907103824</v>
      </c>
      <c r="D6" s="2" t="inlineStr">
        <is>
          <t>年內溢利 ÷ 收入</t>
        </is>
      </c>
    </row>
    <row r="7">
      <c r="A7" s="4" t="inlineStr">
        <is>
          <t>Current Ratio 流動比率</t>
        </is>
      </c>
      <c r="B7" s="14">
        <f>IF(ISERROR(INDEX('Financials 財務數據'!$C$5:$C$19,MATCH("Total Current Assets",'Financials 財務數據'!$B$5:$B$19,0))/INDEX('Financials 財務數據'!$C$5:$C$19,MATCH("Total Current Liabilities",'Financials 財務數據'!$B$5:$B$19,0))),"n/a",INDEX('Financials 財務數據'!$C$5:$C$19,MATCH("Total Current Assets",'Financials 財務數據'!$B$5:$B$19,0))/INDEX('Financials 財務數據'!$C$5:$C$19,MATCH("Total Current Liabilities",'Financials 財務數據'!$B$5:$B$19,0)))</f>
        <v>0.5073272534949541</v>
      </c>
      <c r="C7" s="14">
        <f>IF(ISERROR(INDEX('Financials 財務數據'!$D$5:$D$19,MATCH("Total Current Assets",'Financials 財務數據'!$B$5:$B$19,0))/INDEX('Financials 財務數據'!$D$5:$D$19,MATCH("Total Current Liabilities",'Financials 財務數據'!$B$5:$B$19,0))),"n/a",INDEX('Financials 財務數據'!$D$5:$D$19,MATCH("Total Current Assets",'Financials 財務數據'!$B$5:$B$19,0))/INDEX('Financials 財務數據'!$D$5:$D$19,MATCH("Total Current Liabilities",'Financials 財務數據'!$B$5:$B$19,0)))</f>
        <v>0.510400523973544</v>
      </c>
      <c r="D7" s="2" t="inlineStr">
        <is>
          <t>流動資產 ÷ 流動負債</t>
        </is>
      </c>
    </row>
    <row r="8">
      <c r="A8" s="4" t="inlineStr">
        <is>
          <t>Debt / Equity 負債權益比</t>
        </is>
      </c>
      <c r="B8" s="14" t="str">
        <f>IF(ISERROR(INDEX('Financials 財務數據'!$C$5:$C$19,MATCH("Total Liabilities",'Financials 財務數據'!$B$5:$B$19,0))/INDEX('Financials 財務數據'!$C$5:$C$19,MATCH("Total Equity",'Financials 財務數據'!$B$5:$B$19,0))),"n/a",INDEX('Financials 財務數據'!$C$5:$C$19,MATCH("Total Liabilities",'Financials 財務數據'!$B$5:$B$19,0))/INDEX('Financials 財務數據'!$C$5:$C$19,MATCH("Total Equity",'Financials 財務數據'!$B$5:$B$19,0)))</f>
        <v>n/a</v>
      </c>
      <c r="C8" s="14" t="str">
        <f>IF(ISERROR(INDEX('Financials 財務數據'!$D$5:$D$19,MATCH("Total Liabilities",'Financials 財務數據'!$B$5:$B$19,0))/INDEX('Financials 財務數據'!$D$5:$D$19,MATCH("Total Equity",'Financials 財務數據'!$B$5:$B$19,0))),"n/a",INDEX('Financials 財務數據'!$D$5:$D$19,MATCH("Total Liabilities",'Financials 財務數據'!$B$5:$B$19,0))/INDEX('Financials 財務數據'!$D$5:$D$19,MATCH("Total Equity",'Financials 財務數據'!$B$5:$B$19,0)))</f>
        <v>n/a</v>
      </c>
      <c r="D8" s="2" t="inlineStr">
        <is>
          <t>總負債 ÷ 總權益</t>
        </is>
      </c>
    </row>
    <row r="9">
      <c r="A9" s="4" t="inlineStr">
        <is>
          <t>Goodwill / Total Assets</t>
        </is>
      </c>
      <c r="B9" s="13" t="str">
        <f>IF(ISERROR(INDEX('Financials 財務數據'!$C$5:$C$19,MATCH("Goodwill",'Financials 財務數據'!$B$5:$B$19,0))/INDEX('Financials 財務數據'!$C$5:$C$19,MATCH("Total Assets",'Financials 財務數據'!$B$5:$B$19,0))),"n/a",INDEX('Financials 財務數據'!$C$5:$C$19,MATCH("Goodwill",'Financials 財務數據'!$B$5:$B$19,0))/INDEX('Financials 財務數據'!$C$5:$C$19,MATCH("Total Assets",'Financials 財務數據'!$B$5:$B$19,0)))</f>
        <v>n/a</v>
      </c>
      <c r="C9" s="13" t="str">
        <f>IF(ISERROR(INDEX('Financials 財務數據'!$D$5:$D$19,MATCH("Goodwill",'Financials 財務數據'!$B$5:$B$19,0))/INDEX('Financials 財務數據'!$D$5:$D$19,MATCH("Total Assets",'Financials 財務數據'!$B$5:$B$19,0))),"n/a",INDEX('Financials 財務數據'!$D$5:$D$19,MATCH("Goodwill",'Financials 財務數據'!$B$5:$B$19,0))/INDEX('Financials 財務數據'!$D$5:$D$19,MATCH("Total Assets",'Financials 財務數據'!$B$5:$B$19,0)))</f>
        <v>n/a</v>
      </c>
      <c r="D9" s="2" t="inlineStr">
        <is>
          <t>商譽佔總資產比重 — 減值風險指標</t>
        </is>
      </c>
    </row>
    <row r="10">
      <c r="A10" s="4" t="inlineStr">
        <is>
          <t>Intangibles / Total Assets</t>
        </is>
      </c>
      <c r="B10" s="13" t="str">
        <f>IF(ISERROR(INDEX('Financials 財務數據'!$C$5:$C$19,MATCH("Intangible Assets",'Financials 財務數據'!$B$5:$B$19,0))/INDEX('Financials 財務數據'!$C$5:$C$19,MATCH("Total Assets",'Financials 財務數據'!$B$5:$B$19,0))),"n/a",INDEX('Financials 財務數據'!$C$5:$C$19,MATCH("Intangible Assets",'Financials 財務數據'!$B$5:$B$19,0))/INDEX('Financials 財務數據'!$C$5:$C$19,MATCH("Total Assets",'Financials 財務數據'!$B$5:$B$19,0)))</f>
        <v>n/a</v>
      </c>
      <c r="C10" s="13" t="str">
        <f>IF(ISERROR(INDEX('Financials 財務數據'!$D$5:$D$19,MATCH("Intangible Assets",'Financials 財務數據'!$B$5:$B$19,0))/INDEX('Financials 財務數據'!$D$5:$D$19,MATCH("Total Assets",'Financials 財務數據'!$B$5:$B$19,0))),"n/a",INDEX('Financials 財務數據'!$D$5:$D$19,MATCH("Intangible Assets",'Financials 財務數據'!$B$5:$B$19,0))/INDEX('Financials 財務數據'!$D$5:$D$19,MATCH("Total Assets",'Financials 財務數據'!$B$5:$B$19,0)))</f>
        <v>n/a</v>
      </c>
      <c r="D10" s="2" t="inlineStr">
        <is>
          <t>無形資產佔比</t>
        </is>
      </c>
    </row>
    <row r="11">
      <c r="A11" s="4" t="inlineStr">
        <is>
          <t>ROE 股本回報率</t>
        </is>
      </c>
      <c r="B11" s="13" t="str">
        <f>IF(ISERROR(INDEX('Financials 財務數據'!$C$5:$C$19,MATCH("Profit for the Year",'Financials 財務數據'!$B$5:$B$19,0))/INDEX('Financials 財務數據'!$C$5:$C$19,MATCH("Total Equity",'Financials 財務數據'!$B$5:$B$19,0))),"n/a",INDEX('Financials 財務數據'!$C$5:$C$19,MATCH("Profit for the Year",'Financials 財務數據'!$B$5:$B$19,0))/INDEX('Financials 財務數據'!$C$5:$C$19,MATCH("Total Equity",'Financials 財務數據'!$B$5:$B$19,0)))</f>
        <v>n/a</v>
      </c>
      <c r="C11" s="13" t="str">
        <f>IF(ISERROR(INDEX('Financials 財務數據'!$D$5:$D$19,MATCH("Profit for the Year",'Financials 財務數據'!$B$5:$B$19,0))/INDEX('Financials 財務數據'!$D$5:$D$19,MATCH("Total Equity",'Financials 財務數據'!$B$5:$B$19,0))),"n/a",INDEX('Financials 財務數據'!$D$5:$D$19,MATCH("Profit for the Year",'Financials 財務數據'!$B$5:$B$19,0))/INDEX('Financials 財務數據'!$D$5:$D$19,MATCH("Total Equity",'Financials 財務數據'!$B$5:$B$19,0)))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32208</v>
      </c>
      <c r="C5" s="16" t="n">
        <v>19947</v>
      </c>
    </row>
    <row r="6">
      <c r="A6" s="4" t="inlineStr">
        <is>
          <t>Gross Profit</t>
        </is>
      </c>
      <c r="B6" s="16" t="n">
        <v>4686</v>
      </c>
      <c r="C6" s="16" t="n">
        <v>4875</v>
      </c>
    </row>
    <row r="7">
      <c r="A7" s="4" t="inlineStr">
        <is>
          <t>Profit Before Tax</t>
        </is>
      </c>
      <c r="B7" s="16" t="n">
        <v>-46442</v>
      </c>
      <c r="C7" s="16" t="n">
        <v>-37381</v>
      </c>
    </row>
    <row r="8">
      <c r="A8" s="4" t="inlineStr">
        <is>
          <t>Profit for the Year</t>
        </is>
      </c>
      <c r="B8" s="16" t="n">
        <v>-46442</v>
      </c>
      <c r="C8" s="16" t="n">
        <v>-37381</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fair value hierarchy</t>
        </is>
      </c>
      <c r="E4" s="12" t="inlineStr">
        <is>
          <t>PDF p.103 (印刷頁 102)</t>
        </is>
      </c>
      <c r="F4" s="12" t="inlineStr">
        <is>
          <t>nt professional valuers. The adjusted market value used RMB356 per equipment. The fair value measurement is categorised into Level 3 fair value hierarchy. The relevant assets were impaired to their recoverable amount of approximately HK$96,000 which were their carrying values at 31 March 2025 and impairment loss of approximately HK$408,000 was recognised in consolidated profit or loss during the year ended 31 March 2025. 102 Annual Report 2026 China Investment Financial Technology Group Limited</t>
        </is>
      </c>
    </row>
    <row r="5">
      <c r="A5" s="8" t="inlineStr">
        <is>
          <t>Fair Value Measurement</t>
        </is>
      </c>
      <c r="B5" s="8" t="inlineStr">
        <is>
          <t>公允價值計量</t>
        </is>
      </c>
      <c r="C5" s="17" t="inlineStr">
        <is>
          <t>high</t>
        </is>
      </c>
      <c r="D5" s="12" t="inlineStr">
        <is>
          <t>fair value hierarchy</t>
        </is>
      </c>
      <c r="E5" s="12" t="inlineStr">
        <is>
          <t>PDF p.107 (印刷頁 106)</t>
        </is>
      </c>
      <c r="F5" s="12" t="inlineStr">
        <is>
          <t>eturn. The fair value of the biological assets measured at the reporting date on a recurring basis, categorised into the three-level fair value hierarchy as defined in HKFRS 13 “Fair Value Measurement”. The biological assets of the Group are classified as level 3 under the fair value hierarchy. During the year ended 31 March 2025, there were no transfers between Levels 1 and 2, or transfers into or out of Level 3. The level into which a fair value measurement classified is determined with reference to the observability and sign</t>
        </is>
      </c>
    </row>
    <row r="6">
      <c r="A6" s="8" t="inlineStr">
        <is>
          <t>Impairment Testing</t>
        </is>
      </c>
      <c r="B6" s="8" t="inlineStr">
        <is>
          <t>減值測試</t>
        </is>
      </c>
      <c r="C6" s="17" t="inlineStr">
        <is>
          <t>high</t>
        </is>
      </c>
      <c r="D6" s="12" t="inlineStr">
        <is>
          <t>recoverable amount</t>
        </is>
      </c>
      <c r="E6" s="12" t="inlineStr">
        <is>
          <t>PDF p.38 (印刷頁 37)</t>
        </is>
      </c>
      <c r="F6" s="12" t="inlineStr">
        <is>
          <t>le to continue to operate as a going concern, adjustments would have to be made to write down the carrying values of assets to their recoverable amounts, to provide for further liabilities which might arise and to reclassify non-current assets and non-current liabilities as current assets and current liabilities respectively. The effects of these adjustments have not been reflected in these consolidated financial statements and we were unable to determine whether such adjustments might have been found necessary. RESPONSIBILITIE</t>
        </is>
      </c>
    </row>
    <row r="7">
      <c r="A7" s="8" t="inlineStr">
        <is>
          <t>Impairment Testing</t>
        </is>
      </c>
      <c r="B7" s="8" t="inlineStr">
        <is>
          <t>減值測試</t>
        </is>
      </c>
      <c r="C7" s="17" t="inlineStr">
        <is>
          <t>high</t>
        </is>
      </c>
      <c r="D7" s="12" t="inlineStr">
        <is>
          <t>impairment loss</t>
        </is>
      </c>
      <c r="E7" s="12" t="inlineStr">
        <is>
          <t>PDF p.40 (印刷頁 39)</t>
        </is>
      </c>
      <c r="F7" s="12" t="inlineStr">
        <is>
          <t>rations Revenue 7 19,947 32,208 Direct costs (15,072) (27,522) Gross profit 4,875 4,686 Other operating income 9 315 812 Reversal of impairment losses (impairment loss) under expected credit loss model, net 10 1,938 (2,553) Other losses, net 11 (4,693) (4,328) Administrative expenses (28,087) (29,890) Finance costs 12 (11,729) (14,965) Fair value change of biological assets, net – (204) Loss before taxation 13 (37,381) (46,442) Income tax expense 14 – – Loss for the year from continuing operations (37,381) (46,442) Discontinued</t>
        </is>
      </c>
    </row>
    <row r="8">
      <c r="A8" s="8" t="inlineStr">
        <is>
          <t>Impairment Testing</t>
        </is>
      </c>
      <c r="B8" s="8" t="inlineStr">
        <is>
          <t>減值測試</t>
        </is>
      </c>
      <c r="C8" s="17" t="inlineStr">
        <is>
          <t>high</t>
        </is>
      </c>
      <c r="D8" s="12" t="inlineStr">
        <is>
          <t>impairment loss</t>
        </is>
      </c>
      <c r="E8" s="12" t="inlineStr">
        <is>
          <t>PDF p.45 (印刷頁 44)</t>
        </is>
      </c>
      <c r="F8" s="12" t="inlineStr">
        <is>
          <t>nd equipment 83 706 Depreciation of right-of-use assets 837 571 Interest income (145) (432) Finance costs 11,729 14,965 (Reversal of impairment losses) impairment losses under expected credit loss model, net, in respect of: – advances to customers in margin financing (1,938) 1,876 – trade receivables – 177 – loan receivables – (148) – other receivables – 648 (Reversal of impairment losses) impairment losses, in respect of: – inventories (696) 900 – right-of-use assets 3,465 1,616 – property, plant and equipment – 1,699 – crypto</t>
        </is>
      </c>
    </row>
    <row r="9">
      <c r="A9" s="8" t="inlineStr">
        <is>
          <t>Impairment Testing</t>
        </is>
      </c>
      <c r="B9" s="8" t="inlineStr">
        <is>
          <t>減值測試</t>
        </is>
      </c>
      <c r="C9" s="17" t="inlineStr">
        <is>
          <t>high</t>
        </is>
      </c>
      <c r="D9" s="12" t="inlineStr">
        <is>
          <t>recoverable amount</t>
        </is>
      </c>
      <c r="E9" s="12" t="inlineStr">
        <is>
          <t>PDF p.50 (印刷頁 49)</t>
        </is>
      </c>
      <c r="F9" s="12" t="inlineStr">
        <is>
          <t>e to continue as a going concern, adjustments would have to be made to write down the carrying values of the Group’s assets to their recoverable amounts, to provide for any further liabilities which might arise and to reclassify non-current assets and non-current liabilities as current assets and current liabilities, respectively. The effects of these adjustments have not been reflected in the Group’s consolidated financial statements as the consolidated financial statements have been prepared on the assumption that the Group w</t>
        </is>
      </c>
    </row>
    <row r="10">
      <c r="A10" s="8" t="inlineStr">
        <is>
          <t>Impairment Testing</t>
        </is>
      </c>
      <c r="B10" s="8" t="inlineStr">
        <is>
          <t>減值測試</t>
        </is>
      </c>
      <c r="C10" s="17" t="inlineStr">
        <is>
          <t>high</t>
        </is>
      </c>
      <c r="D10" s="12" t="inlineStr">
        <is>
          <t>impairment loss</t>
        </is>
      </c>
      <c r="E10" s="12" t="inlineStr">
        <is>
          <t>PDF p.54 (印刷頁 53)</t>
        </is>
      </c>
      <c r="F10" s="12" t="inlineStr">
        <is>
          <t>nd ‧ any initial direct costs incurred by the Group; Right-of-use assets are measured at cost, less any accumulated depreciation and impairment losses, and adjusted for any remeasurement of lease liabilities. Right-of-use assets in which the Group is reasonably certain to obtain ownership of the underlying leased assets at the end of the lease term is depreciated from commencement date to the end of the useful life. Otherwise, right-of-use assets are depreciated on a straight-line basis over the shorter of its estimated useful</t>
        </is>
      </c>
    </row>
    <row r="11">
      <c r="A11" s="8" t="inlineStr">
        <is>
          <t>Impairment Testing</t>
        </is>
      </c>
      <c r="B11" s="8" t="inlineStr">
        <is>
          <t>減值測試</t>
        </is>
      </c>
      <c r="C11" s="17" t="inlineStr">
        <is>
          <t>high</t>
        </is>
      </c>
      <c r="D11" s="12" t="inlineStr">
        <is>
          <t>impairment loss</t>
        </is>
      </c>
      <c r="E11" s="12" t="inlineStr">
        <is>
          <t>PDF p.60 (印刷頁 59)</t>
        </is>
      </c>
      <c r="F11" s="12" t="inlineStr">
        <is>
          <t>recognised. (k) Intangible assets Intangible assets with indefinite useful lives are carried at cost less any subsequent accumulated impairment losses (see note (n) below). An intangible asset is derecognised on disposal, or when no future economic benefits are expected from use or disposal. Gains or losses arising from derecognition of an intangible asset are measured at the difference between the net disposal proceeds and the carrying amount of the asset and are recognised in profit or loss in the period when the asset is der</t>
        </is>
      </c>
    </row>
    <row r="12">
      <c r="A12" s="8" t="inlineStr">
        <is>
          <t>Impairment Testing</t>
        </is>
      </c>
      <c r="B12" s="8" t="inlineStr">
        <is>
          <t>減值測試</t>
        </is>
      </c>
      <c r="C12" s="17" t="inlineStr">
        <is>
          <t>high</t>
        </is>
      </c>
      <c r="D12" s="12" t="inlineStr">
        <is>
          <t>fair value less costs</t>
        </is>
      </c>
      <c r="E12" s="12" t="inlineStr">
        <is>
          <t>PDF p.61 (印刷頁 60)</t>
        </is>
      </c>
      <c r="F12" s="12" t="inlineStr">
        <is>
          <t>l assets Biological assets, including Stallions, are measured on initial recognition and at the end of the reporting period at their fair value less costs to sell, with any resulting gain or loss recognised in the profit or loss for the year in which it arises. Costs to sell are the incremental costs directly attributable to the disposal of an asset, mainly transportation cost and excluding finance costs and income taxes. The fair value of biological assets is determined based on their present location and condition and is dete</t>
        </is>
      </c>
    </row>
    <row r="13">
      <c r="A13" s="8" t="inlineStr">
        <is>
          <t>Impairment Testing</t>
        </is>
      </c>
      <c r="B13" s="8" t="inlineStr">
        <is>
          <t>減值測試</t>
        </is>
      </c>
      <c r="C13" s="17" t="inlineStr">
        <is>
          <t>high</t>
        </is>
      </c>
      <c r="D13" s="12" t="inlineStr">
        <is>
          <t>impairment loss</t>
        </is>
      </c>
      <c r="E13" s="12" t="inlineStr">
        <is>
          <t>PDF p.62 (印刷頁 61)</t>
        </is>
      </c>
      <c r="F13" s="12" t="inlineStr">
        <is>
          <t>roperty, plant and equipment and right-of-use assets to determine whether there is any indication that those assets have suffered an impairment loss. If any such indication exists, the recoverable amount of the asset is estimated in order to determine the extent of the impairment loss, if any. Intangible assets with indefinite useful lives are test for impairment at least annually, and whenever there is an indication that they may be impaired. The recoverable amount of property, plant and equipment, right-of-use assets and inta</t>
        </is>
      </c>
    </row>
    <row r="14">
      <c r="A14" s="8" t="inlineStr">
        <is>
          <t>Impairment Testing</t>
        </is>
      </c>
      <c r="B14" s="8" t="inlineStr">
        <is>
          <t>減值測試</t>
        </is>
      </c>
      <c r="C14" s="17" t="inlineStr">
        <is>
          <t>high</t>
        </is>
      </c>
      <c r="D14" s="12" t="inlineStr">
        <is>
          <t>impairment loss</t>
        </is>
      </c>
      <c r="E14" s="12" t="inlineStr">
        <is>
          <t>PDF p.63 (印刷頁 62)</t>
        </is>
      </c>
      <c r="F14" s="12" t="inlineStr">
        <is>
          <t>(n) Impairment on property, plant and equipment, right-of-use assets and intangible assets other than goodwill (Continued) Where an impairment loss subsequently reverses, the carrying amount of the asset is increased to the revised estimate of its recoverable amount, but so that the increased carrying amount does not exceed the carrying amount that would have been determined had no impairment loss been recognised for the asset in prior years. A reversal of an impairment loss is recognised immediately in profit of loss. (o) Pro</t>
        </is>
      </c>
    </row>
    <row r="15">
      <c r="A15" s="8" t="inlineStr">
        <is>
          <t>Impairment Testing</t>
        </is>
      </c>
      <c r="B15" s="8" t="inlineStr">
        <is>
          <t>減值測試</t>
        </is>
      </c>
      <c r="C15" s="17" t="inlineStr">
        <is>
          <t>high</t>
        </is>
      </c>
      <c r="D15" s="12" t="inlineStr">
        <is>
          <t>recoverable amount</t>
        </is>
      </c>
      <c r="E15" s="12" t="inlineStr">
        <is>
          <t>PDF p.75 (印刷頁 74)</t>
        </is>
      </c>
      <c r="F15" s="12" t="inlineStr">
        <is>
          <t>t has occurred or any indicators that may affect the asset value; (2) whether the carrying value of an asset can be supported by the recoverable amount, in the case of value in use, the net present value of future cash flows which are estimated based upon the continued use of the asset; and (3) the appropriate key assumptions to be applied in estimating the recoverable amounts including cash flow projections and an appropriate discount rate. When it is not possible to estimate the recoverable amount of an individual asset, the</t>
        </is>
      </c>
    </row>
    <row r="16">
      <c r="A16" s="8" t="inlineStr">
        <is>
          <t>Impairment Testing</t>
        </is>
      </c>
      <c r="B16" s="8" t="inlineStr">
        <is>
          <t>減值測試</t>
        </is>
      </c>
      <c r="C16" s="17" t="inlineStr">
        <is>
          <t>high</t>
        </is>
      </c>
      <c r="D16" s="12" t="inlineStr">
        <is>
          <t>impairment loss</t>
        </is>
      </c>
      <c r="E16" s="12" t="inlineStr">
        <is>
          <t>PDF p.90 (印刷頁 89)</t>
        </is>
      </c>
      <c r="F16" s="12" t="inlineStr">
        <is>
          <t>ness services services appliance Unallocated Total HK$’000 HK$’000 HK$’000 HK$’000 HK$’000 HK$’000 Continuing operations Reversal of impairment losses under expected credit loss model, net, in respect of: – advances to customers in margin financing – – 1,938 – – 1,938 Impairment losses on right-of use assets – – – – (3,465) (3,465) Loss on early redemption of promissory notes – – – – (607) (607) Depreciation of property, plant and equipment (33) – – (50) – (83) Gain on lease modification – – – 837 – 837 Losses on written off of</t>
        </is>
      </c>
    </row>
    <row r="17">
      <c r="A17" s="8" t="inlineStr">
        <is>
          <t>Impairment Testing</t>
        </is>
      </c>
      <c r="B17" s="8" t="inlineStr">
        <is>
          <t>減值測試</t>
        </is>
      </c>
      <c r="C17" s="17" t="inlineStr">
        <is>
          <t>high</t>
        </is>
      </c>
      <c r="D17" s="12" t="inlineStr">
        <is>
          <t>impairment loss</t>
        </is>
      </c>
      <c r="E17" s="12" t="inlineStr">
        <is>
          <t>PDF p.92 (印刷頁 91)</t>
        </is>
      </c>
      <c r="F17" s="12" t="inlineStr">
        <is>
          <t>l electronic business services services appliance Unallocated Total HK’000 HK’000 HK’000 HK’000 HK’000 HK’000 Continuing operations (Impairment losses) reversal of impairment losses under expected credit loss model, net, in respect of: – advances to customers in margin financing – – (1,876) – – (1,876) – trade receivables – 139 – (316) – (177) – loan receivables – – 148 – – 148 – other receivables – – – (648) – (648) Impairment losses on inventories – – – (900) – (900) Impairment losses on property, plant and equipment (1,608)</t>
        </is>
      </c>
    </row>
    <row r="18">
      <c r="A18" s="8" t="inlineStr">
        <is>
          <t>Impairment Testing</t>
        </is>
      </c>
      <c r="B18" s="8" t="inlineStr">
        <is>
          <t>減值測試</t>
        </is>
      </c>
      <c r="C18" s="17" t="inlineStr">
        <is>
          <t>high</t>
        </is>
      </c>
      <c r="D18" s="12" t="inlineStr">
        <is>
          <t>impairment loss</t>
        </is>
      </c>
      <c r="E18" s="12" t="inlineStr">
        <is>
          <t>PDF p.94 (印刷頁 93)</t>
        </is>
      </c>
      <c r="F18" s="12" t="inlineStr">
        <is>
          <t>perations Bank interest income 115 432 Sundry income 170 317 Imputed interest income on rental deposit 30 63 315 812 10. REVERSAL OF IMPAIRMENT LOSSES (IMPAIRMENT LOSS) UNDER EXPECTED CREDIT LOSS MODEL, NET 2026 2025 HK$’000 HK$’000 Continuing operations Reversal of impairment losses (impairment losses) under expected credit loss model, net, in respect of: – Advances to customers in margin financing 1,938 (1,876) – Trade receivables – (177) – Loan receivables – 148 – Other receivables – (648) 1,938 (2,553) 93 China Investment F</t>
        </is>
      </c>
    </row>
    <row r="19">
      <c r="A19" s="8" t="inlineStr">
        <is>
          <t>Impairment Testing</t>
        </is>
      </c>
      <c r="B19" s="8" t="inlineStr">
        <is>
          <t>減值測試</t>
        </is>
      </c>
      <c r="C19" s="17" t="inlineStr">
        <is>
          <t>high</t>
        </is>
      </c>
      <c r="D19" s="12" t="inlineStr">
        <is>
          <t>impairment loss</t>
        </is>
      </c>
      <c r="E19" s="12" t="inlineStr">
        <is>
          <t>PDF p.95 (印刷頁 94)</t>
        </is>
      </c>
      <c r="F19" s="12" t="inlineStr">
        <is>
          <t>solidated Financial Statements For the year ended 31 March 2026 11. OTHER LOSSES,NET 2026 2025 HK$’000 HK$’000 Continuing operations Impairment losses recognised in respect of: – Right-of-use assets (3,465) (1,616) – Property, plant and equipment – (1,699) – Cryptocurrencies – (72) Losses on written off of: – Property, plant and equipment (743) – – Other receivable (787) – Loss on early redemption of promissory notes (607) (612) Gain on lease modification 837 – Net foreign exchange loss – (329) Gain on disposal of property, pla</t>
        </is>
      </c>
    </row>
    <row r="20">
      <c r="A20" s="8" t="inlineStr">
        <is>
          <t>Impairment Testing</t>
        </is>
      </c>
      <c r="B20" s="8" t="inlineStr">
        <is>
          <t>減值測試</t>
        </is>
      </c>
      <c r="C20" s="17" t="inlineStr">
        <is>
          <t>high</t>
        </is>
      </c>
      <c r="D20" s="12" t="inlineStr">
        <is>
          <t>impairment loss</t>
        </is>
      </c>
      <c r="E20" s="12" t="inlineStr">
        <is>
          <t>PDF p.96 (印刷頁 95)</t>
        </is>
      </c>
      <c r="F20" s="12" t="inlineStr">
        <is>
          <t>ement benefit scheme contributions 632 627 Sub-total 19,155 19,043 Auditors’ remuneration for: – Audit services 950 790 (Reversal of impairment losses)/Impairment loss of inventories (included in direct costs) (696) 900 Depreciation of right-of-use assets (Note 21) 837 571 Depreciation of property, plant and equipment (Note 20) 156 1,371 Less: Depreciation expense capitalised in cryptocurrencies (73) (665) Sub-total 920 1,277 95 China Investment Financial Technology Group Limited Annual Report 2026</t>
        </is>
      </c>
    </row>
    <row r="21">
      <c r="A21" s="8" t="inlineStr">
        <is>
          <t>Impairment Testing</t>
        </is>
      </c>
      <c r="B21" s="8" t="inlineStr">
        <is>
          <t>減值測試</t>
        </is>
      </c>
      <c r="C21" s="17" t="inlineStr">
        <is>
          <t>high</t>
        </is>
      </c>
      <c r="D21" s="12" t="inlineStr">
        <is>
          <t>impairment loss</t>
        </is>
      </c>
      <c r="E21" s="12" t="inlineStr">
        <is>
          <t>PDF p.102 (印刷頁 101)</t>
        </is>
      </c>
      <c r="F21" s="12" t="inlineStr">
        <is>
          <t>– – – – (2,386) Written-off (972) – – – (2,422) (3,394) At 31 March 2026 – 10,854 4,504 1,200 – 16,558 Accumulated depreciation and impairment loss At 1 April 2024 217 10,854 4,386 – 2,870 18,327 Charge for the year 665 – 27 – 679 1,371 Disposal – – – – (1,825) (1,825) Impairment losses for the year 1,608 – 91 – – 1,699 Foreign currency realignment – – – – (14) (14) At 31 March 2025 and 1 April 2025 2,490 10,854 4,504 – 1,710 19,558 Charge for the year 73 – – 33 50 156 Disposal (1,672) – – – – (1,672) Written-off (891) – – – (</t>
        </is>
      </c>
    </row>
    <row r="22">
      <c r="A22" s="8" t="inlineStr">
        <is>
          <t>Impairment Testing</t>
        </is>
      </c>
      <c r="B22" s="8" t="inlineStr">
        <is>
          <t>減值測試</t>
        </is>
      </c>
      <c r="C22" s="17" t="inlineStr">
        <is>
          <t>high</t>
        </is>
      </c>
      <c r="D22" s="12" t="inlineStr">
        <is>
          <t>impairment loss</t>
        </is>
      </c>
      <c r="E22" s="12" t="inlineStr">
        <is>
          <t>PDF p.103 (印刷頁 102)</t>
        </is>
      </c>
      <c r="F22" s="12" t="inlineStr">
        <is>
          <t>ipment including the cryptocurrency mining equipment to determine whether there was any indication that those assets had suffered an impairment loss. As at 31 March 2026 Due to continued losses for different segments of the Group, the Group conducted impairment assessment on 31 March 2026 to compare the carrying amount of the corporate assets including software of approximately HK$1,167,000 to its recoverable amount. The recoverable amount has been determined based on the fair value less cost to sell by reference to the valuati</t>
        </is>
      </c>
    </row>
    <row r="23">
      <c r="A23" s="8" t="inlineStr">
        <is>
          <t>Impairment Testing</t>
        </is>
      </c>
      <c r="B23" s="8" t="inlineStr">
        <is>
          <t>減值測試</t>
        </is>
      </c>
      <c r="C23" s="17" t="inlineStr">
        <is>
          <t>high</t>
        </is>
      </c>
      <c r="D23" s="12" t="inlineStr">
        <is>
          <t>impairment loss</t>
        </is>
      </c>
      <c r="E23" s="12" t="inlineStr">
        <is>
          <t>PDF p.104 (印刷頁 103)</t>
        </is>
      </c>
      <c r="F23" s="12" t="inlineStr">
        <is>
          <t>bscription of a subsidiary (Note 41) – 500 Additions – 1,687 Lease modification 4,302 – Depreciation charge for the year (837) (571) Impairment loss recognised during the year (Note 20) (3,465) (1,616) At the end of the reporting period – – 2026 2025 HK$’000 HK$’000 Total cash outflows for leases 2,778 2,985 For both years, the Group leases offices for its operations. Lease contracts are entered into for fixed term of 2-3 years (2025: 2-3 years). Lease terms are negotiated on an individual basis and contain a wide range of diff</t>
        </is>
      </c>
    </row>
    <row r="24">
      <c r="A24" s="8" t="inlineStr">
        <is>
          <t>Impairment Testing</t>
        </is>
      </c>
      <c r="B24" s="8" t="inlineStr">
        <is>
          <t>減值測試</t>
        </is>
      </c>
      <c r="C24" s="17" t="inlineStr">
        <is>
          <t>high</t>
        </is>
      </c>
      <c r="D24" s="12" t="inlineStr">
        <is>
          <t>impairment loss</t>
        </is>
      </c>
      <c r="E24" s="12" t="inlineStr">
        <is>
          <t>PDF p.107 (印刷頁 106)</t>
        </is>
      </c>
      <c r="F24" s="12" t="inlineStr">
        <is>
          <t>per annum as at 31 March 2025. The carrying amount of loan receivables as at 31 March 2025 is arrived at after deducting accumulated impairment losses of approximately HK$15,790,000. 106 Annual Report 2026 China Investment Financial Technology Group Limited</t>
        </is>
      </c>
    </row>
    <row r="25">
      <c r="A25" s="8" t="inlineStr">
        <is>
          <t>Impairment Testing</t>
        </is>
      </c>
      <c r="B25" s="8" t="inlineStr">
        <is>
          <t>減值測試</t>
        </is>
      </c>
      <c r="C25" s="17" t="inlineStr">
        <is>
          <t>high</t>
        </is>
      </c>
      <c r="D25" s="12" t="inlineStr">
        <is>
          <t>impairment loss</t>
        </is>
      </c>
      <c r="E25" s="12" t="inlineStr">
        <is>
          <t>PDF p.109 (印刷頁 108)</t>
        </is>
      </c>
      <c r="F25" s="12" t="inlineStr">
        <is>
          <t>CIES 2026 2025 HK$’000 HK$’000 At the beginning of the reporting period 341 1,286 Additions 11,090 13,288 Disposal (11,421) (14,161) Impairment loss recognised during the year – (72) At the end of the reporting period 10 341 At 31 March 2026, the Group held cryptocurrencies with carrying amount of approximately HK$10,000 (2025: HK$341,000). The breakdown of which can be seen below: 2026 2025 Coins Total Coins Total HK$’000 HK$’000 Bitcoins – – 0.51 331 Tether (USDT) 1,166.31 10 1,166.31 10 Total 10 341 The cryptocurrencies are</t>
        </is>
      </c>
    </row>
    <row r="26">
      <c r="A26" s="8" t="inlineStr">
        <is>
          <t>Intangible Assets &amp; Goodwill</t>
        </is>
      </c>
      <c r="B26" s="8" t="inlineStr">
        <is>
          <t>無形資產及商譽</t>
        </is>
      </c>
      <c r="C26" s="17" t="inlineStr">
        <is>
          <t>high</t>
        </is>
      </c>
      <c r="D26" s="12" t="inlineStr">
        <is>
          <t>intangible asset</t>
        </is>
      </c>
      <c r="E26" s="12" t="inlineStr">
        <is>
          <t>PDF p.42 (印刷頁 41)</t>
        </is>
      </c>
      <c r="F26" s="12" t="inlineStr">
        <is>
          <t>Consolidated Statement of Financial Position As at 31 March 2026 Notes 2026 2025 HK$’000 HK$’000 Non-current assets Intangible assets 19 500 500 Property, plant and equipment 20 1,167 1,580 Right-of-use assets 21 – – Other assets 23 275 275 Deposit 30 527 267 Biological assets 24 – – 2,469 2,622 Current assets Loan receivables 25 – – Cryptocurrencies 26 10 341 Inventories 27 – 661 Trade receivables 28 1,106 4,275 Advances to customers in margin financing 29 4,438 4,464 Prepayments, deposits and other receivable</t>
        </is>
      </c>
    </row>
    <row r="27">
      <c r="A27" s="8" t="inlineStr">
        <is>
          <t>Intangible Assets &amp; Goodwill</t>
        </is>
      </c>
      <c r="B27" s="8" t="inlineStr">
        <is>
          <t>無形資產及商譽</t>
        </is>
      </c>
      <c r="C27" s="17" t="inlineStr">
        <is>
          <t>high</t>
        </is>
      </c>
      <c r="D27" s="12" t="inlineStr">
        <is>
          <t>useful life</t>
        </is>
      </c>
      <c r="E27" s="12" t="inlineStr">
        <is>
          <t>PDF p.54 (印刷頁 53)</t>
        </is>
      </c>
      <c r="F27" s="12" t="inlineStr">
        <is>
          <t>btain ownership of the underlying leased assets at the end of the lease term is depreciated from commencement date to the end of the useful life. Otherwise, right-of-use assets are depreciated on a straight-line basis over the shorter of its estimated useful life and the lease term. The Group presents right-of-use assets as a separate line item on the consolidated statement of financial position. Refundable rental deposits Refundable rental deposits paid are accounted under HKFRS 9 and initially measured at fair value. Adjustme</t>
        </is>
      </c>
    </row>
    <row r="28">
      <c r="A28" s="8" t="inlineStr">
        <is>
          <t>Intangible Assets &amp; Goodwill</t>
        </is>
      </c>
      <c r="B28" s="8" t="inlineStr">
        <is>
          <t>無形資產及商譽</t>
        </is>
      </c>
      <c r="C28" s="17" t="inlineStr">
        <is>
          <t>high</t>
        </is>
      </c>
      <c r="D28" s="12" t="inlineStr">
        <is>
          <t>goodwill</t>
        </is>
      </c>
      <c r="E28" s="12" t="inlineStr">
        <is>
          <t>PDF p.57 (印刷頁 56)</t>
        </is>
      </c>
      <c r="F28" s="12" t="inlineStr">
        <is>
          <t>erences. In addition, deferred tax liabilities are not recognised if the temporary difference arises from the initial recognition of goodwill. Deferred tax liabilities are recognised for taxable temporary differences associated with investments in subsidiaries, except where the Group is able to control the reversal of the temporary difference and it is probable that the temporary difference will not reverse in the foreseeable future. Deferred tax assets arising from deductible temporary differences associated with such investme</t>
        </is>
      </c>
    </row>
    <row r="29">
      <c r="A29" s="8" t="inlineStr">
        <is>
          <t>Intangible Assets &amp; Goodwill</t>
        </is>
      </c>
      <c r="B29" s="8" t="inlineStr">
        <is>
          <t>無形資產及商譽</t>
        </is>
      </c>
      <c r="C29" s="17" t="inlineStr">
        <is>
          <t>high</t>
        </is>
      </c>
      <c r="D29" s="12" t="inlineStr">
        <is>
          <t>intangible asset</t>
        </is>
      </c>
      <c r="E29" s="12" t="inlineStr">
        <is>
          <t>PDF p.60 (印刷頁 59)</t>
        </is>
      </c>
      <c r="F29" s="12" t="inlineStr">
        <is>
          <t>roceeds and the carrying amount of the asset) is included in profit or loss in the period in which the property is derecognised. (k) Intangible assets Intangible assets with indefinite useful lives are carried at cost less any subsequent accumulated impairment losses (see note (n) below). An intangible asset is derecognised on disposal, or when no future economic benefits are expected from use or disposal. Gains or losses arising from derecognition of an intangible asset are measured at the difference between the net disposal p</t>
        </is>
      </c>
    </row>
    <row r="30">
      <c r="A30" s="8" t="inlineStr">
        <is>
          <t>Intangible Assets &amp; Goodwill</t>
        </is>
      </c>
      <c r="B30" s="8" t="inlineStr">
        <is>
          <t>無形資產及商譽</t>
        </is>
      </c>
      <c r="C30" s="17" t="inlineStr">
        <is>
          <t>high</t>
        </is>
      </c>
      <c r="D30" s="12" t="inlineStr">
        <is>
          <t>intangible asset</t>
        </is>
      </c>
      <c r="E30" s="12" t="inlineStr">
        <is>
          <t>PDF p.62 (印刷頁 61)</t>
        </is>
      </c>
      <c r="F30" s="12" t="inlineStr">
        <is>
          <t>reparation of consolidated financial statements (Continued) (n) Impairment on property, plant and equipment, right-of-use assets and intangible assets other than goodwill At the end of the reporting period, the Group reviews the carrying amounts of its property, plant and equipment and right-of-use assets to determine whether there is any indication that those assets have suffered an impairment loss. If any such indication exists, the recoverable amount of the asset is estimated in order to determine the extent of the impairmen</t>
        </is>
      </c>
    </row>
    <row r="31">
      <c r="A31" s="8" t="inlineStr">
        <is>
          <t>Intangible Assets &amp; Goodwill</t>
        </is>
      </c>
      <c r="B31" s="8" t="inlineStr">
        <is>
          <t>無形資產及商譽</t>
        </is>
      </c>
      <c r="C31" s="17" t="inlineStr">
        <is>
          <t>high</t>
        </is>
      </c>
      <c r="D31" s="12" t="inlineStr">
        <is>
          <t>intangible asset</t>
        </is>
      </c>
      <c r="E31" s="12" t="inlineStr">
        <is>
          <t>PDF p.63 (印刷頁 62)</t>
        </is>
      </c>
      <c r="F31" s="12" t="inlineStr">
        <is>
          <t>reparation of consolidated financial statements (Continued) (n) Impairment on property, plant and equipment, right-of-use assets and intangible assets other than goodwill (Continued) Where an impairment loss subsequently reverses, the carrying amount of the asset is increased to the revised estimate of its recoverable amount, but so that the increased carrying amount does not exceed the carrying amount that would have been determined had no impairment loss been recognised for the asset in prior years. A reversal of an impairmen</t>
        </is>
      </c>
    </row>
    <row r="32">
      <c r="A32" s="8" t="inlineStr">
        <is>
          <t>Intangible Assets &amp; Goodwill</t>
        </is>
      </c>
      <c r="B32" s="8" t="inlineStr">
        <is>
          <t>無形資產及商譽</t>
        </is>
      </c>
      <c r="C32" s="17" t="inlineStr">
        <is>
          <t>high</t>
        </is>
      </c>
      <c r="D32" s="12" t="inlineStr">
        <is>
          <t>intangible asset</t>
        </is>
      </c>
      <c r="E32" s="12" t="inlineStr">
        <is>
          <t>PDF p.75 (印刷頁 74)</t>
        </is>
      </c>
      <c r="F32" s="12" t="inlineStr">
        <is>
          <t>AND KEY SOURCES OF ESTIMATION UNCERTAINTIES (Continued) Key sources of estimation uncertainties (Continued) Estimated impairment of intangible assets, property, plant and equipment and right-of-use assets. Intangible assets, property, plant and equipment and right-of-use assets are stated at costs less accumulated depreciation and impairment, if any. In determining whether an asset is impaired, the Group has to exercise judgment and make estimation, particularly in assessing: (1) whether an event has occurred or any indicators</t>
        </is>
      </c>
    </row>
    <row r="33">
      <c r="A33" s="8" t="inlineStr">
        <is>
          <t>Intangible Assets &amp; Goodwill</t>
        </is>
      </c>
      <c r="B33" s="8" t="inlineStr">
        <is>
          <t>無形資產及商譽</t>
        </is>
      </c>
      <c r="C33" s="17" t="inlineStr">
        <is>
          <t>high</t>
        </is>
      </c>
      <c r="D33" s="12" t="inlineStr">
        <is>
          <t>intangible asset</t>
        </is>
      </c>
      <c r="E33" s="12" t="inlineStr">
        <is>
          <t>PDF p.101 (印刷頁 100)</t>
        </is>
      </c>
      <c r="F33" s="12" t="inlineStr">
        <is>
          <t>inued Operation of approximately HK$4,220,000 and the denominators detailed above for both basic and diluted earnings per share. 19. INTANGIBLE ASSETS 2026 2025 HK$’000 HK$’000 Trading rights 500 500 The Group’s eligibility rights to trade on or through the Stock Exchange and the Hong Kong Futures Exchange Limited at carrying amount of HK$500,000 is considered to have indefinite useful lives, accordingly it is not amortised. 100 Annual Report 2026 China Investment Financial Technology Group Limited</t>
        </is>
      </c>
    </row>
    <row r="34">
      <c r="A34" s="8" t="inlineStr">
        <is>
          <t>Investment Properties</t>
        </is>
      </c>
      <c r="B34" s="8" t="inlineStr">
        <is>
          <t>投資物業</t>
        </is>
      </c>
      <c r="C34" s="17" t="inlineStr">
        <is>
          <t>high</t>
        </is>
      </c>
      <c r="D34" s="12" t="inlineStr">
        <is>
          <t>investment property</t>
        </is>
      </c>
      <c r="E34" s="12" t="inlineStr">
        <is>
          <t>PDF p.58 (印刷頁 57)</t>
        </is>
      </c>
      <c r="F34" s="12" t="inlineStr">
        <is>
          <t>perties are presumed to be recovered entirely through sale, unless the presumption is rebutted. The presumption is rebutted when the investment property is depreciable and is held within a business model whose objective is to consume substantially all of the economic benefits embodied in the investment property over time, rather than through sale, except for freehold land, which is always presumed to be recovered entirely through sale. For the purposes of measuring deferred tax for leasing transactions in which the Group recogn</t>
        </is>
      </c>
    </row>
    <row r="35">
      <c r="A35" s="8" t="inlineStr">
        <is>
          <t>Investment Properties</t>
        </is>
      </c>
      <c r="B35" s="8" t="inlineStr">
        <is>
          <t>投資物業</t>
        </is>
      </c>
      <c r="C35" s="17" t="inlineStr">
        <is>
          <t>high</t>
        </is>
      </c>
      <c r="D35" s="12" t="inlineStr">
        <is>
          <t>investment property</t>
        </is>
      </c>
      <c r="E35" s="12" t="inlineStr">
        <is>
          <t>PDF p.59 (印刷頁 58)</t>
        </is>
      </c>
      <c r="F35" s="12" t="inlineStr">
        <is>
          <t>ion at cost, less subsequent accumulated depreciation and subsequent accumulated impairment losses, if any. If a property becomes an investment property because its use has changed as evidenced by end of owner-occupation, any difference between the carrying amount and the fair value of that item (including the relevant leasehold land classified as right-of-use assets) at the date of transfer is recognised in other comprehensive income and accumulated in property revaluation reserve. On the subsequent sale or retirement of the p</t>
        </is>
      </c>
    </row>
    <row r="36">
      <c r="A36" s="8" t="inlineStr">
        <is>
          <t>Investment Properties</t>
        </is>
      </c>
      <c r="B36" s="8" t="inlineStr">
        <is>
          <t>投資物業</t>
        </is>
      </c>
      <c r="C36" s="17" t="inlineStr">
        <is>
          <t>high</t>
        </is>
      </c>
      <c r="D36" s="12" t="inlineStr">
        <is>
          <t>investment property</t>
        </is>
      </c>
      <c r="E36" s="12" t="inlineStr">
        <is>
          <t>PDF p.60 (印刷頁 59)</t>
        </is>
      </c>
      <c r="F36" s="12" t="inlineStr">
        <is>
          <t>rising from changes in the fair value of investment properties are included in profit or loss for the period in which they arise. An investment property is derecognised upon disposal or when the investment property is permanently withdrawn from use and no future economic benefits are expected from its disposal. Any gain or loss arising on derecognition of the property (calculated as the difference between the net disposal proceeds and the carrying amount of the asset) is included in profit or loss in the period in which the pro</t>
        </is>
      </c>
    </row>
    <row r="37">
      <c r="A37" s="8" t="inlineStr">
        <is>
          <t>Investment Properties</t>
        </is>
      </c>
      <c r="B37" s="8" t="inlineStr">
        <is>
          <t>投資物業</t>
        </is>
      </c>
      <c r="C37" s="17" t="inlineStr">
        <is>
          <t>high</t>
        </is>
      </c>
      <c r="D37" s="12" t="inlineStr">
        <is>
          <t>investment property</t>
        </is>
      </c>
      <c r="E37" s="12" t="inlineStr">
        <is>
          <t>PDF p.132 (印刷頁 131)</t>
        </is>
      </c>
      <c r="F37" s="12" t="inlineStr">
        <is>
          <t>rve has been set up and is dealt with in accordance with the accounting policies adopted for property and equipment which becomes an investment property because its use has changed as evidenced by end of owner-occupation. e. Merger reserve The merger reserve represents the difference between the nominal value of the share capital issued by the Company in exchange for the nominal value of the share capital and share premium of its subsidiaries arising from group reorganisation. f. Translation reserve The foreign currency transla</t>
        </is>
      </c>
    </row>
    <row r="38">
      <c r="A38" s="8" t="inlineStr">
        <is>
          <t>ESG Data</t>
        </is>
      </c>
      <c r="B38" s="8" t="inlineStr">
        <is>
          <t>環境社會及管治數據</t>
        </is>
      </c>
      <c r="C38" s="8" t="inlineStr">
        <is>
          <t>medium</t>
        </is>
      </c>
      <c r="D38" s="12" t="inlineStr">
        <is>
          <t>sustainability</t>
        </is>
      </c>
      <c r="E38" s="12" t="inlineStr">
        <is>
          <t>PDF p.22 (印刷頁 21)</t>
        </is>
      </c>
      <c r="F38" s="12" t="inlineStr">
        <is>
          <t>Directors’ Report ENVIRONMENTAL POLICIES AND PERFORMANCE The Group considers sustainability of the environment and community’s development is a important factor of a business. Further discuss and details are set out in the “Environmental, Social and Governance Report”. EVENTS AFTER REPORTING PERIOD Details of significant events occurring after the reporting period are set out in Note 42 to the consolidated financial statements. AUDITOR Prism Hong Kong Limited was appointed</t>
        </is>
      </c>
    </row>
    <row r="39">
      <c r="A39" s="8" t="inlineStr">
        <is>
          <t>Segment Information</t>
        </is>
      </c>
      <c r="B39" s="8" t="inlineStr">
        <is>
          <t>分部資料</t>
        </is>
      </c>
      <c r="C39" s="8" t="inlineStr">
        <is>
          <t>medium</t>
        </is>
      </c>
      <c r="D39" s="12" t="inlineStr">
        <is>
          <t>geographical</t>
        </is>
      </c>
      <c r="E39" s="12" t="inlineStr">
        <is>
          <t>PDF p.11 (印刷頁 10)</t>
        </is>
      </c>
      <c r="F39" s="12" t="inlineStr">
        <is>
          <t>I Token and API services continuing to surge, presenting the industry with opportunities for rapid growth. By leveraging Hong Kong’s geographical advantages, the Group has established itself as a hub for exchanges between China and foreign countries, integrating the market rules and resources of both regions to develop a unique competitive edge in its cross-border operations. The Company intends to develop its own AI aggregation platform, which integrates various continuously evolving mainstream advanced large models to build a</t>
        </is>
      </c>
    </row>
    <row r="40">
      <c r="A40" s="8" t="inlineStr">
        <is>
          <t>Segment Information</t>
        </is>
      </c>
      <c r="B40" s="8" t="inlineStr">
        <is>
          <t>分部資料</t>
        </is>
      </c>
      <c r="C40" s="8" t="inlineStr">
        <is>
          <t>medium</t>
        </is>
      </c>
      <c r="D40" s="12" t="inlineStr">
        <is>
          <t>operating segment</t>
        </is>
      </c>
      <c r="E40" s="12" t="inlineStr">
        <is>
          <t>PDF p.15 (印刷頁 14)</t>
        </is>
      </c>
      <c r="F40" s="12" t="inlineStr">
        <is>
          <t>s are set out in Note 48 to the consolidated financial statements. Detail of the analysis of the Group’s performance for the year by operating segments are set out in Note 8 to the consolidated financial statements. RESULTS AND APPROPRIATIONS The financial performance of the Group for the year ended 31 March 2026 are set out in the consolidated statement of profit or loss and other comprehensive income on pages 39 and 40. The financial position of the Group and the Company as at 31 March 2026 is set out in the consolidated stat</t>
        </is>
      </c>
    </row>
    <row r="41">
      <c r="A41" s="8" t="inlineStr">
        <is>
          <t>Segment Information</t>
        </is>
      </c>
      <c r="B41" s="8" t="inlineStr">
        <is>
          <t>分部資料</t>
        </is>
      </c>
      <c r="C41" s="8" t="inlineStr">
        <is>
          <t>medium</t>
        </is>
      </c>
      <c r="D41" s="12" t="inlineStr">
        <is>
          <t>segment information</t>
        </is>
      </c>
      <c r="E41" s="12" t="inlineStr">
        <is>
          <t>PDF p.88 (印刷頁 87)</t>
        </is>
      </c>
      <c r="F41" s="12" t="inlineStr">
        <is>
          <t>Notes to the Consolidated Financial Statements For the year ended 31 March 2026 8. SEGMENT INFORMATION The Group determines its operating segments based on the reports reviewed by the directors of the Company, being the chief operating decision maker (the “CODM”), for the purpose of monitoring segment performance and allocating resources between segments and that are used to make strategic decisions. The Group has four operating and reportable segments–cryptocurrency business, f</t>
        </is>
      </c>
    </row>
    <row r="42">
      <c r="A42" s="8" t="inlineStr">
        <is>
          <t>Segment Information</t>
        </is>
      </c>
      <c r="B42" s="8" t="inlineStr">
        <is>
          <t>分部資料</t>
        </is>
      </c>
      <c r="C42" s="8" t="inlineStr">
        <is>
          <t>medium</t>
        </is>
      </c>
      <c r="D42" s="12" t="inlineStr">
        <is>
          <t>segment information</t>
        </is>
      </c>
      <c r="E42" s="12" t="inlineStr">
        <is>
          <t>PDF p.89 (印刷頁 88)</t>
        </is>
      </c>
      <c r="F42" s="12" t="inlineStr">
        <is>
          <t>Notes to the Consolidated Financial Statements For the year ended 31 March 2026 8. SEGMENT INFORMATION (Continued) For the purposes of monitoring segment performance and allocating resources between segments: – all assets are allocated to operating segments other than certain prepayments, deposits and other receivables, certain cash and cash equivalents that are not attributable to individual segments. Assets used jointly by individual segments are allocated on the basis of the</t>
        </is>
      </c>
    </row>
    <row r="43">
      <c r="A43" s="8" t="inlineStr">
        <is>
          <t>Segment Information</t>
        </is>
      </c>
      <c r="B43" s="8" t="inlineStr">
        <is>
          <t>分部資料</t>
        </is>
      </c>
      <c r="C43" s="8" t="inlineStr">
        <is>
          <t>medium</t>
        </is>
      </c>
      <c r="D43" s="12" t="inlineStr">
        <is>
          <t>segment information</t>
        </is>
      </c>
      <c r="E43" s="12" t="inlineStr">
        <is>
          <t>PDF p.90 (印刷頁 89)</t>
        </is>
      </c>
      <c r="F43" s="12" t="inlineStr">
        <is>
          <t>Notes to the Consolidated Financial Statements For the year ended 31 March 2026 8. SEGMENT INFORMATION (Continued) For the year ended 31 March 2026 (Continued) Amounts included in the measurement of segment profit or loss or segment assets are as follows: Sales of Cryptocurrency Equine Financial electronic business services services appliance Unallocated Total HK$’000 HK$’000 HK$’000 HK$’000 HK$’000 HK$’000 Continuing operations Reversal of impairment losses under expected credi</t>
        </is>
      </c>
    </row>
    <row r="44">
      <c r="A44" s="8" t="inlineStr">
        <is>
          <t>Segment Information</t>
        </is>
      </c>
      <c r="B44" s="8" t="inlineStr">
        <is>
          <t>分部資料</t>
        </is>
      </c>
      <c r="C44" s="8" t="inlineStr">
        <is>
          <t>medium</t>
        </is>
      </c>
      <c r="D44" s="12" t="inlineStr">
        <is>
          <t>segment information</t>
        </is>
      </c>
      <c r="E44" s="12" t="inlineStr">
        <is>
          <t>PDF p.91 (印刷頁 90)</t>
        </is>
      </c>
      <c r="F44" s="12" t="inlineStr">
        <is>
          <t>Notes to the Consolidated Financial Statements For the year ended 31 March 2026 8. SEGMENT INFORMATION (Continued) As at 31 March 2026 Sales of Cryptocurrency Equine Financial electronic business services services appliance Unallocated Total HK$’000 HK$’000 HK$’000 HK$’000 HK$’000 HK$’000 Segment assets 8,008 501 80,941 479 1,269 91,198 Segment liabilities 1,870 16,142 65,579 4,586 88,823 177,000 For the year ended 31 March 2025 Sales of Cryptocurrency Equine Financial electroni</t>
        </is>
      </c>
    </row>
    <row r="45">
      <c r="A45" s="8" t="inlineStr">
        <is>
          <t>Segment Information</t>
        </is>
      </c>
      <c r="B45" s="8" t="inlineStr">
        <is>
          <t>分部資料</t>
        </is>
      </c>
      <c r="C45" s="8" t="inlineStr">
        <is>
          <t>medium</t>
        </is>
      </c>
      <c r="D45" s="12" t="inlineStr">
        <is>
          <t>segment information</t>
        </is>
      </c>
      <c r="E45" s="12" t="inlineStr">
        <is>
          <t>PDF p.92 (印刷頁 91)</t>
        </is>
      </c>
      <c r="F45" s="12" t="inlineStr">
        <is>
          <t>Notes to the Consolidated Financial Statements For the year ended 31 March 2026 8. SEGMENT INFORMATION (Continued) For the year ended 31 March 2025 (Continued) Amounts included in the measurement of segment profit or loss or segment assets are as follows: Sales of Cryptocurrency Equine Financial electronic business services services appliance Unallocated Total HK’000 HK’000 HK’000 HK’000 HK’000 HK’000 Continuing operations (Impairment losses) reversal of impairment losses under</t>
        </is>
      </c>
    </row>
    <row r="46">
      <c r="A46" s="8" t="inlineStr">
        <is>
          <t>Segment Information</t>
        </is>
      </c>
      <c r="B46" s="8" t="inlineStr">
        <is>
          <t>分部資料</t>
        </is>
      </c>
      <c r="C46" s="8" t="inlineStr">
        <is>
          <t>medium</t>
        </is>
      </c>
      <c r="D46" s="12" t="inlineStr">
        <is>
          <t>segment information</t>
        </is>
      </c>
      <c r="E46" s="12" t="inlineStr">
        <is>
          <t>PDF p.93 (印刷頁 92)</t>
        </is>
      </c>
      <c r="F46" s="12" t="inlineStr">
        <is>
          <t>Notes to the Consolidated Financial Statements For the year ended 31 March 2026 8. SEGMENT INFORMATION (Continued) As at 31 March 2025 Assets and liabilities Sales of relating to Cryptocurrency Equine Financial electronic discontinued business services services appliance operation Unallocated Total HK’000 HK’000 HK’000 HK’000 HK’000 HK’000 HK’000 Segment assets 4,000 846 79,568 3,952 455 1,080 89,901 Segment liabilities 1,769 14,713 63,714 7,763 95 83,784 171,838 Segment revenue</t>
        </is>
      </c>
    </row>
    <row r="47">
      <c r="A47" s="8" t="inlineStr">
        <is>
          <t>Share-based Payment</t>
        </is>
      </c>
      <c r="B47" s="8" t="inlineStr">
        <is>
          <t>以股份為基礎的付款</t>
        </is>
      </c>
      <c r="C47" s="8" t="inlineStr">
        <is>
          <t>medium</t>
        </is>
      </c>
      <c r="D47" s="12" t="inlineStr">
        <is>
          <t>share option</t>
        </is>
      </c>
      <c r="E47" s="12" t="inlineStr">
        <is>
          <t>PDF p.8 (印刷頁 7)</t>
        </is>
      </c>
      <c r="F47" s="12" t="inlineStr">
        <is>
          <t>ployees where appropriate. Discretionary bonus is linked to performance of the individual on case by case basis. The Group may offer share options to reward employees who make significant contributions, in order to retain key and crucial staff. The remuneration policy of the Group is reviewed and approved by the Remuneration Committee as well as by the Board. FOREIGN EXCHANGE EXPOSURE The income and expenditure of the Group are denominated in Hong Kong Dollar, United States Dollar, Renminbi, and Australian Dollar. The Company h</t>
        </is>
      </c>
    </row>
    <row r="48">
      <c r="A48" s="8" t="inlineStr">
        <is>
          <t>Share-based Payment</t>
        </is>
      </c>
      <c r="B48" s="8" t="inlineStr">
        <is>
          <t>以股份為基礎的付款</t>
        </is>
      </c>
      <c r="C48" s="8" t="inlineStr">
        <is>
          <t>medium</t>
        </is>
      </c>
      <c r="D48" s="12" t="inlineStr">
        <is>
          <t>share option</t>
        </is>
      </c>
      <c r="E48" s="12" t="inlineStr">
        <is>
          <t>PDF p.17 (印刷頁 16)</t>
        </is>
      </c>
      <c r="F48" s="12" t="inlineStr">
        <is>
          <t>Investment Limited is beneficially owned as to 100% by Mr. Wang Qiang. During the year ended 31 March 2026, the Company grant no new share option for the Directors or their respective associates to subscribe for shares of the Company and had not been exercised such rights. Save as disclosed above, during the year ended 31 March 2026, none of the Directors or Chief Executive of the Company has any interests or short positions in the shares, underlying shares and debentures of the Company or any of its associated corporations (wi</t>
        </is>
      </c>
    </row>
    <row r="49">
      <c r="A49" s="8" t="inlineStr">
        <is>
          <t>Share-based Payment</t>
        </is>
      </c>
      <c r="B49" s="8" t="inlineStr">
        <is>
          <t>以股份為基礎的付款</t>
        </is>
      </c>
      <c r="C49" s="8" t="inlineStr">
        <is>
          <t>medium</t>
        </is>
      </c>
      <c r="D49" s="12" t="inlineStr">
        <is>
          <t>share option</t>
        </is>
      </c>
      <c r="E49" s="12" t="inlineStr">
        <is>
          <t>PDF p.20 (印刷頁 19)</t>
        </is>
      </c>
      <c r="F49" s="12" t="inlineStr">
        <is>
          <t>of goods or services; and (v) all other participants as an aggregate whole. EQUITY-LINKED AGREEMENTS The Company has not adopted any share option scheme during the year ended 31 March 2026, nor is there any subsisting share option scheme during the year ended 31 March 2026. Furthermore, during the year ended 31 March 2026, there were no outstanding share options granted under the share option scheme of the Company which had expired in December 2016. MAJOR CUSTOMERS AND SUPPLIERS In the year under review, the services provided t</t>
        </is>
      </c>
    </row>
    <row r="50">
      <c r="A50" s="8" t="inlineStr">
        <is>
          <t>Related Party Transactions</t>
        </is>
      </c>
      <c r="B50" s="8" t="inlineStr">
        <is>
          <t>關聯方交易</t>
        </is>
      </c>
      <c r="C50" s="8" t="inlineStr">
        <is>
          <t>low</t>
        </is>
      </c>
      <c r="D50" s="12" t="inlineStr">
        <is>
          <t>related party</t>
        </is>
      </c>
      <c r="E50" s="12" t="inlineStr">
        <is>
          <t>PDF p.17 (印刷頁 16)</t>
        </is>
      </c>
      <c r="F50" s="12" t="inlineStr">
        <is>
          <t>to Rules 5.46 to 5.66 of the GEM Listing Rules. DIRECTORS’ INTERESTS IN CONTRACTS Save as disclosed in the section headed “Material Related Party Transactions” in this report and in Note 45 to the consolidated financial statements, no other contracts of significance to which the Company, its holding companies or any of its subsidiaries was a party and in which a director of the Company or any of its subsidiaries had a material interest, whether directly or indirectly, subsisted at the end of the year or at any time during the</t>
        </is>
      </c>
    </row>
    <row r="51">
      <c r="A51" s="8" t="inlineStr">
        <is>
          <t>Related Party Transactions</t>
        </is>
      </c>
      <c r="B51" s="8" t="inlineStr">
        <is>
          <t>關聯方交易</t>
        </is>
      </c>
      <c r="C51" s="8" t="inlineStr">
        <is>
          <t>low</t>
        </is>
      </c>
      <c r="D51" s="12" t="inlineStr">
        <is>
          <t>related party</t>
        </is>
      </c>
      <c r="E51" s="12" t="inlineStr">
        <is>
          <t>PDF p.18 (印刷頁 17)</t>
        </is>
      </c>
      <c r="F51" s="12" t="inlineStr">
        <is>
          <t>Directors’ Report RELATED PARTY TRANSACTIONS AND CONNECTED TRANSACTIONS Details of the material related party transactions undertaken by the Group are set out in Note 44 to the consolidated financial statements. These related party transactions are fully exempted from the independent shareholders’ approval, annual review and all disclosure requirements and have complied with the requirements under Chapter 20 of the</t>
        </is>
      </c>
    </row>
    <row r="52">
      <c r="A52" s="8" t="inlineStr">
        <is>
          <t>Related Party Transactions</t>
        </is>
      </c>
      <c r="B52" s="8" t="inlineStr">
        <is>
          <t>關聯方交易</t>
        </is>
      </c>
      <c r="C52" s="8" t="inlineStr">
        <is>
          <t>low</t>
        </is>
      </c>
      <c r="D52" s="12" t="inlineStr">
        <is>
          <t>related party</t>
        </is>
      </c>
      <c r="E52" s="12" t="inlineStr">
        <is>
          <t>PDF p.126 (印刷頁 125)</t>
        </is>
      </c>
      <c r="F52" s="12" t="inlineStr">
        <is>
          <t>Notes to the Consolidated Financial Statements For the year ended 31 March 2026 44. MATERIAL RELATED PARTY TRANSACTIONS (a) The name of and the relationship with related parties are as follows: Name Relationship Mr. Cheng Ultimate controlling shareholder of the Company (2025: Executive director and ultimate controlling shareholder of the Company) (b) In addition to those related party transactions and balances disclosed elsewhere in the consolidated financial statements, the Group had the</t>
        </is>
      </c>
    </row>
    <row r="53">
      <c r="A53" s="8" t="inlineStr">
        <is>
          <t>Related Party Transactions</t>
        </is>
      </c>
      <c r="B53" s="8" t="inlineStr">
        <is>
          <t>關聯方交易</t>
        </is>
      </c>
      <c r="C53" s="8" t="inlineStr">
        <is>
          <t>low</t>
        </is>
      </c>
      <c r="D53" s="12" t="inlineStr">
        <is>
          <t>related party</t>
        </is>
      </c>
      <c r="E53" s="12" t="inlineStr">
        <is>
          <t>PDF p.127 (印刷頁 126)</t>
        </is>
      </c>
      <c r="F53" s="12" t="inlineStr">
        <is>
          <t>Notes to the Consolidated Financial Statements For the year ended 31 March 2026 44. MATERIAL RELATED PARTY TRANSACTIONS (Continued) (b) In addition to those related party transactions and balances disclosed elsewhere in the consolidated financial statements, the Group had the following transactions and balances with related parties during the year: (Continued) The Notes were issued by the Company as the consideration for the acquisition of the entire issued share capital of Imperium Finan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6" topLeftCell="A27"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Cost of Sales</t>
        </is>
      </c>
    </row>
    <row r="9">
      <c r="A9" s="8" t="inlineStr">
        <is>
          <t>Income Statement</t>
        </is>
      </c>
      <c r="B9" s="8" t="inlineStr">
        <is>
          <t>Operating Profit</t>
        </is>
      </c>
    </row>
    <row r="10">
      <c r="A10" s="8" t="inlineStr">
        <is>
          <t>Income Statement</t>
        </is>
      </c>
      <c r="B10" s="8" t="inlineStr">
        <is>
          <t>R&amp;D Expenses</t>
        </is>
      </c>
    </row>
    <row r="11">
      <c r="A11" s="8" t="inlineStr">
        <is>
          <t>Income Statement</t>
        </is>
      </c>
      <c r="B11" s="8" t="inlineStr">
        <is>
          <t>Depreciation</t>
        </is>
      </c>
    </row>
    <row r="12">
      <c r="A12" s="8" t="inlineStr">
        <is>
          <t>Income Statement</t>
        </is>
      </c>
      <c r="B12" s="8" t="inlineStr">
        <is>
          <t>Amortisation</t>
        </is>
      </c>
    </row>
    <row r="13">
      <c r="A13" s="8" t="inlineStr">
        <is>
          <t>Balance Sheet</t>
        </is>
      </c>
      <c r="B13" s="8" t="inlineStr">
        <is>
          <t>Total Assets</t>
        </is>
      </c>
    </row>
    <row r="14">
      <c r="A14" s="8" t="inlineStr">
        <is>
          <t>Balance Sheet</t>
        </is>
      </c>
      <c r="B14" s="8" t="inlineStr">
        <is>
          <t>Goodwill</t>
        </is>
      </c>
    </row>
    <row r="15">
      <c r="A15" s="8" t="inlineStr">
        <is>
          <t>Balance Sheet</t>
        </is>
      </c>
      <c r="B15" s="8" t="inlineStr">
        <is>
          <t>Investment Properties</t>
        </is>
      </c>
    </row>
    <row r="16">
      <c r="A16" s="8" t="inlineStr">
        <is>
          <t>Balance Sheet</t>
        </is>
      </c>
      <c r="B16" s="8" t="inlineStr">
        <is>
          <t>Total Liabilities</t>
        </is>
      </c>
    </row>
    <row r="17">
      <c r="A17" s="8" t="inlineStr">
        <is>
          <t>Balance Sheet</t>
        </is>
      </c>
      <c r="B17" s="8" t="inlineStr">
        <is>
          <t>Total Equity</t>
        </is>
      </c>
    </row>
    <row r="18">
      <c r="A18" s="8" t="inlineStr">
        <is>
          <t>Cash Flow</t>
        </is>
      </c>
      <c r="B18" s="8" t="inlineStr">
        <is>
          <t>Operating Cash Flow</t>
        </is>
      </c>
    </row>
    <row r="19">
      <c r="A19" s="8" t="inlineStr">
        <is>
          <t>Cash Flow</t>
        </is>
      </c>
      <c r="B19" s="8" t="inlineStr">
        <is>
          <t>Investing Cash Flow</t>
        </is>
      </c>
    </row>
    <row r="20">
      <c r="A20" s="8" t="inlineStr">
        <is>
          <t>Cash Flow</t>
        </is>
      </c>
      <c r="B20" s="8" t="inlineStr">
        <is>
          <t>Capital Expenditure</t>
        </is>
      </c>
    </row>
    <row r="23">
      <c r="A23" s="5" t="inlineStr">
        <is>
          <t>二、文字量過低的頁面(疑似掃描頁)</t>
        </is>
      </c>
    </row>
    <row r="24">
      <c r="A24" s="2" t="inlineStr">
        <is>
          <t>這些頁面幾乎抓不到文字,通常是掃描件或純圖表,建議人手翻閱或另行 OCR。</t>
        </is>
      </c>
    </row>
    <row r="26">
      <c r="A26" s="7" t="inlineStr">
        <is>
          <t>PDF 頁碼</t>
        </is>
      </c>
      <c r="B26" s="7" t="inlineStr">
        <is>
          <t>狀態</t>
        </is>
      </c>
    </row>
    <row r="27">
      <c r="A27"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2026-08-30T14:16:45Z</dcterms:created>
  <dcterms:modified xsi:type="dcterms:W3CDTF">2026-08-30T14:16:45Z</dcterms:modified>
</cp:coreProperties>
</file>
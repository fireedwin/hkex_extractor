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08315_CEN_PLAZA_HOTEL_20260731.pdf</t>
        </is>
      </c>
    </row>
    <row r="5">
      <c r="A5" s="3" t="inlineStr">
        <is>
          <t>產生時間 Generated</t>
        </is>
      </c>
      <c r="B5" s="4" t="inlineStr">
        <is>
          <t>2026-08-30 22:16</t>
        </is>
      </c>
    </row>
    <row r="6">
      <c r="A6" s="4" t="inlineStr"/>
      <c r="B6" s="4" t="inlineStr"/>
    </row>
    <row r="7">
      <c r="A7" s="3" t="inlineStr">
        <is>
          <t>總頁數 Total pages</t>
        </is>
      </c>
      <c r="B7" s="4" t="n">
        <v>117</v>
      </c>
    </row>
    <row r="8">
      <c r="A8" s="3" t="inlineStr">
        <is>
          <t>已擷取字元 Characters extracted</t>
        </is>
      </c>
      <c r="B8" s="4" t="n">
        <v>272983</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4</v>
      </c>
    </row>
    <row r="13">
      <c r="A13" s="3" t="inlineStr">
        <is>
          <t>財務科目擷取筆數 Financial line items</t>
        </is>
      </c>
      <c r="B13" s="4" t="n">
        <v>14</v>
      </c>
    </row>
    <row r="14">
      <c r="A14" s="3" t="inlineStr">
        <is>
          <t>主題段落擷取筆數 Topic extracts</t>
        </is>
      </c>
      <c r="B14" s="4" t="n">
        <v>47</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24,131 − 24,848 = -717</t>
        </is>
      </c>
    </row>
    <row r="20">
      <c r="A20" s="7" t="inlineStr">
        <is>
          <t>✗ 總資產 = 總負債 + 總權益</t>
        </is>
      </c>
      <c r="B20" s="4" t="inlineStr">
        <is>
          <t>24,545 vs 24,848 + 24,545 = 49,393</t>
        </is>
      </c>
    </row>
    <row r="21">
      <c r="A21" s="6" t="inlineStr">
        <is>
          <t>✓ 三大報表應相鄰</t>
        </is>
      </c>
      <c r="B21" s="4" t="inlineStr">
        <is>
          <t>Income Statement: p.50、Balance Sheet: p.52、Cash Flow: p.55(相距 5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Expected Volatility</t>
        </is>
      </c>
      <c r="B5" s="9" t="inlineStr">
        <is>
          <t>預期波幅</t>
        </is>
      </c>
      <c r="C5" s="10" t="n">
        <v>107</v>
      </c>
      <c r="D5" s="11" t="n">
        <v>107</v>
      </c>
      <c r="E5" s="12" t="inlineStr">
        <is>
          <t>107%</t>
        </is>
      </c>
      <c r="F5" s="12" t="inlineStr">
        <is>
          <t>High</t>
        </is>
      </c>
      <c r="G5" s="12" t="inlineStr">
        <is>
          <t>PDF p.37 (印刷頁 36)</t>
        </is>
      </c>
      <c r="H5" s="12" t="inlineStr">
        <is>
          <t xml:space="preserve"> 0.78% 1.52% 1.71% 2.27% Expected option life 5 years 2 years 10 years 10 years Expected volatility 107% 97% 106% 104% Early exercise behaviour (of the exercise price) N/A N/A N/A N/A * Before adjustment of share consolidation and rights issue. Note 1: The pr</t>
        </is>
      </c>
    </row>
    <row r="6">
      <c r="A6" s="9" t="inlineStr">
        <is>
          <t>Expected Volatility</t>
        </is>
      </c>
      <c r="B6" s="9" t="inlineStr">
        <is>
          <t>預期波幅</t>
        </is>
      </c>
      <c r="C6" s="10" t="n">
        <v>107</v>
      </c>
      <c r="D6" s="11" t="n">
        <v>107</v>
      </c>
      <c r="E6" s="12" t="inlineStr">
        <is>
          <t>107%</t>
        </is>
      </c>
      <c r="F6" s="12" t="inlineStr">
        <is>
          <t>High</t>
        </is>
      </c>
      <c r="G6" s="12" t="inlineStr">
        <is>
          <t>PDF p.91 (印刷頁 90)</t>
        </is>
      </c>
      <c r="H6" s="12" t="inlineStr">
        <is>
          <t xml:space="preserve">Risk-free rate 0.78% 1.71% 2.27% Expected option life 5 years 10 years 10 years Expected volatility 107% 106% 104% * Before adjustment of share consolidation and rights issue. The expected volatility represents the historical volatility of the share price of </t>
        </is>
      </c>
    </row>
    <row r="7">
      <c r="A7" s="9" t="inlineStr">
        <is>
          <t>Risk-free Rate</t>
        </is>
      </c>
      <c r="B7" s="9" t="inlineStr">
        <is>
          <t>無風險利率</t>
        </is>
      </c>
      <c r="C7" s="10" t="n">
        <v>0.78</v>
      </c>
      <c r="D7" s="11" t="n">
        <v>0.78</v>
      </c>
      <c r="E7" s="12" t="inlineStr">
        <is>
          <t>0.78%</t>
        </is>
      </c>
      <c r="F7" s="12" t="inlineStr">
        <is>
          <t>High</t>
        </is>
      </c>
      <c r="G7" s="12" t="inlineStr">
        <is>
          <t>PDF p.37 (印刷頁 36)</t>
        </is>
      </c>
      <c r="H7" s="12" t="inlineStr">
        <is>
          <t>900* HK$0.260* Exercise price (note 2) HK$0.2242 HK$0.147* HK$0.0904* HK$0.265* Risk-free rate 0.78% 1.52% 1.71% 2.27% Expected option life 5 years 2 years 10 years 10 years Expected volatility 107% 97% 106% 104% Early exercise behaviour (of the exercise</t>
        </is>
      </c>
    </row>
    <row r="8">
      <c r="A8" s="9" t="inlineStr">
        <is>
          <t>Risk-free Rate</t>
        </is>
      </c>
      <c r="B8" s="9" t="inlineStr">
        <is>
          <t>無風險利率</t>
        </is>
      </c>
      <c r="C8" s="10" t="n">
        <v>0.78</v>
      </c>
      <c r="D8" s="11" t="n">
        <v>0.78</v>
      </c>
      <c r="E8" s="12" t="inlineStr">
        <is>
          <t>0.78%</t>
        </is>
      </c>
      <c r="F8" s="12" t="inlineStr">
        <is>
          <t>High</t>
        </is>
      </c>
      <c r="G8" s="12" t="inlineStr">
        <is>
          <t>PDF p.91 (印刷頁 90)</t>
        </is>
      </c>
      <c r="H8" s="12" t="inlineStr">
        <is>
          <t>HK$0.201 HK$0.0900 * HK$0.260 * Exercise price HK$0.2242 HK$0.0904 * HK$0.265 * Risk-free rate 0.78% 1.71% 2.27% Expected option life 5 years 10 years 10 years Expected volatility 107% 106% 104% * Before adjustment of share consolidation and rights issue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Revenue</t>
        </is>
      </c>
      <c r="C5" s="13" t="n">
        <v>36363</v>
      </c>
      <c r="D5" s="14" t="n">
        <v>40966</v>
      </c>
      <c r="E5" s="15">
        <f>IF(ISERROR((C5-D5)/ABS(D5)),"",(C5-D5)/ABS(D5))</f>
        <v>-0.11236147048772152</v>
      </c>
      <c r="F5" s="12" t="inlineStr">
        <is>
          <t>PDF p.50 (印刷頁 49)</t>
        </is>
      </c>
      <c r="G5" s="12" t="inlineStr">
        <is>
          <t>Revenue 6 36,363 40,966</t>
        </is>
      </c>
    </row>
    <row r="6">
      <c r="A6" s="9" t="inlineStr">
        <is>
          <t>Income Statement</t>
        </is>
      </c>
      <c r="B6" s="9" t="inlineStr">
        <is>
          <t>Gross Profit</t>
        </is>
      </c>
      <c r="C6" s="13" t="n">
        <v>4898</v>
      </c>
      <c r="D6" s="14" t="n">
        <v>8151</v>
      </c>
      <c r="E6" s="15">
        <f>IF(ISERROR((C6-D6)/ABS(D6)),"",(C6-D6)/ABS(D6))</f>
        <v>-0.3990921359342412</v>
      </c>
      <c r="F6" s="12" t="inlineStr">
        <is>
          <t>PDF p.50 (印刷頁 49)</t>
        </is>
      </c>
      <c r="G6" s="12" t="inlineStr">
        <is>
          <t>Gross profit 4,898 8,151</t>
        </is>
      </c>
    </row>
    <row r="7">
      <c r="A7" s="9" t="inlineStr">
        <is>
          <t>Income Statement</t>
        </is>
      </c>
      <c r="B7" s="9" t="inlineStr">
        <is>
          <t>Finance Costs</t>
        </is>
      </c>
      <c r="C7" s="13" t="n">
        <v>-582</v>
      </c>
      <c r="D7" s="14" t="n">
        <v>-1032</v>
      </c>
      <c r="E7" s="15">
        <f>IF(ISERROR((C7-D7)/ABS(D7)),"",(C7-D7)/ABS(D7))</f>
        <v>0.436046511627907</v>
      </c>
      <c r="F7" s="12" t="inlineStr">
        <is>
          <t>PDF p.50 (印刷頁 49)</t>
        </is>
      </c>
      <c r="G7" s="12" t="inlineStr">
        <is>
          <t>Finance costs 8 (582) (1,032)</t>
        </is>
      </c>
    </row>
    <row r="8">
      <c r="A8" s="9" t="inlineStr">
        <is>
          <t>Income Statement</t>
        </is>
      </c>
      <c r="B8" s="9" t="inlineStr">
        <is>
          <t>Income Tax</t>
        </is>
      </c>
      <c r="C8" s="13" t="n">
        <v>0</v>
      </c>
      <c r="D8" s="14" t="n">
        <v>0</v>
      </c>
      <c r="E8" s="15" t="str">
        <f>IF(ISERROR((C8-D8)/ABS(D8)),"",(C8-D8)/ABS(D8))</f>
        <v/>
      </c>
      <c r="F8" s="12" t="inlineStr">
        <is>
          <t>PDF p.50 (印刷頁 49)</t>
        </is>
      </c>
      <c r="G8" s="12" t="inlineStr">
        <is>
          <t>Income tax expense 11 – –</t>
        </is>
      </c>
    </row>
    <row r="9">
      <c r="A9" s="9" t="inlineStr">
        <is>
          <t>Balance Sheet</t>
        </is>
      </c>
      <c r="B9" s="9" t="inlineStr">
        <is>
          <t>Property Plant and Equipment</t>
        </is>
      </c>
      <c r="C9" s="13" t="n">
        <v>414</v>
      </c>
      <c r="D9" s="14" t="n">
        <v>763</v>
      </c>
      <c r="E9" s="15">
        <f>IF(ISERROR((C9-D9)/ABS(D9)),"",(C9-D9)/ABS(D9))</f>
        <v>-0.45740498034076016</v>
      </c>
      <c r="F9" s="12" t="inlineStr">
        <is>
          <t>PDF p.52 (印刷頁 51)</t>
        </is>
      </c>
      <c r="G9" s="12" t="inlineStr">
        <is>
          <t>Property, plant and equipment 15 414 763</t>
        </is>
      </c>
    </row>
    <row r="10">
      <c r="A10" s="9" t="inlineStr">
        <is>
          <t>Balance Sheet</t>
        </is>
      </c>
      <c r="B10" s="9" t="inlineStr">
        <is>
          <t>Inventories</t>
        </is>
      </c>
      <c r="C10" s="13" t="n">
        <v>3070</v>
      </c>
      <c r="D10" s="14" t="n">
        <v>2895</v>
      </c>
      <c r="E10" s="15">
        <f>IF(ISERROR((C10-D10)/ABS(D10)),"",(C10-D10)/ABS(D10))</f>
        <v>0.06044905008635579</v>
      </c>
      <c r="F10" s="12" t="inlineStr">
        <is>
          <t>PDF p.52 (印刷頁 51)</t>
        </is>
      </c>
      <c r="G10" s="12" t="inlineStr">
        <is>
          <t>Inventories 17 3,070 2,895</t>
        </is>
      </c>
    </row>
    <row r="11">
      <c r="A11" s="9" t="inlineStr">
        <is>
          <t>Balance Sheet</t>
        </is>
      </c>
      <c r="B11" s="9" t="inlineStr">
        <is>
          <t>Trade Receivables</t>
        </is>
      </c>
      <c r="C11" s="13" t="n">
        <v>14938</v>
      </c>
      <c r="D11" s="14" t="n">
        <v>5580</v>
      </c>
      <c r="E11" s="15">
        <f>IF(ISERROR((C11-D11)/ABS(D11)),"",(C11-D11)/ABS(D11))</f>
        <v>1.6770609318996417</v>
      </c>
      <c r="F11" s="12" t="inlineStr">
        <is>
          <t>PDF p.52 (印刷頁 51)</t>
        </is>
      </c>
      <c r="G11" s="12" t="inlineStr">
        <is>
          <t>Trade receivables 18 14,938 5,580</t>
        </is>
      </c>
    </row>
    <row r="12">
      <c r="A12" s="9" t="inlineStr">
        <is>
          <t>Balance Sheet</t>
        </is>
      </c>
      <c r="B12" s="9" t="inlineStr">
        <is>
          <t>Cash and Equivalents</t>
        </is>
      </c>
      <c r="C12" s="13" t="n">
        <v>1898</v>
      </c>
      <c r="D12" s="14" t="n">
        <v>5968</v>
      </c>
      <c r="E12" s="15">
        <f>IF(ISERROR((C12-D12)/ABS(D12)),"",(C12-D12)/ABS(D12))</f>
        <v>-0.681970509383378</v>
      </c>
      <c r="F12" s="12" t="inlineStr">
        <is>
          <t>PDF p.52 (印刷頁 51)</t>
        </is>
      </c>
      <c r="G12" s="12" t="inlineStr">
        <is>
          <t>Cash and cash equivalents 19 1,898 5,968</t>
        </is>
      </c>
    </row>
    <row r="13">
      <c r="A13" s="9" t="inlineStr">
        <is>
          <t>Balance Sheet</t>
        </is>
      </c>
      <c r="B13" s="9" t="inlineStr">
        <is>
          <t>Total Current Assets</t>
        </is>
      </c>
      <c r="C13" s="13" t="n">
        <v>24131</v>
      </c>
      <c r="D13" s="14" t="n">
        <v>19656</v>
      </c>
      <c r="E13" s="15">
        <f>IF(ISERROR((C13-D13)/ABS(D13)),"",(C13-D13)/ABS(D13))</f>
        <v>0.22766585266585265</v>
      </c>
      <c r="F13" s="12" t="inlineStr">
        <is>
          <t>PDF p.52 (印刷頁 51)</t>
        </is>
      </c>
      <c r="G13" s="12" t="inlineStr">
        <is>
          <t>Total current assets 24,131 19,656</t>
        </is>
      </c>
    </row>
    <row r="14">
      <c r="A14" s="9" t="inlineStr">
        <is>
          <t>Balance Sheet</t>
        </is>
      </c>
      <c r="B14" s="9" t="inlineStr">
        <is>
          <t>Total Assets</t>
        </is>
      </c>
      <c r="C14" s="13" t="n">
        <v>24545</v>
      </c>
      <c r="D14" s="14" t="n">
        <v>20419</v>
      </c>
      <c r="E14" s="15">
        <f>IF(ISERROR((C14-D14)/ABS(D14)),"",(C14-D14)/ABS(D14))</f>
        <v>0.2020667025809295</v>
      </c>
      <c r="F14" s="12" t="inlineStr">
        <is>
          <t>PDF p.52 (印刷頁 51)</t>
        </is>
      </c>
      <c r="G14" s="12" t="inlineStr">
        <is>
          <t>Total assets 24,545 20,419</t>
        </is>
      </c>
    </row>
    <row r="15">
      <c r="A15" s="9" t="inlineStr">
        <is>
          <t>Balance Sheet</t>
        </is>
      </c>
      <c r="B15" s="9" t="inlineStr">
        <is>
          <t>Borrowings</t>
        </is>
      </c>
      <c r="C15" s="13" t="n">
        <v>0</v>
      </c>
      <c r="D15" s="14" t="n">
        <v>6779</v>
      </c>
      <c r="E15" s="15">
        <f>IF(ISERROR((C15-D15)/ABS(D15)),"",(C15-D15)/ABS(D15))</f>
        <v>-1.0</v>
      </c>
      <c r="F15" s="12" t="inlineStr">
        <is>
          <t>PDF p.53 (印刷頁 52)</t>
        </is>
      </c>
      <c r="G15" s="12" t="inlineStr">
        <is>
          <t>Borrowings 25 – 6,779</t>
        </is>
      </c>
    </row>
    <row r="16">
      <c r="A16" s="9" t="inlineStr">
        <is>
          <t>Balance Sheet</t>
        </is>
      </c>
      <c r="B16" s="9" t="inlineStr">
        <is>
          <t>Total Current Liabilities</t>
        </is>
      </c>
      <c r="C16" s="13" t="n">
        <v>24848</v>
      </c>
      <c r="D16" s="14" t="n">
        <v>14055</v>
      </c>
      <c r="E16" s="15">
        <f>IF(ISERROR((C16-D16)/ABS(D16)),"",(C16-D16)/ABS(D16))</f>
        <v>0.767911775168979</v>
      </c>
      <c r="F16" s="12" t="inlineStr">
        <is>
          <t>PDF p.53 (印刷頁 52)</t>
        </is>
      </c>
      <c r="G16" s="12" t="inlineStr">
        <is>
          <t>Total current liabilities 24,848 14,055</t>
        </is>
      </c>
    </row>
    <row r="17">
      <c r="A17" s="9" t="inlineStr">
        <is>
          <t>Balance Sheet</t>
        </is>
      </c>
      <c r="B17" s="9" t="inlineStr">
        <is>
          <t>Total Liabilities</t>
        </is>
      </c>
      <c r="C17" s="13" t="n">
        <v>24848</v>
      </c>
      <c r="D17" s="14" t="n">
        <v>20834</v>
      </c>
      <c r="E17" s="15">
        <f>IF(ISERROR((C17-D17)/ABS(D17)),"",(C17-D17)/ABS(D17))</f>
        <v>0.19266583469328982</v>
      </c>
      <c r="F17" s="12" t="inlineStr">
        <is>
          <t>PDF p.53 (印刷頁 52)</t>
        </is>
      </c>
      <c r="G17" s="12" t="inlineStr">
        <is>
          <t>Total liabilities 24,848 20,834</t>
        </is>
      </c>
    </row>
    <row r="18">
      <c r="A18" s="9" t="inlineStr">
        <is>
          <t>Balance Sheet</t>
        </is>
      </c>
      <c r="B18" s="9" t="inlineStr">
        <is>
          <t>Total Equity</t>
        </is>
      </c>
      <c r="C18" s="13" t="n">
        <v>24545</v>
      </c>
      <c r="D18" s="14" t="n">
        <v>20419</v>
      </c>
      <c r="E18" s="15">
        <f>IF(ISERROR((C18-D18)/ABS(D18)),"",(C18-D18)/ABS(D18))</f>
        <v>0.2020667025809295</v>
      </c>
      <c r="F18" s="12" t="inlineStr">
        <is>
          <t>PDF p.53 (印刷頁 52)</t>
        </is>
      </c>
      <c r="G18" s="12" t="inlineStr">
        <is>
          <t>Total equity and liabilities 24,545 20,419</t>
        </is>
      </c>
    </row>
    <row r="20">
      <c r="A20"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6">
        <f>IF(ISERROR(INDEX('Financials 財務數據'!$C$5:$C$18,MATCH("Gross Profit",'Financials 財務數據'!$B$5:$B$18,0))/INDEX('Financials 財務數據'!$C$5:$C$18,MATCH("Revenue",'Financials 財務數據'!$B$5:$B$18,0))),"n/a",INDEX('Financials 財務數據'!$C$5:$C$18,MATCH("Gross Profit",'Financials 財務數據'!$B$5:$B$18,0))/INDEX('Financials 財務數據'!$C$5:$C$18,MATCH("Revenue",'Financials 財務數據'!$B$5:$B$18,0)))</f>
        <v>0.13469735720375106</v>
      </c>
      <c r="C5" s="16">
        <f>IF(ISERROR(INDEX('Financials 財務數據'!$D$5:$D$18,MATCH("Gross Profit",'Financials 財務數據'!$B$5:$B$18,0))/INDEX('Financials 財務數據'!$D$5:$D$18,MATCH("Revenue",'Financials 財務數據'!$B$5:$B$18,0))),"n/a",INDEX('Financials 財務數據'!$D$5:$D$18,MATCH("Gross Profit",'Financials 財務數據'!$B$5:$B$18,0))/INDEX('Financials 財務數據'!$D$5:$D$18,MATCH("Revenue",'Financials 財務數據'!$B$5:$B$18,0)))</f>
        <v>0.19896987745935654</v>
      </c>
      <c r="D5" s="2" t="inlineStr">
        <is>
          <t>毛利 ÷ 收入</t>
        </is>
      </c>
    </row>
    <row r="6">
      <c r="A6" s="4" t="inlineStr">
        <is>
          <t>Net Margin 淨利率</t>
        </is>
      </c>
      <c r="B6" s="16" t="str">
        <f>IF(ISERROR(INDEX('Financials 財務數據'!$C$5:$C$18,MATCH("Profit for the Year",'Financials 財務數據'!$B$5:$B$18,0))/INDEX('Financials 財務數據'!$C$5:$C$18,MATCH("Revenue",'Financials 財務數據'!$B$5:$B$18,0))),"n/a",INDEX('Financials 財務數據'!$C$5:$C$18,MATCH("Profit for the Year",'Financials 財務數據'!$B$5:$B$18,0))/INDEX('Financials 財務數據'!$C$5:$C$18,MATCH("Revenue",'Financials 財務數據'!$B$5:$B$18,0)))</f>
        <v>n/a</v>
      </c>
      <c r="C6" s="16" t="str">
        <f>IF(ISERROR(INDEX('Financials 財務數據'!$D$5:$D$18,MATCH("Profit for the Year",'Financials 財務數據'!$B$5:$B$18,0))/INDEX('Financials 財務數據'!$D$5:$D$18,MATCH("Revenue",'Financials 財務數據'!$B$5:$B$18,0))),"n/a",INDEX('Financials 財務數據'!$D$5:$D$18,MATCH("Profit for the Year",'Financials 財務數據'!$B$5:$B$18,0))/INDEX('Financials 財務數據'!$D$5:$D$18,MATCH("Revenue",'Financials 財務數據'!$B$5:$B$18,0)))</f>
        <v>n/a</v>
      </c>
      <c r="D6" s="2" t="inlineStr">
        <is>
          <t>年內溢利 ÷ 收入</t>
        </is>
      </c>
    </row>
    <row r="7">
      <c r="A7" s="4" t="inlineStr">
        <is>
          <t>Current Ratio 流動比率</t>
        </is>
      </c>
      <c r="B7" s="17">
        <f>IF(ISERROR(INDEX('Financials 財務數據'!$C$5:$C$18,MATCH("Total Current Assets",'Financials 財務數據'!$B$5:$B$18,0))/INDEX('Financials 財務數據'!$C$5:$C$18,MATCH("Total Current Liabilities",'Financials 財務數據'!$B$5:$B$18,0))),"n/a",INDEX('Financials 財務數據'!$C$5:$C$18,MATCH("Total Current Assets",'Financials 財務數據'!$B$5:$B$18,0))/INDEX('Financials 財務數據'!$C$5:$C$18,MATCH("Total Current Liabilities",'Financials 財務數據'!$B$5:$B$18,0)))</f>
        <v>0.9711445589182228</v>
      </c>
      <c r="C7" s="17">
        <f>IF(ISERROR(INDEX('Financials 財務數據'!$D$5:$D$18,MATCH("Total Current Assets",'Financials 財務數據'!$B$5:$B$18,0))/INDEX('Financials 財務數據'!$D$5:$D$18,MATCH("Total Current Liabilities",'Financials 財務數據'!$B$5:$B$18,0))),"n/a",INDEX('Financials 財務數據'!$D$5:$D$18,MATCH("Total Current Assets",'Financials 財務數據'!$B$5:$B$18,0))/INDEX('Financials 財務數據'!$D$5:$D$18,MATCH("Total Current Liabilities",'Financials 財務數據'!$B$5:$B$18,0)))</f>
        <v>1.3985058697972252</v>
      </c>
      <c r="D7" s="2" t="inlineStr">
        <is>
          <t>流動資產 ÷ 流動負債</t>
        </is>
      </c>
    </row>
    <row r="8">
      <c r="A8" s="4" t="inlineStr">
        <is>
          <t>Debt / Equity 負債權益比</t>
        </is>
      </c>
      <c r="B8" s="17">
        <f>IF(ISERROR(INDEX('Financials 財務數據'!$C$5:$C$18,MATCH("Total Liabilities",'Financials 財務數據'!$B$5:$B$18,0))/INDEX('Financials 財務數據'!$C$5:$C$18,MATCH("Total Equity",'Financials 財務數據'!$B$5:$B$18,0))),"n/a",INDEX('Financials 財務數據'!$C$5:$C$18,MATCH("Total Liabilities",'Financials 財務數據'!$B$5:$B$18,0))/INDEX('Financials 財務數據'!$C$5:$C$18,MATCH("Total Equity",'Financials 財務數據'!$B$5:$B$18,0)))</f>
        <v>1.012344673049501</v>
      </c>
      <c r="C8" s="17">
        <f>IF(ISERROR(INDEX('Financials 財務數據'!$D$5:$D$18,MATCH("Total Liabilities",'Financials 財務數據'!$B$5:$B$18,0))/INDEX('Financials 財務數據'!$D$5:$D$18,MATCH("Total Equity",'Financials 財務數據'!$B$5:$B$18,0))),"n/a",INDEX('Financials 財務數據'!$D$5:$D$18,MATCH("Total Liabilities",'Financials 財務數據'!$B$5:$B$18,0))/INDEX('Financials 財務數據'!$D$5:$D$18,MATCH("Total Equity",'Financials 財務數據'!$B$5:$B$18,0)))</f>
        <v>1.020324207845634</v>
      </c>
      <c r="D8" s="2" t="inlineStr">
        <is>
          <t>總負債 ÷ 總權益</t>
        </is>
      </c>
    </row>
    <row r="9">
      <c r="A9" s="4" t="inlineStr">
        <is>
          <t>Goodwill / Total Assets</t>
        </is>
      </c>
      <c r="B9" s="16" t="str">
        <f>IF(ISERROR(INDEX('Financials 財務數據'!$C$5:$C$18,MATCH("Goodwill",'Financials 財務數據'!$B$5:$B$18,0))/INDEX('Financials 財務數據'!$C$5:$C$18,MATCH("Total Assets",'Financials 財務數據'!$B$5:$B$18,0))),"n/a",INDEX('Financials 財務數據'!$C$5:$C$18,MATCH("Goodwill",'Financials 財務數據'!$B$5:$B$18,0))/INDEX('Financials 財務數據'!$C$5:$C$18,MATCH("Total Assets",'Financials 財務數據'!$B$5:$B$18,0)))</f>
        <v>n/a</v>
      </c>
      <c r="C9" s="16" t="str">
        <f>IF(ISERROR(INDEX('Financials 財務數據'!$D$5:$D$18,MATCH("Goodwill",'Financials 財務數據'!$B$5:$B$18,0))/INDEX('Financials 財務數據'!$D$5:$D$18,MATCH("Total Assets",'Financials 財務數據'!$B$5:$B$18,0))),"n/a",INDEX('Financials 財務數據'!$D$5:$D$18,MATCH("Goodwill",'Financials 財務數據'!$B$5:$B$18,0))/INDEX('Financials 財務數據'!$D$5:$D$18,MATCH("Total Assets",'Financials 財務數據'!$B$5:$B$18,0)))</f>
        <v>n/a</v>
      </c>
      <c r="D9" s="2" t="inlineStr">
        <is>
          <t>商譽佔總資產比重 — 減值風險指標</t>
        </is>
      </c>
    </row>
    <row r="10">
      <c r="A10" s="4" t="inlineStr">
        <is>
          <t>Intangibles / Total Assets</t>
        </is>
      </c>
      <c r="B10" s="16" t="str">
        <f>IF(ISERROR(INDEX('Financials 財務數據'!$C$5:$C$18,MATCH("Intangible Assets",'Financials 財務數據'!$B$5:$B$18,0))/INDEX('Financials 財務數據'!$C$5:$C$18,MATCH("Total Assets",'Financials 財務數據'!$B$5:$B$18,0))),"n/a",INDEX('Financials 財務數據'!$C$5:$C$18,MATCH("Intangible Assets",'Financials 財務數據'!$B$5:$B$18,0))/INDEX('Financials 財務數據'!$C$5:$C$18,MATCH("Total Assets",'Financials 財務數據'!$B$5:$B$18,0)))</f>
        <v>n/a</v>
      </c>
      <c r="C10" s="16" t="str">
        <f>IF(ISERROR(INDEX('Financials 財務數據'!$D$5:$D$18,MATCH("Intangible Assets",'Financials 財務數據'!$B$5:$B$18,0))/INDEX('Financials 財務數據'!$D$5:$D$18,MATCH("Total Assets",'Financials 財務數據'!$B$5:$B$18,0))),"n/a",INDEX('Financials 財務數據'!$D$5:$D$18,MATCH("Intangible Assets",'Financials 財務數據'!$B$5:$B$18,0))/INDEX('Financials 財務數據'!$D$5:$D$18,MATCH("Total Assets",'Financials 財務數據'!$B$5:$B$18,0)))</f>
        <v>n/a</v>
      </c>
      <c r="D10" s="2" t="inlineStr">
        <is>
          <t>無形資產佔比</t>
        </is>
      </c>
    </row>
    <row r="11">
      <c r="A11" s="4" t="inlineStr">
        <is>
          <t>ROE 股本回報率</t>
        </is>
      </c>
      <c r="B11" s="16" t="str">
        <f>IF(ISERROR(INDEX('Financials 財務數據'!$C$5:$C$18,MATCH("Profit for the Year",'Financials 財務數據'!$B$5:$B$18,0))/INDEX('Financials 財務數據'!$C$5:$C$18,MATCH("Total Equity",'Financials 財務數據'!$B$5:$B$18,0))),"n/a",INDEX('Financials 財務數據'!$C$5:$C$18,MATCH("Profit for the Year",'Financials 財務數據'!$B$5:$B$18,0))/INDEX('Financials 財務數據'!$C$5:$C$18,MATCH("Total Equity",'Financials 財務數據'!$B$5:$B$18,0)))</f>
        <v>n/a</v>
      </c>
      <c r="C11" s="16" t="str">
        <f>IF(ISERROR(INDEX('Financials 財務數據'!$D$5:$D$18,MATCH("Profit for the Year",'Financials 財務數據'!$B$5:$B$18,0))/INDEX('Financials 財務數據'!$D$5:$D$18,MATCH("Total Equity",'Financials 財務數據'!$B$5:$B$18,0))),"n/a",INDEX('Financials 財務數據'!$D$5:$D$18,MATCH("Profit for the Year",'Financials 財務數據'!$B$5:$B$18,0))/INDEX('Financials 財務數據'!$D$5:$D$18,MATCH("Total Equity",'Financials 財務數據'!$B$5:$B$18,0)))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40966</v>
      </c>
      <c r="C5" s="19" t="n">
        <v>36363</v>
      </c>
    </row>
    <row r="6">
      <c r="A6" s="4" t="inlineStr">
        <is>
          <t>Gross Profit</t>
        </is>
      </c>
      <c r="B6" s="19" t="n">
        <v>8151</v>
      </c>
      <c r="C6" s="19" t="n">
        <v>4898</v>
      </c>
    </row>
    <row r="7">
      <c r="A7" s="4" t="inlineStr">
        <is>
          <t>Total Assets</t>
        </is>
      </c>
      <c r="B7" s="19" t="n">
        <v>20419</v>
      </c>
      <c r="C7" s="19" t="n">
        <v>24545</v>
      </c>
    </row>
    <row r="8">
      <c r="A8" s="4" t="inlineStr">
        <is>
          <t>Total Equity</t>
        </is>
      </c>
      <c r="B8" s="19" t="n">
        <v>20419</v>
      </c>
      <c r="C8" s="19" t="n">
        <v>24545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50"/>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Fair Value Measurement</t>
        </is>
      </c>
      <c r="B4" s="9" t="inlineStr">
        <is>
          <t>公允價值計量</t>
        </is>
      </c>
      <c r="C4" s="20" t="inlineStr">
        <is>
          <t>high</t>
        </is>
      </c>
      <c r="D4" s="12" t="inlineStr">
        <is>
          <t>level 3</t>
        </is>
      </c>
      <c r="E4" s="12" t="inlineStr">
        <is>
          <t>PDF p.56 (印刷頁 55)</t>
        </is>
      </c>
      <c r="F4" s="12" t="inlineStr">
        <is>
          <t>e Park, P.O. Box 1350, Grand Cayman, KY1-1108, Cayman Islands. Its principal place of business in Hong Kong is located at Unit 3502, Level 35, Infinitus Plaza, 199 Des Voeux Road, Central, Sheung Wan, Hong Kong. The principal activity of the Company is investment holding and the principal activities of its subsidiaries are set out in Note 27 to the consolidated financial statements. The directors of the Company considered the Company’s ultimate holding company is Shenzhen Great Walle Investment Corp., Ltd. (“Shenzhen Great Wall</t>
        </is>
      </c>
    </row>
    <row r="5">
      <c r="A5" s="9" t="inlineStr">
        <is>
          <t>Impairment Testing</t>
        </is>
      </c>
      <c r="B5" s="9" t="inlineStr">
        <is>
          <t>減值測試</t>
        </is>
      </c>
      <c r="C5" s="20" t="inlineStr">
        <is>
          <t>high</t>
        </is>
      </c>
      <c r="D5" s="12" t="inlineStr">
        <is>
          <t>impairment loss</t>
        </is>
      </c>
      <c r="E5" s="12" t="inlineStr">
        <is>
          <t>PDF p.10 (印刷頁 9)</t>
        </is>
      </c>
      <c r="F5" s="12" t="inlineStr">
        <is>
          <t>nue generation, management reclassified these specific staff costs from administrative expenses to cost of services during the year. Impairment losses of property, plant and equipment For the year ended 31 March 2026, the Group did not record any impairment losses on property, plant and equipment. The impairment line item has been retained in the financial notes solely to provide a year-over-year comparison for the year ended 31 March 2025 and to fulfil reporting requirements. As at 31 March 2025, the directors of the Company d</t>
        </is>
      </c>
    </row>
    <row r="6">
      <c r="A6" s="9" t="inlineStr">
        <is>
          <t>Impairment Testing</t>
        </is>
      </c>
      <c r="B6" s="9" t="inlineStr">
        <is>
          <t>減值測試</t>
        </is>
      </c>
      <c r="C6" s="20" t="inlineStr">
        <is>
          <t>high</t>
        </is>
      </c>
      <c r="D6" s="12" t="inlineStr">
        <is>
          <t>impairment loss</t>
        </is>
      </c>
      <c r="E6" s="12" t="inlineStr">
        <is>
          <t>PDF p.50 (印刷頁 49)</t>
        </is>
      </c>
      <c r="F6" s="12" t="inlineStr">
        <is>
          <t>rvices (31,465) (32,815) Gross profit 4,898 8,151 Other income and loss, net 7 (129) 20,860 Administrative expenses (5,161) (10,660) Impairment losses of property, plant and equipment 15 – (1,325) Provision for impairment losses on financial assets (572) (3,726) Operating (loss)/profit (964) 13,300 Finance costs 8 (582) (1,032) (Loss)/profit before income tax 9 (1,546) 12,268 Income tax expense 11 – – (Loss)/profit from continuing operations (1,546) 12,268 Discontinued operation Loss from discontinued operation 12(b) (366) (1,6</t>
        </is>
      </c>
    </row>
    <row r="7">
      <c r="A7" s="9" t="inlineStr">
        <is>
          <t>Impairment Testing</t>
        </is>
      </c>
      <c r="B7" s="9" t="inlineStr">
        <is>
          <t>減值測試</t>
        </is>
      </c>
      <c r="C7" s="20" t="inlineStr">
        <is>
          <t>high</t>
        </is>
      </c>
      <c r="D7" s="12" t="inlineStr">
        <is>
          <t>recoverable amount</t>
        </is>
      </c>
      <c r="E7" s="12" t="inlineStr">
        <is>
          <t>PDF p.57 (印刷頁 56)</t>
        </is>
      </c>
      <c r="F7" s="12" t="inlineStr">
        <is>
          <t>e to continue as a going concern, adjustments would have to be made to write down the carrying values of the Group’s assets to their recoverable amounts, to provide for any further liabilities which might arise and to reclassify non-current assets and non-current liabilities as current assets and current liabilities, respectively. The effects of these adjustments have not been reflected in the consolidated financial statements. 56 Century Plaza Hotel Group • Annual Report 2025/26</t>
        </is>
      </c>
    </row>
    <row r="8">
      <c r="A8" s="9" t="inlineStr">
        <is>
          <t>Impairment Testing</t>
        </is>
      </c>
      <c r="B8" s="9" t="inlineStr">
        <is>
          <t>減值測試</t>
        </is>
      </c>
      <c r="C8" s="20" t="inlineStr">
        <is>
          <t>high</t>
        </is>
      </c>
      <c r="D8" s="12" t="inlineStr">
        <is>
          <t>impairment loss</t>
        </is>
      </c>
      <c r="E8" s="12" t="inlineStr">
        <is>
          <t>PDF p.62 (印刷頁 61)</t>
        </is>
      </c>
      <c r="F8" s="12" t="inlineStr">
        <is>
          <t>In addition, the Group reviews the recoverable amount of each individual trade debtor at that reporting date to ensure that adequate impairment losses are made for irrecoverable amounts. The credit policies have been followed by the Group during the year and are considered to have been effective in limiting the Group’s exposure to credit risk to a desirable level. The Group applies the simplified approach to providing for ECL prescribed by HKFRS 9, which permits the use of the lifetime expected credit loss provision for all tra</t>
        </is>
      </c>
    </row>
    <row r="9">
      <c r="A9" s="9" t="inlineStr">
        <is>
          <t>Impairment Testing</t>
        </is>
      </c>
      <c r="B9" s="9" t="inlineStr">
        <is>
          <t>減值測試</t>
        </is>
      </c>
      <c r="C9" s="20" t="inlineStr">
        <is>
          <t>high</t>
        </is>
      </c>
      <c r="D9" s="12" t="inlineStr">
        <is>
          <t>impairment loss</t>
        </is>
      </c>
      <c r="E9" s="12" t="inlineStr">
        <is>
          <t>PDF p.63 (印刷頁 62)</t>
        </is>
      </c>
      <c r="F9" s="12" t="inlineStr">
        <is>
          <t>ce for trade receivables are shown as follows: 2026 2025 HK$’000 HK$’000 Opening loss allowance at 1 April 4,456 7,023 Provision for impairment losses 647 3,630 Disposal of subsidiaries – (6,164) Exchange realignment 290 (33) Closing loss allowance at 31 March 5,393 4,456 62 Century Plaza Hotel Group • Annual Report 2025/26</t>
        </is>
      </c>
    </row>
    <row r="10">
      <c r="A10" s="9" t="inlineStr">
        <is>
          <t>Impairment Testing</t>
        </is>
      </c>
      <c r="B10" s="9" t="inlineStr">
        <is>
          <t>減值測試</t>
        </is>
      </c>
      <c r="C10" s="20" t="inlineStr">
        <is>
          <t>high</t>
        </is>
      </c>
      <c r="D10" s="12" t="inlineStr">
        <is>
          <t>impairment loss</t>
        </is>
      </c>
      <c r="E10" s="12" t="inlineStr">
        <is>
          <t>PDF p.64 (印刷頁 63)</t>
        </is>
      </c>
      <c r="F10" s="12" t="inlineStr">
        <is>
          <t>posits and other receivables are shown as follows: Total HK$’000 Opening loss allowance balances at 1 April 2024 2,588 Provision for impairment losses 96 Disposal of subsidiaries (860) Exchange realignment (10) Closing loss allowance at 31 March 2025 and 1 April 2025 1,814 Provision for impairment losses 30 Exchange realignment 49 Closing loss allowance at 31 March 2026 1,893 Century Plaza Hotel Group • Annual Report 2025/26 63</t>
        </is>
      </c>
    </row>
    <row r="11">
      <c r="A11" s="9" t="inlineStr">
        <is>
          <t>Impairment Testing</t>
        </is>
      </c>
      <c r="B11" s="9" t="inlineStr">
        <is>
          <t>減值測試</t>
        </is>
      </c>
      <c r="C11" s="20" t="inlineStr">
        <is>
          <t>high</t>
        </is>
      </c>
      <c r="D11" s="12" t="inlineStr">
        <is>
          <t>recoverable amount</t>
        </is>
      </c>
      <c r="E11" s="12" t="inlineStr">
        <is>
          <t>PDF p.69 (印刷頁 68)</t>
        </is>
      </c>
      <c r="F11" s="12" t="inlineStr">
        <is>
          <t>ssessment when there is an indication that may lead to impairment of non-financial assets. Where an impairment indicator exists, the recoverable amount of the asset is determined. The recoverable amount is determined based on higher of value-in-use calculation or fair value less costs of disposal (“FVLCD”). The Group allocated the assets to the cash-generating units (“CGUs”), and the calculations of value-in-use require the use of judgement and estimates of the future cash flows expected to arise from the CGUs, the timeframe fo</t>
        </is>
      </c>
    </row>
    <row r="12">
      <c r="A12" s="9" t="inlineStr">
        <is>
          <t>Impairment Testing</t>
        </is>
      </c>
      <c r="B12" s="9" t="inlineStr">
        <is>
          <t>減值測試</t>
        </is>
      </c>
      <c r="C12" s="20" t="inlineStr">
        <is>
          <t>high</t>
        </is>
      </c>
      <c r="D12" s="12" t="inlineStr">
        <is>
          <t>impairment loss</t>
        </is>
      </c>
      <c r="E12" s="12" t="inlineStr">
        <is>
          <t>PDF p.77 (印刷頁 76)</t>
        </is>
      </c>
      <c r="F12" s="12" t="inlineStr">
        <is>
          <t>istrative expenses 1,976 7,865 Expense relating to short-term leases 463 558 Expense relating to low-value assets – 18 Provision for impairment loss on financial assets 572 3,726 10 EMPLOYEE BENEFIT EXPENSES (INCLUDING DIRECTORS’ EMOLUMENTS) 2026 2025 HK$’000 HK$’000 (restated) Salaries, wages and allowances 32,439 37,711 Contribution to defined contribution plans 989 1,428 33,428 39,139 (a) Directors’ emoluments The remuneration of directors for the years ended 31 March 2026 and 2025 are set out below: Salaries, Retirement all</t>
        </is>
      </c>
    </row>
    <row r="13">
      <c r="A13" s="9" t="inlineStr">
        <is>
          <t>Impairment Testing</t>
        </is>
      </c>
      <c r="B13" s="9" t="inlineStr">
        <is>
          <t>減值測試</t>
        </is>
      </c>
      <c r="C13" s="20" t="inlineStr">
        <is>
          <t>high</t>
        </is>
      </c>
      <c r="D13" s="12" t="inlineStr">
        <is>
          <t>impairment loss</t>
        </is>
      </c>
      <c r="E13" s="12" t="inlineStr">
        <is>
          <t>PDF p.84 (印刷頁 83)</t>
        </is>
      </c>
      <c r="F13" s="12" t="inlineStr">
        <is>
          <t>NOTES TO THE CONSOLIDATED FINANCIAL STATEMENTS – CONTINUED 15 PROPERTY, PLANT AND EQUIPMENT – CONTINUED (a) Impairment loss As at 31 March 2025, the directors of the Company determined that there was an impairment loss of approximately HK$1,325,000 in the hospitality catering and beverage services segment due to the temporary suspension of the business following the early termination of lease agreements during the year. (b) Depreciation methods and useful lives Property, plant and equipment are stated a</t>
        </is>
      </c>
    </row>
    <row r="14">
      <c r="A14" s="9" t="inlineStr">
        <is>
          <t>Impairment Testing</t>
        </is>
      </c>
      <c r="B14" s="9" t="inlineStr">
        <is>
          <t>減值測試</t>
        </is>
      </c>
      <c r="C14" s="20" t="inlineStr">
        <is>
          <t>high</t>
        </is>
      </c>
      <c r="D14" s="12" t="inlineStr">
        <is>
          <t>impairment loss</t>
        </is>
      </c>
      <c r="E14" s="12" t="inlineStr">
        <is>
          <t>PDF p.100 (印刷頁 99)</t>
        </is>
      </c>
      <c r="F14" s="12" t="inlineStr">
        <is>
          <t>on lease termination – (2,325) Gain on modification of terms of promissory note (Note 7) – (8,961) Finance costs (Note 8) 582 1,032 Impairment losses of property, plant and equipment – 1,325 Write-off of property, plant and equipment – 1,681 Provision for impairment losses on financial assets 677 3,726 Operating profit before working capital changes (126) (2,575) Changes in working capital: Inventories – (2,715) Trade receivables (9,399) (6,885) Prepayments, deposits and other receivables 1,491 (1,733) Trade payables (186) (90</t>
        </is>
      </c>
    </row>
    <row r="15">
      <c r="A15" s="9" t="inlineStr">
        <is>
          <t>Impairment Testing</t>
        </is>
      </c>
      <c r="B15" s="9" t="inlineStr">
        <is>
          <t>減值測試</t>
        </is>
      </c>
      <c r="C15" s="20" t="inlineStr">
        <is>
          <t>high</t>
        </is>
      </c>
      <c r="D15" s="12" t="inlineStr">
        <is>
          <t>impairment test</t>
        </is>
      </c>
      <c r="E15" s="12" t="inlineStr">
        <is>
          <t>PDF p.108 (印刷頁 107)</t>
        </is>
      </c>
      <c r="F15" s="12" t="inlineStr">
        <is>
          <t>costs of investment. The results of subsidiaries are accounted for by the Company on the basis of dividend received and receivable. Impairment testing of the investments in subsidiaries is required upon receiving a dividend from these investments if the dividend exceeds the total comprehensive income of the subsidiaries in the period the dividend is declared or if the carrying amount of the investments in the separate financial statements exceeds the carrying amount in the consolidated financial statements of the investee’s ne</t>
        </is>
      </c>
    </row>
    <row r="16">
      <c r="A16" s="9" t="inlineStr">
        <is>
          <t>Impairment Testing</t>
        </is>
      </c>
      <c r="B16" s="9" t="inlineStr">
        <is>
          <t>減值測試</t>
        </is>
      </c>
      <c r="C16" s="20" t="inlineStr">
        <is>
          <t>high</t>
        </is>
      </c>
      <c r="D16" s="12" t="inlineStr">
        <is>
          <t>impairment loss</t>
        </is>
      </c>
      <c r="E16" s="12" t="inlineStr">
        <is>
          <t>PDF p.110 (印刷頁 109)</t>
        </is>
      </c>
      <c r="F16" s="12" t="inlineStr">
        <is>
          <t>IES – CONTINUED 32.6 Property, plant and equipment Property, plant and equipment are stated at historical cost less depreciation and impairment losses. Historical cost includes expenditure that is directly attributable to the acquisition of the items. Subsequent costs are included in the asset’s carrying amount or recognised as a separate asset, as appropriate, only when it is probable that future economic benefits associated with the item will flow to the Group and the cost of the item can be measured reliably. The carrying am</t>
        </is>
      </c>
    </row>
    <row r="17">
      <c r="A17" s="9" t="inlineStr">
        <is>
          <t>Intangible Assets &amp; Goodwill</t>
        </is>
      </c>
      <c r="B17" s="9" t="inlineStr">
        <is>
          <t>無形資產及商譽</t>
        </is>
      </c>
      <c r="C17" s="20" t="inlineStr">
        <is>
          <t>high</t>
        </is>
      </c>
      <c r="D17" s="12" t="inlineStr">
        <is>
          <t>licence</t>
        </is>
      </c>
      <c r="E17" s="12" t="inlineStr">
        <is>
          <t>PDF p.6 (印刷頁 5)</t>
        </is>
      </c>
      <c r="F17" s="12" t="inlineStr">
        <is>
          <t>y has begun to gradually develop its Asset Management Services. In the PRC, the Group holds a private equity investment fund manager licence from the Asset Management Association of China. The Greater China asset management industry is facing both new challenges and new opportunities under the influence of policies such as China’s economic structural transformation and dual circulation. Driven by the successful execution of these specialised debt restructuring and financial optimisation mandates, revenue derived from Asset Mana</t>
        </is>
      </c>
    </row>
    <row r="18">
      <c r="A18" s="9" t="inlineStr">
        <is>
          <t>Intangible Assets &amp; Goodwill</t>
        </is>
      </c>
      <c r="B18" s="9" t="inlineStr">
        <is>
          <t>無形資產及商譽</t>
        </is>
      </c>
      <c r="C18" s="20" t="inlineStr">
        <is>
          <t>high</t>
        </is>
      </c>
      <c r="D18" s="12" t="inlineStr">
        <is>
          <t>licence</t>
        </is>
      </c>
      <c r="E18" s="12" t="inlineStr">
        <is>
          <t>PDF p.8 (印刷頁 7)</t>
        </is>
      </c>
      <c r="F18" s="12" t="inlineStr">
        <is>
          <t>y has begun to gradually develop its Asset Management Services. In the PRC, the Group holds a private equity investment fund manager licence from the Asset Management Association of China. The Greater China asset management industry is facing both new challenges and new opportunities under the influence of policies such as China’s economic structural transformation and dual circulation. Driven by the successful execution of this specialised debt restructuring and financial optimisation mandates, revenue derived from Asset Manag</t>
        </is>
      </c>
    </row>
    <row r="19">
      <c r="A19" s="9" t="inlineStr">
        <is>
          <t>Intangible Assets &amp; Goodwill</t>
        </is>
      </c>
      <c r="B19" s="9" t="inlineStr">
        <is>
          <t>無形資產及商譽</t>
        </is>
      </c>
      <c r="C19" s="20" t="inlineStr">
        <is>
          <t>high</t>
        </is>
      </c>
      <c r="D19" s="12" t="inlineStr">
        <is>
          <t>useful life</t>
        </is>
      </c>
      <c r="E19" s="12" t="inlineStr">
        <is>
          <t>PDF p.85 (印刷頁 84)</t>
        </is>
      </c>
      <c r="F19" s="12" t="inlineStr">
        <is>
          <t>the lease, e.g. term, country, currency and security. Right-of-use assets are generally depreciated over the shorter of the asset’s useful life and the lease term on a straight-line basis. Payments associated with short-term leases and leases of low-value assets are recognised on a straight-line basis as an expense in profit or loss. Short-term leases are leases with a lease term of 12 months or less. See Note 32.23 for the other accounting policies relevant to leases. 84 Century Plaza Hotel Group • Annual Report 2025/26</t>
        </is>
      </c>
    </row>
    <row r="20">
      <c r="A20" s="9" t="inlineStr">
        <is>
          <t>Intangible Assets &amp; Goodwill</t>
        </is>
      </c>
      <c r="B20" s="9" t="inlineStr">
        <is>
          <t>無形資產及商譽</t>
        </is>
      </c>
      <c r="C20" s="20" t="inlineStr">
        <is>
          <t>high</t>
        </is>
      </c>
      <c r="D20" s="12" t="inlineStr">
        <is>
          <t>goodwill</t>
        </is>
      </c>
      <c r="E20" s="12" t="inlineStr">
        <is>
          <t>PDF p.108 (印刷頁 107)</t>
        </is>
      </c>
      <c r="F20" s="12" t="inlineStr">
        <is>
          <t>ate financial statements exceeds the carrying amount in the consolidated financial statements of the investee’s net assets including goodwill. 32.3 Segment reporting Operating segments are reported in a manner consistent with the internal reporting provided to the CODM. The CODM, who is responsible for allocating resources and assessing performance of the operating segments, has been identified as the executive directors of the Group, who makes strategic decisions. 32.4 Discontinued operation A discontinued operation is a compo</t>
        </is>
      </c>
    </row>
    <row r="21">
      <c r="A21" s="9" t="inlineStr">
        <is>
          <t>Intangible Assets &amp; Goodwill</t>
        </is>
      </c>
      <c r="B21" s="9" t="inlineStr">
        <is>
          <t>無形資產及商譽</t>
        </is>
      </c>
      <c r="C21" s="20" t="inlineStr">
        <is>
          <t>high</t>
        </is>
      </c>
      <c r="D21" s="12" t="inlineStr">
        <is>
          <t>goodwill</t>
        </is>
      </c>
      <c r="E21" s="12" t="inlineStr">
        <is>
          <t>PDF p.110 (印刷頁 109)</t>
        </is>
      </c>
      <c r="F21" s="12" t="inlineStr">
        <is>
          <t>at the lowest levels for which there is separately identifiable cash flows (cash-generating units). Non-financial assets other than goodwill that suffered an impairment are reviewed for possible reversal of the impairment at the end of each reporting period. 32.8 Financial assets 32.8.1 Classification The Group classifies its financial assets as those to be measured at amortised cost. The classification depends on the entity’s business model for managing the financial assets and the contractual terms of the cash flows. The Gro</t>
        </is>
      </c>
    </row>
    <row r="22">
      <c r="A22" s="9" t="inlineStr">
        <is>
          <t>Intangible Assets &amp; Goodwill</t>
        </is>
      </c>
      <c r="B22" s="9" t="inlineStr">
        <is>
          <t>無形資產及商譽</t>
        </is>
      </c>
      <c r="C22" s="20" t="inlineStr">
        <is>
          <t>high</t>
        </is>
      </c>
      <c r="D22" s="12" t="inlineStr">
        <is>
          <t>goodwill</t>
        </is>
      </c>
      <c r="E22" s="12" t="inlineStr">
        <is>
          <t>PDF p.113 (印刷頁 112)</t>
        </is>
      </c>
      <c r="F22" s="12" t="inlineStr">
        <is>
          <t>ated financial statements. However, deferred income tax liabilities are not recognised if they arise from the initial recognition of goodwill. Deferred income tax is also not accounted for if it arises from initial recognition of an asset or liability in a transaction other than a business combination that at the time of the transaction affects neither accounting nor taxable profit or loss and does not give rise to equal taxable and deductible temporary differences. Deferred income tax is determined using tax rates (and laws) t</t>
        </is>
      </c>
    </row>
    <row r="23">
      <c r="A23" s="9" t="inlineStr">
        <is>
          <t>ESG Data</t>
        </is>
      </c>
      <c r="B23" s="9" t="inlineStr">
        <is>
          <t>環境社會及管治數據</t>
        </is>
      </c>
      <c r="C23" s="9" t="inlineStr">
        <is>
          <t>medium</t>
        </is>
      </c>
      <c r="D23" s="12" t="inlineStr">
        <is>
          <t>sustainability</t>
        </is>
      </c>
      <c r="E23" s="12" t="inlineStr">
        <is>
          <t>PDF p.28 (印刷頁 27)</t>
        </is>
      </c>
      <c r="F23" s="12" t="inlineStr">
        <is>
          <t>page 116. ENVIRONMENTAL POLICIES AND PERFORMANCE The Group realises the importance of environmental protection in pursuing long-term sustainability. The Group is committed to improving environmental sustainability and will closely monitor its performance. In accordance with Appendix C2 to the GEM Listing Rules, the Company’s environmental, social and governance report will be available on its website at the same time of publication of this annual report. LITIGATIONS Save as disclosed below, to the best of the knowledge and beli</t>
        </is>
      </c>
    </row>
    <row r="24">
      <c r="A24" s="9" t="inlineStr">
        <is>
          <t>Segment Information</t>
        </is>
      </c>
      <c r="B24" s="9" t="inlineStr">
        <is>
          <t>分部資料</t>
        </is>
      </c>
      <c r="C24" s="9" t="inlineStr">
        <is>
          <t>medium</t>
        </is>
      </c>
      <c r="D24" s="12" t="inlineStr">
        <is>
          <t>segment information</t>
        </is>
      </c>
      <c r="E24" s="12" t="inlineStr">
        <is>
          <t>PDF p.70 (印刷頁 69)</t>
        </is>
      </c>
      <c r="F24" s="12" t="inlineStr">
        <is>
          <t>NOTES TO THE CONSOLIDATED FINANCIAL STATEMENTS – CONTINUED 5 SEGMENT INFORMATION The Group determines its operating segments based on the reports reviewed by the chief operating decisionmakers (“CODM”) that are used to make strategic decisions. The CODM have been identified as the Company’s executive directors. Operating segments are reported in manner consistent with the internal reporting to the Group’s key management personnel as follows: (a) Security</t>
        </is>
      </c>
    </row>
    <row r="25">
      <c r="A25" s="9" t="inlineStr">
        <is>
          <t>Segment Information</t>
        </is>
      </c>
      <c r="B25" s="9" t="inlineStr">
        <is>
          <t>分部資料</t>
        </is>
      </c>
      <c r="C25" s="9" t="inlineStr">
        <is>
          <t>medium</t>
        </is>
      </c>
      <c r="D25" s="12" t="inlineStr">
        <is>
          <t>segment information</t>
        </is>
      </c>
      <c r="E25" s="12" t="inlineStr">
        <is>
          <t>PDF p.71 (印刷頁 70)</t>
        </is>
      </c>
      <c r="F25" s="12" t="inlineStr">
        <is>
          <t>NOTES TO THE CONSOLIDATED FINANCIAL STATEMENTS – CONTINUED 5 SEGMENT INFORMATION – CONTINUED Security guarding, property management and human resources Asset management Total 2026 2025 2026 2025 2026 2025 HK$’000 HK$’000 HK$’000 HK$’000 HK$’000 HK$’000 (restated) Continuing operations Revenue from external customers 27,237 32,177 9,126 8,789 36,363 40,966 Segment results (1,507) 185 4,071 (2,799) 2,564 (2,614) (Losses)/gains on disposal of subsidiaries (232</t>
        </is>
      </c>
    </row>
    <row r="26">
      <c r="A26" s="9" t="inlineStr">
        <is>
          <t>Segment Information</t>
        </is>
      </c>
      <c r="B26" s="9" t="inlineStr">
        <is>
          <t>分部資料</t>
        </is>
      </c>
      <c r="C26" s="9" t="inlineStr">
        <is>
          <t>medium</t>
        </is>
      </c>
      <c r="D26" s="12" t="inlineStr">
        <is>
          <t>segment information</t>
        </is>
      </c>
      <c r="E26" s="12" t="inlineStr">
        <is>
          <t>PDF p.72 (印刷頁 71)</t>
        </is>
      </c>
      <c r="F26" s="12" t="inlineStr">
        <is>
          <t>NOTES TO THE CONSOLIDATED FINANCIAL STATEMENTS – CONTINUED 5 SEGMENT INFORMATION – CONTINUED Security guarding, property management and human resources Asset management Total 2026 2025 2026 2025 2026 2025 HK$’000 HK$’000 HK$’000 HK$’000 HK$’000 HK$’000 (restated) Segment assets 6,848 4,792 11,200 9,331 18,048 14,123 Corporate cash and cash equivalents 240 31 Corporate and other unallocated assets 286 690 Total 18,574 14,844 Security guarding, property manag</t>
        </is>
      </c>
    </row>
    <row r="27">
      <c r="A27" s="9" t="inlineStr">
        <is>
          <t>Segment Information</t>
        </is>
      </c>
      <c r="B27" s="9" t="inlineStr">
        <is>
          <t>分部資料</t>
        </is>
      </c>
      <c r="C27" s="9" t="inlineStr">
        <is>
          <t>medium</t>
        </is>
      </c>
      <c r="D27" s="12" t="inlineStr">
        <is>
          <t>segment information</t>
        </is>
      </c>
      <c r="E27" s="12" t="inlineStr">
        <is>
          <t>PDF p.73 (印刷頁 72)</t>
        </is>
      </c>
      <c r="F27" s="12" t="inlineStr">
        <is>
          <t>NOTES TO THE CONSOLIDATED FINANCIAL STATEMENTS – CONTINUED 5 SEGMENT INFORMATION – CONTINUED Geographical information (a) Revenue from external customers The Group’s revenue from external customers by geographical area, which is based on the location where the services are rendered. 2026 2025 HK$’000 HK$’000 (restated) Continuing operations The PRC 36,363 40,966 (b) Non-current assets The Group’s non-current assets by geographic area are as follows: 2026 20</t>
        </is>
      </c>
    </row>
    <row r="28">
      <c r="A28" s="9" t="inlineStr">
        <is>
          <t>Segment Information</t>
        </is>
      </c>
      <c r="B28" s="9" t="inlineStr">
        <is>
          <t>分部資料</t>
        </is>
      </c>
      <c r="C28" s="9" t="inlineStr">
        <is>
          <t>medium</t>
        </is>
      </c>
      <c r="D28" s="12" t="inlineStr">
        <is>
          <t>operating segment</t>
        </is>
      </c>
      <c r="E28" s="12" t="inlineStr">
        <is>
          <t>PDF p.108 (印刷頁 107)</t>
        </is>
      </c>
      <c r="F28" s="12" t="inlineStr">
        <is>
          <t>the carrying amount in the consolidated financial statements of the investee’s net assets including goodwill. 32.3 Segment reporting Operating segments are reported in a manner consistent with the internal reporting provided to the CODM. The CODM, who is responsible for allocating resources and assessing performance of the operating segments, has been identified as the executive directors of the Group, who makes strategic decisions. 32.4 Discontinued operation A discontinued operation is a component of the Group’s business, the</t>
        </is>
      </c>
    </row>
    <row r="29">
      <c r="A29" s="9" t="inlineStr">
        <is>
          <t>Share-based Payment</t>
        </is>
      </c>
      <c r="B29" s="9" t="inlineStr">
        <is>
          <t>以股份為基礎的付款</t>
        </is>
      </c>
      <c r="C29" s="9" t="inlineStr">
        <is>
          <t>medium</t>
        </is>
      </c>
      <c r="D29" s="12" t="inlineStr">
        <is>
          <t>share option</t>
        </is>
      </c>
      <c r="E29" s="12" t="inlineStr">
        <is>
          <t>PDF p.12 (印刷頁 11)</t>
        </is>
      </c>
      <c r="F29" s="12" t="inlineStr">
        <is>
          <t>on where the employees are employed. On 14 December 2018, 18 April 2019, 5 September 2019 and 11 October 2021, the Group granted the share options to the eligible participants including employees within the Group and certain Directors under the share option scheme adopted by the Company on 31 July 2014 to motivate and compensate their contributions to the Group. Century Plaza Hotel Group • Annual Report 2025/26 11</t>
        </is>
      </c>
    </row>
    <row r="30">
      <c r="A30" s="9" t="inlineStr">
        <is>
          <t>Share-based Payment</t>
        </is>
      </c>
      <c r="B30" s="9" t="inlineStr">
        <is>
          <t>以股份為基礎的付款</t>
        </is>
      </c>
      <c r="C30" s="9" t="inlineStr">
        <is>
          <t>medium</t>
        </is>
      </c>
      <c r="D30" s="12" t="inlineStr">
        <is>
          <t>share option</t>
        </is>
      </c>
      <c r="E30" s="12" t="inlineStr">
        <is>
          <t>PDF p.20 (印刷頁 19)</t>
        </is>
      </c>
      <c r="F30" s="12" t="inlineStr">
        <is>
          <t>e set out in note 10 to the consolidated financial statements. There were no new shares schemes nor material matters relating to the Share Option Scheme during the Year. Century Plaza Hotel Group • Annual Report 2025/26 19</t>
        </is>
      </c>
    </row>
    <row r="31">
      <c r="A31" s="9" t="inlineStr">
        <is>
          <t>Share-based Payment</t>
        </is>
      </c>
      <c r="B31" s="9" t="inlineStr">
        <is>
          <t>以股份為基礎的付款</t>
        </is>
      </c>
      <c r="C31" s="9" t="inlineStr">
        <is>
          <t>medium</t>
        </is>
      </c>
      <c r="D31" s="12" t="inlineStr">
        <is>
          <t>share option</t>
        </is>
      </c>
      <c r="E31" s="12" t="inlineStr">
        <is>
          <t>PDF p.31 (印刷頁 30)</t>
        </is>
      </c>
      <c r="F31" s="12" t="inlineStr">
        <is>
          <t>REPORT OF THE DIRECTORS – CONTINUED EQUITY-LINKED AGREEMENTS Save as disclosed in the sections headed “Share Option Scheme”, no equity-linked agreement was entered into by the Company during the Year. DIVIDEND The Board did not recommend payment of final dividend to shareholders of the Company for the Year (2025: nil). PERMITTED INDEMNITY CLAUSE The Company has arranged for appropriate insurance coverage for Directors’ and officers’ liabilities in respect of legal actions against its Directors and</t>
        </is>
      </c>
    </row>
    <row r="32">
      <c r="A32" s="9" t="inlineStr">
        <is>
          <t>Share-based Payment</t>
        </is>
      </c>
      <c r="B32" s="9" t="inlineStr">
        <is>
          <t>以股份為基礎的付款</t>
        </is>
      </c>
      <c r="C32" s="9" t="inlineStr">
        <is>
          <t>medium</t>
        </is>
      </c>
      <c r="D32" s="12" t="inlineStr">
        <is>
          <t>share option</t>
        </is>
      </c>
      <c r="E32" s="12" t="inlineStr">
        <is>
          <t>PDF p.34 (印刷頁 33)</t>
        </is>
      </c>
      <c r="F32" s="12" t="inlineStr">
        <is>
          <t>Particulars of the Company’s principal subsidiaries during the Year are set out in note 27 to the consolidated financial statements. SHARE OPTION SCHEME The Company had adopted a share option scheme (the “Share Option Scheme”) on 31 July 2014. In line with the amended Chapter 23 of the GEM Listing Rules, a summary of the terms of the Share Option Scheme are set out below: (a) Purpose The purpose of the Share Option Scheme is to enable the Group to grant options to the eligible participants as incentives or rewards for their con</t>
        </is>
      </c>
    </row>
    <row r="33">
      <c r="A33" s="9" t="inlineStr">
        <is>
          <t>Share-based Payment</t>
        </is>
      </c>
      <c r="B33" s="9" t="inlineStr">
        <is>
          <t>以股份為基礎的付款</t>
        </is>
      </c>
      <c r="C33" s="9" t="inlineStr">
        <is>
          <t>medium</t>
        </is>
      </c>
      <c r="D33" s="12" t="inlineStr">
        <is>
          <t>share option</t>
        </is>
      </c>
      <c r="E33" s="12" t="inlineStr">
        <is>
          <t>PDF p.35 (印刷頁 34)</t>
        </is>
      </c>
      <c r="F33" s="12" t="inlineStr">
        <is>
          <t>REPORT OF THE DIRECTORS – CONTINUED (c) Total number of Shares available for issue under the Share Option Scheme and percentage to the issued share capital as at the date of this report 58,144,224 shares (approximately 10% of the total issued share capital as at the date of this annual report). (d) Maximum entitlement of each participant under the Share Option Scheme Not exceeding 1% of the issued share capital of the Company for the time being in any 12-month period. Any further grant of</t>
        </is>
      </c>
    </row>
    <row r="34">
      <c r="A34" s="9" t="inlineStr">
        <is>
          <t>Share-based Payment</t>
        </is>
      </c>
      <c r="B34" s="9" t="inlineStr">
        <is>
          <t>以股份為基礎的付款</t>
        </is>
      </c>
      <c r="C34" s="9" t="inlineStr">
        <is>
          <t>medium</t>
        </is>
      </c>
      <c r="D34" s="12" t="inlineStr">
        <is>
          <t>share option</t>
        </is>
      </c>
      <c r="E34" s="12" t="inlineStr">
        <is>
          <t>PDF p.36 (印刷頁 35)</t>
        </is>
      </c>
      <c r="F34" s="12" t="inlineStr">
        <is>
          <t>REPORT OF THE DIRECTORS – CONTINUED The details of the Share Option Scheme and the movements of the share options under the Share Option Scheme during the Year are set out as follows: Number of share options Balance Balance Exercise outstanding outstanding price per share as at Granted Exercised Lapsed Cancelled as at Name or category on or after 1 April during during during during 31 March of grantees 2 August 2021 Date of grant Exercisable period 20</t>
        </is>
      </c>
    </row>
    <row r="35">
      <c r="A35" s="9" t="inlineStr">
        <is>
          <t>Share-based Payment</t>
        </is>
      </c>
      <c r="B35" s="9" t="inlineStr">
        <is>
          <t>以股份為基礎的付款</t>
        </is>
      </c>
      <c r="C35" s="9" t="inlineStr">
        <is>
          <t>medium</t>
        </is>
      </c>
      <c r="D35" s="12" t="inlineStr">
        <is>
          <t>share option</t>
        </is>
      </c>
      <c r="E35" s="12" t="inlineStr">
        <is>
          <t>PDF p.37 (印刷頁 36)</t>
        </is>
      </c>
      <c r="F35" s="12" t="inlineStr">
        <is>
          <t>REPORT OF THE DIRECTORS – CONTINUED 3. The fair values of the share options granted on 11 October 2021, 5 September 2019, 18 April 2019 and 14 December 2018 respectively under the Scheme were determined using the binomial option pricing model. Significant inputs into the model and assumptions were as follows: 11 October 5 September 18 April 14 December Parameter 2021 2019 2019 2018 Share price on date of grant (note 1) HK$0.201 HK$0.147* HK$0.0900* HK$0.260*</t>
        </is>
      </c>
    </row>
    <row r="36">
      <c r="A36" s="9" t="inlineStr">
        <is>
          <t>Share-based Payment</t>
        </is>
      </c>
      <c r="B36" s="9" t="inlineStr">
        <is>
          <t>以股份為基礎的付款</t>
        </is>
      </c>
      <c r="C36" s="9" t="inlineStr">
        <is>
          <t>medium</t>
        </is>
      </c>
      <c r="D36" s="12" t="inlineStr">
        <is>
          <t>share option</t>
        </is>
      </c>
      <c r="E36" s="12" t="inlineStr">
        <is>
          <t>PDF p.38 (印刷頁 37)</t>
        </is>
      </c>
      <c r="F36" s="12" t="inlineStr">
        <is>
          <t>rested in the total number of Shares held/ pursuant to issued Shares of Name of Directors Capacity/Nature of interests interested in share options the Company Mr. Song Interests in a controlled 433,555,955(L) (Note 1) – 74.57% corporation Mr. Su Beneficial owner – 2,534,255(L) (Note 2) 0.4% Mr. Li Zhongfei Beneficial owner – 203,772(L) (Note 2) 0.04% Mr. Zhao Jinsong Beneficial owner – 203,772(L) (Note 2) 0.04% (L) represents a long position in the Shares Notes: 1. According to information available to the Company: (a) 184,465,</t>
        </is>
      </c>
    </row>
    <row r="37">
      <c r="A37" s="9" t="inlineStr">
        <is>
          <t>Share-based Payment</t>
        </is>
      </c>
      <c r="B37" s="9" t="inlineStr">
        <is>
          <t>以股份為基礎的付款</t>
        </is>
      </c>
      <c r="C37" s="9" t="inlineStr">
        <is>
          <t>medium</t>
        </is>
      </c>
      <c r="D37" s="12" t="inlineStr">
        <is>
          <t>share option</t>
        </is>
      </c>
      <c r="E37" s="12" t="inlineStr">
        <is>
          <t>PDF p.39 (印刷頁 38)</t>
        </is>
      </c>
      <c r="F37" s="12" t="inlineStr">
        <is>
          <t>g is deemed to be interested in 249,090,909 Shares held by Walle Holding Limited under SFO. 2. These long positions represent in the share options granted by the Company under the Share Option Scheme. For details, please refer to the section headed “SHARE OPTION SCHEME” in this annual report. * For identification purpose only Save as disclosed above, as at 31 March 2026, none of the Directors or the chief executive had any interest or short position in the shares, underlying shares and debentures of the Company or any of its as</t>
        </is>
      </c>
    </row>
    <row r="38">
      <c r="A38" s="9" t="inlineStr">
        <is>
          <t>Share-based Payment</t>
        </is>
      </c>
      <c r="B38" s="9" t="inlineStr">
        <is>
          <t>以股份為基礎的付款</t>
        </is>
      </c>
      <c r="C38" s="9" t="inlineStr">
        <is>
          <t>medium</t>
        </is>
      </c>
      <c r="D38" s="12" t="inlineStr">
        <is>
          <t>share option</t>
        </is>
      </c>
      <c r="E38" s="12" t="inlineStr">
        <is>
          <t>PDF p.42 (印刷頁 41)</t>
        </is>
      </c>
      <c r="F38" s="12" t="inlineStr">
        <is>
          <t>n the Group’s five largest customers and suppliers. DIRECTORS’ RIGHTS TO ACQUIRE SHARES OR DEBENTURES Other than the section headed “SHARE OPTION SCHEME” disclosed above, at no time during the Year were rights to acquire benefits by means of the acquisition of Shares in or debentures of the Company granted to any Director or their respective associates, or were any such rights exercised by them; or was the Company, its holding company, or any of its subsidiaries a party to any arrangement to enable the Directors to acquire such</t>
        </is>
      </c>
    </row>
    <row r="39">
      <c r="A39" s="9" t="inlineStr">
        <is>
          <t>Share-based Payment</t>
        </is>
      </c>
      <c r="B39" s="9" t="inlineStr">
        <is>
          <t>以股份為基礎的付款</t>
        </is>
      </c>
      <c r="C39" s="9" t="inlineStr">
        <is>
          <t>medium</t>
        </is>
      </c>
      <c r="D39" s="12" t="inlineStr">
        <is>
          <t>share option</t>
        </is>
      </c>
      <c r="E39" s="12" t="inlineStr">
        <is>
          <t>PDF p.54 (印刷頁 53)</t>
        </is>
      </c>
      <c r="F39" s="12" t="inlineStr">
        <is>
          <t>CONSOLIDATED STATEMENT OF CHANGES IN EQUITY FOR THE YEAR ENDED 31 MARCH 2026 Share Foreign Non- Total Share Share options Merger Other exchange Accumulated controlling equity/ capital premium reserve reserve reserve reserve losses Total interests (deficits) HK$’000 HK$’000 HK$’000 HK$’000 HK$’000 HK$’000 HK$’000 HK$’000 HK$’000 HK$’000 At 1 April 2024 29,072 224,877 5,290 (5,270) – (2,804) (257,230) (6,065) (6,319) (12,384) Comprehensive income Profit for the year – – – – – – 10,165 10,165 426 10,591 Ot</t>
        </is>
      </c>
    </row>
    <row r="40">
      <c r="A40" s="9" t="inlineStr">
        <is>
          <t>Share-based Payment</t>
        </is>
      </c>
      <c r="B40" s="9" t="inlineStr">
        <is>
          <t>以股份為基礎的付款</t>
        </is>
      </c>
      <c r="C40" s="9" t="inlineStr">
        <is>
          <t>medium</t>
        </is>
      </c>
      <c r="D40" s="12" t="inlineStr">
        <is>
          <t>share option</t>
        </is>
      </c>
      <c r="E40" s="12" t="inlineStr">
        <is>
          <t>PDF p.82 (印刷頁 81)</t>
        </is>
      </c>
      <c r="F40" s="12" t="inlineStr">
        <is>
          <t>operation (HK cents) (0.06) (0.29) Basic (loss)/earnings per share (HK cents) (0.20) 1.75 (b) Diluted (loss)/earnings per share The share options granted by the Company have potential dilutive effect on the (loss)/earnings per share. The share options have a dilutive effect only when the average market price of ordinary shares during the year exceeds the adjusted exercise price of the share options. For the year ended 31 March 2026 and 2025, the exercise price was above the average market price of the ordinary shares. Accordin</t>
        </is>
      </c>
    </row>
    <row r="41">
      <c r="A41" s="9" t="inlineStr">
        <is>
          <t>Share-based Payment</t>
        </is>
      </c>
      <c r="B41" s="9" t="inlineStr">
        <is>
          <t>以股份為基礎的付款</t>
        </is>
      </c>
      <c r="C41" s="9" t="inlineStr">
        <is>
          <t>medium</t>
        </is>
      </c>
      <c r="D41" s="12" t="inlineStr">
        <is>
          <t>share option</t>
        </is>
      </c>
      <c r="E41" s="12" t="inlineStr">
        <is>
          <t>PDF p.89 (印刷頁 88)</t>
        </is>
      </c>
      <c r="F41" s="12" t="inlineStr">
        <is>
          <t>NOTES TO THE CONSOLIDATED FINANCIAL STATEMENTS – CONTINUED 22 SHARE OPTION SCHEME A share option scheme (the “Scheme”) adopted by the Company was approved by the shareholders on 31 July 2014. The Scheme became effective for a period of 10 years commencing on 31 July 2014. Under the Scheme, the directors shall, in its absolute discretion select, make an offer to any eligible participants to subscribe for shares of the Company at a subscription price being not</t>
        </is>
      </c>
    </row>
    <row r="42">
      <c r="A42" s="9" t="inlineStr">
        <is>
          <t>Share-based Payment</t>
        </is>
      </c>
      <c r="B42" s="9" t="inlineStr">
        <is>
          <t>以股份為基礎的付款</t>
        </is>
      </c>
      <c r="C42" s="9" t="inlineStr">
        <is>
          <t>medium</t>
        </is>
      </c>
      <c r="D42" s="12" t="inlineStr">
        <is>
          <t>share option</t>
        </is>
      </c>
      <c r="E42" s="12" t="inlineStr">
        <is>
          <t>PDF p.90 (印刷頁 89)</t>
        </is>
      </c>
      <c r="F42" s="12" t="inlineStr">
        <is>
          <t>NOTES TO THE CONSOLIDATED FINANCIAL STATEMENTS – CONTINUED 22 SHARE OPTION SCHEME – CONTINUED Details of the share options granted and outstanding under the Share Option Scheme during the year ended 31 March 2025 were as follows: Number of options At Granted At Exercise 1 April during Lapsed during 31 March period Adjusted 2024 the year the year 2025 Date of grant (Note) exercise price Directors/Ex-directors Hon Hoi Chuen 1,865,788 – – 1,865,788 14 December</t>
        </is>
      </c>
    </row>
    <row r="43">
      <c r="A43" s="9" t="inlineStr">
        <is>
          <t>Share-based Payment</t>
        </is>
      </c>
      <c r="B43" s="9" t="inlineStr">
        <is>
          <t>以股份為基礎的付款</t>
        </is>
      </c>
      <c r="C43" s="9" t="inlineStr">
        <is>
          <t>medium</t>
        </is>
      </c>
      <c r="D43" s="12" t="inlineStr">
        <is>
          <t>share option</t>
        </is>
      </c>
      <c r="E43" s="12" t="inlineStr">
        <is>
          <t>PDF p.91 (印刷頁 90)</t>
        </is>
      </c>
      <c r="F43" s="12" t="inlineStr">
        <is>
          <t>NOTES TO THE CONSOLIDATED FINANCIAL STATEMENTS – CONTINUED 22 SHARE OPTION SCHEME – CONTINUED Significant inputs into the model and assumptions were as follows: 11 October 18 April 14 December Parameter 2021 2019 2018 Share price on date of grant HK$0.201 HK$0.0900 * HK$0.260 * Exercise price HK$0.2242 HK$0.0904 * HK$0.265 * Risk-free rate 0.78% 1.71% 2.27% Expected option life 5 years 10 years 10 years Expected volatility 107% 106% 104% * Before adjustment</t>
        </is>
      </c>
    </row>
    <row r="44">
      <c r="A44" s="9" t="inlineStr">
        <is>
          <t>Share-based Payment</t>
        </is>
      </c>
      <c r="B44" s="9" t="inlineStr">
        <is>
          <t>以股份為基礎的付款</t>
        </is>
      </c>
      <c r="C44" s="9" t="inlineStr">
        <is>
          <t>medium</t>
        </is>
      </c>
      <c r="D44" s="12" t="inlineStr">
        <is>
          <t>share-based payment</t>
        </is>
      </c>
      <c r="E44" s="12" t="inlineStr">
        <is>
          <t>PDF p.115 (印刷頁 114)</t>
        </is>
      </c>
      <c r="F44" s="12" t="inlineStr">
        <is>
          <t>TO THE CONSOLIDATED FINANCIAL STATEMENTS – CONTINUED 32 SUMMARY OF OTHER POTENTIALLY MATERIAL ACCOUNTING POLICIES – CONTINUED 32.18 Share-based payments The Group operates equity-settled, share-based compensation plans, namely the share option scheme. Information relating to the share option scheme is set out in Note 21. The fair value of options granted under the Group’s share option scheme is recognised as an employee benefits expense with a corresponding increase in equity. The total amount to be expensed is determined by r</t>
        </is>
      </c>
    </row>
    <row r="45">
      <c r="A45" s="9" t="inlineStr">
        <is>
          <t>Related Party Transactions</t>
        </is>
      </c>
      <c r="B45" s="9" t="inlineStr">
        <is>
          <t>關聯方交易</t>
        </is>
      </c>
      <c r="C45" s="9" t="inlineStr">
        <is>
          <t>low</t>
        </is>
      </c>
      <c r="D45" s="12" t="inlineStr">
        <is>
          <t>related party</t>
        </is>
      </c>
      <c r="E45" s="12" t="inlineStr">
        <is>
          <t>PDF p.31 (印刷頁 30)</t>
        </is>
      </c>
      <c r="F45" s="12" t="inlineStr">
        <is>
          <t>ERS’ MATERIAL INTEREST IN TRANSACTIONS, ARRANGEMENTS AND CONTRACTS OF SIGNIFICANCE Save for the disclosed under the sections headed “Related Party Transactions” below and the related party transactions disclosed in note 30 to the consolidated financial statements, no transaction, arrangement or contract of significance to which the Company or any of its subsidiaries was a party and in which a Director or an entity connected with a Director had a material interest directly or indirectly subsisted at the end of the Year or at any</t>
        </is>
      </c>
    </row>
    <row r="46">
      <c r="A46" s="9" t="inlineStr">
        <is>
          <t>Related Party Transactions</t>
        </is>
      </c>
      <c r="B46" s="9" t="inlineStr">
        <is>
          <t>關聯方交易</t>
        </is>
      </c>
      <c r="C46" s="9" t="inlineStr">
        <is>
          <t>low</t>
        </is>
      </c>
      <c r="D46" s="12" t="inlineStr">
        <is>
          <t>related party</t>
        </is>
      </c>
      <c r="E46" s="12" t="inlineStr">
        <is>
          <t>PDF p.33 (印刷頁 32)</t>
        </is>
      </c>
      <c r="F46" s="12" t="inlineStr">
        <is>
          <t>idual directors and the overall financial position of the Group, and is subject to the recommendation of the Remuneration Committee. RELATED PARTY TRANSACTION The related party transactions as disclosed in Note 30 to the consolidated financial statements also constitute connected transactions of the Company as defined in Chapter 20 of the GEM Listing Rules. The Company confirms that it has complied with the disclosure requirements in accordance with Chapter 20 of the GEM Listing Rules in respect of these transactions. CONNECTED</t>
        </is>
      </c>
    </row>
    <row r="47">
      <c r="A47" s="9" t="inlineStr">
        <is>
          <t>Related Party Transactions</t>
        </is>
      </c>
      <c r="B47" s="9" t="inlineStr">
        <is>
          <t>關聯方交易</t>
        </is>
      </c>
      <c r="C47" s="9" t="inlineStr">
        <is>
          <t>low</t>
        </is>
      </c>
      <c r="D47" s="12" t="inlineStr">
        <is>
          <t>connected transaction</t>
        </is>
      </c>
      <c r="E47" s="12" t="inlineStr">
        <is>
          <t>PDF p.34 (印刷頁 33)</t>
        </is>
      </c>
      <c r="F47" s="12" t="inlineStr">
        <is>
          <t>cted persons of the Company. Accordingly, the transactions contemplated under the two service agreements mentioned above constituted connected transactions for the Company. Pursuant to Rule 20.79 of the GEM Listing Rules, as the service agreements were entered into with parties connected or otherwise associated with one another and were completed within a 12-month period, these transactions were aggregated. The aggregated consideration payable to the Group for the transactions was RMB8.8 million (equivalent to approximately HK$</t>
        </is>
      </c>
    </row>
    <row r="48">
      <c r="A48" s="9" t="inlineStr">
        <is>
          <t>Related Party Transactions</t>
        </is>
      </c>
      <c r="B48" s="9" t="inlineStr">
        <is>
          <t>關聯方交易</t>
        </is>
      </c>
      <c r="C48" s="9" t="inlineStr">
        <is>
          <t>low</t>
        </is>
      </c>
      <c r="D48" s="12" t="inlineStr">
        <is>
          <t>related party</t>
        </is>
      </c>
      <c r="E48" s="12" t="inlineStr">
        <is>
          <t>PDF p.103 (印刷頁 102)</t>
        </is>
      </c>
      <c r="F48" s="12" t="inlineStr">
        <is>
          <t>NOTES TO THE CONSOLIDATED FINANCIAL STATEMENTS – CONTINUED 30 RELATED PARTY TRANSACTIONS (a) Names and relationships with related parties Parties are considered to be related if one party has the ability, directly or indirectly, to control the other party, to joint control over the party or exercise significant influence over the other party in making financial and operation decisions, or vice versa. The directors of the Company are of the view that the foll</t>
        </is>
      </c>
    </row>
    <row r="49">
      <c r="A49" s="9" t="inlineStr">
        <is>
          <t>Related Party Transactions</t>
        </is>
      </c>
      <c r="B49" s="9" t="inlineStr">
        <is>
          <t>關聯方交易</t>
        </is>
      </c>
      <c r="C49" s="9" t="inlineStr">
        <is>
          <t>low</t>
        </is>
      </c>
      <c r="D49" s="12" t="inlineStr">
        <is>
          <t>related party</t>
        </is>
      </c>
      <c r="E49" s="12" t="inlineStr">
        <is>
          <t>PDF p.104 (印刷頁 103)</t>
        </is>
      </c>
      <c r="F49" s="12" t="inlineStr">
        <is>
          <t>NOTES TO THE CONSOLIDATED FINANCIAL STATEMENTS – CONTINUED 30 RELATED PARTY TRANSACTIONS – CONTINUED (b) Transactions and balance with related parties – Continued Balance with related parties 2026 2025 HK$’000 HK$’000 Trade receivables from fellow subsidiaries (Note (i)) Shenzhen Hongde Business Services Co., Ltd. 341 – Shenzhen Greatwalle Capital Management Co., Ltd. 5,656 – Amount due from a related company (Note (ii)) Greatwalle International Limited 22 2</t>
        </is>
      </c>
    </row>
    <row r="50">
      <c r="A50" s="9" t="inlineStr">
        <is>
          <t>Related Party Transactions</t>
        </is>
      </c>
      <c r="B50" s="9" t="inlineStr">
        <is>
          <t>關聯方交易</t>
        </is>
      </c>
      <c r="C50" s="9" t="inlineStr">
        <is>
          <t>low</t>
        </is>
      </c>
      <c r="D50" s="12" t="inlineStr">
        <is>
          <t>related party</t>
        </is>
      </c>
      <c r="E50" s="12" t="inlineStr">
        <is>
          <t>PDF p.105 (印刷頁 104)</t>
        </is>
      </c>
      <c r="F50" s="12" t="inlineStr">
        <is>
          <t>NOTES TO THE CONSOLIDATED FINANCIAL STATEMENTS – CONTINUED 30 RELATED PARTY TRANSACTIONS – CONTINUED (c) Key management compensation 2026 2025 HK$’000 HK$’000 Salaries and other benefits 982 2,514 Retirement scheme contributions 139 178 1,121 2,692 31 STATEMENT OF FINANCIAL POSITION AND RESERVE MOVEMENT OF THE COMPANY (a) Statement of financial position of the Company 2026 2025 Note HK$’000 HK$’000 ASSETS Non-current assets Investments in subsidiaries 31 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27" topLeftCell="A28"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Cost of Sales</t>
        </is>
      </c>
    </row>
    <row r="9">
      <c r="A9" s="9" t="inlineStr">
        <is>
          <t>Income Statement</t>
        </is>
      </c>
      <c r="B9" s="9" t="inlineStr">
        <is>
          <t>Operating Profit</t>
        </is>
      </c>
    </row>
    <row r="10">
      <c r="A10" s="9" t="inlineStr">
        <is>
          <t>Income Statement</t>
        </is>
      </c>
      <c r="B10" s="9" t="inlineStr">
        <is>
          <t>Profit Before Tax</t>
        </is>
      </c>
    </row>
    <row r="11">
      <c r="A11" s="9" t="inlineStr">
        <is>
          <t>Income Statement</t>
        </is>
      </c>
      <c r="B11" s="9" t="inlineStr">
        <is>
          <t>Profit for the Year</t>
        </is>
      </c>
    </row>
    <row r="12">
      <c r="A12" s="9" t="inlineStr">
        <is>
          <t>Income Statement</t>
        </is>
      </c>
      <c r="B12" s="9" t="inlineStr">
        <is>
          <t>R&amp;D Expenses</t>
        </is>
      </c>
    </row>
    <row r="13">
      <c r="A13" s="9" t="inlineStr">
        <is>
          <t>Income Statement</t>
        </is>
      </c>
      <c r="B13" s="9" t="inlineStr">
        <is>
          <t>Depreciation</t>
        </is>
      </c>
    </row>
    <row r="14">
      <c r="A14" s="9" t="inlineStr">
        <is>
          <t>Income Statement</t>
        </is>
      </c>
      <c r="B14" s="9" t="inlineStr">
        <is>
          <t>Amortisation</t>
        </is>
      </c>
    </row>
    <row r="15">
      <c r="A15" s="9" t="inlineStr">
        <is>
          <t>Balance Sheet</t>
        </is>
      </c>
      <c r="B15" s="9" t="inlineStr">
        <is>
          <t>Goodwill</t>
        </is>
      </c>
    </row>
    <row r="16">
      <c r="A16" s="9" t="inlineStr">
        <is>
          <t>Balance Sheet</t>
        </is>
      </c>
      <c r="B16" s="9" t="inlineStr">
        <is>
          <t>Intangible Assets</t>
        </is>
      </c>
    </row>
    <row r="17">
      <c r="A17" s="9" t="inlineStr">
        <is>
          <t>Balance Sheet</t>
        </is>
      </c>
      <c r="B17" s="9" t="inlineStr">
        <is>
          <t>Investment Properties</t>
        </is>
      </c>
    </row>
    <row r="18">
      <c r="A18" s="9" t="inlineStr">
        <is>
          <t>Cash Flow</t>
        </is>
      </c>
      <c r="B18" s="9" t="inlineStr">
        <is>
          <t>Operating Cash Flow</t>
        </is>
      </c>
    </row>
    <row r="19">
      <c r="A19" s="9" t="inlineStr">
        <is>
          <t>Cash Flow</t>
        </is>
      </c>
      <c r="B19" s="9" t="inlineStr">
        <is>
          <t>Investing Cash Flow</t>
        </is>
      </c>
    </row>
    <row r="20">
      <c r="A20" s="9" t="inlineStr">
        <is>
          <t>Cash Flow</t>
        </is>
      </c>
      <c r="B20" s="9" t="inlineStr">
        <is>
          <t>Financing Cash Flow</t>
        </is>
      </c>
    </row>
    <row r="21">
      <c r="A21" s="9" t="inlineStr">
        <is>
          <t>Cash Flow</t>
        </is>
      </c>
      <c r="B21" s="9" t="inlineStr">
        <is>
          <t>Capital Expenditure</t>
        </is>
      </c>
    </row>
    <row r="24">
      <c r="A24" s="5" t="inlineStr">
        <is>
          <t>二、文字量過低的頁面(疑似掃描頁)</t>
        </is>
      </c>
    </row>
    <row r="25">
      <c r="A25" s="2" t="inlineStr">
        <is>
          <t>這些頁面幾乎抓不到文字,通常是掃描件或純圖表,建議人手翻閱或另行 OCR。</t>
        </is>
      </c>
    </row>
    <row r="27">
      <c r="A27" s="8" t="inlineStr">
        <is>
          <t>PDF 頁碼</t>
        </is>
      </c>
      <c r="B27" s="8" t="inlineStr">
        <is>
          <t>狀態</t>
        </is>
      </c>
    </row>
    <row r="28">
      <c r="A28"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2026-08-30T14:16:47Z</dcterms:created>
  <dcterms:modified xsi:type="dcterms:W3CDTF">2026-08-30T14:16:47Z</dcterms:modified>
</cp:coreProperties>
</file>
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00374_FOUR_SEAS_MER_20260729.pdf</t>
        </is>
      </c>
    </row>
    <row r="5">
      <c r="A5" s="3" t="inlineStr">
        <is>
          <t>產生時間 Generated</t>
        </is>
      </c>
      <c r="B5" s="4" t="inlineStr">
        <is>
          <t>2026-08-30 22:16</t>
        </is>
      </c>
    </row>
    <row r="6">
      <c r="A6" s="4" t="inlineStr"/>
      <c r="B6" s="4" t="inlineStr"/>
    </row>
    <row r="7">
      <c r="A7" s="3" t="inlineStr">
        <is>
          <t>總頁數 Total pages</t>
        </is>
      </c>
      <c r="B7" s="4" t="n">
        <v>214</v>
      </c>
    </row>
    <row r="8">
      <c r="A8" s="3" t="inlineStr">
        <is>
          <t>已擷取字元 Characters extracted</t>
        </is>
      </c>
      <c r="B8" s="4" t="n">
        <v>438083</v>
      </c>
    </row>
    <row r="9">
      <c r="A9" s="3" t="inlineStr">
        <is>
          <t>含表格頁數 Pages with tables</t>
        </is>
      </c>
      <c r="B9" s="4" t="n">
        <v>0</v>
      </c>
    </row>
    <row r="10">
      <c r="A10" s="3" t="inlineStr">
        <is>
          <t>需人手/OCR 頁數 Pages needing OCR</t>
        </is>
      </c>
      <c r="B10" s="4" t="n">
        <v>7</v>
      </c>
    </row>
    <row r="11">
      <c r="A11" s="4" t="inlineStr"/>
      <c r="B11" s="4" t="inlineStr"/>
    </row>
    <row r="12">
      <c r="A12" s="3" t="inlineStr">
        <is>
          <t>估值參數擷取筆數 Valuation parameters</t>
        </is>
      </c>
      <c r="B12" s="4" t="n">
        <v>12</v>
      </c>
    </row>
    <row r="13">
      <c r="A13" s="3" t="inlineStr">
        <is>
          <t>財務科目擷取筆數 Financial line items</t>
        </is>
      </c>
      <c r="B13" s="4" t="n">
        <v>18</v>
      </c>
    </row>
    <row r="14">
      <c r="A14" s="3" t="inlineStr">
        <is>
          <t>主題段落擷取筆數 Topic extracts</t>
        </is>
      </c>
      <c r="B14" s="4" t="n">
        <v>102</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流動資產 − 流動負債 = 淨流動資產</t>
        </is>
      </c>
      <c r="B19" s="4" t="inlineStr">
        <is>
          <t>1,871,265 − 1,593,521 = 277,744</t>
        </is>
      </c>
    </row>
    <row r="20">
      <c r="A20" s="6" t="inlineStr">
        <is>
          <t>✓ 收入 − 銷售成本 = 毛利</t>
        </is>
      </c>
      <c r="B20" s="4" t="inlineStr">
        <is>
          <t>3,743,051 − 2,881,230 = 861,821 vs 毛利 861,821</t>
        </is>
      </c>
    </row>
    <row r="21">
      <c r="A21" s="6" t="inlineStr">
        <is>
          <t>✓ 除稅前溢利 ± 稅項 = 年內溢利</t>
        </is>
      </c>
      <c r="B21" s="4" t="inlineStr">
        <is>
          <t>33,622 + 19,369 = 14,253 vs 14,253</t>
        </is>
      </c>
    </row>
    <row r="22">
      <c r="A22" s="6" t="inlineStr">
        <is>
          <t>✓ 三大報表應相鄰</t>
        </is>
      </c>
      <c r="B22" s="4" t="inlineStr">
        <is>
          <t>Income Statement: p.80、Balance Sheet: p.82、Cash Flow: p.86(相距 6 頁)</t>
        </is>
      </c>
    </row>
    <row r="24">
      <c r="A24" s="5" t="inlineStr">
        <is>
          <t>方法論 Methodology</t>
        </is>
      </c>
    </row>
    <row r="25">
      <c r="A25" s="4" t="inlineStr">
        <is>
          <t>1. 逐頁擷取文字,全程保留 PDF 頁碼與年報印刷頁碼(可追溯性)。</t>
        </is>
      </c>
    </row>
    <row r="26">
      <c r="A26" s="4" t="inlineStr">
        <is>
          <t>2. 規則層(正則/關鍵字)先把全份文件縮減為少數相關頁面 —— 解決「文件太大」。</t>
        </is>
      </c>
    </row>
    <row r="27">
      <c r="A27" s="4" t="inlineStr">
        <is>
          <t>3. 數字由正則精確擷取並做合理性檢查,不由語言模型生成 —— 解決「準確度」。</t>
        </is>
      </c>
    </row>
    <row r="28">
      <c r="A28" s="4" t="inlineStr">
        <is>
          <t>4. AI 僅在縮減後的頁面上做語意判斷,且輸出頁碼須通過驗證才保留。</t>
        </is>
      </c>
    </row>
    <row r="29">
      <c r="A29" s="4" t="inlineStr">
        <is>
          <t>5. 所有結果附來源頁碼與原文行,供估值師覆核。信心度為 Low 者建議人手確認。</t>
        </is>
      </c>
    </row>
    <row r="30">
      <c r="A30"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Capitalisation Rate</t>
        </is>
      </c>
      <c r="B5" s="8" t="inlineStr">
        <is>
          <t>資本化率</t>
        </is>
      </c>
      <c r="C5" s="9" t="n">
        <v>4.5</v>
      </c>
      <c r="D5" s="10" t="n">
        <v>4.5</v>
      </c>
      <c r="E5" s="11" t="inlineStr">
        <is>
          <t>4.5%</t>
        </is>
      </c>
      <c r="F5" s="11" t="inlineStr">
        <is>
          <t>High</t>
        </is>
      </c>
      <c r="G5" s="11" t="inlineStr">
        <is>
          <t>PDF p.161 (印刷頁 160)</t>
        </is>
      </c>
      <c r="H5" s="11" t="inlineStr">
        <is>
          <t>5日圓- 2,179日圓- 收益法中的貼現 2,404日圓 2,508日圓 現金流法 Discount rate 4.2% 4.3% 貼現率 Terminal capitalisation rate 4.5% 4.6% 最終資本化率 Industrial property in Cost method Building unit cost JPY112,000 JPY110,000 Japan 成本法 (per square metre) 112,000日圓 110,000日圓 日本之工業物業 樓宇單位成本（每平</t>
        </is>
      </c>
    </row>
    <row r="6">
      <c r="A6" s="8" t="inlineStr">
        <is>
          <t>Capitalisation Rate</t>
        </is>
      </c>
      <c r="B6" s="8" t="inlineStr">
        <is>
          <t>資本化率</t>
        </is>
      </c>
      <c r="C6" s="9" t="n">
        <v>4.6</v>
      </c>
      <c r="D6" s="10" t="n">
        <v>4.6</v>
      </c>
      <c r="E6" s="11" t="inlineStr">
        <is>
          <t>4.6%</t>
        </is>
      </c>
      <c r="F6" s="11" t="inlineStr">
        <is>
          <t>Medium</t>
        </is>
      </c>
      <c r="G6" s="11" t="inlineStr">
        <is>
          <t>PDF p.161 (印刷頁 160)</t>
        </is>
      </c>
      <c r="H6" s="11" t="inlineStr">
        <is>
          <t>508日圓 現金流法 Discount rate 4.2% 4.3% 貼現率 Terminal capitalisation rate 4.5% 4.6% 最終資本化率 Industrial property in Cost method Building unit cost JPY112,000 JPY110,000 Japan 成本法 (per square metre) 112,000日圓 110,000日圓 日本之工業物業 樓宇單位成本（每平方米） Land unit val</t>
        </is>
      </c>
    </row>
    <row r="7">
      <c r="A7" s="8" t="inlineStr">
        <is>
          <t>Discount Rate</t>
        </is>
      </c>
      <c r="B7" s="8" t="inlineStr">
        <is>
          <t>折現率</t>
        </is>
      </c>
      <c r="C7" s="9" t="n">
        <v>10.9</v>
      </c>
      <c r="D7" s="10" t="n">
        <v>10.9</v>
      </c>
      <c r="E7" s="11" t="inlineStr">
        <is>
          <t>10.9%</t>
        </is>
      </c>
      <c r="F7" s="11" t="inlineStr">
        <is>
          <t>High</t>
        </is>
      </c>
      <c r="G7" s="11" t="inlineStr">
        <is>
          <t>PDF p.154 (印刷頁 153)</t>
        </is>
      </c>
      <c r="H7" s="11" t="inlineStr">
        <is>
          <t>預算的現金流量預測。現金流量預 are determined based on value-in-use calculations using 測所採用之除稅前貼現率為10.9%。 cash flow projections based on financial budgets covering a period of the remaining lease terms. The pre-tax discount rate applied for the cash flow pro</t>
        </is>
      </c>
    </row>
    <row r="8">
      <c r="A8" s="8" t="inlineStr">
        <is>
          <t>Discount Rate</t>
        </is>
      </c>
      <c r="B8" s="8" t="inlineStr">
        <is>
          <t>折現率</t>
        </is>
      </c>
      <c r="C8" s="9" t="n">
        <v>11.2</v>
      </c>
      <c r="D8" s="10" t="n">
        <v>11.2</v>
      </c>
      <c r="E8" s="11" t="inlineStr">
        <is>
          <t>11.2%</t>
        </is>
      </c>
      <c r="F8" s="11" t="inlineStr">
        <is>
          <t>High</t>
        </is>
      </c>
      <c r="G8" s="11" t="inlineStr">
        <is>
          <t>PDF p.154 (印刷頁 153)</t>
        </is>
      </c>
      <c r="H8" s="11" t="inlineStr">
        <is>
          <t>預算的現金流量預測。現金流量預 are determined based on value-in-use calculations using 測所採用之除稅前貼現率為11.2%。 cash flow projections based on financial budgets covering a period of the remaining lease terms. The pre-tax discount rate applied for the cash flow pro</t>
        </is>
      </c>
    </row>
    <row r="9">
      <c r="A9" s="8" t="inlineStr">
        <is>
          <t>Discount Rate</t>
        </is>
      </c>
      <c r="B9" s="8" t="inlineStr">
        <is>
          <t>折現率</t>
        </is>
      </c>
      <c r="C9" s="9" t="n">
        <v>4.2</v>
      </c>
      <c r="D9" s="10" t="n">
        <v>4.2</v>
      </c>
      <c r="E9" s="11" t="inlineStr">
        <is>
          <t>4.2%</t>
        </is>
      </c>
      <c r="F9" s="11" t="inlineStr">
        <is>
          <t>High</t>
        </is>
      </c>
      <c r="G9" s="11" t="inlineStr">
        <is>
          <t>PDF p.161 (印刷頁 160)</t>
        </is>
      </c>
      <c r="H9" s="11" t="inlineStr">
        <is>
          <t>之住宅物業 income approach 每月租值（每平方米） 2,285日圓- 2,179日圓- 收益法中的貼現 2,404日圓 2,508日圓 現金流法 Discount rate 4.2% 4.3% 貼現率 Terminal capitalisation rate 4.5% 4.6% 最終資本化率 Industrial property in Cost method Building unit cost JPY112,000 JPY110,000 Japan 成本法 (per square m</t>
        </is>
      </c>
    </row>
    <row r="10">
      <c r="A10" s="8" t="inlineStr">
        <is>
          <t>Discount Rate</t>
        </is>
      </c>
      <c r="B10" s="8" t="inlineStr">
        <is>
          <t>折現率</t>
        </is>
      </c>
      <c r="C10" s="9" t="n">
        <v>4.5</v>
      </c>
      <c r="D10" s="10" t="n">
        <v>4.5</v>
      </c>
      <c r="E10" s="11" t="inlineStr">
        <is>
          <t>4.5%</t>
        </is>
      </c>
      <c r="F10" s="11" t="inlineStr">
        <is>
          <t>High</t>
        </is>
      </c>
      <c r="G10" s="11" t="inlineStr">
        <is>
          <t>PDF p.161 (印刷頁 160)</t>
        </is>
      </c>
      <c r="H10" s="11" t="inlineStr">
        <is>
          <t>租值（每平方米） 2,285日圓- 2,179日圓- 收益法中的貼現 2,404日圓 2,508日圓 現金流法 Discount rate 4.2% 4.3% 貼現率 Terminal capitalisation rate 4.5% 4.6% 最終資本化率 Industrial property in Cost method Building unit cost JPY112,000 JPY110,000 Japan 成本法 (per square metre) 112,000日</t>
        </is>
      </c>
    </row>
    <row r="11">
      <c r="A11" s="8" t="inlineStr">
        <is>
          <t>Discount Rate</t>
        </is>
      </c>
      <c r="B11" s="8" t="inlineStr">
        <is>
          <t>折現率</t>
        </is>
      </c>
      <c r="C11" s="9" t="n">
        <v>9.300000000000001</v>
      </c>
      <c r="D11" s="10" t="n">
        <v>13.5</v>
      </c>
      <c r="E11" s="11" t="inlineStr">
        <is>
          <t>9.3%至13.5%</t>
        </is>
      </c>
      <c r="F11" s="11" t="inlineStr">
        <is>
          <t>High</t>
        </is>
      </c>
      <c r="G11" s="11" t="inlineStr">
        <is>
          <t>PDF p.164 (印刷頁 163)</t>
        </is>
      </c>
      <c r="H11" s="11" t="inlineStr">
        <is>
          <t xml:space="preserve"> a five-year period approved 金流預測所使用之貼現率為9.6%至13.8%（二 by senior management. The discount rates applied to the cash 零二五年：9.3%至13.5%）。超過五年期間之現 flow projections are between 9.6% and 13.8% (2025: 9.3% and 金產生單位之現金流增長率預測為2.0%（二零 13.5%). The growth rates used</t>
        </is>
      </c>
    </row>
    <row r="12">
      <c r="A12" s="8" t="inlineStr">
        <is>
          <t>Discount Rate</t>
        </is>
      </c>
      <c r="B12" s="8" t="inlineStr">
        <is>
          <t>折現率</t>
        </is>
      </c>
      <c r="C12" s="9" t="n">
        <v>9.6</v>
      </c>
      <c r="D12" s="10" t="n">
        <v>13.8</v>
      </c>
      <c r="E12" s="11" t="inlineStr">
        <is>
          <t>9.6%至13.8%</t>
        </is>
      </c>
      <c r="F12" s="11" t="inlineStr">
        <is>
          <t>High</t>
        </is>
      </c>
      <c r="G12" s="11" t="inlineStr">
        <is>
          <t>PDF p.164 (印刷頁 163)</t>
        </is>
      </c>
      <c r="H12" s="11" t="inlineStr">
        <is>
          <t>流預測計算。現 based on financial budgets covering a five-year period approved 金流預測所使用之貼現率為9.6%至13.8%（二 by senior management. The discount rates applied to the cash 零二五年：9.3%至13.5%）。超過五年期間之現 flow projections are between 9.6% and 13.8% (2025: 9.3% and</t>
        </is>
      </c>
    </row>
    <row r="13">
      <c r="A13" s="8" t="inlineStr">
        <is>
          <t>Discount Rate</t>
        </is>
      </c>
      <c r="B13" s="8" t="inlineStr">
        <is>
          <t>折現率</t>
        </is>
      </c>
      <c r="C13" s="9" t="n">
        <v>3</v>
      </c>
      <c r="D13" s="10" t="n">
        <v>3</v>
      </c>
      <c r="E13" s="11" t="inlineStr">
        <is>
          <t>3.0%</t>
        </is>
      </c>
      <c r="F13" s="11" t="inlineStr">
        <is>
          <t>High</t>
        </is>
      </c>
      <c r="G13" s="11" t="inlineStr">
        <is>
          <t>PDF p.179 (印刷頁 178)</t>
        </is>
      </c>
      <c r="H13" s="11" t="inlineStr">
        <is>
          <t>f the 於報告期末所採用之主要精算假設如下： reporting period are as follows: 2026 2025 二零二六年 二零二五年 Discount rate 貼現率 3.0% 2.1% Expected rate of salary increases 未來薪金增長率 2.0% 2.0% Assumptions regarding future mortality are set based on actuarial 有關未來死亡率之假設乃基於根據已公佈統計 advice</t>
        </is>
      </c>
    </row>
    <row r="14">
      <c r="A14" s="8" t="inlineStr">
        <is>
          <t>Discount Rate</t>
        </is>
      </c>
      <c r="B14" s="8" t="inlineStr">
        <is>
          <t>折現率</t>
        </is>
      </c>
      <c r="C14" s="9" t="n">
        <v>14.4</v>
      </c>
      <c r="D14" s="10" t="n">
        <v>14.4</v>
      </c>
      <c r="E14" s="11" t="inlineStr">
        <is>
          <t>14.4%</t>
        </is>
      </c>
      <c r="F14" s="11" t="inlineStr">
        <is>
          <t>High</t>
        </is>
      </c>
      <c r="G14" s="11" t="inlineStr">
        <is>
          <t>PDF p.198 (印刷頁 197)</t>
        </is>
      </c>
      <c r="H14" s="11" t="inlineStr">
        <is>
          <t xml:space="preserve">alue to the input 估值技術 重大不可觀察輸入值 價值 公平值對輸入值之敏感度 Unlisted equity Discounted cash Discount rate 2026: 14.4% 5% increase in discount rate will result in investment at fair flow model decrease in fair value by approximately value through other HK$1,252,000 </t>
        </is>
      </c>
    </row>
    <row r="15">
      <c r="A15" s="8" t="inlineStr">
        <is>
          <t>Discount Rate</t>
        </is>
      </c>
      <c r="B15" s="8" t="inlineStr">
        <is>
          <t>折現率</t>
        </is>
      </c>
      <c r="C15" s="9" t="n">
        <v>5</v>
      </c>
      <c r="D15" s="10" t="n">
        <v>5</v>
      </c>
      <c r="E15" s="11" t="inlineStr">
        <is>
          <t>5%</t>
        </is>
      </c>
      <c r="F15" s="11" t="inlineStr">
        <is>
          <t>High</t>
        </is>
      </c>
      <c r="G15" s="11" t="inlineStr">
        <is>
          <t>PDF p.198 (印刷頁 197)</t>
        </is>
      </c>
      <c r="H15" s="11" t="inlineStr">
        <is>
          <t>se in fair value by approximately HK$1,479,000 按公平值透過其他 貼現現金流模型 貼現率 二零二六年：14.4% 貼現率增加5%將導致公平值減少約 全面收益入賬的 1,252,000港元，而貼現率減少5%將導致 非上市權益投資 公平值增加約1,479,000港元 Discount for lack of 2026: 35% 5% increase in discount for lack of marketability and mar</t>
        </is>
      </c>
    </row>
    <row r="16">
      <c r="A16" s="8" t="inlineStr">
        <is>
          <t>Gross Margin</t>
        </is>
      </c>
      <c r="B16" s="8" t="inlineStr">
        <is>
          <t>毛利率</t>
        </is>
      </c>
      <c r="C16" s="9" t="n">
        <v>23</v>
      </c>
      <c r="D16" s="10" t="n">
        <v>23</v>
      </c>
      <c r="E16" s="11" t="inlineStr">
        <is>
          <t>23.0%</t>
        </is>
      </c>
      <c r="F16" s="11" t="inlineStr">
        <is>
          <t>High</t>
        </is>
      </c>
      <c r="G16" s="11" t="inlineStr">
        <is>
          <t>PDF p.21 (印刷頁 20)</t>
        </is>
      </c>
      <c r="H16" s="11" t="inlineStr">
        <is>
          <t xml:space="preserve"> 歸屬於本公司權益所有者 of the Company 溢利 13,075 10,164 +28.6% Key financial ratios 主要財務比率 Gross profit margin 毛利率 23.0% 23.9% Net profit margin 純利率 2 0.3% 0.3% Inventory turnover days 存貨周轉天數 3 41 40 Trade receivable turnover days 應收貿易賬款周轉天數 4 59 61 Trade payable turnov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4"/>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2" t="n">
        <v>3743051</v>
      </c>
      <c r="D5" s="13" t="n">
        <v>3625422</v>
      </c>
      <c r="E5" s="14">
        <f>IF(ISERROR((C5-D5)/ABS(D5)),"",(C5-D5)/ABS(D5))</f>
        <v>0.03244560219472382</v>
      </c>
      <c r="F5" s="11" t="inlineStr">
        <is>
          <t>PDF p.80 (印刷頁 79)</t>
        </is>
      </c>
      <c r="G5" s="11" t="inlineStr">
        <is>
          <t>REVENUE 收入 5 3,743,051 3,625,422</t>
        </is>
      </c>
    </row>
    <row r="6">
      <c r="A6" s="8" t="inlineStr">
        <is>
          <t>Income Statement</t>
        </is>
      </c>
      <c r="B6" s="8" t="inlineStr">
        <is>
          <t>Cost of Sales</t>
        </is>
      </c>
      <c r="C6" s="12" t="n">
        <v>-2881230</v>
      </c>
      <c r="D6" s="13" t="n">
        <v>-2757137</v>
      </c>
      <c r="E6" s="14">
        <f>IF(ISERROR((C6-D6)/ABS(D6)),"",(C6-D6)/ABS(D6))</f>
        <v>-0.04500791944687551</v>
      </c>
      <c r="F6" s="11" t="inlineStr">
        <is>
          <t>PDF p.80 (印刷頁 79)</t>
        </is>
      </c>
      <c r="G6" s="11" t="inlineStr">
        <is>
          <t>Cost of sales 銷售成本 (2,881,230) (2,757,137)</t>
        </is>
      </c>
    </row>
    <row r="7">
      <c r="A7" s="8" t="inlineStr">
        <is>
          <t>Income Statement</t>
        </is>
      </c>
      <c r="B7" s="8" t="inlineStr">
        <is>
          <t>Gross Profit</t>
        </is>
      </c>
      <c r="C7" s="12" t="n">
        <v>861821</v>
      </c>
      <c r="D7" s="13" t="n">
        <v>868285</v>
      </c>
      <c r="E7" s="14">
        <f>IF(ISERROR((C7-D7)/ABS(D7)),"",(C7-D7)/ABS(D7))</f>
        <v>-0.007444560253833707</v>
      </c>
      <c r="F7" s="11" t="inlineStr">
        <is>
          <t>PDF p.80 (印刷頁 79)</t>
        </is>
      </c>
      <c r="G7" s="11" t="inlineStr">
        <is>
          <t>Gross profit 毛利 861,821 868,285</t>
        </is>
      </c>
    </row>
    <row r="8">
      <c r="A8" s="8" t="inlineStr">
        <is>
          <t>Income Statement</t>
        </is>
      </c>
      <c r="B8" s="8" t="inlineStr">
        <is>
          <t>Finance Costs</t>
        </is>
      </c>
      <c r="C8" s="12" t="n">
        <v>-55037</v>
      </c>
      <c r="D8" s="13" t="n">
        <v>-58103</v>
      </c>
      <c r="E8" s="14">
        <f>IF(ISERROR((C8-D8)/ABS(D8)),"",(C8-D8)/ABS(D8))</f>
        <v>0.05276835963719601</v>
      </c>
      <c r="F8" s="11" t="inlineStr">
        <is>
          <t>PDF p.80 (印刷頁 79)</t>
        </is>
      </c>
      <c r="G8" s="11" t="inlineStr">
        <is>
          <t>Finance costs 融資成本 7 (55,037) (58,103)</t>
        </is>
      </c>
    </row>
    <row r="9">
      <c r="A9" s="8" t="inlineStr">
        <is>
          <t>Income Statement</t>
        </is>
      </c>
      <c r="B9" s="8" t="inlineStr">
        <is>
          <t>Profit Before Tax</t>
        </is>
      </c>
      <c r="C9" s="12" t="n">
        <v>33622</v>
      </c>
      <c r="D9" s="13" t="n">
        <v>24450</v>
      </c>
      <c r="E9" s="14">
        <f>IF(ISERROR((C9-D9)/ABS(D9)),"",(C9-D9)/ABS(D9))</f>
        <v>0.3751329243353783</v>
      </c>
      <c r="F9" s="11" t="inlineStr">
        <is>
          <t>PDF p.80 (印刷頁 79)</t>
        </is>
      </c>
      <c r="G9" s="11" t="inlineStr">
        <is>
          <t>PROFIT BEFORE TAX 除稅前溢利 8 33,622 24,450</t>
        </is>
      </c>
    </row>
    <row r="10">
      <c r="A10" s="8" t="inlineStr">
        <is>
          <t>Income Statement</t>
        </is>
      </c>
      <c r="B10" s="8" t="inlineStr">
        <is>
          <t>Income Tax</t>
        </is>
      </c>
      <c r="C10" s="12" t="n">
        <v>-19369</v>
      </c>
      <c r="D10" s="13" t="n">
        <v>-15661</v>
      </c>
      <c r="E10" s="14">
        <f>IF(ISERROR((C10-D10)/ABS(D10)),"",(C10-D10)/ABS(D10))</f>
        <v>-0.23676649000702382</v>
      </c>
      <c r="F10" s="11" t="inlineStr">
        <is>
          <t>PDF p.80 (印刷頁 79)</t>
        </is>
      </c>
      <c r="G10" s="11" t="inlineStr">
        <is>
          <t>Income tax expense 所得稅開支 11 (19,369) (15,661)</t>
        </is>
      </c>
    </row>
    <row r="11">
      <c r="A11" s="8" t="inlineStr">
        <is>
          <t>Income Statement</t>
        </is>
      </c>
      <c r="B11" s="8" t="inlineStr">
        <is>
          <t>Profit for the Year</t>
        </is>
      </c>
      <c r="C11" s="12" t="n">
        <v>14253</v>
      </c>
      <c r="D11" s="13" t="n">
        <v>8789</v>
      </c>
      <c r="E11" s="14">
        <f>IF(ISERROR((C11-D11)/ABS(D11)),"",(C11-D11)/ABS(D11))</f>
        <v>0.6216861986574127</v>
      </c>
      <c r="F11" s="11" t="inlineStr">
        <is>
          <t>PDF p.80 (印刷頁 79)</t>
        </is>
      </c>
      <c r="G11" s="11" t="inlineStr">
        <is>
          <t>PROFIT FOR THE YEAR 年內溢利 14,253 8,789</t>
        </is>
      </c>
    </row>
    <row r="12">
      <c r="A12" s="8" t="inlineStr">
        <is>
          <t>Balance Sheet</t>
        </is>
      </c>
      <c r="B12" s="8" t="inlineStr">
        <is>
          <t>Property Plant and Equipment</t>
        </is>
      </c>
      <c r="C12" s="12" t="n">
        <v>859411</v>
      </c>
      <c r="D12" s="13" t="n">
        <v>896547</v>
      </c>
      <c r="E12" s="14">
        <f>IF(ISERROR((C12-D12)/ABS(D12)),"",(C12-D12)/ABS(D12))</f>
        <v>-0.04142114133447549</v>
      </c>
      <c r="F12" s="11" t="inlineStr">
        <is>
          <t>PDF p.82 (印刷頁 81)</t>
        </is>
      </c>
      <c r="G12" s="11" t="inlineStr">
        <is>
          <t>Property, plant and equipment 物業、廠房及設備 14 859,411 896,547</t>
        </is>
      </c>
    </row>
    <row r="13">
      <c r="A13" s="8" t="inlineStr">
        <is>
          <t>Balance Sheet</t>
        </is>
      </c>
      <c r="B13" s="8" t="inlineStr">
        <is>
          <t>Investment Properties</t>
        </is>
      </c>
      <c r="C13" s="12" t="n">
        <v>32507</v>
      </c>
      <c r="D13" s="13" t="n">
        <v>33957</v>
      </c>
      <c r="E13" s="14">
        <f>IF(ISERROR((C13-D13)/ABS(D13)),"",(C13-D13)/ABS(D13))</f>
        <v>-0.042701063109226375</v>
      </c>
      <c r="F13" s="11" t="inlineStr">
        <is>
          <t>PDF p.82 (印刷頁 81)</t>
        </is>
      </c>
      <c r="G13" s="11" t="inlineStr">
        <is>
          <t>Investment properties 投資物業 16 32,507 33,957</t>
        </is>
      </c>
    </row>
    <row r="14">
      <c r="A14" s="8" t="inlineStr">
        <is>
          <t>Balance Sheet</t>
        </is>
      </c>
      <c r="B14" s="8" t="inlineStr">
        <is>
          <t>Goodwill</t>
        </is>
      </c>
      <c r="C14" s="12" t="n">
        <v>100432</v>
      </c>
      <c r="D14" s="13" t="n">
        <v>101871</v>
      </c>
      <c r="E14" s="14">
        <f>IF(ISERROR((C14-D14)/ABS(D14)),"",(C14-D14)/ABS(D14))</f>
        <v>-0.014125708003259024</v>
      </c>
      <c r="F14" s="11" t="inlineStr">
        <is>
          <t>PDF p.82 (印刷頁 81)</t>
        </is>
      </c>
      <c r="G14" s="11" t="inlineStr">
        <is>
          <t>Goodwill 商譽 17 100,432 101,871</t>
        </is>
      </c>
    </row>
    <row r="15">
      <c r="A15" s="8" t="inlineStr">
        <is>
          <t>Balance Sheet</t>
        </is>
      </c>
      <c r="B15" s="8" t="inlineStr">
        <is>
          <t>Inventories</t>
        </is>
      </c>
      <c r="C15" s="12" t="n">
        <v>315815</v>
      </c>
      <c r="D15" s="13" t="n">
        <v>330127</v>
      </c>
      <c r="E15" s="14">
        <f>IF(ISERROR((C15-D15)/ABS(D15)),"",(C15-D15)/ABS(D15))</f>
        <v>-0.043353012628473284</v>
      </c>
      <c r="F15" s="11" t="inlineStr">
        <is>
          <t>PDF p.82 (印刷頁 81)</t>
        </is>
      </c>
      <c r="G15" s="11" t="inlineStr">
        <is>
          <t>Inventories 存貨 22 315,815 330,127</t>
        </is>
      </c>
    </row>
    <row r="16">
      <c r="A16" s="8" t="inlineStr">
        <is>
          <t>Balance Sheet</t>
        </is>
      </c>
      <c r="B16" s="8" t="inlineStr">
        <is>
          <t>Trade Receivables</t>
        </is>
      </c>
      <c r="C16" s="12" t="n">
        <v>620811</v>
      </c>
      <c r="D16" s="13" t="n">
        <v>592404</v>
      </c>
      <c r="E16" s="14">
        <f>IF(ISERROR((C16-D16)/ABS(D16)),"",(C16-D16)/ABS(D16))</f>
        <v>0.047952073247310954</v>
      </c>
      <c r="F16" s="11" t="inlineStr">
        <is>
          <t>PDF p.82 (印刷頁 81)</t>
        </is>
      </c>
      <c r="G16" s="11" t="inlineStr">
        <is>
          <t>Trade receivables 應收貿易賬款 23 620,811 592,404</t>
        </is>
      </c>
    </row>
    <row r="17">
      <c r="A17" s="8" t="inlineStr">
        <is>
          <t>Balance Sheet</t>
        </is>
      </c>
      <c r="B17" s="8" t="inlineStr">
        <is>
          <t>Cash and Equivalents</t>
        </is>
      </c>
      <c r="C17" s="12" t="n">
        <v>663357</v>
      </c>
      <c r="D17" s="13" t="n">
        <v>631977</v>
      </c>
      <c r="E17" s="14">
        <f>IF(ISERROR((C17-D17)/ABS(D17)),"",(C17-D17)/ABS(D17))</f>
        <v>0.049653705751949835</v>
      </c>
      <c r="F17" s="11" t="inlineStr">
        <is>
          <t>PDF p.82 (印刷頁 81)</t>
        </is>
      </c>
      <c r="G17" s="11" t="inlineStr">
        <is>
          <t>Cash and cash equivalents 現金及現金等值項目 26 663,357 631,977</t>
        </is>
      </c>
    </row>
    <row r="18">
      <c r="A18" s="8" t="inlineStr">
        <is>
          <t>Balance Sheet</t>
        </is>
      </c>
      <c r="B18" s="8" t="inlineStr">
        <is>
          <t>Total Current Assets</t>
        </is>
      </c>
      <c r="C18" s="12" t="n">
        <v>1871265</v>
      </c>
      <c r="D18" s="13" t="n">
        <v>1800258</v>
      </c>
      <c r="E18" s="14">
        <f>IF(ISERROR((C18-D18)/ABS(D18)),"",(C18-D18)/ABS(D18))</f>
        <v>0.039442679882550166</v>
      </c>
      <c r="F18" s="11" t="inlineStr">
        <is>
          <t>PDF p.82 (印刷頁 81)</t>
        </is>
      </c>
      <c r="G18" s="11" t="inlineStr">
        <is>
          <t>Total current assets 流動資產總值 1,871,265 1,800,258</t>
        </is>
      </c>
    </row>
    <row r="19">
      <c r="A19" s="8" t="inlineStr">
        <is>
          <t>Balance Sheet</t>
        </is>
      </c>
      <c r="B19" s="8" t="inlineStr">
        <is>
          <t>Total Current Liabilities</t>
        </is>
      </c>
      <c r="C19" s="12" t="n">
        <v>1593521</v>
      </c>
      <c r="D19" s="13" t="n">
        <v>1558899</v>
      </c>
      <c r="E19" s="14">
        <f>IF(ISERROR((C19-D19)/ABS(D19)),"",(C19-D19)/ABS(D19))</f>
        <v>0.022209264359012354</v>
      </c>
      <c r="F19" s="11" t="inlineStr">
        <is>
          <t>PDF p.82 (印刷頁 81)</t>
        </is>
      </c>
      <c r="G19" s="11" t="inlineStr">
        <is>
          <t>Total current liabilities 流動負債總值 1,593,521 1,558,899</t>
        </is>
      </c>
    </row>
    <row r="20">
      <c r="A20" s="8" t="inlineStr">
        <is>
          <t>Balance Sheet</t>
        </is>
      </c>
      <c r="B20" s="8" t="inlineStr">
        <is>
          <t>Total Equity</t>
        </is>
      </c>
      <c r="C20" s="12" t="n">
        <v>1231069</v>
      </c>
      <c r="D20" s="13" t="n">
        <v>1219871</v>
      </c>
      <c r="E20" s="14">
        <f>IF(ISERROR((C20-D20)/ABS(D20)),"",(C20-D20)/ABS(D20))</f>
        <v>0.009179659160681744</v>
      </c>
      <c r="F20" s="11" t="inlineStr">
        <is>
          <t>PDF p.83 (印刷頁 82)</t>
        </is>
      </c>
      <c r="G20" s="11" t="inlineStr">
        <is>
          <t>Total equity 權益總值 1,231,069 1,219,871</t>
        </is>
      </c>
    </row>
    <row r="21">
      <c r="A21" s="8" t="inlineStr">
        <is>
          <t>Cash Flow</t>
        </is>
      </c>
      <c r="B21" s="8" t="inlineStr">
        <is>
          <t>Operating Cash Flow</t>
        </is>
      </c>
      <c r="C21" s="12" t="n">
        <v>237062</v>
      </c>
      <c r="D21" s="13" t="n">
        <v>168908</v>
      </c>
      <c r="E21" s="14">
        <f>IF(ISERROR((C21-D21)/ABS(D21)),"",(C21-D21)/ABS(D21))</f>
        <v>0.4034977620953418</v>
      </c>
      <c r="F21" s="11" t="inlineStr">
        <is>
          <t>PDF p.87 (印刷頁 86)</t>
        </is>
      </c>
      <c r="G21" s="11" t="inlineStr">
        <is>
          <t>Net cash flows from operating activities 經營業務之現金流入淨額 237,062 168,908</t>
        </is>
      </c>
    </row>
    <row r="22">
      <c r="A22" s="8" t="inlineStr">
        <is>
          <t>Cash Flow</t>
        </is>
      </c>
      <c r="B22" s="8" t="inlineStr">
        <is>
          <t>Investing Cash Flow</t>
        </is>
      </c>
      <c r="C22" s="12" t="n">
        <v>-28738</v>
      </c>
      <c r="D22" s="13" t="n">
        <v>-277653</v>
      </c>
      <c r="E22" s="14">
        <f>IF(ISERROR((C22-D22)/ABS(D22)),"",(C22-D22)/ABS(D22))</f>
        <v>0.8964967063204792</v>
      </c>
      <c r="F22" s="11" t="inlineStr">
        <is>
          <t>PDF p.87 (印刷頁 86)</t>
        </is>
      </c>
      <c r="G22" s="11" t="inlineStr">
        <is>
          <t>Net cash flows used in investing activities 投資業務之現金流出淨額 (28,738) (277,653)</t>
        </is>
      </c>
    </row>
    <row r="24">
      <c r="A24"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f>IF(ISERROR(INDEX('Financials 財務數據'!$C$5:$C$22,MATCH("Gross Profit",'Financials 財務數據'!$B$5:$B$22,0))/INDEX('Financials 財務數據'!$C$5:$C$22,MATCH("Revenue",'Financials 財務數據'!$B$5:$B$22,0))),"n/a",INDEX('Financials 財務數據'!$C$5:$C$22,MATCH("Gross Profit",'Financials 財務數據'!$B$5:$B$22,0))/INDEX('Financials 財務數據'!$C$5:$C$22,MATCH("Revenue",'Financials 財務數據'!$B$5:$B$22,0)))</f>
        <v>0.23024559376829223</v>
      </c>
      <c r="C5" s="15">
        <f>IF(ISERROR(INDEX('Financials 財務數據'!$D$5:$D$22,MATCH("Gross Profit",'Financials 財務數據'!$B$5:$B$22,0))/INDEX('Financials 財務數據'!$D$5:$D$22,MATCH("Revenue",'Financials 財務數據'!$B$5:$B$22,0))),"n/a",INDEX('Financials 財務數據'!$D$5:$D$22,MATCH("Gross Profit",'Financials 財務數據'!$B$5:$B$22,0))/INDEX('Financials 財務數據'!$D$5:$D$22,MATCH("Revenue",'Financials 財務數據'!$B$5:$B$22,0)))</f>
        <v>0.23949901556287792</v>
      </c>
      <c r="D5" s="2" t="inlineStr">
        <is>
          <t>毛利 ÷ 收入</t>
        </is>
      </c>
    </row>
    <row r="6">
      <c r="A6" s="4" t="inlineStr">
        <is>
          <t>Net Margin 淨利率</t>
        </is>
      </c>
      <c r="B6" s="15">
        <f>IF(ISERROR(INDEX('Financials 財務數據'!$C$5:$C$22,MATCH("Profit for the Year",'Financials 財務數據'!$B$5:$B$22,0))/INDEX('Financials 財務數據'!$C$5:$C$22,MATCH("Revenue",'Financials 財務數據'!$B$5:$B$22,0))),"n/a",INDEX('Financials 財務數據'!$C$5:$C$22,MATCH("Profit for the Year",'Financials 財務數據'!$B$5:$B$22,0))/INDEX('Financials 財務數據'!$C$5:$C$22,MATCH("Revenue",'Financials 財務數據'!$B$5:$B$22,0)))</f>
        <v>0.003807856211416836</v>
      </c>
      <c r="C6" s="15">
        <f>IF(ISERROR(INDEX('Financials 財務數據'!$D$5:$D$22,MATCH("Profit for the Year",'Financials 財務數據'!$B$5:$B$22,0))/INDEX('Financials 財務數據'!$D$5:$D$22,MATCH("Revenue",'Financials 財務數據'!$B$5:$B$22,0))),"n/a",INDEX('Financials 財務數據'!$D$5:$D$22,MATCH("Profit for the Year",'Financials 財務數據'!$B$5:$B$22,0))/INDEX('Financials 財務數據'!$D$5:$D$22,MATCH("Revenue",'Financials 財務數據'!$B$5:$B$22,0)))</f>
        <v>0.002424269505729264</v>
      </c>
      <c r="D6" s="2" t="inlineStr">
        <is>
          <t>年內溢利 ÷ 收入</t>
        </is>
      </c>
    </row>
    <row r="7">
      <c r="A7" s="4" t="inlineStr">
        <is>
          <t>Current Ratio 流動比率</t>
        </is>
      </c>
      <c r="B7" s="16">
        <f>IF(ISERROR(INDEX('Financials 財務數據'!$C$5:$C$22,MATCH("Total Current Assets",'Financials 財務數據'!$B$5:$B$22,0))/INDEX('Financials 財務數據'!$C$5:$C$22,MATCH("Total Current Liabilities",'Financials 財務數據'!$B$5:$B$22,0))),"n/a",INDEX('Financials 財務數據'!$C$5:$C$22,MATCH("Total Current Assets",'Financials 財務數據'!$B$5:$B$22,0))/INDEX('Financials 財務數據'!$C$5:$C$22,MATCH("Total Current Liabilities",'Financials 財務數據'!$B$5:$B$22,0)))</f>
        <v>1.174295789010625</v>
      </c>
      <c r="C7" s="16">
        <f>IF(ISERROR(INDEX('Financials 財務數據'!$D$5:$D$22,MATCH("Total Current Assets",'Financials 財務數據'!$B$5:$B$22,0))/INDEX('Financials 財務數據'!$D$5:$D$22,MATCH("Total Current Liabilities",'Financials 財務數據'!$B$5:$B$22,0))),"n/a",INDEX('Financials 財務數據'!$D$5:$D$22,MATCH("Total Current Assets",'Financials 財務數據'!$B$5:$B$22,0))/INDEX('Financials 財務數據'!$D$5:$D$22,MATCH("Total Current Liabilities",'Financials 財務數據'!$B$5:$B$22,0)))</f>
        <v>1.154826579528244</v>
      </c>
      <c r="D7" s="2" t="inlineStr">
        <is>
          <t>流動資產 ÷ 流動負債</t>
        </is>
      </c>
    </row>
    <row r="8">
      <c r="A8" s="4" t="inlineStr">
        <is>
          <t>Debt / Equity 負債權益比</t>
        </is>
      </c>
      <c r="B8" s="16" t="str">
        <f>IF(ISERROR(INDEX('Financials 財務數據'!$C$5:$C$22,MATCH("Total Liabilities",'Financials 財務數據'!$B$5:$B$22,0))/INDEX('Financials 財務數據'!$C$5:$C$22,MATCH("Total Equity",'Financials 財務數據'!$B$5:$B$22,0))),"n/a",INDEX('Financials 財務數據'!$C$5:$C$22,MATCH("Total Liabilities",'Financials 財務數據'!$B$5:$B$22,0))/INDEX('Financials 財務數據'!$C$5:$C$22,MATCH("Total Equity",'Financials 財務數據'!$B$5:$B$22,0)))</f>
        <v>n/a</v>
      </c>
      <c r="C8" s="16" t="str">
        <f>IF(ISERROR(INDEX('Financials 財務數據'!$D$5:$D$22,MATCH("Total Liabilities",'Financials 財務數據'!$B$5:$B$22,0))/INDEX('Financials 財務數據'!$D$5:$D$22,MATCH("Total Equity",'Financials 財務數據'!$B$5:$B$22,0))),"n/a",INDEX('Financials 財務數據'!$D$5:$D$22,MATCH("Total Liabilities",'Financials 財務數據'!$B$5:$B$22,0))/INDEX('Financials 財務數據'!$D$5:$D$22,MATCH("Total Equity",'Financials 財務數據'!$B$5:$B$22,0)))</f>
        <v>n/a</v>
      </c>
      <c r="D8" s="2" t="inlineStr">
        <is>
          <t>總負債 ÷ 總權益</t>
        </is>
      </c>
    </row>
    <row r="9">
      <c r="A9" s="4" t="inlineStr">
        <is>
          <t>Goodwill / Total Assets</t>
        </is>
      </c>
      <c r="B9" s="15" t="str">
        <f>IF(ISERROR(INDEX('Financials 財務數據'!$C$5:$C$22,MATCH("Goodwill",'Financials 財務數據'!$B$5:$B$22,0))/INDEX('Financials 財務數據'!$C$5:$C$22,MATCH("Total Assets",'Financials 財務數據'!$B$5:$B$22,0))),"n/a",INDEX('Financials 財務數據'!$C$5:$C$22,MATCH("Goodwill",'Financials 財務數據'!$B$5:$B$22,0))/INDEX('Financials 財務數據'!$C$5:$C$22,MATCH("Total Assets",'Financials 財務數據'!$B$5:$B$22,0)))</f>
        <v>n/a</v>
      </c>
      <c r="C9" s="15" t="str">
        <f>IF(ISERROR(INDEX('Financials 財務數據'!$D$5:$D$22,MATCH("Goodwill",'Financials 財務數據'!$B$5:$B$22,0))/INDEX('Financials 財務數據'!$D$5:$D$22,MATCH("Total Assets",'Financials 財務數據'!$B$5:$B$22,0))),"n/a",INDEX('Financials 財務數據'!$D$5:$D$22,MATCH("Goodwill",'Financials 財務數據'!$B$5:$B$22,0))/INDEX('Financials 財務數據'!$D$5:$D$22,MATCH("Total Assets",'Financials 財務數據'!$B$5:$B$22,0)))</f>
        <v>n/a</v>
      </c>
      <c r="D9" s="2" t="inlineStr">
        <is>
          <t>商譽佔總資產比重 — 減值風險指標</t>
        </is>
      </c>
    </row>
    <row r="10">
      <c r="A10" s="4" t="inlineStr">
        <is>
          <t>Intangibles / Total Assets</t>
        </is>
      </c>
      <c r="B10" s="15" t="str">
        <f>IF(ISERROR(INDEX('Financials 財務數據'!$C$5:$C$22,MATCH("Intangible Assets",'Financials 財務數據'!$B$5:$B$22,0))/INDEX('Financials 財務數據'!$C$5:$C$22,MATCH("Total Assets",'Financials 財務數據'!$B$5:$B$22,0))),"n/a",INDEX('Financials 財務數據'!$C$5:$C$22,MATCH("Intangible Assets",'Financials 財務數據'!$B$5:$B$22,0))/INDEX('Financials 財務數據'!$C$5:$C$22,MATCH("Total Assets",'Financials 財務數據'!$B$5:$B$22,0)))</f>
        <v>n/a</v>
      </c>
      <c r="C10" s="15" t="str">
        <f>IF(ISERROR(INDEX('Financials 財務數據'!$D$5:$D$22,MATCH("Intangible Assets",'Financials 財務數據'!$B$5:$B$22,0))/INDEX('Financials 財務數據'!$D$5:$D$22,MATCH("Total Assets",'Financials 財務數據'!$B$5:$B$22,0))),"n/a",INDEX('Financials 財務數據'!$D$5:$D$22,MATCH("Intangible Assets",'Financials 財務數據'!$B$5:$B$22,0))/INDEX('Financials 財務數據'!$D$5:$D$22,MATCH("Total Assets",'Financials 財務數據'!$B$5:$B$22,0)))</f>
        <v>n/a</v>
      </c>
      <c r="D10" s="2" t="inlineStr">
        <is>
          <t>無形資產佔比</t>
        </is>
      </c>
    </row>
    <row r="11">
      <c r="A11" s="4" t="inlineStr">
        <is>
          <t>ROE 股本回報率</t>
        </is>
      </c>
      <c r="B11" s="15">
        <f>IF(ISERROR(INDEX('Financials 財務數據'!$C$5:$C$22,MATCH("Profit for the Year",'Financials 財務數據'!$B$5:$B$22,0))/INDEX('Financials 財務數據'!$C$5:$C$22,MATCH("Total Equity",'Financials 財務數據'!$B$5:$B$22,0))),"n/a",INDEX('Financials 財務數據'!$C$5:$C$22,MATCH("Profit for the Year",'Financials 財務數據'!$B$5:$B$22,0))/INDEX('Financials 財務數據'!$C$5:$C$22,MATCH("Total Equity",'Financials 財務數據'!$B$5:$B$22,0)))</f>
        <v>0.011577742596068944</v>
      </c>
      <c r="C11" s="15">
        <f>IF(ISERROR(INDEX('Financials 財務數據'!$D$5:$D$22,MATCH("Profit for the Year",'Financials 財務數據'!$B$5:$B$22,0))/INDEX('Financials 財務數據'!$D$5:$D$22,MATCH("Total Equity",'Financials 財務數據'!$B$5:$B$22,0))),"n/a",INDEX('Financials 財務數據'!$D$5:$D$22,MATCH("Profit for the Year",'Financials 財務數據'!$B$5:$B$22,0))/INDEX('Financials 財務數據'!$D$5:$D$22,MATCH("Total Equity",'Financials 財務數據'!$B$5:$B$22,0)))</f>
        <v>0.007204860186036065</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row r="5">
      <c r="A5" s="4" t="inlineStr">
        <is>
          <t>Revenue</t>
        </is>
      </c>
      <c r="B5" s="18" t="n">
        <v>3625422</v>
      </c>
      <c r="C5" s="18" t="n">
        <v>3743051</v>
      </c>
    </row>
    <row r="6">
      <c r="A6" s="4" t="inlineStr">
        <is>
          <t>Gross Profit</t>
        </is>
      </c>
      <c r="B6" s="18" t="n">
        <v>868285</v>
      </c>
      <c r="C6" s="18" t="n">
        <v>861821</v>
      </c>
    </row>
    <row r="7">
      <c r="A7" s="4" t="inlineStr">
        <is>
          <t>Profit Before Tax</t>
        </is>
      </c>
      <c r="B7" s="18" t="n">
        <v>24450</v>
      </c>
      <c r="C7" s="18" t="n">
        <v>33622</v>
      </c>
    </row>
    <row r="8">
      <c r="A8" s="4" t="inlineStr">
        <is>
          <t>Profit for the Year</t>
        </is>
      </c>
      <c r="B8" s="18" t="n">
        <v>8789</v>
      </c>
      <c r="C8" s="18" t="n">
        <v>14253</v>
      </c>
    </row>
    <row r="9">
      <c r="A9" s="4" t="inlineStr">
        <is>
          <t>Total Equity</t>
        </is>
      </c>
      <c r="B9" s="18" t="n">
        <v>1219871</v>
      </c>
      <c r="C9" s="18" t="n">
        <v>1231069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105"/>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9" t="inlineStr">
        <is>
          <t>high</t>
        </is>
      </c>
      <c r="D4" s="11" t="inlineStr">
        <is>
          <t>公允價值</t>
        </is>
      </c>
      <c r="E4" s="11" t="inlineStr">
        <is>
          <t>PDF p.101 (印刷頁 100)</t>
        </is>
      </c>
      <c r="F4" s="11" t="inlineStr">
        <is>
          <t>res. Moreover, the amendments clarify the 資產和合同關聯工具的分類要求。這些修訂還 requirements for classifying financial assets with non-recourse 包括對指定以公允價值計量且其變動計入其他 features and contractually linked instruments. The amendments 綜合收益的權益工具投資以及具有條件特徵的 also include additional disclosures for investments in equity 金融工具的額外披露要求。這些修訂應追溯應 instruments designated at fair value through other comprehensive 用，並在首次應用日期對期初留存收益（或權 income and financial instruments with contingent features. The 益的其他組成部分）進行調整。不要求重述前 amendments shall be applied retrospectively with</t>
        </is>
      </c>
    </row>
    <row r="5">
      <c r="A5" s="8" t="inlineStr">
        <is>
          <t>Fair Value Measurement</t>
        </is>
      </c>
      <c r="B5" s="8" t="inlineStr">
        <is>
          <t>公允價值計量</t>
        </is>
      </c>
      <c r="C5" s="19" t="inlineStr">
        <is>
          <t>high</t>
        </is>
      </c>
      <c r="D5" s="11" t="inlineStr">
        <is>
          <t>fair value hierarchy</t>
        </is>
      </c>
      <c r="E5" s="11" t="inlineStr">
        <is>
          <t>PDF p.108 (印刷頁 107)</t>
        </is>
      </c>
      <c r="F5" s="11" t="inlineStr">
        <is>
          <t>fair value is measured or 所有於本財務報表中計量或披露公平值之資產 disclosed in the financial statements are categorised within the 及負債，乃按對整體公平值計量具重大影響之 fair value hierarchy, described as follows, based on the lowest 最低層輸入值分類至下述之公平值等級： level input that is significant to the fair value measurement as a whole: Level 1 – based on quoted prices (unadjusted) in active 第一層 – 基於相同資產或負債於活躍市場之 markets for identical assets or liabilities 報價（未經調整） Level 2 – based on valuation techniques for which the lowest 第二層 – 按估值技術計量，而該技術採用對 level input that is significa</t>
        </is>
      </c>
    </row>
    <row r="6">
      <c r="A6" s="8" t="inlineStr">
        <is>
          <t>Fair Value Measurement</t>
        </is>
      </c>
      <c r="B6" s="8" t="inlineStr">
        <is>
          <t>公允價值計量</t>
        </is>
      </c>
      <c r="C6" s="19" t="inlineStr">
        <is>
          <t>high</t>
        </is>
      </c>
      <c r="D6" s="11" t="inlineStr">
        <is>
          <t>fair value hierarchy</t>
        </is>
      </c>
      <c r="E6" s="11" t="inlineStr">
        <is>
          <t>PDF p.159 (印刷頁 158)</t>
        </is>
      </c>
      <c r="F6" s="11" t="inlineStr">
        <is>
          <t>Notes to Financial Statements 財務報表附註 Year ended 31 March 2026 截至二零二六年三月三十一日止年度 16. INVESTMENT PROPERTIES (continued) 16. 投資物業（續） Fair value hierarchy 公平值架構 The following table illustrates the fair value measurement 下表說明本集團投資物業之公平值計量架構： hierarchy of the Group’s investment properties: Fair value measurement as at 31 March 2026 using 於二零二六年三月三十一日之公平值計量採用 Quoted prices Significant Significant in active observable unobservable markets inputs inputs (Level 1) (Level 2) (Level 3) Total 活躍 重大可觀察 重大不可觀察 市場報價 的輸入值 的輸入值 （第一層） （第二層） （第</t>
        </is>
      </c>
    </row>
    <row r="7">
      <c r="A7" s="8" t="inlineStr">
        <is>
          <t>Fair Value Measurement</t>
        </is>
      </c>
      <c r="B7" s="8" t="inlineStr">
        <is>
          <t>公允價值計量</t>
        </is>
      </c>
      <c r="C7" s="19" t="inlineStr">
        <is>
          <t>high</t>
        </is>
      </c>
      <c r="D7" s="11" t="inlineStr">
        <is>
          <t>fair value hierarchy</t>
        </is>
      </c>
      <c r="E7" s="11" t="inlineStr">
        <is>
          <t>PDF p.160 (印刷頁 159)</t>
        </is>
      </c>
      <c r="F7" s="11" t="inlineStr">
        <is>
          <t>Notes to Financial Statements 財務報表附註 Year ended 31 March 2026 截至二零二六年三月三十一日止年度 16. INVESTMENT PROPERTIES (continued) 16. 投資物業（續） Fair value hierarchy (continued) 公平值架構（續） Reconciliation of fair value measurements categorised within 分類至公平值架構第三層的公平值計量對賬： Level 3 of the fair value hierarchy: Residential Industrial property properties 住宅物業 工業物業 HK$’000 HK$’000 港幣千元 港幣千元 Carrying amount at 1 April 2024 於二零二四年四月一日之賬面值 8,582 25,863 Net loss from fair value adjustments 於損益確認之公平值調整虧損淨額 recognised in profit or loss – (483) Exchange r</t>
        </is>
      </c>
    </row>
    <row r="8">
      <c r="A8" s="8" t="inlineStr">
        <is>
          <t>Fair Value Measurement</t>
        </is>
      </c>
      <c r="B8" s="8" t="inlineStr">
        <is>
          <t>公允價值計量</t>
        </is>
      </c>
      <c r="C8" s="19" t="inlineStr">
        <is>
          <t>high</t>
        </is>
      </c>
      <c r="D8" s="11" t="inlineStr">
        <is>
          <t>fair value hierarchy</t>
        </is>
      </c>
      <c r="E8" s="11" t="inlineStr">
        <is>
          <t>PDF p.161 (印刷頁 160)</t>
        </is>
      </c>
      <c r="F8" s="11" t="inlineStr">
        <is>
          <t>Notes to Financial Statements 財務報表附註 Year ended 31 March 2026 截至二零二六年三月三十一日止年度 16. INVESTMENT PROPERTIES (continued) 16. 投資物業（續） Fair value hierarchy (continued) 公平值架構（續） Below is a summary of the valuation techniques used and the key 下列為投資物業估值所使用的估值技術及主要 inputs to the valuation of the investment properties: 輸入值的概要： Valuation technique Significant unobservable inputs Range or weighted average 估值技術 重大不可觀察的輸入值 範圍或加權平均數 2026 2025 二零二六年 二零二五年 Residential property Discounted cash flow Monthly rental value JPY2,285- JPY2,179- In</t>
        </is>
      </c>
    </row>
    <row r="9">
      <c r="A9" s="8" t="inlineStr">
        <is>
          <t>Fair Value Measurement</t>
        </is>
      </c>
      <c r="B9" s="8" t="inlineStr">
        <is>
          <t>公允價值計量</t>
        </is>
      </c>
      <c r="C9" s="19" t="inlineStr">
        <is>
          <t>high</t>
        </is>
      </c>
      <c r="D9" s="11" t="inlineStr">
        <is>
          <t>fair value hierarchy</t>
        </is>
      </c>
      <c r="E9" s="11" t="inlineStr">
        <is>
          <t>PDF p.162 (印刷頁 161)</t>
        </is>
      </c>
      <c r="F9" s="11" t="inlineStr">
        <is>
          <t>Notes to Financial Statements 財務報表附註 Year ended 31 March 2026 截至二零二六年三月三十一日止年度 16. INVESTMENT PROPERTIES (continued) 16. 投資物業（續） Fair value hierarchy (continued) 公平值架構（續） The Group has determined that the current use of the industrial 本集團已確定該項工業物業目前之用途為計量 properties is the highest and best use at the measurement date. 日期之最高及最佳用途。 Under the cost method, a property’s fair value is estimated based 根據成本法，物業之公平值乃根據目前替換資 on the amount that would be required currently to replace the 產服務能力所需的金額估計。 service capacity of an asset. A si</t>
        </is>
      </c>
    </row>
    <row r="10">
      <c r="A10" s="8" t="inlineStr">
        <is>
          <t>Fair Value Measurement</t>
        </is>
      </c>
      <c r="B10" s="8" t="inlineStr">
        <is>
          <t>公允價值計量</t>
        </is>
      </c>
      <c r="C10" s="19" t="inlineStr">
        <is>
          <t>high</t>
        </is>
      </c>
      <c r="D10" s="11" t="inlineStr">
        <is>
          <t>fair value hierarchy</t>
        </is>
      </c>
      <c r="E10" s="11" t="inlineStr">
        <is>
          <t>PDF p.197 (印刷頁 196)</t>
        </is>
      </c>
      <c r="F10" s="11" t="inlineStr">
        <is>
          <t>financial 本集團分類為按公平值透過損益入賬之金融資 assets at fair value through profit or loss is categorised within 產的保險費用屬於公平值層級第三層，乃基於 Level 3 of the fair value hierarchy which is measured based on 重大不可觀察輸入數據計量，並基於保單退保 significant unobservable inputs and has been estimated based 價值計算。保險費用之公平值主要受其退保價 on the surrender value of the insurance. The fair value of the 值所影響，因為董事預計保險風險等其他不可 insurance premium is mainly affected by its surrender value as 觀察輸入數據不會對保險費用之公平值產生 the directors expected the other unobservable inputs such as 重大影響。保險費用的退保價值自保險公司獲</t>
        </is>
      </c>
    </row>
    <row r="11">
      <c r="A11" s="8" t="inlineStr">
        <is>
          <t>Fair Value Measurement</t>
        </is>
      </c>
      <c r="B11" s="8" t="inlineStr">
        <is>
          <t>公允價值計量</t>
        </is>
      </c>
      <c r="C11" s="19" t="inlineStr">
        <is>
          <t>high</t>
        </is>
      </c>
      <c r="D11" s="11" t="inlineStr">
        <is>
          <t>unobservable input</t>
        </is>
      </c>
      <c r="E11" s="11" t="inlineStr">
        <is>
          <t>PDF p.198 (印刷頁 197)</t>
        </is>
      </c>
      <c r="F11" s="11" t="inlineStr">
        <is>
          <t>7. FAIR VALUE AND FAIR VALUE 37. 金融工具之公平值及公平值架構 HIERARCHY OF FINANCIAL （續） INSTRUMENTS (continued) Below is a summary of significant unobservable inputs to the 以下為於三月三十一日對金融工具估值之重大 valuation of financial instruments together with a quantitative 不可觀察輸入值連同定量敏感度分析之概要： sensitivity analysis as at 31 March: Valuation Significant Sensitivity of fair value technique unobservable input Value to the input 估值技術 重大不可觀察輸入值 價值 公平值對輸入值之敏感度 Unlisted equity Discounted cash Discount rate 2026: 14.4% 5% increase in discount rate will result in in</t>
        </is>
      </c>
    </row>
    <row r="12">
      <c r="A12" s="8" t="inlineStr">
        <is>
          <t>Fair Value Measurement</t>
        </is>
      </c>
      <c r="B12" s="8" t="inlineStr">
        <is>
          <t>公允價值計量</t>
        </is>
      </c>
      <c r="C12" s="19" t="inlineStr">
        <is>
          <t>high</t>
        </is>
      </c>
      <c r="D12" s="11" t="inlineStr">
        <is>
          <t>fair value hierarchy</t>
        </is>
      </c>
      <c r="E12" s="11" t="inlineStr">
        <is>
          <t>PDF p.199 (印刷頁 198)</t>
        </is>
      </c>
      <c r="F12" s="11" t="inlineStr">
        <is>
          <t>d 31 March 2026 截至二零二六年三月三十一日止年度 37. FAIR VALUE AND FAIR VALUE 37. 金融工具之公平值及公平值架構 HIERARCHY OF FINANCIAL （續） INSTRUMENTS (continued) Fair value hierarchy 公平值架構 The following tables illustrate the fair value measurement 下表顯示本集團金融工具的公平值計量架構： hierarchy of the Group’s financial instruments: Assets measured at fair value: 按公平值計量的資產： As at 31 March 2026 於二零二六年三月三十一日 Fair value measurement as at 31 March 2026 using 於二零二六年三月三十一日之公平值計量採用 Quoted prices in Significant Significant active observable unobservable markets inputs inputs (Level</t>
        </is>
      </c>
    </row>
    <row r="13">
      <c r="A13" s="8" t="inlineStr">
        <is>
          <t>Fair Value Measurement</t>
        </is>
      </c>
      <c r="B13" s="8" t="inlineStr">
        <is>
          <t>公允價值計量</t>
        </is>
      </c>
      <c r="C13" s="19" t="inlineStr">
        <is>
          <t>high</t>
        </is>
      </c>
      <c r="D13" s="11" t="inlineStr">
        <is>
          <t>fair value hierarchy</t>
        </is>
      </c>
      <c r="E13" s="11" t="inlineStr">
        <is>
          <t>PDF p.200 (印刷頁 199)</t>
        </is>
      </c>
      <c r="F13" s="11" t="inlineStr">
        <is>
          <t>d 31 March 2026 截至二零二六年三月三十一日止年度 37. FAIR VALUE AND FAIR VALUE 37. 金融工具之公平值及公平值架構 HIERARCHY OF FINANCIAL （續） INSTRUMENTS (continued) Fair value hierarchy (continued) 公平值架構（續） As at 31 March 2025 於二零二五年三月三十一日 Fair value measurement as at 31 March 2025 using 於二零二五年三月三十一日之公平值計量採用 Quoted prices in Significant Significant active observable unobservable markets inputs inputs (Level 1) (Level 2) (Level 3) Total 活躍 重大可 重大不可 市場報價 觀察輸入值 觀察輸入值 （第一層） （第二層） （第三層） 總計 HK$’000 HK$’000 HK$’000 HK$’000 港幣千元 港幣千元 港幣千元 港幣千元 Financial assets at fai</t>
        </is>
      </c>
    </row>
    <row r="14">
      <c r="A14" s="8" t="inlineStr">
        <is>
          <t>Fair Value Measurement</t>
        </is>
      </c>
      <c r="B14" s="8" t="inlineStr">
        <is>
          <t>公允價值計量</t>
        </is>
      </c>
      <c r="C14" s="19" t="inlineStr">
        <is>
          <t>high</t>
        </is>
      </c>
      <c r="D14" s="11" t="inlineStr">
        <is>
          <t>fair value hierarchy</t>
        </is>
      </c>
      <c r="E14" s="11" t="inlineStr">
        <is>
          <t>PDF p.201 (印刷頁 200)</t>
        </is>
      </c>
      <c r="F14" s="11" t="inlineStr">
        <is>
          <t>d 31 March 2026 截至二零二六年三月三十一日止年度 37. FAIR VALUE AND FAIR VALUE 37. 金融工具之公平值及公平值架構 HIERARCHY OF FINANCIAL （續） INSTRUMENTS (continued) Fair value hierarchy (continued) 公平值架構（續） Reconciliation of financial assets carried at fair value based on 根據重大不可觀察輸入值（第三層）對按公平值 significant unobservable inputs (Level 3) are as follows: 入賬之金融資產之對賬載列如下： Equity investment at fair value Equity investment through other at fair value comprehensive through income profit or loss 按公平值透過 按公平值透過 其他全面收益 損益入賬之 入賬之權益投資 權益投資 HK$’000 HK$’000 港幣千元 港幣千元 At 1 Apr</t>
        </is>
      </c>
    </row>
    <row r="15">
      <c r="A15" s="8" t="inlineStr">
        <is>
          <t>Impairment Testing</t>
        </is>
      </c>
      <c r="B15" s="8" t="inlineStr">
        <is>
          <t>減值測試</t>
        </is>
      </c>
      <c r="C15" s="19" t="inlineStr">
        <is>
          <t>high</t>
        </is>
      </c>
      <c r="D15" s="11" t="inlineStr">
        <is>
          <t>impairment test</t>
        </is>
      </c>
      <c r="E15" s="11" t="inlineStr">
        <is>
          <t>PDF p.73 (印刷頁 72)</t>
        </is>
      </c>
      <c r="F15" s="11" t="inlineStr">
        <is>
          <t>of HK$859,411,000, including right-of-use assets of HK$386,387,000. property, plant and equipment: The Group is required to perform impairment test for goodwill at 我們已就商譽、無形資產以及物業、廠房及設備減 least on an annual basis, and intangible assets and property, plant and 值進行下列程序： equipment where an indicator of impairment of these assets exists. The impairment test is based on the recoverable amounts of cash- • evaluating management’s impairment assessments generating units to which the goodwill, intangible assets and property, based on th</t>
        </is>
      </c>
    </row>
    <row r="16">
      <c r="A16" s="8" t="inlineStr">
        <is>
          <t>Impairment Testing</t>
        </is>
      </c>
      <c r="B16" s="8" t="inlineStr">
        <is>
          <t>減值測試</t>
        </is>
      </c>
      <c r="C16" s="19" t="inlineStr">
        <is>
          <t>high</t>
        </is>
      </c>
      <c r="D16" s="11" t="inlineStr">
        <is>
          <t>impairment test</t>
        </is>
      </c>
      <c r="E16" s="11" t="inlineStr">
        <is>
          <t>PDF p.74 (印刷頁 73)</t>
        </is>
      </c>
      <c r="F16" s="11" t="inlineStr">
        <is>
          <t>的 Impairment of goodwill, intangible assets and property, plant and equipment (continued) 商譽、無形資產以及物業、廠房及設備減值（續） When performing the impairment tests, management determined the • examining management’s methodology in the recoverable amounts of the relevant cash-generating units as at 31 determination of the recoverable amounts based March 2026 based on the higher of fair value less cost of disposal on higher of fair value less cost of disposal and value-in-use calculations using the discounted cash flow method. and discounted c</t>
        </is>
      </c>
    </row>
    <row r="17">
      <c r="A17" s="8" t="inlineStr">
        <is>
          <t>Impairment Testing</t>
        </is>
      </c>
      <c r="B17" s="8" t="inlineStr">
        <is>
          <t>減值測試</t>
        </is>
      </c>
      <c r="C17" s="19" t="inlineStr">
        <is>
          <t>high</t>
        </is>
      </c>
      <c r="D17" s="11" t="inlineStr">
        <is>
          <t>impairment loss</t>
        </is>
      </c>
      <c r="E17" s="11" t="inlineStr">
        <is>
          <t>PDF p.105 (印刷頁 104)</t>
        </is>
      </c>
      <c r="F17" s="11" t="inlineStr">
        <is>
          <t>osition at 益會計法按本集團所佔資產淨值減任何減值虧 the Group’s share of net assets under the equity method of 損計入綜合財務狀況表。本集團所佔聯營公司 accounting, less any impairment losses. The Group’s share of 及合營企業收購後之業績及其他全面收益分別 the post-acquisition results and other comprehensive income 計入綜合損益表及綜合其他全面收益。此外， of associates and joint ventures is included in the consolidated 倘直接於聯營公司或合營企業之權益確認有關 statement of profit or loss and consolidated other comprehensive 變動，則本集團會視乎情況於綜合權益變動表 income, respectively. In addition, when there has been a change 確認其應佔任何變動。本集團與其聯營公司及 r</t>
        </is>
      </c>
    </row>
    <row r="18">
      <c r="A18" s="8" t="inlineStr">
        <is>
          <t>Impairment Testing</t>
        </is>
      </c>
      <c r="B18" s="8" t="inlineStr">
        <is>
          <t>減值測試</t>
        </is>
      </c>
      <c r="C18" s="19" t="inlineStr">
        <is>
          <t>high</t>
        </is>
      </c>
      <c r="D18" s="11" t="inlineStr">
        <is>
          <t>impairment test</t>
        </is>
      </c>
      <c r="E18" s="11" t="inlineStr">
        <is>
          <t>PDF p.107 (印刷頁 106)</t>
        </is>
      </c>
      <c r="F18" s="11" t="inlineStr">
        <is>
          <t>況改變顯示賬面值有可能減值時，則會 circumstances indicate that the carrying value may be impaired. 更頻密地進行檢討。本集團於三月三十一日進 The Group performs its annual impairment test of goodwill as 行商譽之年度減值測試。為進行減值測試，因 at 31 March. For the purpose of impairment testing, goodwill 業務合併而購入的商譽自購入之日被分配至預 acquired in a business combination is, from the acquisition date, 期可從合併產生的協同效益中獲益的本集團各 allocated to each of the Group’s cash-generating units, or groups 個現金產生單位或現金產生單位組別，而無論 of cash-generating units, that are expected to benefit from the 本集團其他資產或負債是否已分配予該等單位 synergi</t>
        </is>
      </c>
    </row>
    <row r="19">
      <c r="A19" s="8" t="inlineStr">
        <is>
          <t>Impairment Testing</t>
        </is>
      </c>
      <c r="B19" s="8" t="inlineStr">
        <is>
          <t>減值測試</t>
        </is>
      </c>
      <c r="C19" s="19" t="inlineStr">
        <is>
          <t>high</t>
        </is>
      </c>
      <c r="D19" s="11" t="inlineStr">
        <is>
          <t>impairment test</t>
        </is>
      </c>
      <c r="E19" s="11" t="inlineStr">
        <is>
          <t>PDF p.109 (印刷頁 108)</t>
        </is>
      </c>
      <c r="F19" s="11" t="inlineStr">
        <is>
          <t>ing period. Impairment of non-financial assets 非金融資產減值 Where an indication of impairment exists, or when annual 倘有顯示出現減值，或當需要對資產（存貨、 impairment testing for an asset is required (other than inventories, 遞延稅項資產、投資物業及分類為持作出售的 deferred tax assets, investment properties and non-current assets 非流動資產除外）作每年減值測試，則須估計 classified as held for sale), the asset’s recoverable amount is 資產之可收回價值。資產之可收回價值按資產 estimated. An asset’s recoverable amount is the higher of the 或現金產生單位之使用價值，以及其公平值減 asset’s or cash-generating unit’s value in use and its</t>
        </is>
      </c>
    </row>
    <row r="20">
      <c r="A20" s="8" t="inlineStr">
        <is>
          <t>Impairment Testing</t>
        </is>
      </c>
      <c r="B20" s="8" t="inlineStr">
        <is>
          <t>減值測試</t>
        </is>
      </c>
      <c r="C20" s="19" t="inlineStr">
        <is>
          <t>high</t>
        </is>
      </c>
      <c r="D20" s="11" t="inlineStr">
        <is>
          <t>impairment loss</t>
        </is>
      </c>
      <c r="E20" s="11" t="inlineStr">
        <is>
          <t>PDF p.111 (印刷頁 110)</t>
        </is>
      </c>
      <c r="F20" s="11" t="inlineStr">
        <is>
          <t>r than construction in 物業、廠房及設備（在建工程除外）乃按成本扣 progress, are stated at cost less accumulated depreciation and 除累計折舊及任何減值虧損列賬。倘物業、廠 any impairment losses. When an item of property, plant and 房及設備項目被分類為持作出售或倘其構成分 equipment is classified as held for sale or when it is part of a 類為持作出售出售組別的一部份時，該項目將 disposal group classified as held for sale, it is not depreciated 不作折舊並根據香港財務報告準則第5號入賬。 and is accounted for in accordance with HKFRS 5. The cost of 物業、廠房及設備項目之成本值包括其購入價 an item of property, plant and equipment comprises its purchase 及令資產</t>
        </is>
      </c>
    </row>
    <row r="21">
      <c r="A21" s="8" t="inlineStr">
        <is>
          <t>Impairment Testing</t>
        </is>
      </c>
      <c r="B21" s="8" t="inlineStr">
        <is>
          <t>減值測試</t>
        </is>
      </c>
      <c r="C21" s="19" t="inlineStr">
        <is>
          <t>high</t>
        </is>
      </c>
      <c r="D21" s="11" t="inlineStr">
        <is>
          <t>impairment loss</t>
        </is>
      </c>
      <c r="E21" s="11" t="inlineStr">
        <is>
          <t>PDF p.112 (印刷頁 111)</t>
        </is>
      </c>
      <c r="F21" s="11" t="inlineStr">
        <is>
          <t>之日期）確認。使用權資產乃按成本減 for use). Right-of-use assets are measured at cost, less any 任何累計折舊及任何減值虧損計量，並就租賃 accumulated depreciation and any impairment losses, and 負債之任何重新計量作出調整。使用權資產之 adjusted for any remeasurement of lease liabilities. The cost 成本包括已確認租賃負債金額、已產生初始直 of right-of-use assets includes the amount of lease liabilities 接成本及於開始日期或之前作出之租賃付款減 recognised, initial direct costs incurred, and lease payments made 任何已收取之租賃優惠。使用權資產於租賃期 at or before the commencement date less any lease incentives 及資產估計可使用年期（以較短者為準）內按直 received. Right-o</t>
        </is>
      </c>
    </row>
    <row r="22">
      <c r="A22" s="8" t="inlineStr">
        <is>
          <t>Impairment Testing</t>
        </is>
      </c>
      <c r="B22" s="8" t="inlineStr">
        <is>
          <t>減值測試</t>
        </is>
      </c>
      <c r="C22" s="19" t="inlineStr">
        <is>
          <t>high</t>
        </is>
      </c>
      <c r="D22" s="11" t="inlineStr">
        <is>
          <t>減值虧損</t>
        </is>
      </c>
      <c r="E22" s="11" t="inlineStr">
        <is>
          <t>PDF p.113 (印刷頁 112)</t>
        </is>
      </c>
      <c r="F22" s="11" t="inlineStr">
        <is>
          <t>east at each financial year end. Customer relationships 客戶關係 Customer relationships are stated at cost less any impairment 客戶關係按成本減任何減值虧損列賬，並以直 losses and are amortised on the straight-line basis over their 線法按以下其估計之使用年期攤銷： estimated useful lives as follows: Customer relationships 6 – 15 years 客戶關係 6至15年 Leases 租賃 The Group assesses at contract inception whether a contract is, or 本集團於合約開始時評估合約是否為或包含租 contains, a lease. A contract is, or contains, a lease if the contract 賃。倘合約為換取代價而給予在一段時間內控 conveys the right to control the use</t>
        </is>
      </c>
    </row>
    <row r="23">
      <c r="A23" s="8" t="inlineStr">
        <is>
          <t>Impairment Testing</t>
        </is>
      </c>
      <c r="B23" s="8" t="inlineStr">
        <is>
          <t>減值測試</t>
        </is>
      </c>
      <c r="C23" s="19" t="inlineStr">
        <is>
          <t>high</t>
        </is>
      </c>
      <c r="D23" s="11" t="inlineStr">
        <is>
          <t>value in use</t>
        </is>
      </c>
      <c r="E23" s="11" t="inlineStr">
        <is>
          <t>PDF p.133 (印刷頁 132)</t>
        </is>
      </c>
      <c r="F23" s="11" t="inlineStr">
        <is>
          <t>recoverable 售成本與其使用價值的較高者），則代表存在減 amounts, which is the higher of its fair value less costs of 值。公平值減出售成本根據來自類似資產的公 disposal and its value in use. The calculation of the fair values 平交易中具約束力的出售交易的可獲得數據或 less costs of disposal is based on available data from binding 可觀察市價減出售該資產的增量成本計算。當 sales transactions in an arm’s length transaction of similar assets 計算使用價值時，管理層必須估計來自該資產 or observable market prices less incremental costs for disposing 或現金產生單位的預期未來現金流量，並選擇 of the asset. When value-in-use calculations are undertaken, 合適的貼現率，以計算</t>
        </is>
      </c>
    </row>
    <row r="24">
      <c r="A24" s="8" t="inlineStr">
        <is>
          <t>Impairment Testing</t>
        </is>
      </c>
      <c r="B24" s="8" t="inlineStr">
        <is>
          <t>減值測試</t>
        </is>
      </c>
      <c r="C24" s="19" t="inlineStr">
        <is>
          <t>high</t>
        </is>
      </c>
      <c r="D24" s="11" t="inlineStr">
        <is>
          <t>impairment loss</t>
        </is>
      </c>
      <c r="E24" s="11" t="inlineStr">
        <is>
          <t>PDF p.152 (印刷頁 151)</t>
        </is>
      </c>
      <c r="F24" s="11" t="inlineStr">
        <is>
          <t>nt 於二零二六年三月三十一日，本集團管理 identified certain restaurants in Hong Kong which were 層確認香港若干餐廳於年內表現欠佳， underperformed during the year and an impairment loss of 並就自置資產作出減值虧損1,044,000港元 HK$1,044,000 (2025: HK$593,000) was made on owned （二零二五年：593,000港元）。有關詳情於 assets. Further details are disclosed in note 14(b) below. 下文附註14(b)披露。 At 31 March 2026, certain of the Group’s land and buildings 於二零二六年三月三十一日，本集團於日 in Japan with a net carrying amount of approximately 本賬面淨值約為66,276,000港元（二零二五 HK$66,276,000 (2025: HK$71,034,000) were pledged to 年：</t>
        </is>
      </c>
    </row>
    <row r="25">
      <c r="A25" s="8" t="inlineStr">
        <is>
          <t>Impairment Testing</t>
        </is>
      </c>
      <c r="B25" s="8" t="inlineStr">
        <is>
          <t>減值測試</t>
        </is>
      </c>
      <c r="C25" s="19" t="inlineStr">
        <is>
          <t>high</t>
        </is>
      </c>
      <c r="D25" s="11" t="inlineStr">
        <is>
          <t>impairment loss</t>
        </is>
      </c>
      <c r="E25" s="11" t="inlineStr">
        <is>
          <t>PDF p.154 (印刷頁 153)</t>
        </is>
      </c>
      <c r="F25" s="11" t="inlineStr">
        <is>
          <t>erable amounts based on their 收回金額。根據該等估計，已於二零二六 respective cash-generating units. Based on these estimates, 年三月三十一日確認減值虧損1,044,000港 impairment losses of HK$1,044,000, as disclosed in note 元（於上文附註14(a)披露）及475,000港元 14(a) above, and HK$475,000 were recognised to write 以分別將自置資產及使用權資產之賬面值 down the carrying amounts of owned assets and right-of- 撇減至彼等之可收回金額合共5,422,000港 use assets, respectively, to their aggregate recoverable 元。各現金產生單位之可收回金額乃根據 amounts of HK$5,422,000 as at 31 March 2026. The 使用價值估計，該計算方法乃採用剩餘租 recoverable amounts of</t>
        </is>
      </c>
    </row>
    <row r="26">
      <c r="A26" s="8" t="inlineStr">
        <is>
          <t>Impairment Testing</t>
        </is>
      </c>
      <c r="B26" s="8" t="inlineStr">
        <is>
          <t>減值測試</t>
        </is>
      </c>
      <c r="C26" s="19" t="inlineStr">
        <is>
          <t>high</t>
        </is>
      </c>
      <c r="D26" s="11" t="inlineStr">
        <is>
          <t>現金產生單位</t>
        </is>
      </c>
      <c r="E26" s="11" t="inlineStr">
        <is>
          <t>PDF p.163 (印刷頁 162)</t>
        </is>
      </c>
      <c r="F26" s="11" t="inlineStr">
        <is>
          <t>nt 累計減值 (3,292) (3,292) Net carrying amount 賬面淨值 100,432 101,871 The carrying amount of goodwill allocated to the cash-generating 分配至現金產生單位之商譽之賬面值載列如 units is as follows: 下： 2026 2025 二零二六年 二零二五年 HK$’000 HK$’000 港幣千元 港幣千元 Trading business 貿易業務 16,212 15,386 Lunch box and tuck shop services operation 飯盒及小賣部服務業務 (the “Catering business”) （「餐飲業務」） 14,090 14,090 Chinese Mainland restaurant operation 中國內地餐廳業務 11,650 11,056 Snack food and confectionery distribution 於日本分銷零食及糖果 in Japan (the “Miyata group business”) （「宮田集團業務」） 56,499 5</t>
        </is>
      </c>
    </row>
    <row r="27">
      <c r="A27" s="8" t="inlineStr">
        <is>
          <t>Impairment Testing</t>
        </is>
      </c>
      <c r="B27" s="8" t="inlineStr">
        <is>
          <t>減值測試</t>
        </is>
      </c>
      <c r="C27" s="19" t="inlineStr">
        <is>
          <t>high</t>
        </is>
      </c>
      <c r="D27" s="11" t="inlineStr">
        <is>
          <t>impairment test</t>
        </is>
      </c>
      <c r="E27" s="11" t="inlineStr">
        <is>
          <t>PDF p.164 (印刷頁 163)</t>
        </is>
      </c>
      <c r="F27" s="11" t="inlineStr">
        <is>
          <t>Notes to Financial Statements 財務報表附註 Year ended 31 March 2026 截至二零二六年三月三十一日止年度 17. GOODWILL (continued) 17. 商譽（續） Impairment testing of goodwill 商譽之減值測試 Chinese Mainland restaurant operation, trading business, 中國內地餐廳業務、貿易業務、餐飲業務及宮 Catering business and Miyata group business cash-generating 田集團業務現金產生單位 units The recoverable amounts of the trading business cash-generating 貿易業務現金產生單位、餐飲業務現金產生單 unit, the Catering business cash-generating unit, the Chinese 位、中國內地餐廳業務現金產生單位及宮田集 Mainland restaurant operation cash-ge</t>
        </is>
      </c>
    </row>
    <row r="28">
      <c r="A28" s="8" t="inlineStr">
        <is>
          <t>Impairment Testing</t>
        </is>
      </c>
      <c r="B28" s="8" t="inlineStr">
        <is>
          <t>減值測試</t>
        </is>
      </c>
      <c r="C28" s="19" t="inlineStr">
        <is>
          <t>high</t>
        </is>
      </c>
      <c r="D28" s="11" t="inlineStr">
        <is>
          <t>impairment loss</t>
        </is>
      </c>
      <c r="E28" s="11" t="inlineStr">
        <is>
          <t>PDF p.171 (印刷頁 170)</t>
        </is>
      </c>
      <c r="F28" s="11" t="inlineStr">
        <is>
          <t>易賬款減值之虧損撥備之變動情況如 receivables are as follows: 下： 2026 2025 二零二六年 二零二五年 HK$’000 HK$’000 港幣千元 港幣千元 At beginning of year 於年初 5,022 3,158 Impairment losses, net (note 6) 減值虧損，淨額（附註6） 2,420 3,068 Amount written off as uncollectable 由於不可收回而撇銷之金額 (2,182) (1,204) At end of year 於年終 5,260 5,022 An impairment analysis is performed at each reporting date 於各報告日期均採用撥備矩陣進行減值分析， using a provision matrix to measure expected credit losses. The 以計量預期信貸損失。撥備率乃基於就擁有類 provision rates are based on days past due for groupings of 似虧損模式的多個客戶分部進行分組（即按地 v</t>
        </is>
      </c>
    </row>
    <row r="29">
      <c r="A29" s="8" t="inlineStr">
        <is>
          <t>Intangible Assets &amp; Goodwill</t>
        </is>
      </c>
      <c r="B29" s="8" t="inlineStr">
        <is>
          <t>無形資產及商譽</t>
        </is>
      </c>
      <c r="C29" s="19" t="inlineStr">
        <is>
          <t>high</t>
        </is>
      </c>
      <c r="D29" s="11" t="inlineStr">
        <is>
          <t>trademark</t>
        </is>
      </c>
      <c r="E29" s="11" t="inlineStr">
        <is>
          <t>PDF p.17 (印刷頁 16)</t>
        </is>
      </c>
      <c r="F29" s="11" t="inlineStr">
        <is>
          <t>Time-Honoured 世紀建築遺產」項目名錄；其獨創的「象形點心」亦 Brand”, “National Platinum Five-Diamond Restaurant”, “Guangzhou 被列入「廣州市級非物質文化遺產」。不論是金龍化 Famous Trademark” and “China Famous Restaurant”. In February 皮乳豬、八寶冬瓜盅、泮塘五秀、金牌燒鵝等經典 2023, Panxi Restaurant was further inducted into the “7th Batch of 名菜，還是綠茵白兔餃、西山欖仁福壽龜、陳皮豆 China’s 20th-Century Architectural Heritage” projects, while its 沙雛雞仔、泮塘馬蹄糕等點心，皆歷久彌新，深受 unique “Pictorial Dim Sum” was rated as “Guangzhou Municipal 海內外食客與遊客的青睞。 Intangible Cultural Heritage”. Renowned classic dishes such as the Gold</t>
        </is>
      </c>
    </row>
    <row r="30">
      <c r="A30" s="8" t="inlineStr">
        <is>
          <t>Intangible Assets &amp; Goodwill</t>
        </is>
      </c>
      <c r="B30" s="8" t="inlineStr">
        <is>
          <t>無形資產及商譽</t>
        </is>
      </c>
      <c r="C30" s="19" t="inlineStr">
        <is>
          <t>high</t>
        </is>
      </c>
      <c r="D30" s="11" t="inlineStr">
        <is>
          <t>licence</t>
        </is>
      </c>
      <c r="E30" s="11" t="inlineStr">
        <is>
          <t>PDF p.20 (印刷頁 19)</t>
        </is>
      </c>
      <c r="F30" s="11" t="inlineStr">
        <is>
          <t>樂B 惠康超級市場 Best 10 Brand Calbee Wellcome Supermarket 香港Q嘜計劃 30年以上認證 金妹牌火腿 香港優質標誌局 HK Q-Mark Product Scheme for over 30 years – Q-Mark Licence Maid Ham Hong Kong Q-Mark Council 2025卓越大獎（市場躍升） 四洲集團 哈瑞寶 Excellence Awards 2025 (Market Turnaround) Four Seas Group HARIBO 部份嘉許╱獎項只提供官方中文名稱。 Certain recognition/awards are only provided with official Chinese name. 四洲集團有限公司 19 二零二六年年報</t>
        </is>
      </c>
    </row>
    <row r="31">
      <c r="A31" s="8" t="inlineStr">
        <is>
          <t>Intangible Assets &amp; Goodwill</t>
        </is>
      </c>
      <c r="B31" s="8" t="inlineStr">
        <is>
          <t>無形資產及商譽</t>
        </is>
      </c>
      <c r="C31" s="19" t="inlineStr">
        <is>
          <t>high</t>
        </is>
      </c>
      <c r="D31" s="11" t="inlineStr">
        <is>
          <t>amortisation</t>
        </is>
      </c>
      <c r="E31" s="11" t="inlineStr">
        <is>
          <t>PDF p.21 (印刷頁 20)</t>
        </is>
      </c>
      <c r="F31" s="11" t="inlineStr">
        <is>
          <t>uipment, depreciation of right-of-use assets relating to 利息除外）、所得稅、物業、廠房及設備折舊、預付 prepaid land lease payments and leasehold land, and amortisation, and 土地租賃付款及租賃土地相關使用權資產折舊及攤 excludes share of profits and losses of associates and joint ventures. This 銷前溢利、不包括應佔聯營公司及合營企業溢利及 adjustment is made because these equity-accounted results are non-cash 虧損份額。進行該調整的原因，是由於以權益法入 items, outside management’s direct control, and unrelated to the Group’s 賬的業績為非現金項目，屬管理層直接控制範圍以 day-to-day operating performance. 外，且與本集團的日常營運表現無關。 2. Net profit marg</t>
        </is>
      </c>
    </row>
    <row r="32">
      <c r="A32" s="8" t="inlineStr">
        <is>
          <t>Intangible Assets &amp; Goodwill</t>
        </is>
      </c>
      <c r="B32" s="8" t="inlineStr">
        <is>
          <t>無形資產及商譽</t>
        </is>
      </c>
      <c r="C32" s="19" t="inlineStr">
        <is>
          <t>high</t>
        </is>
      </c>
      <c r="D32" s="11" t="inlineStr">
        <is>
          <t>攤銷</t>
        </is>
      </c>
      <c r="E32" s="11" t="inlineStr">
        <is>
          <t>PDF p.22 (印刷頁 21)</t>
        </is>
      </c>
      <c r="F32" s="11" t="inlineStr">
        <is>
          <t>se of HK$6,464,000 少了6,464,000港元，相等於減少0.7%。本年度之本集團經 which was equivalent to a decrease of 0.7%. Adjusted EBITDA of the 調整未計利息、所得稅、折舊及攤銷前溢利為130,845,000 Group for the year was HK$130,845,000 (2025: HK$144,656,000) and 港元（二零二五年：144,656,000港元），而本年度歸屬於 profit attributable to equity holders of the Company for the year was 本公司權益所有者溢利為13,075,000港元（二零二五年： HK$13,075,000 (2025: HK$10,164,000). 10,164,000港元）。 During the year under review, sales revenue of the major items of the 於回顧年度，本集團主要產品之銷售收入如下： Group are: Year ended 31 March 截至三月三十一日止</t>
        </is>
      </c>
    </row>
    <row r="33">
      <c r="A33" s="8" t="inlineStr">
        <is>
          <t>Intangible Assets &amp; Goodwill</t>
        </is>
      </c>
      <c r="B33" s="8" t="inlineStr">
        <is>
          <t>無形資產及商譽</t>
        </is>
      </c>
      <c r="C33" s="19" t="inlineStr">
        <is>
          <t>high</t>
        </is>
      </c>
      <c r="D33" s="11" t="inlineStr">
        <is>
          <t>intangible asset</t>
        </is>
      </c>
      <c r="E33" s="11" t="inlineStr">
        <is>
          <t>PDF p.73 (印刷頁 72)</t>
        </is>
      </c>
      <c r="F33" s="11" t="inlineStr">
        <is>
          <t>ted financial statements. Key audit matter How our audit addressed the key audit matter 關鍵審計事項 該事項在審計中是如何應對的 Impairment of goodwill, intangible assets and property, plant and equipment 商譽、無形資產以及物業、廠房及設備減值 As at 31 March 2026, the Group had goodwill of HK$100,432,000, We performed the following procedures in relation intangible assets of HK$33,654,000 and property, plant and equipment to impairment of goodwill, intangible assets and of HK$859,411,000, including right-of-use assets of HK$386,387,000. property, plant and equipment</t>
        </is>
      </c>
    </row>
    <row r="34">
      <c r="A34" s="8" t="inlineStr">
        <is>
          <t>Intangible Assets &amp; Goodwill</t>
        </is>
      </c>
      <c r="B34" s="8" t="inlineStr">
        <is>
          <t>無形資產及商譽</t>
        </is>
      </c>
      <c r="C34" s="19" t="inlineStr">
        <is>
          <t>high</t>
        </is>
      </c>
      <c r="D34" s="11" t="inlineStr">
        <is>
          <t>intangible asset</t>
        </is>
      </c>
      <c r="E34" s="11" t="inlineStr">
        <is>
          <t>PDF p.74 (印刷頁 73)</t>
        </is>
      </c>
      <c r="F34" s="11" t="inlineStr">
        <is>
          <t>ERS (continued) 關鍵審計事項（續） Key audit matter How our audit addressed the key audit matter 關鍵審計事項 該事項在審計中是如何應對的 Impairment of goodwill, intangible assets and property, plant and equipment (continued) 商譽、無形資產以及物業、廠房及設備減值（續） When performing the impairment tests, management determined the • examining management’s methodology in the recoverable amounts of the relevant cash-generating units as at 31 determination of the recoverable amounts based March 2026 based on the higher of fair value less cost of disposal on higher of fair value</t>
        </is>
      </c>
    </row>
    <row r="35">
      <c r="A35" s="8" t="inlineStr">
        <is>
          <t>Intangible Assets &amp; Goodwill</t>
        </is>
      </c>
      <c r="B35" s="8" t="inlineStr">
        <is>
          <t>無形資產及商譽</t>
        </is>
      </c>
      <c r="C35" s="19" t="inlineStr">
        <is>
          <t>high</t>
        </is>
      </c>
      <c r="D35" s="11" t="inlineStr">
        <is>
          <t>intangible asset</t>
        </is>
      </c>
      <c r="E35" s="11" t="inlineStr">
        <is>
          <t>PDF p.82 (印刷頁 81)</t>
        </is>
      </c>
      <c r="F35" s="11" t="inlineStr">
        <is>
          <t>ty, plant and equipment 物業、廠房及設備 14 859,411 896,547 Investment properties 投資物業 16 32,507 33,957 Goodwill 商譽 17 100,432 101,871 Other intangible assets 其他無形資產 18 33,654 39,249 Investments in joint ventures 於合營企業之投資 19 29,381 12,362 Investments in associates 於聯營公司之投資 20 194,362 186,995 Financial assets at fair value through 按公平值透過損益入賬的 profit or loss 金融資產 25 13,502 16,964 Financial assets at fair value through other 按公平值透過其他全面 comprehensive income 收益入賬的金融資產 21 15,933 24,877 Prepayments, deposits and other receivables 預付款項、訂金及 其他應</t>
        </is>
      </c>
    </row>
    <row r="36">
      <c r="A36" s="8" t="inlineStr">
        <is>
          <t>Intangible Assets &amp; Goodwill</t>
        </is>
      </c>
      <c r="B36" s="8" t="inlineStr">
        <is>
          <t>無形資產及商譽</t>
        </is>
      </c>
      <c r="C36" s="19" t="inlineStr">
        <is>
          <t>high</t>
        </is>
      </c>
      <c r="D36" s="11" t="inlineStr">
        <is>
          <t>intangible asset</t>
        </is>
      </c>
      <c r="E36" s="11" t="inlineStr">
        <is>
          <t>PDF p.86 (印刷頁 85)</t>
        </is>
      </c>
      <c r="F36" s="11" t="inlineStr">
        <is>
          <t>fit expenses 界定福利開支 8 638 691 Gain on derecognition of right-of-use assets, 終止確認使用權資產之 net 收益，淨額 8 (255) (224) Amortisation of other intangible assets 其他無形資產之攤銷 8 3,878 3,840 Impairment of items of property, plant and 物業、廠房及設備項目之 equipment, except right-of-use assets 減值，使用權資產除外 6 1,044 593 Impairment of right-of-use assets 使用權資產之減值 6 475 1,646 Impairment of trade receivables 應收貿易賬款之減值 6 2,420 3,068 Write-down of slow-moving inventories, net 滯銷存貨撇銷，淨額 8 2,655 2,955 273,985 289,997 四洲集團有限公司 85 二零二六年年報</t>
        </is>
      </c>
    </row>
    <row r="37">
      <c r="A37" s="8" t="inlineStr">
        <is>
          <t>Intangible Assets &amp; Goodwill</t>
        </is>
      </c>
      <c r="B37" s="8" t="inlineStr">
        <is>
          <t>無形資產及商譽</t>
        </is>
      </c>
      <c r="C37" s="19" t="inlineStr">
        <is>
          <t>high</t>
        </is>
      </c>
      <c r="D37" s="11" t="inlineStr">
        <is>
          <t>trademark</t>
        </is>
      </c>
      <c r="E37" s="11" t="inlineStr">
        <is>
          <t>PDF p.92 (印刷頁 91)</t>
        </is>
      </c>
      <c r="F37" s="11" t="inlineStr">
        <is>
          <t>taurant operations 廣州壽司皇飲食有限公司^ 中國╱中國大陸 6,000,000港元 餐廳經營 Homeright Properties Limited British Virgin Islands US$1 – 100.0 Holding of trademarks 家權產業有限公司 英屬處女群島 1美元 持有商標 Hong Kong Biscuit (International) Limited Hong Kong HK$40,000,000 – 99.3 Investment holding 香港餅乾（國際）有限公司 香港 40,000,000港元 投資控股 Hong Kong Confectionery Company Limited Hong Kong HK$7,000,000 – 100.0 Investment holding 香港糖果有限公司 香港 7,000,000港元 投資控股 Hong Kong Ham Holdings Limited Hong Kong HK$20 – 100.0 Manufacturing and packaging of ham and ham-related products 香港火腿</t>
        </is>
      </c>
    </row>
    <row r="38">
      <c r="A38" s="8" t="inlineStr">
        <is>
          <t>Intangible Assets &amp; Goodwill</t>
        </is>
      </c>
      <c r="B38" s="8" t="inlineStr">
        <is>
          <t>無形資產及商譽</t>
        </is>
      </c>
      <c r="C38" s="19" t="inlineStr">
        <is>
          <t>high</t>
        </is>
      </c>
      <c r="D38" s="11" t="inlineStr">
        <is>
          <t>trademark</t>
        </is>
      </c>
      <c r="E38" s="11" t="inlineStr">
        <is>
          <t>PDF p.96 (印刷頁 95)</t>
        </is>
      </c>
      <c r="F38" s="11" t="inlineStr">
        <is>
          <t>ilding occupied by GZ Panxi － 將廣州泮溪所佔用之樓房變更為粵菜酒家 other than the Cantonese style restaurant operation; and 經營以外之用途；及 – the use of the trademark of GZ Panxi. － 廣州泮溪商標之使用。 The above table lists the subsidiaries of the Company which, in 董事認為以上所述為於年內對集團之業績有重 the opinion of the directors, principally affected the results for 大影響或佔集團之重大部分淨資產之主要附屬 the year or formed a substantial portion of the net assets of the 公司，董事認為如詳列餘下附屬公司會使篇幅 Group. To give details of other subsidiaries would, in the opinion 過份冗長。 of the directors, result in par</t>
        </is>
      </c>
    </row>
    <row r="39">
      <c r="A39" s="8" t="inlineStr">
        <is>
          <t>Intangible Assets &amp; Goodwill</t>
        </is>
      </c>
      <c r="B39" s="8" t="inlineStr">
        <is>
          <t>無形資產及商譽</t>
        </is>
      </c>
      <c r="C39" s="19" t="inlineStr">
        <is>
          <t>high</t>
        </is>
      </c>
      <c r="D39" s="11" t="inlineStr">
        <is>
          <t>goodwill</t>
        </is>
      </c>
      <c r="E39" s="11" t="inlineStr">
        <is>
          <t>PDF p.98 (印刷頁 97)</t>
        </is>
      </c>
      <c r="F39" s="11" t="inlineStr">
        <is>
          <t>ontinued) 綜合賬目基準（續） If the Group loses control over a subsidiary, it derecognises 倘本集團失去對一間附屬公司之控制權，則其 the related assets (including goodwill), liabilities, any non- 撤銷確認相關資產（包括商譽）、負債、任何非 controlling interest and the exchange fluctuation reserve; and 控股權益及匯兌波動儲備；及確認所保留任何 recognises the fair value of any investment retained and any 投資之公平值及損益中任何因此產生之盈餘或 resulting surplus or deficit in profit or loss. The Group’s share 虧損。先前於其他全面收益表內確認之本集團 of components previously recognised in other comprehensive 應佔部份按假設本集團直接出售相關資產或負 income is re</t>
        </is>
      </c>
    </row>
    <row r="40">
      <c r="A40" s="8" t="inlineStr">
        <is>
          <t>Intangible Assets &amp; Goodwill</t>
        </is>
      </c>
      <c r="B40" s="8" t="inlineStr">
        <is>
          <t>無形資產及商譽</t>
        </is>
      </c>
      <c r="C40" s="19" t="inlineStr">
        <is>
          <t>high</t>
        </is>
      </c>
      <c r="D40" s="11" t="inlineStr">
        <is>
          <t>goodwill</t>
        </is>
      </c>
      <c r="E40" s="11" t="inlineStr">
        <is>
          <t>PDF p.105 (印刷頁 104)</t>
        </is>
      </c>
      <c r="F40" s="11" t="inlineStr">
        <is>
          <t>nts in the associates or joint ventures, except where unrealised losses provide evidence of an impairment of the assets transferred. Goodwill arising from the acquisition of associates and joint ventures is included as part of the Group’s investments in associates and joint ventures. If an investment in an associate becomes an investment in a joint 倘於聯營公司之投資變為於合營企業之投資， venture or vice versa, the retained interest is not remeasured. 或於合營企業之投資變為於聯營公司之投資， Instead, the investment continues to be accounted for under 保留權益不會重新計量。反之，投資</t>
        </is>
      </c>
    </row>
    <row r="41">
      <c r="A41" s="8" t="inlineStr">
        <is>
          <t>Intangible Assets &amp; Goodwill</t>
        </is>
      </c>
      <c r="B41" s="8" t="inlineStr">
        <is>
          <t>無形資產及商譽</t>
        </is>
      </c>
      <c r="C41" s="19" t="inlineStr">
        <is>
          <t>high</t>
        </is>
      </c>
      <c r="D41" s="11" t="inlineStr">
        <is>
          <t>goodwill</t>
        </is>
      </c>
      <c r="E41" s="11" t="inlineStr">
        <is>
          <t>PDF p.106 (印刷頁 105)</t>
        </is>
      </c>
      <c r="F41" s="11" t="inlineStr">
        <is>
          <t>表附註 Year ended 31 March 2026 截至二零二六年三月三十一日止年度 2.4 MATERIAL ACCOUNTING POLICIES 2.4 重大會計政策摘要（續） (continued) Business combinations and goodwill 業務合併及商譽 Business combinations are accounted for using the acquisition 業務合併乃以收購法入賬。轉讓之代價乃以收 method. The consideration transferred is measured at the 購日期的公平值計算，該公平值為本集團轉讓 acquisition date fair value which is the sum of the acquisition 的資產於收購日期的公平值、本集團對收購方 date fair values of assets transferred by the Group, liabilities 之前度擁有人承擔的負債，及本集團發行以換 assumed by the Group to the former owners of the ac</t>
        </is>
      </c>
    </row>
    <row r="42">
      <c r="A42" s="8" t="inlineStr">
        <is>
          <t>Intangible Assets &amp; Goodwill</t>
        </is>
      </c>
      <c r="B42" s="8" t="inlineStr">
        <is>
          <t>無形資產及商譽</t>
        </is>
      </c>
      <c r="C42" s="19" t="inlineStr">
        <is>
          <t>high</t>
        </is>
      </c>
      <c r="D42" s="11" t="inlineStr">
        <is>
          <t>goodwill</t>
        </is>
      </c>
      <c r="E42" s="11" t="inlineStr">
        <is>
          <t>PDF p.107 (印刷頁 106)</t>
        </is>
      </c>
      <c r="F42" s="11" t="inlineStr">
        <is>
          <t>表附註 Year ended 31 March 2026 截至二零二六年三月三十一日止年度 2.4 MATERIAL ACCOUNTING POLICIES 2.4 重大會計政策摘要（續） (continued) Business combinations and goodwill (continued) 業務合併及商譽（續） Goodwill is initially measured at cost, being the excess of 商譽起初按成本計量，即已轉讓總代價、已確 the aggregate of the consideration transferred, the amount 認非控股權益及本集團先前持有的被收購方股 recognised for non-controlling interests and any fair value of the 權的公平值總額，超逾與所收購可識別資產淨 Group’s previously held equity interests in the acquiree over the 值及所承擔負債的差額。如總代價及其他項目 identifiable net assets acquired</t>
        </is>
      </c>
    </row>
    <row r="43">
      <c r="A43" s="8" t="inlineStr">
        <is>
          <t>Intangible Assets &amp; Goodwill</t>
        </is>
      </c>
      <c r="B43" s="8" t="inlineStr">
        <is>
          <t>無形資產及商譽</t>
        </is>
      </c>
      <c r="C43" s="19" t="inlineStr">
        <is>
          <t>high</t>
        </is>
      </c>
      <c r="D43" s="11" t="inlineStr">
        <is>
          <t>goodwill</t>
        </is>
      </c>
      <c r="E43" s="11" t="inlineStr">
        <is>
          <t>PDF p.109 (印刷頁 108)</t>
        </is>
      </c>
      <c r="F43" s="11" t="inlineStr">
        <is>
          <t>rable amount is estimated. 資產（商譽除外）減值虧損只能於用以釐訂資產 A previously recognised impairment loss of an asset other than 之可收回數額之估計出現變動始能撥回，惟該 goodwill is reversed only if there has been a change in the 數額不得超過假設有關資產於過往年度並未有 estimates used to determine the recoverable amount of that asset, 確認減值虧損而予以釐訂之賬面值（扣除任何 but not to an amount higher than the carrying amount that would 折舊╱攤銷）。該撥回之減值虧損乃於其產生 have been determined (net of any depreciation/amortisation) had 之期間計入損益表。 no impairment loss been recognised for the asset in prior years. A revers</t>
        </is>
      </c>
    </row>
    <row r="44">
      <c r="A44" s="8" t="inlineStr">
        <is>
          <t>Intangible Assets &amp; Goodwill</t>
        </is>
      </c>
      <c r="B44" s="8" t="inlineStr">
        <is>
          <t>無形資產及商譽</t>
        </is>
      </c>
      <c r="C44" s="19" t="inlineStr">
        <is>
          <t>high</t>
        </is>
      </c>
      <c r="D44" s="11" t="inlineStr">
        <is>
          <t>useful life</t>
        </is>
      </c>
      <c r="E44" s="11" t="inlineStr">
        <is>
          <t>PDF p.111 (印刷頁 110)</t>
        </is>
      </c>
      <c r="F44" s="11" t="inlineStr">
        <is>
          <t>線法計算，並按各物業、廠房及設 the cost of each item of property, plant and equipment to its 備項目之估計可使用期限撇銷其成本值至其餘 residual value over its estimated useful life. The principal annual 值。所採用之主要折舊年率如下： rates used for this purpose are as follows: Owned assets 自置資產 Freehold land Not depreciated 永久業權土地 不計提折舊 Buildings 2% – 331/3% 樓宇 2%至331/3% Leasehold improvements 4½% – 331/3% 租賃樓宇裝修 4½%至331/3% Furniture, fixtures and equipment 5% – 50% 傢俬、裝置及設備 5%至50% Plant and machinery 10% – 50% 廠房及機器 10%至50% Motor vehicles 15% – 30% 汽車 15%至30% 110 FOUR SEAS MER</t>
        </is>
      </c>
    </row>
    <row r="45">
      <c r="A45" s="8" t="inlineStr">
        <is>
          <t>Intangible Assets &amp; Goodwill</t>
        </is>
      </c>
      <c r="B45" s="8" t="inlineStr">
        <is>
          <t>無形資產及商譽</t>
        </is>
      </c>
      <c r="C45" s="19" t="inlineStr">
        <is>
          <t>high</t>
        </is>
      </c>
      <c r="D45" s="11" t="inlineStr">
        <is>
          <t>useful life</t>
        </is>
      </c>
      <c r="E45" s="11" t="inlineStr">
        <is>
          <t>PDF p.112 (印刷頁 111)</t>
        </is>
      </c>
      <c r="F45" s="11" t="inlineStr">
        <is>
          <t>ase term or the cost reflects the exercise of a purchase 集團或成本反映購買權之行使，折舊則按資產 option, depreciation is calculated using the estimated useful life 之估計可使用年期計算。 of the asset. Where parts of an item of property, plant and equipment have 倘物業、廠房及設備項目之各部分有不同之可 different useful lives, the cost of that item is allocated on a 使用年期，此項目各部分成本將按合理之基礎 reasonable basis among the parts and each part is depreciated 分配，而每部分將作個別折舊。餘值、可使用 separately. Residual values, useful lives and the depreciation 年期及折舊法乃最少於各財政年度結算日予以 method are reviewed, and adj</t>
        </is>
      </c>
    </row>
    <row r="46">
      <c r="A46" s="8" t="inlineStr">
        <is>
          <t>Intangible Assets &amp; Goodwill</t>
        </is>
      </c>
      <c r="B46" s="8" t="inlineStr">
        <is>
          <t>無形資產及商譽</t>
        </is>
      </c>
      <c r="C46" s="19" t="inlineStr">
        <is>
          <t>high</t>
        </is>
      </c>
      <c r="D46" s="11" t="inlineStr">
        <is>
          <t>intangible asset</t>
        </is>
      </c>
      <c r="E46" s="11" t="inlineStr">
        <is>
          <t>PDF p.113 (印刷頁 112)</t>
        </is>
      </c>
      <c r="F46" s="11" t="inlineStr">
        <is>
          <t>廢或出 property are recognised in the consolidated statement of profit or 售年度在綜合損益表中確認。 loss in the year of the retirement or disposal. Intangible assets (other than goodwill) 無形資產（商譽除外） Intangible assets acquired separately are measured on initial 獨立購買之無形資產於初始確認時按成本計 recognition at cost. The cost of intangible assets acquired in a 量。於業務合併時收購之無形資產之成本以收 business combination is the fair value at the date of acquisition. 購日期之公平值計量。無形資產之可使用年期 The useful lives of intangible assets are assessed to be either 可評估為有限或無限。可使用年期有限之無形 finite o</t>
        </is>
      </c>
    </row>
    <row r="47">
      <c r="A47" s="8" t="inlineStr">
        <is>
          <t>Intangible Assets &amp; Goodwill</t>
        </is>
      </c>
      <c r="B47" s="8" t="inlineStr">
        <is>
          <t>無形資產及商譽</t>
        </is>
      </c>
      <c r="C47" s="19" t="inlineStr">
        <is>
          <t>high</t>
        </is>
      </c>
      <c r="D47" s="11" t="inlineStr">
        <is>
          <t>攤銷</t>
        </is>
      </c>
      <c r="E47" s="11" t="inlineStr">
        <is>
          <t>PDF p.116 (印刷頁 115)</t>
        </is>
      </c>
      <c r="F47" s="11" t="inlineStr">
        <is>
          <t>ts 投資及其他金融資產 Initial recognition and measurement 初始確認及計量 Financial assets are classified, at initial recognition, as 金融資產於初始確認時分類為其後按攤銷成 subsequently measured at amortised cost, fair value through other 本、按公平值透過其他全面收益入賬及按公平 comprehensive income, and fair value through profit or loss. 值透過損益入賬計量。 The classification of financial assets at initial recognition 金融資產於初始確認時的分類視乎金融資產合 depends on the financial asset’s contractual cash flow 約現金流量的特徵及本集團管理該等資產的業 characteristics and the Group’s business model for managing 務模式。除並無重大融資成分或本集團並</t>
        </is>
      </c>
    </row>
    <row r="48">
      <c r="A48" s="8" t="inlineStr">
        <is>
          <t>Intangible Assets &amp; Goodwill</t>
        </is>
      </c>
      <c r="B48" s="8" t="inlineStr">
        <is>
          <t>無形資產及商譽</t>
        </is>
      </c>
      <c r="C48" s="19" t="inlineStr">
        <is>
          <t>high</t>
        </is>
      </c>
      <c r="D48" s="11" t="inlineStr">
        <is>
          <t>攤銷</t>
        </is>
      </c>
      <c r="E48" s="11" t="inlineStr">
        <is>
          <t>PDF p.117 (印刷頁 116)</t>
        </is>
      </c>
      <c r="F48" s="11" t="inlineStr">
        <is>
          <t>ncial assets depends on their 金融資產之後續計量乃視乎彼等之下列分類： classification as follows: Financial assets at amortised cost (debt instruments) 按攤銷成本計量的金融資產（債務工具） Financial assets at amortised cost are subsequently measured 按攤銷成本計量的金融資產隨後使用實際利率 using the effective interest method and are subject to impairment. 法計量，並可予減值。收益及虧損於資產終止 Gains and losses are recognised in the statement of profit or loss 確認、修改或減值時於損益表中確認。 when the asset is derecognised, modified or impaired. Financial assets at fair value through other comprehensive 按公平值透過其他全面收益入賬</t>
        </is>
      </c>
    </row>
    <row r="49">
      <c r="A49" s="8" t="inlineStr">
        <is>
          <t>Intangible Assets &amp; Goodwill</t>
        </is>
      </c>
      <c r="B49" s="8" t="inlineStr">
        <is>
          <t>無形資產及商譽</t>
        </is>
      </c>
      <c r="C49" s="19" t="inlineStr">
        <is>
          <t>high</t>
        </is>
      </c>
      <c r="D49" s="11" t="inlineStr">
        <is>
          <t>攤銷</t>
        </is>
      </c>
      <c r="E49" s="11" t="inlineStr">
        <is>
          <t>PDF p.120 (印刷頁 119)</t>
        </is>
      </c>
      <c r="F49" s="11" t="inlineStr">
        <is>
          <t>ssets (continued) 金融資產減值（續） General approach (continued) 一般方法（續） Financial assets at amortised cost are subject to impairment under 按攤銷成本計量的金融資產均根據一般方法減 the general approach and they are classified within the following 值，且除應用簡化法的應收貿易賬款（如下文 stages for measurement of ECLs except for trade receivables 詳述）外，有關資產於以下階段分類以計量預 which apply the simplified approach as detailed below. 期信貸損失。 Stage 1 – Financial instruments for which credit risk has 第一階段 – 金融工具自初始確認以來信貸 not increased significantly since initial recognition 風險並未顯著增加，且其虧損 and</t>
        </is>
      </c>
    </row>
    <row r="50">
      <c r="A50" s="8" t="inlineStr">
        <is>
          <t>Intangible Assets &amp; Goodwill</t>
        </is>
      </c>
      <c r="B50" s="8" t="inlineStr">
        <is>
          <t>無形資產及商譽</t>
        </is>
      </c>
      <c r="C50" s="19" t="inlineStr">
        <is>
          <t>high</t>
        </is>
      </c>
      <c r="D50" s="11" t="inlineStr">
        <is>
          <t>amortisation</t>
        </is>
      </c>
      <c r="E50" s="11" t="inlineStr">
        <is>
          <t>PDF p.121 (印刷頁 120)</t>
        </is>
      </c>
      <c r="F50" s="11" t="inlineStr">
        <is>
          <t>s are recognised in profit or loss when 行攤銷程序時在損益確認。 the liabilities are derecognised as well as through the effective interest rate amortisation process. Amortised cost is calculated by taking into account any discount 攤銷成本於計及收購事項任何折讓或溢價及屬 or premium on acquisition and fees or costs that are an integral 實際利率不可或缺一部份之費用或成本後計 part of the effective interest rate. The effective interest rate 算。實際利率攤銷計入綜合損益表之融資成本 amortisation is included in finance costs in consolidated 內。 statement of profit or loss. Derecognition of financial liab</t>
        </is>
      </c>
    </row>
    <row r="51">
      <c r="A51" s="8" t="inlineStr">
        <is>
          <t>Intangible Assets &amp; Goodwill</t>
        </is>
      </c>
      <c r="B51" s="8" t="inlineStr">
        <is>
          <t>無形資產及商譽</t>
        </is>
      </c>
      <c r="C51" s="19" t="inlineStr">
        <is>
          <t>high</t>
        </is>
      </c>
      <c r="D51" s="11" t="inlineStr">
        <is>
          <t>goodwill</t>
        </is>
      </c>
      <c r="E51" s="11" t="inlineStr">
        <is>
          <t>PDF p.123 (印刷頁 122)</t>
        </is>
      </c>
      <c r="F51" s="11" t="inlineStr">
        <is>
          <t>差額均被確認為遞延稅項負 differences, except: 債，惟： • when the deferred tax liability arises from the initial • 當初次確認商譽或一項交易而該交易並非 recognition of goodwill or an asset or liability in a 為商業合併之資產或負債而產生，及於進 transaction that is not a business combination and, at the 行交易時，不會對會計溢利或應課稅溢利 time of the transaction, affects neither the accounting profit 或虧損構成影響，且不產生同等應納稅和 nor taxable profit or loss and does not give rise to equal 可抵扣暫時性差異之遞延稅項負債除外； taxable and deductible temporary differences; and 及 • in respect of taxable temporary differences associ</t>
        </is>
      </c>
    </row>
    <row r="52">
      <c r="A52" s="8" t="inlineStr">
        <is>
          <t>Intangible Assets &amp; Goodwill</t>
        </is>
      </c>
      <c r="B52" s="8" t="inlineStr">
        <is>
          <t>無形資產及商譽</t>
        </is>
      </c>
      <c r="C52" s="19" t="inlineStr">
        <is>
          <t>high</t>
        </is>
      </c>
      <c r="D52" s="11" t="inlineStr">
        <is>
          <t>goodwill</t>
        </is>
      </c>
      <c r="E52" s="11" t="inlineStr">
        <is>
          <t>PDF p.131 (印刷頁 130)</t>
        </is>
      </c>
      <c r="F52" s="11" t="inlineStr">
        <is>
          <t>31 March 2026 截至二零二六年三月三十一日止年度 2.4 MATERIAL ACCOUNTING POLICIES 2.4 重大會計政策摘要（續） (continued) Foreign currencies (continued) 外幣（續） Any goodwill arising on the acquisition of a foreign operation 因收購海外業務而產生之商譽，以及收購所產 and any fair value adjustments to the carrying amounts of assets 生之資產及負債之賬面值進行公平值調整，則 and liabilities arising on acquisition are treated as assets and 列作海外業務之資產及負債，並於結算日換算。 liabilities of the foreign operation and translated at the closing rate. For the purpose of the consolidated statement of cash flows, the 就綜合現金流量表而</t>
        </is>
      </c>
    </row>
    <row r="53">
      <c r="A53" s="8" t="inlineStr">
        <is>
          <t>Intangible Assets &amp; Goodwill</t>
        </is>
      </c>
      <c r="B53" s="8" t="inlineStr">
        <is>
          <t>無形資產及商譽</t>
        </is>
      </c>
      <c r="C53" s="19" t="inlineStr">
        <is>
          <t>high</t>
        </is>
      </c>
      <c r="D53" s="11" t="inlineStr">
        <is>
          <t>intangible asset</t>
        </is>
      </c>
      <c r="E53" s="11" t="inlineStr">
        <is>
          <t>PDF p.133 (印刷頁 132)</t>
        </is>
      </c>
      <c r="F53" s="11" t="inlineStr">
        <is>
          <t>IFICANT ACCOUNTING 3. 主要會計判斷及估計（續） JUDGEMENTS AND ESTIMATES (continued) Estimation uncertainty (continued) 估計之不明朗因素（續） Impairment of intangible assets and property, plant and 無形資產以及物業、廠房及設備之減值 equipment The Group determines whether intangible assets with definite 倘有跡象顯示賬面值可能無法收回，則本集團 useful lives, property, plant and equipment, including right- 會釐定有限可使用年期無形資產物業、廠房及 of-use assets are impaired when there are indicators that the 設備，包括使用權資產是否已減值。倘該等資 carrying amounts may not be recoverable. An impairment exists 產賬面值超過其可收回金額（即其公平值減出</t>
        </is>
      </c>
    </row>
    <row r="54">
      <c r="A54" s="8" t="inlineStr">
        <is>
          <t>Intangible Assets &amp; Goodwill</t>
        </is>
      </c>
      <c r="B54" s="8" t="inlineStr">
        <is>
          <t>無形資產及商譽</t>
        </is>
      </c>
      <c r="C54" s="19" t="inlineStr">
        <is>
          <t>high</t>
        </is>
      </c>
      <c r="D54" s="11" t="inlineStr">
        <is>
          <t>amortisation</t>
        </is>
      </c>
      <c r="E54" s="11" t="inlineStr">
        <is>
          <t>PDF p.137 (印刷頁 136)</t>
        </is>
      </c>
      <c r="F54" s="11" t="inlineStr">
        <is>
          <t>3 2,420 Write-down/(reversal of write-down) of 滯銷存貨撇銷╱（撇銷回撥）， slow-moving inventories, net 淨額 (224) 2,621 258 2,655 Depreciation and amortisation, except for 折舊及攤銷 right-of-use assets （不包括使用權資產） 25,815 25,086 8,205 59,106 Depreciation of right-of-use assets 使用權資產折舊 113,220 15,062 6,799 135,081 Impairment of items of property, plant and 物業、廠房及設備項目之減值 equipment, except right-of-use assets （不包括使用權資產） 1,044 – – 1,044 Impairment of right-of-use assets 使用權資產減值 475 – – 475 Loss on disposal/write-off of items of property, 出售╱撇銷物業、廠房及設備</t>
        </is>
      </c>
    </row>
    <row r="55">
      <c r="A55" s="8" t="inlineStr">
        <is>
          <t>Intangible Assets &amp; Goodwill</t>
        </is>
      </c>
      <c r="B55" s="8" t="inlineStr">
        <is>
          <t>無形資產及商譽</t>
        </is>
      </c>
      <c r="C55" s="19" t="inlineStr">
        <is>
          <t>high</t>
        </is>
      </c>
      <c r="D55" s="11" t="inlineStr">
        <is>
          <t>amortisation</t>
        </is>
      </c>
      <c r="E55" s="11" t="inlineStr">
        <is>
          <t>PDF p.138 (印刷頁 137)</t>
        </is>
      </c>
      <c r="F55" s="11" t="inlineStr">
        <is>
          <t>ment of trade receivables 應收貿易賬款減值 944 2,118 6 3,068 Write-down of slow-moving inventories 滯銷存貨撇銷 7 2,800 148 2,955 Depreciation and amortisation, except for 折舊及攤銷（不包括使用權資產） right-of-use assets 24,510 41,150 8,993 74,653 Depreciation of right-of-use assets 使用權資產折舊 116,119 17,409 7,221 140,749 Impairment of items of property, plant and 物業、廠房及設備項目之減值 equipment, except right-of-use assets （不包括使用權資產） 593 – – 593 Impairment of right-of-use assets 使用權資產減值 1,646 – – 1,646 Loss/(gain) on disposal/write-off of items of 出售╱撇銷物業、廠房及設備項 pr</t>
        </is>
      </c>
    </row>
    <row r="56">
      <c r="A56" s="8" t="inlineStr">
        <is>
          <t>Intangible Assets &amp; Goodwill</t>
        </is>
      </c>
      <c r="B56" s="8" t="inlineStr">
        <is>
          <t>無形資產及商譽</t>
        </is>
      </c>
      <c r="C56" s="19" t="inlineStr">
        <is>
          <t>high</t>
        </is>
      </c>
      <c r="D56" s="11" t="inlineStr">
        <is>
          <t>intangible asset</t>
        </is>
      </c>
      <c r="E56" s="11" t="inlineStr">
        <is>
          <t>PDF p.143 (印刷頁 142)</t>
        </is>
      </c>
      <c r="F56" s="11" t="inlineStr">
        <is>
          <t>權資產 right-of-use assets 14(a) 55,228 70,813 Depreciation of right-of-use assets 使用權資產之折舊 14(b) 135,081 140,749 Amortisation of other intangible assets 其他無形資產之攤銷 18 3,878 3,840 Lease payments not included in the 於計算租賃負債時並無計入 measurement of lease liabilities: 之租賃付款： Lease rental for short-term leases 短期租賃之租金 30,530 32,781 Contingent rent 或然租金 7,386 7,163 Employee benefit expense (excluding 僱員福利開支（不包括董事 directors' and chief executive’s 及最高行政人員酬金 remuneration (note 9)): （附註9））： Wages, salaries, allowances and 工資、薪金、津貼及 benefits in</t>
        </is>
      </c>
    </row>
    <row r="57">
      <c r="A57" s="8" t="inlineStr">
        <is>
          <t>Intangible Assets &amp; Goodwill</t>
        </is>
      </c>
      <c r="B57" s="8" t="inlineStr">
        <is>
          <t>無形資產及商譽</t>
        </is>
      </c>
      <c r="C57" s="19" t="inlineStr">
        <is>
          <t>high</t>
        </is>
      </c>
      <c r="D57" s="11" t="inlineStr">
        <is>
          <t>goodwill</t>
        </is>
      </c>
      <c r="E57" s="11" t="inlineStr">
        <is>
          <t>PDF p.163 (印刷頁 162)</t>
        </is>
      </c>
      <c r="F57" s="11" t="inlineStr">
        <is>
          <t>Notes to Financial Statements 財務報表附註 Year ended 31 March 2026 截至二零二六年三月三十一日止年度 17. GOODWILL 17. 商譽 2026 2025 二零二六年 二零二五年 HK$’000 HK$’000 港幣千元 港幣千元 Net carrying amount at beginning of year 年初之賬面淨值 101,871 101,740 Exchange realignment 匯兌調整 (1,439) 131 Net carrying amount at end of year 年終之賬面淨值 100,432 101,871 At end of the year: 於年終： Cost 成本 103,724 105,163 Accumulated impairment 累計減值 (3,292) (3,292) Net carrying amount 賬面淨值 100,432 101,871 The carrying amount of goodwill allocate</t>
        </is>
      </c>
    </row>
    <row r="58">
      <c r="A58" s="8" t="inlineStr">
        <is>
          <t>Intangible Assets &amp; Goodwill</t>
        </is>
      </c>
      <c r="B58" s="8" t="inlineStr">
        <is>
          <t>無形資產及商譽</t>
        </is>
      </c>
      <c r="C58" s="19" t="inlineStr">
        <is>
          <t>high</t>
        </is>
      </c>
      <c r="D58" s="11" t="inlineStr">
        <is>
          <t>goodwill</t>
        </is>
      </c>
      <c r="E58" s="11" t="inlineStr">
        <is>
          <t>PDF p.164 (印刷頁 163)</t>
        </is>
      </c>
      <c r="F58" s="11" t="inlineStr">
        <is>
          <t>Notes to Financial Statements 財務報表附註 Year ended 31 March 2026 截至二零二六年三月三十一日止年度 17. GOODWILL (continued) 17. 商譽（續） Impairment testing of goodwill 商譽之減值測試 Chinese Mainland restaurant operation, trading business, 中國內地餐廳業務、貿易業務、餐飲業務及宮 Catering business and Miyata group business cash-generating 田集團業務現金產生單位 units The recoverable amounts of the trading business cash-generating 貿易業務現金產生單位、餐飲業務現金產生單 unit, the Catering business cash-generating unit, the Chinese 位、中國內地餐廳業務現金產生單位及宮田集 Mainla</t>
        </is>
      </c>
    </row>
    <row r="59">
      <c r="A59" s="8" t="inlineStr">
        <is>
          <t>Intangible Assets &amp; Goodwill</t>
        </is>
      </c>
      <c r="B59" s="8" t="inlineStr">
        <is>
          <t>無形資產及商譽</t>
        </is>
      </c>
      <c r="C59" s="19" t="inlineStr">
        <is>
          <t>high</t>
        </is>
      </c>
      <c r="D59" s="11" t="inlineStr">
        <is>
          <t>intangible asset</t>
        </is>
      </c>
      <c r="E59" s="11" t="inlineStr">
        <is>
          <t>PDF p.165 (印刷頁 164)</t>
        </is>
      </c>
      <c r="F59" s="11" t="inlineStr">
        <is>
          <t>Notes to Financial Statements 財務報表附註 Year ended 31 March 2026 截至二零二六年三月三十一日止年度 18. OTHER INTANGIBLE ASSETS 18. 其他無形資產 Customer relationships 客戶關係 HK$’000 港幣千元 At 1 April 2024: 於二零二四年四月一日： Cost 成本 59,042 Accumulated amortisation 累計攤銷 (16,066) Net carrying amount 賬面淨值 42,976 Cost at 1 April 2024, net of accumulated amortisation 於二零二四年四月一日之成本， 扣除累計攤銷 42,976 Amortisation provided during the year (note 8) 年內攤銷（附註8） (3,840) Exchange realignment 匯兌調整 113 At 31 March 2025 於二零二五年三月三十一日 39,249</t>
        </is>
      </c>
    </row>
    <row r="60">
      <c r="A60" s="8" t="inlineStr">
        <is>
          <t>Intangible Assets &amp; Goodwill</t>
        </is>
      </c>
      <c r="B60" s="8" t="inlineStr">
        <is>
          <t>無形資產及商譽</t>
        </is>
      </c>
      <c r="C60" s="19" t="inlineStr">
        <is>
          <t>high</t>
        </is>
      </c>
      <c r="D60" s="11" t="inlineStr">
        <is>
          <t>攤銷</t>
        </is>
      </c>
      <c r="E60" s="11" t="inlineStr">
        <is>
          <t>PDF p.194 (印刷頁 193)</t>
        </is>
      </c>
      <c r="F60" s="11" t="inlineStr">
        <is>
          <t>ignated Financial as such Mandatorily assets at upon initial designated Equity amortised recognition as such investments cost Total 按攤銷成本 於初始 計量之 認時指定 強制指定 權益投資 金融資產 總計 HK$’000 HK$’000 HK$’000 HK$’000 HK$’000 港幣千元 港幣千元 港幣千元 港幣千元 港幣千元 Trade receivables 應收貿易賬款 – – – 620,811 620,811 Financial assets included in prepayments, 包括於預付款項、訂金及 deposits and other receivables 其他應收款項之金融資產 – – – 175,356 175,356 Financial assets at fair value through profit or loss 按公平值透過損益入賬之 金融資產 – 111,464 – – 111,464 Financial assets at fair value through o</t>
        </is>
      </c>
    </row>
    <row r="61">
      <c r="A61" s="8" t="inlineStr">
        <is>
          <t>Intangible Assets &amp; Goodwill</t>
        </is>
      </c>
      <c r="B61" s="8" t="inlineStr">
        <is>
          <t>無形資產及商譽</t>
        </is>
      </c>
      <c r="C61" s="19" t="inlineStr">
        <is>
          <t>high</t>
        </is>
      </c>
      <c r="D61" s="11" t="inlineStr">
        <is>
          <t>攤銷</t>
        </is>
      </c>
      <c r="E61" s="11" t="inlineStr">
        <is>
          <t>PDF p.195 (印刷頁 194)</t>
        </is>
      </c>
      <c r="F61" s="11" t="inlineStr">
        <is>
          <t>ignated Financial as such Mandatorily assets at upon initial designated Equity amortised recognition as such investments cost Total 按攤銷成本 於初始認時 計量之 指定 強制指定 權益投資 金融資產 總計 HK$’000 HK$’000 HK$’000 HK$’000 HK$’000 港幣千元 港幣千元 港幣千元 港幣千元 港幣千元 Trade receivables 應收貿易賬款 – – – 592,404 592,404 Financial assets included in prepayments, 包括於預付款項、訂金及 deposits and other receivables 其他應收款項之金融資產 – – – 166,769 166,769 Financial assets at fair value through profit or loss 按公平值透過損益入賬之 金融資產 2,800 97,775 – – 100,575 Financial assets at fair value throug</t>
        </is>
      </c>
    </row>
    <row r="62">
      <c r="A62" s="8" t="inlineStr">
        <is>
          <t>Investment Properties</t>
        </is>
      </c>
      <c r="B62" s="8" t="inlineStr">
        <is>
          <t>投資物業</t>
        </is>
      </c>
      <c r="C62" s="19" t="inlineStr">
        <is>
          <t>high</t>
        </is>
      </c>
      <c r="D62" s="11" t="inlineStr">
        <is>
          <t>投資物業</t>
        </is>
      </c>
      <c r="E62" s="11" t="inlineStr">
        <is>
          <t>PDF p.24 (印刷頁 23)</t>
        </is>
      </c>
      <c r="F62" s="11" t="inlineStr">
        <is>
          <t>and investment properties of 268,273,000港元的土地及樓宇及約16,006,000港元 approximately HK$16,006,000 to secure the banking facilities granted 的投資物業，以取得授予本集團的銀行信貸。 to the Group. Capital commitments 資本承擔 The Group had capital commitments in respect of property, plant and 於二零二六年三月三十一日，本集團就物業、廠房 equipment which were contracted but not provided for in the financial 及設備之已訂約但未於財務報表撥備之資本承擔為 statements of HK$607,000 as at 31 March 2026. 607,000港元。 四洲集團有限公司 23 二零二六年年報</t>
        </is>
      </c>
    </row>
    <row r="63">
      <c r="A63" s="8" t="inlineStr">
        <is>
          <t>Investment Properties</t>
        </is>
      </c>
      <c r="B63" s="8" t="inlineStr">
        <is>
          <t>投資物業</t>
        </is>
      </c>
      <c r="C63" s="19" t="inlineStr">
        <is>
          <t>high</t>
        </is>
      </c>
      <c r="D63" s="11" t="inlineStr">
        <is>
          <t>投資物業</t>
        </is>
      </c>
      <c r="E63" s="11" t="inlineStr">
        <is>
          <t>PDF p.82 (印刷頁 81)</t>
        </is>
      </c>
      <c r="F63" s="11" t="inlineStr">
        <is>
          <t>K$’000 HK$’000 附註 港幣千元 港幣千元 NON-CURRENT ASSETS 非流動資產 Property, plant and equipment 物業、廠房及設備 14 859,411 896,547 Investment properties 投資物業 16 32,507 33,957 Goodwill 商譽 17 100,432 101,871 Other intangible assets 其他無形資產 18 33,654 39,249 Investments in joint ventures 於合營企業之投資 19 29,381 12,362 Investments in associates 於聯營公司之投資 20 194,362 186,995 Financial assets at fair value through 按公平值透過損益入賬的 profit or loss 金融資產 25 13,502 16,964 Financial assets at fair value through other 按公平值透過其他全面 comprehensive income 收益入賬的金融資產 21 15,933 24,8</t>
        </is>
      </c>
    </row>
    <row r="64">
      <c r="A64" s="8" t="inlineStr">
        <is>
          <t>Investment Properties</t>
        </is>
      </c>
      <c r="B64" s="8" t="inlineStr">
        <is>
          <t>投資物業</t>
        </is>
      </c>
      <c r="C64" s="19" t="inlineStr">
        <is>
          <t>high</t>
        </is>
      </c>
      <c r="D64" s="11" t="inlineStr">
        <is>
          <t>投資物業</t>
        </is>
      </c>
      <c r="E64" s="11" t="inlineStr">
        <is>
          <t>PDF p.86 (印刷頁 85)</t>
        </is>
      </c>
      <c r="F64" s="11" t="inlineStr">
        <is>
          <t>Bank interest income 銀行利息收入 5 (3,246) (4,572) Dividend income 股息收入 5 (1,696) (1,569) Net fair value losses on investment properties 投資物業之公平值虧損淨額 5 1,527 483 Net fair value losses/(gains) on financial 按公平值透過損益入賬的 assets at fair value through profit or loss 金融資產之公平值虧損╱ （收益）淨額 5 (1,074) 536 Finance costs 融資成本 7 55,037 58,103 Gain on voluntary liquidation of subsidiaries 附屬公司自願清盤之收益 6 – (6,577) Loss on disposal/write-off of items of 出售╱撇銷物業、廠房及 property, plant and equipment, net 設備項目之虧損，淨額 6 2,738 1,334 Depreciation of items of pr</t>
        </is>
      </c>
    </row>
    <row r="65">
      <c r="A65" s="8" t="inlineStr">
        <is>
          <t>Investment Properties</t>
        </is>
      </c>
      <c r="B65" s="8" t="inlineStr">
        <is>
          <t>投資物業</t>
        </is>
      </c>
      <c r="C65" s="19" t="inlineStr">
        <is>
          <t>high</t>
        </is>
      </c>
      <c r="D65" s="11" t="inlineStr">
        <is>
          <t>投資物業</t>
        </is>
      </c>
      <c r="E65" s="11" t="inlineStr">
        <is>
          <t>PDF p.96 (印刷頁 95)</t>
        </is>
      </c>
      <c r="F65" s="11" t="inlineStr">
        <is>
          <t>d Interpretations) as issued by the Hong 準則（「香港會計準則」）和詮釋）以及香港公司 Kong Institute of Certified Public Accountants (“HKICPA”) 條例的披露規定編製。除投資物業及按公平值 and the disclosure requirements of the Hong Kong Companies 透過損益入賬的金融資產、按公平值透過其他 Ordinance. They have been prepared under the historical cost 全面收益入賬的金融資產已按公平值計量外， convention, except for investment properties, financial assets at 本財務報表根據歷史成本法編製。本財務報表 fair value through profit or loss and financial assets at fair value 以港元（「港元」）呈列，除另有註明者外，所有 through other comprehensive income, which have be</t>
        </is>
      </c>
    </row>
    <row r="66">
      <c r="A66" s="8" t="inlineStr">
        <is>
          <t>Investment Properties</t>
        </is>
      </c>
      <c r="B66" s="8" t="inlineStr">
        <is>
          <t>投資物業</t>
        </is>
      </c>
      <c r="C66" s="19" t="inlineStr">
        <is>
          <t>high</t>
        </is>
      </c>
      <c r="D66" s="11" t="inlineStr">
        <is>
          <t>投資物業</t>
        </is>
      </c>
      <c r="E66" s="11" t="inlineStr">
        <is>
          <t>PDF p.109 (印刷頁 108)</t>
        </is>
      </c>
      <c r="F66" s="11" t="inlineStr">
        <is>
          <t>f impairment exists, or when annual 倘有顯示出現減值，或當需要對資產（存貨、 impairment testing for an asset is required (other than inventories, 遞延稅項資產、投資物業及分類為持作出售的 deferred tax assets, investment properties and non-current assets 非流動資產除外）作每年減值測試，則須估計 classified as held for sale), the asset’s recoverable amount is 資產之可收回價值。資產之可收回價值按資產 estimated. An asset’s recoverable amount is the higher of the 或現金產生單位之使用價值，以及其公平值減 asset’s or cash-generating unit’s value in use and its fair value 出售成本之較高者計算，並就各個別資產而釐 less costs of disposal, and is determined fo</t>
        </is>
      </c>
    </row>
    <row r="67">
      <c r="A67" s="8" t="inlineStr">
        <is>
          <t>Investment Properties</t>
        </is>
      </c>
      <c r="B67" s="8" t="inlineStr">
        <is>
          <t>投資物業</t>
        </is>
      </c>
      <c r="C67" s="19" t="inlineStr">
        <is>
          <t>high</t>
        </is>
      </c>
      <c r="D67" s="11" t="inlineStr">
        <is>
          <t>投資物業</t>
        </is>
      </c>
      <c r="E67" s="11" t="inlineStr">
        <is>
          <t>PDF p.113 (印刷頁 112)</t>
        </is>
      </c>
      <c r="F67" s="11" t="inlineStr">
        <is>
          <t>財務報表附註 Year ended 31 March 2026 截至二零二六年三月三十一日止年度 2.4 MATERIAL ACCOUNTING POLICIES 2.4 重大會計政策摘要（續） (continued) Investment properties 投資物業 Investment properties are interests in land and buildings 投資物業為於持作賺取租金收入及╱或資本增 (including right-of-use assets) held to earn rental income and/ 值（包括使用權資產）的土地及樓宇之權益。該 or for capital appreciation. Such properties are measured 等物業初始以成本（包括交易成本）列賬。於初 initially at cost, including transaction costs. Subsequent to initial 次確認後，投資物業以反映於報告期末之市況 recognition, investment properties are stated at fair value</t>
        </is>
      </c>
    </row>
    <row r="68">
      <c r="A68" s="8" t="inlineStr">
        <is>
          <t>Investment Properties</t>
        </is>
      </c>
      <c r="B68" s="8" t="inlineStr">
        <is>
          <t>投資物業</t>
        </is>
      </c>
      <c r="C68" s="19" t="inlineStr">
        <is>
          <t>high</t>
        </is>
      </c>
      <c r="D68" s="11" t="inlineStr">
        <is>
          <t>投資物業</t>
        </is>
      </c>
      <c r="E68" s="11" t="inlineStr">
        <is>
          <t>PDF p.137 (印刷頁 136)</t>
        </is>
      </c>
      <c r="F68" s="11" t="inlineStr">
        <is>
          <t>off of items of property, 出售╱撇銷物業、廠房及設備 plant and equipment 項目之虧損 1,944 740 54 2,738 Fair value loss/(gain) on investment properties 投資物業之公平值虧損╱（收益） – 2,096 (569) 1,527 Capital expenditure** 資本開支** 21,103 5,661 2,020 28,784 Non-current assets*** 非流動資產*** 483,254 338,921 203,829 1,026,004 136 FOUR SEAS MERCANTILE HOLDINGS LIMITED ANNUAL REPORT 2026</t>
        </is>
      </c>
    </row>
    <row r="69">
      <c r="A69" s="8" t="inlineStr">
        <is>
          <t>Investment Properties</t>
        </is>
      </c>
      <c r="B69" s="8" t="inlineStr">
        <is>
          <t>投資物業</t>
        </is>
      </c>
      <c r="C69" s="19" t="inlineStr">
        <is>
          <t>high</t>
        </is>
      </c>
      <c r="D69" s="11" t="inlineStr">
        <is>
          <t>投資物業</t>
        </is>
      </c>
      <c r="E69" s="11" t="inlineStr">
        <is>
          <t>PDF p.138 (印刷頁 137)</t>
        </is>
      </c>
      <c r="F69" s="11" t="inlineStr">
        <is>
          <t>-off of items of 出售╱撇銷物業、廠房及設備項 property, plant and equipment 目之虧損╱（收益） (313) 8 1,639 1,334 Fair value loss on investment properties 投資物業之公平值虧損 – 432 51 483 Capital expenditure** 資本開支** 249,146 21,618 344 271,108 Non-current assets*** 非流動資產*** 498,398 355,157 218,069 1,071,624 * The revenue information above is based on the locations of the * 除日本分部一間附屬公司來自與中國大陸之銷 customers, except for a subsidiary within the Japan segment 售予外界客戶之93,665,000港元（二零二五年： whose sales to external customers of HK$93,665,000 (2025: 69,821,000港元）外，以上收入資料乃</t>
        </is>
      </c>
    </row>
    <row r="70">
      <c r="A70" s="8" t="inlineStr">
        <is>
          <t>Investment Properties</t>
        </is>
      </c>
      <c r="B70" s="8" t="inlineStr">
        <is>
          <t>投資物業</t>
        </is>
      </c>
      <c r="C70" s="19" t="inlineStr">
        <is>
          <t>high</t>
        </is>
      </c>
      <c r="D70" s="11" t="inlineStr">
        <is>
          <t>投資物業</t>
        </is>
      </c>
      <c r="E70" s="11" t="inlineStr">
        <is>
          <t>PDF p.141 (印刷頁 140)</t>
        </is>
      </c>
      <c r="F70" s="11" t="inlineStr">
        <is>
          <t>er income 其他收入 Bank interest income 銀行利息收入 3,246 4,572 Dividend income 股息收入 1,696 1,569 Rental income from investment properties 經營租賃投資物業之租金收入： operating leases: Other lease payments, including fixed 其他租賃付款，包括固定付款 payments 2,870 2,959 Others 其他 6,820 7,636 Total other income 其他收入總額 14,632 16,736 Gains/(losses), net 收益╱（虧損），淨額 Net fair value losses on investment 投資物業之公平值虧損淨額 properties (1,527) (483) Net fair value gains/(losses) on financial 按公平值透過損益入賬的金融資產 assets at fair value through profit or loss 之公平值收益╱（虧損）淨額 1,074 (536) To</t>
        </is>
      </c>
    </row>
    <row r="71">
      <c r="A71" s="8" t="inlineStr">
        <is>
          <t>Investment Properties</t>
        </is>
      </c>
      <c r="B71" s="8" t="inlineStr">
        <is>
          <t>投資物業</t>
        </is>
      </c>
      <c r="C71" s="19" t="inlineStr">
        <is>
          <t>high</t>
        </is>
      </c>
      <c r="D71" s="11" t="inlineStr">
        <is>
          <t>投資物業</t>
        </is>
      </c>
      <c r="E71" s="11" t="inlineStr">
        <is>
          <t>PDF p.143 (印刷頁 142)</t>
        </is>
      </c>
      <c r="F71" s="11" t="inlineStr">
        <is>
          <t>止確認使用權資產之 assets, net 收益，淨額 (255) (224) Foreign exchange differences, net 匯兌差額，淨額 (5,841) 599 Direct operating expenses (including 收租投資物業產生之直接 repairs and maintenance) arising from 經營開支（包括維修及 rental-earning investment properties 保養） 828 1,000 Write-down of slow-moving inventories, 滯銷存貨撇銷，淨額* net* 2,655 2,955 ^ At 31 March 2026, there are no forfeited contributions that may be ^ 於二零二六年三月三十一日，本集團作為僱主 used by the Group as the employer to reduce the existing level of 無收回供款可用作減低現有供款水平（二零二五 contributions (2025: Nil). 年：無）。 * The writ</t>
        </is>
      </c>
    </row>
    <row r="72">
      <c r="A72" s="8" t="inlineStr">
        <is>
          <t>Investment Properties</t>
        </is>
      </c>
      <c r="B72" s="8" t="inlineStr">
        <is>
          <t>投資物業</t>
        </is>
      </c>
      <c r="C72" s="19" t="inlineStr">
        <is>
          <t>high</t>
        </is>
      </c>
      <c r="D72" s="11" t="inlineStr">
        <is>
          <t>投資物業</t>
        </is>
      </c>
      <c r="E72" s="11" t="inlineStr">
        <is>
          <t>PDF p.157 (印刷頁 156)</t>
        </is>
      </c>
      <c r="F72" s="11" t="inlineStr">
        <is>
          <t>S (continued) 15. 租賃（續） The Group as a lessor 本集團作為出租人 The Group leases its investment properties (note 16) consisting 本集團根據經營租賃安排租賃其投資物業（附 of one industrial property located in the Chinese Mainland, one 註16），包括位於中國大陸的一項工業物業、 industrial property and one residential property located in Japan 日本的一項工業物業及一項住宅物業。租賃條 under operating lease arrangements. The terms of the leases 款一般要求租戶支付保證金，並根據當時的市 generally require the tenants to pay security deposits and provide 況定期調整租金。本集團於年內已確認之租金 for periodic rent adjustments according to the then</t>
        </is>
      </c>
    </row>
    <row r="73">
      <c r="A73" s="8" t="inlineStr">
        <is>
          <t>Investment Properties</t>
        </is>
      </c>
      <c r="B73" s="8" t="inlineStr">
        <is>
          <t>投資物業</t>
        </is>
      </c>
      <c r="C73" s="19" t="inlineStr">
        <is>
          <t>high</t>
        </is>
      </c>
      <c r="D73" s="11" t="inlineStr">
        <is>
          <t>investment property</t>
        </is>
      </c>
      <c r="E73" s="11" t="inlineStr">
        <is>
          <t>PDF p.158 (印刷頁 157)</t>
        </is>
      </c>
      <c r="F73" s="11" t="inlineStr">
        <is>
          <t>the valuers on the valuation assumptions and valuation results when the valuations are performed for annual financial reporting. The investment property in the Chinese Mainland is leased 中國大陸之投資物業以經營租約形式租賃予本 to an associate of the Group under an operating lease and the 集團之聯營公司，而日本之投資物業以經營租 investment properties in Japan are leased to third parties under 約形式租賃予第三方，詳情載於財務報表附註 operating leases, further summary details of which are included 15及35(a)(iv)。 in notes 15 and 35(a)(iv) to the financial statements. At 31 March 2026, the G</t>
        </is>
      </c>
    </row>
    <row r="74">
      <c r="A74" s="8" t="inlineStr">
        <is>
          <t>Investment Properties</t>
        </is>
      </c>
      <c r="B74" s="8" t="inlineStr">
        <is>
          <t>投資物業</t>
        </is>
      </c>
      <c r="C74" s="19" t="inlineStr">
        <is>
          <t>high</t>
        </is>
      </c>
      <c r="D74" s="11" t="inlineStr">
        <is>
          <t>投資物業</t>
        </is>
      </c>
      <c r="E74" s="11" t="inlineStr">
        <is>
          <t>PDF p.159 (印刷頁 158)</t>
        </is>
      </c>
      <c r="F74" s="11" t="inlineStr">
        <is>
          <t>Notes to Financial Statements 財務報表附註 Year ended 31 March 2026 截至二零二六年三月三十一日止年度 16. INVESTMENT PROPERTIES (continued) 16. 投資物業（續） Fair value hierarchy 公平值架構 The following table illustrates the fair value measurement 下表說明本集團投資物業之公平值計量架構： hierarchy of the Group’s investment properties: Fair value measurement as at 31 March 2026 using 於二零二六年三月三十一日之公平值計量採用 Quoted prices Significant Significant in active observable unobservable markets inputs inputs (Level 1) (Level 2) (Level 3) Total 活躍 重大可觀察 重大不可觀察 市場報價 的輸入值 的輸入值 （第一層）</t>
        </is>
      </c>
    </row>
    <row r="75">
      <c r="A75" s="8" t="inlineStr">
        <is>
          <t>Investment Properties</t>
        </is>
      </c>
      <c r="B75" s="8" t="inlineStr">
        <is>
          <t>投資物業</t>
        </is>
      </c>
      <c r="C75" s="19" t="inlineStr">
        <is>
          <t>high</t>
        </is>
      </c>
      <c r="D75" s="11" t="inlineStr">
        <is>
          <t>投資物業</t>
        </is>
      </c>
      <c r="E75" s="11" t="inlineStr">
        <is>
          <t>PDF p.160 (印刷頁 159)</t>
        </is>
      </c>
      <c r="F75" s="11" t="inlineStr">
        <is>
          <t>Notes to Financial Statements 財務報表附註 Year ended 31 March 2026 截至二零二六年三月三十一日止年度 16. INVESTMENT PROPERTIES (continued) 16. 投資物業（續） Fair value hierarchy (continued) 公平值架構（續） Reconciliation of fair value measurements categorised within 分類至公平值架構第三層的公平值計量對賬： Level 3 of the fair value hierarchy: Residential Industrial property properties 住宅物業 工業物業 HK$’000 HK$’000 港幣千元 港幣千元 Carrying amount at 1 April 2024 於二零二四年四月一日之賬面值 8,582 25,863 Net loss from fair value adjustments 於損益確認之公平值調整虧損淨額 recognised in profit or loss – (483) Ex</t>
        </is>
      </c>
    </row>
    <row r="76">
      <c r="A76" s="8" t="inlineStr">
        <is>
          <t>Investment Properties</t>
        </is>
      </c>
      <c r="B76" s="8" t="inlineStr">
        <is>
          <t>投資物業</t>
        </is>
      </c>
      <c r="C76" s="19" t="inlineStr">
        <is>
          <t>high</t>
        </is>
      </c>
      <c r="D76" s="11" t="inlineStr">
        <is>
          <t>capitalisation rate</t>
        </is>
      </c>
      <c r="E76" s="11" t="inlineStr">
        <is>
          <t>PDF p.161 (印刷頁 160)</t>
        </is>
      </c>
      <c r="F76" s="11" t="inlineStr">
        <is>
          <t>,404 JPY2,508 日本之住宅物業 income approach 每月租值（每平方米） 2,285日圓- 2,179日圓- 收益法中的貼現 2,404日圓 2,508日圓 現金流法 Discount rate 4.2% 4.3% 貼現率 Terminal capitalisation rate 4.5% 4.6% 最終資本化率 Industrial property in Cost method Building unit cost JPY112,000 JPY110,000 Japan 成本法 (per square metre) 112,000日圓 110,000日圓 日本之工業物業 樓宇單位成本（每平方米） Land unit value JPY136,000 JPY136,000 (per square metre) 136,000日圓 136,000日圓 土地單位價值（每平方米） Industrial property in Direct capitalisation Market rental value RMB23 RMB23.7 Chinese Mainland method (per square metre per mo</t>
        </is>
      </c>
    </row>
    <row r="77">
      <c r="A77" s="8" t="inlineStr">
        <is>
          <t>Investment Properties</t>
        </is>
      </c>
      <c r="B77" s="8" t="inlineStr">
        <is>
          <t>投資物業</t>
        </is>
      </c>
      <c r="C77" s="19" t="inlineStr">
        <is>
          <t>high</t>
        </is>
      </c>
      <c r="D77" s="11" t="inlineStr">
        <is>
          <t>investment property</t>
        </is>
      </c>
      <c r="E77" s="11" t="inlineStr">
        <is>
          <t>PDF p.162 (印刷頁 161)</t>
        </is>
      </c>
      <c r="F77" s="11" t="inlineStr">
        <is>
          <t>in 僅每月租金顯著增加（減少）會導致投資物業的 isolation would result in a significant increase (decrease) in the 公平值顯著增加（減少）。僅最終資本化率及貼 fair value of the investment property. A significant increase 現率大幅上升（下降）會導致投資物業之公平值 (decrease) in the terminal capitalisation rate and the discount rate 大幅下降（上升）。 in isolation would result in a significant decrease (increase) in the fair value of the investment property. Under the direct capitalisation method, a property’s fair value 根據直接資本化法，物業公平值乃根據該物業 is estimated based on the normalised net operating income 所帶來</t>
        </is>
      </c>
    </row>
    <row r="78">
      <c r="A78" s="8" t="inlineStr">
        <is>
          <t>Investment Properties</t>
        </is>
      </c>
      <c r="B78" s="8" t="inlineStr">
        <is>
          <t>投資物業</t>
        </is>
      </c>
      <c r="C78" s="19" t="inlineStr">
        <is>
          <t>high</t>
        </is>
      </c>
      <c r="D78" s="11" t="inlineStr">
        <is>
          <t>投資物業</t>
        </is>
      </c>
      <c r="E78" s="11" t="inlineStr">
        <is>
          <t>PDF p.178 (印刷頁 177)</t>
        </is>
      </c>
      <c r="F78" s="11" t="inlineStr">
        <is>
          <t>of approximately HK$66,276,000 (2025: 零二五年：71,034,000港元））及本集團若干位 HK$71,034,000) and certain of the Group’s investment properties 於日本之投資物業（於報告期末賬面總值為 in Japan, which had an aggregate carrying value of HK$16,006,000 16,006,000港元（二零二五年：16,245,000港元）） (2025: HK$16,245,000) at the end of the reporting period as 作為抵押，詳情載於財務報表附註14(a)及16。 detailed in notes 14(a) and 16 to the financial statements. (d) At 31 March 2026, certain of the Group’s property, plant (d) 於二零二六年三月三十一日，本集團若干位於 and equipment in Hong Kong with a net carrying amount</t>
        </is>
      </c>
    </row>
    <row r="79">
      <c r="A79" s="8" t="inlineStr">
        <is>
          <t>Investment Properties</t>
        </is>
      </c>
      <c r="B79" s="8" t="inlineStr">
        <is>
          <t>投資物業</t>
        </is>
      </c>
      <c r="C79" s="19" t="inlineStr">
        <is>
          <t>high</t>
        </is>
      </c>
      <c r="D79" s="11" t="inlineStr">
        <is>
          <t>investment property</t>
        </is>
      </c>
      <c r="E79" s="11" t="inlineStr">
        <is>
          <t>PDF p.193 (印刷頁 192)</t>
        </is>
      </c>
      <c r="F79" s="11" t="inlineStr">
        <is>
          <t>ubsidiary of the Group entered 於二零二五年九月一日，本公司一間附屬 into one-year agreement with an associate, to lease the 公司與一間聯營公司訂立一年期協議，以 Group’s investment property in the Chinese Mainland to 出租本集團於中國大陸之投資物業予該聯 that associate. Details of the undiscounted lease payment 營公司。有關應收未貼現租賃付款之詳情 receivable are disclosed in note 15 to the financial 已於財務報表附註15披露。 statements. (d) Compensation of key management personnel of the (d) 本集團主要管理人員之報酬： Group: 2026 2025 二零二六年 二零二五年 HK$’000 HK$’000 港幣千元 港幣千元 Short term employee benefits 短期僱員福利 16,863 18,347 Pen</t>
        </is>
      </c>
    </row>
    <row r="80">
      <c r="A80" s="8" t="inlineStr">
        <is>
          <t>Investment Properties</t>
        </is>
      </c>
      <c r="B80" s="8" t="inlineStr">
        <is>
          <t>投資物業</t>
        </is>
      </c>
      <c r="C80" s="19" t="inlineStr">
        <is>
          <t>high</t>
        </is>
      </c>
      <c r="D80" s="11" t="inlineStr">
        <is>
          <t>投資物業</t>
        </is>
      </c>
      <c r="E80" s="11" t="inlineStr">
        <is>
          <t>PDF p.213 (印刷頁 212)</t>
        </is>
      </c>
      <c r="F80" s="11" t="inlineStr">
        <is>
          <t>Particulars of Properties 物業詳情 31 March 2026 二零二六年三月三十一日 INVESTMENT PROPERTIES 投資物業 Percentage of attributable interest of Location Use Tenure the Group 本集團應佔 位置 用途 年期 權益百分比 Levels 1 and 2 (West Portion) Industrial Medium term lease 100 of Four Seas Group Guangdong Headquarter Building Complex, Yuepu South Industrial Zone, Shantou, Guangdong Province, The People's Republic of China 中華人民共和國 工業 中期租約 100 廣東省汕頭市月浦南工業區 四洲集團廣東省總部 綜合大樓一樓及二樓（西側） Miyata No.2 Building, Residential Med</t>
        </is>
      </c>
    </row>
    <row r="81">
      <c r="A81" s="8" t="inlineStr">
        <is>
          <t>ESG Data</t>
        </is>
      </c>
      <c r="B81" s="8" t="inlineStr">
        <is>
          <t>環境社會及管治數據</t>
        </is>
      </c>
      <c r="C81" s="8" t="inlineStr">
        <is>
          <t>medium</t>
        </is>
      </c>
      <c r="D81" s="11" t="inlineStr">
        <is>
          <t>sustainability</t>
        </is>
      </c>
      <c r="E81" s="11" t="inlineStr">
        <is>
          <t>PDF p.15 (印刷頁 14)</t>
        </is>
      </c>
      <c r="F81" s="11" t="inlineStr">
        <is>
          <t>ent 力推動社會發展，積極投入社區服務、義務工作和 through welfare initiatives, volunteer efforts, and youth programmes. 青年發展計劃。本集團更全力支持各類團體組織， By embedding sustainability into every facet of its operations, the 例如沙灘清潔活動及每年一度的香港植樹日，實踐 Group supports diverse causes, including beach clean-ups and the 「四洲有愛」的社會責任承諾，共同為香港可持續發 annual Hong Kong Tree Planting Day. Under its “Four Seas with 展出一分力。 Love” motto, the Group works with communities to build a sustainable future for Hong Kong. During the year under review, the Group’s various businesses have 此外，在回顧期</t>
        </is>
      </c>
    </row>
    <row r="82">
      <c r="A82" s="8" t="inlineStr">
        <is>
          <t>ESG Data</t>
        </is>
      </c>
      <c r="B82" s="8" t="inlineStr">
        <is>
          <t>環境社會及管治數據</t>
        </is>
      </c>
      <c r="C82" s="8" t="inlineStr">
        <is>
          <t>medium</t>
        </is>
      </c>
      <c r="D82" s="11" t="inlineStr">
        <is>
          <t>環境、社會及管治</t>
        </is>
      </c>
      <c r="E82" s="11" t="inlineStr">
        <is>
          <t>PDF p.16 (印刷頁 15)</t>
        </is>
      </c>
      <c r="F82" s="11" t="inlineStr">
        <is>
          <t>deeply embedded in the Group’s 值及商業營運，通過投入資源及業務實踐，盡量減 values and business practices. It has dedicated resources towards 少對環境的影響。二零二六年環境、社會及管治報 minimising environmental impact through various initiatives 告將會提供更多有關本集團環保工作的細節。 and operational improvements. Further details of the Group’s environmentally focused efforts are provided in our Environment, Social and Governance Report 2026. PROSPECTS AND GROWTH 展望未來 The Group remains confident in its future development and will 本集團對未來發展充滿信心，必將竭力提升表現， strive to enhance performance in pur</t>
        </is>
      </c>
    </row>
    <row r="83">
      <c r="A83" s="8" t="inlineStr">
        <is>
          <t>ESG Data</t>
        </is>
      </c>
      <c r="B83" s="8" t="inlineStr">
        <is>
          <t>環境社會及管治數據</t>
        </is>
      </c>
      <c r="C83" s="8" t="inlineStr">
        <is>
          <t>medium</t>
        </is>
      </c>
      <c r="D83" s="11" t="inlineStr">
        <is>
          <t>energy consumption</t>
        </is>
      </c>
      <c r="E83" s="11" t="inlineStr">
        <is>
          <t>PDF p.26 (印刷頁 25)</t>
        </is>
      </c>
      <c r="F83" s="11" t="inlineStr">
        <is>
          <t>; installation of 以控制用量及尋求進一步節約方法。 dust bag filters and fume extraction and filtration system to reduce air emissions; and review of energy consumption level on regular basis to control the usage and find out further energy saving methods. Compliance with relevant laws and regulations 遵守相關法律及法規 Compliance procedures are in place to ensure the compliance in 本集團設有合規程序，以確保在各重大方面遵守對 material respects with the relevant laws and regulations that have a 本集團之業務及營運有重大影響之相關法律及法規。 significant impact on the business and operation of the Gr</t>
        </is>
      </c>
    </row>
    <row r="84">
      <c r="A84" s="8" t="inlineStr">
        <is>
          <t>ESG Data</t>
        </is>
      </c>
      <c r="B84" s="8" t="inlineStr">
        <is>
          <t>環境社會及管治數據</t>
        </is>
      </c>
      <c r="C84" s="8" t="inlineStr">
        <is>
          <t>medium</t>
        </is>
      </c>
      <c r="D84" s="11" t="inlineStr">
        <is>
          <t>環境、社會及管治</t>
        </is>
      </c>
      <c r="E84" s="11" t="inlineStr">
        <is>
          <t>PDF p.30 (印刷頁 29)</t>
        </is>
      </c>
      <c r="F84" s="11" t="inlineStr">
        <is>
          <t>an account of the Group’s 交易所有限公司（「聯交所」）證券上市規則（「上市規 relationship with its key stakeholders are included in the “Management 則」）附錄C2所載之環境、社會及管治報告指引，本 Discussion and Analysis”. These discussions form part of this Report 集團將於年報刊發日期同日刊發環境、社會及管治 of the Directors. In light of the Environmental, Social and Governance 報告。 Reporting Guide as set out in Appendix C2 of the Rules Governing the Listing of Securities on The Stock Exchange of Hong Kong Limited (the “Stock Exchange”) (the “Listing Rules”), a separate Environmental, Social and G</t>
        </is>
      </c>
    </row>
    <row r="85">
      <c r="A85" s="8" t="inlineStr">
        <is>
          <t>ESG Data</t>
        </is>
      </c>
      <c r="B85" s="8" t="inlineStr">
        <is>
          <t>環境社會及管治數據</t>
        </is>
      </c>
      <c r="C85" s="8" t="inlineStr">
        <is>
          <t>medium</t>
        </is>
      </c>
      <c r="D85" s="11" t="inlineStr">
        <is>
          <t>ESG</t>
        </is>
      </c>
      <c r="E85" s="11" t="inlineStr">
        <is>
          <t>PDF p.49 (印刷頁 48)</t>
        </is>
      </c>
      <c r="F85" s="11" t="inlineStr">
        <is>
          <t>not limited 管理風險（包括但不限於業務、營運及環境、社會 to business, operation as well as environmental, social and governance 及管治（「環境、社會及管治」）風險）；下放權力予 (“ESG”) risks) to be assessed and managed; delegate authorities to the 管理層以管理及監察本集團的業務；並確保管理層 management to manage and supervise the business of the Group; and 按所定目標監察表現。 ensure the management monitor performance against objectives being set. The Company has formalised a written guideline for the division 本公司已制定一套書面指引訂明董事會與管理層之 of responsibilities between the Board and the management. Certain 間的職責分設</t>
        </is>
      </c>
    </row>
    <row r="86">
      <c r="A86" s="8" t="inlineStr">
        <is>
          <t>ESG Data</t>
        </is>
      </c>
      <c r="B86" s="8" t="inlineStr">
        <is>
          <t>環境社會及管治數據</t>
        </is>
      </c>
      <c r="C86" s="8" t="inlineStr">
        <is>
          <t>medium</t>
        </is>
      </c>
      <c r="D86" s="11" t="inlineStr">
        <is>
          <t>ESG</t>
        </is>
      </c>
      <c r="E86" s="11" t="inlineStr">
        <is>
          <t>PDF p.66 (印刷頁 65)</t>
        </is>
      </c>
      <c r="F86" s="11" t="inlineStr">
        <is>
          <t>ature and 估及釐定於實現本集團策略目標時所願意承擔之風 extent of risks (including but not limited to business, operation as well 險（包括但不限於業務、營運及環境、社會及管治 as ESG risks) the Group is willing to take in achieving the Group’s 風險）性質及程度，因此負責風險管理之有效性。 strategic objectives and therefore are accountable for the effectiveness of the risk management. 四洲集團有限公司 65 二零二六年年報</t>
        </is>
      </c>
    </row>
    <row r="87">
      <c r="A87" s="8" t="inlineStr">
        <is>
          <t>ESG Data</t>
        </is>
      </c>
      <c r="B87" s="8" t="inlineStr">
        <is>
          <t>環境社會及管治數據</t>
        </is>
      </c>
      <c r="C87" s="8" t="inlineStr">
        <is>
          <t>medium</t>
        </is>
      </c>
      <c r="D87" s="11" t="inlineStr">
        <is>
          <t>ESG</t>
        </is>
      </c>
      <c r="E87" s="11" t="inlineStr">
        <is>
          <t>PDF p.67 (印刷頁 66)</t>
        </is>
      </c>
      <c r="F87" s="11" t="inlineStr">
        <is>
          <t>s and 各部門的高級管理人員確定及評估風險（包括但不 evaluates the risks (including but not limited to business, operation 限於業務、營運及環境、社會及管治風險）可能對 as well as ESG risks) which may potentially impact the major 主要業務流程的潛在影響，包括關鍵營運及財務流 business processes, including key operational and financial processes, 程、監管合規及信息安全、監控風險及採取措施， regulatory compliance and information security, monitors the risks and 以將日常營運所承擔之風險減至最低。 takes measures to mitigate risks in daily operations. Periodic meetings are held between the delegated executive directors 獲授權執行董事及高級管理人員會定期進行會議</t>
        </is>
      </c>
    </row>
    <row r="88">
      <c r="A88" s="8" t="inlineStr">
        <is>
          <t>ESG Data</t>
        </is>
      </c>
      <c r="B88" s="8" t="inlineStr">
        <is>
          <t>環境社會及管治數據</t>
        </is>
      </c>
      <c r="C88" s="8" t="inlineStr">
        <is>
          <t>medium</t>
        </is>
      </c>
      <c r="D88" s="11" t="inlineStr">
        <is>
          <t>可持續</t>
        </is>
      </c>
      <c r="E88" s="11" t="inlineStr">
        <is>
          <t>PDF p.70 (印刷頁 69)</t>
        </is>
      </c>
      <c r="F88" s="11" t="inlineStr">
        <is>
          <t>of the Company to maintain a balance between 2.1 本公司的目標是滿足本公司股東的期望及 meeting expectations of shareholders of the Company and 謹慎的資本管理與可持續股息政策之間保 prudent capital management with a sustainable dividend 持平衡。 policy. 2.2 In considering the payment of dividends of the Company, 2.2 於考慮派付本公司股息時，本公司股東符 shareholders of the Company shall be eligible to participate 合資格參與本公司的溢利，同時保留本公 in the Company’s profits whilst preserving the Company’s 司的流動資金以掌握未來的增長機會。 liquidity to capture future growth opportunities. 3. Guidelines 3. 指引 In deciding w</t>
        </is>
      </c>
    </row>
    <row r="89">
      <c r="A89" s="8" t="inlineStr">
        <is>
          <t>ESG Data</t>
        </is>
      </c>
      <c r="B89" s="8" t="inlineStr">
        <is>
          <t>環境社會及管治數據</t>
        </is>
      </c>
      <c r="C89" s="8" t="inlineStr">
        <is>
          <t>medium</t>
        </is>
      </c>
      <c r="D89" s="11" t="inlineStr">
        <is>
          <t>環境、社會及管治</t>
        </is>
      </c>
      <c r="E89" s="11" t="inlineStr">
        <is>
          <t>PDF p.101 (印刷頁 100)</t>
        </is>
      </c>
      <c r="F89" s="11" t="inlineStr">
        <is>
          <t>yment system before the settlement date if 金融負債進行終止確認。這些修訂說明了如何 specified criteria are met. The amendments clarify how to assess 評估具有環境、社會及管治以及其他類似條件 the contractual cash flow characteristics of financial assets 特徵的金融資產的合同現金流量特徵。此外， with environmental, social and governance and other similar 這些修訂還澄清了對具有無追索權特徵的金融 contingent features. Moreover, the amendments clarify the 資產和合同關聯工具的分類要求。這些修訂還 requirements for classifying financial assets with non-recourse 包括對指定以公允價值計量且其變動計入其他 features and contractually linked instruments. The amen</t>
        </is>
      </c>
    </row>
    <row r="90">
      <c r="A90" s="8" t="inlineStr">
        <is>
          <t>R&amp;D Expenditure</t>
        </is>
      </c>
      <c r="B90" s="8" t="inlineStr">
        <is>
          <t>研發開支</t>
        </is>
      </c>
      <c r="C90" s="8" t="inlineStr">
        <is>
          <t>medium</t>
        </is>
      </c>
      <c r="D90" s="11" t="inlineStr">
        <is>
          <t>研發</t>
        </is>
      </c>
      <c r="E90" s="11" t="inlineStr">
        <is>
          <t>PDF p.12 (印刷頁 11)</t>
        </is>
      </c>
      <c r="F90" s="11" t="inlineStr">
        <is>
          <t>creased production capacity to meet 國內地汕頭市的兩大食品生產基地，專注薯片、蝦 consumer demand. In addition, the Group’s two major production 條及玉米條等休閒小食的研發與生產，成功獲得香 plants operated by Calbee Four Seas Co., Ltd. in the Tseung Kwan 港及中國內地消費者的喜愛。同時，因應日本市場 O Industrial Estate in Hong Kong and Shantou in Chinese Mainland 對零食需求日漸增加，本集團亦進一步利用內地的 produce popular snacks such as potato chips, shrimp strips, and corn 食品加工廠，讓內地廠房的生產力「走出去」，滿足 sticks, which are in high demand in both Hong Kong and Chinese 日本市場的食品需要。 Mainland. As demand for snack foods in Japan</t>
        </is>
      </c>
    </row>
    <row r="91">
      <c r="A91" s="8" t="inlineStr">
        <is>
          <t>Segment Information</t>
        </is>
      </c>
      <c r="B91" s="8" t="inlineStr">
        <is>
          <t>分部資料</t>
        </is>
      </c>
      <c r="C91" s="8" t="inlineStr">
        <is>
          <t>medium</t>
        </is>
      </c>
      <c r="D91" s="11" t="inlineStr">
        <is>
          <t>reportable segment</t>
        </is>
      </c>
      <c r="E91" s="11" t="inlineStr">
        <is>
          <t>PDF p.134 (印刷頁 133)</t>
        </is>
      </c>
      <c r="F91" s="11" t="inlineStr">
        <is>
          <t>定資源分配及評估表現。分部表現根據須予報 resources allocation and performance assessment. Segment 告分部溢利╱虧損（即經調整除稅前溢利╱虧 performance is evaluated based on reportable segment profit/ 損之方式計算）評估。經調整除稅前溢利╱虧 loss, which is a measure of adjusted profit/loss before tax. The 損之計算方法與本集團之除稅前溢利一致，惟 adjusted profit/loss before tax is measured consistently with the 利息收入、股息收入及未分配收益╱虧損、非 Group’s profit before tax except that interest income, dividend 租賃相關的融資成本、應佔合營企業及聯營公 income and unallocated gains/losses, non-lease-related finance 司溢利及虧損以及公司及其他未分配開支則不 costs, sha</t>
        </is>
      </c>
    </row>
    <row r="92">
      <c r="A92" s="8" t="inlineStr">
        <is>
          <t>Segment Information</t>
        </is>
      </c>
      <c r="B92" s="8" t="inlineStr">
        <is>
          <t>分部資料</t>
        </is>
      </c>
      <c r="C92" s="8" t="inlineStr">
        <is>
          <t>medium</t>
        </is>
      </c>
      <c r="D92" s="11" t="inlineStr">
        <is>
          <t>operating segment</t>
        </is>
      </c>
      <c r="E92" s="11" t="inlineStr">
        <is>
          <t>PDF p.135 (印刷頁 134)</t>
        </is>
      </c>
      <c r="F92" s="11" t="inlineStr">
        <is>
          <t>Notes to Financial Statements 財務報表附註 Year ended 31 March 2026 截至二零二六年三月三十一日止年度 4. OPERATING SEGMENT 4. 經營分部資料（續） INFORMATION (continued) Geographical segments 地區分部 Year ended 31 March 2026 截至二零二六年三月三十一日止年度 Chinese Hong Kong Mainland Japan Total 香港 中國大陸 日本 總計 HK$’000 HK$’000 HK$’000 HK$’000 港幣千元 港幣千元 港幣千元 港幣千元 Segment revenue: (note 5) 分部收入：（附註5） Sales to external customers* 銷售予外界客戶* 1,776,395 629,845 1,336,811 3,743,051 Intersegment sales 內部銷售 44,669 183,029 33,609 261,307 Tota</t>
        </is>
      </c>
    </row>
    <row r="93">
      <c r="A93" s="8" t="inlineStr">
        <is>
          <t>Segment Information</t>
        </is>
      </c>
      <c r="B93" s="8" t="inlineStr">
        <is>
          <t>分部資料</t>
        </is>
      </c>
      <c r="C93" s="8" t="inlineStr">
        <is>
          <t>medium</t>
        </is>
      </c>
      <c r="D93" s="11" t="inlineStr">
        <is>
          <t>operating segment</t>
        </is>
      </c>
      <c r="E93" s="11" t="inlineStr">
        <is>
          <t>PDF p.136 (印刷頁 135)</t>
        </is>
      </c>
      <c r="F93" s="11" t="inlineStr">
        <is>
          <t>Notes to Financial Statements 財務報表附註 Year ended 31 March 2026 截至二零二六年三月三十一日止年度 4. OPERATING SEGMENT 4. 經營分部資料（續） INFORMATION (continued) Geographical segments (continued) 地區分部（續） Year ended 31 March 2025 截至二零二五年三月三十一日止年度 Chinese Hong Kong Mainland Japan Total 香港 中國大陸 日本 總計 HK$’000 HK$’000 HK$’000 HK$’000 港幣千元 港幣千元 港幣千元 港幣千元 Segment revenue: (note 5) 分部收入：（附註5） Sales to external customers* 銷售予外界客戶* 1,774,086 586,546 1,264,790 3,625,422 Intersegment sales 內部銷售 42,433 191,931 38,6</t>
        </is>
      </c>
    </row>
    <row r="94">
      <c r="A94" s="8" t="inlineStr">
        <is>
          <t>Segment Information</t>
        </is>
      </c>
      <c r="B94" s="8" t="inlineStr">
        <is>
          <t>分部資料</t>
        </is>
      </c>
      <c r="C94" s="8" t="inlineStr">
        <is>
          <t>medium</t>
        </is>
      </c>
      <c r="D94" s="11" t="inlineStr">
        <is>
          <t>segment information</t>
        </is>
      </c>
      <c r="E94" s="11" t="inlineStr">
        <is>
          <t>PDF p.137 (印刷頁 136)</t>
        </is>
      </c>
      <c r="F94" s="11" t="inlineStr">
        <is>
          <t>payables 內部應付款項抵銷 (356,700) Corporate and other unallocated liabilities 公司及其他未分配負債 1,282,575 Total liabilities 負債總值 1,972,831 Other segment information: 其他分部資料： Impairment of trade receivables 應收貿易賬款減值 1,283 1,034 103 2,420 Write-down/(reversal of write-down) of 滯銷存貨撇銷╱（撇銷回撥）， slow-moving inventories, net 淨額 (224) 2,621 258 2,655 Depreciation and amortisation, except for 折舊及攤銷 right-of-use assets （不包括使用權資產） 25,815 25,086 8,205 59,106 Depreciation of right-of-use assets 使用權資產折舊 113,220 15,062 6,799 135,081 Impairment of items o</t>
        </is>
      </c>
    </row>
    <row r="95">
      <c r="A95" s="8" t="inlineStr">
        <is>
          <t>Segment Information</t>
        </is>
      </c>
      <c r="B95" s="8" t="inlineStr">
        <is>
          <t>分部資料</t>
        </is>
      </c>
      <c r="C95" s="8" t="inlineStr">
        <is>
          <t>medium</t>
        </is>
      </c>
      <c r="D95" s="11" t="inlineStr">
        <is>
          <t>segment information</t>
        </is>
      </c>
      <c r="E95" s="11" t="inlineStr">
        <is>
          <t>PDF p.138 (印刷頁 137)</t>
        </is>
      </c>
      <c r="F95" s="11" t="inlineStr">
        <is>
          <t>payables 內部應付款項抵銷 (365,042) Corporate and other unallocated liabilities 公司及其他未分配負債 1,266,160 Total liabilities 負債總值 1,952,894 Other segment information: 其他分部資料： Impairment of trade receivables 應收貿易賬款減值 944 2,118 6 3,068 Write-down of slow-moving inventories 滯銷存貨撇銷 7 2,800 148 2,955 Depreciation and amortisation, except for 折舊及攤銷（不包括使用權資產） right-of-use assets 24,510 41,150 8,993 74,653 Depreciation of right-of-use assets 使用權資產折舊 116,119 17,409 7,221 140,749 Impairment of items of property, plant and 物業、廠房及設備項目之減值 equipment, exc</t>
        </is>
      </c>
    </row>
    <row r="96">
      <c r="A96" s="8" t="inlineStr">
        <is>
          <t>Segment Information</t>
        </is>
      </c>
      <c r="B96" s="8" t="inlineStr">
        <is>
          <t>分部資料</t>
        </is>
      </c>
      <c r="C96" s="8" t="inlineStr">
        <is>
          <t>medium</t>
        </is>
      </c>
      <c r="D96" s="11" t="inlineStr">
        <is>
          <t>geographical</t>
        </is>
      </c>
      <c r="E96" s="11" t="inlineStr">
        <is>
          <t>PDF p.139 (印刷頁 138)</t>
        </is>
      </c>
      <c r="F96" s="11" t="inlineStr">
        <is>
          <t>ts with customers 來自客戶合約之收入 (i) Disaggregated revenue information (i) 收入分類資料 2026 2025 二零二六年 二零二五年 HK$’000 HK$’000 港幣千元 港幣千元 Primary geographical markets: 主要地區市場： Hong Kong 香港 1,776,395 1,774,086 Chinese Mainland 中國大陸 629,845 586,546 Japan* 日本* 1,336,811 1,264,790 Total revenue 總收入 3,743,051 3,625,422 Timing of revenue recognition: 確認收益時間： At a point in time 在某個時間點 3,743,051 3,625,422 * Including revenue from contracts with customers of * 包括來自與中國大陸客戶的合約所產生 approximately HK$93,665,000 (2025: HK$69,821,000) 的收入約93,665,000港元（二零二五年</t>
        </is>
      </c>
    </row>
    <row r="97">
      <c r="A97" s="8" t="inlineStr">
        <is>
          <t>Share-based Payment</t>
        </is>
      </c>
      <c r="B97" s="8" t="inlineStr">
        <is>
          <t>以股份為基礎的付款</t>
        </is>
      </c>
      <c r="C97" s="8" t="inlineStr">
        <is>
          <t>medium</t>
        </is>
      </c>
      <c r="D97" s="11" t="inlineStr">
        <is>
          <t>購股權</t>
        </is>
      </c>
      <c r="E97" s="11" t="inlineStr">
        <is>
          <t>PDF p.35 (印刷頁 34)</t>
        </is>
      </c>
      <c r="F97" s="11" t="inlineStr">
        <is>
          <t>Report of the Directors 董事會報告 PRE-EMPTIVE RIGHTS 優先購股權 There are no provisions for pre-emptive rights under the Company’s 本公司之公司組織章程細則或開曼群島之法例，並 articles of association or the laws of the Cayman Islands which would 無規定本公司必須向其現有股東按持股比例發行新 oblige the Company to offer new shares on a pro rata basis to existing 股份之優先購買權。 shareholders. DISTRIBUTABLE RESERVES 可供分派儲備 At 31 March 2026, the Company’s reserves available for 於二零二六年三月三十一日，本公司可供以現金分 cash distr</t>
        </is>
      </c>
    </row>
    <row r="98">
      <c r="A98" s="8" t="inlineStr">
        <is>
          <t>Share-based Payment</t>
        </is>
      </c>
      <c r="B98" s="8" t="inlineStr">
        <is>
          <t>以股份為基礎的付款</t>
        </is>
      </c>
      <c r="C98" s="8" t="inlineStr">
        <is>
          <t>medium</t>
        </is>
      </c>
      <c r="D98" s="11" t="inlineStr">
        <is>
          <t>share option</t>
        </is>
      </c>
      <c r="E98" s="11" t="inlineStr">
        <is>
          <t>PDF p.41 (印刷頁 40)</t>
        </is>
      </c>
      <c r="F98" s="11" t="inlineStr">
        <is>
          <t>f the Company which were recorded in 份及相關股份中擁有任何權益或淡倉。 the register required to be kept by the Company under section 336 of the SFO. SHARE OPTION SCHEME 購股權計劃 The Company has no outstanding share options at the beginning and 本公司於回顧年度開始及結束時，並無任何未行使 at the end of the year under review. The share option scheme adopted 之購股權。本公司於二零一二年八月二十八日採納 by the Company on 28 August 2012 (the “Scheme”) which had a term 的購股權計劃（「計劃」）為期十年，已於二零二二年 of 10 years had expired on 27 August 2022. Since the expiration of the 八月二十七日屆滿。自該計劃屆滿以來，本公司並 Scheme, t</t>
        </is>
      </c>
    </row>
    <row r="99">
      <c r="A99" s="8" t="inlineStr">
        <is>
          <t>Share-based Payment</t>
        </is>
      </c>
      <c r="B99" s="8" t="inlineStr">
        <is>
          <t>以股份為基礎的付款</t>
        </is>
      </c>
      <c r="C99" s="8" t="inlineStr">
        <is>
          <t>medium</t>
        </is>
      </c>
      <c r="D99" s="11" t="inlineStr">
        <is>
          <t>share-based payment</t>
        </is>
      </c>
      <c r="E99" s="11" t="inlineStr">
        <is>
          <t>PDF p.127 (印刷頁 126)</t>
        </is>
      </c>
      <c r="F99" s="11" t="inlineStr">
        <is>
          <t>nt of any changes in the defined 福利支付而產生之任何變動。 benefit liability during the period as a result of contribution and benefit payments. Share-based payments 以股份為基礎之付款 The Company operates a share option scheme. Employees 本公司設有一項購股權計劃。本集團僱員（包 (including directors) of the Group receive remuneration in 括董事）可按以股份付款形式收取酬金，而 the form of share-based payments, whereby employees render 僱員則提供服務換取權益工具（「股本結算交 services in exchange for equity instruments (“equity-settled 易」）。與僱員之股本結算交易之成本，參考購 transactions”). The cost of equity-settled transacti</t>
        </is>
      </c>
    </row>
    <row r="100">
      <c r="A100" s="8" t="inlineStr">
        <is>
          <t>Share-based Payment</t>
        </is>
      </c>
      <c r="B100" s="8" t="inlineStr">
        <is>
          <t>以股份為基礎的付款</t>
        </is>
      </c>
      <c r="C100" s="8" t="inlineStr">
        <is>
          <t>medium</t>
        </is>
      </c>
      <c r="D100" s="11" t="inlineStr">
        <is>
          <t>share-based payment</t>
        </is>
      </c>
      <c r="E100" s="11" t="inlineStr">
        <is>
          <t>PDF p.128 (印刷頁 127)</t>
        </is>
      </c>
      <c r="F100" s="11" t="inlineStr">
        <is>
          <t>ed 31 March 2026 截至二零二六年三月三十一日止年度 2.4 MATERIAL ACCOUNTING POLICIES 2.4 重大會計政策摘要（續） (continued) Employee benefits (continued) 僱員福利（續） Share-based payments (continued) 以股份為基礎之付款（續） Service and non-market performance conditions are not taken 釐定獎勵授予日期之公平值時，不會考慮服務 into account when determining the grant date fair value of 及非市場表現條件，惟達成該等條件的可能性 awards, but the likelihood of the conditions being met is assessed 被評定為本集團對將最終歸屬的股權工具數目 as part of the Group’s best estimate of the number of equity 的最佳估計之一部份。市場表現條件在授予日 instruments that will u</t>
        </is>
      </c>
    </row>
    <row r="101">
      <c r="A101" s="8" t="inlineStr">
        <is>
          <t>Related Party Transactions</t>
        </is>
      </c>
      <c r="B101" s="8" t="inlineStr">
        <is>
          <t>關聯方交易</t>
        </is>
      </c>
      <c r="C101" s="8" t="inlineStr">
        <is>
          <t>low</t>
        </is>
      </c>
      <c r="D101" s="11" t="inlineStr">
        <is>
          <t>connected transaction</t>
        </is>
      </c>
      <c r="E101" s="11" t="inlineStr">
        <is>
          <t>PDF p.32 (印刷頁 31)</t>
        </is>
      </c>
      <c r="F101" s="11" t="inlineStr">
        <is>
          <t>CONTINUING CONNECTED 持續關連交易 TRANSACTIONS During the year under review, the Group had the following continuing 於回顧年度，本集團曾進行以下持續關連交易，其 connected transactions, certain details of which are disclosed in 中若干詳情已遵照上市規則第14A章的規定予以披 compliance with the requirements of Chapter 14A of the Listing Rules. 露。以下持續關連交易獲豁免遵守上市規則第14A The following continuing connected transactions are exempt from the 章的獨立股東批准規定，且相關金額均未超出日期 independent shareholders’ approval requirement under Rule 14A of the 為二零二五年三月三十一日的公告中所披露的相關 Listing Rules, and the respective</t>
        </is>
      </c>
    </row>
    <row r="102">
      <c r="A102" s="8" t="inlineStr">
        <is>
          <t>Related Party Transactions</t>
        </is>
      </c>
      <c r="B102" s="8" t="inlineStr">
        <is>
          <t>關聯方交易</t>
        </is>
      </c>
      <c r="C102" s="8" t="inlineStr">
        <is>
          <t>low</t>
        </is>
      </c>
      <c r="D102" s="11" t="inlineStr">
        <is>
          <t>related party</t>
        </is>
      </c>
      <c r="E102" s="11" t="inlineStr">
        <is>
          <t>PDF p.33 (印刷頁 32)</t>
        </is>
      </c>
      <c r="F102" s="11" t="inlineStr">
        <is>
          <t>actions disclosed above by the Group in accordance with Rule 14A.56 of the Listing Rules. Save as disclosed above, other significant related party transactions 除上文所披露者外，財務報表附註35載有本集團於 entered into by the Group during the year ended 31 March 2026 set 截至二零二六年三月三十一日止年度進行的其他重 out in the note 35 to the financial statements included transactions that 大關連人士交易，其中若干交易構成持續性關連交 constitute continuing connected transactions and are fully exempt from 易，並獲完全豁免遵守上市規則第14A章的股東批 shareholders’ approval, annual review and disclosure requirements 准、</t>
        </is>
      </c>
    </row>
    <row r="103">
      <c r="A103" s="8" t="inlineStr">
        <is>
          <t>Related Party Transactions</t>
        </is>
      </c>
      <c r="B103" s="8" t="inlineStr">
        <is>
          <t>關聯方交易</t>
        </is>
      </c>
      <c r="C103" s="8" t="inlineStr">
        <is>
          <t>low</t>
        </is>
      </c>
      <c r="D103" s="11" t="inlineStr">
        <is>
          <t>related party</t>
        </is>
      </c>
      <c r="E103" s="11" t="inlineStr">
        <is>
          <t>PDF p.191 (印刷頁 190)</t>
        </is>
      </c>
      <c r="F103" s="11" t="inlineStr">
        <is>
          <t>Notes to Financial Statements 財務報表附註 Year ended 31 March 2026 截至二零二六年三月三十一日止年度 35. RELATED PARTY TRANSACTIONS 35. 關連人士交易 (a) In addition to the transactions and balances detailed (a) 除此等財務報表其他地方所詳述之交易及 elsewhere in these financial statements, the Group had 結餘外，年內本集團與其關連人士訂立下 the following material transactions with its related 列重大交易： parties during the year: 2026 2025 二零二六年 二零二五年 Notes HK$’000 HK$’000 附註 港幣千元 港幣千元 Associates: 聯營公司： Purchases of goods 採購貨品 (i) 346,071 324,448 Sal</t>
        </is>
      </c>
    </row>
    <row r="104">
      <c r="A104" s="8" t="inlineStr">
        <is>
          <t>Related Party Transactions</t>
        </is>
      </c>
      <c r="B104" s="8" t="inlineStr">
        <is>
          <t>關聯方交易</t>
        </is>
      </c>
      <c r="C104" s="8" t="inlineStr">
        <is>
          <t>low</t>
        </is>
      </c>
      <c r="D104" s="11" t="inlineStr">
        <is>
          <t>related party</t>
        </is>
      </c>
      <c r="E104" s="11" t="inlineStr">
        <is>
          <t>PDF p.192 (印刷頁 191)</t>
        </is>
      </c>
      <c r="F104" s="11" t="inlineStr">
        <is>
          <t>Notes to Financial Statements 財務報表附註 Year ended 31 March 2026 截至二零二六年三月三十一日止年度 35. RELATED PARTY TRANSACTIONS 35. 關連人士交易（續） (continued) (a) (continued) (a) （續） Notes: 附註： (i) The cost of purchases from associates was made at pre- (i) 向聯營公司採購之成本乃根據訂約方預先 determined prices agreed between the parties. 議定之價格而釐定。 (ii) The selling prices of the goods sold to associates were (ii) 向聯營公司銷售貨品之售價乃參照向其他 determined by reference to prices and conditions similar to 主要客戶提出之類似價格及條件釐定。 those offer</t>
        </is>
      </c>
    </row>
    <row r="105">
      <c r="A105" s="8" t="inlineStr">
        <is>
          <t>Related Party Transactions</t>
        </is>
      </c>
      <c r="B105" s="8" t="inlineStr">
        <is>
          <t>關聯方交易</t>
        </is>
      </c>
      <c r="C105" s="8" t="inlineStr">
        <is>
          <t>low</t>
        </is>
      </c>
      <c r="D105" s="11" t="inlineStr">
        <is>
          <t>related party</t>
        </is>
      </c>
      <c r="E105" s="11" t="inlineStr">
        <is>
          <t>PDF p.193 (印刷頁 192)</t>
        </is>
      </c>
      <c r="F105" s="11" t="inlineStr">
        <is>
          <t>Notes to Financial Statements 財務報表附註 Year ended 31 March 2026 截至二零二六年三月三十一日止年度 35. RELATED PARTY TRANSACTIONS 35. 關連人士交易（續） (continued) (b) Outstanding balances with related parties: (b) 與關連人士之尚未償還結餘： Details of the Group’s trade balances with its associates 於報告期末，本集團之聯營公司及一間合 and a joint venture at the end of the reporting period are 營企業貿易結餘詳情於財務報表附註27及 disclosed in note 27 and note 24 to the financial statements. 附註24披露。 (c) Commitments with related parties: (c) 與關連人士之承擔： On 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0"/>
  <sheetViews>
    <sheetView workbookViewId="0">
      <pane ySplit="23" topLeftCell="A24"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Intangible Assets</t>
        </is>
      </c>
    </row>
    <row r="14">
      <c r="A14" s="8" t="inlineStr">
        <is>
          <t>Balance Sheet</t>
        </is>
      </c>
      <c r="B14" s="8" t="inlineStr">
        <is>
          <t>Total Liabilities</t>
        </is>
      </c>
    </row>
    <row r="15">
      <c r="A15" s="8" t="inlineStr">
        <is>
          <t>Balance Sheet</t>
        </is>
      </c>
      <c r="B15" s="8" t="inlineStr">
        <is>
          <t>Borrowings</t>
        </is>
      </c>
    </row>
    <row r="16">
      <c r="A16" s="8" t="inlineStr">
        <is>
          <t>Cash Flow</t>
        </is>
      </c>
      <c r="B16" s="8" t="inlineStr">
        <is>
          <t>Financing Cash Flow</t>
        </is>
      </c>
    </row>
    <row r="17">
      <c r="A17" s="8" t="inlineStr">
        <is>
          <t>Cash Flow</t>
        </is>
      </c>
      <c r="B17" s="8" t="inlineStr">
        <is>
          <t>Capital Expenditure</t>
        </is>
      </c>
    </row>
    <row r="20">
      <c r="A20" s="5" t="inlineStr">
        <is>
          <t>二、文字量過低的頁面(疑似掃描頁)</t>
        </is>
      </c>
    </row>
    <row r="21">
      <c r="A21" s="2" t="inlineStr">
        <is>
          <t>這些頁面幾乎抓不到文字,通常是掃描件或純圖表,建議人手翻閱或另行 OCR。</t>
        </is>
      </c>
    </row>
    <row r="23">
      <c r="A23" s="7" t="inlineStr">
        <is>
          <t>PDF 頁碼</t>
        </is>
      </c>
      <c r="B23" s="7" t="inlineStr">
        <is>
          <t>狀態</t>
        </is>
      </c>
    </row>
    <row r="24">
      <c r="A24" s="8" t="n">
        <v>1</v>
      </c>
      <c r="B24" s="8" t="inlineStr">
        <is>
          <t>文字量過低 — 可能為掃描頁/圖表頁</t>
        </is>
      </c>
    </row>
    <row r="25">
      <c r="A25" s="8" t="n">
        <v>6</v>
      </c>
      <c r="B25" s="8" t="inlineStr">
        <is>
          <t>文字量過低 — 可能為掃描頁/圖表頁</t>
        </is>
      </c>
    </row>
    <row r="26">
      <c r="A26" s="8" t="n">
        <v>8</v>
      </c>
      <c r="B26" s="8" t="inlineStr">
        <is>
          <t>文字量過低 — 可能為掃描頁/圖表頁</t>
        </is>
      </c>
    </row>
    <row r="27">
      <c r="A27" s="8" t="n">
        <v>10</v>
      </c>
      <c r="B27" s="8" t="inlineStr">
        <is>
          <t>文字量過低 — 可能為掃描頁/圖表頁</t>
        </is>
      </c>
    </row>
    <row r="28">
      <c r="A28" s="8" t="n">
        <v>23</v>
      </c>
      <c r="B28" s="8" t="inlineStr">
        <is>
          <t>文字量過低 — 可能為掃描頁/圖表頁</t>
        </is>
      </c>
    </row>
    <row r="29">
      <c r="A29" s="8" t="n">
        <v>25</v>
      </c>
      <c r="B29" s="8" t="inlineStr">
        <is>
          <t>文字量過低 — 可能為掃描頁/圖表頁</t>
        </is>
      </c>
    </row>
    <row r="30">
      <c r="A30" s="8" t="n">
        <v>214</v>
      </c>
      <c r="B30"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2026-08-30T14:16:35Z</dcterms:created>
  <dcterms:modified xsi:type="dcterms:W3CDTF">2026-08-30T14:16:35Z</dcterms:modified>
</cp:coreProperties>
</file>
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08003_GREAT_WORLD_20260730.pdf</t>
        </is>
      </c>
    </row>
    <row r="5">
      <c r="A5" s="3" t="inlineStr">
        <is>
          <t>產生時間 Generated</t>
        </is>
      </c>
      <c r="B5" s="4" t="inlineStr">
        <is>
          <t>2026-08-30 22:16</t>
        </is>
      </c>
    </row>
    <row r="6">
      <c r="A6" s="4" t="inlineStr"/>
      <c r="B6" s="4" t="inlineStr"/>
    </row>
    <row r="7">
      <c r="A7" s="3" t="inlineStr">
        <is>
          <t>總頁數 Total pages</t>
        </is>
      </c>
      <c r="B7" s="4" t="n">
        <v>203</v>
      </c>
    </row>
    <row r="8">
      <c r="A8" s="3" t="inlineStr">
        <is>
          <t>已擷取字元 Characters extracted</t>
        </is>
      </c>
      <c r="B8" s="4" t="n">
        <v>414726</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4</v>
      </c>
    </row>
    <row r="13">
      <c r="A13" s="3" t="inlineStr">
        <is>
          <t>財務科目擷取筆數 Financial line items</t>
        </is>
      </c>
      <c r="B13" s="4" t="n">
        <v>11</v>
      </c>
    </row>
    <row r="14">
      <c r="A14" s="3" t="inlineStr">
        <is>
          <t>主題段落擷取筆數 Topic extracts</t>
        </is>
      </c>
      <c r="B14" s="4" t="n">
        <v>125</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31,052 − -40,343 = 71,395</t>
        </is>
      </c>
    </row>
    <row r="20">
      <c r="A20" s="6" t="inlineStr">
        <is>
          <t>✓ 收入 − 銷售成本 = 毛利</t>
        </is>
      </c>
      <c r="B20" s="4" t="inlineStr">
        <is>
          <t>34,496 − 25,823 = 8,673 vs 毛利 8,673</t>
        </is>
      </c>
    </row>
    <row r="21">
      <c r="A21" s="6" t="inlineStr">
        <is>
          <t>✓ 除稅前溢利 ± 稅項 = 年內溢利</t>
        </is>
      </c>
      <c r="B21" s="4" t="inlineStr">
        <is>
          <t>-22,199 + 0 = -22,199 vs -22,199</t>
        </is>
      </c>
    </row>
    <row r="22">
      <c r="A22" s="6" t="inlineStr">
        <is>
          <t>✓ 三大報表應相鄰</t>
        </is>
      </c>
      <c r="B22" s="4" t="inlineStr">
        <is>
          <t>Income Statement: p.80、Balance Sheet: p.83、Cash Flow: p.86(相距 6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20.75</v>
      </c>
      <c r="D5" s="10" t="n">
        <v>20.75</v>
      </c>
      <c r="E5" s="11" t="inlineStr">
        <is>
          <t>20.75%</t>
        </is>
      </c>
      <c r="F5" s="11" t="inlineStr">
        <is>
          <t>High</t>
        </is>
      </c>
      <c r="G5" s="11" t="inlineStr">
        <is>
          <t>PDF p.193 (印刷頁 191)</t>
        </is>
      </c>
      <c r="H5" s="11" t="inlineStr">
        <is>
          <t>r (per cubic metre) Income approach 新疆楊 收入法下的貼現現金流量法 估計售價（每立方米） 人民幣375元 人民幣530元 Discount rate 20.75% 20.72% 貼現率 Cistanche deserticola Discount cash flow Estimated selling price RMB4 RMB5 method under (per catty) Income approach 肉蓯蓉 收入法下的貼現現金流量法 估計售價（每斤）</t>
        </is>
      </c>
    </row>
    <row r="6">
      <c r="A6" s="8" t="inlineStr">
        <is>
          <t>Discount Rate</t>
        </is>
      </c>
      <c r="B6" s="8" t="inlineStr">
        <is>
          <t>折現率</t>
        </is>
      </c>
      <c r="C6" s="9" t="n">
        <v>20.72</v>
      </c>
      <c r="D6" s="10" t="n">
        <v>20.72</v>
      </c>
      <c r="E6" s="11" t="inlineStr">
        <is>
          <t>20.72%</t>
        </is>
      </c>
      <c r="F6" s="11" t="inlineStr">
        <is>
          <t>Medium</t>
        </is>
      </c>
      <c r="G6" s="11" t="inlineStr">
        <is>
          <t>PDF p.193 (印刷頁 191)</t>
        </is>
      </c>
      <c r="H6" s="11" t="inlineStr">
        <is>
          <t>pproach 新疆楊 收入法下的貼現現金流量法 估計售價（每立方米） 人民幣375元 人民幣530元 Discount rate 20.75% 20.72% 貼現率 Cistanche deserticola Discount cash flow Estimated selling price RMB4 RMB5 method under (per catty) Income approach 肉蓯蓉 收入法下的貼現現金流量法 估計售價（每斤） 人民幣4元 人民幣5元 Disco</t>
        </is>
      </c>
    </row>
    <row r="7">
      <c r="A7" s="8" t="inlineStr">
        <is>
          <t>Expected Volatility</t>
        </is>
      </c>
      <c r="B7" s="8" t="inlineStr">
        <is>
          <t>預期波幅</t>
        </is>
      </c>
      <c r="C7" s="9" t="n">
        <v>89.5</v>
      </c>
      <c r="D7" s="10" t="n">
        <v>89.5</v>
      </c>
      <c r="E7" s="11" t="inlineStr">
        <is>
          <t>89.5%</t>
        </is>
      </c>
      <c r="F7" s="11" t="inlineStr">
        <is>
          <t>High</t>
        </is>
      </c>
      <c r="G7" s="11" t="inlineStr">
        <is>
          <t>PDF p.176 (印刷頁 174)</t>
        </is>
      </c>
      <c r="H7" s="11" t="inlineStr">
        <is>
          <t>te 於計量日期的公平值 HK$0.235港元 Share price 股價 HK$0.630港元 Exercise price 行使價 HK$1.000港元 Expected volatility 預期波幅 89.5% Risk-free interest rate 無風險利率 2.6% Expected dividend yield 預期股息收益率 – At the end of the reporting period, no share in respect 於報告期間結算日，概無因行使根 of whic</t>
        </is>
      </c>
    </row>
    <row r="8">
      <c r="A8" s="8" t="inlineStr">
        <is>
          <t>Risk-free Rate</t>
        </is>
      </c>
      <c r="B8" s="8" t="inlineStr">
        <is>
          <t>無風險利率</t>
        </is>
      </c>
      <c r="C8" s="9" t="n">
        <v>2.6</v>
      </c>
      <c r="D8" s="10" t="n">
        <v>2.6</v>
      </c>
      <c r="E8" s="11" t="inlineStr">
        <is>
          <t>2.6%</t>
        </is>
      </c>
      <c r="F8" s="11" t="inlineStr">
        <is>
          <t>High</t>
        </is>
      </c>
      <c r="G8" s="11" t="inlineStr">
        <is>
          <t>PDF p.176 (印刷頁 174)</t>
        </is>
      </c>
      <c r="H8" s="11" t="inlineStr">
        <is>
          <t>ise price 行使價 HK$1.000港元 Expected volatility 預期波幅 89.5% Risk-free interest rate 無風險利率 2.6% Expected dividend yield 預期股息收益率 – At the end of the reporting period, no share in respect 於報告期間結算日，概無因行使根 of which may be issued upon exercise of share op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34496</v>
      </c>
      <c r="D5" s="13" t="n">
        <v>45292</v>
      </c>
      <c r="E5" s="14">
        <f>IF(ISERROR((C5-D5)/ABS(D5)),"",(C5-D5)/ABS(D5))</f>
        <v>-0.23836439106243928</v>
      </c>
      <c r="F5" s="11" t="inlineStr">
        <is>
          <t>PDF p.80 (印刷頁 78)</t>
        </is>
      </c>
      <c r="G5" s="11" t="inlineStr">
        <is>
          <t>Revenue 收益 5 34,496 45,292</t>
        </is>
      </c>
    </row>
    <row r="6">
      <c r="A6" s="8" t="inlineStr">
        <is>
          <t>Income Statement</t>
        </is>
      </c>
      <c r="B6" s="8" t="inlineStr">
        <is>
          <t>Cost of Sales</t>
        </is>
      </c>
      <c r="C6" s="12" t="n">
        <v>-25823</v>
      </c>
      <c r="D6" s="13" t="n">
        <v>-33873</v>
      </c>
      <c r="E6" s="14">
        <f>IF(ISERROR((C6-D6)/ABS(D6)),"",(C6-D6)/ABS(D6))</f>
        <v>0.23765240752221534</v>
      </c>
      <c r="F6" s="11" t="inlineStr">
        <is>
          <t>PDF p.80 (印刷頁 78)</t>
        </is>
      </c>
      <c r="G6" s="11" t="inlineStr">
        <is>
          <t>Cost of sales 銷售成本 (25,823) (33,873)</t>
        </is>
      </c>
    </row>
    <row r="7">
      <c r="A7" s="8" t="inlineStr">
        <is>
          <t>Income Statement</t>
        </is>
      </c>
      <c r="B7" s="8" t="inlineStr">
        <is>
          <t>Gross Profit</t>
        </is>
      </c>
      <c r="C7" s="12" t="n">
        <v>8673</v>
      </c>
      <c r="D7" s="13" t="n">
        <v>11419</v>
      </c>
      <c r="E7" s="14">
        <f>IF(ISERROR((C7-D7)/ABS(D7)),"",(C7-D7)/ABS(D7))</f>
        <v>-0.24047639898414921</v>
      </c>
      <c r="F7" s="11" t="inlineStr">
        <is>
          <t>PDF p.80 (印刷頁 78)</t>
        </is>
      </c>
      <c r="G7" s="11" t="inlineStr">
        <is>
          <t>Gross profit 毛利 8,673 11,419</t>
        </is>
      </c>
    </row>
    <row r="8">
      <c r="A8" s="8" t="inlineStr">
        <is>
          <t>Income Statement</t>
        </is>
      </c>
      <c r="B8" s="8" t="inlineStr">
        <is>
          <t>Finance Costs</t>
        </is>
      </c>
      <c r="C8" s="12" t="n">
        <v>-360</v>
      </c>
      <c r="D8" s="13" t="n">
        <v>-284</v>
      </c>
      <c r="E8" s="14">
        <f>IF(ISERROR((C8-D8)/ABS(D8)),"",(C8-D8)/ABS(D8))</f>
        <v>-0.2676056338028169</v>
      </c>
      <c r="F8" s="11" t="inlineStr">
        <is>
          <t>PDF p.80 (印刷頁 78)</t>
        </is>
      </c>
      <c r="G8" s="11" t="inlineStr">
        <is>
          <t>Finance costs 融資成本 8 (360) (284)</t>
        </is>
      </c>
    </row>
    <row r="9">
      <c r="A9" s="8" t="inlineStr">
        <is>
          <t>Income Statement</t>
        </is>
      </c>
      <c r="B9" s="8" t="inlineStr">
        <is>
          <t>Profit Before Tax</t>
        </is>
      </c>
      <c r="C9" s="12" t="n">
        <v>-22199</v>
      </c>
      <c r="D9" s="13" t="n">
        <v>-3380</v>
      </c>
      <c r="E9" s="14">
        <f>IF(ISERROR((C9-D9)/ABS(D9)),"",(C9-D9)/ABS(D9))</f>
        <v>-5.5677514792899405</v>
      </c>
      <c r="F9" s="11" t="inlineStr">
        <is>
          <t>PDF p.80 (印刷頁 78)</t>
        </is>
      </c>
      <c r="G9" s="11" t="inlineStr">
        <is>
          <t>Loss before tax 除稅前虧損 9 (22,199) (3,380)</t>
        </is>
      </c>
    </row>
    <row r="10">
      <c r="A10" s="8" t="inlineStr">
        <is>
          <t>Income Statement</t>
        </is>
      </c>
      <c r="B10" s="8" t="inlineStr">
        <is>
          <t>Income Tax</t>
        </is>
      </c>
      <c r="C10" s="12" t="n">
        <v>0</v>
      </c>
      <c r="D10" s="13" t="n">
        <v>29</v>
      </c>
      <c r="E10" s="14">
        <f>IF(ISERROR((C10-D10)/ABS(D10)),"",(C10-D10)/ABS(D10))</f>
        <v>-1.0</v>
      </c>
      <c r="F10" s="11" t="inlineStr">
        <is>
          <t>PDF p.80 (印刷頁 78)</t>
        </is>
      </c>
      <c r="G10" s="11" t="inlineStr">
        <is>
          <t>Income tax credit 所得稅抵免 10 – 29</t>
        </is>
      </c>
    </row>
    <row r="11">
      <c r="A11" s="8" t="inlineStr">
        <is>
          <t>Income Statement</t>
        </is>
      </c>
      <c r="B11" s="8" t="inlineStr">
        <is>
          <t>Profit for the Year</t>
        </is>
      </c>
      <c r="C11" s="12" t="n">
        <v>-22199</v>
      </c>
      <c r="D11" s="13" t="n">
        <v>-3351</v>
      </c>
      <c r="E11" s="14">
        <f>IF(ISERROR((C11-D11)/ABS(D11)),"",(C11-D11)/ABS(D11))</f>
        <v>-5.624589674723963</v>
      </c>
      <c r="F11" s="11" t="inlineStr">
        <is>
          <t>PDF p.80 (印刷頁 78)</t>
        </is>
      </c>
      <c r="G11" s="11" t="inlineStr">
        <is>
          <t>Loss for the year from continuing 持續經營業務之本年度虧損 … operations 12 (22,199) (3,351)</t>
        </is>
      </c>
    </row>
    <row r="12">
      <c r="A12" s="8" t="inlineStr">
        <is>
          <t>Balance Sheet</t>
        </is>
      </c>
      <c r="B12" s="8" t="inlineStr">
        <is>
          <t>Property Plant and Equipment</t>
        </is>
      </c>
      <c r="C12" s="12" t="n">
        <v>254</v>
      </c>
      <c r="D12" s="13" t="n">
        <v>336</v>
      </c>
      <c r="E12" s="14">
        <f>IF(ISERROR((C12-D12)/ABS(D12)),"",(C12-D12)/ABS(D12))</f>
        <v>-0.24404761904761904</v>
      </c>
      <c r="F12" s="11" t="inlineStr">
        <is>
          <t>PDF p.83 (印刷頁 81)</t>
        </is>
      </c>
      <c r="G12" s="11" t="inlineStr">
        <is>
          <t>Property, plant and equipment 物業、廠房及設備 16 254 336</t>
        </is>
      </c>
    </row>
    <row r="13">
      <c r="A13" s="8" t="inlineStr">
        <is>
          <t>Balance Sheet</t>
        </is>
      </c>
      <c r="B13" s="8" t="inlineStr">
        <is>
          <t>Trade Receivables</t>
        </is>
      </c>
      <c r="C13" s="12" t="n">
        <v>1537</v>
      </c>
      <c r="D13" s="13" t="n">
        <v>3586</v>
      </c>
      <c r="E13" s="14">
        <f>IF(ISERROR((C13-D13)/ABS(D13)),"",(C13-D13)/ABS(D13))</f>
        <v>-0.5713887339654211</v>
      </c>
      <c r="F13" s="11" t="inlineStr">
        <is>
          <t>PDF p.83 (印刷頁 81)</t>
        </is>
      </c>
      <c r="G13" s="11" t="inlineStr">
        <is>
          <t>Trade receivables 應收賬款 20 1,537 3,586</t>
        </is>
      </c>
    </row>
    <row r="14">
      <c r="A14" s="8" t="inlineStr">
        <is>
          <t>Balance Sheet</t>
        </is>
      </c>
      <c r="B14" s="8" t="inlineStr">
        <is>
          <t>Total Current Assets</t>
        </is>
      </c>
      <c r="C14" s="12" t="n">
        <v>31052</v>
      </c>
      <c r="D14" s="13" t="n">
        <v>96968</v>
      </c>
      <c r="E14" s="14">
        <f>IF(ISERROR((C14-D14)/ABS(D14)),"",(C14-D14)/ABS(D14))</f>
        <v>-0.6797706459863048</v>
      </c>
      <c r="F14" s="11" t="inlineStr">
        <is>
          <t>PDF p.83 (印刷頁 81)</t>
        </is>
      </c>
      <c r="G14" s="11" t="inlineStr">
        <is>
          <t>[current assets 區段小計] 31,052 96,968</t>
        </is>
      </c>
    </row>
    <row r="15">
      <c r="A15" s="8" t="inlineStr">
        <is>
          <t>Balance Sheet</t>
        </is>
      </c>
      <c r="B15" s="8" t="inlineStr">
        <is>
          <t>Total Current Liabilities</t>
        </is>
      </c>
      <c r="C15" s="12" t="n">
        <v>-40343</v>
      </c>
      <c r="D15" s="13" t="n">
        <v>-160919</v>
      </c>
      <c r="E15" s="14">
        <f>IF(ISERROR((C15-D15)/ABS(D15)),"",(C15-D15)/ABS(D15))</f>
        <v>0.7492962297801999</v>
      </c>
      <c r="F15" s="11" t="inlineStr">
        <is>
          <t>PDF p.83 (印刷頁 81)</t>
        </is>
      </c>
      <c r="G15" s="11" t="inlineStr">
        <is>
          <t>[current liabilities 區段小計] (40,343) (160,919)</t>
        </is>
      </c>
    </row>
    <row r="17">
      <c r="A17"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財務數據'!$C$5:$C$15,MATCH("Gross Profit",'Financials 財務數據'!$B$5:$B$15,0))/INDEX('Financials 財務數據'!$C$5:$C$15,MATCH("Revenue",'Financials 財務數據'!$B$5:$B$15,0))),"n/a",INDEX('Financials 財務數據'!$C$5:$C$15,MATCH("Gross Profit",'Financials 財務數據'!$B$5:$B$15,0))/INDEX('Financials 財務數據'!$C$5:$C$15,MATCH("Revenue",'Financials 財務數據'!$B$5:$B$15,0)))</f>
        <v>0.25142045454545453</v>
      </c>
      <c r="C5" s="15">
        <f>IF(ISERROR(INDEX('Financials 財務數據'!$D$5:$D$15,MATCH("Gross Profit",'Financials 財務數據'!$B$5:$B$15,0))/INDEX('Financials 財務數據'!$D$5:$D$15,MATCH("Revenue",'Financials 財務數據'!$B$5:$B$15,0))),"n/a",INDEX('Financials 財務數據'!$D$5:$D$15,MATCH("Gross Profit",'Financials 財務數據'!$B$5:$B$15,0))/INDEX('Financials 財務數據'!$D$5:$D$15,MATCH("Revenue",'Financials 財務數據'!$B$5:$B$15,0)))</f>
        <v>0.25211957961670933</v>
      </c>
      <c r="D5" s="2" t="inlineStr">
        <is>
          <t>毛利 ÷ 收入</t>
        </is>
      </c>
    </row>
    <row r="6">
      <c r="A6" s="4" t="inlineStr">
        <is>
          <t>Net Margin 淨利率</t>
        </is>
      </c>
      <c r="B6" s="15">
        <f>IF(ISERROR(INDEX('Financials 財務數據'!$C$5:$C$15,MATCH("Profit for the Year",'Financials 財務數據'!$B$5:$B$15,0))/INDEX('Financials 財務數據'!$C$5:$C$15,MATCH("Revenue",'Financials 財務數據'!$B$5:$B$15,0))),"n/a",INDEX('Financials 財務數據'!$C$5:$C$15,MATCH("Profit for the Year",'Financials 財務數據'!$B$5:$B$15,0))/INDEX('Financials 財務數據'!$C$5:$C$15,MATCH("Revenue",'Financials 財務數據'!$B$5:$B$15,0)))</f>
        <v>-0.6435238868274582</v>
      </c>
      <c r="C6" s="15">
        <f>IF(ISERROR(INDEX('Financials 財務數據'!$D$5:$D$15,MATCH("Profit for the Year",'Financials 財務數據'!$B$5:$B$15,0))/INDEX('Financials 財務數據'!$D$5:$D$15,MATCH("Revenue",'Financials 財務數據'!$B$5:$B$15,0))),"n/a",INDEX('Financials 財務數據'!$D$5:$D$15,MATCH("Profit for the Year",'Financials 財務數據'!$B$5:$B$15,0))/INDEX('Financials 財務數據'!$D$5:$D$15,MATCH("Revenue",'Financials 財務數據'!$B$5:$B$15,0)))</f>
        <v>-0.07398657599576085</v>
      </c>
      <c r="D6" s="2" t="inlineStr">
        <is>
          <t>年內溢利 ÷ 收入</t>
        </is>
      </c>
    </row>
    <row r="7">
      <c r="A7" s="4" t="inlineStr">
        <is>
          <t>Current Ratio 流動比率</t>
        </is>
      </c>
      <c r="B7" s="16">
        <f>IF(ISERROR(INDEX('Financials 財務數據'!$C$5:$C$15,MATCH("Total Current Assets",'Financials 財務數據'!$B$5:$B$15,0))/INDEX('Financials 財務數據'!$C$5:$C$15,MATCH("Total Current Liabilities",'Financials 財務數據'!$B$5:$B$15,0))),"n/a",INDEX('Financials 財務數據'!$C$5:$C$15,MATCH("Total Current Assets",'Financials 財務數據'!$B$5:$B$15,0))/INDEX('Financials 財務數據'!$C$5:$C$15,MATCH("Total Current Liabilities",'Financials 財務數據'!$B$5:$B$15,0)))</f>
        <v>-0.7696998240091217</v>
      </c>
      <c r="C7" s="16">
        <f>IF(ISERROR(INDEX('Financials 財務數據'!$D$5:$D$15,MATCH("Total Current Assets",'Financials 財務數據'!$B$5:$B$15,0))/INDEX('Financials 財務數據'!$D$5:$D$15,MATCH("Total Current Liabilities",'Financials 財務數據'!$B$5:$B$15,0))),"n/a",INDEX('Financials 財務數據'!$D$5:$D$15,MATCH("Total Current Assets",'Financials 財務數據'!$B$5:$B$15,0))/INDEX('Financials 財務數據'!$D$5:$D$15,MATCH("Total Current Liabilities",'Financials 財務數據'!$B$5:$B$15,0)))</f>
        <v>-0.6025888801198118</v>
      </c>
      <c r="D7" s="2" t="inlineStr">
        <is>
          <t>流動資產 ÷ 流動負債</t>
        </is>
      </c>
    </row>
    <row r="8">
      <c r="A8" s="4" t="inlineStr">
        <is>
          <t>Debt / Equity 負債權益比</t>
        </is>
      </c>
      <c r="B8" s="16" t="str">
        <f>IF(ISERROR(INDEX('Financials 財務數據'!$C$5:$C$15,MATCH("Total Liabilities",'Financials 財務數據'!$B$5:$B$15,0))/INDEX('Financials 財務數據'!$C$5:$C$15,MATCH("Total Equity",'Financials 財務數據'!$B$5:$B$15,0))),"n/a",INDEX('Financials 財務數據'!$C$5:$C$15,MATCH("Total Liabilities",'Financials 財務數據'!$B$5:$B$15,0))/INDEX('Financials 財務數據'!$C$5:$C$15,MATCH("Total Equity",'Financials 財務數據'!$B$5:$B$15,0)))</f>
        <v>n/a</v>
      </c>
      <c r="C8" s="16" t="str">
        <f>IF(ISERROR(INDEX('Financials 財務數據'!$D$5:$D$15,MATCH("Total Liabilities",'Financials 財務數據'!$B$5:$B$15,0))/INDEX('Financials 財務數據'!$D$5:$D$15,MATCH("Total Equity",'Financials 財務數據'!$B$5:$B$15,0))),"n/a",INDEX('Financials 財務數據'!$D$5:$D$15,MATCH("Total Liabilities",'Financials 財務數據'!$B$5:$B$15,0))/INDEX('Financials 財務數據'!$D$5:$D$15,MATCH("Total Equity",'Financials 財務數據'!$B$5:$B$15,0)))</f>
        <v>n/a</v>
      </c>
      <c r="D8" s="2" t="inlineStr">
        <is>
          <t>總負債 ÷ 總權益</t>
        </is>
      </c>
    </row>
    <row r="9">
      <c r="A9" s="4" t="inlineStr">
        <is>
          <t>Goodwill / Total Assets</t>
        </is>
      </c>
      <c r="B9" s="15" t="str">
        <f>IF(ISERROR(INDEX('Financials 財務數據'!$C$5:$C$15,MATCH("Goodwill",'Financials 財務數據'!$B$5:$B$15,0))/INDEX('Financials 財務數據'!$C$5:$C$15,MATCH("Total Assets",'Financials 財務數據'!$B$5:$B$15,0))),"n/a",INDEX('Financials 財務數據'!$C$5:$C$15,MATCH("Goodwill",'Financials 財務數據'!$B$5:$B$15,0))/INDEX('Financials 財務數據'!$C$5:$C$15,MATCH("Total Assets",'Financials 財務數據'!$B$5:$B$15,0)))</f>
        <v>n/a</v>
      </c>
      <c r="C9" s="15" t="str">
        <f>IF(ISERROR(INDEX('Financials 財務數據'!$D$5:$D$15,MATCH("Goodwill",'Financials 財務數據'!$B$5:$B$15,0))/INDEX('Financials 財務數據'!$D$5:$D$15,MATCH("Total Assets",'Financials 財務數據'!$B$5:$B$15,0))),"n/a",INDEX('Financials 財務數據'!$D$5:$D$15,MATCH("Goodwill",'Financials 財務數據'!$B$5:$B$15,0))/INDEX('Financials 財務數據'!$D$5:$D$15,MATCH("Total Assets",'Financials 財務數據'!$B$5:$B$15,0)))</f>
        <v>n/a</v>
      </c>
      <c r="D9" s="2" t="inlineStr">
        <is>
          <t>商譽佔總資產比重 — 減值風險指標</t>
        </is>
      </c>
    </row>
    <row r="10">
      <c r="A10" s="4" t="inlineStr">
        <is>
          <t>Intangibles / Total Assets</t>
        </is>
      </c>
      <c r="B10" s="15" t="str">
        <f>IF(ISERROR(INDEX('Financials 財務數據'!$C$5:$C$15,MATCH("Intangible Assets",'Financials 財務數據'!$B$5:$B$15,0))/INDEX('Financials 財務數據'!$C$5:$C$15,MATCH("Total Assets",'Financials 財務數據'!$B$5:$B$15,0))),"n/a",INDEX('Financials 財務數據'!$C$5:$C$15,MATCH("Intangible Assets",'Financials 財務數據'!$B$5:$B$15,0))/INDEX('Financials 財務數據'!$C$5:$C$15,MATCH("Total Assets",'Financials 財務數據'!$B$5:$B$15,0)))</f>
        <v>n/a</v>
      </c>
      <c r="C10" s="15" t="str">
        <f>IF(ISERROR(INDEX('Financials 財務數據'!$D$5:$D$15,MATCH("Intangible Assets",'Financials 財務數據'!$B$5:$B$15,0))/INDEX('Financials 財務數據'!$D$5:$D$15,MATCH("Total Assets",'Financials 財務數據'!$B$5:$B$15,0))),"n/a",INDEX('Financials 財務數據'!$D$5:$D$15,MATCH("Intangible Assets",'Financials 財務數據'!$B$5:$B$15,0))/INDEX('Financials 財務數據'!$D$5:$D$15,MATCH("Total Assets",'Financials 財務數據'!$B$5:$B$15,0)))</f>
        <v>n/a</v>
      </c>
      <c r="D10" s="2" t="inlineStr">
        <is>
          <t>無形資產佔比</t>
        </is>
      </c>
    </row>
    <row r="11">
      <c r="A11" s="4" t="inlineStr">
        <is>
          <t>ROE 股本回報率</t>
        </is>
      </c>
      <c r="B11" s="15" t="str">
        <f>IF(ISERROR(INDEX('Financials 財務數據'!$C$5:$C$15,MATCH("Profit for the Year",'Financials 財務數據'!$B$5:$B$15,0))/INDEX('Financials 財務數據'!$C$5:$C$15,MATCH("Total Equity",'Financials 財務數據'!$B$5:$B$15,0))),"n/a",INDEX('Financials 財務數據'!$C$5:$C$15,MATCH("Profit for the Year",'Financials 財務數據'!$B$5:$B$15,0))/INDEX('Financials 財務數據'!$C$5:$C$15,MATCH("Total Equity",'Financials 財務數據'!$B$5:$B$15,0)))</f>
        <v>n/a</v>
      </c>
      <c r="C11" s="15" t="str">
        <f>IF(ISERROR(INDEX('Financials 財務數據'!$D$5:$D$15,MATCH("Profit for the Year",'Financials 財務數據'!$B$5:$B$15,0))/INDEX('Financials 財務數據'!$D$5:$D$15,MATCH("Total Equity",'Financials 財務數據'!$B$5:$B$15,0))),"n/a",INDEX('Financials 財務數據'!$D$5:$D$15,MATCH("Profit for the Year",'Financials 財務數據'!$B$5:$B$15,0))/INDEX('Financials 財務數據'!$D$5:$D$15,MATCH("Total Equity",'Financials 財務數據'!$B$5:$B$15,0)))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45292</v>
      </c>
      <c r="C5" s="18" t="n">
        <v>34496</v>
      </c>
    </row>
    <row r="6">
      <c r="A6" s="4" t="inlineStr">
        <is>
          <t>Gross Profit</t>
        </is>
      </c>
      <c r="B6" s="18" t="n">
        <v>11419</v>
      </c>
      <c r="C6" s="18" t="n">
        <v>8673</v>
      </c>
    </row>
    <row r="7">
      <c r="A7" s="4" t="inlineStr">
        <is>
          <t>Profit Before Tax</t>
        </is>
      </c>
      <c r="B7" s="18" t="n">
        <v>-3380</v>
      </c>
      <c r="C7" s="18" t="n">
        <v>-22199</v>
      </c>
    </row>
    <row r="8">
      <c r="A8" s="4" t="inlineStr">
        <is>
          <t>Profit for the Year</t>
        </is>
      </c>
      <c r="B8" s="18" t="n">
        <v>-3351</v>
      </c>
      <c r="C8" s="18" t="n">
        <v>-22199</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28"/>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unobservable input</t>
        </is>
      </c>
      <c r="E4" s="11" t="inlineStr">
        <is>
          <t>PDF p.94 (印刷頁 92)</t>
        </is>
      </c>
      <c r="F4" s="11" t="inlineStr">
        <is>
          <t>use. 效用之市場參與者所產生之經濟效 益。 For investment properties which are transacted at fair value 就於隨後期間按公平值及將使用不 and a valuation technique that unobservable inputs are to 可觀察輸入數據計量公平值的估值 be used to measure fair value in subsequent periods, the 技術交易的投資物業而言，估值技 valuation technique is calibrated so that at initial recognition 術會予以校準以使在初次確認時估 the results of the valuation technique equals the transaction 值技術結果與交易價相等。 price. 92 GREAT WORLD COMPANY HOLDINGS LTD Annual Report 2025–2026</t>
        </is>
      </c>
    </row>
    <row r="5">
      <c r="A5" s="8" t="inlineStr">
        <is>
          <t>Fair Value Measurement</t>
        </is>
      </c>
      <c r="B5" s="8" t="inlineStr">
        <is>
          <t>公允價值計量</t>
        </is>
      </c>
      <c r="C5" s="19" t="inlineStr">
        <is>
          <t>high</t>
        </is>
      </c>
      <c r="D5" s="11" t="inlineStr">
        <is>
          <t>level 1</t>
        </is>
      </c>
      <c r="E5" s="11" t="inlineStr">
        <is>
          <t>PDF p.95 (印刷頁 93)</t>
        </is>
      </c>
      <c r="F5" s="11" t="inlineStr">
        <is>
          <t>INFORMATION (continued) In addition, for financial reporting purposes, fair value 此外，就財務報告而言，公平值計 measurements are categorised into Level 1, 2 or 3 量根據公平值計量之輸入數據可觀 based on the degree to which the inputs to the fair value 察程度及輸入數據對公平值計量之 measurements are observable and the significance of the 整體重要性分類為第一級、第二級 inputs to the fair value measurement in its entirety, which 或第三級，載述如下： are described as follows: Level 1: inputs are quoted prices (unadjusted) in active 第一級： 輸入數據是實體於計量 markets for identical assets or liabilities that the</t>
        </is>
      </c>
    </row>
    <row r="6">
      <c r="A6" s="8" t="inlineStr">
        <is>
          <t>Fair Value Measurement</t>
        </is>
      </c>
      <c r="B6" s="8" t="inlineStr">
        <is>
          <t>公允價值計量</t>
        </is>
      </c>
      <c r="C6" s="19" t="inlineStr">
        <is>
          <t>high</t>
        </is>
      </c>
      <c r="D6" s="11" t="inlineStr">
        <is>
          <t>income approach</t>
        </is>
      </c>
      <c r="E6" s="11" t="inlineStr">
        <is>
          <t>PDF p.161 (印刷頁 159)</t>
        </is>
      </c>
      <c r="F6" s="11" t="inlineStr">
        <is>
          <t>本集團收割約485,000斤（二零 catties) of Cistanche deserticola. The directors measured 二五年：440,000斤）肉蓯蓉。董事 the fair value less costs to sell by income approach based 根據貼現現金流量模式採用收入法 on discounted cash flow model. 計量公平值減出售成本。 The Group’s biological assets represent the growing 本集團的生物資產指成長的新疆楊 populus alba var. pyramidalis and Cistanche deserticola as 及肉蓯蓉，如下所示： follows: 2026 2025 二零二六年 二零二五年 HK$’000 HK$’000 千港元 千港元 Populus alba var. pyramidalis 新疆楊 19,026 26,038 Cistanche deserticola 肉蓯蓉 916 1,057 19,942 27,095 The quantity of biological a</t>
        </is>
      </c>
    </row>
    <row r="7">
      <c r="A7" s="8" t="inlineStr">
        <is>
          <t>Fair Value Measurement</t>
        </is>
      </c>
      <c r="B7" s="8" t="inlineStr">
        <is>
          <t>公允價值計量</t>
        </is>
      </c>
      <c r="C7" s="19" t="inlineStr">
        <is>
          <t>high</t>
        </is>
      </c>
      <c r="D7" s="11" t="inlineStr">
        <is>
          <t>level 3</t>
        </is>
      </c>
      <c r="E7" s="11" t="inlineStr">
        <is>
          <t>PDF p.162 (印刷頁 160)</t>
        </is>
      </c>
      <c r="F7" s="11" t="inlineStr">
        <is>
          <t>the year ended 31 March 2026 截至二零二六年三月三十一日止年度 19. BIOLOGICAL ASSETS (continued) 19. 生物資產（續） All biological assets are categorised as Level 3 in fair 所有生物資產於公平值層級中分類 value hierarchy. Details of valuation methodology used 為第三級。所用估值方法詳情披露 is disclosed in Note 39 to the consolidated financial 於綜合財務報表附註39。 statements. The Group is exposed to a number of risks related to its 本集團面臨與其種植園有關的大量 plantations as follows: 風險，如下所示： (1) Regulatory and environmental risks (1) 監管及環境風險 The Group is subject to laws and regulations in the 本集團須遵守其營運</t>
        </is>
      </c>
    </row>
    <row r="8">
      <c r="A8" s="8" t="inlineStr">
        <is>
          <t>Fair Value Measurement</t>
        </is>
      </c>
      <c r="B8" s="8" t="inlineStr">
        <is>
          <t>公允價值計量</t>
        </is>
      </c>
      <c r="C8" s="19" t="inlineStr">
        <is>
          <t>high</t>
        </is>
      </c>
      <c r="D8" s="11" t="inlineStr">
        <is>
          <t>level 1</t>
        </is>
      </c>
      <c r="E8" s="11" t="inlineStr">
        <is>
          <t>PDF p.190 (印刷頁 188)</t>
        </is>
      </c>
      <c r="F8" s="11" t="inlineStr">
        <is>
          <t>ing period. For sensitivity analysis of listed 於公平值計量分類為第一層的 securities with fair value measurement categorised 上市證券的敏感度分析，敏感 within Level 1, 5% sensitivity rate is used as a result of 率因金融市場波動採用5%。 the volatile financial market. If the prices of the respective equity instruments 倘各權益工具的價格上升╱下 had been 5% (2025: 5%) higher/lower, the loss 跌5%（二零二五年：5%），截 before tax for the year ended 31 March 2026 would 至二零二六年三月三十一日止 decrease/increase by approximately HK$9,600 (2025: 年度的除稅前虧損將因分類為 HK$55,000) as a result of the changes in fair v</t>
        </is>
      </c>
    </row>
    <row r="9">
      <c r="A9" s="8" t="inlineStr">
        <is>
          <t>Fair Value Measurement</t>
        </is>
      </c>
      <c r="B9" s="8" t="inlineStr">
        <is>
          <t>公允價值計量</t>
        </is>
      </c>
      <c r="C9" s="19" t="inlineStr">
        <is>
          <t>high</t>
        </is>
      </c>
      <c r="D9" s="11" t="inlineStr">
        <is>
          <t>fair value hierarchy</t>
        </is>
      </c>
      <c r="E9" s="11" t="inlineStr">
        <is>
          <t>PDF p.191 (印刷頁 189)</t>
        </is>
      </c>
      <c r="F9" s="11" t="inlineStr">
        <is>
          <t>al liabilities 中確認之金融資產及金融負債之賬 recognised in the consolidated financial statements were 面值與其公平值相若。 approximate of their fair values. Fair value hierarchy 公平值等級 The following table presents the fair value of the Group’s 下表載列於報告期末按經常性基準 FVTPL, investment property and biological assets 計量並分類為香港財務報告準則第 measured at the end of the reporting period on a recurring 13號所界定之三層公平值等級架構 basis, categorised into the three-level fair value hierarchy as 之本集團按公平值計入損益、投資 defined in HKFRS 13: 物業及生物資產的公平值： Fair Value Measurement 公平值計量 Level 1 Level</t>
        </is>
      </c>
    </row>
    <row r="10">
      <c r="A10" s="8" t="inlineStr">
        <is>
          <t>Fair Value Measurement</t>
        </is>
      </c>
      <c r="B10" s="8" t="inlineStr">
        <is>
          <t>公允價值計量</t>
        </is>
      </c>
      <c r="C10" s="19" t="inlineStr">
        <is>
          <t>high</t>
        </is>
      </c>
      <c r="D10" s="11" t="inlineStr">
        <is>
          <t>fair value hierarchy</t>
        </is>
      </c>
      <c r="E10" s="11" t="inlineStr">
        <is>
          <t>PDF p.192 (印刷頁 190)</t>
        </is>
      </c>
      <c r="F10" s="11" t="inlineStr">
        <is>
          <t>iques used and 於二零二五年三月三十一日，分類 the key inputs to the valuation of investment properties 為公平值層級第三級之投資物業估 classified as Level 3 of the fair value hierarchy as at 31 值所採用之估值方法及主要輸入數 March 2025: 據之概要如下： Valuation Significant Key unobservable Description technique unobservable inputs inputs 描述 估值技術 重大不可觀察輸入數據 主要不可觀察輸入數據 Investment properties Income capitalisation Market yields 5.3% located in the PRC approach 位於中國的投資物業收入資本化法 市場收益率 5.3% Monthly Rental Income Approximately RMB19/m2 to RMB81/m2 月租金收入 約每平方米人民幣19元至 每平方米人民幣81元 The valuati</t>
        </is>
      </c>
    </row>
    <row r="11">
      <c r="A11" s="8" t="inlineStr">
        <is>
          <t>Fair Value Measurement</t>
        </is>
      </c>
      <c r="B11" s="8" t="inlineStr">
        <is>
          <t>公允價值計量</t>
        </is>
      </c>
      <c r="C11" s="19" t="inlineStr">
        <is>
          <t>high</t>
        </is>
      </c>
      <c r="D11" s="11" t="inlineStr">
        <is>
          <t>fair value hierarchy</t>
        </is>
      </c>
      <c r="E11" s="11" t="inlineStr">
        <is>
          <t>PDF p.193 (印刷頁 191)</t>
        </is>
      </c>
      <c r="F11" s="11" t="inlineStr">
        <is>
          <t>the movement between opening and 根據第三級公平值等級生物資產分 closing balances of biological assets categorised valuations 類估值的期初與期末結餘變動的對 under fair value hierarchy of Level 3, measured at fair value 賬，即使用估值技術按公平值計量 using a valuation technique with significant unobservable 且輸入重大不可觀察輸入數據載於 inputs is set out in Note 19 to the consolidated financial 綜合財務報表附註19。 statements. 世大控股有限公司 二零二五－二零二六年年報 191</t>
        </is>
      </c>
    </row>
    <row r="12">
      <c r="A12" s="8" t="inlineStr">
        <is>
          <t>Impairment Testing</t>
        </is>
      </c>
      <c r="B12" s="8" t="inlineStr">
        <is>
          <t>減值測試</t>
        </is>
      </c>
      <c r="C12" s="19" t="inlineStr">
        <is>
          <t>high</t>
        </is>
      </c>
      <c r="D12" s="11" t="inlineStr">
        <is>
          <t>impairment loss</t>
        </is>
      </c>
      <c r="E12" s="11" t="inlineStr">
        <is>
          <t>PDF p.15 (印刷頁 13)</t>
        </is>
      </c>
      <c r="F12" s="11" t="inlineStr">
        <is>
          <t>roximately 截至二零二六年三月三十一日止年度， HK$8,041,000 was recognised for the year. Provision of 本公司擁有人應佔虧損╱（溢利）約為 approximately HK$6,045,000 for impairment loss in respect 13,950,000港元（持續經營業務之虧損） of trade and other receivables was recognised for the year. 及36,161,000港元（已終止經營業務之 Loss/(profit) attributable to owners of the Company for the year 溢利），淨溢利為22,211,000港元，與 ended 31 March 2026 was approximately HK$13,950,000 上年產生之本公司擁有人應佔虧損約 (loss from continuing operation) and HK$36,161,000 (profit 8,454,000港元相比，情況已大為改善， from discontinued operation</t>
        </is>
      </c>
    </row>
    <row r="13">
      <c r="A13" s="8" t="inlineStr">
        <is>
          <t>Impairment Testing</t>
        </is>
      </c>
      <c r="B13" s="8" t="inlineStr">
        <is>
          <t>減值測試</t>
        </is>
      </c>
      <c r="C13" s="19" t="inlineStr">
        <is>
          <t>high</t>
        </is>
      </c>
      <c r="D13" s="11" t="inlineStr">
        <is>
          <t>fair value less costs</t>
        </is>
      </c>
      <c r="E13" s="11" t="inlineStr">
        <is>
          <t>PDF p.80 (印刷頁 78)</t>
        </is>
      </c>
      <c r="F13" s="11" t="inlineStr">
        <is>
          <t>sed in respect of trade 確認的減值虧損（撥備）╱ and other receivables, net 撥回，淨額 (6,045) 2,314 (Loss)/gain arising from changes 生物資產公平值變動減出售 in fair value less costs to sell of 成本產生之（虧損）╱收益 biological assets 19 (8,041) 40 Selling and distribution costs 銷售及分銷成本 (1,725) (1,796) Administrative and other operating 行政及其他營運開支 expenses (15,689) (17,563) Finance costs 融資成本 8 (360) (284) Loss before tax 除稅前虧損 9 (22,199) (3,380) Income tax credit 所得稅抵免 10 – 29 Loss for the year from continuing 持續經營業務之本年度虧損 operations 12 (22,199) (3,351) 78 GREAT WO</t>
        </is>
      </c>
    </row>
    <row r="14">
      <c r="A14" s="8" t="inlineStr">
        <is>
          <t>Impairment Testing</t>
        </is>
      </c>
      <c r="B14" s="8" t="inlineStr">
        <is>
          <t>減值測試</t>
        </is>
      </c>
      <c r="C14" s="19" t="inlineStr">
        <is>
          <t>high</t>
        </is>
      </c>
      <c r="D14" s="11" t="inlineStr">
        <is>
          <t>impairment loss</t>
        </is>
      </c>
      <c r="E14" s="11" t="inlineStr">
        <is>
          <t>PDF p.86 (印刷頁 84)</t>
        </is>
      </c>
      <c r="F14" s="11" t="inlineStr">
        <is>
          <t>生物資產的公平值變動 in fair value less costs to sell of 減出售成本產生的 biological assets 虧損╱（收益） 8,041 (40) Provision for/(reversal of) 就應收賬款及其他應收 impairment loss recognised 款項確認的減值虧損 in respect of trade and other 撥備╱（撥回），淨額 receivables, net 4,288 (2,314) Operating cash flows before 營運資金變動前之經營現 movements in working capital 金流量 (8,706) (7,152) Decrease in inventories 庫存減少 – 3,598 Decrease in biological assets 生物資產減少 858 874 (Increase)/decrease in trade 應收賬款及按金、預付款項 receivables and deposits, 及其他應收款項（增加）╱ prepayment and other receivables 減少 (1,</t>
        </is>
      </c>
    </row>
    <row r="15">
      <c r="A15" s="8" t="inlineStr">
        <is>
          <t>Impairment Testing</t>
        </is>
      </c>
      <c r="B15" s="8" t="inlineStr">
        <is>
          <t>減值測試</t>
        </is>
      </c>
      <c r="C15" s="19" t="inlineStr">
        <is>
          <t>high</t>
        </is>
      </c>
      <c r="D15" s="11" t="inlineStr">
        <is>
          <t>recoverable amount</t>
        </is>
      </c>
      <c r="E15" s="11" t="inlineStr">
        <is>
          <t>PDF p.93 (印刷頁 91)</t>
        </is>
      </c>
      <c r="F15" s="11" t="inlineStr">
        <is>
          <t>, adjustments would 步負債，並將非流動資產和非流動 have to be made to write down the carrying values of the 負債分別重新分類為流動資產和流 Group’s assets to their recoverable amounts, to provide 動負債。由於綜合財務報表乃假設 for any further liabilities which might arise and to reclassify 本集團將持續經營而編製，故該等 non-current assets and non-current liabilities as current 調整的影響並無反映於本集團的綜 assets and current liabilities, respectively. The effects of 合財務報表。 these adjustments have not been reflected in the Group’s consolidated financial statements as the consolidated financial statement</t>
        </is>
      </c>
    </row>
    <row r="16">
      <c r="A16" s="8" t="inlineStr">
        <is>
          <t>Impairment Testing</t>
        </is>
      </c>
      <c r="B16" s="8" t="inlineStr">
        <is>
          <t>減值測試</t>
        </is>
      </c>
      <c r="C16" s="19" t="inlineStr">
        <is>
          <t>high</t>
        </is>
      </c>
      <c r="D16" s="11" t="inlineStr">
        <is>
          <t>value in use</t>
        </is>
      </c>
      <c r="E16" s="11" t="inlineStr">
        <is>
          <t>PDF p.94 (印刷頁 92)</t>
        </is>
      </c>
      <c r="F16" s="11" t="inlineStr">
        <is>
          <t>非公平值之計 some similarities to fair value but are not fair value, such as 量（例如香港會計準則第2號存貨 net realisable value in HKAS 2 Inventories or value in use in 中之可變現淨值或香港會計準則第 HKAS 36 Impairment of Assets. 36號資產減值中之使用價值）除外。 A fair value measurement of a non-financial asset takes into 非金融資產公平值之計量則參考市 account a market participant’s ability to generate economic 場參與者可從使用該資產得到之最 benefits by using the asset in its highest and best use or by 高及最佳效用，或把該資產售予另 selling it to another market participant that would use the 一可從使用該資產得到最高及最佳 asset in its</t>
        </is>
      </c>
    </row>
    <row r="17">
      <c r="A17" s="8" t="inlineStr">
        <is>
          <t>Impairment Testing</t>
        </is>
      </c>
      <c r="B17" s="8" t="inlineStr">
        <is>
          <t>減值測試</t>
        </is>
      </c>
      <c r="C17" s="19" t="inlineStr">
        <is>
          <t>high</t>
        </is>
      </c>
      <c r="D17" s="11" t="inlineStr">
        <is>
          <t>impairment loss</t>
        </is>
      </c>
      <c r="E17" s="11" t="inlineStr">
        <is>
          <t>PDF p.109 (印刷頁 107)</t>
        </is>
      </c>
      <c r="F17" s="11" t="inlineStr">
        <is>
          <t>ent of financial position at cost less 後累計折舊及其後累計減值虧損（如 subsequent accumulated depreciation and subsequent 有）於綜合財務狀況表列賬。 accumulated impairment losses, if any. Costs include any costs directly attributable to bringing 成本包括使資產達到能夠按照管理 the asset to the location and condition necessary for it 層擬定的方式開展經營所必要的位 to be capable of operating in the manner intended by 置及條件而直接產生的任何成本， management and, for qualifying assets, borrowing costs 及就符合條件的資產而言，包括本 capitalised in accordance with the Group’s accounting 集團會計政策下之資本化借款成本。 policy. Depreci</t>
        </is>
      </c>
    </row>
    <row r="18">
      <c r="A18" s="8" t="inlineStr">
        <is>
          <t>Impairment Testing</t>
        </is>
      </c>
      <c r="B18" s="8" t="inlineStr">
        <is>
          <t>減值測試</t>
        </is>
      </c>
      <c r="C18" s="19" t="inlineStr">
        <is>
          <t>high</t>
        </is>
      </c>
      <c r="D18" s="11" t="inlineStr">
        <is>
          <t>fair value less costs</t>
        </is>
      </c>
      <c r="E18" s="11" t="inlineStr">
        <is>
          <t>PDF p.111 (印刷頁 109)</t>
        </is>
      </c>
      <c r="F18" s="11" t="inlineStr">
        <is>
          <t>on trees are growing crops of the 果樹的生長中果實為本集團於種植 Group on the cultivation bases. Biological assets are 基地之農作物。生物資產按公平值 measured at fair value less costs to sell. The fair value of 減銷售成本計算。生物資產之公平 biological assets is determined based on the current market 值經參考農作物品種、生長狀況、 price with reference to the species, growing condition, cost 所產生成本及預期產量後按現行市 incurred and expected yield of the crops. 價釐定。 The agricultural produce harvested from biological assets 自生物資產收穫的農產品按其公平 is measured at its fair value less cost to sell at the point</t>
        </is>
      </c>
    </row>
    <row r="19">
      <c r="A19" s="8" t="inlineStr">
        <is>
          <t>Impairment Testing</t>
        </is>
      </c>
      <c r="B19" s="8" t="inlineStr">
        <is>
          <t>減值測試</t>
        </is>
      </c>
      <c r="C19" s="19" t="inlineStr">
        <is>
          <t>high</t>
        </is>
      </c>
      <c r="D19" s="11" t="inlineStr">
        <is>
          <t>fair value less costs</t>
        </is>
      </c>
      <c r="E19" s="11" t="inlineStr">
        <is>
          <t>PDF p.112 (印刷頁 110)</t>
        </is>
      </c>
      <c r="F19" s="11" t="inlineStr">
        <is>
          <t>ATERIAL 大會計政策資料（續） ACCOUNTING POLICY INFORMATION (continued) Biological assets (continued) 生物資產（續） The gain or loss from a change in fair value less costs to 生物資產之公平值變動減銷售成本 sell of biological assets shall be included in profit or loss for 產生之盈虧計入其產生期間的損益。 the period in which it arises. Biological assets that are expected to be realised in the 預計於未來十二個月內的收成期變 next harvest within the next twelve months are classified 現的生物資產已分類為流動資產。 under current assets. Leases 租賃 The Group assesses whether a contract is or contains a 本集團於合約開始時根</t>
        </is>
      </c>
    </row>
    <row r="20">
      <c r="A20" s="8" t="inlineStr">
        <is>
          <t>Impairment Testing</t>
        </is>
      </c>
      <c r="B20" s="8" t="inlineStr">
        <is>
          <t>減值測試</t>
        </is>
      </c>
      <c r="C20" s="19" t="inlineStr">
        <is>
          <t>high</t>
        </is>
      </c>
      <c r="D20" s="11" t="inlineStr">
        <is>
          <t>impairment loss</t>
        </is>
      </c>
      <c r="E20" s="11" t="inlineStr">
        <is>
          <t>PDF p.113 (印刷頁 111)</t>
        </is>
      </c>
      <c r="F20" s="11" t="inlineStr">
        <is>
          <t>產生的成 and conditions of the lease. 本。 Right-of-use assets are measured at cost, less any 使用權資產按成本減任何累計折舊 accumulated depreciation and impairment losses, and 及減值虧損計量，並按租賃負債之 adjusted for any remeasurement of lease liabilities. 任何重新計量作出調整。 Right-of-use assets in which the Group is reasonably 倘本集團合理確信在租期屆滿時取 certain to obtain ownership of the underlying leased 得相關租賃資產的擁有權，則使用 assets at the end of the lease term are depreciated 權資產自開始日期起至可使用年期 from commencement date to the end of the useful life. 屆滿期間折舊。否則，使用權資產 Otherwise, right-of-</t>
        </is>
      </c>
    </row>
    <row r="21">
      <c r="A21" s="8" t="inlineStr">
        <is>
          <t>Impairment Testing</t>
        </is>
      </c>
      <c r="B21" s="8" t="inlineStr">
        <is>
          <t>減值測試</t>
        </is>
      </c>
      <c r="C21" s="19" t="inlineStr">
        <is>
          <t>high</t>
        </is>
      </c>
      <c r="D21" s="11" t="inlineStr">
        <is>
          <t>impairment loss</t>
        </is>
      </c>
      <c r="E21" s="11" t="inlineStr">
        <is>
          <t>PDF p.132 (印刷頁 130)</t>
        </is>
      </c>
      <c r="F21" s="11" t="inlineStr">
        <is>
          <t>its tangible assets to determine 形資產之賬面值以決定是否有任何 whether there is any indication that those assets have 跡象顯示該等資產受到減值虧損。 suffered an impairment loss. If any such indication exists, 如出現任何該等跡象，則應估計該 the recoverable amount of the relevant asset is estimated 資產之可回收金額以釐定其減值虧 in order to determine the extent of the impairment loss (if 損（如有）程度。 any). The recoverable amount of tangible assets are estimated 有形資產之可收回金額單獨估計， individually, when it is not possible to estimate the 倘無法個別估計資產之可收回金額， recoverable amount of an asset individually,</t>
        </is>
      </c>
    </row>
    <row r="22">
      <c r="A22" s="8" t="inlineStr">
        <is>
          <t>Impairment Testing</t>
        </is>
      </c>
      <c r="B22" s="8" t="inlineStr">
        <is>
          <t>減值測試</t>
        </is>
      </c>
      <c r="C22" s="19" t="inlineStr">
        <is>
          <t>high</t>
        </is>
      </c>
      <c r="D22" s="11" t="inlineStr">
        <is>
          <t>impairment loss</t>
        </is>
      </c>
      <c r="E22" s="11" t="inlineStr">
        <is>
          <t>PDF p.133 (印刷頁 131)</t>
        </is>
      </c>
      <c r="F22" s="11" t="inlineStr">
        <is>
          <t>allocated to that 產或部分企業資產的賬面值）與該 group of CGUs, with the recoverable amount of the group 組現金產生單位的可收回金額作比 of CGUs. In allocating the impairment loss, the impairment 較。於分配減值虧損時，則減值虧 loss is allocated first to reduce the carrying amount of any 損將首先分配以調低任何商譽之賬 goodwill (if applicable) and then to the other assets on a 面值（如適用），其後根據該單位內 pro-rata basis based on the carrying amount of each asset 各資產之賬面值按比例分配至其他 in the unit. The carrying amount of an asset is not reduced 資產。資產的賬面值不會扣減至低 below the highest of its fair value less costs of</t>
        </is>
      </c>
    </row>
    <row r="23">
      <c r="A23" s="8" t="inlineStr">
        <is>
          <t>Impairment Testing</t>
        </is>
      </c>
      <c r="B23" s="8" t="inlineStr">
        <is>
          <t>減值測試</t>
        </is>
      </c>
      <c r="C23" s="19" t="inlineStr">
        <is>
          <t>high</t>
        </is>
      </c>
      <c r="D23" s="11" t="inlineStr">
        <is>
          <t>impairment loss</t>
        </is>
      </c>
      <c r="E23" s="11" t="inlineStr">
        <is>
          <t>PDF p.142 (印刷頁 140)</t>
        </is>
      </c>
      <c r="F23" s="11" t="inlineStr">
        <is>
          <t>arising from changes in 生物資產的公平值變動 fair value less costs to sell of 減出售成本產生的 biological assets – (8,041) – (8,041) 虧損 Provision for impairment loss 就應收賬款及其他應收 recognised 款項確認的減值虧損 in respect of trade and other 撥備，淨額 receivables, net (6,045) – – (6,045) 140 GREAT WORLD COMPANY HOLDINGS LTD Annual Report 2025–2026</t>
        </is>
      </c>
    </row>
    <row r="24">
      <c r="A24" s="8" t="inlineStr">
        <is>
          <t>Impairment Testing</t>
        </is>
      </c>
      <c r="B24" s="8" t="inlineStr">
        <is>
          <t>減值測試</t>
        </is>
      </c>
      <c r="C24" s="19" t="inlineStr">
        <is>
          <t>high</t>
        </is>
      </c>
      <c r="D24" s="11" t="inlineStr">
        <is>
          <t>impairment loss</t>
        </is>
      </c>
      <c r="E24" s="11" t="inlineStr">
        <is>
          <t>PDF p.143 (印刷頁 141)</t>
        </is>
      </c>
      <c r="F24" s="11" t="inlineStr">
        <is>
          <t>– – 347 Gain arising from changes in 生物資產的公平值變動 fair value less costs to sell of 減出售成本產生的 biological assets – 40 – 40 收益 Reversal of impairment loss 就應收賬款及其他應收 recognised 款項確認的減值虧損 in respect of trade and other 撥回，淨額 receivables, net 2,314 – – 2,314 世大控股有限公司 二零二五－二零二六年年報 141</t>
        </is>
      </c>
    </row>
    <row r="25">
      <c r="A25" s="8" t="inlineStr">
        <is>
          <t>Impairment Testing</t>
        </is>
      </c>
      <c r="B25" s="8" t="inlineStr">
        <is>
          <t>減值測試</t>
        </is>
      </c>
      <c r="C25" s="19" t="inlineStr">
        <is>
          <t>high</t>
        </is>
      </c>
      <c r="D25" s="11" t="inlineStr">
        <is>
          <t>減值虧損</t>
        </is>
      </c>
      <c r="E25" s="11" t="inlineStr">
        <is>
          <t>PDF p.146 (印刷頁 144)</t>
        </is>
      </c>
      <c r="F25" s="11" t="inlineStr">
        <is>
          <t>rm lease payments (Note) 短期租賃付款（附註） – 45 Provision for/ (reversal of) impairment 就應收賬款及其他應收款項確 loss recognised in respect of trade 認之減值虧損撥備╱（撥回）， and other receivables, net 淨額 6,045 (2,314) Note: These items were included in the “administrative and other 附註： 這些項目包括在「行政及其他 operating expenses”. 營運開支」中。 144 GREAT WORLD COMPANY HOLDINGS LTD Annual Report 2025–2026</t>
        </is>
      </c>
    </row>
    <row r="26">
      <c r="A26" s="8" t="inlineStr">
        <is>
          <t>Impairment Testing</t>
        </is>
      </c>
      <c r="B26" s="8" t="inlineStr">
        <is>
          <t>減值測試</t>
        </is>
      </c>
      <c r="C26" s="19" t="inlineStr">
        <is>
          <t>high</t>
        </is>
      </c>
      <c r="D26" s="11" t="inlineStr">
        <is>
          <t>impairment loss</t>
        </is>
      </c>
      <c r="E26" s="11" t="inlineStr">
        <is>
          <t>PDF p.154 (印刷頁 152)</t>
        </is>
      </c>
      <c r="F26" s="11" t="inlineStr">
        <is>
          <t>st of sales 銷售成本 – – Gross profit 毛利 308 995 Loss arising from change in fair value 投資物業公平值變動產生的 of investment property 虧損 – (5,176) Impairment loss on properties held 持作出售物業的減值虧損 for sale – (1,078) Selling and distribution costs 銷售及分銷成本 (29) (239) Administrative and other operating 行政及其他營運開支 expenses (235) (1,337) Profit/ (loss) before tax 除稅前溢利╱（虧損） 44 (6,835) Income tax credit 所得稅抵免 – 1,294 Profit/ (loss) after tax of a 已終止經營業務之除稅後溢利 discontinued operation ╱（虧損） 44 (5,541) Profit on disposal of a discontinued 已終止經營業務之出售溢利 op</t>
        </is>
      </c>
    </row>
    <row r="27">
      <c r="A27" s="8" t="inlineStr">
        <is>
          <t>Impairment Testing</t>
        </is>
      </c>
      <c r="B27" s="8" t="inlineStr">
        <is>
          <t>減值測試</t>
        </is>
      </c>
      <c r="C27" s="19" t="inlineStr">
        <is>
          <t>high</t>
        </is>
      </c>
      <c r="D27" s="11" t="inlineStr">
        <is>
          <t>fair value less costs</t>
        </is>
      </c>
      <c r="E27" s="11" t="inlineStr">
        <is>
          <t>PDF p.160 (印刷頁 158)</t>
        </is>
      </c>
      <c r="F27" s="11" t="inlineStr">
        <is>
          <t>creases due to plantation 因種植而增加 1,202 1,188 Decrease due to harvest 因採收而減少 (2,060) (2,062) (Loss)/gain from changes in 公平值變動減出售成本產生 fair value less costs to sell 之（虧損）╱收益 (8,041) 40 Gain from changes in 於採收時的公平值變動收益 fair value at the point of harvest 155 – Exchange alignment 匯兌調整 1,591 (354) As at 31 March 於三月三十一日 19,942 27,095 Less: non-current portion of 減：生物資產的非流動 biological assets 部分 (19,026) (26,038) Current portion 流動部分 916 1,057 158 GREAT WORLD COMPANY HOLDINGS LTD Annual Report 2025–2026</t>
        </is>
      </c>
    </row>
    <row r="28">
      <c r="A28" s="8" t="inlineStr">
        <is>
          <t>Impairment Testing</t>
        </is>
      </c>
      <c r="B28" s="8" t="inlineStr">
        <is>
          <t>減值測試</t>
        </is>
      </c>
      <c r="C28" s="19" t="inlineStr">
        <is>
          <t>high</t>
        </is>
      </c>
      <c r="D28" s="11" t="inlineStr">
        <is>
          <t>fair value less costs</t>
        </is>
      </c>
      <c r="E28" s="11" t="inlineStr">
        <is>
          <t>PDF p.161 (印刷頁 159)</t>
        </is>
      </c>
      <c r="F28" s="11" t="inlineStr">
        <is>
          <t>485,000 catties (2025: 440,000 度，本集團收割約485,000斤（二零 catties) of Cistanche deserticola. The directors measured 二五年：440,000斤）肉蓯蓉。董事 the fair value less costs to sell by income approach based 根據貼現現金流量模式採用收入法 on discounted cash flow model. 計量公平值減出售成本。 The Group’s biological assets represent the growing 本集團的生物資產指成長的新疆楊 populus alba var. pyramidalis and Cistanche deserticola as 及肉蓯蓉，如下所示： follows: 2026 2025 二零二六年 二零二五年 HK$’000 HK$’000 千港元 千港元 Populus alba var. pyramidalis 新疆楊 19,026 26,038 Cistanche deserticola 肉蓯蓉 916 1,057 19,942 27</t>
        </is>
      </c>
    </row>
    <row r="29">
      <c r="A29" s="8" t="inlineStr">
        <is>
          <t>Impairment Testing</t>
        </is>
      </c>
      <c r="B29" s="8" t="inlineStr">
        <is>
          <t>減值測試</t>
        </is>
      </c>
      <c r="C29" s="19" t="inlineStr">
        <is>
          <t>high</t>
        </is>
      </c>
      <c r="D29" s="11" t="inlineStr">
        <is>
          <t>impairment loss</t>
        </is>
      </c>
      <c r="E29" s="11" t="inlineStr">
        <is>
          <t>PDF p.187 (印刷頁 185)</t>
        </is>
      </c>
      <c r="F29" s="11" t="inlineStr">
        <is>
          <t>款項發生違約的風險與初 recognition. It considers available reasonable 始確認日發生的違約風險 and supportive forwarding-looking information. 進行比較。其考慮可得的 No impairment loss was recognised in respect of 合理及支持性的前瞻性資 deposit and other receivables for both years. 料。於兩個年度概無就按 金及其他應收款項確認減 值虧損。 The credit risks on bank balances are limited 銀行結餘的信貸風險有限， because the counterparties are banks with high 原因是交易對手是國際信 credit ratings assigned by international credit- 用評級機構授予高信用等 rating agencies. 級的銀行。 世大控股有限公司 二零二五－二零二六年年報 185</t>
        </is>
      </c>
    </row>
    <row r="30">
      <c r="A30" s="8" t="inlineStr">
        <is>
          <t>Impairment Testing</t>
        </is>
      </c>
      <c r="B30" s="8" t="inlineStr">
        <is>
          <t>減值測試</t>
        </is>
      </c>
      <c r="C30" s="19" t="inlineStr">
        <is>
          <t>high</t>
        </is>
      </c>
      <c r="D30" s="11" t="inlineStr">
        <is>
          <t>impairment loss</t>
        </is>
      </c>
      <c r="E30" s="11" t="inlineStr">
        <is>
          <t>PDF p.188 (印刷頁 186)</t>
        </is>
      </c>
      <c r="F30" s="11" t="inlineStr">
        <is>
          <t>) Total 全期預期 全期預期 信貸虧損 信貸虧損 （並無信貸減值） （信貸減值） 總計 HK$’000 HK$’000 HK$’000 千港元 千港元 千港元 As at 1 April 2024 於二零二四年四月一日 1,670 25,770 27,440 Impairment loss/(reversal of) 已確認減值虧損╱（撥回） recognised, net 淨額 1,416 (3,730) (2,314) Exchange alignment 匯兌調整 201 (872) (671) As at 31 March 2025 and 於二零二五年三月三十一日及 at 1 April 2025 於二零二五年四月一日 3,287 21,168 24,455 Provision for impairment loss 已確認減值虧損撥備淨額 recognised, net 324 3,964 4,288 Exchange alignment 匯兌調整 195 1,284 1,479 As at 31 March 2026 於二零二六年三月三十一日 3,806 26,416 30,222 (iii) Liquidity risk man</t>
        </is>
      </c>
    </row>
    <row r="31">
      <c r="A31" s="8" t="inlineStr">
        <is>
          <t>Impairment Testing</t>
        </is>
      </c>
      <c r="B31" s="8" t="inlineStr">
        <is>
          <t>減值測試</t>
        </is>
      </c>
      <c r="C31" s="19" t="inlineStr">
        <is>
          <t>high</t>
        </is>
      </c>
      <c r="D31" s="11" t="inlineStr">
        <is>
          <t>fair value less costs</t>
        </is>
      </c>
      <c r="E31" s="11" t="inlineStr">
        <is>
          <t>PDF p.193 (印刷頁 191)</t>
        </is>
      </c>
      <c r="F31" s="11" t="inlineStr">
        <is>
          <t>R VALUE MEASUREMENT (continued) 39. 公平值計量（續） Fair value measurement of biological assets 生物資產的公平值計量 Biological assets were stated at fair value less costs to 生物資產於報告期間結算日按公平 sell at the end of the reporting period. The fair value was 值減銷售成本列賬。公平值乃由獨 determined by the independent qualified professional 立合資格專業估值師博浩企業顧問 valuer, Graval Consulting Limited by using income 有限公司參考市場定價、種植面積、 approach with reference to market determined prices, 品種、生長情況、已產生及將產生 cultivation areas, species, growing conditions, cost incurred 之成本以及預期之農作物產量使用</t>
        </is>
      </c>
    </row>
    <row r="32">
      <c r="A32" s="8" t="inlineStr">
        <is>
          <t>Intangible Assets &amp; Goodwill</t>
        </is>
      </c>
      <c r="B32" s="8" t="inlineStr">
        <is>
          <t>無形資產及商譽</t>
        </is>
      </c>
      <c r="C32" s="19" t="inlineStr">
        <is>
          <t>high</t>
        </is>
      </c>
      <c r="D32" s="11" t="inlineStr">
        <is>
          <t>goodwill</t>
        </is>
      </c>
      <c r="E32" s="11" t="inlineStr">
        <is>
          <t>PDF p.98 (印刷頁 96)</t>
        </is>
      </c>
      <c r="F32" s="11" t="inlineStr">
        <is>
          <t>已收代價的公平值與任何保留權益 and the fair value of any retained interest and (ii) the carrying 的公平值之和與(ii)本公司擁有人應 amount of the assets (including goodwill), and liabilities of 佔附屬公司資產（包括商譽）和負債 the subsidiary attributable to the owners of the Company. 的賬面值之間的差額計算。此前於 All amounts previously recognised in other comprehensive 其他全面收益中確認的與附屬公司 income in relation to that subsidiary are accounted for as 相關的全部金額應視同本集團已直 if the Group had directly disposed of the related assets or 接出售該附屬公司的相關資產或負 liabilities of the subsidiary (i.e. reclassified to pro</t>
        </is>
      </c>
    </row>
    <row r="33">
      <c r="A33" s="8" t="inlineStr">
        <is>
          <t>Intangible Assets &amp; Goodwill</t>
        </is>
      </c>
      <c r="B33" s="8" t="inlineStr">
        <is>
          <t>無形資產及商譽</t>
        </is>
      </c>
      <c r="C33" s="19" t="inlineStr">
        <is>
          <t>high</t>
        </is>
      </c>
      <c r="D33" s="11" t="inlineStr">
        <is>
          <t>goodwill</t>
        </is>
      </c>
      <c r="E33" s="11" t="inlineStr">
        <is>
          <t>PDF p.101 (印刷頁 99)</t>
        </is>
      </c>
      <c r="F33" s="11" t="inlineStr">
        <is>
          <t>準及重 FINANCIAL STATEMENTS AND MATERIAL 大會計政策資料（續） ACCOUNTING POLICY INFORMATION (continued) Business combinations (continued) 業務合併（續） Goodwill is measured as the excess of the sum of 商譽以所轉讓之代價、被收購公司 the consideration transferred, the amount of any non- 任何非控股權益之金額及收購公司 controlling interests in the acquiree, and the fair value of 過往持有之被收購公司股權（如有） the acquirer’s previously held equity interest in the acquiree 之公平值總和超出所收購之可識別 (if any) over the net amount of the identifiable assets 資產及所承擔之負債於收購日之淨 acquired and the liabilities assumed</t>
        </is>
      </c>
    </row>
    <row r="34">
      <c r="A34" s="8" t="inlineStr">
        <is>
          <t>Intangible Assets &amp; Goodwill</t>
        </is>
      </c>
      <c r="B34" s="8" t="inlineStr">
        <is>
          <t>無形資產及商譽</t>
        </is>
      </c>
      <c r="C34" s="19" t="inlineStr">
        <is>
          <t>high</t>
        </is>
      </c>
      <c r="D34" s="11" t="inlineStr">
        <is>
          <t>goodwill</t>
        </is>
      </c>
      <c r="E34" s="11" t="inlineStr">
        <is>
          <t>PDF p.106 (印刷頁 104)</t>
        </is>
      </c>
      <c r="F34" s="11" t="inlineStr">
        <is>
          <t>t. In addition, deferred tax 稅項負債。 liabilities are not recognised if the temporary difference arises from the initial recognition of goodwill. 104 GREAT WORLD COMPANY HOLDINGS LTD Annual Report 2025–2026</t>
        </is>
      </c>
    </row>
    <row r="35">
      <c r="A35" s="8" t="inlineStr">
        <is>
          <t>Intangible Assets &amp; Goodwill</t>
        </is>
      </c>
      <c r="B35" s="8" t="inlineStr">
        <is>
          <t>無形資產及商譽</t>
        </is>
      </c>
      <c r="C35" s="19" t="inlineStr">
        <is>
          <t>high</t>
        </is>
      </c>
      <c r="D35" s="11" t="inlineStr">
        <is>
          <t>可使用年期</t>
        </is>
      </c>
      <c r="E35" s="11" t="inlineStr">
        <is>
          <t>PDF p.109 (印刷頁 107)</t>
        </is>
      </c>
      <c r="F35" s="11" t="inlineStr">
        <is>
          <t>s when the assets are 基準於資產可作擬定用途時開始折 ready for their intended use. 舊。 Depreciation is recognised so as to write off the cost of 為於估計可使用年期內撇銷資產成 assets less their residual values over their estimated useful 本減其剩餘價值，折舊按直線法確 lives, using the straight-line method. The estimated useful 認。估計可使用年期、剩餘價值及 lives, residual values and depreciation method are reviewed 折舊方法將於各報告期末檢討，而 at the end of each reporting period, with the effect of any 任何估計變動之影響乃按未來適用 changes in estimate accounted for on a prospective basis. 基準入賬。就此目的而使用的主要 The prin</t>
        </is>
      </c>
    </row>
    <row r="36">
      <c r="A36" s="8" t="inlineStr">
        <is>
          <t>Intangible Assets &amp; Goodwill</t>
        </is>
      </c>
      <c r="B36" s="8" t="inlineStr">
        <is>
          <t>無形資產及商譽</t>
        </is>
      </c>
      <c r="C36" s="19" t="inlineStr">
        <is>
          <t>high</t>
        </is>
      </c>
      <c r="D36" s="11" t="inlineStr">
        <is>
          <t>development cost</t>
        </is>
      </c>
      <c r="E36" s="11" t="inlineStr">
        <is>
          <t>PDF p.110 (印刷頁 108)</t>
        </is>
      </c>
      <c r="F36" s="11" t="inlineStr">
        <is>
          <t>可變現淨 net realisable value. 值之較低者列賬。 The cost of properties held for sale is determined by 持作出售物業成本按發展成本總額 apportionment of the total development costs which 分攤，包括所有購買成本、兌換成 comprise all costs of purchase, costs of conversion and 本及將持作出售物業送至未出售單 costs incurred in bringing the properties held for sale to 位之現時地點所產生之成本而釐定。 their present location attributable to unsold units. Net realisable value is estimated by the management, 可變現淨值是由管理層根據當時市 based on prevailing market conditions, which represents 況而估計，此變現淨值指估計售價 the estimated sell</t>
        </is>
      </c>
    </row>
    <row r="37">
      <c r="A37" s="8" t="inlineStr">
        <is>
          <t>Intangible Assets &amp; Goodwill</t>
        </is>
      </c>
      <c r="B37" s="8" t="inlineStr">
        <is>
          <t>無形資產及商譽</t>
        </is>
      </c>
      <c r="C37" s="19" t="inlineStr">
        <is>
          <t>high</t>
        </is>
      </c>
      <c r="D37" s="11" t="inlineStr">
        <is>
          <t>useful life</t>
        </is>
      </c>
      <c r="E37" s="11" t="inlineStr">
        <is>
          <t>PDF p.113 (印刷頁 111)</t>
        </is>
      </c>
      <c r="F37" s="11" t="inlineStr">
        <is>
          <t>leased 得相關租賃資產的擁有權，則使用 assets at the end of the lease term are depreciated 權資產自開始日期起至可使用年期 from commencement date to the end of the useful life. 屆滿期間折舊。否則，使用權資產 Otherwise, right-of-use assets are depreciated on a 按直線法於其估計可使用年期及租 straight-line basis over the shorter of its estimated useful 期（以較短者為準）內計提折舊。 life and the lease term. 世大控股有限公司 二零二五－二零二六年年報 111</t>
        </is>
      </c>
    </row>
    <row r="38">
      <c r="A38" s="8" t="inlineStr">
        <is>
          <t>Intangible Assets &amp; Goodwill</t>
        </is>
      </c>
      <c r="B38" s="8" t="inlineStr">
        <is>
          <t>無形資產及商譽</t>
        </is>
      </c>
      <c r="C38" s="19" t="inlineStr">
        <is>
          <t>high</t>
        </is>
      </c>
      <c r="D38" s="11" t="inlineStr">
        <is>
          <t>攤銷</t>
        </is>
      </c>
      <c r="E38" s="11" t="inlineStr">
        <is>
          <t>PDF p.117 (印刷頁 115)</t>
        </is>
      </c>
      <c r="F38" s="11" t="inlineStr">
        <is>
          <t>ve interest method is a method of calculating 實際利率法為計算於相關期間金融 the amortised cost of a financial asset or financial liability 資產或金融負債之攤銷成本及分配 and of allocating interest income and interest expense 利息收入及利息開支之方法。實際 over the relevant period. The effective interest rate is the 利率為初始確認時將於金融資產或 rate that exactly discounts estimated future cash receipts 金融負債預期使用期或較短年期（倘 and payments (including all fees and points paid or 適用）之估計未來現金收入及付款 received that form an integral part of the effective interest （包括構成整體實際利率之所有已 rate, transaction cost</t>
        </is>
      </c>
    </row>
    <row r="39">
      <c r="A39" s="8" t="inlineStr">
        <is>
          <t>Intangible Assets &amp; Goodwill</t>
        </is>
      </c>
      <c r="B39" s="8" t="inlineStr">
        <is>
          <t>無形資產及商譽</t>
        </is>
      </c>
      <c r="C39" s="19" t="inlineStr">
        <is>
          <t>high</t>
        </is>
      </c>
      <c r="D39" s="11" t="inlineStr">
        <is>
          <t>攤銷</t>
        </is>
      </c>
      <c r="E39" s="11" t="inlineStr">
        <is>
          <t>PDF p.118 (印刷頁 116)</t>
        </is>
      </c>
      <c r="F39" s="11" t="inlineStr">
        <is>
          <t>All recognised financial assets are measured subsequently 所有獲確認的金融資產其後均整體 in their entirety at either amortised cost or fair value, 按攤銷成本或公平值計量，視乎金 depending on the classification of the financial assets. 融資產的分類而定。 Classification and subsequent measurement of financial 金融資產的分類及其後計量 assets Financial assets that meet the following conditions are 符合下列條件的金融資產其後按攤 subsequently measured at amortised cost: 銷成本計量： • the financial asset is held within a business model • 目的為收取合約現金流量的業 whose objective is to collect contractual cash flows;</t>
        </is>
      </c>
    </row>
    <row r="40">
      <c r="A40" s="8" t="inlineStr">
        <is>
          <t>Intangible Assets &amp; Goodwill</t>
        </is>
      </c>
      <c r="B40" s="8" t="inlineStr">
        <is>
          <t>無形資產及商譽</t>
        </is>
      </c>
      <c r="C40" s="19" t="inlineStr">
        <is>
          <t>high</t>
        </is>
      </c>
      <c r="D40" s="11" t="inlineStr">
        <is>
          <t>攤銷</t>
        </is>
      </c>
      <c r="E40" s="11" t="inlineStr">
        <is>
          <t>PDF p.119 (印刷頁 117)</t>
        </is>
      </c>
      <c r="F40" s="11" t="inlineStr">
        <is>
          <t>addition, the Group may irrevocably designate a financial 此外，本集團可不可撤回地將一項 asset that are required to be measured at the amortised 須按攤銷成本或按公平值計入其他 cost or FVTOCI as measured at FVTPL if doing so 全面收益計量的金融資產指定為按 eliminates or significantly reduces an accounting mismatch. 公平值計入損益計量，前提為有關 指定可消除或大幅減少會計錯配。 Amortised cost and interest income 攤銷成本及利息收入 Interest income is recognised using the effective interest 就其後按攤銷成本計量的金融資產 method for financial assets measured subsequently at 而言，利息收入採用實際利率法確 amortised cost. Interest income is calcul</t>
        </is>
      </c>
    </row>
    <row r="41">
      <c r="A41" s="8" t="inlineStr">
        <is>
          <t>Intangible Assets &amp; Goodwill</t>
        </is>
      </c>
      <c r="B41" s="8" t="inlineStr">
        <is>
          <t>無形資產及商譽</t>
        </is>
      </c>
      <c r="C41" s="19" t="inlineStr">
        <is>
          <t>high</t>
        </is>
      </c>
      <c r="D41" s="11" t="inlineStr">
        <is>
          <t>攤銷</t>
        </is>
      </c>
      <c r="E41" s="11" t="inlineStr">
        <is>
          <t>PDF p.120 (印刷頁 118)</t>
        </is>
      </c>
      <c r="F41" s="11" t="inlineStr">
        <is>
          <t>al assets (continued) 金融資產（續） Financial assets at FVTPL 按公平值計入損益的金融資產 Financial assets that do not meet the criteria for being 不符合條件按攤銷成本或按公平值 measured at amortised cost or FVTOCI or designated as 計入其他全面收益或指定為按公平 FVTOCI are measured at FVTPL. 值計入其他全面收益計量的金融資 產，均按公平值計入損益計量。 Financial assets at FVTPL are measured at fair value at 按公平值計入損益的金融資產按各 the end of each reporting period, with any fair value gains 報告期末的公平值計量，任何公平 or losses recognised in profit or loss. The net gain or 值收益或虧損於損益中確認。於損 loss recognised in profit or loss exclu</t>
        </is>
      </c>
    </row>
    <row r="42">
      <c r="A42" s="8" t="inlineStr">
        <is>
          <t>Intangible Assets &amp; Goodwill</t>
        </is>
      </c>
      <c r="B42" s="8" t="inlineStr">
        <is>
          <t>無形資產及商譽</t>
        </is>
      </c>
      <c r="C42" s="19" t="inlineStr">
        <is>
          <t>high</t>
        </is>
      </c>
      <c r="D42" s="11" t="inlineStr">
        <is>
          <t>攤銷</t>
        </is>
      </c>
      <c r="E42" s="11" t="inlineStr">
        <is>
          <t>PDF p.125 (印刷頁 123)</t>
        </is>
      </c>
      <c r="F42" s="11" t="inlineStr">
        <is>
          <t>financial asset unless the financial asset is 算，倘金融資產出現信貸減值，則 credit impaired, in which case interest income is calculated 利息收入按金融資產的攤銷成本計 based on amortised cost of the financial asset. 算。 The Group recognises an impairment gain or loss in 本集團透過調整賬面值於損益確認 profit or loss for all financial instruments by adjusting their 所有金融工具的減值盈虧，惟應收 carrying amount, with the exception of trade receivables 賬款除外，其相關調整乃透過虧損 where the corresponding adjustment is recognised through 撥備賬予以確認。 a loss allowance account. 世大控股有限公司 二零二五－二零二六年年報 123</t>
        </is>
      </c>
    </row>
    <row r="43">
      <c r="A43" s="8" t="inlineStr">
        <is>
          <t>Intangible Assets &amp; Goodwill</t>
        </is>
      </c>
      <c r="B43" s="8" t="inlineStr">
        <is>
          <t>無形資產及商譽</t>
        </is>
      </c>
      <c r="C43" s="19" t="inlineStr">
        <is>
          <t>high</t>
        </is>
      </c>
      <c r="D43" s="11" t="inlineStr">
        <is>
          <t>攤銷</t>
        </is>
      </c>
      <c r="E43" s="11" t="inlineStr">
        <is>
          <t>PDF p.126 (印刷頁 124)</t>
        </is>
      </c>
      <c r="F43" s="11" t="inlineStr">
        <is>
          <t>產， collateralised borrowing for the proceeds received. 同時亦就已收取的所得款項確認有 抵押借款。 On derecognition of a financial asset measured at 於終止確認按攤銷成本計量之金融 amortised cost, the difference between the asset’s carrying 資產時，有關資產之賬面值與已收 amount and the sum of the consideration received and 及應收代價總和之差額，會於損益 receivable is recognised in profit or loss. 中確認。 Financial liabilities and equity 金融負債及股本 Classification as debt or equity 分類為債務或股權 Debt and equity instruments are classified as either financial 債務及股本工具乃根據合約安排之 liabilities or as equity in accord</t>
        </is>
      </c>
    </row>
    <row r="44">
      <c r="A44" s="8" t="inlineStr">
        <is>
          <t>Intangible Assets &amp; Goodwill</t>
        </is>
      </c>
      <c r="B44" s="8" t="inlineStr">
        <is>
          <t>無形資產及商譽</t>
        </is>
      </c>
      <c r="C44" s="19" t="inlineStr">
        <is>
          <t>high</t>
        </is>
      </c>
      <c r="D44" s="11" t="inlineStr">
        <is>
          <t>攤銷</t>
        </is>
      </c>
      <c r="E44" s="11" t="inlineStr">
        <is>
          <t>PDF p.127 (印刷頁 125)</t>
        </is>
      </c>
      <c r="F44" s="11" t="inlineStr">
        <is>
          <t>入損益。 All financial liabilities are subsequently measured at 所有金融負債其後以實際利率法按 amortised cost using the effective interest method or at 攤銷成本或按公平值計入損益計量。 FVTPL. A financial liability is held for trading if: 金融負債於以下情況下為持作買賣： • it has been incurred principally for the purpose of • 主要為於短期內購回的目的產 repurchasing it in the near term; or 生；或 • on initial recognition it is part of a portfolio of identified • 在初始確認時為由本集團共同 financial instruments that the Group manages together 管理的已識別金融工具投資組 and has a recent actual pattern of short-term profit-</t>
        </is>
      </c>
    </row>
    <row r="45">
      <c r="A45" s="8" t="inlineStr">
        <is>
          <t>Intangible Assets &amp; Goodwill</t>
        </is>
      </c>
      <c r="B45" s="8" t="inlineStr">
        <is>
          <t>無形資產及商譽</t>
        </is>
      </c>
      <c r="C45" s="19" t="inlineStr">
        <is>
          <t>high</t>
        </is>
      </c>
      <c r="D45" s="11" t="inlineStr">
        <is>
          <t>攤銷</t>
        </is>
      </c>
      <c r="E45" s="11" t="inlineStr">
        <is>
          <t>PDF p.128 (印刷頁 126)</t>
        </is>
      </c>
      <c r="F45" s="11" t="inlineStr">
        <is>
          <t>ty component are included in the carrying amount of 之賬面值，並以實際利率法於可換 the liability portion and amortised over the period of the 股票據期間內攤銷。 convertible notes using the effective interest method. 126 GREAT WORLD COMPANY HOLDINGS LTD Annual Report 2025–2026</t>
        </is>
      </c>
    </row>
    <row r="46">
      <c r="A46" s="8" t="inlineStr">
        <is>
          <t>Intangible Assets &amp; Goodwill</t>
        </is>
      </c>
      <c r="B46" s="8" t="inlineStr">
        <is>
          <t>無形資產及商譽</t>
        </is>
      </c>
      <c r="C46" s="19" t="inlineStr">
        <is>
          <t>high</t>
        </is>
      </c>
      <c r="D46" s="11" t="inlineStr">
        <is>
          <t>goodwill</t>
        </is>
      </c>
      <c r="E46" s="11" t="inlineStr">
        <is>
          <t>PDF p.131 (印刷頁 129)</t>
        </is>
      </c>
      <c r="F46" s="11" t="inlineStr">
        <is>
          <t>quity in respect of that operation 中的所有累計匯兌差額重新分類至 attributable to the owners of the Company are reclassified 損益。 to profit or loss. Goodwill and fair value adjustments on identifiable assets 收購海外業務而產生的有關所收購 acquired and liabilities assumed arising on an acquisition 可識別資產及所承擔負債的商譽及 of a foreign operation are treated as assets and liabilities 公平值調整，乃作為該海外業務的 of that foreign operation and translated at the rate of 資產及負債處理，並按各報告期末 exchange prevailing at the end of each reporting period. 的現行匯率重新換算。產生的匯兌 Exchange differences arising</t>
        </is>
      </c>
    </row>
    <row r="47">
      <c r="A47" s="8" t="inlineStr">
        <is>
          <t>Intangible Assets &amp; Goodwill</t>
        </is>
      </c>
      <c r="B47" s="8" t="inlineStr">
        <is>
          <t>無形資產及商譽</t>
        </is>
      </c>
      <c r="C47" s="19" t="inlineStr">
        <is>
          <t>high</t>
        </is>
      </c>
      <c r="D47" s="11" t="inlineStr">
        <is>
          <t>goodwill</t>
        </is>
      </c>
      <c r="E47" s="11" t="inlineStr">
        <is>
          <t>PDF p.132 (印刷頁 130)</t>
        </is>
      </c>
      <c r="F47" s="11" t="inlineStr">
        <is>
          <t>基準及重 FINANCIAL STATEMENTS AND MATERIAL 大會計政策資料（續） ACCOUNTING POLICY INFORMATION (continued) Impairment of tangible assets other than goodwill 有形資產減值（商譽除外） At the end of the reporting period, the Group reviews 於報告期完結時，本集團檢討其有 the carrying amounts of its tangible assets to determine 形資產之賬面值以決定是否有任何 whether there is any indication that those assets have 跡象顯示該等資產受到減值虧損。 suffered an impairment loss. If any such indication exists, 如出現任何該等跡象，則應估計該 the recoverable amount of the relevant asset is estimated 資產之可回收金額以釐定其減值虧 in order to de</t>
        </is>
      </c>
    </row>
    <row r="48">
      <c r="A48" s="8" t="inlineStr">
        <is>
          <t>Intangible Assets &amp; Goodwill</t>
        </is>
      </c>
      <c r="B48" s="8" t="inlineStr">
        <is>
          <t>無形資產及商譽</t>
        </is>
      </c>
      <c r="C48" s="19" t="inlineStr">
        <is>
          <t>high</t>
        </is>
      </c>
      <c r="D48" s="11" t="inlineStr">
        <is>
          <t>goodwill</t>
        </is>
      </c>
      <c r="E48" s="11" t="inlineStr">
        <is>
          <t>PDF p.133 (印刷頁 131)</t>
        </is>
      </c>
      <c r="F48" s="11" t="inlineStr">
        <is>
          <t>基準及重 FINANCIAL STATEMENTS AND MATERIAL 大會計政策資料（續） ACCOUNTING POLICY INFORMATION (continued) Impairment of tangible assets other than goodwill 有形資產減值（商譽除外） （續） (continued) If the recoverable amount of an asset (or a CGU) is 倘估計資產（或現金產生單位）之可 estimated to be less than its carrying amount, the 收回金額少於其賬面值，資產（或 carrying amount of the asset (or a CGU) is reduced to 現金產生單位）之賬面值下調至其 its recoverable amount. For corporate assets or portion 可收回金額。就無法按合理及一致 of corporate assets which cannot be allocated on a 基準分配至現金產生單位的企業資 reasonable and co</t>
        </is>
      </c>
    </row>
    <row r="49">
      <c r="A49" s="8" t="inlineStr">
        <is>
          <t>Intangible Assets &amp; Goodwill</t>
        </is>
      </c>
      <c r="B49" s="8" t="inlineStr">
        <is>
          <t>無形資產及商譽</t>
        </is>
      </c>
      <c r="C49" s="19" t="inlineStr">
        <is>
          <t>high</t>
        </is>
      </c>
      <c r="D49" s="11" t="inlineStr">
        <is>
          <t>攤銷</t>
        </is>
      </c>
      <c r="E49" s="11" t="inlineStr">
        <is>
          <t>PDF p.183 (印刷頁 181)</t>
        </is>
      </c>
      <c r="F49" s="11" t="inlineStr">
        <is>
          <t>financial instruments (a) 金融工具類別 2026 2025 二零二六年 二零二五年 HK$’000 HK$’000 千港元 千港元 Financial assets 金融資產 Financial assets at amortised 按攤銷成本計算之金融資產 cost 7,610 11,499 Financial assets at FVTPL 按公平值計入損益的 金融資產 192 1,091 Financial liabilities 金融負債 Financial liabilities at amortised 按攤銷成本計算之金融負債 cost (41,995) (163,214) (b) Financial risk management objectives and policies (b) 財務風險管理目標及政策 The Group’s major financial instruments are disclosed 本集團之主要金融工具於上文 in above. The risks associated with these financial 披露。該等金融工具相關之風 instruments incl</t>
        </is>
      </c>
    </row>
    <row r="50">
      <c r="A50" s="8" t="inlineStr">
        <is>
          <t>Investment Properties</t>
        </is>
      </c>
      <c r="B50" s="8" t="inlineStr">
        <is>
          <t>投資物業</t>
        </is>
      </c>
      <c r="C50" s="19" t="inlineStr">
        <is>
          <t>high</t>
        </is>
      </c>
      <c r="D50" s="11" t="inlineStr">
        <is>
          <t>建築面積</t>
        </is>
      </c>
      <c r="E50" s="11" t="inlineStr">
        <is>
          <t>PDF p.14 (印刷頁 12)</t>
        </is>
      </c>
      <c r="F50" s="11" t="inlineStr">
        <is>
          <t>ite with a total area of approximately 3,111.96 （「平方米」）的住宅及商業開發地盤。該 square metres (“sq.m.”). This property featured a gross floor 物業的建築面積約為27,134.46平方米， area of about 27,134.46 sq.m., including a basement floor, 包括地下一層，並提供四類主要功能: and served four primary functions: residential, commercial, 住宅、商業、地下停車場及設施。 basement car park, and facilities. Due to the unfavourable conditions in the Chinese property 由於中國物業市場狀況不佳，本集團作 market, the Group made the strategic decision to dispose of 出出售該物業的戰略決定。 this property. For the year ended 31 March</t>
        </is>
      </c>
    </row>
    <row r="51">
      <c r="A51" s="8" t="inlineStr">
        <is>
          <t>Investment Properties</t>
        </is>
      </c>
      <c r="B51" s="8" t="inlineStr">
        <is>
          <t>投資物業</t>
        </is>
      </c>
      <c r="C51" s="19" t="inlineStr">
        <is>
          <t>high</t>
        </is>
      </c>
      <c r="D51" s="11" t="inlineStr">
        <is>
          <t>investment property</t>
        </is>
      </c>
      <c r="E51" s="11" t="inlineStr">
        <is>
          <t>PDF p.63 (印刷頁 61)</t>
        </is>
      </c>
      <c r="F51" s="11" t="inlineStr">
        <is>
          <t>nt 本集團於本年度之物業、廠房及設備變 of the Group during the year are set out in note 16 to the 動之詳情載於綜合財務報表附註16。 consolidated financial statements. INVESTMENT PROPERTY 投資物業 Details of the movements in investment property of the Group 於本年度，本集團之投資物業變動詳情 during the year are set out in note 17 to the consolidated 載於綜合財務報表附註17。 financial statements. FIVE-YEAR FINANCIAL SUMMARY 五年財務概要 Results, assets and liabilities of the Group for each of the last 本集團過往五個財政年度各年之業績、 five financial years are summarised on page 200. 資產與負債摘要載於第200頁。 SHARE CAPITAL 股本</t>
        </is>
      </c>
    </row>
    <row r="52">
      <c r="A52" s="8" t="inlineStr">
        <is>
          <t>Investment Properties</t>
        </is>
      </c>
      <c r="B52" s="8" t="inlineStr">
        <is>
          <t>投資物業</t>
        </is>
      </c>
      <c r="C52" s="19" t="inlineStr">
        <is>
          <t>high</t>
        </is>
      </c>
      <c r="D52" s="11" t="inlineStr">
        <is>
          <t>investment property</t>
        </is>
      </c>
      <c r="E52" s="11" t="inlineStr">
        <is>
          <t>PDF p.83 (印刷頁 81)</t>
        </is>
      </c>
      <c r="F52" s="11" t="inlineStr">
        <is>
          <t>$’000 附註 千港元 千港元 Non-current assets 非流動資產 Right-of-use assets 使用權資產 15 5,648 6,284 Property, plant and equipment 物業、廠房及設備 16 254 336 Investment property 投資物業 17 – 36,431 Biological assets 生物資產 19 19,026 26,038 24,928 69,089 Current assets 流動資產 Properties held for sale 持作出售物業 18 – 56,694 Biological assets 生物資產 19 916 1,057 Trade receivables 應收賬款 20 1,537 3,586 Deposits, prepayment and other 按金、預付款項及其他應收 receivables 款項 20 27,018 27,479 Financial assets at fair value through 按公平值計入損益的金融 profit or loss 資產 21 192 1,091 Cash and bank</t>
        </is>
      </c>
    </row>
    <row r="53">
      <c r="A53" s="8" t="inlineStr">
        <is>
          <t>Investment Properties</t>
        </is>
      </c>
      <c r="B53" s="8" t="inlineStr">
        <is>
          <t>投資物業</t>
        </is>
      </c>
      <c r="C53" s="19" t="inlineStr">
        <is>
          <t>high</t>
        </is>
      </c>
      <c r="D53" s="11" t="inlineStr">
        <is>
          <t>investment property</t>
        </is>
      </c>
      <c r="E53" s="11" t="inlineStr">
        <is>
          <t>PDF p.86 (印刷頁 84)</t>
        </is>
      </c>
      <c r="F53" s="11" t="inlineStr">
        <is>
          <t>uments at fair value through 融工具的公平值變動－ profit or loss – Unrealised 未變現 11 (262) Loss arising from change in fair 投資物業公平值變動 value of investment property 產生的虧損 – 5,176 Loss/(gain) arising from changes 生物資產的公平值變動 in fair value less costs to sell of 減出售成本產生的 biological assets 虧損╱（收益） 8,041 (40) Provision for/(reversal of) 就應收賬款及其他應收 impairment loss recognised 款項確認的減值虧損 in respect of trade and other 撥備╱（撥回），淨額 receivables, net 4,288 (2,314) Operating cash flows before 營運資金變動前之經營現 movements in working capital 金流量 (8,706) (7,152) Dec</t>
        </is>
      </c>
    </row>
    <row r="54">
      <c r="A54" s="8" t="inlineStr">
        <is>
          <t>Investment Properties</t>
        </is>
      </c>
      <c r="B54" s="8" t="inlineStr">
        <is>
          <t>投資物業</t>
        </is>
      </c>
      <c r="C54" s="19" t="inlineStr">
        <is>
          <t>high</t>
        </is>
      </c>
      <c r="D54" s="11" t="inlineStr">
        <is>
          <t>投資物業</t>
        </is>
      </c>
      <c r="E54" s="11" t="inlineStr">
        <is>
          <t>PDF p.94 (印刷頁 92)</t>
        </is>
      </c>
      <c r="F54" s="11" t="inlineStr">
        <is>
          <t>the historical cost basis except for certain financial 期間結算日以公平值計量之若干金 instruments, investment properties and biological assets 融工具、投資物業及生物資產外， that are measured at fair values at the end of each 綜合財務報表乃按歷史成本基準編 reporting period, as explained in the accounting policies set 製。 out below. Historical cost is generally based on the fair value of the 歷史成本一般按換取貨品及服務所 consideration given in exchange for goods and services. 給予之代價公平值計算。 Fair value is the price that would be received to sell an 公平值為市場參與者於計量日期在 asset or paid to transfer</t>
        </is>
      </c>
    </row>
    <row r="55">
      <c r="A55" s="8" t="inlineStr">
        <is>
          <t>Investment Properties</t>
        </is>
      </c>
      <c r="B55" s="8" t="inlineStr">
        <is>
          <t>投資物業</t>
        </is>
      </c>
      <c r="C55" s="19" t="inlineStr">
        <is>
          <t>high</t>
        </is>
      </c>
      <c r="D55" s="11" t="inlineStr">
        <is>
          <t>investment property</t>
        </is>
      </c>
      <c r="E55" s="11" t="inlineStr">
        <is>
          <t>PDF p.107 (印刷頁 105)</t>
        </is>
      </c>
      <c r="F55" s="11" t="inlineStr">
        <is>
          <t>iness model 該等物業，其目的是隨時間耗用投 whose objective is to consume substantially all of the 資物業所包含的絕大部分經濟利益 economic benefits embodied in the investment property （而並非透過出售），則該假定被駁 over time, rather than through sale, except for freehold 回，惟永久業權土地一直假定為可 land, which is always presumed to be recovered entirely 透過銷售全數收回。 through sale. 世大控股有限公司 二零二五－二零二六年年報 105</t>
        </is>
      </c>
    </row>
    <row r="56">
      <c r="A56" s="8" t="inlineStr">
        <is>
          <t>Investment Properties</t>
        </is>
      </c>
      <c r="B56" s="8" t="inlineStr">
        <is>
          <t>投資物業</t>
        </is>
      </c>
      <c r="C56" s="19" t="inlineStr">
        <is>
          <t>high</t>
        </is>
      </c>
      <c r="D56" s="11" t="inlineStr">
        <is>
          <t>investment property</t>
        </is>
      </c>
      <c r="E56" s="11" t="inlineStr">
        <is>
          <t>PDF p.110 (印刷頁 108)</t>
        </is>
      </c>
      <c r="F56" s="11" t="inlineStr">
        <is>
          <t>L STATEMENTS AND MATERIAL 大會計政策資料（續） ACCOUNTING POLICY INFORMATION (continued) Property, plant and equipment (continued) 物業、廠房及設備（續） Investment property 投資物業 Investment property is property held to earn rentals and/or 投資物業乃持有以賺取租金及╱或 for capital appreciation. 作資本增值用途之物業。 Investment property is initially measured at cost, including 投資物業初次按成本計量，包括任 any directly attributable expenditure. Subsequent to initial 何直接應佔開支。初次確認後，投 recognition, investment property is measured at their 資物業按其公平值計量，並予調整 fair values, adjusted to exclude any</t>
        </is>
      </c>
    </row>
    <row r="57">
      <c r="A57" s="8" t="inlineStr">
        <is>
          <t>Investment Properties</t>
        </is>
      </c>
      <c r="B57" s="8" t="inlineStr">
        <is>
          <t>投資物業</t>
        </is>
      </c>
      <c r="C57" s="19" t="inlineStr">
        <is>
          <t>high</t>
        </is>
      </c>
      <c r="D57" s="11" t="inlineStr">
        <is>
          <t>market rent</t>
        </is>
      </c>
      <c r="E57" s="11" t="inlineStr">
        <is>
          <t>PDF p.115 (印刷頁 113)</t>
        </is>
      </c>
      <c r="F57" s="11" t="inlineStr">
        <is>
          <t>te of reassessment. 率來貼現經修訂租賃付款而重 新計量。 • the lease payments change due to changes in market • 租賃付款因市場租金審查後的 rental rates following a market rent review/expected 市場租金變化╱保證剩餘價值 payment under a guaranteed residual value, in which 下的預期付款而變化，在此情 cases the related lease liability is remeasured by 況下，相關租賃負債乃透過使 discounting the revised lease payments using the initial 用初步貼現率來貼現經修訂租 discount rate. 賃付款而重新計量。 • a lease contract is modified and the lease modification • 租賃合約已修改且租賃修改不 is not accounted for as a separate lease (see below for 作</t>
        </is>
      </c>
    </row>
    <row r="58">
      <c r="A58" s="8" t="inlineStr">
        <is>
          <t>Investment Properties</t>
        </is>
      </c>
      <c r="B58" s="8" t="inlineStr">
        <is>
          <t>投資物業</t>
        </is>
      </c>
      <c r="C58" s="19" t="inlineStr">
        <is>
          <t>high</t>
        </is>
      </c>
      <c r="D58" s="11" t="inlineStr">
        <is>
          <t>投資物業</t>
        </is>
      </c>
      <c r="E58" s="11" t="inlineStr">
        <is>
          <t>PDF p.116 (印刷頁 114)</t>
        </is>
      </c>
      <c r="F58" s="11" t="inlineStr">
        <is>
          <t>the leased asset, and such costs are recognised 租賃期內按直線法確認為開支，惟 as an expense on a straight-line basis over the lease term 按公平值模式計量的投資物業除外。 except for investment properties measured under fair value model. Rental income which are derived from the Group’s ordinary 產生自本集團日常業務過程的租金 course of business are presented as revenue. 收入呈列為收益。 114 GREAT WORLD COMPANY HOLDINGS LTD Annual Report 2025–2026</t>
        </is>
      </c>
    </row>
    <row r="59">
      <c r="A59" s="8" t="inlineStr">
        <is>
          <t>Investment Properties</t>
        </is>
      </c>
      <c r="B59" s="8" t="inlineStr">
        <is>
          <t>投資物業</t>
        </is>
      </c>
      <c r="C59" s="19" t="inlineStr">
        <is>
          <t>high</t>
        </is>
      </c>
      <c r="D59" s="11" t="inlineStr">
        <is>
          <t>investment property</t>
        </is>
      </c>
      <c r="E59" s="11" t="inlineStr">
        <is>
          <t>PDF p.154 (印刷頁 152)</t>
        </is>
      </c>
      <c r="F59" s="11" t="inlineStr">
        <is>
          <t>000 千港元 千港元 Revenue 收益 308 995 Cost of sales 銷售成本 – – Gross profit 毛利 308 995 Loss arising from change in fair value 投資物業公平值變動產生的 of investment property 虧損 – (5,176) Impairment loss on properties held 持作出售物業的減值虧損 for sale – (1,078) Selling and distribution costs 銷售及分銷成本 (29) (239) Administrative and other operating 行政及其他營運開支 expenses (235) (1,337) Profit/ (loss) before tax 除稅前溢利╱（虧損） 44 (6,835) Income tax credit 所得稅抵免 – 1,294 Profit/ (loss) after tax of a 已終止經營業務之除稅後溢利 discontinued operation ╱（虧損） 44 (5,541) Profit on disposal</t>
        </is>
      </c>
    </row>
    <row r="60">
      <c r="A60" s="8" t="inlineStr">
        <is>
          <t>Investment Properties</t>
        </is>
      </c>
      <c r="B60" s="8" t="inlineStr">
        <is>
          <t>投資物業</t>
        </is>
      </c>
      <c r="C60" s="19" t="inlineStr">
        <is>
          <t>high</t>
        </is>
      </c>
      <c r="D60" s="11" t="inlineStr">
        <is>
          <t>投資物業</t>
        </is>
      </c>
      <c r="E60" s="11" t="inlineStr">
        <is>
          <t>PDF p.155 (印刷頁 153)</t>
        </is>
      </c>
      <c r="F60" s="11" t="inlineStr">
        <is>
          <t>╱年度溢利╱（虧損）乃扣除 charging/ (crediting): ╱（計入）以下項目後達致： 2026 2025 二零二六年 二零二五年 HK$’000 HK$’000 千港元 千港元 Gross rental income from investment 投資物業產生的租金收入總額 properties (308) (995) Less: direct operating expenses 減：年內產生租金收入的投資 arising from investment 物業產生的 properties that generated 直接經營開支 rental income during the year – 187 Less: direct operating expenses 減：年內並未產生租金收入的 arising from investment 投資物業產生的 properties that did not 直接經營開支 generate rental income during the year 215 963 (93) 155 The cash flows of the property business were as follo</t>
        </is>
      </c>
    </row>
    <row r="61">
      <c r="A61" s="8" t="inlineStr">
        <is>
          <t>Investment Properties</t>
        </is>
      </c>
      <c r="B61" s="8" t="inlineStr">
        <is>
          <t>投資物業</t>
        </is>
      </c>
      <c r="C61" s="19" t="inlineStr">
        <is>
          <t>high</t>
        </is>
      </c>
      <c r="D61" s="11" t="inlineStr">
        <is>
          <t>investment property</t>
        </is>
      </c>
      <c r="E61" s="11" t="inlineStr">
        <is>
          <t>PDF p.159 (印刷頁 157)</t>
        </is>
      </c>
      <c r="F61" s="11" t="inlineStr">
        <is>
          <t>Notes to the Consolidated Financial Statements 綜合財務報表附註 For the year ended 31 March 2026 截至二零二六年三月三十一日止年度 17. INVESTMENT PROPERTY 17. 投資物業 The Group leases out various retail stores under operating 本集團根據經營租賃將其若干零售 leases with rentals payable monthly, quarterly or annually. 店舖出租，每月、每季或每年賺取 The leases typically run for an initial period of one to twelve 租金。租賃一般初步為期一至十二 years, with unilateral rights to extend the lease beyond 年，且僅賦予承租人單邊權利將租 initial period held by lessees only. Majority of the lease 賃的初始租期延長</t>
        </is>
      </c>
    </row>
    <row r="62">
      <c r="A62" s="8" t="inlineStr">
        <is>
          <t>Investment Properties</t>
        </is>
      </c>
      <c r="B62" s="8" t="inlineStr">
        <is>
          <t>投資物業</t>
        </is>
      </c>
      <c r="C62" s="19" t="inlineStr">
        <is>
          <t>high</t>
        </is>
      </c>
      <c r="D62" s="11" t="inlineStr">
        <is>
          <t>投資物業</t>
        </is>
      </c>
      <c r="E62" s="11" t="inlineStr">
        <is>
          <t>PDF p.170 (印刷頁 168)</t>
        </is>
      </c>
      <c r="F62" s="11" t="inlineStr">
        <is>
          <t>ies 遞延稅項負債 (146) (13,360) – (13,044) Fair value on Right-of-use Lease investment Convertible assets liabilities property notes Total 投資物業 可換股 使用權資產 租賃負債 之公平值 票據 總計 HK$’000 HK$’000 HK$’000 HK$’000 HK$’000 千港元 千港元 千港元 千港元 千港元 As at 1 April 2024 於二零二四年四月一日 613 (613) (14,493) (29) (14,522) Credited to the consolidated statement 計入綜合損益表（附註10） of profit or loss (Note 10) (297) 297 1,294 29 1,323 Exchange alignment 匯兌調整 – – 155 – 155 As at 31 March 2025 and 於二零二五年 at 1 April 2025 三月三十一日及於 二零二五年四月一日 316 (316) (13,044) – (13,044) Credit</t>
        </is>
      </c>
    </row>
    <row r="63">
      <c r="A63" s="8" t="inlineStr">
        <is>
          <t>Investment Properties</t>
        </is>
      </c>
      <c r="B63" s="8" t="inlineStr">
        <is>
          <t>投資物業</t>
        </is>
      </c>
      <c r="C63" s="19" t="inlineStr">
        <is>
          <t>high</t>
        </is>
      </c>
      <c r="D63" s="11" t="inlineStr">
        <is>
          <t>investment property</t>
        </is>
      </c>
      <c r="E63" s="11" t="inlineStr">
        <is>
          <t>PDF p.178 (印刷頁 176)</t>
        </is>
      </c>
      <c r="F63" s="11" t="inlineStr">
        <is>
          <t>ws: 下： Analysis of assets and liabilities over which control was 失去控制權的資產及負債分析 lost HK$’000 千港元 Net liabilities disposed of: 出售的淨負債： Investment property 投資物業 37,125 Property, plant and equipment 物業、廠房及設備 5 Cash and bank deposits 現金及銀行存款 16 Properties held for sale 持作出售物業 57,773 Amount due to a shareholder 應付一名股東款項 (69,414) Amounts due to related companies 應付關連公司款項 (51,891) Other payables 其他應付款項 (3,789) Deferred tax liability 遞延稅項負債 (13,292) (43,467) Gain on disposal of a subsidiary 出售一間附屬公司之收益 HK$’000 千港元 Consideration received</t>
        </is>
      </c>
    </row>
    <row r="64">
      <c r="A64" s="8" t="inlineStr">
        <is>
          <t>Investment Properties</t>
        </is>
      </c>
      <c r="B64" s="8" t="inlineStr">
        <is>
          <t>投資物業</t>
        </is>
      </c>
      <c r="C64" s="19" t="inlineStr">
        <is>
          <t>high</t>
        </is>
      </c>
      <c r="D64" s="11" t="inlineStr">
        <is>
          <t>rental yield</t>
        </is>
      </c>
      <c r="E64" s="11" t="inlineStr">
        <is>
          <t>PDF p.181 (印刷頁 179)</t>
        </is>
      </c>
      <c r="F64" s="11" t="inlineStr">
        <is>
          <t>properties are 為308,000 港元（二零二五年： held for rental purposes. At 31 March 2025, the property 995,000港元）。本集團的所有投資 expected to generate rental yields of 2.7% on an ongoing 物業乃持作賺取租金目的。於二零 basis. 二五年三月三十一日，預計物業持 續按2.7%的收益率產生租金。 37. CAPITAL MANAGEMENT 37. 資本管理 The Group manages its capital to ensure that entities in 本集團管理其資本，以確保本集團 the Group will be able to continue as a going concern 旗下實體將能通過優化現金及現金 while maximising the return to shareholders through the 等值物以及權益結餘得以持續，同 optimisation of the cash and cash equivalents and equity 時為股東帶</t>
        </is>
      </c>
    </row>
    <row r="65">
      <c r="A65" s="8" t="inlineStr">
        <is>
          <t>Investment Properties</t>
        </is>
      </c>
      <c r="B65" s="8" t="inlineStr">
        <is>
          <t>投資物業</t>
        </is>
      </c>
      <c r="C65" s="19" t="inlineStr">
        <is>
          <t>high</t>
        </is>
      </c>
      <c r="D65" s="11" t="inlineStr">
        <is>
          <t>investment property</t>
        </is>
      </c>
      <c r="E65" s="11" t="inlineStr">
        <is>
          <t>PDF p.191 (印刷頁 189)</t>
        </is>
      </c>
      <c r="F65" s="11" t="inlineStr">
        <is>
          <t>e of their fair values. Fair value hierarchy 公平值等級 The following table presents the fair value of the Group’s 下表載列於報告期末按經常性基準 FVTPL, investment property and biological assets 計量並分類為香港財務報告準則第 measured at the end of the reporting period on a recurring 13號所界定之三層公平值等級架構 basis, categorised into the three-level fair value hierarchy as 之本集團按公平值計入損益、投資 defined in HKFRS 13: 物業及生物資產的公平值： Fair Value Measurement 公平值計量 Level 1 Level 2 Level 3 Total 第一級 第二級 第三級 總計 HK$’000 HK$’000 HK$’000 HK$’000 千港元 千港元 千港元 千港元 At 31 March 2026 於二零二六年三月三十一日</t>
        </is>
      </c>
    </row>
    <row r="66">
      <c r="A66" s="8" t="inlineStr">
        <is>
          <t>Investment Properties</t>
        </is>
      </c>
      <c r="B66" s="8" t="inlineStr">
        <is>
          <t>投資物業</t>
        </is>
      </c>
      <c r="C66" s="19" t="inlineStr">
        <is>
          <t>high</t>
        </is>
      </c>
      <c r="D66" s="11" t="inlineStr">
        <is>
          <t>investment property</t>
        </is>
      </c>
      <c r="E66" s="11" t="inlineStr">
        <is>
          <t>PDF p.192 (印刷頁 190)</t>
        </is>
      </c>
      <c r="F66" s="11" t="inlineStr">
        <is>
          <t>計入損益於報告期 reporting period was determined by the quoted bid prices 末的公平值按活躍市場所報買賣價 in an active market. 釐定。 Fair value measurement of investment property 投資物業的公平值計量 The fair value of the Group’s investment property at the end 本集團投資物業於報告期末的公平 of the reporting period has been arrived at on the basis of 值乃根據獨立合資格專業估值師泓 a valuation carried out by Vincorn Consulting and Appraisal 亮諮詢及評估有限公司進行的估值 Ltd, an independent qualified professional valuer who are 而得出。該公司與本集團並無關連， not connected with the Group and have among their staff 擁有來自香港測量師</t>
        </is>
      </c>
    </row>
    <row r="67">
      <c r="A67" s="8" t="inlineStr">
        <is>
          <t>ESG Data</t>
        </is>
      </c>
      <c r="B67" s="8" t="inlineStr">
        <is>
          <t>環境社會及管治數據</t>
        </is>
      </c>
      <c r="C67" s="8" t="inlineStr">
        <is>
          <t>medium</t>
        </is>
      </c>
      <c r="D67" s="11" t="inlineStr">
        <is>
          <t>環境、社會及管治</t>
        </is>
      </c>
      <c r="E67" s="11" t="inlineStr">
        <is>
          <t>PDF p.3</t>
        </is>
      </c>
      <c r="F67" s="11" t="inlineStr">
        <is>
          <t>歷 Management Discussion and Analysis 8 管理層論述及分析 Corporate Governance Report 19 企業管治報告 Environmental, Social and Governance Report 37 環境、社會及管治報告 Report of the Directors 58 董事會報告 Independent Auditors’ Report 71 獨立核數師報告 Consolidated Statement of Profit or Loss 78 綜合損益表 Consolidated Statement of Profit or Loss and Other Comprehensive Income 80 綜合損益及其他全面收益表 Consolidated Statement of Financial Position 81 綜合財務狀況表 Consolidated Statement of Changes in Equity 83 綜合權益變動表 Consolidated Statement of Cash Flows 84 綜合現金流量表 Notes to the Consol</t>
        </is>
      </c>
    </row>
    <row r="68">
      <c r="A68" s="8" t="inlineStr">
        <is>
          <t>ESG Data</t>
        </is>
      </c>
      <c r="B68" s="8" t="inlineStr">
        <is>
          <t>環境社會及管治數據</t>
        </is>
      </c>
      <c r="C68" s="8" t="inlineStr">
        <is>
          <t>medium</t>
        </is>
      </c>
      <c r="D68" s="11" t="inlineStr">
        <is>
          <t>可持續</t>
        </is>
      </c>
      <c r="E68" s="11" t="inlineStr">
        <is>
          <t>PDF p.7 (印刷頁 5)</t>
        </is>
      </c>
      <c r="F68" s="11" t="inlineStr">
        <is>
          <t>ident that our strategic initiatives will position the 信，我們的各項戰略舉措將為本集團的 Group for sustainable growth in the medium to long term. 中長期可持續增長提供條件。 I would like to take this opportunity to thank our shareholders, 本人謹藉此機會感謝股東、僱員及業務 employees, and business partners for their continued support 夥伴在此困難時期的持續支持及奉獻。 and dedication during this difficult period. Your unwavering 各位堅定不移的承諾對我們努力推動本 commitment has been invaluable to our efforts to transform and 集團轉型及強大而言乃無價之寶。 strengthen the Group. Zhao Xinyan 主席 Chairman 趙新衍 Hong Kong, 29 June</t>
        </is>
      </c>
    </row>
    <row r="69">
      <c r="A69" s="8" t="inlineStr">
        <is>
          <t>ESG Data</t>
        </is>
      </c>
      <c r="B69" s="8" t="inlineStr">
        <is>
          <t>環境社會及管治數據</t>
        </is>
      </c>
      <c r="C69" s="8" t="inlineStr">
        <is>
          <t>medium</t>
        </is>
      </c>
      <c r="D69" s="11" t="inlineStr">
        <is>
          <t>carbon</t>
        </is>
      </c>
      <c r="E69" s="11" t="inlineStr">
        <is>
          <t>PDF p.18 (印刷頁 16)</t>
        </is>
      </c>
      <c r="F69" s="11" t="inlineStr">
        <is>
          <t>源領域，根據彭博新能源財 exceeding US$625 billion in 2024 according to Bloomberg NEF. 經的資料，二零二四年中國清潔能源投 The government’s commitment to achieving carbon neutrality 資超過6,250億美元。政府對二零六零 by 2060, combined with the growing demand for clean 年前實現碳中和的承諾，加上為人工智 energy to power AI data centres, creates attractive investment 能數據中心提供清潔能源的日益增長的 opportunities that the Group is actively evaluating. 需求，創造了本集團正積極評估的具吸 引力的投資機遇。 The Group remains committed to a conservative and prudent 本集團於未來期間將繼續堅持審慎穩健 approach to profitability in the upcoming period. Mitig</t>
        </is>
      </c>
    </row>
    <row r="70">
      <c r="A70" s="8" t="inlineStr">
        <is>
          <t>ESG Data</t>
        </is>
      </c>
      <c r="B70" s="8" t="inlineStr">
        <is>
          <t>環境社會及管治數據</t>
        </is>
      </c>
      <c r="C70" s="8" t="inlineStr">
        <is>
          <t>medium</t>
        </is>
      </c>
      <c r="D70" s="11" t="inlineStr">
        <is>
          <t>ESG</t>
        </is>
      </c>
      <c r="E70" s="11" t="inlineStr">
        <is>
          <t>PDF p.23 (印刷頁 21)</t>
        </is>
      </c>
      <c r="F70" s="11" t="inlineStr">
        <is>
          <t>s Corporate Governance Report. The Board’s annual review also confirmed that the Group’s 董事會之年度檢討亦確認，本集團有關 process for financial and ESG reporting and GEM Listing Rules 財務及ESG報告及遵守GEM上市規則 compliance were effective. 之程序乃屬有效。 Each Director has different professional and industrial 各董事具備不同專業及行業經驗，可為 experience, which enable them to make valuable and diversified 本集團業務及發展帶來寶貴及多元的意 advice and guidance to the Group’s activities and development. 見與指引。董事背景及資歷詳情載於本 Details of the background and qualifications of the Directors are 年報第6頁至第</t>
        </is>
      </c>
    </row>
    <row r="71">
      <c r="A71" s="8" t="inlineStr">
        <is>
          <t>ESG Data</t>
        </is>
      </c>
      <c r="B71" s="8" t="inlineStr">
        <is>
          <t>環境社會及管治數據</t>
        </is>
      </c>
      <c r="C71" s="8" t="inlineStr">
        <is>
          <t>medium</t>
        </is>
      </c>
      <c r="D71" s="11" t="inlineStr">
        <is>
          <t>ESG</t>
        </is>
      </c>
      <c r="E71" s="11" t="inlineStr">
        <is>
          <t>PDF p.25 (印刷頁 23)</t>
        </is>
      </c>
      <c r="F71" s="11" t="inlineStr">
        <is>
          <t>ernal control 統及本集團企業管治合規╱慣例； system and corporate governance compliance/practice of the Group; (vii) review and discuss the Group’s ESG related risk with the (vii) 定期審閱及與董事會討論本集團的 Board regularly; and ESG相關風險；及 (viii) meet the Board at least once a year to manage daily (viii) 至少每年與董事會會面一次以管理 climate risk identification and assessment. 日常氣候風險識別及評估。 For the year ended 31 March 2026, the audit committee 截至二零二六年三月三十一日止年度， reviewed the financial results, the accounting policies and 審核委員會審閱本集團之財務業績、所 practices adopted, the reports o</t>
        </is>
      </c>
    </row>
    <row r="72">
      <c r="A72" s="8" t="inlineStr">
        <is>
          <t>ESG Data</t>
        </is>
      </c>
      <c r="B72" s="8" t="inlineStr">
        <is>
          <t>環境社會及管治數據</t>
        </is>
      </c>
      <c r="C72" s="8" t="inlineStr">
        <is>
          <t>medium</t>
        </is>
      </c>
      <c r="D72" s="11" t="inlineStr">
        <is>
          <t>可持續</t>
        </is>
      </c>
      <c r="E72" s="11" t="inlineStr">
        <is>
          <t>PDF p.28 (印刷頁 26)</t>
        </is>
      </c>
      <c r="F72" s="11" t="inlineStr">
        <is>
          <t>sees increasing diversity at the Board level as an 面日益多元化為支持其達致策略目標及 essential element in supporting the attainment of its strategic 可持續發展的關鍵元素。於設計董事會 objectives and its sustainable development. In designing the 成員組成時，已從眾多方面來考慮董事 Board’s composition, Board diversity has been considered from 會多元化，包括但不限於性別、年齡、 a number of aspects, including but not limited to gender, age, 文化及教育背景、種族、專業經驗、成 cultural and educational background, ethnicity, professional 熟的董事會成員技能矩陣、知識及服務 experience, developed board skills matrix, knowledge and 年限。董事會</t>
        </is>
      </c>
    </row>
    <row r="73">
      <c r="A73" s="8" t="inlineStr">
        <is>
          <t>ESG Data</t>
        </is>
      </c>
      <c r="B73" s="8" t="inlineStr">
        <is>
          <t>環境社會及管治數據</t>
        </is>
      </c>
      <c r="C73" s="8" t="inlineStr">
        <is>
          <t>medium</t>
        </is>
      </c>
      <c r="D73" s="11" t="inlineStr">
        <is>
          <t>ESG</t>
        </is>
      </c>
      <c r="E73" s="11" t="inlineStr">
        <is>
          <t>PDF p.36 (印刷頁 34)</t>
        </is>
      </c>
      <c r="F73" s="11" t="inlineStr">
        <is>
          <t>易所有限公司提供的培訓主題，分配至各董事以自學形式完成 Corporate Continuing Governance Disclosure Guide for Obligations Boards and Continuing and Trading Share ESG Directors Obligations Halt Repurchase Governance (May 2025 (December (December and Treasury Total no. Directors and Reporting update) 2025 update) 2025 update) Shares of hours 董事會及董事 持續披露責任及 企業管治指引 持續責任 短暫停牌 ESG 管治及 （二零二五年 （二零二五年 （二零二五年 股份購回及 董事 匯報 五月更新） 十二月更新） 十二月更新） 庫存股份 總時數 Mr. Zhao Xinyan 趙新衍先生 3/4 2 2 2 2 83/4 Mr. Zhang Yanqiang 張炎強先生 3/4 2 2 2 2 83/4 Mr. Gu Zhonghai 顧忠海先生 3/4 2 2 2 2 83/</t>
        </is>
      </c>
    </row>
    <row r="74">
      <c r="A74" s="8" t="inlineStr">
        <is>
          <t>ESG Data</t>
        </is>
      </c>
      <c r="B74" s="8" t="inlineStr">
        <is>
          <t>環境社會及管治數據</t>
        </is>
      </c>
      <c r="C74" s="8" t="inlineStr">
        <is>
          <t>medium</t>
        </is>
      </c>
      <c r="D74" s="11" t="inlineStr">
        <is>
          <t>ESG</t>
        </is>
      </c>
      <c r="E74" s="11" t="inlineStr">
        <is>
          <t>PDF p.39 (印刷頁 37)</t>
        </is>
      </c>
      <c r="F74" s="11" t="inlineStr">
        <is>
          <t>overnance Report 環境、社會及管治報告 ABOUT THIS REPORT 關於本報告 This is the Environmental, Social and Governance Report (the 此乃世大控股有限公司（「本公司」，連 “ESG Report”) published by Great World Company Holdings 同其附屬公司稱為「本集團」）發表的環 Ltd (the “Company”, together with its subsidiaries, the “Group”). 境、社會及管治報告（「ESG報告」）。 In accordance with the Environmental, Social and Governance 按照香港聯合交易所有限公司證券上 Reporting Guide (the “ESG Reporting Guide”) set out in 市規則（「上市規則」）附錄C2所載的環 Appendix C2 to the Rules Governing the Listing of Securities (the 境、社會及管治報告指引（「ESG報告指 “L</t>
        </is>
      </c>
    </row>
    <row r="75">
      <c r="A75" s="8" t="inlineStr">
        <is>
          <t>ESG Data</t>
        </is>
      </c>
      <c r="B75" s="8" t="inlineStr">
        <is>
          <t>環境社會及管治數據</t>
        </is>
      </c>
      <c r="C75" s="8" t="inlineStr">
        <is>
          <t>medium</t>
        </is>
      </c>
      <c r="D75" s="11" t="inlineStr">
        <is>
          <t>ESG</t>
        </is>
      </c>
      <c r="E75" s="11" t="inlineStr">
        <is>
          <t>PDF p.40 (印刷頁 38)</t>
        </is>
      </c>
      <c r="F75" s="11" t="inlineStr">
        <is>
          <t>, a s s u m p t i o n s , 準、方法、假設、計算 calculation tools and sources of 工具及轉換系數的來源。 conversion factors when applicable. • Balance The ESG Report provides an unbiased • 平衡 ESG報告須不偏不倚地 picture on the ESG performance 呈報ESG 表現，以避免 to as to avoid selections, omission, 可能不恰當地誤導本報 or presentation formats that may 告讀者決策或判斷的選 inappropriately influence a decision or 擇、遺漏或呈報格式。 judgement by the Report readers. • Consistency The ESG Report incorporated • 一致性 ESG報告結合一致的報 consistent reporting techniques and 告技術及計算方法，以 calculation methodologie</t>
        </is>
      </c>
    </row>
    <row r="76">
      <c r="A76" s="8" t="inlineStr">
        <is>
          <t>ESG Data</t>
        </is>
      </c>
      <c r="B76" s="8" t="inlineStr">
        <is>
          <t>環境社會及管治數據</t>
        </is>
      </c>
      <c r="C76" s="8" t="inlineStr">
        <is>
          <t>medium</t>
        </is>
      </c>
      <c r="D76" s="11" t="inlineStr">
        <is>
          <t>環境、社會及管治</t>
        </is>
      </c>
      <c r="E76" s="11" t="inlineStr">
        <is>
          <t>PDF p.41 (印刷頁 39)</t>
        </is>
      </c>
      <c r="F76" s="11" t="inlineStr">
        <is>
          <t>Environmental, Social and Governance Report 環境、社會及管治報告 STAKEHOLDER ENGAGEMENT AND MATERIALITY 利益相關者參與及重要性評估 ASSESSMENT The long-term success of the Group is built upon commitment 本集團的長期成功建基於對利益相關者 with responsibility towards stakeholders. The Directors also 負責的承諾。董事亦相信，對環境負責 believe that it is essential for the Group to be environmentally 並符合客戶的環保要求，同時符合社區 responsible and to meet customers’ demands in environmental 對健康生活及工作環境的期望對本集團 protect</t>
        </is>
      </c>
    </row>
    <row r="77">
      <c r="A77" s="8" t="inlineStr">
        <is>
          <t>ESG Data</t>
        </is>
      </c>
      <c r="B77" s="8" t="inlineStr">
        <is>
          <t>環境社會及管治數據</t>
        </is>
      </c>
      <c r="C77" s="8" t="inlineStr">
        <is>
          <t>medium</t>
        </is>
      </c>
      <c r="D77" s="11" t="inlineStr">
        <is>
          <t>環境、社會及管治</t>
        </is>
      </c>
      <c r="E77" s="11" t="inlineStr">
        <is>
          <t>PDF p.42 (印刷頁 40)</t>
        </is>
      </c>
      <c r="F77" s="11" t="inlineStr">
        <is>
          <t>Environmental, Social and Governance Report 環境、社會及管治報告 Major stakeholder Requirements and expectation Response and key communication groups (Continued) (Continued) channels (Continued) 主要利益相關者組別（續）要求及期望（續） 回應及主要溝通渠道（續） Employees Protection of rights Internal meetings whenever needed Occupation health Email communication Remuneration and benefits Training and workshop Career development Performance review 僱員 權利保障 內部會議（如有需要） 職業健康 電郵通訊 薪酬及福利 培</t>
        </is>
      </c>
    </row>
    <row r="78">
      <c r="A78" s="8" t="inlineStr">
        <is>
          <t>ESG Data</t>
        </is>
      </c>
      <c r="B78" s="8" t="inlineStr">
        <is>
          <t>環境社會及管治數據</t>
        </is>
      </c>
      <c r="C78" s="8" t="inlineStr">
        <is>
          <t>medium</t>
        </is>
      </c>
      <c r="D78" s="11" t="inlineStr">
        <is>
          <t>ESG</t>
        </is>
      </c>
      <c r="E78" s="11" t="inlineStr">
        <is>
          <t>PDF p.43 (印刷頁 41)</t>
        </is>
      </c>
      <c r="F78" s="11" t="inlineStr">
        <is>
          <t>網站 Community Enhancement of community Community activities environment Charitable activities like donations Participation in charity ESG reports 社區 改善社區環境 社區活動 參與慈善活動 慈善活動，例如捐贈 ESG報告 Materiality Assessment 重要性評估 Through stakeholder engagement processes based on 本集團透過利益相關者循上述渠道參 the aforementioned channels, the Group has conducted a 與的過程，在各個利益相關者組別進行 comprehensive materiality assessment with its stakeholder 廣泛的重要性評估，以參照ESG報告指 groups to identify, prioritise, analyse and review corresponding 引識別、優先排序、分析及審核相應的 ESG issues with refer</t>
        </is>
      </c>
    </row>
    <row r="79">
      <c r="A79" s="8" t="inlineStr">
        <is>
          <t>ESG Data</t>
        </is>
      </c>
      <c r="B79" s="8" t="inlineStr">
        <is>
          <t>環境社會及管治數據</t>
        </is>
      </c>
      <c r="C79" s="8" t="inlineStr">
        <is>
          <t>medium</t>
        </is>
      </c>
      <c r="D79" s="11" t="inlineStr">
        <is>
          <t>ESG</t>
        </is>
      </c>
      <c r="E79" s="11" t="inlineStr">
        <is>
          <t>PDF p.44 (印刷頁 42)</t>
        </is>
      </c>
      <c r="F79" s="11" t="inlineStr">
        <is>
          <t>the above aspects and will 本集團竭力監察上述層面，亦將繼續與 continue to keep close communication with its stakeholders 其利益相關者保持緊密溝通，以提升 for better ESG performance, and more effective ESG risk ESG績效以及ESG風險管理及內部控制 management and internal control system. 制度的效能。 ENVIRONMENTAL SUSTAINABILITY 環境可持續性 The Group is committed to minimising negative impact caused 本集團致力於盡量減少營運對環境的負 by its operations on the environment. 面影響。 Environmental policies have been communicated to all 本集團已向組織內部所有相關人員傳達 personnel concerned within the organisation to ensure that a</t>
        </is>
      </c>
    </row>
    <row r="80">
      <c r="A80" s="8" t="inlineStr">
        <is>
          <t>ESG Data</t>
        </is>
      </c>
      <c r="B80" s="8" t="inlineStr">
        <is>
          <t>環境社會及管治數據</t>
        </is>
      </c>
      <c r="C80" s="8" t="inlineStr">
        <is>
          <t>medium</t>
        </is>
      </c>
      <c r="D80" s="11" t="inlineStr">
        <is>
          <t>greenhouse gas</t>
        </is>
      </c>
      <c r="E80" s="11" t="inlineStr">
        <is>
          <t>PDF p.45 (印刷頁 43)</t>
        </is>
      </c>
      <c r="F80" s="11" t="inlineStr">
        <is>
          <t>Environmental, Social and Governance Report 環境、社會及管治報告 Greenhouse Gas (“GHG”) emissions 溫室氣體（「溫室氣體」）排放 The Group reduced direct GHG emission through planted trees. 本集團通過植樹減少直接溫室氣體排放。 A total of 4,763.06 tonnes CO2-e GHG were removed for the 截至二零二六年三月三十一日止年度， year ended 31 March 2026. Compared to 4,737.50 tonnes 合共減除溫室氣體4,763.06噸二氧化碳 CO2-e GHG were removed for the year ended 31 March 2025, 當量。與截至二零二五年三月三十一日 the increase in CO2-e GHG removal is directly</t>
        </is>
      </c>
    </row>
    <row r="81">
      <c r="A81" s="8" t="inlineStr">
        <is>
          <t>ESG Data</t>
        </is>
      </c>
      <c r="B81" s="8" t="inlineStr">
        <is>
          <t>環境社會及管治數據</t>
        </is>
      </c>
      <c r="C81" s="8" t="inlineStr">
        <is>
          <t>medium</t>
        </is>
      </c>
      <c r="D81" s="11" t="inlineStr">
        <is>
          <t>環境、社會及管治</t>
        </is>
      </c>
      <c r="E81" s="11" t="inlineStr">
        <is>
          <t>PDF p.46 (印刷頁 44)</t>
        </is>
      </c>
      <c r="F81" s="11" t="inlineStr">
        <is>
          <t>Environmental, Social and Governance Report 環境、社會及管治報告 1. Waste Management 1. 廢棄物管理 To the best of the Group’s knowledge, the Group did not 就本集團所深知，本集團於截至二 generate any hazardous waste during the year ended 31 零二六年三月三十一日止年度並無 March 2026. Non-hazardous waste including domestic 產生任何有害廢棄物。因本集團日 garbage and office paper arises in the Group’s daily office 常辦公而產生的無害廢棄物則包括 operations. 生活垃圾及辦公用紙。 The Group did not note a disproportional amount of n</t>
        </is>
      </c>
    </row>
    <row r="82">
      <c r="A82" s="8" t="inlineStr">
        <is>
          <t>ESG Data</t>
        </is>
      </c>
      <c r="B82" s="8" t="inlineStr">
        <is>
          <t>環境社會及管治數據</t>
        </is>
      </c>
      <c r="C82" s="8" t="inlineStr">
        <is>
          <t>medium</t>
        </is>
      </c>
      <c r="D82" s="11" t="inlineStr">
        <is>
          <t>環境、社會及管治</t>
        </is>
      </c>
      <c r="E82" s="11" t="inlineStr">
        <is>
          <t>PDF p.47 (印刷頁 45)</t>
        </is>
      </c>
      <c r="F82" s="11" t="inlineStr">
        <is>
          <t>Environmental, Social and Governance Report 環境、社會及管治報告 The Group recognises that a core component of 本集團意識到管理資源使用乃維持 maintaining sustainable development is to manage its 可持續發展的核心要素之一。因此， use of resources. Hence, the Group has adopted various 本集團已採取不同措施減少浪費資 measures to reduce the wastage of resources: 源： Resources Measures 資源措施 Energy • Switch off electrical appliances and 能源• 關掉閒置的電器及系統 systems when not in use • Select and procure high ene</t>
        </is>
      </c>
    </row>
    <row r="83">
      <c r="A83" s="8" t="inlineStr">
        <is>
          <t>ESG Data</t>
        </is>
      </c>
      <c r="B83" s="8" t="inlineStr">
        <is>
          <t>環境社會及管治數據</t>
        </is>
      </c>
      <c r="C83" s="8" t="inlineStr">
        <is>
          <t>medium</t>
        </is>
      </c>
      <c r="D83" s="11" t="inlineStr">
        <is>
          <t>sustainability</t>
        </is>
      </c>
      <c r="E83" s="11" t="inlineStr">
        <is>
          <t>PDF p.48 (印刷頁 46)</t>
        </is>
      </c>
      <c r="F83" s="11" t="inlineStr">
        <is>
          <t>impact of its business on the 理其業務對環境及天然資源的影響。 environment and natural resources. We strive to achieve 我們透過將環保理念融入內部管理 environmental sustainability by integrating eco-friendly 及業務營運，努力實現環境的可持 concepts into our internal management and business 續發展。因此，我們實施了各種資 operations. Consequently, we have implemented various 源使用及減排措施，同時積極提高 resource use and emission reduction measures, while 員工的環保意識。我們鼓勵員工提 actively promoting environmental awareness among 出創新想法，以減少對環境的破壞， employees. We encourage our staff to propose innovative 幫助本集團實現更可持續的營運</t>
        </is>
      </c>
    </row>
    <row r="84">
      <c r="A84" s="8" t="inlineStr">
        <is>
          <t>ESG Data</t>
        </is>
      </c>
      <c r="B84" s="8" t="inlineStr">
        <is>
          <t>環境社會及管治數據</t>
        </is>
      </c>
      <c r="C84" s="8" t="inlineStr">
        <is>
          <t>medium</t>
        </is>
      </c>
      <c r="D84" s="11" t="inlineStr">
        <is>
          <t>carbon</t>
        </is>
      </c>
      <c r="E84" s="11" t="inlineStr">
        <is>
          <t>PDF p.49 (印刷頁 47)</t>
        </is>
      </c>
      <c r="F84" s="11" t="inlineStr">
        <is>
          <t>ge also offers 化風險影響本集團及其附屬公 opportunities, stimulating business innovation and 司。氣候變化亦帶來了機遇， facilitating the transition to a lower-carbon economy. 激發了業務創新並推動向低碳 By developing low-carbon and climate resilient 經濟過渡。通過開發低碳及氣 products and services, the Group can meet growing 候適應型產品及服務，本集團 market demand and mitigate potential operational 可滿足不斷增長的市場需求， costs from extreme weather conditions, such as 並減輕極端天氣條件帶來的潛 maintenance and insurance premiums. 在營運成本，如維護及保險費 用。 世大控股有限公司 二零二五－二零二六年年報 47</t>
        </is>
      </c>
    </row>
    <row r="85">
      <c r="A85" s="8" t="inlineStr">
        <is>
          <t>ESG Data</t>
        </is>
      </c>
      <c r="B85" s="8" t="inlineStr">
        <is>
          <t>環境社會及管治數據</t>
        </is>
      </c>
      <c r="C85" s="8" t="inlineStr">
        <is>
          <t>medium</t>
        </is>
      </c>
      <c r="D85" s="11" t="inlineStr">
        <is>
          <t>環境、社會及管治</t>
        </is>
      </c>
      <c r="E85" s="11" t="inlineStr">
        <is>
          <t>PDF p.50 (印刷頁 48)</t>
        </is>
      </c>
      <c r="F85" s="11" t="inlineStr">
        <is>
          <t>Environmental, Social and Governance Report 環境、社會及管治報告 (c) Transition risk (c) 過渡風險 Below illustrates the key climate-related physical risk 以下說明與本集團相關的主要 relevant to the Group. 氣候相關實體風險。 Financial Risk categories Risk impacts implications Time horizon Mitigation strategies 風險類別 風險影響 財務影響 時間範圍 緩解策略 Acute risk Extreme weather such Increase in costs/ Short to When selecting an office typhoons and flooding decrease in revenue medium term or wor</t>
        </is>
      </c>
    </row>
    <row r="86">
      <c r="A86" s="8" t="inlineStr">
        <is>
          <t>ESG Data</t>
        </is>
      </c>
      <c r="B86" s="8" t="inlineStr">
        <is>
          <t>環境社會及管治數據</t>
        </is>
      </c>
      <c r="C86" s="8" t="inlineStr">
        <is>
          <t>medium</t>
        </is>
      </c>
      <c r="D86" s="11" t="inlineStr">
        <is>
          <t>環境、社會及管治</t>
        </is>
      </c>
      <c r="E86" s="11" t="inlineStr">
        <is>
          <t>PDF p.51 (印刷頁 49)</t>
        </is>
      </c>
      <c r="F86" s="11" t="inlineStr">
        <is>
          <t>Environmental, Social and Governance Report 環境、社會及管治報告 (c) Transition risk (Continued) (c) 過渡風險（續） Financial Risk categories Risk impacts implications Time horizon Mitigation strategies 風險類別 風險影響 財務影響 時間範圍 緩解策略 Policy &amp; legal Both international Decrease in revenue Short to The Group actively risk and domestic due to lower demand medium term conduct research regulatory bodies, for the Group’s on policy control along with capital products and</t>
        </is>
      </c>
    </row>
    <row r="87">
      <c r="A87" s="8" t="inlineStr">
        <is>
          <t>ESG Data</t>
        </is>
      </c>
      <c r="B87" s="8" t="inlineStr">
        <is>
          <t>環境社會及管治數據</t>
        </is>
      </c>
      <c r="C87" s="8" t="inlineStr">
        <is>
          <t>medium</t>
        </is>
      </c>
      <c r="D87" s="11" t="inlineStr">
        <is>
          <t>carbon</t>
        </is>
      </c>
      <c r="E87" s="11" t="inlineStr">
        <is>
          <t>PDF p.52 (印刷頁 50)</t>
        </is>
      </c>
      <c r="F87" s="11" t="inlineStr">
        <is>
          <t>he accuracy and change, such as rising spent on workforce comprehensiveness of average temperature, management and the disclosure of carbon may affect the safe and retention emission data and continuous operation energy consumption of the Group. This may Decrease in revenue data and reduces the cause concerns and due to reduction concerns and negative negative feedback from in demand for high feedback of the Group’s stakeholders regarding emission goods and stakeholders the stability of the services Group’s business 聲譽風險 極端氣候事件</t>
        </is>
      </c>
    </row>
    <row r="88">
      <c r="A88" s="8" t="inlineStr">
        <is>
          <t>ESG Data</t>
        </is>
      </c>
      <c r="B88" s="8" t="inlineStr">
        <is>
          <t>環境社會及管治數據</t>
        </is>
      </c>
      <c r="C88" s="8" t="inlineStr">
        <is>
          <t>medium</t>
        </is>
      </c>
      <c r="D88" s="11" t="inlineStr">
        <is>
          <t>carbon</t>
        </is>
      </c>
      <c r="E88" s="11" t="inlineStr">
        <is>
          <t>PDF p.53 (印刷頁 51)</t>
        </is>
      </c>
      <c r="F88" s="11" t="inlineStr">
        <is>
          <t>Environmental, Social and Governance Report 環境、社會及管治報告 (d) Opportunities (d) 機遇 The transition to a low-carbon business model may 向低碳業務模式轉型可能為我 bring us opportunities. Growing ESG awareness 們帶來機遇。消費者對ESG意 among consumers gradually shapes the market as 識日益增強，隨著市場偏好轉 preferences shift toward more responsible businesses. 向更具責任感的企業，市場格 Efforts to improve energy efficiency and reduce waste 局逐漸改變。提高能源效益及 not only lower operating costs in the short-term but 減少廢物的努力不僅在短期內 also help streamline and optimise o</t>
        </is>
      </c>
    </row>
    <row r="89">
      <c r="A89" s="8" t="inlineStr">
        <is>
          <t>ESG Data</t>
        </is>
      </c>
      <c r="B89" s="8" t="inlineStr">
        <is>
          <t>環境社會及管治數據</t>
        </is>
      </c>
      <c r="C89" s="8" t="inlineStr">
        <is>
          <t>medium</t>
        </is>
      </c>
      <c r="D89" s="11" t="inlineStr">
        <is>
          <t>ESG</t>
        </is>
      </c>
      <c r="E89" s="11" t="inlineStr">
        <is>
          <t>PDF p.54 (印刷頁 52)</t>
        </is>
      </c>
      <c r="F89" s="11" t="inlineStr">
        <is>
          <t>ent is responsible for the design and implementation 管理層定期召開會議，討論及評估潛在 of the systems. Management holds regular meetings to discuss 的ESG風險。以下為本報告年度識別的 and evaluate the possible ESG risks. Below are the ESG risks ESG風險，並由管理層討論並報告予董 identified this reporting year and are discussed by management 事會。 and reported to the Board. Risks Impact Response 風險 影響 應對措施 Health and safety The health and safety of employees are Management maintains safety procedures of paramount importance to the Group and robust housekeeping practices in and i</t>
        </is>
      </c>
    </row>
    <row r="90">
      <c r="A90" s="8" t="inlineStr">
        <is>
          <t>ESG Data</t>
        </is>
      </c>
      <c r="B90" s="8" t="inlineStr">
        <is>
          <t>環境社會及管治數據</t>
        </is>
      </c>
      <c r="C90" s="8" t="inlineStr">
        <is>
          <t>medium</t>
        </is>
      </c>
      <c r="D90" s="11" t="inlineStr">
        <is>
          <t>greenhouse gas</t>
        </is>
      </c>
      <c r="E90" s="11" t="inlineStr">
        <is>
          <t>PDF p.55 (印刷頁 53)</t>
        </is>
      </c>
      <c r="F90" s="11" t="inlineStr">
        <is>
          <t>ions Air Pollution Control Ordinance; Waste The Group did not identify any noncompliance Disposal Ordinance cases concerning air and greenhouse gas (“GHG”) emissions, discharges into water and land, and generation of hazardous and nonhazardous waste. 排放物 《空氣污染管制條例》；《廢物處置條例》本集團並無發現任何與空氣和溫室氣體 （「溫室氣體」）排放、向水及土地排污以及 產生有害和無害廢物有關的不合規事宜。 Employment Employment Ordinance; Employees’ There was not any non-compliance case Compensation Ordinance within the Group in relation to compensation and dismissal, recruitment and promotion, working</t>
        </is>
      </c>
    </row>
    <row r="91">
      <c r="A91" s="8" t="inlineStr">
        <is>
          <t>ESG Data</t>
        </is>
      </c>
      <c r="B91" s="8" t="inlineStr">
        <is>
          <t>環境社會及管治數據</t>
        </is>
      </c>
      <c r="C91" s="8" t="inlineStr">
        <is>
          <t>medium</t>
        </is>
      </c>
      <c r="D91" s="11" t="inlineStr">
        <is>
          <t>環境、社會及管治</t>
        </is>
      </c>
      <c r="E91" s="11" t="inlineStr">
        <is>
          <t>PDF p.56 (印刷頁 54)</t>
        </is>
      </c>
      <c r="F91" s="11" t="inlineStr">
        <is>
          <t>Environmental, Social and Governance Report 環境、社會及管治報告 Compliance Management (Continued) 合規管理（續） Compliance performance during the Aspect Relevant laws and regulations year 2025/2026 層面 相關法律法規 二零二五年╱二零二六年年度合規表現 Health and safety Occupational Safety and Health There was not any non-compliance case Ordinance within the Group in relation to providing a safe working environment and protecting employees from occupational hazards. 健康與安全 《職業安全與健康條</t>
        </is>
      </c>
    </row>
    <row r="92">
      <c r="A92" s="8" t="inlineStr">
        <is>
          <t>ESG Data</t>
        </is>
      </c>
      <c r="B92" s="8" t="inlineStr">
        <is>
          <t>環境社會及管治數據</t>
        </is>
      </c>
      <c r="C92" s="8" t="inlineStr">
        <is>
          <t>medium</t>
        </is>
      </c>
      <c r="D92" s="11" t="inlineStr">
        <is>
          <t>sustainability</t>
        </is>
      </c>
      <c r="E92" s="11" t="inlineStr">
        <is>
          <t>PDF p.57 (印刷頁 55)</t>
        </is>
      </c>
      <c r="F92" s="11" t="inlineStr">
        <is>
          <t>Environmental, Social and Governance Report 環境、社會及管治報告 SOCIAL SUSTAINABILITY 社會可持續性 Employment 僱傭 The Group had employed a total of 50 employees (31 March 本集團共僱用50名僱員（二零二五年三 2025: 91), recorded 45% decrease in its total number of 月三十一日：91名），錄得報告年度內 employees during the reporting year. 僱員總數減少45%。 There were no confirmed non-compliance incidents or 並沒有任何與人權及勞工措施準則及法 grievances in relation to human rights and labour practices 規相關並對本集團有重大影響的已確認 standards and reg</t>
        </is>
      </c>
    </row>
    <row r="93">
      <c r="A93" s="8" t="inlineStr">
        <is>
          <t>ESG Data</t>
        </is>
      </c>
      <c r="B93" s="8" t="inlineStr">
        <is>
          <t>環境社會及管治數據</t>
        </is>
      </c>
      <c r="C93" s="8" t="inlineStr">
        <is>
          <t>medium</t>
        </is>
      </c>
      <c r="D93" s="11" t="inlineStr">
        <is>
          <t>環境、社會及管治</t>
        </is>
      </c>
      <c r="E93" s="11" t="inlineStr">
        <is>
          <t>PDF p.58 (印刷頁 56)</t>
        </is>
      </c>
      <c r="F93" s="11" t="inlineStr">
        <is>
          <t>Environmental, Social and Governance Report 環境、社會及管治報告 New Hires and Employee Turnover 新聘僱員及僱員流失 Year ended Year ended 31 March 2026 31 March 2025 截至二零二六年 截至二零二五年 三月三十一日止年度 三月三十一日止年度 Indicators 指標 Total new hires 新聘僱員總數 Number and rate (%) of new hires 新聘僱員人數及比率(%) 10 (20%) 14 (16%) By gender 按性別 Female 女性 7 (32%) 2 (25%) Male 男性 3 (11%) 12 (5%) By age group 按年齡組別 Below 30 30歲以下 8 (32%) 13 (25%) 30 to 50 30至50歲 2 (11%) 1 (3%) Over 50 超過50歲</t>
        </is>
      </c>
    </row>
    <row r="94">
      <c r="A94" s="8" t="inlineStr">
        <is>
          <t>ESG Data</t>
        </is>
      </c>
      <c r="B94" s="8" t="inlineStr">
        <is>
          <t>環境社會及管治數據</t>
        </is>
      </c>
      <c r="C94" s="8" t="inlineStr">
        <is>
          <t>medium</t>
        </is>
      </c>
      <c r="D94" s="11" t="inlineStr">
        <is>
          <t>環境、社會及管治</t>
        </is>
      </c>
      <c r="E94" s="11" t="inlineStr">
        <is>
          <t>PDF p.59 (印刷頁 57)</t>
        </is>
      </c>
      <c r="F94" s="11" t="inlineStr">
        <is>
          <t>Environmental, Social and Governance Report 環境、社會及管治報告 DIVERSITY 多元化 Diversity of Board of Directors of Great World Company Holdings Ltd as at 31 March 2026 and 2025 於二零二六年及二零二五年三月三十一日世大控股有限公司董事會多元化 Role 職位 Gender 性別 Age 年齡 1 3 3 5 3 3 independent non-executive director 獨立非執行董事 female 女 age 42–53 42至53歲 executive director 執行董事 male 男 age 54–62 54至62歲 31 March 2026 31 March 2025 二零二六年 二零二五年 三月三十一日 三月三十一日 Number and Percentage of 按性別劃分的僱員人數及</t>
        </is>
      </c>
    </row>
    <row r="95">
      <c r="A95" s="8" t="inlineStr">
        <is>
          <t>ESG Data</t>
        </is>
      </c>
      <c r="B95" s="8" t="inlineStr">
        <is>
          <t>環境社會及管治數據</t>
        </is>
      </c>
      <c r="C95" s="8" t="inlineStr">
        <is>
          <t>medium</t>
        </is>
      </c>
      <c r="D95" s="11" t="inlineStr">
        <is>
          <t>可持續</t>
        </is>
      </c>
      <c r="E95" s="11" t="inlineStr">
        <is>
          <t>PDF p.60 (印刷頁 58)</t>
        </is>
      </c>
      <c r="F95" s="11" t="inlineStr">
        <is>
          <t>e Group places great importance on environmental protection 本集團非常重視環境保護，並致力推動 and endeavours to promote sustainable development. The 可持續發展。本集團將相關環保策略融 Group incorporates relevant environmental strategies in every 入業務的各個方面，將節能及廢物管理 aspect of the business, and implements initiatives in areas such 等措施應用於行政及日常業務中，以減 as energy saving and waste management in administration and 低對環境的影響。 daily operations to mitigate the impact on the environment. The environmental policies of the Group are set out in the 本集團的環境政策載於本年報「環境、 section heade</t>
        </is>
      </c>
    </row>
    <row r="96">
      <c r="A96" s="8" t="inlineStr">
        <is>
          <t>ESG Data</t>
        </is>
      </c>
      <c r="B96" s="8" t="inlineStr">
        <is>
          <t>環境社會及管治數據</t>
        </is>
      </c>
      <c r="C96" s="8" t="inlineStr">
        <is>
          <t>medium</t>
        </is>
      </c>
      <c r="D96" s="11" t="inlineStr">
        <is>
          <t>可持續</t>
        </is>
      </c>
      <c r="E96" s="11" t="inlineStr">
        <is>
          <t>PDF p.61 (印刷頁 59)</t>
        </is>
      </c>
      <c r="F96" s="11" t="inlineStr">
        <is>
          <t>The Group recognises that employees, customers and 本集團深明僱員、客戶及供應商均為其 suppliers are keys to its sustainable development. The Group is 可持續發展之關鍵因素。本集團致力與 committed to establishing a close and caring relationship with 其僱員建立緊密及關切的關係、為客戶 its employees, providing quality services to its customers and 提供優質服務，並加強與業務夥伴合作。 enhancing cooperation with its business partners. The Group 本集團提供公平而安全之工作環境，提 provides a fair and safe work environment, promotes staff 倡員工多元化，根據各自之長處及表現 diversity, provides competitive remuneration and benefits and 提供具</t>
        </is>
      </c>
    </row>
    <row r="97">
      <c r="A97" s="8" t="inlineStr">
        <is>
          <t>ESG Data</t>
        </is>
      </c>
      <c r="B97" s="8" t="inlineStr">
        <is>
          <t>環境社會及管治數據</t>
        </is>
      </c>
      <c r="C97" s="8" t="inlineStr">
        <is>
          <t>medium</t>
        </is>
      </c>
      <c r="D97" s="11" t="inlineStr">
        <is>
          <t>greenhouse gas</t>
        </is>
      </c>
      <c r="E97" s="11" t="inlineStr">
        <is>
          <t>PDF p.62 (印刷頁 60)</t>
        </is>
      </c>
      <c r="F97" s="11" t="inlineStr">
        <is>
          <t>rmulate carbon reduction targets 團範圍1及範圍2溫室氣體排放，詳情 by adjusting our resource allocation to lower the Group’s 載於ESG報告。 Scopes 1 and 2 greenhouse gas emissions, as set out in the ESG Report. 60 GREAT WORLD COMPANY HOLDINGS LTD Annual Report 2025–2026</t>
        </is>
      </c>
    </row>
    <row r="98">
      <c r="A98" s="8" t="inlineStr">
        <is>
          <t>R&amp;D Expenditure</t>
        </is>
      </c>
      <c r="B98" s="8" t="inlineStr">
        <is>
          <t>研發開支</t>
        </is>
      </c>
      <c r="C98" s="8" t="inlineStr">
        <is>
          <t>medium</t>
        </is>
      </c>
      <c r="D98" s="11" t="inlineStr">
        <is>
          <t>research and development</t>
        </is>
      </c>
      <c r="E98" s="11" t="inlineStr">
        <is>
          <t>PDF p.15 (印刷頁 13)</t>
        </is>
      </c>
      <c r="F98" s="11" t="inlineStr">
        <is>
          <t>ding year, representing a decrease 化內容運營系統的研發開支減少。生物 of approximately 10.67%, mainly resulted from the decrease 資產之公平值變動減出售成本產生的虧 in research and development expenses on the development 損約8,041,000港元已於本年度確認。 of a programmatic intelligent advertising and programmatic 本年度就應收賬款及其他應收款項確 content operation system. A loss arising from changes in fair 認約6,045,000港元的減值虧損撥備。 value less costs to sell of biological assets of approximately 截至二零二六年三月三十一日止年度， HK$8,041,000 was recognised for the year. Provision of 本公司擁有人應佔虧損╱（溢利）約為 approximate</t>
        </is>
      </c>
    </row>
    <row r="99">
      <c r="A99" s="8" t="inlineStr">
        <is>
          <t>R&amp;D Expenditure</t>
        </is>
      </c>
      <c r="B99" s="8" t="inlineStr">
        <is>
          <t>研發開支</t>
        </is>
      </c>
      <c r="C99" s="8" t="inlineStr">
        <is>
          <t>medium</t>
        </is>
      </c>
      <c r="D99" s="11" t="inlineStr">
        <is>
          <t>研發</t>
        </is>
      </c>
      <c r="E99" s="11" t="inlineStr">
        <is>
          <t>PDF p.140 (印刷頁 138)</t>
        </is>
      </c>
      <c r="F99" s="11" t="inlineStr">
        <is>
          <t>products Supply-chain business Sales of industrial, information 供應鏈業務 出售工業、資訊科技 technology and other 和其他產品，以及 products as well as 相關研發和產品生 related R&amp;D and product 產活動 manufacturing activities The Property Business was discontinued in the current 物業業務已於本年度終止經營。所 year. The segment information reported does not include 報告的分部資料並無包括該已終止 any amounts for this discontinued operation. For details, 經營業務的任何金額。詳情請參閱 please refer to Note 12. 附註12。 138 GREAT WORLD COMPANY HOLDINGS LTD Annual Report 2025–2026</t>
        </is>
      </c>
    </row>
    <row r="100">
      <c r="A100" s="8" t="inlineStr">
        <is>
          <t>R&amp;D Expenditure</t>
        </is>
      </c>
      <c r="B100" s="8" t="inlineStr">
        <is>
          <t>研發開支</t>
        </is>
      </c>
      <c r="C100" s="8" t="inlineStr">
        <is>
          <t>medium</t>
        </is>
      </c>
      <c r="D100" s="11" t="inlineStr">
        <is>
          <t>research and development</t>
        </is>
      </c>
      <c r="E100" s="11" t="inlineStr">
        <is>
          <t>PDF p.146 (印刷頁 144)</t>
        </is>
      </c>
      <c r="F100" s="11" t="inlineStr">
        <is>
          <t>ation of property, plant and 物業、廠房及設備折舊（附註） equipment (Note) 93 115 Depreciation of right-of-use assets 使用權資產折舊（附註） (Note) 883 1,174 Research and development (Note) 研發（附註） 928 3,023 Short-term lease payments (Note) 短期租賃付款（附註） – 45 Provision for/ (reversal of) impairment 就應收賬款及其他應收款項確 loss recognised in respect of trade 認之減值虧損撥備╱（撥回）， and other receivables, net 淨額 6,045 (2,314) Note: These items were included in the “administrative and other 附註： 這些項目包括在「行政及其他 operating expenses”. 營運開支」中。 144 GREAT WORLD COMPANY HOLDINGS LTD Annu</t>
        </is>
      </c>
    </row>
    <row r="101">
      <c r="A101" s="8" t="inlineStr">
        <is>
          <t>R&amp;D Expenditure</t>
        </is>
      </c>
      <c r="B101" s="8" t="inlineStr">
        <is>
          <t>研發開支</t>
        </is>
      </c>
      <c r="C101" s="8" t="inlineStr">
        <is>
          <t>medium</t>
        </is>
      </c>
      <c r="D101" s="11" t="inlineStr">
        <is>
          <t>研發</t>
        </is>
      </c>
      <c r="E101" s="11" t="inlineStr">
        <is>
          <t>PDF p.148 (印刷頁 146)</t>
        </is>
      </c>
      <c r="F101" s="11" t="inlineStr">
        <is>
          <t>eau 根據一項由中國國家稅務總局所頒 of the PRC, 深圳智訊派信息科技有限公司 (Shenzhen 佈的政策，深圳智訊派信息科技有 Zhixunpai Information Technology Company Ltd*) 限公司（「深圳智訊派」）從事研發及 (“Shenzhen Zhixunpai”) engaged in research and 開發活動，有權申請額外稅額減免， development activities are entitled to claim an additional tax 金額相當於釐定其應課稅溢利的年 deduction amounting to 100% of the qualified research and 度產生的合資格研發開支的100%。 development expenses incurred in determining its assessable tax profits for that year. According to the Law of the PRC on Enterprise Income Tax 根據中國企業所得稅法及其相關法 and its relevant</t>
        </is>
      </c>
    </row>
    <row r="102">
      <c r="A102" s="8" t="inlineStr">
        <is>
          <t>Segment Information</t>
        </is>
      </c>
      <c r="B102" s="8" t="inlineStr">
        <is>
          <t>分部資料</t>
        </is>
      </c>
      <c r="C102" s="8" t="inlineStr">
        <is>
          <t>medium</t>
        </is>
      </c>
      <c r="D102" s="11" t="inlineStr">
        <is>
          <t>operating segment</t>
        </is>
      </c>
      <c r="E102" s="11" t="inlineStr">
        <is>
          <t>PDF p.60 (印刷頁 58)</t>
        </is>
      </c>
      <c r="F102" s="11" t="inlineStr">
        <is>
          <t>o the 公司之活動載於綜合財務報表附註40。 consolidated financial statements. An analysis of the Group’s performance for the year by 本集團於本年度按經營分部劃分之表現 operating segment is set out in note 7 to the consolidated 分析載於綜合財務報表附註7。 financial statements. BUSINESS REVIEW 業務回顧 A review of the Group’s performance, business activities and 本集團之表現、業務活動及發展之回顧 development is included in the Chairman’s Statement on pages 載於本年報第4頁至第5頁之主席報告 4 to 5 and the Management Discussion and Analysis on pages 及第8頁至第18頁之管理層論述及分析。 8 to 18 of this annual report. Environmental P</t>
        </is>
      </c>
    </row>
    <row r="103">
      <c r="A103" s="8" t="inlineStr">
        <is>
          <t>Segment Information</t>
        </is>
      </c>
      <c r="B103" s="8" t="inlineStr">
        <is>
          <t>分部資料</t>
        </is>
      </c>
      <c r="C103" s="8" t="inlineStr">
        <is>
          <t>medium</t>
        </is>
      </c>
      <c r="D103" s="11" t="inlineStr">
        <is>
          <t>operating segment</t>
        </is>
      </c>
      <c r="E103" s="11" t="inlineStr">
        <is>
          <t>PDF p.136 (印刷頁 134)</t>
        </is>
      </c>
      <c r="F103" s="11" t="inlineStr">
        <is>
          <t>DATED 3. 編製綜合財務報表之基準及重 FINANCIAL STATEMENTS AND MATERIAL 大會計政策資料（續） ACCOUNTING POLICY INFORMATION (continued) Segment reporting 分部報告 Operating segments, and the amounts of each segment 經營分部及財務報表所呈報各分部 item reported in the financial statements, are identified from 項目的金額，乃根據為向集團各項 the financial information provided regularly to the group’s 業務及地域地區分配資源及評估其 most senior executive management for the purposes of 業績表現而定期向集團最高行政管 allocating resources to, and assessing the performance 理層提供的財務資料識別出來。 of, the group’s various lines of busin</t>
        </is>
      </c>
    </row>
    <row r="104">
      <c r="A104" s="8" t="inlineStr">
        <is>
          <t>Segment Information</t>
        </is>
      </c>
      <c r="B104" s="8" t="inlineStr">
        <is>
          <t>分部資料</t>
        </is>
      </c>
      <c r="C104" s="8" t="inlineStr">
        <is>
          <t>medium</t>
        </is>
      </c>
      <c r="D104" s="11" t="inlineStr">
        <is>
          <t>segment information</t>
        </is>
      </c>
      <c r="E104" s="11" t="inlineStr">
        <is>
          <t>PDF p.140 (印刷頁 138)</t>
        </is>
      </c>
      <c r="F104" s="11" t="inlineStr">
        <is>
          <t>Notes to the Consolidated Financial Statements 綜合財務報表附註 For the year ended 31 March 2026 截至二零二六年三月三十一日止年度 7. SEGMENT INFORMATION 7. 分部資料 The Group manages its businesses by divisions, which are 本集團之業務按業務組合（產品及 organised by a mixture of both business lines (products and 服務）及地區劃分為分部進行管理。 services) and geographical area. In a manner consistent 本集團按照與向本集團最高管理人 with the way in which information is reported internally 員內部呈報資料以進行資源分配及 to the Group’s most senior management for the purpose 表現評估所採用者一致之方式呈報 of reso</t>
        </is>
      </c>
    </row>
    <row r="105">
      <c r="A105" s="8" t="inlineStr">
        <is>
          <t>Segment Information</t>
        </is>
      </c>
      <c r="B105" s="8" t="inlineStr">
        <is>
          <t>分部資料</t>
        </is>
      </c>
      <c r="C105" s="8" t="inlineStr">
        <is>
          <t>medium</t>
        </is>
      </c>
      <c r="D105" s="11" t="inlineStr">
        <is>
          <t>segment information</t>
        </is>
      </c>
      <c r="E105" s="11" t="inlineStr">
        <is>
          <t>PDF p.141 (印刷頁 139)</t>
        </is>
      </c>
      <c r="F105" s="11" t="inlineStr">
        <is>
          <t>Notes to the Consolidated Financial Statements 綜合財務報表附註 For the year ended 31 March 2026 截至二零二六年三月三十一日止年度 7. SEGMENT INFORMATION (continued) 7. 分部資料（續） Management monitors the results of the Group’s operating 管理層分開監控本集團經營分部之 segments separately, for the purpose of making decisions 業績，以就資源分配及本集團表現 about resource allocation and assessment of the Group’s 評估作出決策。分部表現乃按可呈 performance. Segment performance is evaluated based on 報分部之業績評估，其為經調整除 reportable segment results, which is a measure of adjusted 稅前虧損之計算方法</t>
        </is>
      </c>
    </row>
    <row r="106">
      <c r="A106" s="8" t="inlineStr">
        <is>
          <t>Segment Information</t>
        </is>
      </c>
      <c r="B106" s="8" t="inlineStr">
        <is>
          <t>分部資料</t>
        </is>
      </c>
      <c r="C106" s="8" t="inlineStr">
        <is>
          <t>medium</t>
        </is>
      </c>
      <c r="D106" s="11" t="inlineStr">
        <is>
          <t>segment information</t>
        </is>
      </c>
      <c r="E106" s="11" t="inlineStr">
        <is>
          <t>PDF p.142 (印刷頁 140)</t>
        </is>
      </c>
      <c r="F106" s="11" t="inlineStr">
        <is>
          <t>Notes to the Consolidated Financial Statements 綜合財務報表附註 For the year ended 31 March 2026 截至二零二六年三月三十一日止年度 7. SEGMENT INFORMATION (continued) 7. 分部資料（續） (a) Segment revenue, profit or loss, assets, liabilities (a) 分部收益、損益、資產、負債 and other selected financial information 及其他選定財務資料 2026 二零二六年 Agricultural, forestry and Intelligent consumer Supplyadvertising products chain business business business Total 農林產品 智能廣告 及消費品 供應鏈 業務 業務 業務 總計 HK$’000 HK$’000 HK$’000 HK$’000 千港元 千港元 千港元 千港元 CONTINUING OPERATIONS 持續經</t>
        </is>
      </c>
    </row>
    <row r="107">
      <c r="A107" s="8" t="inlineStr">
        <is>
          <t>Segment Information</t>
        </is>
      </c>
      <c r="B107" s="8" t="inlineStr">
        <is>
          <t>分部資料</t>
        </is>
      </c>
      <c r="C107" s="8" t="inlineStr">
        <is>
          <t>medium</t>
        </is>
      </c>
      <c r="D107" s="11" t="inlineStr">
        <is>
          <t>segment information</t>
        </is>
      </c>
      <c r="E107" s="11" t="inlineStr">
        <is>
          <t>PDF p.143 (印刷頁 141)</t>
        </is>
      </c>
      <c r="F107" s="11" t="inlineStr">
        <is>
          <t>Notes to the Consolidated Financial Statements 綜合財務報表附註 For the year ended 31 March 2026 截至二零二六年三月三十一日止年度 7. SEGMENT INFORMATION (continued) 7. 分部資料（續） (a) Segment revenue, profit or loss, assets, liabilities (a) 分部收益、損益、資產、負債 and other selected financial information (continued) 及其他選定財務資料（續） 2025 (Restated) 二零二五年（經重列） Agricultural, forestry and Intelligent consumer Supplyadvertising products chain business business business Total 農林產品 智能廣告 及消費品 供應鏈 業務 業務 業務 總計 HK$’000 HK$’000 HK$’000 HK$’000 千港元 千港元 千港</t>
        </is>
      </c>
    </row>
    <row r="108">
      <c r="A108" s="8" t="inlineStr">
        <is>
          <t>Segment Information</t>
        </is>
      </c>
      <c r="B108" s="8" t="inlineStr">
        <is>
          <t>分部資料</t>
        </is>
      </c>
      <c r="C108" s="8" t="inlineStr">
        <is>
          <t>medium</t>
        </is>
      </c>
      <c r="D108" s="11" t="inlineStr">
        <is>
          <t>segment information</t>
        </is>
      </c>
      <c r="E108" s="11" t="inlineStr">
        <is>
          <t>PDF p.144 (印刷頁 142)</t>
        </is>
      </c>
      <c r="F108" s="11" t="inlineStr">
        <is>
          <t>Notes to the Consolidated Financial Statements 綜合財務報表附註 For the year ended 31 March 2026 截至二零二六年三月三十一日止年度 7. SEGMENT INFORMATION (continued) 7. 分部資料（續） (b) Reconciliations of reportable segment revenue, (b) 可呈報分部收益、損益、資產 profit or loss, assets and liabilities 及負債之對賬 2026 2025 二零二六年 二零二五年 HK$’000 HK$’000 千港元 千港元 (Restated) （經重列） CONTINUING OPERATIONS 持續經營業務 Revenue 收益 Total revenue for reportable 可呈報分部總收益 segments 34,496 45,292 Consolidated revenue 綜合收益 34,496 45,292 Profit or loss 損益 Total loss for repor</t>
        </is>
      </c>
    </row>
    <row r="109">
      <c r="A109" s="8" t="inlineStr">
        <is>
          <t>Segment Information</t>
        </is>
      </c>
      <c r="B109" s="8" t="inlineStr">
        <is>
          <t>分部資料</t>
        </is>
      </c>
      <c r="C109" s="8" t="inlineStr">
        <is>
          <t>medium</t>
        </is>
      </c>
      <c r="D109" s="11" t="inlineStr">
        <is>
          <t>segment information</t>
        </is>
      </c>
      <c r="E109" s="11" t="inlineStr">
        <is>
          <t>PDF p.145 (印刷頁 143)</t>
        </is>
      </c>
      <c r="F109" s="11" t="inlineStr">
        <is>
          <t>Notes to the Consolidated Financial Statements 綜合財務報表附註 For the year ended 31 March 2026 截至二零二六年三月三十一日止年度 7. SEGMENT INFORMATION (continued) 7. 分部資料（續） (c) Geographical Information (c) 地區資料 Since over 90% of the Group’s non-current assets 由於本集團超過90%的非流動 were located in the PRC and all of the Group’s revenue 資產位於中國及本集團全部收 were generated from services provided in the PRC or 益產生於中國提供的服務或交 goods were delivered to the PRC, no geographical 付至中國的貨品，故並無呈列 segment information in accordance with HKFRS 8 符合香港財務報告準則</t>
        </is>
      </c>
    </row>
    <row r="110">
      <c r="A110" s="8" t="inlineStr">
        <is>
          <t>Share-based Payment</t>
        </is>
      </c>
      <c r="B110" s="8" t="inlineStr">
        <is>
          <t>以股份為基礎的付款</t>
        </is>
      </c>
      <c r="C110" s="8" t="inlineStr">
        <is>
          <t>medium</t>
        </is>
      </c>
      <c r="D110" s="11" t="inlineStr">
        <is>
          <t>share option</t>
        </is>
      </c>
      <c r="E110" s="11" t="inlineStr">
        <is>
          <t>PDF p.17 (印刷頁 15)</t>
        </is>
      </c>
      <c r="F110" s="11" t="inlineStr">
        <is>
          <t>檢討其僱員的表現，並將該等檢討結 and promotion appraisal, in order to attract and retain valuable 果用於年度薪金審核及晉升評估。本公 employees. The Company adopted a share option scheme 司採納購股權計劃，以便向（其中包括） to enable it to grant share options to, among others, selected 選定合資格僱員授出購股權，作為對彼 eligible employees as incentive or reward for their contributions. 等所作貢獻的激勵或獎勵。 OUTLOOK 展望 The economic outlook for 2026 and beyond presents a blend 二零二六年及以後的經濟前景兼具重大 of significant challenges and meaningful opportunities. Global 挑戰與可見機遇。由於地緣政治緊張局 economic growth is expected to f</t>
        </is>
      </c>
    </row>
    <row r="111">
      <c r="A111" s="8" t="inlineStr">
        <is>
          <t>Share-based Payment</t>
        </is>
      </c>
      <c r="B111" s="8" t="inlineStr">
        <is>
          <t>以股份為基礎的付款</t>
        </is>
      </c>
      <c r="C111" s="8" t="inlineStr">
        <is>
          <t>medium</t>
        </is>
      </c>
      <c r="D111" s="11" t="inlineStr">
        <is>
          <t>share option</t>
        </is>
      </c>
      <c r="E111" s="11" t="inlineStr">
        <is>
          <t>PDF p.64 (印刷頁 62)</t>
        </is>
      </c>
      <c r="F111" s="11" t="inlineStr">
        <is>
          <t>別表現及可比較市 to the Group’s operating results, individual performance and 場數據釐定。 comparable market statistics. The Company has adopted a share option scheme as an 本公司已採納購股權計劃，作為對董事 incentive to directors and eligible employees, details of the 及合資格僱員之激勵，計劃之詳情載於 scheme is set out below and in note 32 to the consolidated 下文及綜合財務報表附註32內。 financial statements. SHARE OPTIONS 購股權 2012 Share Option Scheme 二零一二年購股權計劃 The Company adopted a new share option scheme at the 本公司於二零零二年八月二日舉行之本 annual general meeting of the Company held on 3 August</t>
        </is>
      </c>
    </row>
    <row r="112">
      <c r="A112" s="8" t="inlineStr">
        <is>
          <t>Share-based Payment</t>
        </is>
      </c>
      <c r="B112" s="8" t="inlineStr">
        <is>
          <t>以股份為基礎的付款</t>
        </is>
      </c>
      <c r="C112" s="8" t="inlineStr">
        <is>
          <t>medium</t>
        </is>
      </c>
      <c r="D112" s="11" t="inlineStr">
        <is>
          <t>share option</t>
        </is>
      </c>
      <c r="E112" s="11" t="inlineStr">
        <is>
          <t>PDF p.65 (印刷頁 63)</t>
        </is>
      </c>
      <c r="F112" s="11" t="inlineStr">
        <is>
          <t>購股權計劃所授出 of shares which may be issued upon exercise of all options 而有待行使之所有購股權，於行使時可 granted and yet to be exercised under the 2012 Share Option 能發行之股份數目上限，不得超過不時 Scheme and any other share option schemes of the Company 已發行之本公司股份30%。 must not exceed 30% of the Company’s shares in issue from time to time. Movements of the share options granted under the 2012 Share 根據二零一二年購股權計劃授出的購股 Option Scheme are as follows: 權變動如下： Number of unvested share awards 未歸屬股份獎勵數目 Weighted Fair value Lapsed/ average Purchase at the date As at Grante</t>
        </is>
      </c>
    </row>
    <row r="113">
      <c r="A113" s="8" t="inlineStr">
        <is>
          <t>Share-based Payment</t>
        </is>
      </c>
      <c r="B113" s="8" t="inlineStr">
        <is>
          <t>以股份為基礎的付款</t>
        </is>
      </c>
      <c r="C113" s="8" t="inlineStr">
        <is>
          <t>medium</t>
        </is>
      </c>
      <c r="D113" s="11" t="inlineStr">
        <is>
          <t>share option</t>
        </is>
      </c>
      <c r="E113" s="11" t="inlineStr">
        <is>
          <t>PDF p.66 (印刷頁 64)</t>
        </is>
      </c>
      <c r="F113" s="11" t="inlineStr">
        <is>
          <t>3,913,360份。 (1) Disclosure pursuant to Rule 23.07 (2) of the GEM Listing (1) 根據GEM上市規則第23.07(2)條作 Rules 出的披露 The particulars of 2012 Share Option Scheme during the 截至二零二六年三月三十一日、二 years ended 31 March 2026, 31 March 2025, and 31 零二五年三月三十一日及二零二四 March 2024 are set out below: 年三月三十一日止年度，二零一二 年購股權計劃之詳情載列如下： Number of options available for grant under 2012 Share 根據二零一二年購股權計劃可授出 Option Scheme 之購股權數目 At 31 March 2024 於二零二四年三月三十一日 2,913,360 Add: options lapsed during the year ended 加：於截至二零二五年三月三十一日 31 March 2025 止年度失效的購股權 9,300,000 At</t>
        </is>
      </c>
    </row>
    <row r="114">
      <c r="A114" s="8" t="inlineStr">
        <is>
          <t>Share-based Payment</t>
        </is>
      </c>
      <c r="B114" s="8" t="inlineStr">
        <is>
          <t>以股份為基礎的付款</t>
        </is>
      </c>
      <c r="C114" s="8" t="inlineStr">
        <is>
          <t>medium</t>
        </is>
      </c>
      <c r="D114" s="11" t="inlineStr">
        <is>
          <t>share option</t>
        </is>
      </c>
      <c r="E114" s="11" t="inlineStr">
        <is>
          <t>PDF p.67 (印刷頁 65)</t>
        </is>
      </c>
      <c r="F114" s="11" t="inlineStr">
        <is>
          <t>符合二零一二年購股權計 reinforce their commitments to long term development of 劃之目的。 the Company, which is in line with the purpose of the 2012 Share Option Scheme. DIRECTORS 董事 The directors of the Company during the year and up to the 於本年度及直至本報告日期之本公司董 date of this report were: 事為： Executive Directors 執行董事 Mr. Zhao Xinyan (Chairman) 趙新衍先生（主席） Mr. Zhang Yanqiang 張炎強先生 Mr. Gu Zhonghai 顧忠海先生 Independent Non-executive Directors 獨立非執行董事 Mr. Chung Koon Yan 鍾琯因先生 Ms. Zhao Yongmei 趙咏梅女士 Mr. Jing Baoli 井寶利先生 Biographical details of directors 董事履</t>
        </is>
      </c>
    </row>
    <row r="115">
      <c r="A115" s="8" t="inlineStr">
        <is>
          <t>Share-based Payment</t>
        </is>
      </c>
      <c r="B115" s="8" t="inlineStr">
        <is>
          <t>以股份為基礎的付款</t>
        </is>
      </c>
      <c r="C115" s="8" t="inlineStr">
        <is>
          <t>medium</t>
        </is>
      </c>
      <c r="D115" s="11" t="inlineStr">
        <is>
          <t>share option</t>
        </is>
      </c>
      <c r="E115" s="11" t="inlineStr">
        <is>
          <t>PDF p.85 (印刷頁 83)</t>
        </is>
      </c>
      <c r="F115" s="11" t="inlineStr">
        <is>
          <t>本年度全面虧損總額 for the year – – – – – (1,228) (8,454) (9,682) (576) (10,258) Transfer of reserves – – (413) – – – 413 – – – 轉撥儲備 Lapse of share options – – – – (2,190) – 2,190 – – – 購股權失效 Disposal of subsidiaries – – – – – – – – 712 712 出售附屬公司 As at 31 March 2025 and 於二零二五年三月 1 April 2025 三十一日及 33,227 286,786 – 6,574 2,755 (7,040) (350,075) (27,773) 16,462 (11,311) 二零二五年四月一日 Total comprehensive 本年度全面收益╱（虧損） income/(loss) 總額 for the year – – – – – 8,177 22,211 30,388 (6,488) 23,900 Lapse of share options – – – – (2,755) – 2,755 – – –</t>
        </is>
      </c>
    </row>
    <row r="116">
      <c r="A116" s="8" t="inlineStr">
        <is>
          <t>Share-based Payment</t>
        </is>
      </c>
      <c r="B116" s="8" t="inlineStr">
        <is>
          <t>以股份為基礎的付款</t>
        </is>
      </c>
      <c r="C116" s="8" t="inlineStr">
        <is>
          <t>medium</t>
        </is>
      </c>
      <c r="D116" s="11" t="inlineStr">
        <is>
          <t>share-based payment</t>
        </is>
      </c>
      <c r="E116" s="11" t="inlineStr">
        <is>
          <t>PDF p.94 (印刷頁 92)</t>
        </is>
      </c>
      <c r="F116" s="11" t="inlineStr">
        <is>
          <t>losure purposes in 披露之公平值均在此基礎上予以確 these consolidated financial statements is determined on 定，惟香港財務報告準則第2號以 such a basis, except for share-based payment transactions 股份為基礎之付款範圍內以股份為 that are within the scope of HKFRS 2 Share-based 基礎之付款交易、根據香港財務報 Payment, leasing transactions that are accounted for in 告準則第16號列賬之租賃交易以 accordance with HKFRS 16, and measurements that have 及與公平值類似但並非公平值之計 some similarities to fair value but are not fair value, such as 量（例如香港會計準則第2號存貨 net realisable value in HKAS 2 Inventories or value in use in 中之可</t>
        </is>
      </c>
    </row>
    <row r="117">
      <c r="A117" s="8" t="inlineStr">
        <is>
          <t>Share-based Payment</t>
        </is>
      </c>
      <c r="B117" s="8" t="inlineStr">
        <is>
          <t>以股份為基礎的付款</t>
        </is>
      </c>
      <c r="C117" s="8" t="inlineStr">
        <is>
          <t>medium</t>
        </is>
      </c>
      <c r="D117" s="11" t="inlineStr">
        <is>
          <t>share-based payment</t>
        </is>
      </c>
      <c r="E117" s="11" t="inlineStr">
        <is>
          <t>PDF p.100 (印刷頁 98)</t>
        </is>
      </c>
      <c r="F117" s="11" t="inlineStr">
        <is>
          <t>nt arrangements of the acquiree or share-based 份為基礎的付款安排或本集團 payment arrangements of the Group entered into to 所訂立以股份為基礎的付款安 replace share-based payment arrangements of the 排替代被收購公司以股份為基 acquiree are measured in accordance with HKFRS 2 礎的付款安排有關之負債或權 Share-based Payment at the acquisition date (see the 益工具，應根據香港財務報告 accounting policy below); 準則第2號以股份為基礎之付 款計量（見下文會計政策）； • assets (or disposal groups) that are classified as held • 根據香港財務報告準則第5號 for sale in accordance with HKFRS 5 Non-current 持作出售非流動資產及已終止 Assets Held for Sale and D</t>
        </is>
      </c>
    </row>
    <row r="118">
      <c r="A118" s="8" t="inlineStr">
        <is>
          <t>Share-based Payment</t>
        </is>
      </c>
      <c r="B118" s="8" t="inlineStr">
        <is>
          <t>以股份為基礎的付款</t>
        </is>
      </c>
      <c r="C118" s="8" t="inlineStr">
        <is>
          <t>medium</t>
        </is>
      </c>
      <c r="D118" s="11" t="inlineStr">
        <is>
          <t>share-based payment</t>
        </is>
      </c>
      <c r="E118" s="11" t="inlineStr">
        <is>
          <t>PDF p.105 (印刷頁 103)</t>
        </is>
      </c>
      <c r="F118" s="11" t="inlineStr">
        <is>
          <t>TING POLICY INFORMATION (continued) Employee benefits (continued) 僱員福利（續） Share options granted to employees 授予僱員的購股權 Equity-settled share-based payments to employees and 向僱員及提供類似服務的其他人士 others providing similar services are measured at the fair 支付的以權益結算的股份付款按授 value of the equity instruments at the grant date. 出日期權益工具的公平值計量。 The fair value of the equity-settled share-based 不考慮所有非市場歸屬條件，於授 payments determined at the grant date without taking 出日期釐定的權益結算以股份為基 into consideration all non-market vesting conditions is 礎之付款的公平值乃於歸屬期間，</t>
        </is>
      </c>
    </row>
    <row r="119">
      <c r="A119" s="8" t="inlineStr">
        <is>
          <t>Share-based Payment</t>
        </is>
      </c>
      <c r="B119" s="8" t="inlineStr">
        <is>
          <t>以股份為基礎的付款</t>
        </is>
      </c>
      <c r="C119" s="8" t="inlineStr">
        <is>
          <t>medium</t>
        </is>
      </c>
      <c r="D119" s="11" t="inlineStr">
        <is>
          <t>share-based payment</t>
        </is>
      </c>
      <c r="E119" s="11" t="inlineStr">
        <is>
          <t>PDF p.106 (印刷頁 104)</t>
        </is>
      </c>
      <c r="F119" s="11" t="inlineStr">
        <is>
          <t>報表之基準及重 FINANCIAL STATEMENTS AND MATERIAL 大會計政策資料（續） ACCOUNTING POLICY INFORMATION (continued) Employee benefits (continued) 僱員福利（續） Share-based payment expenses granted to consultants 向顧問作出之以股份為基礎付款開 支 Equity-settled share-based payment transactions with 與非僱員人士之以權益結算股份付 parties other than employees are measured at the fair 款交易按已獲取貨品或服務之公平 value of the goods or services received, except where that 值計量，惟在公平值不能合理估計 fair value cannot be estimated reliably, in which case they 之情況下，則於實體取得貨品或對 are measured at the fair value of the eq</t>
        </is>
      </c>
    </row>
    <row r="120">
      <c r="A120" s="8" t="inlineStr">
        <is>
          <t>Share-based Payment</t>
        </is>
      </c>
      <c r="B120" s="8" t="inlineStr">
        <is>
          <t>以股份為基礎的付款</t>
        </is>
      </c>
      <c r="C120" s="8" t="inlineStr">
        <is>
          <t>medium</t>
        </is>
      </c>
      <c r="D120" s="11" t="inlineStr">
        <is>
          <t>share option</t>
        </is>
      </c>
      <c r="E120" s="11" t="inlineStr">
        <is>
          <t>PDF p.156 (印刷頁 154)</t>
        </is>
      </c>
      <c r="F120" s="11" t="inlineStr">
        <is>
          <t>The calculation of diluted loss 年度，每股基本及攤薄虧損相同。 per share does not assume the exercise of the Company’s 截至二零二五年三月三十一日止年 outstanding share options and convertible note, where 度，計算每股攤薄虧損乃假設本公 applicable, as they had an anti-dilutive effect to the basic 司尚未行使的購股權及可換股票據 loss per share for the year ended 31 March 2025. （倘適用）未獲行使，原因為彼等對 每股基本虧損具反攤薄效應。 154 GREAT WORLD COMPANY HOLDINGS LTD Annual Report 2025–2026</t>
        </is>
      </c>
    </row>
    <row r="121">
      <c r="A121" s="8" t="inlineStr">
        <is>
          <t>Share-based Payment</t>
        </is>
      </c>
      <c r="B121" s="8" t="inlineStr">
        <is>
          <t>以股份為基礎的付款</t>
        </is>
      </c>
      <c r="C121" s="8" t="inlineStr">
        <is>
          <t>medium</t>
        </is>
      </c>
      <c r="D121" s="11" t="inlineStr">
        <is>
          <t>share option</t>
        </is>
      </c>
      <c r="E121" s="11" t="inlineStr">
        <is>
          <t>PDF p.172 (印刷頁 170)</t>
        </is>
      </c>
      <c r="F121" s="11" t="inlineStr">
        <is>
          <t>p did not have any material contingent liabilities at 於報告期間結算日，本集團並無任 the end of reporting period (2025: nil). 何重大或然負債（二零二五年：無）。 32. SHARE OPTION SCHEME 32. 購股權計劃 2012 Share Option Scheme 二零一二年購股權計劃 In order to enable the continuity of share option available 為使本公司可繼續授出購股權，已 to be granted by the Company, an ordinary resolution had 於二零一二年八月三日舉行之本公 been proposed to and passed by the shareholders at the 司股東週年大會上向股東提呈並獲 annual general meeting of the Company held on 3 August 股東通過普通決議案，以於終止本 2012 to adopt a new share option scheme (th</t>
        </is>
      </c>
    </row>
    <row r="122">
      <c r="A122" s="8" t="inlineStr">
        <is>
          <t>Share-based Payment</t>
        </is>
      </c>
      <c r="B122" s="8" t="inlineStr">
        <is>
          <t>以股份為基礎的付款</t>
        </is>
      </c>
      <c r="C122" s="8" t="inlineStr">
        <is>
          <t>medium</t>
        </is>
      </c>
      <c r="D122" s="11" t="inlineStr">
        <is>
          <t>share option</t>
        </is>
      </c>
      <c r="E122" s="11" t="inlineStr">
        <is>
          <t>PDF p.173 (印刷頁 171)</t>
        </is>
      </c>
      <c r="F122" s="11" t="inlineStr">
        <is>
          <t>Notes to the Consolidated Financial Statements 綜合財務報表附註 For the year ended 31 March 2026 截至二零二六年三月三十一日止年度 32. SHARE OPTION SCHEME (continued) 32.購股權計劃（續） 2012 Share Option Scheme (continued) 二零一二年購股權計劃（續） The 2012 Share Option Scheme is valid for a period of 10 二零一二年購股權計劃由二零一二 years commencing on 3 August 2012. The option period 年八月三日起計十年期間生效。購 shall not exceed 10 years from the date of grant of option. 股權期間由授出購股權當日起計不 There is no minimum period for which an option must 應超過十年。於行使購股權前並無 be held before it c</t>
        </is>
      </c>
    </row>
    <row r="123">
      <c r="A123" s="8" t="inlineStr">
        <is>
          <t>Share-based Payment</t>
        </is>
      </c>
      <c r="B123" s="8" t="inlineStr">
        <is>
          <t>以股份為基礎的付款</t>
        </is>
      </c>
      <c r="C123" s="8" t="inlineStr">
        <is>
          <t>medium</t>
        </is>
      </c>
      <c r="D123" s="11" t="inlineStr">
        <is>
          <t>share option</t>
        </is>
      </c>
      <c r="E123" s="11" t="inlineStr">
        <is>
          <t>PDF p.174 (印刷頁 172)</t>
        </is>
      </c>
      <c r="F123" s="11" t="inlineStr">
        <is>
          <t>Notes to the Consolidated Financial Statements 綜合財務報表附註 For the year ended 31 March 2026 截至二零二六年三月三十一日止年度 32. SHARE OPTION SCHEME (continued) 32. 購股權計劃（續） 2012 Share Option Scheme (continued) 二零一二年購股權計劃（續） Movements in the number of share options outstanding 尚未行使購股權之數目變動及其相 and their related weighted average exercise prices are as 關加權平均行使價如下： follows: Number of unvested share awards 未歸屬股份獎勵數目 Exercise/ purchase price for options Weighted granted Fair value Lapsed/ average during Exercise at the date As at</t>
        </is>
      </c>
    </row>
    <row r="124">
      <c r="A124" s="8" t="inlineStr">
        <is>
          <t>Share-based Payment</t>
        </is>
      </c>
      <c r="B124" s="8" t="inlineStr">
        <is>
          <t>以股份為基礎的付款</t>
        </is>
      </c>
      <c r="C124" s="8" t="inlineStr">
        <is>
          <t>medium</t>
        </is>
      </c>
      <c r="D124" s="11" t="inlineStr">
        <is>
          <t>share option</t>
        </is>
      </c>
      <c r="E124" s="11" t="inlineStr">
        <is>
          <t>PDF p.175 (印刷頁 173)</t>
        </is>
      </c>
      <c r="F124" s="11" t="inlineStr">
        <is>
          <t>Notes to the Consolidated Financial Statements 綜合財務報表附註 For the year ended 31 March 2026 截至二零二六年三月三十一日止年度 32. SHARE OPTION SCHEME (continued) 32.購股權計劃（續） 2012 Share Option Scheme (continued) 二零一二年購股權計劃（續） Movements in the number of share options outstanding 尚未行使購股權之數目變動及其相 and their related weighted average exercise prices are as 關加權平均行使價如下：（續） follows: (continued) Number of unvested share awards 未歸屬股份獎勵數目 Exercise/ purchase price for options Weighted granted Fair value Lapsed/ average during Exercise at</t>
        </is>
      </c>
    </row>
    <row r="125">
      <c r="A125" s="8" t="inlineStr">
        <is>
          <t>Share-based Payment</t>
        </is>
      </c>
      <c r="B125" s="8" t="inlineStr">
        <is>
          <t>以股份為基礎的付款</t>
        </is>
      </c>
      <c r="C125" s="8" t="inlineStr">
        <is>
          <t>medium</t>
        </is>
      </c>
      <c r="D125" s="11" t="inlineStr">
        <is>
          <t>share option</t>
        </is>
      </c>
      <c r="E125" s="11" t="inlineStr">
        <is>
          <t>PDF p.176 (印刷頁 174)</t>
        </is>
      </c>
      <c r="F125" s="11" t="inlineStr">
        <is>
          <t>Notes to the Consolidated Financial Statements 綜合財務報表附註 For the year ended 31 March 2026 截至二零二六年三月三十一日止年度 32. SHARE OPTION SCHEME (continued) 32. 購股權計劃（續） 2012 Share Option Scheme (continued) 二零一二年購股權計劃（續） On 13 May 2022, 23,000,000 number of share options 於二零二二年五月十三日，已授出 had been granted and the estimated fair value of the 23,000,000份購股權及購股權的估 share options was approximately HK$5,416,000. Total 計公平值約為5,416,000港元。截 consideration received during the year ended 31 March 至二零二三年三月三十一日止年度， 2023 from employees</t>
        </is>
      </c>
    </row>
    <row r="126">
      <c r="A126" s="8" t="inlineStr">
        <is>
          <t>Share-based Payment</t>
        </is>
      </c>
      <c r="B126" s="8" t="inlineStr">
        <is>
          <t>以股份為基礎的付款</t>
        </is>
      </c>
      <c r="C126" s="8" t="inlineStr">
        <is>
          <t>medium</t>
        </is>
      </c>
      <c r="D126" s="11" t="inlineStr">
        <is>
          <t>share option</t>
        </is>
      </c>
      <c r="E126" s="11" t="inlineStr">
        <is>
          <t>PDF p.200 (印刷頁 198)</t>
        </is>
      </c>
      <c r="F126" s="11" t="inlineStr">
        <is>
          <t>ION AND 43.本公司之財務狀況表及儲備變動 MOVEMENT OF RESERVES OF THE COMPANY （續） (continued) (b) Reserve of the Company (b) 本公司儲備 Share Convertible Share options notes equity Accumulated premium reserve reserve losses Total 可換股票據 股份溢價 購股權儲備 權益儲備 累計虧損 總計 HK$’000 HK$’000 HK$’000 HK$’000 HK$’000 千港元 千港元 千港元 千港元 千港元 As at 1 April 2024 於二零二四年四月一日 327,357 4,945 413 (385,222) (52,507) Loss and total comprehensive 年內虧損及全面虧損總額 loss for the year – – – (9,610) (9,610) Transfer of reserves 轉撥儲備 – – (413) 413 – Lapse of share options 購股權失效 – (2,190) – 2,1</t>
        </is>
      </c>
    </row>
    <row r="127">
      <c r="A127" s="8" t="inlineStr">
        <is>
          <t>Related Party Transactions</t>
        </is>
      </c>
      <c r="B127" s="8" t="inlineStr">
        <is>
          <t>關聯方交易</t>
        </is>
      </c>
      <c r="C127" s="8" t="inlineStr">
        <is>
          <t>low</t>
        </is>
      </c>
      <c r="D127" s="11" t="inlineStr">
        <is>
          <t>related party</t>
        </is>
      </c>
      <c r="E127" s="11" t="inlineStr">
        <is>
          <t>PDF p.135 (印刷頁 133)</t>
        </is>
      </c>
      <c r="F127" s="11" t="inlineStr">
        <is>
          <t>團的母公 is a part, provides key management personnel 司提供關鍵管理人員服務 services to the Group or to the Group’s parent. 之實體或該實體所屬集團 的任何成員公司。 A related party transaction is a transfer of resources, 關連方交易指本集團與關連方之間 services or obligations between the Group and a related 轉讓資源、服務或責任，而不論是 party, regardless of whether a price is charged. 否涉及收費。 Close members of the family of a person are those family 個人之近親成員，指在其與實體之 members who may be expected to influence, or be 間之交易中預期可能影響該人士或 influenced by, that person in their dealings with the entity. 受該人</t>
        </is>
      </c>
    </row>
    <row r="128">
      <c r="A128" s="8" t="inlineStr">
        <is>
          <t>Related Party Transactions</t>
        </is>
      </c>
      <c r="B128" s="8" t="inlineStr">
        <is>
          <t>關聯方交易</t>
        </is>
      </c>
      <c r="C128" s="8" t="inlineStr">
        <is>
          <t>low</t>
        </is>
      </c>
      <c r="D128" s="11" t="inlineStr">
        <is>
          <t>related party</t>
        </is>
      </c>
      <c r="E128" s="11" t="inlineStr">
        <is>
          <t>PDF p.180 (印刷頁 178)</t>
        </is>
      </c>
      <c r="F128" s="11" t="inlineStr">
        <is>
          <t>Notes to the Consolidated Financial Statements 綜合財務報表附註 For the year ended 31 March 2026 截至二零二六年三月三十一日止年度 35. MATERIAL RELATED PARTY TRANSACTIONS 35. 重大關連方交易 Save as disclosed elsewhere in the consolidated financial 除綜合財務報表其他章節披露者外， statements, the Group entered into the following material 於截至二零二六年及二零二五年三 related party transactions during the years ended 31 March 月三十一日止年度，本集團曾進行 2026 and 2025: 以下重大關連方交易： (a) Compensation of key management personnel (a) 主要管理人員之補償 The remuneration of directors and key management 於年內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2"/>
  <sheetViews>
    <sheetView workbookViewId="0">
      <pane ySplit="30" topLeftCell="A31"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Cash and Equivalents</t>
        </is>
      </c>
    </row>
    <row r="14">
      <c r="A14" s="8" t="inlineStr">
        <is>
          <t>Balance Sheet</t>
        </is>
      </c>
      <c r="B14" s="8" t="inlineStr">
        <is>
          <t>Inventories</t>
        </is>
      </c>
    </row>
    <row r="15">
      <c r="A15" s="8" t="inlineStr">
        <is>
          <t>Balance Sheet</t>
        </is>
      </c>
      <c r="B15" s="8" t="inlineStr">
        <is>
          <t>Goodwill</t>
        </is>
      </c>
    </row>
    <row r="16">
      <c r="A16" s="8" t="inlineStr">
        <is>
          <t>Balance Sheet</t>
        </is>
      </c>
      <c r="B16" s="8" t="inlineStr">
        <is>
          <t>Intangible Assets</t>
        </is>
      </c>
    </row>
    <row r="17">
      <c r="A17" s="8" t="inlineStr">
        <is>
          <t>Balance Sheet</t>
        </is>
      </c>
      <c r="B17" s="8" t="inlineStr">
        <is>
          <t>Investment Properties</t>
        </is>
      </c>
    </row>
    <row r="18">
      <c r="A18" s="8" t="inlineStr">
        <is>
          <t>Balance Sheet</t>
        </is>
      </c>
      <c r="B18" s="8" t="inlineStr">
        <is>
          <t>Total Liabilities</t>
        </is>
      </c>
    </row>
    <row r="19">
      <c r="A19" s="8" t="inlineStr">
        <is>
          <t>Balance Sheet</t>
        </is>
      </c>
      <c r="B19" s="8" t="inlineStr">
        <is>
          <t>Borrowings</t>
        </is>
      </c>
    </row>
    <row r="20">
      <c r="A20" s="8" t="inlineStr">
        <is>
          <t>Balance Sheet</t>
        </is>
      </c>
      <c r="B20" s="8" t="inlineStr">
        <is>
          <t>Total Equity</t>
        </is>
      </c>
    </row>
    <row r="21">
      <c r="A21" s="8" t="inlineStr">
        <is>
          <t>Cash Flow</t>
        </is>
      </c>
      <c r="B21" s="8" t="inlineStr">
        <is>
          <t>Operating Cash Flow</t>
        </is>
      </c>
    </row>
    <row r="22">
      <c r="A22" s="8" t="inlineStr">
        <is>
          <t>Cash Flow</t>
        </is>
      </c>
      <c r="B22" s="8" t="inlineStr">
        <is>
          <t>Investing Cash Flow</t>
        </is>
      </c>
    </row>
    <row r="23">
      <c r="A23" s="8" t="inlineStr">
        <is>
          <t>Cash Flow</t>
        </is>
      </c>
      <c r="B23" s="8" t="inlineStr">
        <is>
          <t>Financing Cash Flow</t>
        </is>
      </c>
    </row>
    <row r="24">
      <c r="A24" s="8" t="inlineStr">
        <is>
          <t>Cash Flow</t>
        </is>
      </c>
      <c r="B24" s="8" t="inlineStr">
        <is>
          <t>Capital Expenditure</t>
        </is>
      </c>
    </row>
    <row r="27">
      <c r="A27" s="5" t="inlineStr">
        <is>
          <t>二、文字量過低的頁面(疑似掃描頁)</t>
        </is>
      </c>
    </row>
    <row r="28">
      <c r="A28" s="2" t="inlineStr">
        <is>
          <t>這些頁面幾乎抓不到文字,通常是掃描件或純圖表,建議人手翻閱或另行 OCR。</t>
        </is>
      </c>
    </row>
    <row r="30">
      <c r="A30" s="7" t="inlineStr">
        <is>
          <t>PDF 頁碼</t>
        </is>
      </c>
      <c r="B30" s="7" t="inlineStr">
        <is>
          <t>狀態</t>
        </is>
      </c>
    </row>
    <row r="31">
      <c r="A31" s="8" t="n">
        <v>1</v>
      </c>
      <c r="B31" s="8" t="inlineStr">
        <is>
          <t>文字量過低 — 可能為掃描頁/圖表頁</t>
        </is>
      </c>
    </row>
    <row r="32">
      <c r="A32" s="8" t="n">
        <v>203</v>
      </c>
      <c r="B32"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2026-08-30T14:16:20Z</dcterms:created>
  <dcterms:modified xsi:type="dcterms:W3CDTF">2026-08-30T14:16:20Z</dcterms:modified>
</cp:coreProperties>
</file>
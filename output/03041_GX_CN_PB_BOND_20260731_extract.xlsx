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6"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03041_GX_CN_PB_BOND_20260731.pdf</t>
        </is>
      </c>
    </row>
    <row r="5">
      <c r="A5" s="3" t="inlineStr">
        <is>
          <t>產生時間 Generated</t>
        </is>
      </c>
      <c r="B5" s="4" t="inlineStr">
        <is>
          <t>2026-08-30 22:17</t>
        </is>
      </c>
    </row>
    <row r="6">
      <c r="A6" s="4" t="inlineStr"/>
      <c r="B6" s="4" t="inlineStr"/>
    </row>
    <row r="7">
      <c r="A7" s="3" t="inlineStr">
        <is>
          <t>總頁數 Total pages</t>
        </is>
      </c>
      <c r="B7" s="4" t="n">
        <v>83</v>
      </c>
    </row>
    <row r="8">
      <c r="A8" s="3" t="inlineStr">
        <is>
          <t>已擷取字元 Characters extracted</t>
        </is>
      </c>
      <c r="B8" s="4" t="n">
        <v>140989</v>
      </c>
    </row>
    <row r="9">
      <c r="A9" s="3" t="inlineStr">
        <is>
          <t>含表格頁數 Pages with tables</t>
        </is>
      </c>
      <c r="B9" s="4" t="n">
        <v>0</v>
      </c>
    </row>
    <row r="10">
      <c r="A10" s="3" t="inlineStr">
        <is>
          <t>需人手/OCR 頁數 Pages needing OCR</t>
        </is>
      </c>
      <c r="B10" s="4" t="n">
        <v>7</v>
      </c>
    </row>
    <row r="11">
      <c r="A11" s="4" t="inlineStr"/>
      <c r="B11" s="4" t="inlineStr"/>
    </row>
    <row r="12">
      <c r="A12" s="3" t="inlineStr">
        <is>
          <t>估值參數擷取筆數 Valuation parameters</t>
        </is>
      </c>
      <c r="B12" s="4" t="n">
        <v>0</v>
      </c>
    </row>
    <row r="13">
      <c r="A13" s="3" t="inlineStr">
        <is>
          <t>財務科目擷取筆數 Financial line items</t>
        </is>
      </c>
      <c r="B13" s="4" t="n">
        <v>3</v>
      </c>
    </row>
    <row r="14">
      <c r="A14" s="3" t="inlineStr">
        <is>
          <t>主題段落擷取筆數 Topic extracts</t>
        </is>
      </c>
      <c r="B14" s="4" t="n">
        <v>11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c r="A5" s="7" t="inlineStr">
        <is>
          <t>Income Statement</t>
        </is>
      </c>
      <c r="B5" s="7" t="inlineStr">
        <is>
          <t>Operating Profit</t>
        </is>
      </c>
      <c r="C5" s="8" t="n">
        <v>38769207</v>
      </c>
      <c r="D5" s="9" t="n">
        <v>-1888484</v>
      </c>
      <c r="E5" s="10">
        <f>IF(ISERROR((C5-D5)/ABS(D5)),"",(C5-D5)/ABS(D5))</f>
        <v>21.529274804552223</v>
      </c>
      <c r="F5" s="11" t="inlineStr">
        <is>
          <t>PDF p.10 (印刷頁 8)</t>
        </is>
      </c>
      <c r="G5" s="11" t="inlineStr">
        <is>
          <t>Operating profit/(loss) 38,769,207 (1,888,484) 1,078,284 328,722 266,394 382,742 304,798 575,490</t>
        </is>
      </c>
    </row>
    <row r="6">
      <c r="A6" s="7" t="inlineStr">
        <is>
          <t>Income Statement</t>
        </is>
      </c>
      <c r="B6" s="7" t="inlineStr">
        <is>
          <t>Finance Costs</t>
        </is>
      </c>
      <c r="C6" s="8" t="n">
        <v>0</v>
      </c>
      <c r="D6" s="9" t="n">
        <v>0</v>
      </c>
      <c r="E6" s="10" t="str">
        <f>IF(ISERROR((C6-D6)/ABS(D6)),"",(C6-D6)/ABS(D6))</f>
        <v/>
      </c>
      <c r="F6" s="11" t="inlineStr">
        <is>
          <t>PDF p.10 (印刷頁 8)</t>
        </is>
      </c>
      <c r="G6" s="11" t="inlineStr">
        <is>
          <t>FINANCE COSTS … Interest expense - - - (143) - - - -</t>
        </is>
      </c>
    </row>
    <row r="7">
      <c r="A7" s="7" t="inlineStr">
        <is>
          <t>Income Statement</t>
        </is>
      </c>
      <c r="B7" s="7" t="inlineStr">
        <is>
          <t>Profit Before Tax</t>
        </is>
      </c>
      <c r="C7" s="8" t="n">
        <v>38769207</v>
      </c>
      <c r="D7" s="9" t="n">
        <v>-1888484</v>
      </c>
      <c r="E7" s="10">
        <f>IF(ISERROR((C7-D7)/ABS(D7)),"",(C7-D7)/ABS(D7))</f>
        <v>21.529274804552223</v>
      </c>
      <c r="F7" s="11" t="inlineStr">
        <is>
          <t>PDF p.10 (印刷頁 8)</t>
        </is>
      </c>
      <c r="G7" s="11" t="inlineStr">
        <is>
          <t>Profit/(loss) before tax 38,769,207 (1,888,484) 1,078,284 328,579 266,394 382,742 304,798 575,490</t>
        </is>
      </c>
    </row>
    <row r="9">
      <c r="A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12" t="str">
        <f>IF(ISERROR(INDEX('Financials 財務數據'!$C$5:$C$7,MATCH("Gross Profit",'Financials 財務數據'!$B$5:$B$7,0))/INDEX('Financials 財務數據'!$C$5:$C$7,MATCH("Revenue",'Financials 財務數據'!$B$5:$B$7,0))),"n/a",INDEX('Financials 財務數據'!$C$5:$C$7,MATCH("Gross Profit",'Financials 財務數據'!$B$5:$B$7,0))/INDEX('Financials 財務數據'!$C$5:$C$7,MATCH("Revenue",'Financials 財務數據'!$B$5:$B$7,0)))</f>
        <v>n/a</v>
      </c>
      <c r="C5" s="12" t="str">
        <f>IF(ISERROR(INDEX('Financials 財務數據'!$D$5:$D$7,MATCH("Gross Profit",'Financials 財務數據'!$B$5:$B$7,0))/INDEX('Financials 財務數據'!$D$5:$D$7,MATCH("Revenue",'Financials 財務數據'!$B$5:$B$7,0))),"n/a",INDEX('Financials 財務數據'!$D$5:$D$7,MATCH("Gross Profit",'Financials 財務數據'!$B$5:$B$7,0))/INDEX('Financials 財務數據'!$D$5:$D$7,MATCH("Revenue",'Financials 財務數據'!$B$5:$B$7,0)))</f>
        <v>n/a</v>
      </c>
      <c r="D5" s="2" t="inlineStr">
        <is>
          <t>毛利 ÷ 收入</t>
        </is>
      </c>
    </row>
    <row r="6">
      <c r="A6" s="4" t="inlineStr">
        <is>
          <t>Net Margin 淨利率</t>
        </is>
      </c>
      <c r="B6" s="12" t="str">
        <f>IF(ISERROR(INDEX('Financials 財務數據'!$C$5:$C$7,MATCH("Profit for the Year",'Financials 財務數據'!$B$5:$B$7,0))/INDEX('Financials 財務數據'!$C$5:$C$7,MATCH("Revenue",'Financials 財務數據'!$B$5:$B$7,0))),"n/a",INDEX('Financials 財務數據'!$C$5:$C$7,MATCH("Profit for the Year",'Financials 財務數據'!$B$5:$B$7,0))/INDEX('Financials 財務數據'!$C$5:$C$7,MATCH("Revenue",'Financials 財務數據'!$B$5:$B$7,0)))</f>
        <v>n/a</v>
      </c>
      <c r="C6" s="12" t="str">
        <f>IF(ISERROR(INDEX('Financials 財務數據'!$D$5:$D$7,MATCH("Profit for the Year",'Financials 財務數據'!$B$5:$B$7,0))/INDEX('Financials 財務數據'!$D$5:$D$7,MATCH("Revenue",'Financials 財務數據'!$B$5:$B$7,0))),"n/a",INDEX('Financials 財務數據'!$D$5:$D$7,MATCH("Profit for the Year",'Financials 財務數據'!$B$5:$B$7,0))/INDEX('Financials 財務數據'!$D$5:$D$7,MATCH("Revenue",'Financials 財務數據'!$B$5:$B$7,0)))</f>
        <v>n/a</v>
      </c>
      <c r="D6" s="2" t="inlineStr">
        <is>
          <t>年內溢利 ÷ 收入</t>
        </is>
      </c>
    </row>
    <row r="7">
      <c r="A7" s="4" t="inlineStr">
        <is>
          <t>Current Ratio 流動比率</t>
        </is>
      </c>
      <c r="B7" s="13" t="str">
        <f>IF(ISERROR(INDEX('Financials 財務數據'!$C$5:$C$7,MATCH("Total Current Assets",'Financials 財務數據'!$B$5:$B$7,0))/INDEX('Financials 財務數據'!$C$5:$C$7,MATCH("Total Current Liabilities",'Financials 財務數據'!$B$5:$B$7,0))),"n/a",INDEX('Financials 財務數據'!$C$5:$C$7,MATCH("Total Current Assets",'Financials 財務數據'!$B$5:$B$7,0))/INDEX('Financials 財務數據'!$C$5:$C$7,MATCH("Total Current Liabilities",'Financials 財務數據'!$B$5:$B$7,0)))</f>
        <v>n/a</v>
      </c>
      <c r="C7" s="13" t="str">
        <f>IF(ISERROR(INDEX('Financials 財務數據'!$D$5:$D$7,MATCH("Total Current Assets",'Financials 財務數據'!$B$5:$B$7,0))/INDEX('Financials 財務數據'!$D$5:$D$7,MATCH("Total Current Liabilities",'Financials 財務數據'!$B$5:$B$7,0))),"n/a",INDEX('Financials 財務數據'!$D$5:$D$7,MATCH("Total Current Assets",'Financials 財務數據'!$B$5:$B$7,0))/INDEX('Financials 財務數據'!$D$5:$D$7,MATCH("Total Current Liabilities",'Financials 財務數據'!$B$5:$B$7,0)))</f>
        <v>n/a</v>
      </c>
      <c r="D7" s="2" t="inlineStr">
        <is>
          <t>流動資產 ÷ 流動負債</t>
        </is>
      </c>
    </row>
    <row r="8">
      <c r="A8" s="4" t="inlineStr">
        <is>
          <t>Debt / Equity 負債權益比</t>
        </is>
      </c>
      <c r="B8" s="13" t="str">
        <f>IF(ISERROR(INDEX('Financials 財務數據'!$C$5:$C$7,MATCH("Total Liabilities",'Financials 財務數據'!$B$5:$B$7,0))/INDEX('Financials 財務數據'!$C$5:$C$7,MATCH("Total Equity",'Financials 財務數據'!$B$5:$B$7,0))),"n/a",INDEX('Financials 財務數據'!$C$5:$C$7,MATCH("Total Liabilities",'Financials 財務數據'!$B$5:$B$7,0))/INDEX('Financials 財務數據'!$C$5:$C$7,MATCH("Total Equity",'Financials 財務數據'!$B$5:$B$7,0)))</f>
        <v>n/a</v>
      </c>
      <c r="C8" s="13" t="str">
        <f>IF(ISERROR(INDEX('Financials 財務數據'!$D$5:$D$7,MATCH("Total Liabilities",'Financials 財務數據'!$B$5:$B$7,0))/INDEX('Financials 財務數據'!$D$5:$D$7,MATCH("Total Equity",'Financials 財務數據'!$B$5:$B$7,0))),"n/a",INDEX('Financials 財務數據'!$D$5:$D$7,MATCH("Total Liabilities",'Financials 財務數據'!$B$5:$B$7,0))/INDEX('Financials 財務數據'!$D$5:$D$7,MATCH("Total Equity",'Financials 財務數據'!$B$5:$B$7,0)))</f>
        <v>n/a</v>
      </c>
      <c r="D8" s="2" t="inlineStr">
        <is>
          <t>總負債 ÷ 總權益</t>
        </is>
      </c>
    </row>
    <row r="9">
      <c r="A9" s="4" t="inlineStr">
        <is>
          <t>Goodwill / Total Assets</t>
        </is>
      </c>
      <c r="B9" s="12" t="str">
        <f>IF(ISERROR(INDEX('Financials 財務數據'!$C$5:$C$7,MATCH("Goodwill",'Financials 財務數據'!$B$5:$B$7,0))/INDEX('Financials 財務數據'!$C$5:$C$7,MATCH("Total Assets",'Financials 財務數據'!$B$5:$B$7,0))),"n/a",INDEX('Financials 財務數據'!$C$5:$C$7,MATCH("Goodwill",'Financials 財務數據'!$B$5:$B$7,0))/INDEX('Financials 財務數據'!$C$5:$C$7,MATCH("Total Assets",'Financials 財務數據'!$B$5:$B$7,0)))</f>
        <v>n/a</v>
      </c>
      <c r="C9" s="12" t="str">
        <f>IF(ISERROR(INDEX('Financials 財務數據'!$D$5:$D$7,MATCH("Goodwill",'Financials 財務數據'!$B$5:$B$7,0))/INDEX('Financials 財務數據'!$D$5:$D$7,MATCH("Total Assets",'Financials 財務數據'!$B$5:$B$7,0))),"n/a",INDEX('Financials 財務數據'!$D$5:$D$7,MATCH("Goodwill",'Financials 財務數據'!$B$5:$B$7,0))/INDEX('Financials 財務數據'!$D$5:$D$7,MATCH("Total Assets",'Financials 財務數據'!$B$5:$B$7,0)))</f>
        <v>n/a</v>
      </c>
      <c r="D9" s="2" t="inlineStr">
        <is>
          <t>商譽佔總資產比重 — 減值風險指標</t>
        </is>
      </c>
    </row>
    <row r="10">
      <c r="A10" s="4" t="inlineStr">
        <is>
          <t>Intangibles / Total Assets</t>
        </is>
      </c>
      <c r="B10" s="12" t="str">
        <f>IF(ISERROR(INDEX('Financials 財務數據'!$C$5:$C$7,MATCH("Intangible Assets",'Financials 財務數據'!$B$5:$B$7,0))/INDEX('Financials 財務數據'!$C$5:$C$7,MATCH("Total Assets",'Financials 財務數據'!$B$5:$B$7,0))),"n/a",INDEX('Financials 財務數據'!$C$5:$C$7,MATCH("Intangible Assets",'Financials 財務數據'!$B$5:$B$7,0))/INDEX('Financials 財務數據'!$C$5:$C$7,MATCH("Total Assets",'Financials 財務數據'!$B$5:$B$7,0)))</f>
        <v>n/a</v>
      </c>
      <c r="C10" s="12" t="str">
        <f>IF(ISERROR(INDEX('Financials 財務數據'!$D$5:$D$7,MATCH("Intangible Assets",'Financials 財務數據'!$B$5:$B$7,0))/INDEX('Financials 財務數據'!$D$5:$D$7,MATCH("Total Assets",'Financials 財務數據'!$B$5:$B$7,0))),"n/a",INDEX('Financials 財務數據'!$D$5:$D$7,MATCH("Intangible Assets",'Financials 財務數據'!$B$5:$B$7,0))/INDEX('Financials 財務數據'!$D$5:$D$7,MATCH("Total Assets",'Financials 財務數據'!$B$5:$B$7,0)))</f>
        <v>n/a</v>
      </c>
      <c r="D10" s="2" t="inlineStr">
        <is>
          <t>無形資產佔比</t>
        </is>
      </c>
    </row>
    <row r="11">
      <c r="A11" s="4" t="inlineStr">
        <is>
          <t>ROE 股本回報率</t>
        </is>
      </c>
      <c r="B11" s="12" t="str">
        <f>IF(ISERROR(INDEX('Financials 財務數據'!$C$5:$C$7,MATCH("Profit for the Year",'Financials 財務數據'!$B$5:$B$7,0))/INDEX('Financials 財務數據'!$C$5:$C$7,MATCH("Total Equity",'Financials 財務數據'!$B$5:$B$7,0))),"n/a",INDEX('Financials 財務數據'!$C$5:$C$7,MATCH("Profit for the Year",'Financials 財務數據'!$B$5:$B$7,0))/INDEX('Financials 財務數據'!$C$5:$C$7,MATCH("Total Equity",'Financials 財務數據'!$B$5:$B$7,0)))</f>
        <v>n/a</v>
      </c>
      <c r="C11" s="12" t="str">
        <f>IF(ISERROR(INDEX('Financials 財務數據'!$D$5:$D$7,MATCH("Profit for the Year",'Financials 財務數據'!$B$5:$B$7,0))/INDEX('Financials 財務數據'!$D$5:$D$7,MATCH("Total Equity",'Financials 財務數據'!$B$5:$B$7,0))),"n/a",INDEX('Financials 財務數據'!$D$5:$D$7,MATCH("Profit for the Year",'Financials 財務數據'!$B$5:$B$7,0))/INDEX('Financials 財務數據'!$D$5:$D$7,MATCH("Total Equity",'Financials 財務數據'!$B$5:$B$7,0)))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4" t="inlineStr">
        <is>
          <t>Item</t>
        </is>
      </c>
      <c r="B4" s="14" t="inlineStr">
        <is>
          <t>Prior</t>
        </is>
      </c>
      <c r="C4" s="14" t="inlineStr">
        <is>
          <t>Current</t>
        </is>
      </c>
    </row>
    <row r="5">
      <c r="A5" s="4" t="inlineStr">
        <is>
          <t>Profit Before Tax</t>
        </is>
      </c>
      <c r="B5" s="15" t="n">
        <v>-1888484</v>
      </c>
      <c r="C5" s="15" t="n">
        <v>38769207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7" t="inlineStr">
        <is>
          <t>Fair Value Measurement</t>
        </is>
      </c>
      <c r="B4" s="7" t="inlineStr">
        <is>
          <t>公允價值計量</t>
        </is>
      </c>
      <c r="C4" s="16" t="inlineStr">
        <is>
          <t>high</t>
        </is>
      </c>
      <c r="D4" s="11" t="inlineStr">
        <is>
          <t>fair value hierarchy</t>
        </is>
      </c>
      <c r="E4" s="11" t="inlineStr">
        <is>
          <t>PDF p.22 (印刷頁 20)</t>
        </is>
      </c>
      <c r="F4" s="11" t="inlineStr">
        <is>
          <t>ces. All assets and liabilities for which fair value is measured or disclosed in the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t>
        </is>
      </c>
    </row>
    <row r="5">
      <c r="A5" s="7" t="inlineStr">
        <is>
          <t>Fair Value Measurement</t>
        </is>
      </c>
      <c r="B5" s="7" t="inlineStr">
        <is>
          <t>公允價值計量</t>
        </is>
      </c>
      <c r="C5" s="16" t="inlineStr">
        <is>
          <t>high</t>
        </is>
      </c>
      <c r="D5" s="11" t="inlineStr">
        <is>
          <t>fair value hierarchy</t>
        </is>
      </c>
      <c r="E5" s="11" t="inlineStr">
        <is>
          <t>PDF p.58 (印刷頁 56)</t>
        </is>
      </c>
      <c r="F5" s="11" t="inlineStr">
        <is>
          <t>urements using a fair value hierarchy that reflects the significance of the inputs used in making the measurements. The level in the fair value hierarchy within which the fair value measurement is categorised in its entirety is determined on the basis of the lowest level input that is significant to the fair value measurement in its entirety. For this purpose, the significance of an input is assessed against the fair value measurement in its entirety. If a fair value measurement uses observable inputs that require significant a</t>
        </is>
      </c>
    </row>
    <row r="6">
      <c r="A6" s="7" t="inlineStr">
        <is>
          <t>Fair Value Measurement</t>
        </is>
      </c>
      <c r="B6" s="7" t="inlineStr">
        <is>
          <t>公允價值計量</t>
        </is>
      </c>
      <c r="C6" s="16" t="inlineStr">
        <is>
          <t>high</t>
        </is>
      </c>
      <c r="D6" s="11" t="inlineStr">
        <is>
          <t>level 1</t>
        </is>
      </c>
      <c r="E6" s="11" t="inlineStr">
        <is>
          <t>PDF p.59 (印刷頁 57)</t>
        </is>
      </c>
      <c r="F6" s="11" t="inlineStr">
        <is>
          <t>value (continued) As at 31 March 2026 Quoted prices Significant Significant in active observable unobservable markets inputs inputs Level 1 Level 2 Level 3 Total Global X Asia Pacific High Dividend Yield ETF (in US$) Financial assets at FVPL: Listed Equities 5,324,846 - - 5,324,846 Unlisted Rights of Trust Interest - - 171 171 5,324,846 - 171 5,325,017 As at 31 March 2025 Quoted prices Significant Significant in active observable unobservable markets inputs inputs Level 1 Level 2 Level 3 Total Global X Asia Pacific High Divide</t>
        </is>
      </c>
    </row>
    <row r="7">
      <c r="A7" s="7" t="inlineStr">
        <is>
          <t>Fair Value Measurement</t>
        </is>
      </c>
      <c r="B7" s="7" t="inlineStr">
        <is>
          <t>公允價值計量</t>
        </is>
      </c>
      <c r="C7" s="16" t="inlineStr">
        <is>
          <t>high</t>
        </is>
      </c>
      <c r="D7" s="11" t="inlineStr">
        <is>
          <t>level 1</t>
        </is>
      </c>
      <c r="E7" s="11" t="inlineStr">
        <is>
          <t>PDF p.60 (印刷頁 58)</t>
        </is>
      </c>
      <c r="F7" s="11" t="inlineStr">
        <is>
          <t>fair value (continued) Investments whose values are based on quoted market prices in active markets and therefore classified within Level 1, include futures contracts, active listed equities, active listed bonds and money market instruments. The Sub-Funds do not adjust the quoted price for these instruments. Financial instruments that trade in markets that are not considered to be active but are valued based on quoted market prices, dealer quotations or alternative pricing sources supported by observable inputs are classified</t>
        </is>
      </c>
    </row>
    <row r="8">
      <c r="A8" s="7" t="inlineStr">
        <is>
          <t>Intangible Assets &amp; Goodwill</t>
        </is>
      </c>
      <c r="B8" s="7" t="inlineStr">
        <is>
          <t>無形資產及商譽</t>
        </is>
      </c>
      <c r="C8" s="16" t="inlineStr">
        <is>
          <t>high</t>
        </is>
      </c>
      <c r="D8" s="11" t="inlineStr">
        <is>
          <t>amortisation</t>
        </is>
      </c>
      <c r="E8" s="11" t="inlineStr">
        <is>
          <t>PDF p.20 (印刷頁 18)</t>
        </is>
      </c>
      <c r="F8" s="11" t="inlineStr">
        <is>
          <t>nt. Gains and losses are recognised in profit or loss when the debt instruments are derecognised or impaired, as well as through the amortisation process. Financial liabilities, other than those classified as at FVPL, are measured at amortised cost using the effective interest method. Gains and losses are recognised in profit or loss when the liabilities are derecognised, as well as through the amortisation process. The effective interest method is a method of calculating the amortised cost of a financial asset or a financial l</t>
        </is>
      </c>
    </row>
    <row r="9">
      <c r="A9" s="7" t="inlineStr">
        <is>
          <t>ESG Data</t>
        </is>
      </c>
      <c r="B9" s="7" t="inlineStr">
        <is>
          <t>環境社會及管治數據</t>
        </is>
      </c>
      <c r="C9" s="7" t="inlineStr">
        <is>
          <t>medium</t>
        </is>
      </c>
      <c r="D9" s="11" t="inlineStr">
        <is>
          <t>ESG</t>
        </is>
      </c>
      <c r="E9" s="11" t="inlineStr">
        <is>
          <t>PDF p.2</t>
        </is>
      </c>
      <c r="F9" s="11" t="inlineStr">
        <is>
          <t>financial derivative instruments (Unaudited) 73 Information on exposure arising from financial derivative instruments (Unaudited) 74 ESG disclosure for Global X Bloomberg MSCI Asia ex Japan Green Bond ETF (Unaudited) 75 – 76 Performance record (Unaudited) 77 – 80 Management and administration 81 IMPORTANT: Any opinion expressed herein reflects the Manager’s view only and is subject to change. For more information about Global X ETF Series II, please refer to the prospectus of Global X ETF Series II which is available at our web</t>
        </is>
      </c>
    </row>
    <row r="10">
      <c r="A10" s="7" t="inlineStr">
        <is>
          <t>ESG Data</t>
        </is>
      </c>
      <c r="B10" s="7" t="inlineStr">
        <is>
          <t>環境社會及管治數據</t>
        </is>
      </c>
      <c r="C10" s="7" t="inlineStr">
        <is>
          <t>medium</t>
        </is>
      </c>
      <c r="D10" s="11" t="inlineStr">
        <is>
          <t>ESG</t>
        </is>
      </c>
      <c r="E10" s="11" t="inlineStr">
        <is>
          <t>PDF p.77 (印刷頁 75)</t>
        </is>
      </c>
      <c r="F10" s="11" t="inlineStr">
        <is>
          <t>GLOBAL X ETF Series II ESG DISCLOSURE FOR GLOBAL X BLOOMBERG MSCI ASIA EX JAPAN GREEN BOND ETF (UNAUDITED) Global X ETF Series II Global X Bloomberg MSCI Asia ex Japan Green Bond ETF (1 April 2025 – 31 March 2026) Actual proportion of underlying investments From 1 April 2025 to 31 March 2026, 98.96% of the Sub-Fund’s that are commensurate with the Sub-Fund’s average net asset value was invested in securities that are ES</t>
        </is>
      </c>
    </row>
    <row r="11">
      <c r="A11" s="7" t="inlineStr">
        <is>
          <t>ESG Data</t>
        </is>
      </c>
      <c r="B11" s="7" t="inlineStr">
        <is>
          <t>環境社會及管治數據</t>
        </is>
      </c>
      <c r="C11" s="7" t="inlineStr">
        <is>
          <t>medium</t>
        </is>
      </c>
      <c r="D11" s="11" t="inlineStr">
        <is>
          <t>ESG</t>
        </is>
      </c>
      <c r="E11" s="11" t="inlineStr">
        <is>
          <t>PDF p.78 (印刷頁 76)</t>
        </is>
      </c>
      <c r="F11" s="11" t="inlineStr">
        <is>
          <t>GLOBAL X ETF Series II ESG DISCLOSURE FOR GLOBAL X BLOOMBERG MSCI ASIA EX JAPAN GREEN BOND ETF (UNAUDITED) (CONTINUED) Global X ETF Series II Global X Bloomberg MSCI Asia ex Japan Green Bond ETF (1 April 2025 – 31 March 2026) Description of the basis of the assessment The underlying index of the Sub-Fund only includes securities performed issued by companies that are commensurate with the Sub-Fund’s ESG focus. The actua</t>
        </is>
      </c>
    </row>
    <row r="12">
      <c r="A12" s="7" t="inlineStr">
        <is>
          <t>Segment Information</t>
        </is>
      </c>
      <c r="B12" s="7" t="inlineStr">
        <is>
          <t>分部資料</t>
        </is>
      </c>
      <c r="C12" s="7" t="inlineStr">
        <is>
          <t>medium</t>
        </is>
      </c>
      <c r="D12" s="11" t="inlineStr">
        <is>
          <t>geographical</t>
        </is>
      </c>
      <c r="E12" s="11" t="inlineStr">
        <is>
          <t>PDF p.43 (印刷頁 41)</t>
        </is>
      </c>
      <c r="F12" s="11" t="inlineStr">
        <is>
          <t>ia Pacific High Dividend Yield Index. The Index is subject to concentration risk as a result of tracking the performance of a single geographical region, namely the Asia Pacific region. The Net Asset Value of the Sub- Fund is therefore likely to be more volatile than a broad-based fund that adopts a more diversified strategy, such as a global fund, as the Index is more susceptible to fluctuations in value resulting from adverse economic, political, policy, foreign exchange, liquidity, tax, legal or regulatory event affecting th</t>
        </is>
      </c>
    </row>
    <row r="13">
      <c r="A13" s="7" t="inlineStr">
        <is>
          <t>Segment Information</t>
        </is>
      </c>
      <c r="B13" s="7" t="inlineStr">
        <is>
          <t>分部資料</t>
        </is>
      </c>
      <c r="C13" s="7" t="inlineStr">
        <is>
          <t>medium</t>
        </is>
      </c>
      <c r="D13" s="11" t="inlineStr">
        <is>
          <t>geographical</t>
        </is>
      </c>
      <c r="E13" s="11" t="inlineStr">
        <is>
          <t>PDF p.44 (印刷頁 42)</t>
        </is>
      </c>
      <c r="F13" s="11" t="inlineStr">
        <is>
          <t>bond securities issued by PRC policy banks. It is subject to concentration risk as a result of tracking the performance of a single geographical region, namely the PRC and is concentrated in bonds of a few issuers (being the PRC policy bank bond issuers). The value of the Sub-Fund may be more volatile than that of a fund having a more diverse portfolio of investments and may be more susceptible to adverse economic, political, policy, foreign exchange, liquidity, tax, legal or regulatory event affecting the PRC market. As at 31</t>
        </is>
      </c>
    </row>
    <row r="14">
      <c r="A14" s="7" t="inlineStr">
        <is>
          <t>Segment Information</t>
        </is>
      </c>
      <c r="B14" s="7" t="inlineStr">
        <is>
          <t>分部資料</t>
        </is>
      </c>
      <c r="C14" s="7" t="inlineStr">
        <is>
          <t>medium</t>
        </is>
      </c>
      <c r="D14" s="11" t="inlineStr">
        <is>
          <t>segment information</t>
        </is>
      </c>
      <c r="E14" s="11" t="inlineStr">
        <is>
          <t>PDF p.64 (印刷頁 62)</t>
        </is>
      </c>
      <c r="F14" s="11" t="inlineStr">
        <is>
          <t>GLOBAL X ETF SERIES II NOTES TO THE FINANCIAL STATEMENTS 31 March 2026 15. SEGMENT INFORMATION The Manager makes the strategic resource allocations on behalf of the Sub-Funds and has determined the operating segments based on the reports reviewed which are used to make strategic decisions. The Manager considers that the Sub-Funds have a single operating segment which is investing in crude oil futures for Global X S&amp;P Crude Oil Futures Enhanced ER ETF, in equities for Glo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7" t="inlineStr">
        <is>
          <t>Income Statement</t>
        </is>
      </c>
      <c r="B8" s="7" t="inlineStr">
        <is>
          <t>Revenue</t>
        </is>
      </c>
    </row>
    <row r="9">
      <c r="A9" s="7" t="inlineStr">
        <is>
          <t>Income Statement</t>
        </is>
      </c>
      <c r="B9" s="7" t="inlineStr">
        <is>
          <t>Cost of Sales</t>
        </is>
      </c>
    </row>
    <row r="10">
      <c r="A10" s="7" t="inlineStr">
        <is>
          <t>Income Statement</t>
        </is>
      </c>
      <c r="B10" s="7" t="inlineStr">
        <is>
          <t>Gross Profit</t>
        </is>
      </c>
    </row>
    <row r="11">
      <c r="A11" s="7" t="inlineStr">
        <is>
          <t>Income Statement</t>
        </is>
      </c>
      <c r="B11" s="7" t="inlineStr">
        <is>
          <t>Income Tax</t>
        </is>
      </c>
    </row>
    <row r="12">
      <c r="A12" s="7" t="inlineStr">
        <is>
          <t>Income Statement</t>
        </is>
      </c>
      <c r="B12" s="7" t="inlineStr">
        <is>
          <t>Profit for the Year</t>
        </is>
      </c>
    </row>
    <row r="13">
      <c r="A13" s="7" t="inlineStr">
        <is>
          <t>Income Statement</t>
        </is>
      </c>
      <c r="B13" s="7" t="inlineStr">
        <is>
          <t>R&amp;D Expenses</t>
        </is>
      </c>
    </row>
    <row r="14">
      <c r="A14" s="7" t="inlineStr">
        <is>
          <t>Income Statement</t>
        </is>
      </c>
      <c r="B14" s="7" t="inlineStr">
        <is>
          <t>Depreciation</t>
        </is>
      </c>
    </row>
    <row r="15">
      <c r="A15" s="7" t="inlineStr">
        <is>
          <t>Income Statement</t>
        </is>
      </c>
      <c r="B15" s="7" t="inlineStr">
        <is>
          <t>Amortisation</t>
        </is>
      </c>
    </row>
    <row r="18">
      <c r="A18" s="5" t="inlineStr">
        <is>
          <t>二、文字量過低的頁面(疑似掃描頁)</t>
        </is>
      </c>
    </row>
    <row r="19">
      <c r="A19" s="2" t="inlineStr">
        <is>
          <t>這些頁面幾乎抓不到文字,通常是掃描件或純圖表,建議人手翻閱或另行 OCR。</t>
        </is>
      </c>
    </row>
    <row r="21">
      <c r="A21" s="6" t="inlineStr">
        <is>
          <t>PDF 頁碼</t>
        </is>
      </c>
      <c r="B21" s="6" t="inlineStr">
        <is>
          <t>狀態</t>
        </is>
      </c>
    </row>
    <row r="22">
      <c r="A22" s="7" t="n">
        <v>3</v>
      </c>
      <c r="B22" s="7" t="inlineStr">
        <is>
          <t>文字量過低 — 可能為掃描頁/圖表頁</t>
        </is>
      </c>
    </row>
    <row r="23">
      <c r="A23" s="7" t="n">
        <v>4</v>
      </c>
      <c r="B23" s="7" t="inlineStr">
        <is>
          <t>文字量過低 — 可能為掃描頁/圖表頁</t>
        </is>
      </c>
    </row>
    <row r="24">
      <c r="A24" s="7" t="n">
        <v>5</v>
      </c>
      <c r="B24" s="7" t="inlineStr">
        <is>
          <t>文字量過低 — 可能為掃描頁/圖表頁</t>
        </is>
      </c>
    </row>
    <row r="25">
      <c r="A25" s="7" t="n">
        <v>6</v>
      </c>
      <c r="B25" s="7" t="inlineStr">
        <is>
          <t>文字量過低 — 可能為掃描頁/圖表頁</t>
        </is>
      </c>
    </row>
    <row r="26">
      <c r="A26" s="7" t="n">
        <v>7</v>
      </c>
      <c r="B26" s="7" t="inlineStr">
        <is>
          <t>文字量過低 — 可能為掃描頁/圖表頁</t>
        </is>
      </c>
    </row>
    <row r="27">
      <c r="A27" s="7" t="n">
        <v>8</v>
      </c>
      <c r="B27" s="7" t="inlineStr">
        <is>
          <t>文字量過低 — 可能為掃描頁/圖表頁</t>
        </is>
      </c>
    </row>
    <row r="28">
      <c r="A28" s="7" t="n">
        <v>9</v>
      </c>
      <c r="B28" s="7"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2026-08-30T14:17:06Z</dcterms:created>
  <dcterms:modified xsi:type="dcterms:W3CDTF">2026-08-30T14:17:06Z</dcterms:modified>
</cp:coreProperties>
</file>
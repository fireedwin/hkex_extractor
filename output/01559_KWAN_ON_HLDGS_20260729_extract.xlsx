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5">
    <fill>
      <patternFill/>
    </fill>
    <fill>
      <patternFill patternType="gray125"/>
    </fill>
    <fill>
      <patternFill patternType="solid">
        <fgColor rgb="001F4E5F"/>
      </patternFill>
    </fill>
    <fill>
      <patternFill patternType="solid">
        <fgColor rgb="00FFF2CC"/>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0" fontId="4" fillId="3"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164" fontId="0" fillId="0" borderId="0" pivotButton="0" quotePrefix="0" xfId="0"/>
    <xf numFmtId="0" fontId="4"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style val="10"/>
  <chart>
    <title>
      <tx>
        <rich>
          <a:bodyPr/>
          <a:p>
            <a:pPr>
              <a:defRPr/>
            </a:pPr>
            <a:r>
              <a:t>Key Financials — Prior vs Current</a:t>
            </a:r>
          </a:p>
        </rich>
      </tx>
    </title>
    <plotArea>
      <barChart>
        <barDir val="col"/>
        <grouping val="clustered"/>
        <ser>
          <idx val="0"/>
          <order val="0"/>
          <tx>
            <strRef>
              <f>'Chart 趨勢圖'!B4</f>
            </strRef>
          </tx>
          <spPr>
            <a:ln>
              <a:prstDash val="solid"/>
            </a:ln>
          </spPr>
          <cat>
            <numRef>
              <f>'Chart 趨勢圖'!$A$5:$A$9</f>
            </numRef>
          </cat>
          <val>
            <numRef>
              <f>'Chart 趨勢圖'!$B$5:$B$9</f>
            </numRef>
          </val>
        </ser>
        <ser>
          <idx val="1"/>
          <order val="1"/>
          <tx>
            <strRef>
              <f>'Chart 趨勢圖'!C4</f>
            </strRef>
          </tx>
          <spPr>
            <a:ln>
              <a:prstDash val="solid"/>
            </a:ln>
          </spPr>
          <cat>
            <numRef>
              <f>'Chart 趨勢圖'!$A$5:$A$9</f>
            </numRef>
          </cat>
          <val>
            <numRef>
              <f>'Chart 趨勢圖'!$C$5:$C$9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Amount (as reported)</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3</row>
      <rowOff>0</rowOff>
    </from>
    <ext cx="79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01559_KWAN_ON_HLDGS_20260729.pdf</t>
        </is>
      </c>
    </row>
    <row r="5">
      <c r="A5" s="3" t="inlineStr">
        <is>
          <t>產生時間 Generated</t>
        </is>
      </c>
      <c r="B5" s="4" t="inlineStr">
        <is>
          <t>2026-08-30 22:16</t>
        </is>
      </c>
    </row>
    <row r="6">
      <c r="A6" s="4" t="inlineStr"/>
      <c r="B6" s="4" t="inlineStr"/>
    </row>
    <row r="7">
      <c r="A7" s="3" t="inlineStr">
        <is>
          <t>總頁數 Total pages</t>
        </is>
      </c>
      <c r="B7" s="4" t="n">
        <v>159</v>
      </c>
    </row>
    <row r="8">
      <c r="A8" s="3" t="inlineStr">
        <is>
          <t>已擷取字元 Characters extracted</t>
        </is>
      </c>
      <c r="B8" s="4" t="n">
        <v>308626</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1</v>
      </c>
    </row>
    <row r="13">
      <c r="A13" s="3" t="inlineStr">
        <is>
          <t>財務科目擷取筆數 Financial line items</t>
        </is>
      </c>
      <c r="B13" s="4" t="n">
        <v>13</v>
      </c>
    </row>
    <row r="14">
      <c r="A14" s="3" t="inlineStr">
        <is>
          <t>主題段落擷取筆數 Topic extracts</t>
        </is>
      </c>
      <c r="B14" s="4" t="n">
        <v>56</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收入 − 銷售成本 = 毛利</t>
        </is>
      </c>
      <c r="B19" s="4" t="inlineStr">
        <is>
          <t>286,322 − 264,268 = 22,054 vs 毛利 22,054</t>
        </is>
      </c>
    </row>
    <row r="20">
      <c r="A20" s="6" t="inlineStr">
        <is>
          <t>✓ 除稅前溢利 ± 稅項 = 年內溢利</t>
        </is>
      </c>
      <c r="B20" s="4" t="inlineStr">
        <is>
          <t>-56,101 + 1,963 = -58,064 vs -58,064</t>
        </is>
      </c>
    </row>
    <row r="21">
      <c r="A21" s="6" t="inlineStr">
        <is>
          <t>✓ 三大報表應相鄰</t>
        </is>
      </c>
      <c r="B21" s="4" t="inlineStr">
        <is>
          <t>Income Statement: p.53、Balance Sheet: p.55、Cash Flow: p.59(相距 6 頁)</t>
        </is>
      </c>
    </row>
    <row r="23">
      <c r="A23" s="5" t="inlineStr">
        <is>
          <t>方法論 Methodology</t>
        </is>
      </c>
    </row>
    <row r="24">
      <c r="A24" s="4" t="inlineStr">
        <is>
          <t>1. 逐頁擷取文字,全程保留 PDF 頁碼與年報印刷頁碼(可追溯性)。</t>
        </is>
      </c>
    </row>
    <row r="25">
      <c r="A25" s="4" t="inlineStr">
        <is>
          <t>2. 規則層(正則/關鍵字)先把全份文件縮減為少數相關頁面 —— 解決「文件太大」。</t>
        </is>
      </c>
    </row>
    <row r="26">
      <c r="A26" s="4" t="inlineStr">
        <is>
          <t>3. 數字由正則精確擷取並做合理性檢查,不由語言模型生成 —— 解決「準確度」。</t>
        </is>
      </c>
    </row>
    <row r="27">
      <c r="A27" s="4" t="inlineStr">
        <is>
          <t>4. AI 僅在縮減後的頁面上做語意判斷,且輸出頁碼須通過驗證才保留。</t>
        </is>
      </c>
    </row>
    <row r="28">
      <c r="A28" s="4" t="inlineStr">
        <is>
          <t>5. 所有結果附來源頁碼與原文行,供估值師覆核。信心度為 Low 者建議人手確認。</t>
        </is>
      </c>
    </row>
    <row r="29">
      <c r="A29"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Gross Margin</t>
        </is>
      </c>
      <c r="B5" s="8" t="inlineStr">
        <is>
          <t>毛利率</t>
        </is>
      </c>
      <c r="C5" s="9" t="n">
        <v>3</v>
      </c>
      <c r="D5" s="10" t="n">
        <v>3</v>
      </c>
      <c r="E5" s="11" t="inlineStr">
        <is>
          <t>3.0%</t>
        </is>
      </c>
      <c r="F5" s="12" t="inlineStr">
        <is>
          <t>Low</t>
        </is>
      </c>
      <c r="G5" s="11" t="inlineStr">
        <is>
          <t>PDF p.11 (印刷頁 10)</t>
        </is>
      </c>
      <c r="H5" s="11" t="inlineStr">
        <is>
          <t>ector 189,500 56,246 Mainland China trading sector 58,595 – 286,322 260,880 The gross profit margins by categories of work performed are set out below: Year ended 31 March 2026 2025 Mainland China construction sector 3.0% 1.6% Malaysia construction sector 52.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Income Statement</t>
        </is>
      </c>
      <c r="B5" s="8" t="inlineStr">
        <is>
          <t>Revenue</t>
        </is>
      </c>
      <c r="C5" s="13" t="n">
        <v>286322</v>
      </c>
      <c r="D5" s="14" t="n">
        <v>316272</v>
      </c>
      <c r="E5" s="15">
        <f>IF(ISERROR((C5-D5)/ABS(D5)),"",(C5-D5)/ABS(D5))</f>
        <v>-0.0946969696969697</v>
      </c>
      <c r="F5" s="11" t="inlineStr">
        <is>
          <t>PDF p.53 (印刷頁 52)</t>
        </is>
      </c>
      <c r="G5" s="11" t="inlineStr">
        <is>
          <t>Revenue 6 286,322 316,272</t>
        </is>
      </c>
    </row>
    <row r="6">
      <c r="A6" s="8" t="inlineStr">
        <is>
          <t>Income Statement</t>
        </is>
      </c>
      <c r="B6" s="8" t="inlineStr">
        <is>
          <t>Cost of Sales</t>
        </is>
      </c>
      <c r="C6" s="13" t="n">
        <v>-264268</v>
      </c>
      <c r="D6" s="14" t="n">
        <v>-312488</v>
      </c>
      <c r="E6" s="15">
        <f>IF(ISERROR((C6-D6)/ABS(D6)),"",(C6-D6)/ABS(D6))</f>
        <v>0.15430992550113926</v>
      </c>
      <c r="F6" s="11" t="inlineStr">
        <is>
          <t>PDF p.53 (印刷頁 52)</t>
        </is>
      </c>
      <c r="G6" s="11" t="inlineStr">
        <is>
          <t>Cost of sales and services rendered (264,268) (312,488)</t>
        </is>
      </c>
    </row>
    <row r="7">
      <c r="A7" s="8" t="inlineStr">
        <is>
          <t>Income Statement</t>
        </is>
      </c>
      <c r="B7" s="8" t="inlineStr">
        <is>
          <t>Gross Profit</t>
        </is>
      </c>
      <c r="C7" s="13" t="n">
        <v>22054</v>
      </c>
      <c r="D7" s="14" t="n">
        <v>3784</v>
      </c>
      <c r="E7" s="15">
        <f>IF(ISERROR((C7-D7)/ABS(D7)),"",(C7-D7)/ABS(D7))</f>
        <v>4.828224101479916</v>
      </c>
      <c r="F7" s="11" t="inlineStr">
        <is>
          <t>PDF p.53 (印刷頁 52)</t>
        </is>
      </c>
      <c r="G7" s="11" t="inlineStr">
        <is>
          <t>Gross profit 22,054 3,784</t>
        </is>
      </c>
    </row>
    <row r="8">
      <c r="A8" s="8" t="inlineStr">
        <is>
          <t>Income Statement</t>
        </is>
      </c>
      <c r="B8" s="8" t="inlineStr">
        <is>
          <t>Finance Costs</t>
        </is>
      </c>
      <c r="C8" s="13" t="n">
        <v>-677</v>
      </c>
      <c r="D8" s="14" t="n">
        <v>-286</v>
      </c>
      <c r="E8" s="15">
        <f>IF(ISERROR((C8-D8)/ABS(D8)),"",(C8-D8)/ABS(D8))</f>
        <v>-1.367132867132867</v>
      </c>
      <c r="F8" s="11" t="inlineStr">
        <is>
          <t>PDF p.53 (印刷頁 52)</t>
        </is>
      </c>
      <c r="G8" s="11" t="inlineStr">
        <is>
          <t>Finance costs 7 (677) (286)</t>
        </is>
      </c>
    </row>
    <row r="9">
      <c r="A9" s="8" t="inlineStr">
        <is>
          <t>Income Statement</t>
        </is>
      </c>
      <c r="B9" s="8" t="inlineStr">
        <is>
          <t>Profit Before Tax</t>
        </is>
      </c>
      <c r="C9" s="13" t="n">
        <v>-56101</v>
      </c>
      <c r="D9" s="14" t="n">
        <v>-59295</v>
      </c>
      <c r="E9" s="15">
        <f>IF(ISERROR((C9-D9)/ABS(D9)),"",(C9-D9)/ABS(D9))</f>
        <v>0.05386626191078506</v>
      </c>
      <c r="F9" s="11" t="inlineStr">
        <is>
          <t>PDF p.53 (印刷頁 52)</t>
        </is>
      </c>
      <c r="G9" s="11" t="inlineStr">
        <is>
          <t>Loss before tax (56,101) (59,295)</t>
        </is>
      </c>
    </row>
    <row r="10">
      <c r="A10" s="8" t="inlineStr">
        <is>
          <t>Income Statement</t>
        </is>
      </c>
      <c r="B10" s="8" t="inlineStr">
        <is>
          <t>Income Tax</t>
        </is>
      </c>
      <c r="C10" s="13" t="n">
        <v>-1963</v>
      </c>
      <c r="D10" s="14" t="n">
        <v>-6838</v>
      </c>
      <c r="E10" s="15">
        <f>IF(ISERROR((C10-D10)/ABS(D10)),"",(C10-D10)/ABS(D10))</f>
        <v>0.7129277566539924</v>
      </c>
      <c r="F10" s="11" t="inlineStr">
        <is>
          <t>PDF p.53 (印刷頁 52)</t>
        </is>
      </c>
      <c r="G10" s="11" t="inlineStr">
        <is>
          <t>Income tax expense 8 (1,963) (6,838)</t>
        </is>
      </c>
    </row>
    <row r="11">
      <c r="A11" s="8" t="inlineStr">
        <is>
          <t>Income Statement</t>
        </is>
      </c>
      <c r="B11" s="8" t="inlineStr">
        <is>
          <t>Profit for the Year</t>
        </is>
      </c>
      <c r="C11" s="13" t="n">
        <v>-58064</v>
      </c>
      <c r="D11" s="14" t="n">
        <v>-66133</v>
      </c>
      <c r="E11" s="15">
        <f>IF(ISERROR((C11-D11)/ABS(D11)),"",(C11-D11)/ABS(D11))</f>
        <v>0.12201170368802262</v>
      </c>
      <c r="F11" s="11" t="inlineStr">
        <is>
          <t>PDF p.53 (印刷頁 52)</t>
        </is>
      </c>
      <c r="G11" s="11" t="inlineStr">
        <is>
          <t>Loss for the year from continuing operations 9 (58,064) (66,133)</t>
        </is>
      </c>
    </row>
    <row r="12">
      <c r="A12" s="8" t="inlineStr">
        <is>
          <t>Balance Sheet</t>
        </is>
      </c>
      <c r="B12" s="8" t="inlineStr">
        <is>
          <t>Property Plant and Equipment</t>
        </is>
      </c>
      <c r="C12" s="13" t="n">
        <v>14999</v>
      </c>
      <c r="D12" s="14" t="n">
        <v>23693</v>
      </c>
      <c r="E12" s="15">
        <f>IF(ISERROR((C12-D12)/ABS(D12)),"",(C12-D12)/ABS(D12))</f>
        <v>-0.3669438230701051</v>
      </c>
      <c r="F12" s="11" t="inlineStr">
        <is>
          <t>PDF p.55 (印刷頁 54)</t>
        </is>
      </c>
      <c r="G12" s="11" t="inlineStr">
        <is>
          <t>Property, plant and equipment 14 14,999 23,693</t>
        </is>
      </c>
    </row>
    <row r="13">
      <c r="A13" s="8" t="inlineStr">
        <is>
          <t>Balance Sheet</t>
        </is>
      </c>
      <c r="B13" s="8" t="inlineStr">
        <is>
          <t>Trade Receivables</t>
        </is>
      </c>
      <c r="C13" s="13" t="n">
        <v>48912</v>
      </c>
      <c r="D13" s="14" t="n">
        <v>92092</v>
      </c>
      <c r="E13" s="15">
        <f>IF(ISERROR((C13-D13)/ABS(D13)),"",(C13-D13)/ABS(D13))</f>
        <v>-0.4688789471398167</v>
      </c>
      <c r="F13" s="11" t="inlineStr">
        <is>
          <t>PDF p.55 (印刷頁 54)</t>
        </is>
      </c>
      <c r="G13" s="11" t="inlineStr">
        <is>
          <t>Trade and other receivables 17 48,912 92,092</t>
        </is>
      </c>
    </row>
    <row r="14">
      <c r="A14" s="8" t="inlineStr">
        <is>
          <t>Balance Sheet</t>
        </is>
      </c>
      <c r="B14" s="8" t="inlineStr">
        <is>
          <t>Cash and Equivalents</t>
        </is>
      </c>
      <c r="C14" s="13" t="n">
        <v>25731</v>
      </c>
      <c r="D14" s="14" t="n">
        <v>14487</v>
      </c>
      <c r="E14" s="15">
        <f>IF(ISERROR((C14-D14)/ABS(D14)),"",(C14-D14)/ABS(D14))</f>
        <v>0.7761441292193001</v>
      </c>
      <c r="F14" s="11" t="inlineStr">
        <is>
          <t>PDF p.55 (印刷頁 54)</t>
        </is>
      </c>
      <c r="G14" s="11" t="inlineStr">
        <is>
          <t>Cash and cash equivalents 20 25,731 14,487</t>
        </is>
      </c>
    </row>
    <row r="15">
      <c r="A15" s="8" t="inlineStr">
        <is>
          <t>Balance Sheet</t>
        </is>
      </c>
      <c r="B15" s="8" t="inlineStr">
        <is>
          <t>Borrowings</t>
        </is>
      </c>
      <c r="C15" s="13" t="n">
        <v>7104</v>
      </c>
      <c r="D15" s="14" t="n">
        <v>7652</v>
      </c>
      <c r="E15" s="15">
        <f>IF(ISERROR((C15-D15)/ABS(D15)),"",(C15-D15)/ABS(D15))</f>
        <v>-0.07161526398327235</v>
      </c>
      <c r="F15" s="11" t="inlineStr">
        <is>
          <t>PDF p.55 (印刷頁 54)</t>
        </is>
      </c>
      <c r="G15" s="11" t="inlineStr">
        <is>
          <t>Bank borrowings 22 7,104 7,652</t>
        </is>
      </c>
    </row>
    <row r="16">
      <c r="A16" s="8" t="inlineStr">
        <is>
          <t>Balance Sheet</t>
        </is>
      </c>
      <c r="B16" s="8" t="inlineStr">
        <is>
          <t>Total Equity</t>
        </is>
      </c>
      <c r="C16" s="13" t="n">
        <v>51005</v>
      </c>
      <c r="D16" s="14" t="n">
        <v>43069</v>
      </c>
      <c r="E16" s="15">
        <f>IF(ISERROR((C16-D16)/ABS(D16)),"",(C16-D16)/ABS(D16))</f>
        <v>0.18426246256007803</v>
      </c>
      <c r="F16" s="11" t="inlineStr">
        <is>
          <t>PDF p.56 (印刷頁 55)</t>
        </is>
      </c>
      <c r="G16" s="11" t="inlineStr">
        <is>
          <t>TOTAL EQUITY 51,005 43,069</t>
        </is>
      </c>
    </row>
    <row r="17">
      <c r="A17" s="8" t="inlineStr">
        <is>
          <t>Balance Sheet</t>
        </is>
      </c>
      <c r="B17" s="8" t="inlineStr">
        <is>
          <t>Total Current Liabilities</t>
        </is>
      </c>
      <c r="C17" s="13" t="n">
        <v>72138</v>
      </c>
      <c r="D17" s="14" t="n">
        <v>152709</v>
      </c>
      <c r="E17" s="15">
        <f>IF(ISERROR((C17-D17)/ABS(D17)),"",(C17-D17)/ABS(D17))</f>
        <v>-0.5276113392137988</v>
      </c>
      <c r="F17" s="11" t="inlineStr">
        <is>
          <t>PDF p.55 (印刷頁 54)</t>
        </is>
      </c>
      <c r="G17" s="11" t="inlineStr">
        <is>
          <t>[current liabilities 區段小計] 72,138 152,709</t>
        </is>
      </c>
    </row>
    <row r="19">
      <c r="A19"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6">
        <f>IF(ISERROR(INDEX('Financials 財務數據'!$C$5:$C$17,MATCH("Gross Profit",'Financials 財務數據'!$B$5:$B$17,0))/INDEX('Financials 財務數據'!$C$5:$C$17,MATCH("Revenue",'Financials 財務數據'!$B$5:$B$17,0))),"n/a",INDEX('Financials 財務數據'!$C$5:$C$17,MATCH("Gross Profit",'Financials 財務數據'!$B$5:$B$17,0))/INDEX('Financials 財務數據'!$C$5:$C$17,MATCH("Revenue",'Financials 財務數據'!$B$5:$B$17,0)))</f>
        <v>0.07702516746879387</v>
      </c>
      <c r="C5" s="16">
        <f>IF(ISERROR(INDEX('Financials 財務數據'!$D$5:$D$17,MATCH("Gross Profit",'Financials 財務數據'!$B$5:$B$17,0))/INDEX('Financials 財務數據'!$D$5:$D$17,MATCH("Revenue",'Financials 財務數據'!$B$5:$B$17,0))),"n/a",INDEX('Financials 財務數據'!$D$5:$D$17,MATCH("Gross Profit",'Financials 財務數據'!$B$5:$B$17,0))/INDEX('Financials 財務數據'!$D$5:$D$17,MATCH("Revenue",'Financials 財務數據'!$B$5:$B$17,0)))</f>
        <v>0.011964385086254869</v>
      </c>
      <c r="D5" s="2" t="inlineStr">
        <is>
          <t>毛利 ÷ 收入</t>
        </is>
      </c>
    </row>
    <row r="6">
      <c r="A6" s="4" t="inlineStr">
        <is>
          <t>Net Margin 淨利率</t>
        </is>
      </c>
      <c r="B6" s="16">
        <f>IF(ISERROR(INDEX('Financials 財務數據'!$C$5:$C$17,MATCH("Profit for the Year",'Financials 財務數據'!$B$5:$B$17,0))/INDEX('Financials 財務數據'!$C$5:$C$17,MATCH("Revenue",'Financials 財務數據'!$B$5:$B$17,0))),"n/a",INDEX('Financials 財務數據'!$C$5:$C$17,MATCH("Profit for the Year",'Financials 財務數據'!$B$5:$B$17,0))/INDEX('Financials 財務數據'!$C$5:$C$17,MATCH("Revenue",'Financials 財務數據'!$B$5:$B$17,0)))</f>
        <v>-0.20279266001215415</v>
      </c>
      <c r="C6" s="16">
        <f>IF(ISERROR(INDEX('Financials 財務數據'!$D$5:$D$17,MATCH("Profit for the Year",'Financials 財務數據'!$B$5:$B$17,0))/INDEX('Financials 財務數據'!$D$5:$D$17,MATCH("Revenue",'Financials 財務數據'!$B$5:$B$17,0))),"n/a",INDEX('Financials 財務數據'!$D$5:$D$17,MATCH("Profit for the Year",'Financials 財務數據'!$B$5:$B$17,0))/INDEX('Financials 財務數據'!$D$5:$D$17,MATCH("Revenue",'Financials 財務數據'!$B$5:$B$17,0)))</f>
        <v>-0.20910165933120858</v>
      </c>
      <c r="D6" s="2" t="inlineStr">
        <is>
          <t>年內溢利 ÷ 收入</t>
        </is>
      </c>
    </row>
    <row r="7">
      <c r="A7" s="4" t="inlineStr">
        <is>
          <t>Current Ratio 流動比率</t>
        </is>
      </c>
      <c r="B7" s="17" t="str">
        <f>IF(ISERROR(INDEX('Financials 財務數據'!$C$5:$C$17,MATCH("Total Current Assets",'Financials 財務數據'!$B$5:$B$17,0))/INDEX('Financials 財務數據'!$C$5:$C$17,MATCH("Total Current Liabilities",'Financials 財務數據'!$B$5:$B$17,0))),"n/a",INDEX('Financials 財務數據'!$C$5:$C$17,MATCH("Total Current Assets",'Financials 財務數據'!$B$5:$B$17,0))/INDEX('Financials 財務數據'!$C$5:$C$17,MATCH("Total Current Liabilities",'Financials 財務數據'!$B$5:$B$17,0)))</f>
        <v>n/a</v>
      </c>
      <c r="C7" s="17" t="str">
        <f>IF(ISERROR(INDEX('Financials 財務數據'!$D$5:$D$17,MATCH("Total Current Assets",'Financials 財務數據'!$B$5:$B$17,0))/INDEX('Financials 財務數據'!$D$5:$D$17,MATCH("Total Current Liabilities",'Financials 財務數據'!$B$5:$B$17,0))),"n/a",INDEX('Financials 財務數據'!$D$5:$D$17,MATCH("Total Current Assets",'Financials 財務數據'!$B$5:$B$17,0))/INDEX('Financials 財務數據'!$D$5:$D$17,MATCH("Total Current Liabilities",'Financials 財務數據'!$B$5:$B$17,0)))</f>
        <v>n/a</v>
      </c>
      <c r="D7" s="2" t="inlineStr">
        <is>
          <t>流動資產 ÷ 流動負債</t>
        </is>
      </c>
    </row>
    <row r="8">
      <c r="A8" s="4" t="inlineStr">
        <is>
          <t>Debt / Equity 負債權益比</t>
        </is>
      </c>
      <c r="B8" s="17" t="str">
        <f>IF(ISERROR(INDEX('Financials 財務數據'!$C$5:$C$17,MATCH("Total Liabilities",'Financials 財務數據'!$B$5:$B$17,0))/INDEX('Financials 財務數據'!$C$5:$C$17,MATCH("Total Equity",'Financials 財務數據'!$B$5:$B$17,0))),"n/a",INDEX('Financials 財務數據'!$C$5:$C$17,MATCH("Total Liabilities",'Financials 財務數據'!$B$5:$B$17,0))/INDEX('Financials 財務數據'!$C$5:$C$17,MATCH("Total Equity",'Financials 財務數據'!$B$5:$B$17,0)))</f>
        <v>n/a</v>
      </c>
      <c r="C8" s="17" t="str">
        <f>IF(ISERROR(INDEX('Financials 財務數據'!$D$5:$D$17,MATCH("Total Liabilities",'Financials 財務數據'!$B$5:$B$17,0))/INDEX('Financials 財務數據'!$D$5:$D$17,MATCH("Total Equity",'Financials 財務數據'!$B$5:$B$17,0))),"n/a",INDEX('Financials 財務數據'!$D$5:$D$17,MATCH("Total Liabilities",'Financials 財務數據'!$B$5:$B$17,0))/INDEX('Financials 財務數據'!$D$5:$D$17,MATCH("Total Equity",'Financials 財務數據'!$B$5:$B$17,0)))</f>
        <v>n/a</v>
      </c>
      <c r="D8" s="2" t="inlineStr">
        <is>
          <t>總負債 ÷ 總權益</t>
        </is>
      </c>
    </row>
    <row r="9">
      <c r="A9" s="4" t="inlineStr">
        <is>
          <t>Goodwill / Total Assets</t>
        </is>
      </c>
      <c r="B9" s="16" t="str">
        <f>IF(ISERROR(INDEX('Financials 財務數據'!$C$5:$C$17,MATCH("Goodwill",'Financials 財務數據'!$B$5:$B$17,0))/INDEX('Financials 財務數據'!$C$5:$C$17,MATCH("Total Assets",'Financials 財務數據'!$B$5:$B$17,0))),"n/a",INDEX('Financials 財務數據'!$C$5:$C$17,MATCH("Goodwill",'Financials 財務數據'!$B$5:$B$17,0))/INDEX('Financials 財務數據'!$C$5:$C$17,MATCH("Total Assets",'Financials 財務數據'!$B$5:$B$17,0)))</f>
        <v>n/a</v>
      </c>
      <c r="C9" s="16" t="str">
        <f>IF(ISERROR(INDEX('Financials 財務數據'!$D$5:$D$17,MATCH("Goodwill",'Financials 財務數據'!$B$5:$B$17,0))/INDEX('Financials 財務數據'!$D$5:$D$17,MATCH("Total Assets",'Financials 財務數據'!$B$5:$B$17,0))),"n/a",INDEX('Financials 財務數據'!$D$5:$D$17,MATCH("Goodwill",'Financials 財務數據'!$B$5:$B$17,0))/INDEX('Financials 財務數據'!$D$5:$D$17,MATCH("Total Assets",'Financials 財務數據'!$B$5:$B$17,0)))</f>
        <v>n/a</v>
      </c>
      <c r="D9" s="2" t="inlineStr">
        <is>
          <t>商譽佔總資產比重 — 減值風險指標</t>
        </is>
      </c>
    </row>
    <row r="10">
      <c r="A10" s="4" t="inlineStr">
        <is>
          <t>Intangibles / Total Assets</t>
        </is>
      </c>
      <c r="B10" s="16" t="str">
        <f>IF(ISERROR(INDEX('Financials 財務數據'!$C$5:$C$17,MATCH("Intangible Assets",'Financials 財務數據'!$B$5:$B$17,0))/INDEX('Financials 財務數據'!$C$5:$C$17,MATCH("Total Assets",'Financials 財務數據'!$B$5:$B$17,0))),"n/a",INDEX('Financials 財務數據'!$C$5:$C$17,MATCH("Intangible Assets",'Financials 財務數據'!$B$5:$B$17,0))/INDEX('Financials 財務數據'!$C$5:$C$17,MATCH("Total Assets",'Financials 財務數據'!$B$5:$B$17,0)))</f>
        <v>n/a</v>
      </c>
      <c r="C10" s="16" t="str">
        <f>IF(ISERROR(INDEX('Financials 財務數據'!$D$5:$D$17,MATCH("Intangible Assets",'Financials 財務數據'!$B$5:$B$17,0))/INDEX('Financials 財務數據'!$D$5:$D$17,MATCH("Total Assets",'Financials 財務數據'!$B$5:$B$17,0))),"n/a",INDEX('Financials 財務數據'!$D$5:$D$17,MATCH("Intangible Assets",'Financials 財務數據'!$B$5:$B$17,0))/INDEX('Financials 財務數據'!$D$5:$D$17,MATCH("Total Assets",'Financials 財務數據'!$B$5:$B$17,0)))</f>
        <v>n/a</v>
      </c>
      <c r="D10" s="2" t="inlineStr">
        <is>
          <t>無形資產佔比</t>
        </is>
      </c>
    </row>
    <row r="11">
      <c r="A11" s="4" t="inlineStr">
        <is>
          <t>ROE 股本回報率</t>
        </is>
      </c>
      <c r="B11" s="16">
        <f>IF(ISERROR(INDEX('Financials 財務數據'!$C$5:$C$17,MATCH("Profit for the Year",'Financials 財務數據'!$B$5:$B$17,0))/INDEX('Financials 財務數據'!$C$5:$C$17,MATCH("Total Equity",'Financials 財務數據'!$B$5:$B$17,0))),"n/a",INDEX('Financials 財務數據'!$C$5:$C$17,MATCH("Profit for the Year",'Financials 財務數據'!$B$5:$B$17,0))/INDEX('Financials 財務數據'!$C$5:$C$17,MATCH("Total Equity",'Financials 財務數據'!$B$5:$B$17,0)))</f>
        <v>-1.1383981962552692</v>
      </c>
      <c r="C11" s="16">
        <f>IF(ISERROR(INDEX('Financials 財務數據'!$D$5:$D$17,MATCH("Profit for the Year",'Financials 財務數據'!$B$5:$B$17,0))/INDEX('Financials 財務數據'!$D$5:$D$17,MATCH("Total Equity",'Financials 財務數據'!$B$5:$B$17,0))),"n/a",INDEX('Financials 財務數據'!$D$5:$D$17,MATCH("Profit for the Year",'Financials 財務數據'!$B$5:$B$17,0))/INDEX('Financials 財務數據'!$D$5:$D$17,MATCH("Total Equity",'Financials 財務數據'!$B$5:$B$17,0)))</f>
        <v>-1.5355127818152268</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8" t="inlineStr">
        <is>
          <t>Item</t>
        </is>
      </c>
      <c r="B4" s="18" t="inlineStr">
        <is>
          <t>Prior</t>
        </is>
      </c>
      <c r="C4" s="18" t="inlineStr">
        <is>
          <t>Current</t>
        </is>
      </c>
    </row>
    <row r="5">
      <c r="A5" s="4" t="inlineStr">
        <is>
          <t>Revenue</t>
        </is>
      </c>
      <c r="B5" s="19" t="n">
        <v>316272</v>
      </c>
      <c r="C5" s="19" t="n">
        <v>286322</v>
      </c>
    </row>
    <row r="6">
      <c r="A6" s="4" t="inlineStr">
        <is>
          <t>Gross Profit</t>
        </is>
      </c>
      <c r="B6" s="19" t="n">
        <v>3784</v>
      </c>
      <c r="C6" s="19" t="n">
        <v>22054</v>
      </c>
    </row>
    <row r="7">
      <c r="A7" s="4" t="inlineStr">
        <is>
          <t>Profit Before Tax</t>
        </is>
      </c>
      <c r="B7" s="19" t="n">
        <v>-59295</v>
      </c>
      <c r="C7" s="19" t="n">
        <v>-56101</v>
      </c>
    </row>
    <row r="8">
      <c r="A8" s="4" t="inlineStr">
        <is>
          <t>Profit for the Year</t>
        </is>
      </c>
      <c r="B8" s="19" t="n">
        <v>-66133</v>
      </c>
      <c r="C8" s="19" t="n">
        <v>-58064</v>
      </c>
    </row>
    <row r="9">
      <c r="A9" s="4" t="inlineStr">
        <is>
          <t>Total Equity</t>
        </is>
      </c>
      <c r="B9" s="19" t="n">
        <v>43069</v>
      </c>
      <c r="C9" s="19" t="n">
        <v>51005</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59"/>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20" t="inlineStr">
        <is>
          <t>high</t>
        </is>
      </c>
      <c r="D4" s="11" t="inlineStr">
        <is>
          <t>unobservable input</t>
        </is>
      </c>
      <c r="E4" s="11" t="inlineStr">
        <is>
          <t>PDF p.49 (印刷頁 48)</t>
        </is>
      </c>
      <c r="F4" s="11" t="inlineStr">
        <is>
          <t>rstanding and challenging the Valuer’s valuer (the “Valuer”). valuation methodology, significant assumptions adopted and significant unobservable inputs used in the valuation; • testing the mathematical accuracy of the calculation of expected credit losses, on a sample basis; and • evaluating the disclosures regarding the impairment of trade and other receivables and contract assets in the respective notes to the consolidated financial statements. 48 Kwan On Holdings Limited . Annual Report 2026</t>
        </is>
      </c>
    </row>
    <row r="5">
      <c r="A5" s="8" t="inlineStr">
        <is>
          <t>Fair Value Measurement</t>
        </is>
      </c>
      <c r="B5" s="8" t="inlineStr">
        <is>
          <t>公允價值計量</t>
        </is>
      </c>
      <c r="C5" s="20" t="inlineStr">
        <is>
          <t>high</t>
        </is>
      </c>
      <c r="D5" s="11" t="inlineStr">
        <is>
          <t>valuation technique</t>
        </is>
      </c>
      <c r="E5" s="11" t="inlineStr">
        <is>
          <t>PDF p.63 (印刷頁 62)</t>
        </is>
      </c>
      <c r="F5" s="11" t="inlineStr">
        <is>
          <t>er current market conditions (i.e. an exit price) regardless of whether that price is directly observable or estimated using another valuation technique. The principal accounting policies are set out below. Basis of consolidation The consolidated financial statements incorporate the financial statements of the Company and entities controlled by the Company (i.e. its subsidiaries). Control is achieved where the Group has: (i) the power over the investee; (ii) exposure, or rights, to variable returns from its involvement with the</t>
        </is>
      </c>
    </row>
    <row r="6">
      <c r="A6" s="8" t="inlineStr">
        <is>
          <t>Fair Value Measurement</t>
        </is>
      </c>
      <c r="B6" s="8" t="inlineStr">
        <is>
          <t>公允價值計量</t>
        </is>
      </c>
      <c r="C6" s="20" t="inlineStr">
        <is>
          <t>high</t>
        </is>
      </c>
      <c r="D6" s="11" t="inlineStr">
        <is>
          <t>fair value hierarchy</t>
        </is>
      </c>
      <c r="E6" s="11" t="inlineStr">
        <is>
          <t>PDF p.84 (印刷頁 83)</t>
        </is>
      </c>
      <c r="F6" s="11" t="inlineStr">
        <is>
          <t>e measurement is unobservable. At the end of the reporting period, the Group determines whether transfer occur between levels of the fair value hierarchy for assets and liabilities which are measured at fair value on recurring basis by reviewing their respective fair value measurement. Borrowing costs Borrowing costs that are directly attributable to the acquisition, construction or production of an asset which necessarily takes a substantial period of time to get ready for its intended use or sale are capitalised as part of th</t>
        </is>
      </c>
    </row>
    <row r="7">
      <c r="A7" s="8" t="inlineStr">
        <is>
          <t>Fair Value Measurement</t>
        </is>
      </c>
      <c r="B7" s="8" t="inlineStr">
        <is>
          <t>公允價值計量</t>
        </is>
      </c>
      <c r="C7" s="20" t="inlineStr">
        <is>
          <t>high</t>
        </is>
      </c>
      <c r="D7" s="11" t="inlineStr">
        <is>
          <t>fair value hierarchy</t>
        </is>
      </c>
      <c r="E7" s="11" t="inlineStr">
        <is>
          <t>PDF p.111 (印刷頁 110)</t>
        </is>
      </c>
      <c r="F7" s="11" t="inlineStr">
        <is>
          <t>HK$10,095 (2025: HK$16,224). The fair value less cost to sell of the leasehold land and building is categorised into level 3 of the fair value hierarchy as defined in HKFRS 13, Fair value measurement. During the years ended 31 March 2025 and 2026, there was no transfer between Level 1 and Level 2, or transfer into or out of Level 3. As a result, an impairment loss of HK$7,880,000 (2025: HK$539,000) was recognised in profit or loss for the year ended 31 March 2026. 110 Kwan On Holdings Limited . Annual Report 2026</t>
        </is>
      </c>
    </row>
    <row r="8">
      <c r="A8" s="8" t="inlineStr">
        <is>
          <t>Fair Value Measurement</t>
        </is>
      </c>
      <c r="B8" s="8" t="inlineStr">
        <is>
          <t>公允價值計量</t>
        </is>
      </c>
      <c r="C8" s="20" t="inlineStr">
        <is>
          <t>high</t>
        </is>
      </c>
      <c r="D8" s="11" t="inlineStr">
        <is>
          <t>fair value hierarchy</t>
        </is>
      </c>
      <c r="E8" s="11" t="inlineStr">
        <is>
          <t>PDF p.146 (印刷頁 145)</t>
        </is>
      </c>
      <c r="F8" s="11" t="inlineStr">
        <is>
          <t>the Group’s financial instruments measured at the end of the reporting period on a recurring basis, categorised into the three-level fair value hierarchy as defined in HKFRS 13, “Fair Value Measurement”. The level into which a fair value measurement is classified is determined with reference to the observability and significance of the inputs used in the valuation technique as follows: – Level 1 valuations: fair values measured using Level 1 inputs, i.e. unadjusted quoted prices in active markets for identical assets and liabil</t>
        </is>
      </c>
    </row>
    <row r="9">
      <c r="A9" s="8" t="inlineStr">
        <is>
          <t>Impairment Testing</t>
        </is>
      </c>
      <c r="B9" s="8" t="inlineStr">
        <is>
          <t>減值測試</t>
        </is>
      </c>
      <c r="C9" s="20" t="inlineStr">
        <is>
          <t>high</t>
        </is>
      </c>
      <c r="D9" s="11" t="inlineStr">
        <is>
          <t>impairment loss</t>
        </is>
      </c>
      <c r="E9" s="11" t="inlineStr">
        <is>
          <t>PDF p.12 (印刷頁 11)</t>
        </is>
      </c>
      <c r="F9" s="11" t="inlineStr">
        <is>
          <t>5.4 million) and a gross profit of approximately HK$0.74 million (Previous Year: gross profit of approximately HK$0.06 million). Net impairment losses on financial and contract assets Net impairment loss on financial and contract assets for the Reporting Year amounted to approximately HK$53.1 million (Previous Year: HK$40.4 million). The increase in the provision was primarily driven by a reassessment of the credit risk profile of outstanding receivables, taking into account historical default rates, prevailing credit condition</t>
        </is>
      </c>
    </row>
    <row r="10">
      <c r="A10" s="8" t="inlineStr">
        <is>
          <t>Impairment Testing</t>
        </is>
      </c>
      <c r="B10" s="8" t="inlineStr">
        <is>
          <t>減值測試</t>
        </is>
      </c>
      <c r="C10" s="20" t="inlineStr">
        <is>
          <t>high</t>
        </is>
      </c>
      <c r="D10" s="11" t="inlineStr">
        <is>
          <t>impairment loss</t>
        </is>
      </c>
      <c r="E10" s="11" t="inlineStr">
        <is>
          <t>PDF p.53 (印刷頁 52)</t>
        </is>
      </c>
      <c r="F10" s="11" t="inlineStr">
        <is>
          <t>ontinuing operations Revenue 6 286,322 316,272 Cost of sales and services rendered (264,268) (312,488) Gross profit 22,054 3,784 Net impairment losses on financial and contract assets 30(a) (53,125) (40,423) Impairment loss for property, plant and equipment 14 (8,178) (539) Gain on disposal of a subsidiary 27 177 4,459 Other income 6 85 5 Other (losses)/gains, net 6 (747) 149 Administrative expenses (15,690) (26,444) Finance costs 7 (677) (286) Loss before tax (56,101) (59,295) Income tax expense 8 (1,963) (6,838) Loss for the</t>
        </is>
      </c>
    </row>
    <row r="11">
      <c r="A11" s="8" t="inlineStr">
        <is>
          <t>Impairment Testing</t>
        </is>
      </c>
      <c r="B11" s="8" t="inlineStr">
        <is>
          <t>減值測試</t>
        </is>
      </c>
      <c r="C11" s="20" t="inlineStr">
        <is>
          <t>high</t>
        </is>
      </c>
      <c r="D11" s="11" t="inlineStr">
        <is>
          <t>impairment loss</t>
        </is>
      </c>
      <c r="E11" s="11" t="inlineStr">
        <is>
          <t>PDF p.59 (印刷頁 58)</t>
        </is>
      </c>
      <c r="F11" s="11" t="inlineStr">
        <is>
          <t>epreciation of property, plant and equipment 9 862 3,440 Depreciation of right-of-use assets 9 9 2,707 Finance costs 7 677 5,335 Net impairment losses on financial and contract assets 53,125 40,525 Impairment loss for property, plant and equipment 8,178 539 Impairment loss for right-of-use assets – 3,358 Provision for litigations – 2,800 Write-off of receivables 682 – Write back of payables – (1,488) Interest income 6 (85) (384) Loss/(gain) on disposals of property, plant and equipment 6 58 (418) Gain on disposal of a subsidiar</t>
        </is>
      </c>
    </row>
    <row r="12">
      <c r="A12" s="8" t="inlineStr">
        <is>
          <t>Impairment Testing</t>
        </is>
      </c>
      <c r="B12" s="8" t="inlineStr">
        <is>
          <t>減值測試</t>
        </is>
      </c>
      <c r="C12" s="20" t="inlineStr">
        <is>
          <t>high</t>
        </is>
      </c>
      <c r="D12" s="11" t="inlineStr">
        <is>
          <t>impairment loss</t>
        </is>
      </c>
      <c r="E12" s="11" t="inlineStr">
        <is>
          <t>PDF p.67 (印刷頁 66)</t>
        </is>
      </c>
      <c r="F12" s="11" t="inlineStr">
        <is>
          <t>ated in the consolidated statement of financial position at cost less subsequent accumulated depreciation and subsequent accumulated impairment losses, if any. When the Group makes payments for ownership interests of properties which include both leasehold land and building elements, the entire consideration is allocated between the leasehold land and the building elements in proportion to the relative fair values at initial recognition. To the extent the allocation of the relevant payments can be made reliably, interest in lea</t>
        </is>
      </c>
    </row>
    <row r="13">
      <c r="A13" s="8" t="inlineStr">
        <is>
          <t>Impairment Testing</t>
        </is>
      </c>
      <c r="B13" s="8" t="inlineStr">
        <is>
          <t>減值測試</t>
        </is>
      </c>
      <c r="C13" s="20" t="inlineStr">
        <is>
          <t>high</t>
        </is>
      </c>
      <c r="D13" s="11" t="inlineStr">
        <is>
          <t>impairment loss</t>
        </is>
      </c>
      <c r="E13" s="11" t="inlineStr">
        <is>
          <t>PDF p.68 (印刷頁 67)</t>
        </is>
      </c>
      <c r="F13" s="11" t="inlineStr">
        <is>
          <t>roperty, plant and equipment and right-of-use assets to determine whether there is any indication that these assets have suffered an impairment loss. If any such indication exists, the recoverable amount of the relevant asset is estimated in order to determine the extent of the impairment loss, if any. The recoverable amounts of property, plant and equipment and right-of-use assets are estimated individually. When it is not possible to estimate the recoverable amount individually, the Group estimates the recoverable amount of t</t>
        </is>
      </c>
    </row>
    <row r="14">
      <c r="A14" s="8" t="inlineStr">
        <is>
          <t>Impairment Testing</t>
        </is>
      </c>
      <c r="B14" s="8" t="inlineStr">
        <is>
          <t>減值測試</t>
        </is>
      </c>
      <c r="C14" s="20" t="inlineStr">
        <is>
          <t>high</t>
        </is>
      </c>
      <c r="D14" s="11" t="inlineStr">
        <is>
          <t>impairment loss</t>
        </is>
      </c>
      <c r="E14" s="11" t="inlineStr">
        <is>
          <t>PDF p.69 (印刷頁 68)</t>
        </is>
      </c>
      <c r="F14" s="11" t="inlineStr">
        <is>
          <t>located to that group of cash-generating units, with the recoverable amount of the group of cash-generating units. In allocating the impairment loss, the impairment loss is allocated first to reduce the carrying amount of any goodwill (if applicable) and then to the other assets on a pro-rata basis based on the carrying amount of each asset in the unit or the group of cash-generating units. The carrying amount of an asset is not reduced below the highest of its fair value less costs of disposal (if measurable), its value in use</t>
        </is>
      </c>
    </row>
    <row r="15">
      <c r="A15" s="8" t="inlineStr">
        <is>
          <t>Impairment Testing</t>
        </is>
      </c>
      <c r="B15" s="8" t="inlineStr">
        <is>
          <t>減值測試</t>
        </is>
      </c>
      <c r="C15" s="20" t="inlineStr">
        <is>
          <t>high</t>
        </is>
      </c>
      <c r="D15" s="11" t="inlineStr">
        <is>
          <t>impairment loss</t>
        </is>
      </c>
      <c r="E15" s="11" t="inlineStr">
        <is>
          <t>PDF p.71 (印刷頁 70)</t>
        </is>
      </c>
      <c r="F15" s="11" t="inlineStr">
        <is>
          <t>onsolidated statement of financial position. Right-of-use assets are subsequently measured at cost less accumulated depreciation and impairment losses and adjusted for any remeasurement of lease liabilities. They are depreciated over the shorter period of lease terms and useful lives of the underlying assets. The depreciation starts at the commencement date of the lease. The Group applies HKAS 36 to determine whether a right-of-use asset is impaired and accounts for any identified impairment loss. 70 Kwan On Holdings Limited .</t>
        </is>
      </c>
    </row>
    <row r="16">
      <c r="A16" s="8" t="inlineStr">
        <is>
          <t>Impairment Testing</t>
        </is>
      </c>
      <c r="B16" s="8" t="inlineStr">
        <is>
          <t>減值測試</t>
        </is>
      </c>
      <c r="C16" s="20" t="inlineStr">
        <is>
          <t>high</t>
        </is>
      </c>
      <c r="D16" s="11" t="inlineStr">
        <is>
          <t>impairment loss</t>
        </is>
      </c>
      <c r="E16" s="11" t="inlineStr">
        <is>
          <t>PDF p.75 (印刷頁 74)</t>
        </is>
      </c>
      <c r="F16" s="11" t="inlineStr">
        <is>
          <t>n subsidiaries Investments in subsidiaries are stated on the statement of financial position of the Company at cost less accumulated impairment loss, if any. 74 Kwan On Holdings Limited . Annual Report 2026</t>
        </is>
      </c>
    </row>
    <row r="17">
      <c r="A17" s="8" t="inlineStr">
        <is>
          <t>Impairment Testing</t>
        </is>
      </c>
      <c r="B17" s="8" t="inlineStr">
        <is>
          <t>減值測試</t>
        </is>
      </c>
      <c r="C17" s="20" t="inlineStr">
        <is>
          <t>high</t>
        </is>
      </c>
      <c r="D17" s="11" t="inlineStr">
        <is>
          <t>value in use</t>
        </is>
      </c>
      <c r="E17" s="11" t="inlineStr">
        <is>
          <t>PDF p.84 (印刷頁 83)</t>
        </is>
      </c>
      <c r="F17" s="11" t="inlineStr">
        <is>
          <t>ED) Fair value measurement When measuring fair value, except for the Group’s share-based payment transactions, leasing transactions, value in use of property, plant and equipment and right-of-use asset for the purpose of impairment assessment, the Group takes into account the characteristics of the asset or liability if market participants would take those characteristics into account when pricing the asset or liability at the measurement date. The Group uses valuation techniques that are appropriate in the circumstances and fo</t>
        </is>
      </c>
    </row>
    <row r="18">
      <c r="A18" s="8" t="inlineStr">
        <is>
          <t>Impairment Testing</t>
        </is>
      </c>
      <c r="B18" s="8" t="inlineStr">
        <is>
          <t>減值測試</t>
        </is>
      </c>
      <c r="C18" s="20" t="inlineStr">
        <is>
          <t>high</t>
        </is>
      </c>
      <c r="D18" s="11" t="inlineStr">
        <is>
          <t>impairment loss</t>
        </is>
      </c>
      <c r="E18" s="11" t="inlineStr">
        <is>
          <t>PDF p.85 (印刷頁 84)</t>
        </is>
      </c>
      <c r="F18" s="11" t="inlineStr">
        <is>
          <t>ocation of other costs that relate directly to fulfilling that contract. Before a provision is established, the Group recognises any impairment loss on the assets associated with that contract. Related parties (a) A person, or a close member of that person’s family, is related to the Group if that person: (i) has control or joint control over the Group; (ii) has significant influence over the Group; or (iii) is a member of the key management personnel of the Group or the Group’s parent. (b) An entity is related to the Group if</t>
        </is>
      </c>
    </row>
    <row r="19">
      <c r="A19" s="8" t="inlineStr">
        <is>
          <t>Impairment Testing</t>
        </is>
      </c>
      <c r="B19" s="8" t="inlineStr">
        <is>
          <t>減值測試</t>
        </is>
      </c>
      <c r="C19" s="20" t="inlineStr">
        <is>
          <t>high</t>
        </is>
      </c>
      <c r="D19" s="11" t="inlineStr">
        <is>
          <t>impairment loss</t>
        </is>
      </c>
      <c r="E19" s="11" t="inlineStr">
        <is>
          <t>PDF p.89 (印刷頁 88)</t>
        </is>
      </c>
      <c r="F19" s="11" t="inlineStr">
        <is>
          <t>these assumptions and estimates could materially affect the result of the assessment and it may be necessary to recognise additional impairment loss charge to the consolidated statement of profit or loss and other comprehensive income. As at 31 March 2026, the carrying amount of trade receivables, other receivables and contract assets are HK$15,651,000 (2025: HK$50,701,000), HK$32,828,000 (2025: HK$41,004,000) and HK$33,849,000 (2025: HK$59,519,000) respectively, net of accumulated impairment losses of HK$42,942,000 (2025: HK$2</t>
        </is>
      </c>
    </row>
    <row r="20">
      <c r="A20" s="8" t="inlineStr">
        <is>
          <t>Impairment Testing</t>
        </is>
      </c>
      <c r="B20" s="8" t="inlineStr">
        <is>
          <t>減值測試</t>
        </is>
      </c>
      <c r="C20" s="20" t="inlineStr">
        <is>
          <t>high</t>
        </is>
      </c>
      <c r="D20" s="11" t="inlineStr">
        <is>
          <t>impairment loss</t>
        </is>
      </c>
      <c r="E20" s="11" t="inlineStr">
        <is>
          <t>PDF p.90 (印刷頁 89)</t>
        </is>
      </c>
      <c r="F20" s="11" t="inlineStr">
        <is>
          <t>of-use assets subject to impairment assessment were HK$14,999,000 and HK$nil (2025: HK$23,693,000 and HK$9,000) respectively, net of impairment losses of HK$13,196,000 and HK$nil (2025: HK$5,018,000 and HK$nil) in respect of property, plant and equipment and right-of-use assets that have been recognised respectively. Current tax The subsidiaries of the Company are subject to income tax in the People’s Republic of China (the “PRC”), Hong Kong, Malaysia, the Republic of the Philippines (“Philippines”) and the Kingdom of Cambodia</t>
        </is>
      </c>
    </row>
    <row r="21">
      <c r="A21" s="8" t="inlineStr">
        <is>
          <t>Impairment Testing</t>
        </is>
      </c>
      <c r="B21" s="8" t="inlineStr">
        <is>
          <t>減值測試</t>
        </is>
      </c>
      <c r="C21" s="20" t="inlineStr">
        <is>
          <t>high</t>
        </is>
      </c>
      <c r="D21" s="11" t="inlineStr">
        <is>
          <t>impairment loss</t>
        </is>
      </c>
      <c r="E21" s="11" t="inlineStr">
        <is>
          <t>PDF p.92 (印刷頁 91)</t>
        </is>
      </c>
      <c r="F21" s="11" t="inlineStr">
        <is>
          <t>egment results (34,652) 736 (33,916) Unallocated exchange loss, net (3) Unallocated gain on disposal of a subsidiary 177 Unallocated impairment loss of property, plant and equipment (8,178) Unallocated finance costs from lease liabilities – Unallocated finance costs from bank borrowings (669) Central administrative costs and directors’ emoluments (13,512) Consolidated loss before tax (56,101) Annual Report 2026 . Kwan On Holdings Limited 91</t>
        </is>
      </c>
    </row>
    <row r="22">
      <c r="A22" s="8" t="inlineStr">
        <is>
          <t>Impairment Testing</t>
        </is>
      </c>
      <c r="B22" s="8" t="inlineStr">
        <is>
          <t>減值測試</t>
        </is>
      </c>
      <c r="C22" s="20" t="inlineStr">
        <is>
          <t>high</t>
        </is>
      </c>
      <c r="D22" s="11" t="inlineStr">
        <is>
          <t>impairment loss</t>
        </is>
      </c>
      <c r="E22" s="11" t="inlineStr">
        <is>
          <t>PDF p.93 (印刷頁 92)</t>
        </is>
      </c>
      <c r="F22" s="11" t="inlineStr">
        <is>
          <t>S Segment results (48,759) (1,672) (50,431) (31,790) (82,221) Unallocated gain on disposal of a subsidiary 4,459 – 4,459 Unallocated impairment loss of property, plant and equipment (539) – (539) Unallocated finance costs from lease liabilities (3) – (3) Unallocated finance costs from bank borrowings (250) – (250) Central administrative costs and directors’ emoluments (12,531) (16) (12,547) Consolidated loss before tax (59,295) (31,806) (91,101) 92 Kwan On Holdings Limited . Annual Report 2026</t>
        </is>
      </c>
    </row>
    <row r="23">
      <c r="A23" s="8" t="inlineStr">
        <is>
          <t>Impairment Testing</t>
        </is>
      </c>
      <c r="B23" s="8" t="inlineStr">
        <is>
          <t>減值測試</t>
        </is>
      </c>
      <c r="C23" s="20" t="inlineStr">
        <is>
          <t>high</t>
        </is>
      </c>
      <c r="D23" s="11" t="inlineStr">
        <is>
          <t>impairment loss</t>
        </is>
      </c>
      <c r="E23" s="11" t="inlineStr">
        <is>
          <t>PDF p.94 (印刷頁 93)</t>
        </is>
      </c>
      <c r="F23" s="11" t="inlineStr">
        <is>
          <t>ment (58) – – (58) Depreciation of property, plant and equipment (191) – (671) (862) Depreciation of right-of-use assets (9) – – (9) Impairment loss for property, plant and equipment – – (8,178) (8,178) Impairment loss of trade receivables under ECL model (19,390) – – (19,390) Impairment loss of other receivables under ECL model (7,690) – – (7,690) Impairment loss of contract assets under ECL model (26,045) – – (26,045) Interest income 83 2 – 85 Finance costs (8) – (669) (677) Amounts not included in the measure of segment resu</t>
        </is>
      </c>
    </row>
    <row r="24">
      <c r="A24" s="8" t="inlineStr">
        <is>
          <t>Impairment Testing</t>
        </is>
      </c>
      <c r="B24" s="8" t="inlineStr">
        <is>
          <t>減值測試</t>
        </is>
      </c>
      <c r="C24" s="20" t="inlineStr">
        <is>
          <t>high</t>
        </is>
      </c>
      <c r="D24" s="11" t="inlineStr">
        <is>
          <t>impairment loss</t>
        </is>
      </c>
      <c r="E24" s="11" t="inlineStr">
        <is>
          <t>PDF p.95 (印刷頁 94)</t>
        </is>
      </c>
      <c r="F24" s="11" t="inlineStr">
        <is>
          <t>quipment (200) – (658) (858) (2,582) – (2,582) (3,440) Depreciation of right-of-use assets (275) – – (275) (2,432) – (2,432) (2,707) Impairment loss for property, plant and equipment – – (539) (539) – – – (539) Impairment loss of right-of-use assets – – – – (3,358) – (3,358) (3,358) Provision for litigations – – – – (2,800) – (2,800) (2,800) Impairment loss of trade receivables under ECL model (22,979) – – (22,979) (110) – (110) (23,089) Impairment loss of other receivables under ECL model (25,396) – – (25,396) 93 – 93 (25,303)</t>
        </is>
      </c>
    </row>
    <row r="25">
      <c r="A25" s="8" t="inlineStr">
        <is>
          <t>Impairment Testing</t>
        </is>
      </c>
      <c r="B25" s="8" t="inlineStr">
        <is>
          <t>減值測試</t>
        </is>
      </c>
      <c r="C25" s="20" t="inlineStr">
        <is>
          <t>high</t>
        </is>
      </c>
      <c r="D25" s="11" t="inlineStr">
        <is>
          <t>impairment loss</t>
        </is>
      </c>
      <c r="E25" s="11" t="inlineStr">
        <is>
          <t>PDF p.102 (印刷頁 101)</t>
        </is>
      </c>
      <c r="F25" s="11" t="inlineStr">
        <is>
          <t>ant and equipment (58) (75) – 493 (58) 418 Gain on lease modification – – – 23 – 23 Loss on termination of lease – – – (285) – (285) Impairment loss for right-of-use assets – – – (3,358) – (3,358) Write-off of receivables (682) – – – (682) – Exchange (loss)/gain (7) 224 – – (7) 224 (747) 149 – (3,127) (747) (2,978) Annual Report 2026 . Kwan On Holdings Limited 101</t>
        </is>
      </c>
    </row>
    <row r="26">
      <c r="A26" s="8" t="inlineStr">
        <is>
          <t>Impairment Testing</t>
        </is>
      </c>
      <c r="B26" s="8" t="inlineStr">
        <is>
          <t>減值測試</t>
        </is>
      </c>
      <c r="C26" s="20" t="inlineStr">
        <is>
          <t>high</t>
        </is>
      </c>
      <c r="D26" s="11" t="inlineStr">
        <is>
          <t>impairment loss</t>
        </is>
      </c>
      <c r="E26" s="11" t="inlineStr">
        <is>
          <t>PDF p.110 (印刷頁 109)</t>
        </is>
      </c>
      <c r="F26" s="11" t="inlineStr">
        <is>
          <t>adjustments – – 8 10 28 46 At 31 March 2026 5,922 1,010 118 129 1,027 8,206 ACCUMULATED IMPAIRMENT At April 2024 4,479 – – – – 4,479 Impairment loss for the year 539 – – – – 539 At 31 March 2025 5,018 – – – – 5,018 Impairment loss for the year 7,880 258 40 – – 8,178 At 31 March 2026 12,898 258 40 – – 13,196 CARRYING VALUES At 31 March 2026 14,062 – 77 85 775 14,999 At 31 March 2025 22,600 – 99 115 879 23,693 Annual Report 2026 . Kwan On Holdings Limited 109</t>
        </is>
      </c>
    </row>
    <row r="27">
      <c r="A27" s="8" t="inlineStr">
        <is>
          <t>Impairment Testing</t>
        </is>
      </c>
      <c r="B27" s="8" t="inlineStr">
        <is>
          <t>減值測試</t>
        </is>
      </c>
      <c r="C27" s="20" t="inlineStr">
        <is>
          <t>high</t>
        </is>
      </c>
      <c r="D27" s="11" t="inlineStr">
        <is>
          <t>impairment loss</t>
        </is>
      </c>
      <c r="E27" s="11" t="inlineStr">
        <is>
          <t>PDF p.111 (印刷頁 110)</t>
        </is>
      </c>
      <c r="F27" s="11" t="inlineStr">
        <is>
          <t>ended 31 March 2025 and 2026, there was no transfer between Level 1 and Level 2, or transfer into or out of Level 3. As a result, an impairment loss of HK$7,880,000 (2025: HK$539,000) was recognised in profit or loss for the year ended 31 March 2026. 110 Kwan On Holdings Limited . Annual Report 2026</t>
        </is>
      </c>
    </row>
    <row r="28">
      <c r="A28" s="8" t="inlineStr">
        <is>
          <t>Impairment Testing</t>
        </is>
      </c>
      <c r="B28" s="8" t="inlineStr">
        <is>
          <t>減值測試</t>
        </is>
      </c>
      <c r="C28" s="20" t="inlineStr">
        <is>
          <t>high</t>
        </is>
      </c>
      <c r="D28" s="11" t="inlineStr">
        <is>
          <t>impairment loss</t>
        </is>
      </c>
      <c r="E28" s="11" t="inlineStr">
        <is>
          <t>PDF p.112 (印刷頁 111)</t>
        </is>
      </c>
      <c r="F28" s="11" t="inlineStr">
        <is>
          <t>ch 2025 and 1 April 2025 769 Charge for the year 9 At 31 March 2026 778 ACCUMULATED IMPAIRMENT At 31 March 2024 and 1 April 2024 329 Impairment loss for the year 3,358 Disposals of subsidiaries (Note 27(b)) (3,687) At 31 March 2025, 1 April 2025 and 31 March 2026 – CARRYING VALUES At 31 March 2026 – At 31 March 2025 9 Annual Report 2026 . Kwan On Holdings Limited 111</t>
        </is>
      </c>
    </row>
    <row r="29">
      <c r="A29" s="8" t="inlineStr">
        <is>
          <t>Impairment Testing</t>
        </is>
      </c>
      <c r="B29" s="8" t="inlineStr">
        <is>
          <t>減值測試</t>
        </is>
      </c>
      <c r="C29" s="20" t="inlineStr">
        <is>
          <t>high</t>
        </is>
      </c>
      <c r="D29" s="11" t="inlineStr">
        <is>
          <t>impairment loss</t>
        </is>
      </c>
      <c r="E29" s="11" t="inlineStr">
        <is>
          <t>PDF p.115 (印刷頁 114)</t>
        </is>
      </c>
      <c r="F29" s="11" t="inlineStr">
        <is>
          <t>Year Ended 31 March 2026 17. TRADE AND OTHER RECEIVABLES 2026 2025 HK$’000 HK$’000 Trade receivables (Note (b)) 58,593 74,190 Less: impairment loss recognised of trade receivable under ECL model (42,942) (23,489) Net trade receivables 15,651 50,701 Performance deposits (Note (a)) 68,292 67,082 Other receivables 1,510 3,429 69,802 70,511 Less: impairment loss recognised of other receivables under ECL model (37,638) (29,947) Net other receivables 32,164 40,564 Other tax receivables 83 83 Other prepayments 350 304 Other depos</t>
        </is>
      </c>
    </row>
    <row r="30">
      <c r="A30" s="8" t="inlineStr">
        <is>
          <t>Impairment Testing</t>
        </is>
      </c>
      <c r="B30" s="8" t="inlineStr">
        <is>
          <t>減值測試</t>
        </is>
      </c>
      <c r="C30" s="20" t="inlineStr">
        <is>
          <t>high</t>
        </is>
      </c>
      <c r="D30" s="11" t="inlineStr">
        <is>
          <t>impairment loss</t>
        </is>
      </c>
      <c r="E30" s="11" t="inlineStr">
        <is>
          <t>PDF p.117 (印刷頁 116)</t>
        </is>
      </c>
      <c r="F30" s="11" t="inlineStr">
        <is>
          <t>709 Retention receivables of construction contracts (Note (b)) 3,969 18,820 57,048 Total contract assets 65,955 64,816 388,757 Less: impairment loss recognised of contract assets (32,106) (5,297) (13,370) Net contract assets 33,849 59,519 375,387 2026 2025 HK$’000 HK$’000 Retention receivables of construction contracts Due after one year 3,969 18,820 Notes: (a) Unbilled revenue included in contract assets represents the Group’s right to receive consideration for work completed but not yet billed because the rights are conditi</t>
        </is>
      </c>
    </row>
    <row r="31">
      <c r="A31" s="8" t="inlineStr">
        <is>
          <t>Impairment Testing</t>
        </is>
      </c>
      <c r="B31" s="8" t="inlineStr">
        <is>
          <t>減值測試</t>
        </is>
      </c>
      <c r="C31" s="20" t="inlineStr">
        <is>
          <t>high</t>
        </is>
      </c>
      <c r="D31" s="11" t="inlineStr">
        <is>
          <t>impairment loss</t>
        </is>
      </c>
      <c r="E31" s="11" t="inlineStr">
        <is>
          <t>PDF p.129 (印刷頁 128)</t>
        </is>
      </c>
      <c r="F31" s="11" t="inlineStr">
        <is>
          <t>llows: 2026 2025 Notes HK$’000 HK$’000 Revenue 6 – 132,303 Cost of sales and services rendered – (144,459) Gross loss – (12,156) Net impairment losses on financial and contract assets – (102) Provision for litigations – (2,800) Other income 6 – 6,220 Other (losses)/gains, net 6 – (3,127) Administrative expenses – (14,792) Finance costs 7 – (5,049) Loss before income tax 9 – (31,806) Income tax credit 8 – 155 Loss for the year from discontinued operations – (31,651) The cash flows of discontinued operations are as follows: 2026</t>
        </is>
      </c>
    </row>
    <row r="32">
      <c r="A32" s="8" t="inlineStr">
        <is>
          <t>Impairment Testing</t>
        </is>
      </c>
      <c r="B32" s="8" t="inlineStr">
        <is>
          <t>減值測試</t>
        </is>
      </c>
      <c r="C32" s="20" t="inlineStr">
        <is>
          <t>high</t>
        </is>
      </c>
      <c r="D32" s="11" t="inlineStr">
        <is>
          <t>impairment loss</t>
        </is>
      </c>
      <c r="E32" s="11" t="inlineStr">
        <is>
          <t>PDF p.135 (印刷頁 134)</t>
        </is>
      </c>
      <c r="F32" s="11" t="inlineStr">
        <is>
          <t>00 HK$’000 HK$’000 At 1 April 2024 7 583 590 New financial assets originated 22,979 – 22,979 Changes due to financial instruments: – Impairment loss recognised 149 – 149 – Impairment loss reversed (9) (30) (39) Disposals of subsidiaries (142) (2) (144) Exchange adjustments (78) 32 (46) At 31 March 2025 and 1 April 2025 22,906 583 23,489 Transfer from lifetime ECL (not credit-impaired) (15,566) 15,566 – New financial assets originated 175 – 175 Changes due to financial instruments – Impairment loss recognised 175 19,615 19,790 –</t>
        </is>
      </c>
    </row>
    <row r="33">
      <c r="A33" s="8" t="inlineStr">
        <is>
          <t>Impairment Testing</t>
        </is>
      </c>
      <c r="B33" s="8" t="inlineStr">
        <is>
          <t>減值測試</t>
        </is>
      </c>
      <c r="C33" s="20" t="inlineStr">
        <is>
          <t>high</t>
        </is>
      </c>
      <c r="D33" s="11" t="inlineStr">
        <is>
          <t>impairment loss</t>
        </is>
      </c>
      <c r="E33" s="11" t="inlineStr">
        <is>
          <t>PDF p.136 (印刷頁 135)</t>
        </is>
      </c>
      <c r="F33" s="11" t="inlineStr">
        <is>
          <t>e ECL (not creditimpaired) HK$’000 At 1 April 2024 13,370 New financial assets originated – Changes due to financial instruments – Impairment loss recognised 2,681 – Impairment loss reversed (10,548) Disposals of subsidiaries (116) Exchange adjustments (90) At 31 March 2025 and 1 April 2025 5,297 Changes due to financial instruments – Impairment loss recognised 26,045 Exchange adjustments 764 At 31 March 2026 32,106 Other receivables For other receivables, the directors of the Company make periodic individual assessment on th</t>
        </is>
      </c>
    </row>
    <row r="34">
      <c r="A34" s="8" t="inlineStr">
        <is>
          <t>Impairment Testing</t>
        </is>
      </c>
      <c r="B34" s="8" t="inlineStr">
        <is>
          <t>減值測試</t>
        </is>
      </c>
      <c r="C34" s="20" t="inlineStr">
        <is>
          <t>high</t>
        </is>
      </c>
      <c r="D34" s="11" t="inlineStr">
        <is>
          <t>impairment loss</t>
        </is>
      </c>
      <c r="E34" s="11" t="inlineStr">
        <is>
          <t>PDF p.137 (印刷頁 136)</t>
        </is>
      </c>
      <c r="F34" s="11" t="inlineStr">
        <is>
          <t>h ECL (not credit-impaired) (4,373) 4,373 – – New financial assets originated – – 2,052 2,052 Changes due to financial instruments – Impairment loss recognised – 23,644 – 23,644 – Impairment loss reversed (300) – (93) (393) Disposals of subsidiaries – – (22,591) (22,591) Exchange adjustments 11 (106) (16) (111) At 31 March 2025 and 1 April 2025 – 27,911 2,036 29,947 New financial assets originated – 16 – 16 Changes due to financial instruments – Impairment loss recognised – 10,545 – 10,545 – Impairment loss reversed – (783) (2,</t>
        </is>
      </c>
    </row>
    <row r="35">
      <c r="A35" s="8" t="inlineStr">
        <is>
          <t>Intangible Assets &amp; Goodwill</t>
        </is>
      </c>
      <c r="B35" s="8" t="inlineStr">
        <is>
          <t>無形資產及商譽</t>
        </is>
      </c>
      <c r="C35" s="20" t="inlineStr">
        <is>
          <t>high</t>
        </is>
      </c>
      <c r="D35" s="11" t="inlineStr">
        <is>
          <t>goodwill</t>
        </is>
      </c>
      <c r="E35" s="11" t="inlineStr">
        <is>
          <t>PDF p.69 (印刷頁 68)</t>
        </is>
      </c>
      <c r="F35" s="11" t="inlineStr">
        <is>
          <t>ash-generating units. In allocating the impairment loss, the impairment loss is allocated first to reduce the carrying amount of any goodwill (if applicable) and then to the other assets on a pro-rata basis based on the carrying amount of each asset in the unit or the group of cash-generating units. The carrying amount of an asset is not reduced below the highest of its fair value less costs of disposal (if measurable), its value in use (if determinable) and zero. The amount of the impairment loss that would otherwise have been</t>
        </is>
      </c>
    </row>
    <row r="36">
      <c r="A36" s="8" t="inlineStr">
        <is>
          <t>Intangible Assets &amp; Goodwill</t>
        </is>
      </c>
      <c r="B36" s="8" t="inlineStr">
        <is>
          <t>無形資產及商譽</t>
        </is>
      </c>
      <c r="C36" s="20" t="inlineStr">
        <is>
          <t>high</t>
        </is>
      </c>
      <c r="D36" s="11" t="inlineStr">
        <is>
          <t>goodwill</t>
        </is>
      </c>
      <c r="E36" s="11" t="inlineStr">
        <is>
          <t>PDF p.74 (印刷頁 73)</t>
        </is>
      </c>
      <c r="F36" s="11" t="inlineStr">
        <is>
          <t>ary differences can be utilised. Such deferred tax assets and liabilities are not recognised if the temporary difference arises from goodwill or from the initial recognition (other than in a business combination) of assets and liabilities in a transaction that affects neither the taxable profit nor the accounting profit and does not give rise to equal taxable and deductible temporary difference. Deferred tax liabilities are recognised for taxable temporary differences associated with investments in subsidiaries and associates,</t>
        </is>
      </c>
    </row>
    <row r="37">
      <c r="A37" s="8" t="inlineStr">
        <is>
          <t>Intangible Assets &amp; Goodwill</t>
        </is>
      </c>
      <c r="B37" s="8" t="inlineStr">
        <is>
          <t>無形資產及商譽</t>
        </is>
      </c>
      <c r="C37" s="20" t="inlineStr">
        <is>
          <t>high</t>
        </is>
      </c>
      <c r="D37" s="11" t="inlineStr">
        <is>
          <t>amortisation</t>
        </is>
      </c>
      <c r="E37" s="11" t="inlineStr">
        <is>
          <t>PDF p.83 (印刷頁 82)</t>
        </is>
      </c>
      <c r="F37" s="11" t="inlineStr">
        <is>
          <t>the loss allowance determined in accordance with HKFRS 9; and • the amount initially recognised less, where appropriate, cumulative amortisation recognised over the guarantee period. Derecognition of financial liabilities A financial liability is derecognised when, and only when, the Group’s obligations are discharged, cancelled or have expired. The difference between the carrying amount of the financial liability derecognised and the consideration paid and payable is recognised in profit or loss. 82 Kwan On Holdings Limited .</t>
        </is>
      </c>
    </row>
    <row r="38">
      <c r="A38" s="8" t="inlineStr">
        <is>
          <t>ESG Data</t>
        </is>
      </c>
      <c r="B38" s="8" t="inlineStr">
        <is>
          <t>環境社會及管治數據</t>
        </is>
      </c>
      <c r="C38" s="8" t="inlineStr">
        <is>
          <t>medium</t>
        </is>
      </c>
      <c r="D38" s="11" t="inlineStr">
        <is>
          <t>ESG</t>
        </is>
      </c>
      <c r="E38" s="11" t="inlineStr">
        <is>
          <t>PDF p.27 (印刷頁 26)</t>
        </is>
      </c>
      <c r="F38" s="11" t="inlineStr">
        <is>
          <t>TE GOVERNANCE REPORT – the Environmental, Social and Governance Report 2025; – report of a sustainable development steering group on ESG risk management work; and – the Group’s risk management work report for the first half of 2026. REMUNERATION OF DIRECTORS AND SENIOR MANAGEMENT The remuneration of the members of directors and the senior management by band for the Reporting Year is set out below: Remuneration band Number of persons Less than HK$1,000,000 8 HK$1,000,001 to HK$1,500,000 – HK$1,500,001 to HK$2,000,000 1 HK$2,000,</t>
        </is>
      </c>
    </row>
    <row r="39">
      <c r="A39" s="8" t="inlineStr">
        <is>
          <t>ESG Data</t>
        </is>
      </c>
      <c r="B39" s="8" t="inlineStr">
        <is>
          <t>環境社會及管治數據</t>
        </is>
      </c>
      <c r="C39" s="8" t="inlineStr">
        <is>
          <t>medium</t>
        </is>
      </c>
      <c r="D39" s="11" t="inlineStr">
        <is>
          <t>ESG</t>
        </is>
      </c>
      <c r="E39" s="11" t="inlineStr">
        <is>
          <t>PDF p.29 (印刷頁 28)</t>
        </is>
      </c>
      <c r="F39" s="11" t="inlineStr">
        <is>
          <t>nd budget of the Company’s accounting, internal audit, and financial reporting functions, as well as those relating to the Company’s ESG performance and reporting. Based on the foregoing review, the Audit Committee and the Board considered the risk management and internal control systems to be effective and adequate during the year. AUDITOR’S REMUNERATION The report from the auditor of the Company regarding their responsibilities and opinion on the financial statements of the Group for the year ended 31 March 2026 is set out in</t>
        </is>
      </c>
    </row>
    <row r="40">
      <c r="A40" s="8" t="inlineStr">
        <is>
          <t>ESG Data</t>
        </is>
      </c>
      <c r="B40" s="8" t="inlineStr">
        <is>
          <t>環境社會及管治數據</t>
        </is>
      </c>
      <c r="C40" s="8" t="inlineStr">
        <is>
          <t>medium</t>
        </is>
      </c>
      <c r="D40" s="11" t="inlineStr">
        <is>
          <t>energy consumption</t>
        </is>
      </c>
      <c r="E40" s="11" t="inlineStr">
        <is>
          <t>PDF p.32 (印刷頁 31)</t>
        </is>
      </c>
      <c r="F40" s="11" t="inlineStr">
        <is>
          <t>oup implements green office practices which include double-sided printing, copying, promoting the use of recycled paper and reducing energy consumption by switching off idle lightings and electrical appliances. Our Group will review the environmental practices from time to time and will consider implementing further eco-friendly measures and practices in the operation of our Group’s business and enhance environmental sustainability. ESG POLICIES AND PERFORMANCE During the Reporting Year, the Group has complied with the “comply</t>
        </is>
      </c>
    </row>
    <row r="41">
      <c r="A41" s="8" t="inlineStr">
        <is>
          <t>R&amp;D Expenditure</t>
        </is>
      </c>
      <c r="B41" s="8" t="inlineStr">
        <is>
          <t>研發開支</t>
        </is>
      </c>
      <c r="C41" s="8" t="inlineStr">
        <is>
          <t>medium</t>
        </is>
      </c>
      <c r="D41" s="11" t="inlineStr">
        <is>
          <t>research and development</t>
        </is>
      </c>
      <c r="E41" s="11" t="inlineStr">
        <is>
          <t>PDF p.8 (印刷頁 7)</t>
        </is>
      </c>
      <c r="F41" s="11" t="inlineStr">
        <is>
          <t>btained a Master of Public Management Degree from The University of Maryland. Mr. Gong has served as the head of a High-tech Product Research and Development Department of a large scale stated-owned enterprise, the chairman of a large scale state-owned enterprise and the president of a university’s Industrial Research Institute. Annual Report 2026 . Kwan On Holdings Limited 7</t>
        </is>
      </c>
    </row>
    <row r="42">
      <c r="A42" s="8" t="inlineStr">
        <is>
          <t>Segment Information</t>
        </is>
      </c>
      <c r="B42" s="8" t="inlineStr">
        <is>
          <t>分部資料</t>
        </is>
      </c>
      <c r="C42" s="8" t="inlineStr">
        <is>
          <t>medium</t>
        </is>
      </c>
      <c r="D42" s="11" t="inlineStr">
        <is>
          <t>operating segment</t>
        </is>
      </c>
      <c r="E42" s="11" t="inlineStr">
        <is>
          <t>PDF p.86 (印刷頁 85)</t>
        </is>
      </c>
      <c r="F42" s="11" t="inlineStr">
        <is>
          <t>mily members who may be expected to influence, or be influenced by, that person in their dealings with the entity. Segment reporting Operating segments, and the amounts of each segment item reported in the financial statements, are identified from the financial information provided regularly to the Group’s chief operating decision maker for the purposes of allocating resources to, and assessing the performance of, the Group’s various lines of business and geographical locations. Individually material operating segments are not</t>
        </is>
      </c>
    </row>
    <row r="43">
      <c r="A43" s="8" t="inlineStr">
        <is>
          <t>Segment Information</t>
        </is>
      </c>
      <c r="B43" s="8" t="inlineStr">
        <is>
          <t>分部資料</t>
        </is>
      </c>
      <c r="C43" s="8" t="inlineStr">
        <is>
          <t>medium</t>
        </is>
      </c>
      <c r="D43" s="11" t="inlineStr">
        <is>
          <t>geographical</t>
        </is>
      </c>
      <c r="E43" s="11" t="inlineStr">
        <is>
          <t>PDF p.87 (印刷頁 86)</t>
        </is>
      </c>
      <c r="F43" s="11" t="inlineStr">
        <is>
          <t>NUED) Discontinued operations (Continued) – is part of a single co-ordinated plan to dispose of a separate major line of business or geographical area of operations; or – is a subsidiary acquired exclusively with a view to resale. Where an operation is classified as discontinued operation, the comparative statement of profit or loss is re-presented as if the operation had been discontinued from the start of the comparative year. 4. CRITICAL ACCOUNTING JUDGEMENTS AND KEY SOURCES OF ESTIMATION UNCERTAINTY In the application of th</t>
        </is>
      </c>
    </row>
    <row r="44">
      <c r="A44" s="8" t="inlineStr">
        <is>
          <t>Segment Information</t>
        </is>
      </c>
      <c r="B44" s="8" t="inlineStr">
        <is>
          <t>分部資料</t>
        </is>
      </c>
      <c r="C44" s="8" t="inlineStr">
        <is>
          <t>medium</t>
        </is>
      </c>
      <c r="D44" s="11" t="inlineStr">
        <is>
          <t>segment information</t>
        </is>
      </c>
      <c r="E44" s="11" t="inlineStr">
        <is>
          <t>PDF p.91 (印刷頁 90)</t>
        </is>
      </c>
      <c r="F44" s="11" t="inlineStr">
        <is>
          <t>NOTES TO THE CONSOLIDATED FINANCIAL STATEMENTS For The Year Ended 31 March 2026 5. SEGMENT INFORMATION Operating segments are reported in a manner consistent with the internal reporting provided to the chief operating decision-maker (“CODM”). The CODM, who is responsible for allocating resources and assessing performance of the operating segments, has been identified as the Chief Executive Officer of the Company that makes strategic decisions. The following summary describes the</t>
        </is>
      </c>
    </row>
    <row r="45">
      <c r="A45" s="8" t="inlineStr">
        <is>
          <t>Segment Information</t>
        </is>
      </c>
      <c r="B45" s="8" t="inlineStr">
        <is>
          <t>分部資料</t>
        </is>
      </c>
      <c r="C45" s="8" t="inlineStr">
        <is>
          <t>medium</t>
        </is>
      </c>
      <c r="D45" s="11" t="inlineStr">
        <is>
          <t>segment information</t>
        </is>
      </c>
      <c r="E45" s="11" t="inlineStr">
        <is>
          <t>PDF p.92 (印刷頁 91)</t>
        </is>
      </c>
      <c r="F45" s="11" t="inlineStr">
        <is>
          <t>NOTES TO THE CONSOLIDATED FINANCIAL STATEMENTS For The Year Ended 31 March 2026 5. SEGMENT INFORMATION (CONTINUED) Segment revenue and results The information of segment revenue and segment results from continuing operations and discontinued operations are as follows: For the year ended 31 March 2026 Continuing operations Construction Trading Total HK$’000 HK$’000 HK$’000 REVENUE External sales 227,727 58,595 286,322 RESULTS Segment results (34,652) 736 (33,916) Unallocated exch</t>
        </is>
      </c>
    </row>
    <row r="46">
      <c r="A46" s="8" t="inlineStr">
        <is>
          <t>Segment Information</t>
        </is>
      </c>
      <c r="B46" s="8" t="inlineStr">
        <is>
          <t>分部資料</t>
        </is>
      </c>
      <c r="C46" s="8" t="inlineStr">
        <is>
          <t>medium</t>
        </is>
      </c>
      <c r="D46" s="11" t="inlineStr">
        <is>
          <t>segment information</t>
        </is>
      </c>
      <c r="E46" s="11" t="inlineStr">
        <is>
          <t>PDF p.93 (印刷頁 92)</t>
        </is>
      </c>
      <c r="F46" s="11" t="inlineStr">
        <is>
          <t>NOTES TO THE CONSOLIDATED FINANCIAL STATEMENTS For The Year Ended 31 March 2026 5. SEGMENT INFORMATION (CONTINUED) Segment revenue and results (Continued) For the year ended 31 March 2025 Discontinued Continuing operations operations Construction Trading Sub-total Construction Total HK$’000 HK$’000 HK$’000 HK$’000 HK$’000 REVENUE External sales 260,880 55,392 316,272 132,303 448,575 RESULTS Segment results (48,759) (1,672) (50,431) (31,790) (82,221) Unallocated gain on disposal</t>
        </is>
      </c>
    </row>
    <row r="47">
      <c r="A47" s="8" t="inlineStr">
        <is>
          <t>Segment Information</t>
        </is>
      </c>
      <c r="B47" s="8" t="inlineStr">
        <is>
          <t>分部資料</t>
        </is>
      </c>
      <c r="C47" s="8" t="inlineStr">
        <is>
          <t>medium</t>
        </is>
      </c>
      <c r="D47" s="11" t="inlineStr">
        <is>
          <t>segment information</t>
        </is>
      </c>
      <c r="E47" s="11" t="inlineStr">
        <is>
          <t>PDF p.94 (印刷頁 93)</t>
        </is>
      </c>
      <c r="F47" s="11" t="inlineStr">
        <is>
          <t>NOTES TO THE CONSOLIDATED FINANCIAL STATEMENTS For The Year Ended 31 March 2026 5. SEGMENT INFORMATION (CONTINUED) Other information For the year ended 31 March 2026 Continuing operations Construction Trading Unallocated Total HK$’000 HK$’000 HK$’000 HK$’000 Amounts included in the measure of segment results Loss on disposals of property, plant and equipment (58) – – (58) Depreciation of property, plant and equipment (191) – (671) (862) Depreciation of right-of-use assets (9) –</t>
        </is>
      </c>
    </row>
    <row r="48">
      <c r="A48" s="8" t="inlineStr">
        <is>
          <t>Segment Information</t>
        </is>
      </c>
      <c r="B48" s="8" t="inlineStr">
        <is>
          <t>分部資料</t>
        </is>
      </c>
      <c r="C48" s="8" t="inlineStr">
        <is>
          <t>medium</t>
        </is>
      </c>
      <c r="D48" s="11" t="inlineStr">
        <is>
          <t>segment information</t>
        </is>
      </c>
      <c r="E48" s="11" t="inlineStr">
        <is>
          <t>PDF p.95 (印刷頁 94)</t>
        </is>
      </c>
      <c r="F48" s="11" t="inlineStr">
        <is>
          <t>NOTES TO THE CONSOLIDATED FINANCIAL STATEMENTS For The Year Ended 31 March 2026 5. SEGMENT INFORMATION (CONTINUED) Other information (Continued) For the year ended 31 March 2025 Continuing operations Discontinued operations Construction Trading Unallocated Sub-total Construction Unallocated Sub-total Total HK$’000 HK$’000 HK$’000 HK$’000 HK$’000 HK$’000 HK$’000 HK$’000 Amounts included in the measure of segment results Gain/(loss) on disposals of property, plant and equipment (7</t>
        </is>
      </c>
    </row>
    <row r="49">
      <c r="A49" s="8" t="inlineStr">
        <is>
          <t>Segment Information</t>
        </is>
      </c>
      <c r="B49" s="8" t="inlineStr">
        <is>
          <t>分部資料</t>
        </is>
      </c>
      <c r="C49" s="8" t="inlineStr">
        <is>
          <t>medium</t>
        </is>
      </c>
      <c r="D49" s="11" t="inlineStr">
        <is>
          <t>segment information</t>
        </is>
      </c>
      <c r="E49" s="11" t="inlineStr">
        <is>
          <t>PDF p.96 (印刷頁 95)</t>
        </is>
      </c>
      <c r="F49" s="11" t="inlineStr">
        <is>
          <t>NOTES TO THE CONSOLIDATED FINANCIAL STATEMENTS For The Year Ended 31 March 2026 5. SEGMENT INFORMATION (CONTINUED) Segment assets and liabilities 2026 2025 Property Construction Trading Total Construction development Total HK$’000 HK$’000 HK$’000 HK$’000 HK$’000 HK$’000 Reportable segment assets 89,637 819 90,456 166,536 307 166,843 Reportable segment liabilities 44,833 1,171 46,004 88,678 17,676 106,354 Other segment information 2026 2025 Continuing Continuing Discontinued oper</t>
        </is>
      </c>
    </row>
    <row r="50">
      <c r="A50" s="8" t="inlineStr">
        <is>
          <t>Segment Information</t>
        </is>
      </c>
      <c r="B50" s="8" t="inlineStr">
        <is>
          <t>分部資料</t>
        </is>
      </c>
      <c r="C50" s="8" t="inlineStr">
        <is>
          <t>medium</t>
        </is>
      </c>
      <c r="D50" s="11" t="inlineStr">
        <is>
          <t>segment information</t>
        </is>
      </c>
      <c r="E50" s="11" t="inlineStr">
        <is>
          <t>PDF p.97 (印刷頁 96)</t>
        </is>
      </c>
      <c r="F50" s="11" t="inlineStr">
        <is>
          <t>NOTES TO THE CONSOLIDATED FINANCIAL STATEMENTS For The Year Ended 31 March 2026 5. SEGMENT INFORMATION (CONTINUED) Other segment information (Continued) Reconciliation of reportable segment assets to total assets is as follows: 2026 2025 HK$’000 HK$’000 Total reportable segment assets 90,456 166,843 Equity instrument at fair value through other comprehensive income – 6,246 Unallocated corporate assets – property, plant and equipment 14,063 22,600 Unallocated corporate assets – b</t>
        </is>
      </c>
    </row>
    <row r="51">
      <c r="A51" s="8" t="inlineStr">
        <is>
          <t>Segment Information</t>
        </is>
      </c>
      <c r="B51" s="8" t="inlineStr">
        <is>
          <t>分部資料</t>
        </is>
      </c>
      <c r="C51" s="8" t="inlineStr">
        <is>
          <t>medium</t>
        </is>
      </c>
      <c r="D51" s="11" t="inlineStr">
        <is>
          <t>segment information</t>
        </is>
      </c>
      <c r="E51" s="11" t="inlineStr">
        <is>
          <t>PDF p.98 (印刷頁 97)</t>
        </is>
      </c>
      <c r="F51" s="11" t="inlineStr">
        <is>
          <t>NOTES TO THE CONSOLIDATED FINANCIAL STATEMENTS For The Year Ended 31 March 2026 5. SEGMENT INFORMATION (CONTINUED) Geographical information All of the Group’s revenue was derived from Hong Kong, the PRC, Malaysia, Philippines and Cambodia, based on the location of the customers. Information about the Group’s non-current assets other than equity instrument at fair value through other comprehensive income, other receivables and deferred tax assets is presented based on the geograp</t>
        </is>
      </c>
    </row>
    <row r="52">
      <c r="A52" s="8" t="inlineStr">
        <is>
          <t>Segment Information</t>
        </is>
      </c>
      <c r="B52" s="8" t="inlineStr">
        <is>
          <t>分部資料</t>
        </is>
      </c>
      <c r="C52" s="8" t="inlineStr">
        <is>
          <t>medium</t>
        </is>
      </c>
      <c r="D52" s="11" t="inlineStr">
        <is>
          <t>segment information</t>
        </is>
      </c>
      <c r="E52" s="11" t="inlineStr">
        <is>
          <t>PDF p.99 (印刷頁 98)</t>
        </is>
      </c>
      <c r="F52" s="11" t="inlineStr">
        <is>
          <t>NOTES TO THE CONSOLIDATED FINANCIAL STATEMENTS For The Year Ended 31 March 2026 5. SEGMENT INFORMATION (CONTINUED) Information about major customers Revenue from customers of the corresponding years contributing over 10% of the total revenue of the Group are as follows: 2026 2025 Discontinued Discontinued Continuing operations operations Continuing operations operations Construction Trading Sub-total Construction Total Construction Trading Sub-total Construction Total HK$’000 HK</t>
        </is>
      </c>
    </row>
    <row r="53">
      <c r="A53" s="8" t="inlineStr">
        <is>
          <t>Segment Information</t>
        </is>
      </c>
      <c r="B53" s="8" t="inlineStr">
        <is>
          <t>分部資料</t>
        </is>
      </c>
      <c r="C53" s="8" t="inlineStr">
        <is>
          <t>medium</t>
        </is>
      </c>
      <c r="D53" s="11" t="inlineStr">
        <is>
          <t>geographical</t>
        </is>
      </c>
      <c r="E53" s="11" t="inlineStr">
        <is>
          <t>PDF p.133 (印刷頁 132)</t>
        </is>
      </c>
      <c r="F53" s="11" t="inlineStr">
        <is>
          <t>CONTINUED) (a) Credit risk (Continued) Trade receivables and contract assets (Continued) The Group’s concentration of credit risk by geographical locations is mainly in PRC, which accounted for 47% (2025: 54%) of the total trade receivables and contract assets at 31 March 2026. Significant concentrations of credit risk primarily arise when the Group has significant exposure to individual customers. At the end of the reporting period, 26% (2025: 16%) and 35% (2025: 40%) of the total trade receivables and contract assets are due</t>
        </is>
      </c>
    </row>
    <row r="54">
      <c r="A54" s="8" t="inlineStr">
        <is>
          <t>Share-based Payment</t>
        </is>
      </c>
      <c r="B54" s="8" t="inlineStr">
        <is>
          <t>以股份為基礎的付款</t>
        </is>
      </c>
      <c r="C54" s="8" t="inlineStr">
        <is>
          <t>medium</t>
        </is>
      </c>
      <c r="D54" s="11" t="inlineStr">
        <is>
          <t>share option</t>
        </is>
      </c>
      <c r="E54" s="11" t="inlineStr">
        <is>
          <t>PDF p.37 (印刷頁 36)</t>
        </is>
      </c>
      <c r="F54" s="11" t="inlineStr">
        <is>
          <t>roperty, plant and equipment of the Group during the Reporting Year are set out in Note 14 to the consolidated financial statements. SHARE OPTION SCHEME The share option scheme (the “Scheme”) of the Company was adopted on 16 March 2015. The Scheme will be valid and effective for a period of 10 years commencing on 16 March 2015 and was expired on 15 March 2025. There were no share option granted or agreed to be granted under the Scheme since the date of the adoption to the date of this annual report. SHARE CAPITAL Details of mov</t>
        </is>
      </c>
    </row>
    <row r="55">
      <c r="A55" s="8" t="inlineStr">
        <is>
          <t>Share-based Payment</t>
        </is>
      </c>
      <c r="B55" s="8" t="inlineStr">
        <is>
          <t>以股份為基礎的付款</t>
        </is>
      </c>
      <c r="C55" s="8" t="inlineStr">
        <is>
          <t>medium</t>
        </is>
      </c>
      <c r="D55" s="11" t="inlineStr">
        <is>
          <t>share option</t>
        </is>
      </c>
      <c r="E55" s="11" t="inlineStr">
        <is>
          <t>PDF p.44 (印刷頁 43)</t>
        </is>
      </c>
      <c r="F55" s="11" t="inlineStr">
        <is>
          <t>respect of potential legal actions against its Directors. EQUITY-LINK AGREEMENTS Save as disclosed in this annual report relating to share option scheme, no equity-link agreement have been entered into during the Reporting Year or subsisted at the end of the Reporting Year. Annual Report 2026 . Kwan On Holdings Limited 43</t>
        </is>
      </c>
    </row>
    <row r="56">
      <c r="A56" s="8" t="inlineStr">
        <is>
          <t>Share-based Payment</t>
        </is>
      </c>
      <c r="B56" s="8" t="inlineStr">
        <is>
          <t>以股份為基礎的付款</t>
        </is>
      </c>
      <c r="C56" s="8" t="inlineStr">
        <is>
          <t>medium</t>
        </is>
      </c>
      <c r="D56" s="11" t="inlineStr">
        <is>
          <t>share-based payment</t>
        </is>
      </c>
      <c r="E56" s="11" t="inlineStr">
        <is>
          <t>PDF p.84 (印刷頁 83)</t>
        </is>
      </c>
      <c r="F56" s="11" t="inlineStr">
        <is>
          <t>2026 3. MATERIAL ACCOUNTING POLICY INFORMATION (CONTINUED) Fair value measurement When measuring fair value, except for the Group’s share-based payment transactions, leasing transactions, value in use of property, plant and equipment and right-of-use asset for the purpose of impairment assessment, the Group takes into account the characteristics of the asset or liability if market participants would take those characteristics into account when pricing the asset or liability at the measurement date. The Group uses valuation tec</t>
        </is>
      </c>
    </row>
    <row r="57">
      <c r="A57" s="8" t="inlineStr">
        <is>
          <t>Share-based Payment</t>
        </is>
      </c>
      <c r="B57" s="8" t="inlineStr">
        <is>
          <t>以股份為基礎的付款</t>
        </is>
      </c>
      <c r="C57" s="8" t="inlineStr">
        <is>
          <t>medium</t>
        </is>
      </c>
      <c r="D57" s="11" t="inlineStr">
        <is>
          <t>share option</t>
        </is>
      </c>
      <c r="E57" s="11" t="inlineStr">
        <is>
          <t>PDF p.155 (印刷頁 154)</t>
        </is>
      </c>
      <c r="F57" s="11" t="inlineStr">
        <is>
          <t>NOTES TO THE CONSOLIDATED FINANCIAL STATEMENTS For The Year Ended 31 March 2026 35. SHARE OPTION SCHEME Shareholders of the Company have approved and adopted a share option scheme (the “Scheme”) on 16 March 2015. A summary of the Scheme is set out as below: The Scheme became effective for a period of 10 years commencing on 16 March 2015. Under the Scheme, the directors of the Company shall, in its absolute discretion, select, make an offer to any eligible participants to subscrib</t>
        </is>
      </c>
    </row>
    <row r="58">
      <c r="A58" s="8" t="inlineStr">
        <is>
          <t>Related Party Transactions</t>
        </is>
      </c>
      <c r="B58" s="8" t="inlineStr">
        <is>
          <t>關聯方交易</t>
        </is>
      </c>
      <c r="C58" s="8" t="inlineStr">
        <is>
          <t>low</t>
        </is>
      </c>
      <c r="D58" s="11" t="inlineStr">
        <is>
          <t>related party</t>
        </is>
      </c>
      <c r="E58" s="11" t="inlineStr">
        <is>
          <t>PDF p.42 (印刷頁 41)</t>
        </is>
      </c>
      <c r="F58" s="11" t="inlineStr">
        <is>
          <t>quired to be kept by the Company under Section 336 of the SFO as at 31 March 2026. CONNECTED TRANSACTIONS Details of the significant related party and connected transactions of the Group are set out in Note 34 to the consolidated financial statements. The related party transactions set out in Note 34 to the consolidated financial statements were fully exempted from reporting, annual review, announcement and independent shareholders’ approval requirements under Chapter 14A of the Listing Rules. As at 31 March 2026, a performance</t>
        </is>
      </c>
    </row>
    <row r="59">
      <c r="A59" s="8" t="inlineStr">
        <is>
          <t>Related Party Transactions</t>
        </is>
      </c>
      <c r="B59" s="8" t="inlineStr">
        <is>
          <t>關聯方交易</t>
        </is>
      </c>
      <c r="C59" s="8" t="inlineStr">
        <is>
          <t>low</t>
        </is>
      </c>
      <c r="D59" s="11" t="inlineStr">
        <is>
          <t>related party</t>
        </is>
      </c>
      <c r="E59" s="11" t="inlineStr">
        <is>
          <t>PDF p.154 (印刷頁 153)</t>
        </is>
      </c>
      <c r="F59" s="11" t="inlineStr">
        <is>
          <t>NOTES TO THE CONSOLIDATED FINANCIAL STATEMENTS For The Year Ended 31 March 2026 34. RELATED PARTY TRANSACTIONS AND BALANCES Save as disclosed elsewhere in the consolidated financial statements, the Group entered into the following material transactions with related parties: Nature of transactions/ Name of related party balances 2026 2025 Notes HK$’000 HK$’000 Jiangsu Provincial Construction Financial guarantee (a) 25,718 26,959 Group Co., Ltd.* provided to the Group 江蘇省建築工程集團有限公司</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9"/>
  <sheetViews>
    <sheetView workbookViewId="0">
      <pane ySplit="28" topLeftCell="A29"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Operating Profit</t>
        </is>
      </c>
    </row>
    <row r="9">
      <c r="A9" s="8" t="inlineStr">
        <is>
          <t>Income Statement</t>
        </is>
      </c>
      <c r="B9" s="8" t="inlineStr">
        <is>
          <t>R&amp;D Expenses</t>
        </is>
      </c>
    </row>
    <row r="10">
      <c r="A10" s="8" t="inlineStr">
        <is>
          <t>Income Statement</t>
        </is>
      </c>
      <c r="B10" s="8" t="inlineStr">
        <is>
          <t>Depreciation</t>
        </is>
      </c>
    </row>
    <row r="11">
      <c r="A11" s="8" t="inlineStr">
        <is>
          <t>Income Statement</t>
        </is>
      </c>
      <c r="B11" s="8" t="inlineStr">
        <is>
          <t>Amortisation</t>
        </is>
      </c>
    </row>
    <row r="12">
      <c r="A12" s="8" t="inlineStr">
        <is>
          <t>Balance Sheet</t>
        </is>
      </c>
      <c r="B12" s="8" t="inlineStr">
        <is>
          <t>Total Assets</t>
        </is>
      </c>
    </row>
    <row r="13">
      <c r="A13" s="8" t="inlineStr">
        <is>
          <t>Balance Sheet</t>
        </is>
      </c>
      <c r="B13" s="8" t="inlineStr">
        <is>
          <t>Total Current Assets</t>
        </is>
      </c>
    </row>
    <row r="14">
      <c r="A14" s="8" t="inlineStr">
        <is>
          <t>Balance Sheet</t>
        </is>
      </c>
      <c r="B14" s="8" t="inlineStr">
        <is>
          <t>Inventories</t>
        </is>
      </c>
    </row>
    <row r="15">
      <c r="A15" s="8" t="inlineStr">
        <is>
          <t>Balance Sheet</t>
        </is>
      </c>
      <c r="B15" s="8" t="inlineStr">
        <is>
          <t>Goodwill</t>
        </is>
      </c>
    </row>
    <row r="16">
      <c r="A16" s="8" t="inlineStr">
        <is>
          <t>Balance Sheet</t>
        </is>
      </c>
      <c r="B16" s="8" t="inlineStr">
        <is>
          <t>Intangible Assets</t>
        </is>
      </c>
    </row>
    <row r="17">
      <c r="A17" s="8" t="inlineStr">
        <is>
          <t>Balance Sheet</t>
        </is>
      </c>
      <c r="B17" s="8" t="inlineStr">
        <is>
          <t>Investment Properties</t>
        </is>
      </c>
    </row>
    <row r="18">
      <c r="A18" s="8" t="inlineStr">
        <is>
          <t>Balance Sheet</t>
        </is>
      </c>
      <c r="B18" s="8" t="inlineStr">
        <is>
          <t>Total Liabilities</t>
        </is>
      </c>
    </row>
    <row r="19">
      <c r="A19" s="8" t="inlineStr">
        <is>
          <t>Cash Flow</t>
        </is>
      </c>
      <c r="B19" s="8" t="inlineStr">
        <is>
          <t>Operating Cash Flow</t>
        </is>
      </c>
    </row>
    <row r="20">
      <c r="A20" s="8" t="inlineStr">
        <is>
          <t>Cash Flow</t>
        </is>
      </c>
      <c r="B20" s="8" t="inlineStr">
        <is>
          <t>Investing Cash Flow</t>
        </is>
      </c>
    </row>
    <row r="21">
      <c r="A21" s="8" t="inlineStr">
        <is>
          <t>Cash Flow</t>
        </is>
      </c>
      <c r="B21" s="8" t="inlineStr">
        <is>
          <t>Financing Cash Flow</t>
        </is>
      </c>
    </row>
    <row r="22">
      <c r="A22" s="8" t="inlineStr">
        <is>
          <t>Cash Flow</t>
        </is>
      </c>
      <c r="B22" s="8" t="inlineStr">
        <is>
          <t>Capital Expenditure</t>
        </is>
      </c>
    </row>
    <row r="25">
      <c r="A25" s="5" t="inlineStr">
        <is>
          <t>二、文字量過低的頁面(疑似掃描頁)</t>
        </is>
      </c>
    </row>
    <row r="26">
      <c r="A26" s="2" t="inlineStr">
        <is>
          <t>這些頁面幾乎抓不到文字,通常是掃描件或純圖表,建議人手翻閱或另行 OCR。</t>
        </is>
      </c>
    </row>
    <row r="28">
      <c r="A28" s="7" t="inlineStr">
        <is>
          <t>PDF 頁碼</t>
        </is>
      </c>
      <c r="B28" s="7" t="inlineStr">
        <is>
          <t>狀態</t>
        </is>
      </c>
    </row>
    <row r="29">
      <c r="A29"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2026-08-30T14:16:29Z</dcterms:created>
  <dcterms:modified xsi:type="dcterms:W3CDTF">2026-08-30T14:16:29Z</dcterms:modified>
</cp:coreProperties>
</file>